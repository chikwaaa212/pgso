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5FFAFAD7-2C21-4BD9-B96F-F58AA73A42DD}" xr6:coauthVersionLast="47" xr6:coauthVersionMax="47" xr10:uidLastSave="{00000000-0000-0000-0000-000000000000}"/>
  <bookViews>
    <workbookView xWindow="-120" yWindow="-120" windowWidth="21840" windowHeight="13020" tabRatio="976" activeTab="1" xr2:uid="{771C4F6D-6391-42DD-9439-D1D9D3921E19}"/>
  </bookViews>
  <sheets>
    <sheet name="LEGEND" sheetId="1" r:id="rId1"/>
    <sheet name="GEN FUND - summary" sheetId="49" r:id="rId2"/>
    <sheet name="SPF - summary" sheetId="88" r:id="rId3"/>
    <sheet name="OLF  - summary" sheetId="6" r:id="rId4"/>
    <sheet name="GAD FUND - summary" sheetId="3" r:id="rId5"/>
    <sheet name="OMOE -OLF" sheetId="8" r:id="rId6"/>
    <sheet name="ICT CAP. OUTLAY-OL (2)" sheetId="44" r:id="rId7"/>
    <sheet name="OFFICE EQPT. CAP. OUTLAY-OLF" sheetId="24" state="hidden" r:id="rId8"/>
    <sheet name="Office SUP -OLF" sheetId="2" r:id="rId9"/>
    <sheet name="OTHER SUPPLIES - OLF" sheetId="19" r:id="rId10"/>
    <sheet name="EXTRA ORD. AND MIS. EXP. - OLF" sheetId="13" r:id="rId11"/>
    <sheet name="FOOD SUPPLIES - OLF" sheetId="11" r:id="rId12"/>
    <sheet name="SEMI EXP. MACHINARY &amp; EQPT-OLF " sheetId="45" r:id="rId13"/>
    <sheet name="MACHINERY AND EQUIPMENT-OLF" sheetId="26" r:id="rId14"/>
    <sheet name="PRINTING PUBLICATION-OLF (2)" sheetId="25" r:id="rId15"/>
    <sheet name="TRAVELING EXP -OLF" sheetId="23" r:id="rId16"/>
    <sheet name="TRAINING -OLF" sheetId="15" r:id="rId17"/>
    <sheet name="AGRICULTURAL SUPPLIES - OLF " sheetId="22" r:id="rId18"/>
    <sheet name="Awards and Rewards for OLF" sheetId="20" r:id="rId19"/>
    <sheet name="FUEL EXPENSES - OLF" sheetId="18" r:id="rId20"/>
    <sheet name="INTERNET - OLF" sheetId="41" r:id="rId21"/>
    <sheet name="TELEPHONE - OLF" sheetId="40" r:id="rId22"/>
    <sheet name="WATER EXPENSES - OLF" sheetId="16" r:id="rId23"/>
    <sheet name="SUBSIDY TO LGU - OLF" sheetId="14" r:id="rId24"/>
    <sheet name="DONATIONS - OLF" sheetId="12" r:id="rId25"/>
    <sheet name="DRUGS &amp; MEDS. EXP. - OLF" sheetId="21" r:id="rId26"/>
    <sheet name="REP. &amp; MAINT. FUR.&amp;FIX. - OLF" sheetId="43" r:id="rId27"/>
    <sheet name="REP. &amp; MAINT. OFFICE EQPT - OLF" sheetId="42" r:id="rId28"/>
    <sheet name="REP. &amp; MAINT. ICT " sheetId="27" r:id="rId29"/>
    <sheet name="REP. &amp; MAINT. TRANS EQPT. OLF" sheetId="17" r:id="rId30"/>
    <sheet name="REP&amp;MAIN. -Building - OLF" sheetId="9" r:id="rId31"/>
    <sheet name="OFFICE SUPPLIES - GAD" sheetId="31" r:id="rId32"/>
    <sheet name="REP. &amp; MAINT. OF TRANSPO -GAD" sheetId="47" r:id="rId33"/>
    <sheet name="REP. &amp; MAINT. OF ICT EQPMT- GAD" sheetId="37" r:id="rId34"/>
    <sheet name="DRUGS &amp; MEDS. - GAD" sheetId="39" r:id="rId35"/>
    <sheet name="FUEL &amp; LUB. - GAD" sheetId="32" r:id="rId36"/>
    <sheet name="WATER EXPENSES - GAD" sheetId="33" r:id="rId37"/>
    <sheet name="INTERNET SUB. - GAD" sheetId="34" r:id="rId38"/>
    <sheet name="FOOD SUPPLIES - GAD" sheetId="48" r:id="rId39"/>
    <sheet name="TRAINING - GAD" sheetId="30" r:id="rId40"/>
    <sheet name="GENERAL SERVICES - GAD" sheetId="35" r:id="rId41"/>
    <sheet name="SEMI EXPNDBLE MCHNRY &amp; EQPT-GAD" sheetId="46" r:id="rId42"/>
    <sheet name="TRAVELLING - GAD" sheetId="29" r:id="rId43"/>
    <sheet name="OFFICE EQPT. CAP. OUTLAY - GAD" sheetId="28" r:id="rId44"/>
    <sheet name="Extraordinary Expenses - GAD" sheetId="7" r:id="rId45"/>
    <sheet name="DONATIONS - GAD" sheetId="10" r:id="rId46"/>
    <sheet name="OMOE -GAD" sheetId="5" r:id="rId47"/>
    <sheet name="OTHER SUP. EXP. - GAD" sheetId="4" r:id="rId48"/>
    <sheet name="LIVESTOCK PROGRAM - GF" sheetId="59" r:id="rId49"/>
    <sheet name="SEMI EXPNDBLE FUR&amp;FIX - GF" sheetId="67" r:id="rId50"/>
    <sheet name="SEMI EXPNDBLE  MACHINERY- GF" sheetId="64" r:id="rId51"/>
    <sheet name="CONSULTANCY - GF" sheetId="77" r:id="rId52"/>
    <sheet name="INTERNET SUBS. - GF" sheetId="69" r:id="rId53"/>
    <sheet name="EXTRA ORD. GF" sheetId="70" r:id="rId54"/>
    <sheet name="LANDLINE - GF" sheetId="68" r:id="rId55"/>
    <sheet name="MOBILE EXP. - GF" sheetId="65" r:id="rId56"/>
    <sheet name="OFFICE SUPPLIES - GF" sheetId="58" r:id="rId57"/>
    <sheet name="OTHER SUPPLIES - GF" sheetId="60" r:id="rId58"/>
    <sheet name="FIDELITY - GF" sheetId="78" r:id="rId59"/>
    <sheet name="CO - HOSP. EQPT MCHNRY - GF " sheetId="86" r:id="rId60"/>
    <sheet name="CO - OFFICE EQPT - GF (2)" sheetId="92" r:id="rId61"/>
    <sheet name="CO - ICT - GF" sheetId="57" r:id="rId62"/>
    <sheet name="OMOE - GF" sheetId="56" r:id="rId63"/>
    <sheet name="REP&amp;MAINT. BUILDING -GF" sheetId="63" r:id="rId64"/>
    <sheet name="REP&amp;MAINT. TRANSPO - GF" sheetId="55" r:id="rId65"/>
    <sheet name="REP&amp;MAINT. MACHINERY - GF" sheetId="93" r:id="rId66"/>
    <sheet name="REP&amp;MAINT. ICT EQPT&amp; SFTWR - GF" sheetId="76" r:id="rId67"/>
    <sheet name="REP&amp;MAINT. HOS. &amp; LAB. EQPT -GF" sheetId="75" r:id="rId68"/>
    <sheet name="REP&amp;MAINT. OFFICE EQMNT - GF " sheetId="54" r:id="rId69"/>
    <sheet name="Electrification- GF" sheetId="74" r:id="rId70"/>
    <sheet name="COOKING GAS - GF" sheetId="83" r:id="rId71"/>
    <sheet name="LGDF - GF" sheetId="82" r:id="rId72"/>
    <sheet name="ACCOUNTABLE FORMS - GF" sheetId="61" r:id="rId73"/>
    <sheet name="CONSTRUCTION MATERIALS - GF" sheetId="62" r:id="rId74"/>
    <sheet name="POSTAGE &amp; DLVRY - GF" sheetId="80" r:id="rId75"/>
    <sheet name="CABLE  - GF" sheetId="81" r:id="rId76"/>
    <sheet name="ELECTRICITY - GF" sheetId="79" r:id="rId77"/>
    <sheet name="WATER EXPENSE - GF" sheetId="53" r:id="rId78"/>
    <sheet name="FUEL - GF" sheetId="52" r:id="rId79"/>
    <sheet name="TRAVELLING - GF" sheetId="66" r:id="rId80"/>
    <sheet name="TRAINING - GF" sheetId="51" r:id="rId81"/>
    <sheet name="DONation - GF" sheetId="85" r:id="rId82"/>
    <sheet name="SUBSIDY TO LGU - GF" sheetId="84" r:id="rId83"/>
    <sheet name="PRINTING PUBLICATION - GF " sheetId="90" r:id="rId84"/>
    <sheet name="FURNITURES &amp; FIX - GF" sheetId="91" r:id="rId85"/>
    <sheet name="FOOD SUPPLIES - GF" sheetId="73" r:id="rId86"/>
    <sheet name="MEDICAL SUPPLIES - GF" sheetId="72" r:id="rId87"/>
    <sheet name="DRUGS &amp; MEDS. EXP. - GF" sheetId="71" r:id="rId88"/>
    <sheet name="CAPITAL OUTLAY INFRASTRUC - SPF" sheetId="89" r:id="rId89"/>
    <sheet name="OMOE - SPF" sheetId="87" r:id="rId90"/>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A16" i="49" l="1"/>
  <c r="L18" i="93"/>
  <c r="L48" i="93" s="1"/>
  <c r="L242" i="56"/>
  <c r="L890" i="72"/>
  <c r="L65" i="93" l="1"/>
  <c r="L134" i="93" s="1"/>
  <c r="L37" i="92"/>
  <c r="L90" i="92" s="1"/>
  <c r="D19" i="49"/>
  <c r="L508" i="58"/>
  <c r="L16" i="91"/>
  <c r="L69" i="52"/>
  <c r="L288" i="73"/>
  <c r="M136" i="5"/>
  <c r="L14" i="90"/>
  <c r="L42" i="77"/>
  <c r="L242" i="8" l="1"/>
  <c r="E19" i="49"/>
  <c r="BA13" i="49"/>
  <c r="BA14" i="49"/>
  <c r="BA15" i="49"/>
  <c r="L39" i="85"/>
  <c r="L42" i="90"/>
  <c r="L16" i="89"/>
  <c r="L34" i="87"/>
  <c r="AY17" i="88"/>
  <c r="AX17" i="88"/>
  <c r="AW17" i="88"/>
  <c r="AV17" i="88"/>
  <c r="AU17" i="88"/>
  <c r="AT17" i="88"/>
  <c r="AS17" i="88"/>
  <c r="AR17" i="88"/>
  <c r="AQ17" i="88"/>
  <c r="AP17" i="88"/>
  <c r="AO17" i="88"/>
  <c r="AN17" i="88"/>
  <c r="AM17" i="88"/>
  <c r="AL17" i="88"/>
  <c r="AK17" i="88"/>
  <c r="AJ17" i="88"/>
  <c r="AI17" i="88"/>
  <c r="AH17" i="88"/>
  <c r="AG17" i="88"/>
  <c r="AF17" i="88"/>
  <c r="AE17" i="88"/>
  <c r="AD17" i="88"/>
  <c r="AC17" i="88"/>
  <c r="AB17" i="88"/>
  <c r="AA17" i="88"/>
  <c r="Z17" i="88"/>
  <c r="Y17" i="88"/>
  <c r="X17" i="88"/>
  <c r="W17" i="88"/>
  <c r="V17" i="88"/>
  <c r="U17" i="88"/>
  <c r="T17" i="88"/>
  <c r="S17" i="88"/>
  <c r="R17" i="88"/>
  <c r="Q17" i="88"/>
  <c r="P17" i="88"/>
  <c r="O17" i="88"/>
  <c r="N17" i="88"/>
  <c r="M17" i="88"/>
  <c r="L17" i="88"/>
  <c r="K17" i="88"/>
  <c r="J17" i="88"/>
  <c r="I17" i="88"/>
  <c r="H17" i="88"/>
  <c r="G17" i="88"/>
  <c r="F17" i="88"/>
  <c r="E17" i="88"/>
  <c r="C17" i="88"/>
  <c r="AZ16" i="88"/>
  <c r="AZ15" i="88"/>
  <c r="AZ12" i="88"/>
  <c r="AZ11" i="88"/>
  <c r="AZ10" i="88"/>
  <c r="AZ9" i="88"/>
  <c r="AZ8" i="88"/>
  <c r="AZ7" i="88"/>
  <c r="AZ6" i="88"/>
  <c r="AZ5" i="88"/>
  <c r="AZ4" i="88"/>
  <c r="AZ3" i="88"/>
  <c r="BA17" i="88" s="1"/>
  <c r="BA12" i="49"/>
  <c r="L24" i="86"/>
  <c r="L77" i="86" s="1"/>
  <c r="L66" i="90" l="1"/>
  <c r="L130" i="90" s="1"/>
  <c r="AZ17" i="88"/>
  <c r="C6" i="1" s="1"/>
  <c r="L50" i="64"/>
  <c r="L21" i="84"/>
  <c r="L83" i="85" l="1"/>
  <c r="L147" i="85" s="1"/>
  <c r="L45" i="84"/>
  <c r="L109" i="84" s="1"/>
  <c r="L28" i="83" l="1"/>
  <c r="L102" i="83" s="1"/>
  <c r="L28" i="82"/>
  <c r="L102" i="82" s="1"/>
  <c r="L56" i="57"/>
  <c r="L27" i="78"/>
  <c r="L34" i="79" l="1"/>
  <c r="L45" i="81"/>
  <c r="L121" i="81" s="1"/>
  <c r="K25" i="81"/>
  <c r="L41" i="80"/>
  <c r="L45" i="51" l="1"/>
  <c r="L44" i="66"/>
  <c r="L43" i="53"/>
  <c r="L23" i="62"/>
  <c r="L28" i="61"/>
  <c r="L31" i="74"/>
  <c r="L48" i="54"/>
  <c r="L41" i="75"/>
  <c r="L48" i="76" l="1"/>
  <c r="L76" i="55"/>
  <c r="L164" i="63"/>
  <c r="L36" i="65"/>
  <c r="L31" i="68"/>
  <c r="L20" i="70"/>
  <c r="L40" i="69"/>
  <c r="L20" i="67"/>
  <c r="L16" i="59"/>
  <c r="L51" i="80"/>
  <c r="L127" i="80" s="1"/>
  <c r="L54" i="79"/>
  <c r="L130" i="79" s="1"/>
  <c r="L65" i="76" l="1"/>
  <c r="L134" i="76" s="1"/>
  <c r="L55" i="75"/>
  <c r="L124" i="75" s="1"/>
  <c r="L106" i="74"/>
  <c r="L237" i="71" l="1"/>
  <c r="L236" i="71"/>
  <c r="L235" i="71"/>
  <c r="L234" i="71"/>
  <c r="L233" i="71"/>
  <c r="L232" i="71"/>
  <c r="L231" i="71"/>
  <c r="L230" i="71"/>
  <c r="L229" i="71"/>
  <c r="L228" i="71"/>
  <c r="L227" i="71"/>
  <c r="L226" i="71"/>
  <c r="L225" i="71"/>
  <c r="L224" i="71"/>
  <c r="L223" i="71"/>
  <c r="L222" i="71"/>
  <c r="L221" i="71"/>
  <c r="L220" i="71"/>
  <c r="L219" i="71"/>
  <c r="L218" i="71"/>
  <c r="L217" i="71"/>
  <c r="L216" i="71"/>
  <c r="L215" i="71"/>
  <c r="L214" i="71"/>
  <c r="L213" i="71"/>
  <c r="L212" i="71"/>
  <c r="L211" i="71"/>
  <c r="L210" i="71"/>
  <c r="L209" i="71"/>
  <c r="L208" i="71"/>
  <c r="L207" i="71"/>
  <c r="L206" i="71"/>
  <c r="L205" i="71"/>
  <c r="L204" i="71"/>
  <c r="L203" i="71"/>
  <c r="L202" i="71"/>
  <c r="L201" i="71"/>
  <c r="L200" i="71"/>
  <c r="L199" i="71"/>
  <c r="L198" i="71"/>
  <c r="L197" i="71"/>
  <c r="L196" i="71"/>
  <c r="L195" i="71"/>
  <c r="L194" i="71"/>
  <c r="L193" i="71"/>
  <c r="L192" i="71"/>
  <c r="L191" i="71"/>
  <c r="L190" i="71"/>
  <c r="L189" i="71"/>
  <c r="L188" i="71"/>
  <c r="L187" i="71"/>
  <c r="L186" i="71"/>
  <c r="L185" i="71"/>
  <c r="L184" i="71"/>
  <c r="L183" i="71"/>
  <c r="L182" i="71"/>
  <c r="L181" i="71"/>
  <c r="L180" i="71"/>
  <c r="L179" i="71"/>
  <c r="L178" i="71"/>
  <c r="L177" i="71"/>
  <c r="L176" i="71"/>
  <c r="L175" i="71"/>
  <c r="L174" i="71"/>
  <c r="L173" i="71"/>
  <c r="L172" i="71"/>
  <c r="L171" i="71"/>
  <c r="L170" i="71"/>
  <c r="L169" i="71"/>
  <c r="L168" i="71"/>
  <c r="L167" i="71"/>
  <c r="L166" i="71"/>
  <c r="L165" i="71"/>
  <c r="L164" i="71"/>
  <c r="L163" i="71"/>
  <c r="L162" i="71"/>
  <c r="L161" i="71"/>
  <c r="L160" i="71"/>
  <c r="L159" i="71"/>
  <c r="L158" i="71"/>
  <c r="L157" i="71"/>
  <c r="L156" i="71"/>
  <c r="L155" i="71"/>
  <c r="L154" i="71"/>
  <c r="L153" i="71"/>
  <c r="L152" i="71"/>
  <c r="L151" i="71"/>
  <c r="L150" i="71"/>
  <c r="L149" i="71"/>
  <c r="L148" i="71"/>
  <c r="L147" i="71"/>
  <c r="L146" i="71"/>
  <c r="L145" i="71"/>
  <c r="L144" i="71"/>
  <c r="L143" i="71"/>
  <c r="L142" i="71"/>
  <c r="L141" i="71"/>
  <c r="L140" i="71"/>
  <c r="L139" i="71"/>
  <c r="L138" i="71"/>
  <c r="L137" i="71"/>
  <c r="L136" i="71"/>
  <c r="L135" i="71"/>
  <c r="L134" i="71"/>
  <c r="L133" i="71"/>
  <c r="L132" i="71"/>
  <c r="L131" i="71"/>
  <c r="L130" i="71"/>
  <c r="L129" i="71"/>
  <c r="L128" i="71"/>
  <c r="L127" i="71"/>
  <c r="L126" i="71"/>
  <c r="L125" i="71"/>
  <c r="L124" i="71"/>
  <c r="L123" i="71"/>
  <c r="L122" i="71"/>
  <c r="L121" i="71"/>
  <c r="L120" i="71"/>
  <c r="L119" i="71"/>
  <c r="L118" i="71"/>
  <c r="L117" i="71"/>
  <c r="L116" i="71"/>
  <c r="L115" i="71"/>
  <c r="L114" i="71"/>
  <c r="L113" i="71"/>
  <c r="L112" i="71"/>
  <c r="L111" i="71"/>
  <c r="L110" i="71"/>
  <c r="L109" i="71"/>
  <c r="L108" i="71"/>
  <c r="L107" i="71"/>
  <c r="L106" i="71"/>
  <c r="L105" i="71"/>
  <c r="L104" i="71"/>
  <c r="L103" i="71"/>
  <c r="L102" i="71"/>
  <c r="L101" i="71"/>
  <c r="L100" i="71"/>
  <c r="L99" i="71"/>
  <c r="L98" i="71"/>
  <c r="L97" i="71"/>
  <c r="L96" i="71"/>
  <c r="L95" i="71"/>
  <c r="L94" i="71"/>
  <c r="L93" i="71"/>
  <c r="L92" i="71"/>
  <c r="L91" i="71"/>
  <c r="L90" i="71"/>
  <c r="L89" i="71"/>
  <c r="L88" i="71"/>
  <c r="L87" i="71"/>
  <c r="L86" i="71"/>
  <c r="L85" i="71"/>
  <c r="L84" i="71"/>
  <c r="L83" i="71"/>
  <c r="L82" i="71"/>
  <c r="L81" i="71"/>
  <c r="L80" i="71"/>
  <c r="L79" i="71"/>
  <c r="L78" i="71"/>
  <c r="L77" i="71"/>
  <c r="L76" i="71"/>
  <c r="L75" i="71"/>
  <c r="L74" i="71"/>
  <c r="L73" i="71"/>
  <c r="L72" i="71"/>
  <c r="L71" i="71"/>
  <c r="L70" i="71"/>
  <c r="L69" i="71"/>
  <c r="L68" i="71"/>
  <c r="L67" i="71"/>
  <c r="L66" i="71"/>
  <c r="L65" i="71"/>
  <c r="L64" i="71"/>
  <c r="L63" i="71"/>
  <c r="L62" i="71"/>
  <c r="L61" i="71"/>
  <c r="L60" i="71"/>
  <c r="L59" i="71"/>
  <c r="L58" i="71"/>
  <c r="L57" i="71"/>
  <c r="L56" i="71"/>
  <c r="L55" i="71"/>
  <c r="L54" i="71"/>
  <c r="L53" i="71"/>
  <c r="L52" i="71"/>
  <c r="L51" i="71"/>
  <c r="L50" i="71"/>
  <c r="L49" i="71"/>
  <c r="L48" i="71"/>
  <c r="L47" i="71"/>
  <c r="L46" i="71"/>
  <c r="L45" i="71"/>
  <c r="L44" i="71"/>
  <c r="L43" i="71"/>
  <c r="L42" i="71"/>
  <c r="L41" i="71"/>
  <c r="L40" i="71"/>
  <c r="L39" i="71"/>
  <c r="L38" i="71"/>
  <c r="L37" i="71"/>
  <c r="L36" i="71"/>
  <c r="L35" i="71"/>
  <c r="L34" i="71"/>
  <c r="L33" i="71"/>
  <c r="L32" i="71"/>
  <c r="L31" i="71"/>
  <c r="L30" i="71"/>
  <c r="L29" i="71"/>
  <c r="L28" i="71"/>
  <c r="L27" i="71"/>
  <c r="L26" i="71"/>
  <c r="L25" i="71"/>
  <c r="L24" i="71"/>
  <c r="L23" i="71"/>
  <c r="L22" i="71"/>
  <c r="L21" i="71"/>
  <c r="L20" i="71"/>
  <c r="L15" i="71"/>
  <c r="L14" i="71"/>
  <c r="L13" i="71"/>
  <c r="L12" i="71"/>
  <c r="L11" i="71"/>
  <c r="L10" i="71"/>
  <c r="L9" i="71"/>
  <c r="L8" i="71"/>
  <c r="L7" i="71"/>
  <c r="L1072" i="71" l="1"/>
  <c r="L910" i="2"/>
  <c r="L148" i="19"/>
  <c r="AX17" i="6"/>
  <c r="AX18" i="6"/>
  <c r="AX19" i="6"/>
  <c r="AX20" i="6"/>
  <c r="AX21" i="6"/>
  <c r="AX22" i="6"/>
  <c r="L69" i="51" l="1"/>
  <c r="Q19" i="49"/>
  <c r="L176" i="63"/>
  <c r="L42" i="65"/>
  <c r="L122" i="68"/>
  <c r="AI19" i="49"/>
  <c r="L22" i="56"/>
  <c r="L8" i="60"/>
  <c r="E133" i="58"/>
  <c r="E132" i="58"/>
  <c r="E131" i="58"/>
  <c r="E130" i="58"/>
  <c r="E129" i="58"/>
  <c r="E128" i="58"/>
  <c r="E127" i="58"/>
  <c r="E126" i="58"/>
  <c r="E125" i="58"/>
  <c r="E124" i="58"/>
  <c r="E123" i="58"/>
  <c r="E122" i="58"/>
  <c r="E121" i="58"/>
  <c r="E119" i="58"/>
  <c r="E118" i="58"/>
  <c r="E117" i="58"/>
  <c r="E112" i="58"/>
  <c r="E111" i="58"/>
  <c r="E110" i="58"/>
  <c r="E108" i="58"/>
  <c r="E107" i="58"/>
  <c r="E106" i="58"/>
  <c r="E105" i="58"/>
  <c r="E104" i="58"/>
  <c r="E103" i="58"/>
  <c r="E102" i="58"/>
  <c r="E101" i="58"/>
  <c r="E100" i="58"/>
  <c r="E99" i="58"/>
  <c r="E98" i="58"/>
  <c r="L97" i="58"/>
  <c r="BA6" i="49"/>
  <c r="BA7" i="49"/>
  <c r="L91" i="70"/>
  <c r="L63" i="69"/>
  <c r="L90" i="67"/>
  <c r="L119" i="65" l="1"/>
  <c r="L261" i="63"/>
  <c r="L97" i="62"/>
  <c r="L102" i="61"/>
  <c r="L198" i="60"/>
  <c r="L97" i="59"/>
  <c r="L109" i="57"/>
  <c r="L153" i="55"/>
  <c r="L142" i="54"/>
  <c r="L134" i="53"/>
  <c r="L127" i="52"/>
  <c r="L133" i="51"/>
  <c r="AF14" i="3"/>
  <c r="AF15" i="3"/>
  <c r="AF16" i="3"/>
  <c r="AF17" i="3"/>
  <c r="AX23" i="6"/>
  <c r="AX24" i="6"/>
  <c r="AX25" i="6"/>
  <c r="AX26" i="6"/>
  <c r="AX27" i="6"/>
  <c r="AX28" i="6"/>
  <c r="I29" i="6"/>
  <c r="AZ19" i="49" l="1"/>
  <c r="AY19" i="49"/>
  <c r="AX19" i="49"/>
  <c r="AW19" i="49"/>
  <c r="AV19" i="49"/>
  <c r="AU19" i="49"/>
  <c r="AT19" i="49"/>
  <c r="AS19" i="49"/>
  <c r="AR19" i="49"/>
  <c r="AQ19" i="49"/>
  <c r="AP19" i="49"/>
  <c r="AO19" i="49"/>
  <c r="AN19" i="49"/>
  <c r="AM19" i="49"/>
  <c r="AL19" i="49"/>
  <c r="AK19" i="49"/>
  <c r="AJ19" i="49"/>
  <c r="AH19" i="49"/>
  <c r="AG19" i="49"/>
  <c r="AF19" i="49"/>
  <c r="AE19" i="49"/>
  <c r="AD19" i="49"/>
  <c r="AC19" i="49"/>
  <c r="AB19" i="49"/>
  <c r="AA19" i="49"/>
  <c r="Z19" i="49"/>
  <c r="Y19" i="49"/>
  <c r="X19" i="49"/>
  <c r="W19" i="49"/>
  <c r="V19" i="49"/>
  <c r="U19" i="49"/>
  <c r="T19" i="49"/>
  <c r="S19" i="49"/>
  <c r="R19" i="49"/>
  <c r="P19" i="49"/>
  <c r="O19" i="49"/>
  <c r="N19" i="49"/>
  <c r="M19" i="49"/>
  <c r="L19" i="49"/>
  <c r="K19" i="49"/>
  <c r="J19" i="49"/>
  <c r="I19" i="49"/>
  <c r="H19" i="49"/>
  <c r="G19" i="49"/>
  <c r="F19" i="49"/>
  <c r="C19" i="49"/>
  <c r="BA18" i="49"/>
  <c r="BA17" i="49"/>
  <c r="BA11" i="49"/>
  <c r="BA10" i="49"/>
  <c r="BA9" i="49"/>
  <c r="BA8" i="49"/>
  <c r="BA5" i="49"/>
  <c r="BA4" i="49"/>
  <c r="BA3" i="49"/>
  <c r="L47" i="39"/>
  <c r="AD20" i="3"/>
  <c r="BA19" i="49" l="1"/>
  <c r="C5" i="1" s="1"/>
  <c r="BB19" i="49"/>
  <c r="L120" i="31"/>
  <c r="M61" i="4"/>
  <c r="L116" i="48"/>
  <c r="L24" i="47"/>
  <c r="L64" i="47" s="1"/>
  <c r="L27" i="46"/>
  <c r="L64" i="46" s="1"/>
  <c r="L97" i="30" l="1"/>
  <c r="L26" i="10"/>
  <c r="L43" i="7"/>
  <c r="L30" i="28"/>
  <c r="L27" i="29"/>
  <c r="M13" i="35"/>
  <c r="L25" i="34"/>
  <c r="L17" i="33"/>
  <c r="L38" i="32"/>
  <c r="L24" i="37"/>
  <c r="L26" i="17"/>
  <c r="L17" i="27"/>
  <c r="L18" i="42"/>
  <c r="L22" i="43"/>
  <c r="L25" i="15"/>
  <c r="L14" i="23"/>
  <c r="L18" i="25"/>
  <c r="L29" i="45"/>
  <c r="J75" i="30" l="1"/>
  <c r="J67" i="30"/>
  <c r="J60" i="30"/>
  <c r="AA29" i="6" l="1"/>
  <c r="L66" i="45"/>
  <c r="AG29" i="6"/>
  <c r="L14" i="44" l="1"/>
  <c r="L63" i="44" s="1"/>
  <c r="J29" i="6"/>
  <c r="AX4" i="6"/>
  <c r="AX5" i="6"/>
  <c r="AX6" i="6"/>
  <c r="AX7" i="6"/>
  <c r="AX8" i="6"/>
  <c r="AX9" i="6"/>
  <c r="AX10" i="6"/>
  <c r="AX11" i="6"/>
  <c r="AX12" i="6"/>
  <c r="AX13" i="6"/>
  <c r="AX14" i="6"/>
  <c r="AX15" i="6"/>
  <c r="AX16" i="6"/>
  <c r="L98" i="43"/>
  <c r="L98" i="42"/>
  <c r="L23" i="41"/>
  <c r="L23" i="40"/>
  <c r="L61" i="39" l="1"/>
  <c r="O35" i="5"/>
  <c r="D20" i="3" l="1"/>
  <c r="E20" i="3"/>
  <c r="F20" i="3"/>
  <c r="G20" i="3"/>
  <c r="H20" i="3"/>
  <c r="I20" i="3"/>
  <c r="J20" i="3"/>
  <c r="K20" i="3"/>
  <c r="L20" i="3"/>
  <c r="M20" i="3"/>
  <c r="N20" i="3"/>
  <c r="O20" i="3"/>
  <c r="P20" i="3"/>
  <c r="Q20" i="3"/>
  <c r="R20" i="3"/>
  <c r="S20" i="3"/>
  <c r="T20" i="3"/>
  <c r="U20" i="3"/>
  <c r="V20" i="3"/>
  <c r="W20" i="3"/>
  <c r="X20" i="3"/>
  <c r="Y20" i="3"/>
  <c r="Z20" i="3"/>
  <c r="AA20" i="3"/>
  <c r="AB20" i="3"/>
  <c r="AC20" i="3"/>
  <c r="AE20" i="3"/>
  <c r="C20" i="3"/>
  <c r="L64" i="37"/>
  <c r="L52" i="35"/>
  <c r="L64" i="34"/>
  <c r="L64" i="29"/>
  <c r="AF6" i="3"/>
  <c r="AF7" i="3"/>
  <c r="AF8" i="3"/>
  <c r="AF9" i="3"/>
  <c r="AF10" i="3"/>
  <c r="AF11" i="3"/>
  <c r="AF12" i="3"/>
  <c r="AF13" i="3"/>
  <c r="AF18" i="3"/>
  <c r="AF19" i="3"/>
  <c r="AF4" i="3"/>
  <c r="AF5" i="3"/>
  <c r="AF3" i="3"/>
  <c r="L64" i="28"/>
  <c r="L98" i="27"/>
  <c r="L34" i="26"/>
  <c r="L66" i="25"/>
  <c r="L62" i="24"/>
  <c r="AG20" i="3" l="1"/>
  <c r="AF20" i="3"/>
  <c r="C4" i="1" s="1"/>
  <c r="C7" i="1" s="1"/>
  <c r="L66" i="23"/>
  <c r="L62" i="11" l="1"/>
  <c r="L66" i="15"/>
  <c r="G29" i="6"/>
  <c r="H29" i="6"/>
  <c r="L23" i="22"/>
  <c r="L23" i="20"/>
  <c r="L23" i="18"/>
  <c r="L23" i="16"/>
  <c r="L44" i="14"/>
  <c r="L62" i="12"/>
  <c r="L21" i="21"/>
  <c r="L98" i="17"/>
  <c r="L99" i="9"/>
  <c r="L62" i="13"/>
  <c r="D29" i="6" l="1"/>
  <c r="E29" i="6"/>
  <c r="F29" i="6"/>
  <c r="K29" i="6"/>
  <c r="L29" i="6"/>
  <c r="M29" i="6"/>
  <c r="N29" i="6"/>
  <c r="O29" i="6"/>
  <c r="P29" i="6"/>
  <c r="Q29" i="6"/>
  <c r="R29" i="6"/>
  <c r="S29" i="6"/>
  <c r="T29" i="6"/>
  <c r="U29" i="6"/>
  <c r="V29" i="6"/>
  <c r="W29" i="6"/>
  <c r="X29" i="6"/>
  <c r="Y29" i="6"/>
  <c r="Z29" i="6"/>
  <c r="AB29" i="6"/>
  <c r="AC29" i="6"/>
  <c r="AD29" i="6"/>
  <c r="AE29" i="6"/>
  <c r="AF29" i="6"/>
  <c r="AH29" i="6"/>
  <c r="AI29" i="6"/>
  <c r="AJ29" i="6"/>
  <c r="AK29" i="6"/>
  <c r="AL29" i="6"/>
  <c r="AM29" i="6"/>
  <c r="AN29" i="6"/>
  <c r="AO29" i="6"/>
  <c r="AP29" i="6"/>
  <c r="AQ29" i="6"/>
  <c r="AR29" i="6"/>
  <c r="AS29" i="6"/>
  <c r="AT29" i="6"/>
  <c r="AU29" i="6"/>
  <c r="AV29" i="6"/>
  <c r="AW29" i="6"/>
  <c r="C29" i="6"/>
  <c r="AX3" i="6"/>
  <c r="AY29" i="6" s="1"/>
  <c r="AX29" i="6" l="1"/>
  <c r="C3" i="1" s="1"/>
  <c r="L120" i="66"/>
</calcChain>
</file>

<file path=xl/sharedStrings.xml><?xml version="1.0" encoding="utf-8"?>
<sst xmlns="http://schemas.openxmlformats.org/spreadsheetml/2006/main" count="28712" uniqueCount="5406">
  <si>
    <t>Market Scoping</t>
  </si>
  <si>
    <t>No</t>
  </si>
  <si>
    <t>Goods</t>
  </si>
  <si>
    <t>SVP</t>
  </si>
  <si>
    <t>Column 12</t>
  </si>
  <si>
    <t>Column 11</t>
  </si>
  <si>
    <t>Column 10</t>
  </si>
  <si>
    <t>Column 9</t>
  </si>
  <si>
    <t>Column 8</t>
  </si>
  <si>
    <t>Column 7</t>
  </si>
  <si>
    <t>Column 6</t>
  </si>
  <si>
    <t>Column 5</t>
  </si>
  <si>
    <t>Column 4</t>
  </si>
  <si>
    <t>Column 3</t>
  </si>
  <si>
    <t>Column 2</t>
  </si>
  <si>
    <t>Column 1</t>
  </si>
  <si>
    <t xml:space="preserve">Estimated Budget / Authorized Budgetary Allocation (PhP)
</t>
  </si>
  <si>
    <t>Source of Funds</t>
  </si>
  <si>
    <t>Expected Delivery/ Implementation Period</t>
  </si>
  <si>
    <t xml:space="preserve">End of Procurement Activity </t>
  </si>
  <si>
    <t>Start of Procurement Activity</t>
  </si>
  <si>
    <r>
      <t xml:space="preserve">Pre-Procurement Conference, if applicable </t>
    </r>
    <r>
      <rPr>
        <b/>
        <sz val="9"/>
        <rFont val="Arial"/>
        <family val="2"/>
      </rPr>
      <t>(Yes/No)</t>
    </r>
  </si>
  <si>
    <t xml:space="preserve">Recommended Mode of Procurement </t>
  </si>
  <si>
    <t xml:space="preserve">Quantity and Size of the Project 
to be Procured  </t>
  </si>
  <si>
    <t>Type of the Project 
to be Procured
(whether Goods, Infrastructure and Consulting Services)</t>
  </si>
  <si>
    <t xml:space="preserve">General Description and Objective 
of the Project to be Procured
</t>
  </si>
  <si>
    <t>REMARKS</t>
  </si>
  <si>
    <t xml:space="preserve">ATTACHED SUPPORTING DOCUMENTS </t>
  </si>
  <si>
    <t>FUNDING DETAILS</t>
  </si>
  <si>
    <t>PROJECTED TIMELINE (MM/YYYY)</t>
  </si>
  <si>
    <t>PROCUREMENT PROJECT DETAILS</t>
  </si>
  <si>
    <t>MAINTENANCE AND OTHER OPERATING EXPENSES (MOOE)</t>
  </si>
  <si>
    <t>REPAIR AND MAINTENANCE</t>
  </si>
  <si>
    <t>CODE</t>
  </si>
  <si>
    <t>OFFICE</t>
  </si>
  <si>
    <t>ACCOUNTABLE FORMS EXPENSE 
5-02-03-020</t>
  </si>
  <si>
    <t>Communication Expenses</t>
  </si>
  <si>
    <t>Dietary
 5-02-03-050</t>
  </si>
  <si>
    <t xml:space="preserve">DONATIONS 
5-02-99-080
</t>
  </si>
  <si>
    <t xml:space="preserve"> DRUGS AND MEDICINES EXPENSES
5-02-03-070</t>
  </si>
  <si>
    <t>ELECTRICITY EXPENSES
5-02-04-020</t>
  </si>
  <si>
    <t>EXTRAORDINARY AND MISCELLANEOUS EXPENSES
 5-02-10-030</t>
  </si>
  <si>
    <t>FIDELITY BOND
 5-02-16-020</t>
  </si>
  <si>
    <t>Fuel, Oil and Lubricants
 5-02-03-090</t>
  </si>
  <si>
    <t>FURNITURE AND FIXTURE
1-07-07-010</t>
  </si>
  <si>
    <t>Internet Subscription Expense 
5-02-05-020-04</t>
  </si>
  <si>
    <t>IT EQUIPMENT &amp; SOFTWARE
1-07-05-030</t>
  </si>
  <si>
    <t>MEDICAL, DENTAL &amp; LABORATORY EQUIPMENT
1-07-05-110</t>
  </si>
  <si>
    <t>Medical &amp; lab supplies 5-02-03-080</t>
  </si>
  <si>
    <t>OFFICE EQUIPMENT 
1-07-05-020</t>
  </si>
  <si>
    <t>Office Supplies Expense 
5-02-03-010</t>
  </si>
  <si>
    <t>Other Supplies and Materials Expenses 5-02-03-990</t>
  </si>
  <si>
    <t>OTHER MAINTENANCE AND OPERATING EXPENSES (OMOE) 
5-02-99-990</t>
  </si>
  <si>
    <t>POSTAGE/DELIVERY EXPENSES 
5-02-05-010</t>
  </si>
  <si>
    <t>Semi-expendable machinery and equipment
5-02-03-210</t>
  </si>
  <si>
    <t>Semi-expendable Fixtures, Furnitures Expenses (5-02-03-220)</t>
  </si>
  <si>
    <t>Training and Seminar Expenses
 5-02-02-010</t>
  </si>
  <si>
    <t>TRAVELLING EXPENSES 
5-02-01-010</t>
  </si>
  <si>
    <t>ICT 5-02-13-050</t>
  </si>
  <si>
    <t>TOTAL</t>
  </si>
  <si>
    <t>CAPITAL OUTLAY</t>
  </si>
  <si>
    <t xml:space="preserve"> IT EQUIPMENT &amp; SOFTWARE 
 1-07-05-030</t>
  </si>
  <si>
    <t xml:space="preserve"> MEDICAL, DENTAL &amp; LABORATORY EQUIPMENT
 1-07-05-110</t>
  </si>
  <si>
    <t xml:space="preserve"> OFFICE EQUIPMENT 
 1-07-05-020</t>
  </si>
  <si>
    <t>CABLE, SATELLITE, TELEGRAPH AND RADIO 
5-02-05-040</t>
  </si>
  <si>
    <t>DONATIONS 
5-02-99-080</t>
  </si>
  <si>
    <t>COOKING GAS 5-02-03-990</t>
  </si>
  <si>
    <t>CONSULTANCY SERVICES  
5-02-11-030</t>
  </si>
  <si>
    <t>COMMUNICATION EXPENSES</t>
  </si>
  <si>
    <t>DIETARY
 5-02-03-050</t>
  </si>
  <si>
    <t>EXTRAORDINARY AND MISCELLANEOUS EXPENSES 
5-02-10-030</t>
  </si>
  <si>
    <t>FUEL, OIL AND LUBRICANTS
 5-02-03-090</t>
  </si>
  <si>
    <t>INTERNET SUBSCRIPTION EXPENSE 
5-02-05-020</t>
  </si>
  <si>
    <t>MEDICAL &amp; LAB SUPPLIES
 5-02-03-080</t>
  </si>
  <si>
    <t>OFFICE SUPPLIES EXPENSE 
5-02-03-010</t>
  </si>
  <si>
    <t>OTHER SUPPLIES AND MATERIALS EXPENSES 
5-02-03-990</t>
  </si>
  <si>
    <t>RENT EXPENSES
5-02-99-050</t>
  </si>
  <si>
    <t>SEMI-EXPENDABLE MACHINERY AND EQUIPMENT
5-02-03-210</t>
  </si>
  <si>
    <t>SEMI-EXPENDABLE FIXTURES, FURNITURE’S EXPENSES 
5-02-03-220</t>
  </si>
  <si>
    <t>SUBSIDY TO LGU</t>
  </si>
  <si>
    <t>TAXES, DUTIES AND LICENSES 
5-02-16-010</t>
  </si>
  <si>
    <t>TELEPHONE EXPENSE - LANDLINE 
5-02-05-020</t>
  </si>
  <si>
    <t>TELEPHONE EXPENSE - MOBILE
5-02-05-020</t>
  </si>
  <si>
    <t>TRAINING AND SEMINAR EXPENSES
 5-02-02-010</t>
  </si>
  <si>
    <t>WATER EXPESES
5-02-04-010</t>
  </si>
  <si>
    <t xml:space="preserve"> OFFICE EQUIPMENT 
 5-02-13-050</t>
  </si>
  <si>
    <t>ELECTRIFICATION, POWER &amp; ENERGY STRUCTURES 
5-02-13-030</t>
  </si>
  <si>
    <t>MACHINERY AND EQUIPMENT</t>
  </si>
  <si>
    <t>MEDICAL AND LAB. EQUIPMENT EXPENSES 
5-02-13-050</t>
  </si>
  <si>
    <t>BUILDING AND OTHER STRUCTURES 
5-02-13-040</t>
  </si>
  <si>
    <t>FURNITURE’S AND FIXTURE</t>
  </si>
  <si>
    <t>TRANSPORTATION EQUIPMENT 
5-02-13-060</t>
  </si>
  <si>
    <t>GRAND TOTAL</t>
  </si>
  <si>
    <t>Office Equipment
5-02-13-050</t>
  </si>
  <si>
    <t>1 Lot</t>
  </si>
  <si>
    <t>Jan-2026</t>
  </si>
  <si>
    <t>Feb-2026</t>
  </si>
  <si>
    <t>Mar-2026</t>
  </si>
  <si>
    <t>General Fund CY 2026</t>
  </si>
  <si>
    <t>Purchase Request</t>
  </si>
  <si>
    <t>5-02-99-990-01-01</t>
  </si>
  <si>
    <t>7999S</t>
  </si>
  <si>
    <t>PGO</t>
  </si>
  <si>
    <t>320 pax meals and snacks</t>
  </si>
  <si>
    <t>(Current Appropriations)</t>
  </si>
  <si>
    <t>Gender and Development</t>
  </si>
  <si>
    <t>150 pax packmeal</t>
  </si>
  <si>
    <t>Support to Other Education</t>
  </si>
  <si>
    <t>208 pax snacks</t>
  </si>
  <si>
    <t>Related Activities</t>
  </si>
  <si>
    <t>250 pax meals</t>
  </si>
  <si>
    <t xml:space="preserve"> </t>
  </si>
  <si>
    <t xml:space="preserve">Extraordinary Expenses- </t>
  </si>
  <si>
    <t>5-02-10-030-01</t>
  </si>
  <si>
    <t>1. OMOE</t>
  </si>
  <si>
    <t>1. Other Maintenance and Operating Expenses</t>
  </si>
  <si>
    <t>Competitive Bidding</t>
  </si>
  <si>
    <t>April-2026</t>
  </si>
  <si>
    <t>May-2026</t>
  </si>
  <si>
    <t>June-2026</t>
  </si>
  <si>
    <t>5-02-03-220-01</t>
  </si>
  <si>
    <t>1999L</t>
  </si>
  <si>
    <t>Level Consultative Program on Peace and Development</t>
  </si>
  <si>
    <t>1.Repair and Maintenance - Building</t>
  </si>
  <si>
    <t>5-02-13-040</t>
  </si>
  <si>
    <t>1 pc hammer</t>
  </si>
  <si>
    <t>1pc hacksaw</t>
  </si>
  <si>
    <t>1pc plier</t>
  </si>
  <si>
    <t>1pc star screw</t>
  </si>
  <si>
    <t>1999T</t>
  </si>
  <si>
    <t>1pc flat screw</t>
  </si>
  <si>
    <t>1pc long nose plier</t>
  </si>
  <si>
    <t>1pc multitester</t>
  </si>
  <si>
    <t>1pc heavy duty foldable ladder (aluminum)</t>
  </si>
  <si>
    <t>5pcs paint brush #2</t>
  </si>
  <si>
    <t>Repair and Maintenance of Public Building and Parks</t>
  </si>
  <si>
    <t>1 length 1x1 1/4 flat bar</t>
  </si>
  <si>
    <t>1 sheet /pc sted matting</t>
  </si>
  <si>
    <t>1kg welding rod</t>
  </si>
  <si>
    <t>1 roll RJ6 siamese cable</t>
  </si>
  <si>
    <t>50pcs  BNC connector</t>
  </si>
  <si>
    <t>1 pack cable tie 8"</t>
  </si>
  <si>
    <t>1pc eletrical tape 3m</t>
  </si>
  <si>
    <t>15pcs DC male plug connector</t>
  </si>
  <si>
    <t>1. Donations</t>
  </si>
  <si>
    <t xml:space="preserve">     Supply and Delivery of Gold Medals for the </t>
  </si>
  <si>
    <t>Gold Medals</t>
  </si>
  <si>
    <t xml:space="preserve">     Provincial Government Support to School</t>
  </si>
  <si>
    <t xml:space="preserve">     Excellence Awards</t>
  </si>
  <si>
    <t>Maintenance and Other Operating Expenses</t>
  </si>
  <si>
    <t>1.Supply and Delivery of Food Supplies</t>
  </si>
  <si>
    <t>Other  Locally Funded PPAs CY 2026</t>
  </si>
  <si>
    <t>5-02-03-050-01</t>
  </si>
  <si>
    <t>Multi-Sectoral and Multi-</t>
  </si>
  <si>
    <t>(25 kls)</t>
  </si>
  <si>
    <t>Level Consultative Program</t>
  </si>
  <si>
    <t>on Peace and Development</t>
  </si>
  <si>
    <t>1.Donations</t>
  </si>
  <si>
    <t>5-02-99-080-01</t>
  </si>
  <si>
    <t>Other Locally Funded PPAs</t>
  </si>
  <si>
    <t>Multi-Sectoral and Multi-level</t>
  </si>
  <si>
    <t>Consultative Program on Peace and Development</t>
  </si>
  <si>
    <t>1. Supply and Delivery of Office Supplies</t>
  </si>
  <si>
    <t>5-02-03-010-01</t>
  </si>
  <si>
    <t>6. Extraordinary and Miscellaneous Expenses</t>
  </si>
  <si>
    <t>Catering Services:</t>
  </si>
  <si>
    <t>1 meal only</t>
  </si>
  <si>
    <t>Meals and Snacks (1 meal 2 snacks)</t>
  </si>
  <si>
    <t>1 snack only</t>
  </si>
  <si>
    <t>Packmeal</t>
  </si>
  <si>
    <t>(For Office Use)</t>
  </si>
  <si>
    <t>Expanded Envelope long yellow</t>
  </si>
  <si>
    <t>Sticky Note 3x3</t>
  </si>
  <si>
    <t>Highlighter</t>
  </si>
  <si>
    <t>Ordinary Bondpaper short</t>
  </si>
  <si>
    <t>Ordinary Bondpaper long</t>
  </si>
  <si>
    <t>Glue</t>
  </si>
  <si>
    <t>Logbook 300 pages</t>
  </si>
  <si>
    <t>Scissors</t>
  </si>
  <si>
    <t>Magazine Filer</t>
  </si>
  <si>
    <t>Envelope short</t>
  </si>
  <si>
    <t>Envelope long</t>
  </si>
  <si>
    <t>Ballpen (black)</t>
  </si>
  <si>
    <t>Pencil</t>
  </si>
  <si>
    <t>Mailing envelope</t>
  </si>
  <si>
    <t>Detergent powder</t>
  </si>
  <si>
    <t>Multi-purpose cleaner</t>
  </si>
  <si>
    <t>Fabric conditioner</t>
  </si>
  <si>
    <t>Glass cleaner</t>
  </si>
  <si>
    <t>100 pcs</t>
  </si>
  <si>
    <t>50 pcs</t>
  </si>
  <si>
    <t>50 reams</t>
  </si>
  <si>
    <t>9 pcs</t>
  </si>
  <si>
    <t>20 pcs</t>
  </si>
  <si>
    <t>13 pcs</t>
  </si>
  <si>
    <t>99 pcs</t>
  </si>
  <si>
    <t>20 boxes</t>
  </si>
  <si>
    <t>15 dozens</t>
  </si>
  <si>
    <t>15 btls</t>
  </si>
  <si>
    <t>8 dozens</t>
  </si>
  <si>
    <t>12 btls</t>
  </si>
  <si>
    <t>1. Extraordinary and Miscellaneous Expenses</t>
  </si>
  <si>
    <t>Snacks</t>
  </si>
  <si>
    <t>600 pax</t>
  </si>
  <si>
    <t>940 pax</t>
  </si>
  <si>
    <t>204 pax</t>
  </si>
  <si>
    <t>Multi-Sectoral and Multi-Level Consultative Program on Peace and Development</t>
  </si>
  <si>
    <t>Repair and Maintenance of Public</t>
  </si>
  <si>
    <t>Building and Parks</t>
  </si>
  <si>
    <t>5 meters led 12v white led strip light</t>
  </si>
  <si>
    <t>4pcs 10.6w / 54.02w led L900</t>
  </si>
  <si>
    <t>1pc square ceiling light led 9w 4x4</t>
  </si>
  <si>
    <t>5-02-13-040-01</t>
  </si>
  <si>
    <t>1 pc Car Fan Ventilator</t>
  </si>
  <si>
    <t>(Supply and Installation)</t>
  </si>
  <si>
    <t>1.Office Supplies</t>
  </si>
  <si>
    <t>1. Repair and Maintenance - Building</t>
  </si>
  <si>
    <t>1/2Ø x 4 mtr PPR pipe</t>
  </si>
  <si>
    <t>1/2Ø PPR elbow</t>
  </si>
  <si>
    <t>1/2Ø female elbow</t>
  </si>
  <si>
    <t>1/2Ø PPR tee</t>
  </si>
  <si>
    <t>Buildings and Parks</t>
  </si>
  <si>
    <t>1/2Ø P.E elbow</t>
  </si>
  <si>
    <t>1/2Ø PPR female tee</t>
  </si>
  <si>
    <t>PPR welding machine (pipe heater)</t>
  </si>
  <si>
    <t>Teflon tape</t>
  </si>
  <si>
    <t>Flushdown water closet with complete accessories</t>
  </si>
  <si>
    <t>Porcelain urinal bowl with complete accessories</t>
  </si>
  <si>
    <t>PVC P-trap no. 2 with plug</t>
  </si>
  <si>
    <t>2Øx3 mtr PVC pipe (series 1000)</t>
  </si>
  <si>
    <t>PVC solvent cement</t>
  </si>
  <si>
    <t xml:space="preserve">Hinges (bisagra) (small) </t>
  </si>
  <si>
    <t>Silicone gun</t>
  </si>
  <si>
    <t>Concrete diamond cutter</t>
  </si>
  <si>
    <t>Electrical Tape 3m</t>
  </si>
  <si>
    <t>Cutting disc</t>
  </si>
  <si>
    <t>#13 Welding rod</t>
  </si>
  <si>
    <t>Brass ball valve 1/2</t>
  </si>
  <si>
    <t>PE male adaptor 1/2</t>
  </si>
  <si>
    <t>PVC Pipe 3/4 orange</t>
  </si>
  <si>
    <t>Coupling 1/2</t>
  </si>
  <si>
    <t>Nipple 1/2 x 2</t>
  </si>
  <si>
    <t>Gooseneck Faucet</t>
  </si>
  <si>
    <t>Flexibond</t>
  </si>
  <si>
    <t xml:space="preserve">Sahara </t>
  </si>
  <si>
    <t>End Cup PVC #4</t>
  </si>
  <si>
    <t>35 pc</t>
  </si>
  <si>
    <t>80 pc</t>
  </si>
  <si>
    <t>30 pc</t>
  </si>
  <si>
    <t>20 pc</t>
  </si>
  <si>
    <t>15 pc</t>
  </si>
  <si>
    <t>1 set</t>
  </si>
  <si>
    <t>5 pc</t>
  </si>
  <si>
    <t>2 set</t>
  </si>
  <si>
    <t>3 set</t>
  </si>
  <si>
    <t>1 length</t>
  </si>
  <si>
    <t>1 can</t>
  </si>
  <si>
    <t>4 pcs</t>
  </si>
  <si>
    <t xml:space="preserve">1 pc  </t>
  </si>
  <si>
    <t>2 pcs</t>
  </si>
  <si>
    <t>3 kl</t>
  </si>
  <si>
    <t>1/2 pc</t>
  </si>
  <si>
    <t>1 pc</t>
  </si>
  <si>
    <t>3 length</t>
  </si>
  <si>
    <t>8 pcs</t>
  </si>
  <si>
    <t>3 pcs</t>
  </si>
  <si>
    <t>1 gal</t>
  </si>
  <si>
    <t>5 pcs</t>
  </si>
  <si>
    <t>1 Meal only</t>
  </si>
  <si>
    <t>Meals and snacks (1 meal 2 snacks)</t>
  </si>
  <si>
    <t>Support to Local Government</t>
  </si>
  <si>
    <t>1 Snack only</t>
  </si>
  <si>
    <t>Unit Development Undertakings</t>
  </si>
  <si>
    <t>1999Z4B</t>
  </si>
  <si>
    <t>Steering pump assy.</t>
  </si>
  <si>
    <t xml:space="preserve">1 pc </t>
  </si>
  <si>
    <t>Steering rack and pinion assy.</t>
  </si>
  <si>
    <t>steering coupling</t>
  </si>
  <si>
    <t>ATF</t>
  </si>
  <si>
    <t xml:space="preserve">1 liter </t>
  </si>
  <si>
    <t>1 JO</t>
  </si>
  <si>
    <t>Pull out and replace water pump assy.</t>
  </si>
  <si>
    <t>pull out and replace rack and pinion assy.</t>
  </si>
  <si>
    <t xml:space="preserve">1 JO </t>
  </si>
  <si>
    <t>Wheel alignment</t>
  </si>
  <si>
    <t>clutch master assy.</t>
  </si>
  <si>
    <t>Injector nozzle</t>
  </si>
  <si>
    <t xml:space="preserve">4 pc </t>
  </si>
  <si>
    <t>Injector repair and calibration</t>
  </si>
  <si>
    <t>pressure pump calibration/rebuild</t>
  </si>
  <si>
    <t>repgoram injector and pressure pump</t>
  </si>
  <si>
    <t>pull down and installation of fuel tank</t>
  </si>
  <si>
    <t>1 BOT</t>
  </si>
  <si>
    <t xml:space="preserve"> brake cleaner</t>
  </si>
  <si>
    <t>coolant</t>
  </si>
  <si>
    <t>Turbo hose</t>
  </si>
  <si>
    <t>8 Liters</t>
  </si>
  <si>
    <t>2 Sets</t>
  </si>
  <si>
    <t xml:space="preserve">10 pcs </t>
  </si>
  <si>
    <t>Perform heavy PMS (turbo cleaning, EGR cleaning turbo inter cooler cleaning , turbo hose cleaning (in and out), intake manifold cleaning, exhaust manifold cleaning)</t>
  </si>
  <si>
    <t>Engine oil (15W-40)</t>
  </si>
  <si>
    <t>oil filter</t>
  </si>
  <si>
    <t>fuel filter</t>
  </si>
  <si>
    <t>Tires (tubeless) 205/70 R15</t>
  </si>
  <si>
    <t>Fan Belt</t>
  </si>
  <si>
    <t>perform engine change oil</t>
  </si>
  <si>
    <t>replace fuel filter (tune-up)</t>
  </si>
  <si>
    <t>Tires (tubeless) 215/70 R16</t>
  </si>
  <si>
    <t>Auto Detailing (exterior only)</t>
  </si>
  <si>
    <t>clearance light 24V</t>
  </si>
  <si>
    <t>Tires with inner tube and flaps , lug type (7.50 x 16)</t>
  </si>
  <si>
    <t>Tires with inner tube and flaps , miler type (7.50 x 16)</t>
  </si>
  <si>
    <t>Check up brakes and replace brake pad</t>
  </si>
  <si>
    <t>70 pax</t>
  </si>
  <si>
    <t>43 pax</t>
  </si>
  <si>
    <t>8 liters</t>
  </si>
  <si>
    <t xml:space="preserve">1  JO </t>
  </si>
  <si>
    <t xml:space="preserve">8 liters </t>
  </si>
  <si>
    <t xml:space="preserve">1 roll </t>
  </si>
  <si>
    <t>1 pcs</t>
  </si>
  <si>
    <t xml:space="preserve">10 liter </t>
  </si>
  <si>
    <t xml:space="preserve">2 sets </t>
  </si>
  <si>
    <t xml:space="preserve">1 set </t>
  </si>
  <si>
    <t xml:space="preserve">2 pcs </t>
  </si>
  <si>
    <t xml:space="preserve">16 pcs </t>
  </si>
  <si>
    <t xml:space="preserve">4 sets </t>
  </si>
  <si>
    <t>Engine oil (15W-40) synthetic</t>
  </si>
  <si>
    <t>Oil filter</t>
  </si>
  <si>
    <t>Ball joint  Lower</t>
  </si>
  <si>
    <t>Ball joint upper</t>
  </si>
  <si>
    <t>Engine change oil</t>
  </si>
  <si>
    <t>Wheel Alignment</t>
  </si>
  <si>
    <t>fuel- water separator filter</t>
  </si>
  <si>
    <t>Gear oil SAE90</t>
  </si>
  <si>
    <t>Horn 24V</t>
  </si>
  <si>
    <t>automotive wire no.16</t>
  </si>
  <si>
    <t>Horn relay 24V</t>
  </si>
  <si>
    <t>Fuse Holder</t>
  </si>
  <si>
    <t>hifting lever cable</t>
  </si>
  <si>
    <t>electrical tape (big)</t>
  </si>
  <si>
    <t>tires with inner tube and flaps, miler type (7.50x16)</t>
  </si>
  <si>
    <t>tires with inner tube and flaps, lug type (7.50x16)</t>
  </si>
  <si>
    <t>Hub assy., Front LH and RH</t>
  </si>
  <si>
    <t>brake drum</t>
  </si>
  <si>
    <t>hub bolt</t>
  </si>
  <si>
    <t>hub bearing front outer</t>
  </si>
  <si>
    <t>hub bearing front inner</t>
  </si>
  <si>
    <t>leaf spring assy., front LH and RH</t>
  </si>
  <si>
    <t>leaf Spring bushing with collar block</t>
  </si>
  <si>
    <t>leaf spring dumper, Front LH and RH</t>
  </si>
  <si>
    <t>leaf spring rubber dumper rear LH and RH</t>
  </si>
  <si>
    <t>grease gun</t>
  </si>
  <si>
    <t>shock absorber Front LH and RH</t>
  </si>
  <si>
    <t>oil seal, hub rear</t>
  </si>
  <si>
    <t>king pin kit</t>
  </si>
  <si>
    <t>430 pax</t>
  </si>
  <si>
    <t>Other Locally Funded CY 2026</t>
  </si>
  <si>
    <t>Other locally Funded PPAs CY 2026</t>
  </si>
  <si>
    <t>Market scoping</t>
  </si>
  <si>
    <t>Unit Development Undertaking</t>
  </si>
  <si>
    <t>12 pcs</t>
  </si>
  <si>
    <t>monoblock chairs</t>
  </si>
  <si>
    <t>1 unit</t>
  </si>
  <si>
    <t>portable speaker</t>
  </si>
  <si>
    <t>aircon (2hp split type)</t>
  </si>
  <si>
    <t>solar lights</t>
  </si>
  <si>
    <t>hose (2 inches)</t>
  </si>
  <si>
    <t xml:space="preserve">7pcs </t>
  </si>
  <si>
    <t>hose (1/2 inches)</t>
  </si>
  <si>
    <t>hose (1 inches)</t>
  </si>
  <si>
    <t>10 pcs</t>
  </si>
  <si>
    <t>3 gallons</t>
  </si>
  <si>
    <t>paint white and  choclate brown</t>
  </si>
  <si>
    <t xml:space="preserve">1 pair </t>
  </si>
  <si>
    <t>with basketball board with ring</t>
  </si>
  <si>
    <t>1. Other Supplies Expenses</t>
  </si>
  <si>
    <t>Printer Epson (3210)</t>
  </si>
  <si>
    <t>Unit</t>
  </si>
  <si>
    <t>Brother Printer (DCPT730DW)</t>
  </si>
  <si>
    <t>Special Outreach for Gender and</t>
  </si>
  <si>
    <t>Development</t>
  </si>
  <si>
    <t>7999C</t>
  </si>
  <si>
    <t>1. Supply and Delivery of Food Supplies</t>
  </si>
  <si>
    <t>Competetive Bidding</t>
  </si>
  <si>
    <t>Other Locally Funded PPAs CY 2026</t>
  </si>
  <si>
    <t>Crime Prevention and Law</t>
  </si>
  <si>
    <t>Enforcement Intensification</t>
  </si>
  <si>
    <t>Program</t>
  </si>
  <si>
    <t>1999A</t>
  </si>
  <si>
    <t xml:space="preserve">2,223 sacks </t>
  </si>
  <si>
    <t>160 milled rice (25 kls)</t>
  </si>
  <si>
    <t>5-02-99-990</t>
  </si>
  <si>
    <t>35 pax</t>
  </si>
  <si>
    <t>40 pax</t>
  </si>
  <si>
    <t>training and licensing</t>
  </si>
  <si>
    <t>meals and snacks</t>
  </si>
  <si>
    <t>5-02-99-050-01</t>
  </si>
  <si>
    <t>printer 3in1 compact</t>
  </si>
  <si>
    <t>computer (core i7 processor)</t>
  </si>
  <si>
    <t>cubicle table with chair</t>
  </si>
  <si>
    <t>300 pax</t>
  </si>
  <si>
    <t>470 pax</t>
  </si>
  <si>
    <t>1. Subsidy to Local Government Units</t>
  </si>
  <si>
    <t>5-02-14-030-01</t>
  </si>
  <si>
    <t>Provincial Aids to barangay</t>
  </si>
  <si>
    <t>1011-D</t>
  </si>
  <si>
    <t xml:space="preserve"> diesel</t>
  </si>
  <si>
    <t>4,845.90 ltrs</t>
  </si>
  <si>
    <t>oil 20 W 40</t>
  </si>
  <si>
    <t xml:space="preserve">26.50 ltrs </t>
  </si>
  <si>
    <t>grease</t>
  </si>
  <si>
    <t xml:space="preserve">7.80 ltrs </t>
  </si>
  <si>
    <t>brake fluid</t>
  </si>
  <si>
    <t xml:space="preserve">4.10 ltrs </t>
  </si>
  <si>
    <t>630 pax</t>
  </si>
  <si>
    <t>387 pax</t>
  </si>
  <si>
    <t>Accelerated Social Intervention</t>
  </si>
  <si>
    <t>1999Z2</t>
  </si>
  <si>
    <t>200 pax</t>
  </si>
  <si>
    <t>160 pax</t>
  </si>
  <si>
    <t>2,223 sacks</t>
  </si>
  <si>
    <t>1.Other Maintenance and Operating Expenses</t>
  </si>
  <si>
    <t>Direct Acquisition</t>
  </si>
  <si>
    <t>(Steel both rentals for 7 days)</t>
  </si>
  <si>
    <t>Support to Social-Cultural Activities</t>
  </si>
  <si>
    <t>Activieties</t>
  </si>
  <si>
    <t>1999Z9</t>
  </si>
  <si>
    <t xml:space="preserve"> fuel</t>
  </si>
  <si>
    <t>533 liters</t>
  </si>
  <si>
    <t>Honorarium of creative performance and mentors</t>
  </si>
  <si>
    <t>accomodation of exhibitor for seven (7) days</t>
  </si>
  <si>
    <t>30pax</t>
  </si>
  <si>
    <t>labor for 4 days (manpower for INALIMA)</t>
  </si>
  <si>
    <t xml:space="preserve">5 pax </t>
  </si>
  <si>
    <t>2. Extraordinary and Miscellaneous Expenses</t>
  </si>
  <si>
    <t>Support to Socio-Cultural</t>
  </si>
  <si>
    <t>Activities</t>
  </si>
  <si>
    <t>110 pax</t>
  </si>
  <si>
    <t>1999B</t>
  </si>
  <si>
    <t>Training and Licensing</t>
  </si>
  <si>
    <t>Meals and snacks</t>
  </si>
  <si>
    <t>Support to Peace and Order</t>
  </si>
  <si>
    <t>Operations and Monitoring</t>
  </si>
  <si>
    <t>and Evaluation</t>
  </si>
  <si>
    <t xml:space="preserve">                                              </t>
  </si>
  <si>
    <t>5-02-99-990-01</t>
  </si>
  <si>
    <t>25 pax</t>
  </si>
  <si>
    <t>150 pax</t>
  </si>
  <si>
    <t>280 pax</t>
  </si>
  <si>
    <t>170 pax</t>
  </si>
  <si>
    <t>2,223 sacks of 160 milled rice</t>
  </si>
  <si>
    <t>5-02-02-010</t>
  </si>
  <si>
    <t>1999UA</t>
  </si>
  <si>
    <t>1.Others Maintenance and Operating Expenses</t>
  </si>
  <si>
    <t>General Fund PPAs CY 2026</t>
  </si>
  <si>
    <t xml:space="preserve">Operationalization and </t>
  </si>
  <si>
    <t>Management of Tourism</t>
  </si>
  <si>
    <t>Facilities/ Governor's Mansion</t>
  </si>
  <si>
    <t>1pc drill bit 13mm</t>
  </si>
  <si>
    <t>2,223 scaks of milled rice</t>
  </si>
  <si>
    <t>Crisis Intervention Program</t>
  </si>
  <si>
    <t>1999Z1</t>
  </si>
  <si>
    <t>1999Z14</t>
  </si>
  <si>
    <t>ELCAC</t>
  </si>
  <si>
    <t>Supply and Delivery of Office Supplies</t>
  </si>
  <si>
    <t>Calculator MX-120B</t>
  </si>
  <si>
    <t>Puncher #H-881</t>
  </si>
  <si>
    <t>Flourescent Pad HBW</t>
  </si>
  <si>
    <t xml:space="preserve"> provincial flag 3x4ft with tassel (subli,double/back to back) Layout Design ( Job Order )</t>
  </si>
  <si>
    <t>Sticky Note 3x3 (set)</t>
  </si>
  <si>
    <t>Record Book 500p</t>
  </si>
  <si>
    <t>Spring Notebook</t>
  </si>
  <si>
    <t>Wired Mouse</t>
  </si>
  <si>
    <t>Scissors #8878</t>
  </si>
  <si>
    <t>Stapler</t>
  </si>
  <si>
    <t>Correction Tape</t>
  </si>
  <si>
    <t>Kraft Filer (A4)</t>
  </si>
  <si>
    <t>Kraft Filer (Long)</t>
  </si>
  <si>
    <t>Staple Wire</t>
  </si>
  <si>
    <t>Fastener</t>
  </si>
  <si>
    <t>Sign Pen (Black)</t>
  </si>
  <si>
    <t>Document Envelope (long)</t>
  </si>
  <si>
    <t>Mouse Pad</t>
  </si>
  <si>
    <t>Plastic Envelope with Holder</t>
  </si>
  <si>
    <t>15 packs</t>
  </si>
  <si>
    <t>2 bxs</t>
  </si>
  <si>
    <t>53 bxs</t>
  </si>
  <si>
    <t>1 lot</t>
  </si>
  <si>
    <t xml:space="preserve">Other Locally Funded PPAs </t>
  </si>
  <si>
    <t>Support to the Implementation  of Executive Order (EO) 70</t>
  </si>
  <si>
    <t>Uniform (Full Sublimation Polo Shirt - S-XL)</t>
  </si>
  <si>
    <t>For office use</t>
  </si>
  <si>
    <t>Ink 003 (Cyan)</t>
  </si>
  <si>
    <t>Ink 003 (Magenta)</t>
  </si>
  <si>
    <t>Ink 003 (Yellow)</t>
  </si>
  <si>
    <t>Ink 003 (A4)</t>
  </si>
  <si>
    <t>Bondpaper (A4)</t>
  </si>
  <si>
    <t>Sticky Notes</t>
  </si>
  <si>
    <t>Refill Sign Pen</t>
  </si>
  <si>
    <t>Envelope (long)</t>
  </si>
  <si>
    <t>Folder (long)</t>
  </si>
  <si>
    <t>Clearbook (long)</t>
  </si>
  <si>
    <t>Alcohol</t>
  </si>
  <si>
    <t>Paper Cup 50</t>
  </si>
  <si>
    <t>Tissue (12' rolls)</t>
  </si>
  <si>
    <t>Biscuit (Plastic container)</t>
  </si>
  <si>
    <t>Disinfectant Spray</t>
  </si>
  <si>
    <t>Coffee (Black 170g)</t>
  </si>
  <si>
    <t>Brown Sugar</t>
  </si>
  <si>
    <t>2 bottle</t>
  </si>
  <si>
    <t>1 box</t>
  </si>
  <si>
    <t>10 pads</t>
  </si>
  <si>
    <t>30 pcs</t>
  </si>
  <si>
    <t>2 gal</t>
  </si>
  <si>
    <t>2 packs</t>
  </si>
  <si>
    <t>1 bundle</t>
  </si>
  <si>
    <t>5 packs</t>
  </si>
  <si>
    <t>2 kg</t>
  </si>
  <si>
    <t>Apr-2026</t>
  </si>
  <si>
    <t>Electric Stand Fan</t>
  </si>
  <si>
    <t>Plate</t>
  </si>
  <si>
    <t>Bowl</t>
  </si>
  <si>
    <t>Coffee Mug</t>
  </si>
  <si>
    <t>Serving Platter</t>
  </si>
  <si>
    <t>Spoon</t>
  </si>
  <si>
    <t>Fork</t>
  </si>
  <si>
    <t>Extension Wire (Heavy Duty-roll Type)</t>
  </si>
  <si>
    <t>Wireless USB Mouse</t>
  </si>
  <si>
    <t>Rice Cooker</t>
  </si>
  <si>
    <t>1 doz</t>
  </si>
  <si>
    <t>6 pcs</t>
  </si>
  <si>
    <t>10 reams</t>
  </si>
  <si>
    <t>4 boxes</t>
  </si>
  <si>
    <t>10 boxes</t>
  </si>
  <si>
    <t>3 boxes</t>
  </si>
  <si>
    <t>2 reams</t>
  </si>
  <si>
    <t>5 boxes</t>
  </si>
  <si>
    <t xml:space="preserve"> 20 pcs</t>
  </si>
  <si>
    <t>4 pads</t>
  </si>
  <si>
    <t xml:space="preserve">3 box </t>
  </si>
  <si>
    <t>6 box</t>
  </si>
  <si>
    <t>sign pen black 0.5</t>
  </si>
  <si>
    <t>ballpen black</t>
  </si>
  <si>
    <t>stapler</t>
  </si>
  <si>
    <t>sticky note(small)</t>
  </si>
  <si>
    <t>staple wire no.35</t>
  </si>
  <si>
    <t>black ballpen (ordinary)</t>
  </si>
  <si>
    <t>long bond paper</t>
  </si>
  <si>
    <t>refill sign pen black 0.5</t>
  </si>
  <si>
    <t>fastener</t>
  </si>
  <si>
    <t>paper clip medium</t>
  </si>
  <si>
    <t>ballpen ordinary black</t>
  </si>
  <si>
    <t>post-it small rectangular size</t>
  </si>
  <si>
    <t>ink black for printer 664</t>
  </si>
  <si>
    <t>long brown envelope</t>
  </si>
  <si>
    <t>small binder clip</t>
  </si>
  <si>
    <t>sticky note (yellow 3x3)</t>
  </si>
  <si>
    <t>bond paper</t>
  </si>
  <si>
    <t>bond paper sub.16</t>
  </si>
  <si>
    <t>highlighter (yellow)</t>
  </si>
  <si>
    <t>highlighter (pink)</t>
  </si>
  <si>
    <t>medium binder clip</t>
  </si>
  <si>
    <t>large bindert clip</t>
  </si>
  <si>
    <t>puncher</t>
  </si>
  <si>
    <t>long folder</t>
  </si>
  <si>
    <t>A4 bond paper</t>
  </si>
  <si>
    <t>binder clip 15mm</t>
  </si>
  <si>
    <t>binder clip 19mm</t>
  </si>
  <si>
    <t>binder clip 25mm</t>
  </si>
  <si>
    <t>binder clip 41mm</t>
  </si>
  <si>
    <t>binder clip 51mm</t>
  </si>
  <si>
    <t>sticky note (yellow 3x2)</t>
  </si>
  <si>
    <t xml:space="preserve">Supply and Delivery for Catering services </t>
  </si>
  <si>
    <t>100 pax Catering</t>
  </si>
  <si>
    <t xml:space="preserve">direct </t>
  </si>
  <si>
    <t>Febraury 2026</t>
  </si>
  <si>
    <t>Feb.2026</t>
  </si>
  <si>
    <t>1st to 3rd qrtr.</t>
  </si>
  <si>
    <t>1999-000Z8</t>
  </si>
  <si>
    <t>Canvass;Market</t>
  </si>
  <si>
    <t>we will incur this expense</t>
  </si>
  <si>
    <t>for the use of training, seminars &amp; workshop</t>
  </si>
  <si>
    <t>services</t>
  </si>
  <si>
    <t>acquisition</t>
  </si>
  <si>
    <t xml:space="preserve">scoping, Activity </t>
  </si>
  <si>
    <t>for one year</t>
  </si>
  <si>
    <t>for the Livestock &amp; Poultry Program</t>
  </si>
  <si>
    <t>Design</t>
  </si>
  <si>
    <t xml:space="preserve">Other Locally Funded Project </t>
  </si>
  <si>
    <t>PVET</t>
  </si>
  <si>
    <t>199Z8</t>
  </si>
  <si>
    <t xml:space="preserve">Water Expenses for Safe drinking water </t>
  </si>
  <si>
    <t>750 btls.drinking water</t>
  </si>
  <si>
    <t>direct acquisition</t>
  </si>
  <si>
    <t>1st to 2nd qrtr.</t>
  </si>
  <si>
    <t>Canvass;Market scooping</t>
  </si>
  <si>
    <t>5-02-04-010</t>
  </si>
  <si>
    <t>Supply and Delivery of Construction Materials</t>
  </si>
  <si>
    <t>6 pcs. Hardiflex</t>
  </si>
  <si>
    <t>March 2026</t>
  </si>
  <si>
    <t>for repair of the veterinary office</t>
  </si>
  <si>
    <t>10 pcs. Metal Furring</t>
  </si>
  <si>
    <t>scoping</t>
  </si>
  <si>
    <t>15 gals.Paint(latex/Emulsion standard)</t>
  </si>
  <si>
    <t>6 pcs. Brushes</t>
  </si>
  <si>
    <t>6 pcs. Paint Rollers</t>
  </si>
  <si>
    <t>5 pax labor</t>
  </si>
  <si>
    <t xml:space="preserve">Supply and Delivery of Spare Parts for the </t>
  </si>
  <si>
    <t>2 units Battery</t>
  </si>
  <si>
    <t>Small Value</t>
  </si>
  <si>
    <t>Repair of a Mitsubishi Pick-up (1001-288-607)</t>
  </si>
  <si>
    <t>1 set Brake pad</t>
  </si>
  <si>
    <t>Procurement</t>
  </si>
  <si>
    <t>5-02-13-060</t>
  </si>
  <si>
    <t>1 set Brake show</t>
  </si>
  <si>
    <t>6 pcs. Oil Filter</t>
  </si>
  <si>
    <t>6 pcs. Fuel Filter</t>
  </si>
  <si>
    <t>7 liters Engine Oil</t>
  </si>
  <si>
    <t>5 Liters A.T. Fluid</t>
  </si>
  <si>
    <t>2 units Tire(265x65 R17 rear)</t>
  </si>
  <si>
    <t>Supply and Delivery of various supplies</t>
  </si>
  <si>
    <t xml:space="preserve">Please see the </t>
  </si>
  <si>
    <t>5-02-03-010</t>
  </si>
  <si>
    <t xml:space="preserve"> for the use of Veterinary Office</t>
  </si>
  <si>
    <t>attached documents</t>
  </si>
  <si>
    <t>Supply of Fuel for the Veterinary Office Vehicle</t>
  </si>
  <si>
    <t>Diesel-3,770.49 ltrs.</t>
  </si>
  <si>
    <t>1st to 4th qrtr.</t>
  </si>
  <si>
    <t>Gasoline-317.46 ltrs.</t>
  </si>
  <si>
    <t>5-02-03-090</t>
  </si>
  <si>
    <t>Supply and delivery  of  other supplies expenses</t>
  </si>
  <si>
    <t>Pls.see the attached docs.</t>
  </si>
  <si>
    <t>Canvass;Market scoping</t>
  </si>
  <si>
    <t>Awards and Rewards for Livestock Program</t>
  </si>
  <si>
    <t>5-02-06-010</t>
  </si>
  <si>
    <t>AWARDS AND REWARDS FOR LIVESTOCK PROGRAM
5-02-06-010</t>
  </si>
  <si>
    <t xml:space="preserve">Supply and Delivery of Drugs and Biologics for </t>
  </si>
  <si>
    <t xml:space="preserve">Goods </t>
  </si>
  <si>
    <t>the Veterinary Office</t>
  </si>
  <si>
    <t>5-02-03-070</t>
  </si>
  <si>
    <t>AGRICULTURAL SUPPLIES
5-02-03-100</t>
  </si>
  <si>
    <t xml:space="preserve">Supply and Delivery of Agricultural Supplies  </t>
  </si>
  <si>
    <t>5-02-03-100</t>
  </si>
  <si>
    <t>for the Provincial Livestock and Poultry</t>
  </si>
  <si>
    <t>Breeding Center,Magay, DMM,Mati</t>
  </si>
  <si>
    <t xml:space="preserve">Supply and Delivery for the Veterinary Office </t>
  </si>
  <si>
    <t xml:space="preserve">charged to other maintenance and operating </t>
  </si>
  <si>
    <t>expenses</t>
  </si>
  <si>
    <t>Other Locally Fund</t>
  </si>
  <si>
    <t>1999-Z4A</t>
  </si>
  <si>
    <t>PEO</t>
  </si>
  <si>
    <t>Direct Retail Purchase / Small Value Procurement</t>
  </si>
  <si>
    <t>January 2026</t>
  </si>
  <si>
    <t>June 2026</t>
  </si>
  <si>
    <t>Jan - June 2026</t>
  </si>
  <si>
    <t>market scoping thru canvass/ price quotation/POW</t>
  </si>
  <si>
    <t>Supply and Delivery of Various Fuel, Oil &amp; Lubricants to be used for transportation &amp; maintining of equipments</t>
  </si>
  <si>
    <t>PRINTING PUBLICATION</t>
  </si>
  <si>
    <t>Goods and Services</t>
  </si>
  <si>
    <t>market scoping thru canvass/ price quotation</t>
  </si>
  <si>
    <t>OTHER MAINTENANCE AND OPERATING EXPENSES</t>
  </si>
  <si>
    <t>Small Value Procurement</t>
  </si>
  <si>
    <t>market scoping</t>
  </si>
  <si>
    <t xml:space="preserve">Goods
meal and snack </t>
  </si>
  <si>
    <t xml:space="preserve">market scoping </t>
  </si>
  <si>
    <t>Procurement of various Laptop, Photocopier, Printer &amp; etc.</t>
  </si>
  <si>
    <t>SUPPLY OF OILS AND LUBRICANTS</t>
  </si>
  <si>
    <t>Direct Retail Purchase</t>
  </si>
  <si>
    <t>SUPPLY OF TIRES</t>
  </si>
  <si>
    <t>SUPPLY OF FILTERS</t>
  </si>
  <si>
    <t>SUPPLY OF SPARE PARTS (FAST MOVING PARTS, MACHINING JOBS AND OTHER UNFORSEEN CONTINGENCY)</t>
  </si>
  <si>
    <t>Competitive Bidding / Small Value Procurement</t>
  </si>
  <si>
    <t>SUPPLY OF BATTERIES</t>
  </si>
  <si>
    <t>Procurement of Office machinery &amp; equipment</t>
  </si>
  <si>
    <t>small value procurement</t>
  </si>
  <si>
    <t>February 2026</t>
  </si>
  <si>
    <t>Other Locally/ General Fund 1999-Z4A</t>
  </si>
  <si>
    <t>Desktop Computer</t>
  </si>
  <si>
    <t>Intel Core i7 (14th Gen) at 2.1GHz processor,
16gb ram, 1TB SSD, 24" Monitor, 650VA UPS, Keyboard &amp; Mouse, with Licensed OS and Office) or equivalent</t>
  </si>
  <si>
    <t>Laptop Computer</t>
  </si>
  <si>
    <t>AMD Ryzen 9 8940HX Processor 2.4Ghz, NVIDIA GeForce RTX 5060 GPU, 16" Display, 16GB RAM, 1TB SSD, Windows 11 64-bit/Office 2024)</t>
  </si>
  <si>
    <t>Large Format Printer (Plotter)</t>
  </si>
  <si>
    <t>36" width, PrecisionCore TFP Printhead 1.3", 3200 nozzles, 2400x1200 dpi resolution, 22 sec. Printspeed, UltraChrome XD2 Pigment Ink, 4.3" Touch Screen, Document Scanner, 1GB Memory)</t>
  </si>
  <si>
    <t>A3 WI-FI ALL-IN-ONE INKTANK PRINTER</t>
  </si>
  <si>
    <t>Printing Technology: PrecisionCore Printhead with DURABrite ET Pigment Inks (Black, Cyan, Magenta, Yellow)</t>
  </si>
  <si>
    <t>Max Resolution: 4800 x 2400 dpi</t>
  </si>
  <si>
    <t>Print Speed (ISO): Up to 25 ipm (Black) / 12 ipm (Color)</t>
  </si>
  <si>
    <t>Duplex Print Speed: Up to 16 ipm (Black) / 9 ipm (Color)</t>
  </si>
  <si>
    <t>Maximum Print Size: A3+ (Simplex), A3 (Automatic Duplex)</t>
  </si>
  <si>
    <t>Scanner Type: Flatbed color image scanner with 50-sheet Automatic Document Feeder (ADF)</t>
  </si>
  <si>
    <t>Scan Resolution: 1200 x 2400 dpi Optical</t>
  </si>
  <si>
    <t>Copy Size: Up to A3 size</t>
  </si>
  <si>
    <t>Input Capacity: 550 sheets total (2x 250-sheet front cassettes + 50-sheet rear tray)</t>
  </si>
  <si>
    <t>ADF Capacity: Up to 50 sheets</t>
  </si>
  <si>
    <t>Output Tray Capacity: 125 sheets</t>
  </si>
  <si>
    <t>Interfaces: USB 2.0, Ethernet, Wi-Fi, and Wi-Fi Direct</t>
  </si>
  <si>
    <t>Display: 4.3-inch color LCD touchscreen</t>
  </si>
  <si>
    <t>Black Ink: Up to 7,500 pages</t>
  </si>
  <si>
    <t>Color Ink (Cyan, Magenta, Yellow): Up to 6,000 pages</t>
  </si>
  <si>
    <t>Repair and Maintenance (IT, Office &amp; Survey Equipments)</t>
  </si>
  <si>
    <t>Small Value Procurement (SVP)</t>
  </si>
  <si>
    <t>April 2026</t>
  </si>
  <si>
    <t>Jun 2026</t>
  </si>
  <si>
    <t>For daily office operations</t>
  </si>
  <si>
    <t>(2nd Quarter)</t>
  </si>
  <si>
    <t xml:space="preserve">Desktop Computer </t>
  </si>
  <si>
    <t>(Core i5, 8GB RAM, 1TB SSD, 650VA UPS, 23.8" LED Display, Keyboard &amp; Mouse)</t>
  </si>
  <si>
    <t xml:space="preserve">All-in-One Ink Tank Printer </t>
  </si>
  <si>
    <t>(compact, durable &amp; ecological design, replaceabl maintenance box, print speed up to 33.0 ppm (black) &amp; 20.0 ppm (colour)</t>
  </si>
  <si>
    <t>Geotagging Device (Smartphone)</t>
  </si>
  <si>
    <t>(6.7" FHD+ Super Amoled Display, 4x Cortex-A78 @ 2.4 GHz + 4x Cortex-A55 @ 2.0 GHz Exynos 1380 Octa-Core processor, 8GB RAM + 256GB storage, 50MP main rear camera with OIS 8MP ultrawide and 2MP macro, 6 OS upgrades, 5000mAh battery capacity)</t>
  </si>
  <si>
    <t>Brother Ink Black ( BT-D60-BK)</t>
  </si>
  <si>
    <t>Brother Ink Cyan (BT5000)</t>
  </si>
  <si>
    <t>Brother Ink Magenta (BT5000)</t>
  </si>
  <si>
    <t>Brother Ink Yellow (BT5000)</t>
  </si>
  <si>
    <t>Epson Ink Black 127ml (001)</t>
  </si>
  <si>
    <t>Epson Ink Cyan 70ml (001)</t>
  </si>
  <si>
    <t>Epson Ink Yellow 70ml (001)</t>
  </si>
  <si>
    <t>Epson Ink Magenta 70ml (001)</t>
  </si>
  <si>
    <t>Epson Ink Black (003)</t>
  </si>
  <si>
    <t>Epson Ink Cyan (003)</t>
  </si>
  <si>
    <t>Epson Ink Yellow (003)</t>
  </si>
  <si>
    <t>Epson Ink Magenta (003)</t>
  </si>
  <si>
    <t>Epson Ink Black 127ml (008)</t>
  </si>
  <si>
    <t>Epson Ink Cyan 70ml (008)</t>
  </si>
  <si>
    <t>Epson Ink Yellow 70ml (008)</t>
  </si>
  <si>
    <t>Epson Ink Magenta 70ml (008)</t>
  </si>
  <si>
    <t>Epson Ink Black (T664)</t>
  </si>
  <si>
    <t>Epson Ink Cyan (T664)</t>
  </si>
  <si>
    <t>Epson Ink Yellow (T664)</t>
  </si>
  <si>
    <t>Epson Ink Magenta (T664)</t>
  </si>
  <si>
    <t>Book Paper Short, 70 gsm</t>
  </si>
  <si>
    <t>Book Paper A4 70 gsm</t>
  </si>
  <si>
    <t>Book Paper, Long 70 gsm</t>
  </si>
  <si>
    <t>small value procurement (SVP)</t>
  </si>
  <si>
    <t>(1st Quarter)</t>
  </si>
  <si>
    <t>(Core i5 @ 2.5 Ghz processor, NVIDIA Gforce RTX 3050 GPU 4GB GDDR6, 15.6" Display, 8GB RAM, 500GB SSD, free carrying Case/Backpack)</t>
  </si>
  <si>
    <t>Folder, long (brown/green)</t>
  </si>
  <si>
    <t>Carbon paper Long black 50gsm (100 pcs/box)</t>
  </si>
  <si>
    <t>Capital Outlay</t>
  </si>
  <si>
    <t>Supply and Delivery of One (1) Camera Lens  for official documentation of  (PYDO) programs, activities, and events.</t>
  </si>
  <si>
    <t>General Fund Current Appropriation (7999W)</t>
  </si>
  <si>
    <t>Market scoping thru canvass/ price quotation</t>
  </si>
  <si>
    <t>7999W</t>
  </si>
  <si>
    <t>PYDO</t>
  </si>
  <si>
    <t xml:space="preserve">Camera lens (Canon EF-S 55-250mm f/4-5.6 IS STM Telephoto Zoom Lens, compatible with Canon EOS 3000D DSLR Camera, with Optical Image Stabilizer (IS), STM autofocus, 58 mm filter thread, brand new, original or OEM-authorized.)
</t>
  </si>
  <si>
    <t>Travelling Expenses</t>
  </si>
  <si>
    <t>Goods/Services</t>
  </si>
  <si>
    <t>General Fund Current Appropriation</t>
  </si>
  <si>
    <t>Training Expenses</t>
  </si>
  <si>
    <t xml:space="preserve">Catering services /Venue rental/Accommodation </t>
  </si>
  <si>
    <t>E ASK PA DAWW MI TE STELLA KUNG NAA NA BA SILA GENFUND  KAY DATI GAD SILA</t>
  </si>
  <si>
    <t>Office Supplies</t>
  </si>
  <si>
    <t>Supply and Delivery of Office Supplies (1 Lot) for Office Use</t>
  </si>
  <si>
    <t>Ballpen (Black)</t>
  </si>
  <si>
    <t>bxs</t>
  </si>
  <si>
    <t>Ballpen (Blue)</t>
  </si>
  <si>
    <t>Book Paper (Long size, 70 gsm)</t>
  </si>
  <si>
    <t>reams</t>
  </si>
  <si>
    <t>Book Paper (A4, 70 gsm)</t>
  </si>
  <si>
    <t>Broom</t>
  </si>
  <si>
    <t>pcs</t>
  </si>
  <si>
    <t>Brown Envelope (Long size, 100/pack)</t>
  </si>
  <si>
    <t>pcks</t>
  </si>
  <si>
    <t>White Small Envelope (100/pack)</t>
  </si>
  <si>
    <t>Expanded Envelope (Long, Yellow)</t>
  </si>
  <si>
    <t>Expanded Envelope (Long, green)</t>
  </si>
  <si>
    <t>Folder (Legal Size)</t>
  </si>
  <si>
    <t>Glue (130 ml)</t>
  </si>
  <si>
    <t>bttls</t>
  </si>
  <si>
    <t>Paper Clips</t>
  </si>
  <si>
    <t>Pencil (Mongol 2)</t>
  </si>
  <si>
    <t>Pentel Pen</t>
  </si>
  <si>
    <t>Photo Paper (A4 size, 200 gsm)</t>
  </si>
  <si>
    <t>Record Book (500s)</t>
  </si>
  <si>
    <t>Rubbing Alcohol</t>
  </si>
  <si>
    <t>gallon</t>
  </si>
  <si>
    <t>Scotch Tape (1 inch)</t>
  </si>
  <si>
    <t>rolls</t>
  </si>
  <si>
    <t>Stamp pad</t>
  </si>
  <si>
    <t>Staple Wire No.35</t>
  </si>
  <si>
    <t>Sticker paper (Matte, white)</t>
  </si>
  <si>
    <t>Trash Bag (Black)</t>
  </si>
  <si>
    <t>Vellum (A4 size, for certificates)</t>
  </si>
  <si>
    <t>Cork Board (2ft x 3ft wall mounted)</t>
  </si>
  <si>
    <t>board</t>
  </si>
  <si>
    <t>Wet wipes</t>
  </si>
  <si>
    <t>Paper towel</t>
  </si>
  <si>
    <t>Air freshener (lavander, 320ml)</t>
  </si>
  <si>
    <t>Fabric Conditioner (1.5L)</t>
  </si>
  <si>
    <t>Diswashing Liquid (250ml)</t>
  </si>
  <si>
    <t>Coffe Stick (48 pcs/pcks)</t>
  </si>
  <si>
    <t>Sugar Sachet (5gm, 100pcs/pcks)</t>
  </si>
  <si>
    <t>Coffe Creamer Sachet (48pcs/pcks)</t>
  </si>
  <si>
    <t>Honey Butter Cracker (10pcs/pcks)</t>
  </si>
  <si>
    <t>bags</t>
  </si>
  <si>
    <t>Plain Cracker (850 g)</t>
  </si>
  <si>
    <t>Fuel, Oil, Lubricants</t>
  </si>
  <si>
    <t>Fuel</t>
  </si>
  <si>
    <t>Liters</t>
  </si>
  <si>
    <t>Water Expenses</t>
  </si>
  <si>
    <t>Distilled Water</t>
  </si>
  <si>
    <t>Galons</t>
  </si>
  <si>
    <t>WATER EXPENSES</t>
  </si>
  <si>
    <t>Internet Subscription Expenses</t>
  </si>
  <si>
    <t>Services</t>
  </si>
  <si>
    <t>Extraordinary and Miscellaneous</t>
  </si>
  <si>
    <t>Catering Services</t>
  </si>
  <si>
    <t>packs</t>
  </si>
  <si>
    <t>Accomodation</t>
  </si>
  <si>
    <t>heads</t>
  </si>
  <si>
    <t>Subsidy for PYAP Fed. President</t>
  </si>
  <si>
    <t>Contingency</t>
  </si>
  <si>
    <t>General Services</t>
  </si>
  <si>
    <t>GENERAL SERVICES</t>
  </si>
  <si>
    <t>Repair &amp; Maintenance -ICT Equipment</t>
  </si>
  <si>
    <t>Donations</t>
  </si>
  <si>
    <t>OMOE</t>
  </si>
  <si>
    <t>Supply and Delivery 1 Unit Laptop for Administrative work</t>
  </si>
  <si>
    <t>Polo Shirts</t>
  </si>
  <si>
    <t>Meals &amp; Snacks</t>
  </si>
  <si>
    <t>E ASK SA NI KAY BASIN NAG DOBLE</t>
  </si>
  <si>
    <t>OTHER MAINTENANCE AND OPERATNG EXPENSES                              5-02-99-990</t>
  </si>
  <si>
    <t>GOODS</t>
  </si>
  <si>
    <t>GAD FUND</t>
  </si>
  <si>
    <t>ORIENTATION ON NEW PIDSR IS AND RHIS INDICATORS</t>
  </si>
  <si>
    <t>3 MEALS AND 2 SNACKS W/ ACCOMMODATION X 2DAYS</t>
  </si>
  <si>
    <t>PAX</t>
  </si>
  <si>
    <t>NO</t>
  </si>
  <si>
    <t>December
2026</t>
  </si>
  <si>
    <t>March-December 2026</t>
  </si>
  <si>
    <t>SUPPORT TO BREAST FEEDING MONTH</t>
  </si>
  <si>
    <t>ADVOCACY SHIRT</t>
  </si>
  <si>
    <t>PROVINCIAL CONSULTATIVE MEETING DISCUSSION  &amp; STAKEHOLDERS FORUM ON AEDES-BORNE VIRAL DIASES</t>
  </si>
  <si>
    <t xml:space="preserve">MEALS AND SNACKS W/ ACCOMMODATION </t>
  </si>
  <si>
    <t>GAD. FUND</t>
  </si>
  <si>
    <t>COORDINATION SESSION FOR THE INGRETED HELMINTH CONTROL PROGRAM</t>
  </si>
  <si>
    <t xml:space="preserve">MEALS AND SNACKS W/ ACCOMMODATION X </t>
  </si>
  <si>
    <t>COORDINATION MEETING ON WATER SAFETY PLAN</t>
  </si>
  <si>
    <t>1 Meal and 2 Snacks</t>
  </si>
  <si>
    <t>TRAINING ON FUNDAMENTAL OF WASH IN EMERGENCIES (BASIC INCIDENT COMMAND SYSTEM)</t>
  </si>
  <si>
    <t>HONORARIUM (3DAYS)</t>
  </si>
  <si>
    <t xml:space="preserve">Resource Speaker </t>
  </si>
  <si>
    <t>TRAINING WORKSHOP ON THE FORMULATION OF WATER SAFETY PLAN</t>
  </si>
  <si>
    <t xml:space="preserve">3 MEALS &amp; 2 SNACKS W/ ACCOMMODATION </t>
  </si>
  <si>
    <t xml:space="preserve">2 MEALS &amp; 2 SNACKS </t>
  </si>
  <si>
    <t>WATER SAFETY PLAN CORE TEAM MEETING</t>
  </si>
  <si>
    <t>CONDUCT ORAL EXAMINATION FOR CHILDREN AGES 1-6YEARS OLD</t>
  </si>
  <si>
    <t>GLOVES , MASK &amp; BASIC INSTRUMENT</t>
  </si>
  <si>
    <t>MENTAL HEALTH AWARENESS  TALK FOR NEW  EMPLOYEES</t>
  </si>
  <si>
    <t xml:space="preserve">1 MEAL AND 2 SNACKS </t>
  </si>
  <si>
    <t>MONTHLY SELAH ACTIVITIES</t>
  </si>
  <si>
    <t>SNACKS</t>
  </si>
  <si>
    <t xml:space="preserve">REPRODUCTION OF IEC MATERIALS FOR MONTHLY HEALTH EVENTS </t>
  </si>
  <si>
    <t>TARPAULIN/  PLAQUE</t>
  </si>
  <si>
    <t>PCS</t>
  </si>
  <si>
    <t>IHOMIS+EMR  TRAINING AND CAPACITY BUILDING  FOR ALL  GOVERNMENT HOSPITALS IN THE PROVINCE</t>
  </si>
  <si>
    <t>WORLD TOILET DAY CELEBRATION/ SANITATION SUMMIT</t>
  </si>
  <si>
    <t>PLAQUE</t>
  </si>
  <si>
    <t>7999P</t>
  </si>
  <si>
    <t>NUTRITION</t>
  </si>
  <si>
    <t xml:space="preserve">DRUGS AND MEDICINES </t>
  </si>
  <si>
    <t>Calcium Carbonate (equiv, to 500 mg
elemental calcium) tablet 100per box</t>
  </si>
  <si>
    <t xml:space="preserve">Alcohol </t>
  </si>
  <si>
    <t>Cotton (400g)</t>
  </si>
  <si>
    <t>Multivitamins Capsule (100 per Box)</t>
  </si>
  <si>
    <t>Losartan 50mg (100 tab per box)</t>
  </si>
  <si>
    <t>Losartan 100mg (100 tab per box)</t>
  </si>
  <si>
    <t>Amlodipine 5mg/tab (100 per box)</t>
  </si>
  <si>
    <t>Amlodipine 10mg/tab (100 per box)</t>
  </si>
  <si>
    <t>Metfomin 500mg/tab (100 per box)</t>
  </si>
  <si>
    <t>Cetirizine 5mg/tab (100per box)</t>
  </si>
  <si>
    <t>Doxycycline 100mg/cap (100per box)</t>
  </si>
  <si>
    <t>Mefenamic Acid  500mg/Capsule (100per box)</t>
  </si>
  <si>
    <t>Vitamin B Complex (100 per box)</t>
  </si>
  <si>
    <t>Celecoxib 200mg/Capsule (100 per Box)</t>
  </si>
  <si>
    <t>Paracetamol  250mg/ 60ML</t>
  </si>
  <si>
    <t>Paracetamol  125mg/ 60ML</t>
  </si>
  <si>
    <t>Paracetamol 500mg/tab (100per box)</t>
  </si>
  <si>
    <t>Lagundi 300mg/ML</t>
  </si>
  <si>
    <t>Ranitidine 150mg/ML</t>
  </si>
  <si>
    <t xml:space="preserve">Multivitamins Syrup + Iron/ ML </t>
  </si>
  <si>
    <t>Captopril 25mg/ tab (100per Box)</t>
  </si>
  <si>
    <t>NS1 Kits</t>
  </si>
  <si>
    <t>Albendazole 400mg/tab. (100per Box)</t>
  </si>
  <si>
    <t>Vaccine, Rabies Chick Embryo Cell 2.5 IU
Powder for Injection Vial + 1 mL Diluent
(Purified, Inactivated)</t>
  </si>
  <si>
    <t>7999I</t>
  </si>
  <si>
    <t>Training and Seminar - 5-02-02-010</t>
  </si>
  <si>
    <t>CONDUCT TRAINING ON MATERNAL  NEONATAL  AND INFANT DEATH  REPORTING SYSTEM  (MNIDRS)</t>
  </si>
  <si>
    <t>3 Meals and 2 Snacks W/ ACCOMMODATION  X 2 DAYS</t>
  </si>
  <si>
    <t>April-December2026</t>
  </si>
  <si>
    <t xml:space="preserve">CONDUCT BUNTIS CONGRESS </t>
  </si>
  <si>
    <t>March-June 2026</t>
  </si>
  <si>
    <t>CONDUCT MATERNAL DEATH REVIEW</t>
  </si>
  <si>
    <t xml:space="preserve">1 Meal and 2 Snacks X 2 </t>
  </si>
  <si>
    <t>CONDUCT  TRAINING ON FOCUSED ANTENATAL CARE ORIENTATION FOR NURSES AND MIDWIVES</t>
  </si>
  <si>
    <t xml:space="preserve">3 Meals and 2 Snacks W/ ACCOMMODATION X 2DAYS </t>
  </si>
  <si>
    <t>TRAINING MATERIALS</t>
  </si>
  <si>
    <t xml:space="preserve">RPRH CONSULTATIVE MEETING W/ PARTNER AGENCY </t>
  </si>
  <si>
    <t xml:space="preserve">3 Meals and 2 Snacks W/ ACCOMMODATION </t>
  </si>
  <si>
    <t xml:space="preserve">FP CONSULTATIVE MEETING </t>
  </si>
  <si>
    <t xml:space="preserve">REFRESHER 'S TRAINING  FOR  ICLINICYS AND  UPDATED VERSION </t>
  </si>
  <si>
    <t>CONDUCT CONSULTATIVE MEETING FOR TBMAC CONCERNING  PMDT MGT</t>
  </si>
  <si>
    <t>4 Meals and 2 Snacks W/ Accommodation X 4</t>
  </si>
  <si>
    <t>April-December 2026</t>
  </si>
  <si>
    <t xml:space="preserve">IT IS TRAINING FOR DESIGNATED  ENCODER </t>
  </si>
  <si>
    <t xml:space="preserve">4 Meals and 2 Snacks W/ Accommodation </t>
  </si>
  <si>
    <t>CONDUCT DSSM TRAINING FOR MEDTECH</t>
  </si>
  <si>
    <t xml:space="preserve">         </t>
  </si>
  <si>
    <t xml:space="preserve">PHO  OFFICE MEETING QUARTERLY STAFF MEETING </t>
  </si>
  <si>
    <t>EOH PIR</t>
  </si>
  <si>
    <t xml:space="preserve">MEALS  &amp; SNACKS X 2 </t>
  </si>
  <si>
    <t xml:space="preserve">PEER FACILITATORS TRAINING </t>
  </si>
  <si>
    <t>1 MEAL &amp; 2 SNACKS X 2DAYS</t>
  </si>
  <si>
    <t>COORDINATION MEETING  FOR SCHISTOSOMIASIS (PHO/MHO/CATEEL)</t>
  </si>
  <si>
    <t>IHCP COORDINATION MEETING  (PHO/ RHU/ DepEd)</t>
  </si>
  <si>
    <t>FIRE AND EARTHQUAKE DRILL</t>
  </si>
  <si>
    <t>CONSULTATIVE MEETING AND UPDATES EPIDEMIOLOGY</t>
  </si>
  <si>
    <t xml:space="preserve">3 MEALS AND 2 SNACKS W/ ACCOMMODATION </t>
  </si>
  <si>
    <t xml:space="preserve">CONSULTATIVE MEETING </t>
  </si>
  <si>
    <t>1 MEAL AND 2 SNACKS</t>
  </si>
  <si>
    <t>TRAINING WORKSOP ON THE DEVELOPMENT OF WATER SAFETY, SANITATION, AND HYGIENE (WASH) IN EMERGENCIES PLANS W/ INTEGRATION OF GENDER AND DEVELOPMENT</t>
  </si>
  <si>
    <t>1 Meal and 2 Snacks X 2days</t>
  </si>
  <si>
    <t>Training and Seminar-5-02-02-010</t>
  </si>
  <si>
    <t>BHW Consultative Meeting</t>
  </si>
  <si>
    <t>1 Meals and 2 Snacks</t>
  </si>
  <si>
    <t>pax</t>
  </si>
  <si>
    <t>Dec. 2026</t>
  </si>
  <si>
    <t>May-Dec. 2026</t>
  </si>
  <si>
    <t>BHW Reference Manual  Training</t>
  </si>
  <si>
    <t>3 meals &amp; 2 Snacks w/ Accommodation x 3days</t>
  </si>
  <si>
    <t xml:space="preserve">IP GIDA Consultative Meeting </t>
  </si>
  <si>
    <t>Conduct of Food and Water-Borne Disease Consultative Meeting</t>
  </si>
  <si>
    <t>Feb.- July 2026</t>
  </si>
  <si>
    <t>Food Safety Training VBSis</t>
  </si>
  <si>
    <t>Conduct Active Case Finding Paragoniamiasis</t>
  </si>
  <si>
    <t xml:space="preserve">Consultative Meeting on Oral Health Program  Semi-Annual </t>
  </si>
  <si>
    <t xml:space="preserve">3 meals &amp; 2 Snacks w/ Accommodation </t>
  </si>
  <si>
    <t>Feb.- Dec. 2026</t>
  </si>
  <si>
    <t xml:space="preserve">Type I DM Training </t>
  </si>
  <si>
    <t>Consultative Meeting Rabies Program</t>
  </si>
  <si>
    <t>1 Meals and 2 Snacks x 2days</t>
  </si>
  <si>
    <t xml:space="preserve">eLMS  Training </t>
  </si>
  <si>
    <t xml:space="preserve">VLCCM Training  for the remaining HRH &amp; Organic Nurse  &amp; Medwife </t>
  </si>
  <si>
    <t>3 meals &amp; 2 Snacks w/ Accommodation X 4days</t>
  </si>
  <si>
    <t>Conduct GENXPERT training  for Medtech</t>
  </si>
  <si>
    <t xml:space="preserve">3 meals &amp; 2 Snacks w/ Accommodation x 2days </t>
  </si>
  <si>
    <t xml:space="preserve">Feb. 2026 </t>
  </si>
  <si>
    <t>Feb.-June 2026</t>
  </si>
  <si>
    <t>Creation/ Orgainzation  Of Provincial  HIV/AIDS  council</t>
  </si>
  <si>
    <t xml:space="preserve">4 meals &amp; 2 Snacks w/ Accommodation  </t>
  </si>
  <si>
    <t xml:space="preserve">Conduct SOGIE  Orientation &amp; HIV  Counselling/ Testing  on High Risk  &amp; Vulnerable population </t>
  </si>
  <si>
    <t>October 2026</t>
  </si>
  <si>
    <t>June-October 2026</t>
  </si>
  <si>
    <t xml:space="preserve">3 meals &amp; 2 Snacks w/ Accommodation  </t>
  </si>
  <si>
    <t xml:space="preserve">Honorarium </t>
  </si>
  <si>
    <t xml:space="preserve">World AIDS Day </t>
  </si>
  <si>
    <t>June-December2026</t>
  </si>
  <si>
    <t>SIDLAK KALUSUGAN HEALTH AWARD</t>
  </si>
  <si>
    <t xml:space="preserve"> Meals and Snacks</t>
  </si>
  <si>
    <t>OTHER MAINTENANCE AND OPERATING EXPENSES - 5-02-99-990</t>
  </si>
  <si>
    <t>Follow Through Training  of Water Safety Plan  2nd batches</t>
  </si>
  <si>
    <t>3 Meals &amp; 2 Snacks W/ Accommodation X 2days</t>
  </si>
  <si>
    <t>Feb-Dec
2026</t>
  </si>
  <si>
    <t>3 Meals &amp; 2  Snacks X 2days</t>
  </si>
  <si>
    <t>2 Meal &amp; 2  Snacks X 1 Day</t>
  </si>
  <si>
    <t xml:space="preserve">Dental Health Month Celebration </t>
  </si>
  <si>
    <t>Tarpaulin</t>
  </si>
  <si>
    <t xml:space="preserve">Tootpaste sachet </t>
  </si>
  <si>
    <t>Tootbrush</t>
  </si>
  <si>
    <t>Advocacy Shirt</t>
  </si>
  <si>
    <t>Decoration &amp; Ballons</t>
  </si>
  <si>
    <t>Feb. 2026</t>
  </si>
  <si>
    <t>SELAH Anniversary</t>
  </si>
  <si>
    <t xml:space="preserve">Token &amp;  Awards </t>
  </si>
  <si>
    <t>Mach 2026</t>
  </si>
  <si>
    <t>March-Dec. 2026</t>
  </si>
  <si>
    <t>Certificate</t>
  </si>
  <si>
    <t>Food and Venue</t>
  </si>
  <si>
    <t>Physical   Set up</t>
  </si>
  <si>
    <t>Feb . 2026</t>
  </si>
  <si>
    <t>Feb.-Dec. 2026</t>
  </si>
  <si>
    <t>Reagent and Materials needed</t>
  </si>
  <si>
    <t>July-December 2026</t>
  </si>
  <si>
    <t>OFFICIAL LAUCHING OF DOPMC H.E.A.L.S</t>
  </si>
  <si>
    <t>March-October 2026</t>
  </si>
  <si>
    <t>PROVINCIAL HEALTH BOARD</t>
  </si>
  <si>
    <t>Feb. - June 2026</t>
  </si>
  <si>
    <t>NUTRI</t>
  </si>
  <si>
    <t>Ballpen Black/Blue</t>
  </si>
  <si>
    <t xml:space="preserve"> 1/2026</t>
  </si>
  <si>
    <t xml:space="preserve"> 3/2026</t>
  </si>
  <si>
    <t>Ballpen / Sign Pen</t>
  </si>
  <si>
    <t>Battery AA 4pcs./pack</t>
  </si>
  <si>
    <t>Book Paper A3</t>
  </si>
  <si>
    <t>Book Paper, Short</t>
  </si>
  <si>
    <t>Brother Ink Black/C/M/Y  (Black: BT-D60-BK) (Color : BT5000)</t>
  </si>
  <si>
    <t>Brown Envelope, Long</t>
  </si>
  <si>
    <t>Columnar Notebook 12 Col.</t>
  </si>
  <si>
    <t>Columnar Notebook 24 Col.</t>
  </si>
  <si>
    <t>Correction Tape 5mmX12mm</t>
  </si>
  <si>
    <t>Expanding Envelope, long 100's</t>
  </si>
  <si>
    <t>Flashdrive 64gb</t>
  </si>
  <si>
    <t>Heavey Duty Puncher</t>
  </si>
  <si>
    <t>Highlighter Marker</t>
  </si>
  <si>
    <t>Ink Cyan/Yellow/Magenta/Black (Epson 003)</t>
  </si>
  <si>
    <t>Ink Cyan/Yellow/Magenta/Black (Canon Pixma 790)</t>
  </si>
  <si>
    <t>Paper Clip (Big)</t>
  </si>
  <si>
    <t>Paper Clip (Small)</t>
  </si>
  <si>
    <t>Paper Fastener (Colored) Pastic</t>
  </si>
  <si>
    <t>Pencil #2</t>
  </si>
  <si>
    <t>Photo Paper A4 - 20's</t>
  </si>
  <si>
    <t>Pilot V10</t>
  </si>
  <si>
    <t>Photocopier Powder Toner</t>
  </si>
  <si>
    <t>Printer Ink G-71-Pixma (black/cyan/yellow/magenta)</t>
  </si>
  <si>
    <t>Rubber Band (flat) rb-700 350g</t>
  </si>
  <si>
    <t>Scissor #6"</t>
  </si>
  <si>
    <t>Scotch Tape 1"</t>
  </si>
  <si>
    <t>Sign Here Arrow Sticky Note</t>
  </si>
  <si>
    <t>Stapler #35</t>
  </si>
  <si>
    <t>Stapler wire #35</t>
  </si>
  <si>
    <t>Sticky Note 3" x 5"</t>
  </si>
  <si>
    <t>Whiteboard Marker</t>
  </si>
  <si>
    <t>1999I</t>
  </si>
  <si>
    <t>BAC</t>
  </si>
  <si>
    <t xml:space="preserve"> 4/2026</t>
  </si>
  <si>
    <t xml:space="preserve"> 6/2026</t>
  </si>
  <si>
    <t>Air Freshner 320ml</t>
  </si>
  <si>
    <t xml:space="preserve"> 2/2026</t>
  </si>
  <si>
    <t>Diswashing Liquid 500ml</t>
  </si>
  <si>
    <t>Diswashing Sponge</t>
  </si>
  <si>
    <t>Muriatic Acid</t>
  </si>
  <si>
    <t>Rubbing Alcohol 500ml</t>
  </si>
  <si>
    <t>Trash Bag Large 10 pcs/roll</t>
  </si>
  <si>
    <t>Toilet Paper 3 ply</t>
  </si>
  <si>
    <t>Corporate Jacket with Embroidery</t>
  </si>
  <si>
    <t>Goods
(5-02-01-010-01)</t>
  </si>
  <si>
    <t>Jan - Jun 2026</t>
  </si>
  <si>
    <t>Goods
(5-02-02-010-01)</t>
  </si>
  <si>
    <t>Procurement of Refilled Purified Drinking Water for Personnel Consumption During Office Operation</t>
  </si>
  <si>
    <t>Goods
Purified Drinking Water
(5-02-04-010-01)</t>
  </si>
  <si>
    <t>Goods
(5-02-05-020-01)</t>
  </si>
  <si>
    <t>Telephone bill (monthly)</t>
  </si>
  <si>
    <t>Goods
(5-02-05-030-01)</t>
  </si>
  <si>
    <t>Internet bill (monthly)</t>
  </si>
  <si>
    <t>Procurement of Meals (1) and Snacks (2) for Bids and Awards Committee Activities</t>
  </si>
  <si>
    <t>Goods
meal and snack (twice a week)</t>
  </si>
  <si>
    <t>Repair and Maintenance of Photocopier Machines</t>
  </si>
  <si>
    <t>Repair and Maintenance of Air-Condition Unit</t>
  </si>
  <si>
    <t>Goods
(5-02-13-070)</t>
  </si>
  <si>
    <t>Office Table</t>
  </si>
  <si>
    <t>unit</t>
  </si>
  <si>
    <t>Office Chairs</t>
  </si>
  <si>
    <t>Glass Table</t>
  </si>
  <si>
    <t>CAPITAL OUTLAY
(1-07-05-030-01-04)</t>
  </si>
  <si>
    <t>Procurement of ICT Equipment and Accessories (Desktop, Printers,UPS,etc.)</t>
  </si>
  <si>
    <t>Desktop Computer (Complete Set)</t>
  </si>
  <si>
    <t>set</t>
  </si>
  <si>
    <t>atleast or equivalent, 4600g Processor, 8gb RAM DDR4
256GB SSD, 500HDD built-in Graphics 
with Keyboard and Mouse 
Licensed OS and MS-Office</t>
  </si>
  <si>
    <t xml:space="preserve">MONITOR
Display Size: Minimum 24″ LED/LCD Wide Screen
Resolution: Full HD (1920 x 1080) minimum 
Interface: HDMI and/or DisplayPort </t>
  </si>
  <si>
    <t>UNINTERRUPTIBLE POWER SUPPLY (UPS)
Minimum Rating: 650 VA or higher with automatic voltage regulation (AVR)
Output Power: Enough to sustain desktop + monitor for short power interruptions</t>
  </si>
  <si>
    <t>All-in-One Printer ( printer with scanner and xerox)
   Output Tray Capacity 30 Sheets 
   180 Nozzles Black, 59 Nozzles per Color
   3 pl, With Variable-Sized Droplet Technology</t>
  </si>
  <si>
    <t>15 bxs</t>
  </si>
  <si>
    <t>8 bxs</t>
  </si>
  <si>
    <t>5 reams</t>
  </si>
  <si>
    <t>40 reams</t>
  </si>
  <si>
    <t>25 tubes</t>
  </si>
  <si>
    <t>25 pcs</t>
  </si>
  <si>
    <t>1 bxs</t>
  </si>
  <si>
    <t>20 tubes</t>
  </si>
  <si>
    <t>10 bxs</t>
  </si>
  <si>
    <t>4 kls</t>
  </si>
  <si>
    <t>2 sets</t>
  </si>
  <si>
    <t>5 box</t>
  </si>
  <si>
    <t>5 rolls</t>
  </si>
  <si>
    <t>20 packs</t>
  </si>
  <si>
    <t>1 ream</t>
  </si>
  <si>
    <t>1 bx</t>
  </si>
  <si>
    <t>2 tubes</t>
  </si>
  <si>
    <t>15 tubes</t>
  </si>
  <si>
    <t>1 pack</t>
  </si>
  <si>
    <t>3 kls</t>
  </si>
  <si>
    <t>10 packs</t>
  </si>
  <si>
    <t>Office Supplies Expenses (5-02-03-010)</t>
  </si>
  <si>
    <t>N/A</t>
  </si>
  <si>
    <t>08/2026-12/2026</t>
  </si>
  <si>
    <t>1999X</t>
  </si>
  <si>
    <t>PSWDO</t>
  </si>
  <si>
    <t>FUEL EXPENSES ( 5-02-03-090-01 )</t>
  </si>
  <si>
    <t>Diesel Fuel</t>
  </si>
  <si>
    <t>07/2026-12/2026</t>
  </si>
  <si>
    <t>Oil and Lubricant</t>
  </si>
  <si>
    <t>OTHER SUPPLIES  ( 5-02-03-990 )</t>
  </si>
  <si>
    <t>14 pcs     T-shirt</t>
  </si>
  <si>
    <t>3 bots</t>
  </si>
  <si>
    <t>9 bots</t>
  </si>
  <si>
    <t>4 bots</t>
  </si>
  <si>
    <t>3 doz</t>
  </si>
  <si>
    <t>2 pax</t>
  </si>
  <si>
    <t>EXTRAORDINARY AND MISCELLANEOUS EXPENSES( 5-02-10-030 )</t>
  </si>
  <si>
    <t>Catering services</t>
  </si>
  <si>
    <t>Consulting Services</t>
  </si>
  <si>
    <t>REPAIR &amp; MAINT.LAPTOP, PRINTER &amp; OTHER IT ( 5-02-13-050 )</t>
  </si>
  <si>
    <t>2 unit Printer</t>
  </si>
  <si>
    <t>SMALL VALUE PROCUREMENT</t>
  </si>
  <si>
    <t>02/2026-06/2026</t>
  </si>
  <si>
    <t>SEMI -EXPENDABLE MACHINARY &amp; EQUIPMENT EXPENSES ( 5-02-03-210 )</t>
  </si>
  <si>
    <t>1 unit    LAPTOP</t>
  </si>
  <si>
    <t xml:space="preserve">1999X </t>
  </si>
  <si>
    <t>CATERING/HONORARIUM/MISC</t>
  </si>
  <si>
    <t>Feb 2026</t>
  </si>
  <si>
    <t>Mar 2026</t>
  </si>
  <si>
    <t>1% LCPC</t>
  </si>
  <si>
    <t>For effective &amp; efficient delivery of services</t>
  </si>
  <si>
    <t>3 MEALS AND 2 SNACKS (Day 1)</t>
  </si>
  <si>
    <t>Pax</t>
  </si>
  <si>
    <t>3 MEALS AND 2 SNACKS (Day 2)</t>
  </si>
  <si>
    <t>3 MEALS AND 2 SNACKS (Day 3)</t>
  </si>
  <si>
    <t>MISCELLANEOUS</t>
  </si>
  <si>
    <t>25 PAX</t>
  </si>
  <si>
    <t>7999-A1</t>
  </si>
  <si>
    <t>CATERING/INCENTIVES</t>
  </si>
  <si>
    <t>1 MEAL &amp; 2 SNACKS (1st semi-annual)</t>
  </si>
  <si>
    <t>(1st Semi-annual)</t>
  </si>
  <si>
    <t>Honorarium of Fed. Pres/ECCD Focal</t>
  </si>
  <si>
    <t>15 pax</t>
  </si>
  <si>
    <t>11 pax</t>
  </si>
  <si>
    <t>CATERING/INCETIVES</t>
  </si>
  <si>
    <t xml:space="preserve">1 MEAL &amp; 2 SNACKS </t>
  </si>
  <si>
    <t>Honorarium of PCPC Members</t>
  </si>
  <si>
    <t>xxxxxxxxxxxxx</t>
  </si>
  <si>
    <t>7999-B1</t>
  </si>
  <si>
    <t>30 PAX</t>
  </si>
  <si>
    <t>(Ist Quarter)</t>
  </si>
  <si>
    <t>DIESEL</t>
  </si>
  <si>
    <t>Ltrs.</t>
  </si>
  <si>
    <t>OIL</t>
  </si>
  <si>
    <t>7999-D1</t>
  </si>
  <si>
    <t>150 LTRS</t>
  </si>
  <si>
    <t>1 LTR</t>
  </si>
  <si>
    <t>Monetary</t>
  </si>
  <si>
    <t>No.</t>
  </si>
  <si>
    <t>Jan 2026</t>
  </si>
  <si>
    <t>Apr2026</t>
  </si>
  <si>
    <t>3 MEALS AND 2 SNACKS (Day 3</t>
  </si>
  <si>
    <t>HONORARIUM</t>
  </si>
  <si>
    <t>Fuel, oil and Lubricant</t>
  </si>
  <si>
    <t>6/30/2026</t>
  </si>
  <si>
    <t>02/2026-06/30/2026</t>
  </si>
  <si>
    <t xml:space="preserve">General Fund CY 2026 </t>
  </si>
  <si>
    <t>7999 MC</t>
  </si>
  <si>
    <t>OTHER MAINT.AND OPERATING EXPENSES ( 5-02-99-990 )</t>
  </si>
  <si>
    <t>D-MAX &amp; ADVENTURE</t>
  </si>
  <si>
    <t>EXTRAORDINARY and miscellaneous Expenses( 5-02-10-030 )</t>
  </si>
  <si>
    <t>DONATIONS( 5-02-99-080)</t>
  </si>
  <si>
    <t>Subsidy to DSWD Home for the Aged</t>
  </si>
  <si>
    <t>Financial Assistance for Centenarian</t>
  </si>
  <si>
    <r>
      <t xml:space="preserve">Pre-Procurement Conference, if applicable </t>
    </r>
    <r>
      <rPr>
        <b/>
        <sz val="10"/>
        <rFont val="Century Gothic"/>
        <family val="2"/>
      </rPr>
      <t>(Yes/No)</t>
    </r>
  </si>
  <si>
    <t>Procurement of Supplies required to support the regular operations, administrative functions, and program implementation of the government office/agency</t>
  </si>
  <si>
    <t>Procurement of goods, services, and/or infrastructure necessary for the implementation of the approved Programs, Projects, and Activities (PPA’s) of the government agency</t>
  </si>
  <si>
    <t>Procurement of Meals (1) and Snacks (2) for The Provincial Engineer's Office Activities</t>
  </si>
  <si>
    <t>Procurement of Polo-Shirts to be used as official or semi-official attire by government personnel for work-related activities, programs, events, trainings, and public engagements</t>
  </si>
  <si>
    <t>Procurement of Meals and Snacks for meetings covers the provision of food and refreshments for participants during official meetings or activities.</t>
  </si>
  <si>
    <t>Procurement of Polo-Shirts with print to be used as official or semi-official attire by government personnel for work-related activities, programs, events, trainings, and public engagements</t>
  </si>
  <si>
    <t>Procurement of Food Supplies required to support the regular operations, administrative functions, and program implementation</t>
  </si>
  <si>
    <t xml:space="preserve">2 units </t>
  </si>
  <si>
    <t xml:space="preserve">5 units </t>
  </si>
  <si>
    <t>13 units</t>
  </si>
  <si>
    <t>20x20 steel booth</t>
  </si>
  <si>
    <t>10x20 steel booth</t>
  </si>
  <si>
    <t>10x10 steel booth</t>
  </si>
  <si>
    <t>5x12 hanging tarp</t>
  </si>
  <si>
    <t>outdoor socket (receptacle)</t>
  </si>
  <si>
    <t>5x10 booth tarp</t>
  </si>
  <si>
    <t>1x10 booth fascia name</t>
  </si>
  <si>
    <t>3x10 mabuhay madayaw tarp</t>
  </si>
  <si>
    <t>3x21 inalima arc tarp</t>
  </si>
  <si>
    <t>ribbon cutting flower boquet stand</t>
  </si>
  <si>
    <t>2 gang outlet</t>
  </si>
  <si>
    <t>eletrical tape, black,16mm</t>
  </si>
  <si>
    <t>THHN, #10</t>
  </si>
  <si>
    <t>TTHN. #3.5</t>
  </si>
  <si>
    <t>flatcord , #18</t>
  </si>
  <si>
    <t>botong icon ref magnets/ key chain</t>
  </si>
  <si>
    <t>turtle icon ref magnets / key chain</t>
  </si>
  <si>
    <t xml:space="preserve">10 unit </t>
  </si>
  <si>
    <t xml:space="preserve">13 unit </t>
  </si>
  <si>
    <t xml:space="preserve">20 unit </t>
  </si>
  <si>
    <t xml:space="preserve">4 unit </t>
  </si>
  <si>
    <t xml:space="preserve">2 unit </t>
  </si>
  <si>
    <t>100 unit</t>
  </si>
  <si>
    <t xml:space="preserve">100 unit </t>
  </si>
  <si>
    <t>male plug</t>
  </si>
  <si>
    <t>led bulb, 15w</t>
  </si>
  <si>
    <t>hanging lights, 7.6m</t>
  </si>
  <si>
    <t>10 roll</t>
  </si>
  <si>
    <t>2 roll</t>
  </si>
  <si>
    <t>1 roll</t>
  </si>
  <si>
    <t>50 unit</t>
  </si>
  <si>
    <t>10 unit</t>
  </si>
  <si>
    <t>outdoor AP1200 Mbps</t>
  </si>
  <si>
    <t>outdoor UTP CABLE 350M</t>
  </si>
  <si>
    <t xml:space="preserve"> NLT Home Security wifi camera</t>
  </si>
  <si>
    <t>Outdoor security wifi camera</t>
  </si>
  <si>
    <t>micro SD card</t>
  </si>
  <si>
    <t>2pcs</t>
  </si>
  <si>
    <t xml:space="preserve">10pcs </t>
  </si>
  <si>
    <t>drill bit 4mm</t>
  </si>
  <si>
    <t>drill bit 5mm</t>
  </si>
  <si>
    <t>drill bit 6mm</t>
  </si>
  <si>
    <t>drill bit 8mm</t>
  </si>
  <si>
    <t>PVC moulding 1x1x10</t>
  </si>
  <si>
    <t>no more nails 100g</t>
  </si>
  <si>
    <t>electrical tape 3m</t>
  </si>
  <si>
    <t>4 gang outlet universal</t>
  </si>
  <si>
    <t>masonry drill bit 3mm</t>
  </si>
  <si>
    <t>1pc</t>
  </si>
  <si>
    <t xml:space="preserve">1pc </t>
  </si>
  <si>
    <t xml:space="preserve">30pcs </t>
  </si>
  <si>
    <t>5pcs</t>
  </si>
  <si>
    <t xml:space="preserve">3pcs </t>
  </si>
  <si>
    <r>
      <t xml:space="preserve">Supply and Delivery of </t>
    </r>
    <r>
      <rPr>
        <sz val="10"/>
        <color indexed="8"/>
        <rFont val="Century Gothic"/>
        <family val="2"/>
      </rPr>
      <t>Office Supplies (1 Lot) for Office Use</t>
    </r>
  </si>
  <si>
    <t># 003EPSON INK (BLACK)</t>
  </si>
  <si>
    <t>7 bot.</t>
  </si>
  <si>
    <t># 003EPSON INK (MAGENTA)</t>
  </si>
  <si>
    <t xml:space="preserve">2 bot. </t>
  </si>
  <si>
    <t xml:space="preserve"> # 003EPSON INK (YELLOW)</t>
  </si>
  <si>
    <t>2 bot.</t>
  </si>
  <si>
    <t># 003EPSON INK (BLUE)</t>
  </si>
  <si>
    <t># 664EPSON INK (BLACK)</t>
  </si>
  <si>
    <t># 664EPSON INK (MAGENTA)</t>
  </si>
  <si>
    <t># 664EPSON INK (YELLOW)</t>
  </si>
  <si>
    <t>10 rms</t>
  </si>
  <si>
    <t>2 bot</t>
  </si>
  <si>
    <t>40 pcs</t>
  </si>
  <si>
    <t>4 pcsPAPER</t>
  </si>
  <si>
    <t>2 pcsHEAVY</t>
  </si>
  <si>
    <t>10 pkGLOSSY</t>
  </si>
  <si>
    <t xml:space="preserve"> # 664EPSON INK (BLUE)</t>
  </si>
  <si>
    <t>BOOK PAPER (A4) (500 pcs)</t>
  </si>
  <si>
    <t>BOOK PAPER (LONG) (500's)</t>
  </si>
  <si>
    <t>BROWN FOLDER (LONG)</t>
  </si>
  <si>
    <t>BROWN FOLDER (SHORT)</t>
  </si>
  <si>
    <t>STAMPING PAD</t>
  </si>
  <si>
    <t>STAMPING INK</t>
  </si>
  <si>
    <t>PENTEL PEN (BLACK)</t>
  </si>
  <si>
    <t>BALLPEN</t>
  </si>
  <si>
    <t>4 gal</t>
  </si>
  <si>
    <t>2 box</t>
  </si>
  <si>
    <t>15 pcs</t>
  </si>
  <si>
    <t>10 box</t>
  </si>
  <si>
    <t>ISOPROPHYL ALCOHOL 70%</t>
  </si>
  <si>
    <t>ELMERS GLUE  240GSM</t>
  </si>
  <si>
    <t>MAILING ENVELOP 500s LONG</t>
  </si>
  <si>
    <t>PACKAGING TAPE  2"</t>
  </si>
  <si>
    <t>SCATCH TAPE  2"</t>
  </si>
  <si>
    <t>PLASTIC ENVELOP W/ HOLDER LONG</t>
  </si>
  <si>
    <t>BROWN ENVELOP LONG</t>
  </si>
  <si>
    <t>STAPLE WIRE # 35</t>
  </si>
  <si>
    <t>SCISSOR (HEAVY DUTY)</t>
  </si>
  <si>
    <t>PAPER CLIPS BIG</t>
  </si>
  <si>
    <t>HEAVY DUTY STAPLER W/ REMOVER</t>
  </si>
  <si>
    <t>GLOSSY STICKER PAPER</t>
  </si>
  <si>
    <t>RER</t>
  </si>
  <si>
    <t>WHITE CORRECTOR</t>
  </si>
  <si>
    <t>4 paR</t>
  </si>
  <si>
    <t>3bot.</t>
  </si>
  <si>
    <t>1 bot.</t>
  </si>
  <si>
    <t xml:space="preserve">3 bot. </t>
  </si>
  <si>
    <t xml:space="preserve">1 bot. </t>
  </si>
  <si>
    <t>8rms.</t>
  </si>
  <si>
    <t xml:space="preserve">2 pc </t>
  </si>
  <si>
    <t xml:space="preserve">6rms </t>
  </si>
  <si>
    <t xml:space="preserve">52pcs </t>
  </si>
  <si>
    <t># 003EPSON INK (YELLOW)</t>
  </si>
  <si>
    <t># 664EPSON INK (BLUE)</t>
  </si>
  <si>
    <t xml:space="preserve">    E Catering Services</t>
  </si>
  <si>
    <t xml:space="preserve">     E Catering Services</t>
  </si>
  <si>
    <t>160 milled rice</t>
  </si>
  <si>
    <t xml:space="preserve">2,223 Sacks of </t>
  </si>
  <si>
    <t>Supply and Delivery of Printing and Publication Services to Support Office Operations and Information Dissemination</t>
  </si>
  <si>
    <t>Travelling expenses for personnel attending trainings and official activities in support of RA 12009 compliance</t>
  </si>
  <si>
    <t>Training expenses for BAC members and secretariat staff to ensure compliance with RA 12009 and strengthen procurement skills</t>
  </si>
  <si>
    <t>Procurement of Other Supplies (Cleaning materials for Office use)</t>
  </si>
  <si>
    <t xml:space="preserve">Supply and Delivery of Other Supplies (Corporate Jacket with Embroidery) for the Bids and Awards Committee
</t>
  </si>
  <si>
    <t>Payment of Internet Subscription (Broadband/Fiber Connection for Office Operations)</t>
  </si>
  <si>
    <t>Payment of Telephone Subscription (Landline Services for Office Operations)</t>
  </si>
  <si>
    <t>25 gallon per month</t>
  </si>
  <si>
    <t xml:space="preserve">Payment  for Repair and Maintenance of furniture and fixture to support the operational and administrative requirements of the office
</t>
  </si>
  <si>
    <t>Supply and Delivery of Various Lubricants, Tires, Filters, Spare Parts &amp; Batteries to be used for maintining of equipments</t>
  </si>
  <si>
    <t>(OTHER MOE) Financial Assistance</t>
  </si>
  <si>
    <t>20 pax</t>
  </si>
  <si>
    <t>50 pax</t>
  </si>
  <si>
    <t>6 pax</t>
  </si>
  <si>
    <t>30 pax</t>
  </si>
  <si>
    <t>10 pax</t>
  </si>
  <si>
    <t>22 pax</t>
  </si>
  <si>
    <t>100 pax</t>
  </si>
  <si>
    <t>60 pax</t>
  </si>
  <si>
    <t>80 pax</t>
  </si>
  <si>
    <t>62 pax</t>
  </si>
  <si>
    <t>8 pax</t>
  </si>
  <si>
    <t>2 resource speaker</t>
  </si>
  <si>
    <r>
      <t xml:space="preserve">Pre-Procurement Conference, if applicable </t>
    </r>
    <r>
      <rPr>
        <sz val="10"/>
        <rFont val="Century Gothic"/>
        <family val="2"/>
      </rPr>
      <t>(Yes/No)</t>
    </r>
  </si>
  <si>
    <t>Supply and Delivery of  TRAINING (1 Lot) for Office Use</t>
  </si>
  <si>
    <t>Supply and Delivery of  FUEL (1 Lot) for Office Use</t>
  </si>
  <si>
    <t xml:space="preserve">Processor: Intel Core 5 120U; 
RAM: 16GB; 
Storage: 512GB SSD; Operating System: Windows 11 </t>
  </si>
  <si>
    <t>Supply and Delivery of  EXTRA ORDINARY &amp; MISC. EXP. (1 Lot) for Office Use</t>
  </si>
  <si>
    <t>10 rms Book Paper A4 70 gsm(500's)</t>
  </si>
  <si>
    <t>5 rms Book Paper, Long 70 gsm(500's)</t>
  </si>
  <si>
    <t>6 rms Book Paper, Short 70gsm(500's)</t>
  </si>
  <si>
    <t>240 pcs Brown Folder Long</t>
  </si>
  <si>
    <t xml:space="preserve">2 sets # 003 EPSON INK </t>
  </si>
  <si>
    <t>4 bot Brother Ink Black/C/M/Y  (Black: BT-D60-BK) (Color : BT5000)</t>
  </si>
  <si>
    <t>4 box Rubber Band (flat) rb-700 350g</t>
  </si>
  <si>
    <t>9 bot Mosquito Spray 500ml</t>
  </si>
  <si>
    <t>400 sachet Powder soap 65g</t>
  </si>
  <si>
    <t>6 bot Isopropyl alcohol 70% 500ml</t>
  </si>
  <si>
    <t>10 pcs Ballpen / Sign Pen 0.5</t>
  </si>
  <si>
    <t>OLDER PERSON</t>
  </si>
  <si>
    <t>4 door Steel Cabinets, Office table etc.</t>
  </si>
  <si>
    <t>VEHICLE REPAIR &amp; MAINTENANCE  ( 5-02-13-050 )</t>
  </si>
  <si>
    <t>01/2026-12/2026</t>
  </si>
  <si>
    <t>Customized Subli Polo shirt</t>
  </si>
  <si>
    <t xml:space="preserve"> 10 pcs Lysol spray </t>
  </si>
  <si>
    <t xml:space="preserve"> 4 pcs Filling Box</t>
  </si>
  <si>
    <t>10 rolls Garbage Bag</t>
  </si>
  <si>
    <t>PSWDO - OLDER PERSON</t>
  </si>
  <si>
    <t>PWD</t>
  </si>
  <si>
    <t>PSWDO - PWD</t>
  </si>
  <si>
    <t>10 gal WATER REFILL</t>
  </si>
  <si>
    <t>2 mos. GOMO INTERNET(Service Provider)</t>
  </si>
  <si>
    <t>1 pc. SPIN MOP</t>
  </si>
  <si>
    <t xml:space="preserve">1 pc. DOOR MAT </t>
  </si>
  <si>
    <t>1 pc. LIMITLESS COTTON</t>
  </si>
  <si>
    <t>2 pcs. DOOR MAT OVAL</t>
  </si>
  <si>
    <t>5 pcs. HAND TOWEL</t>
  </si>
  <si>
    <t>1 pc. TAHI TI PLAIN</t>
  </si>
  <si>
    <t>1 pc. GLADE FRESHNER</t>
  </si>
  <si>
    <t>1 pc. BAYGON</t>
  </si>
  <si>
    <t>1 pc. ALCOPLUS ISOPROPYL</t>
  </si>
  <si>
    <t>2 gal. WATER REFILL</t>
  </si>
  <si>
    <t xml:space="preserve">1 pc. 3X5 TARPAULINE </t>
  </si>
  <si>
    <t>1 pc. 4X8 TARPAULINE</t>
  </si>
  <si>
    <t>1 mos. GOMO INTERNET(Service Provider)</t>
  </si>
  <si>
    <t>1 pc. SMART KITCHEN</t>
  </si>
  <si>
    <t>1 pc. BAYGON MULTI-INSECT</t>
  </si>
  <si>
    <t>1 pc. DUST PAN</t>
  </si>
  <si>
    <t>1 pc. EVLA UNI PLUG ADAPTOR</t>
  </si>
  <si>
    <t>2 gal. GALLON ROUND PET</t>
  </si>
  <si>
    <t>1 gal. GALLON ROUND PET</t>
  </si>
  <si>
    <t>3 gal. WATER REFILL</t>
  </si>
  <si>
    <t>1 pc. AH-AH20 M211TCT S# M211TCT 001549</t>
  </si>
  <si>
    <t>3 unuts AIRCON WINDOW TYPE (CLEANING)</t>
  </si>
  <si>
    <t>Sign Pen (12 pcs)</t>
  </si>
  <si>
    <t>BALL PEN (12 pcs)</t>
  </si>
  <si>
    <t>PENCIL (MONGOL)</t>
  </si>
  <si>
    <t>OFFICIAL RECORD BOOK 500pgs.</t>
  </si>
  <si>
    <t>RECORD BOOK 150pgs.</t>
  </si>
  <si>
    <t>STAPLER HEAVY DUTY #35 WITH REMOVER</t>
  </si>
  <si>
    <t>STAPLE WIRE for HEAVY DUTY #35</t>
  </si>
  <si>
    <t>PUNCHER HEAVY DUTY</t>
  </si>
  <si>
    <t>GLUE BIG (130 grams)</t>
  </si>
  <si>
    <t>FASTENER</t>
  </si>
  <si>
    <t>LONG BROWN  FOLDER</t>
  </si>
  <si>
    <t>SHORT BROWN FOLDER</t>
  </si>
  <si>
    <t>LONG BROWN ENVELOPED</t>
  </si>
  <si>
    <t>SHORT BROWN ENVELOPED</t>
  </si>
  <si>
    <t>ALCOHOL</t>
  </si>
  <si>
    <t>USB 16GB</t>
  </si>
  <si>
    <t>MANUAL PAPER SHREDDER</t>
  </si>
  <si>
    <t>AA BATTERY 4s</t>
  </si>
  <si>
    <t>FILING CABINET 3 DRAWERS</t>
  </si>
  <si>
    <t>PAPER TRAY 3 LAYERS</t>
  </si>
  <si>
    <t>HAPPY HOME</t>
  </si>
  <si>
    <t>FOOD EXPENSES</t>
  </si>
  <si>
    <t>Rice (1/2 sacks - 25 kls)</t>
  </si>
  <si>
    <t>water purefied</t>
  </si>
  <si>
    <t>Prycegas 11kg.</t>
  </si>
  <si>
    <t>Fish Matambaka</t>
  </si>
  <si>
    <t>Fish Bangus</t>
  </si>
  <si>
    <t>Fish Moro-moro</t>
  </si>
  <si>
    <t>Shrimp</t>
  </si>
  <si>
    <t>Assorted Vegetables</t>
  </si>
  <si>
    <t>Hotdog</t>
  </si>
  <si>
    <t>Liver</t>
  </si>
  <si>
    <t>Chicken</t>
  </si>
  <si>
    <t>Gizzard</t>
  </si>
  <si>
    <t>Pork Tyan</t>
  </si>
  <si>
    <t>Pork Unod</t>
  </si>
  <si>
    <t>Tiil</t>
  </si>
  <si>
    <t>water refill</t>
  </si>
  <si>
    <t xml:space="preserve">Lechon manok </t>
  </si>
  <si>
    <t>cup</t>
  </si>
  <si>
    <t>mug</t>
  </si>
  <si>
    <t>tea spoon</t>
  </si>
  <si>
    <t>pitchel</t>
  </si>
  <si>
    <t>glasss clean</t>
  </si>
  <si>
    <t>Queen bee Med.</t>
  </si>
  <si>
    <t>Sunsilk Shampoo</t>
  </si>
  <si>
    <t>Rexona Deo</t>
  </si>
  <si>
    <t>Hapee Toothpaste grn</t>
  </si>
  <si>
    <t>Feme Tissue 2ply</t>
  </si>
  <si>
    <t>Feme KT ap. 2ply</t>
  </si>
  <si>
    <t>Rhea 70% Alcohol</t>
  </si>
  <si>
    <t>Smart Kitchen paste</t>
  </si>
  <si>
    <t>Bioderm Soap coolnes</t>
  </si>
  <si>
    <t>Joy Kalamansi liq.</t>
  </si>
  <si>
    <t>Colgate TB CLASSIC</t>
  </si>
  <si>
    <t>Emi match</t>
  </si>
  <si>
    <t>Glow toothpick</t>
  </si>
  <si>
    <t>Speed dagdag</t>
  </si>
  <si>
    <t>Efficascent oil</t>
  </si>
  <si>
    <t>Speed det. Bar</t>
  </si>
  <si>
    <t>Lion tiger katol</t>
  </si>
  <si>
    <t>Lucky 7 Sard. Reg.</t>
  </si>
  <si>
    <t>Lucky 7 Sard. Hot</t>
  </si>
  <si>
    <t>LM Spicy labuyo</t>
  </si>
  <si>
    <t>Holiday corned beef</t>
  </si>
  <si>
    <t>Argentina B/loaf</t>
  </si>
  <si>
    <t>Great taste 3in 1 choco</t>
  </si>
  <si>
    <t>Fudgee choco</t>
  </si>
  <si>
    <t>Birds nest Vermicelli</t>
  </si>
  <si>
    <t>Big family Bihon</t>
  </si>
  <si>
    <t>Tower Special odong</t>
  </si>
  <si>
    <t>Coco mama Fresh</t>
  </si>
  <si>
    <t>Fluor Sampaguita</t>
  </si>
  <si>
    <t>Aji blue</t>
  </si>
  <si>
    <t>Nescafe sachet</t>
  </si>
  <si>
    <t>Maggi majic sarap</t>
  </si>
  <si>
    <t>Top one margarine</t>
  </si>
  <si>
    <t>Knr Sinigang orig</t>
  </si>
  <si>
    <t>Knor grab corn</t>
  </si>
  <si>
    <t>DM Paste</t>
  </si>
  <si>
    <t>Butter cup</t>
  </si>
  <si>
    <t>Knr Cubes pork</t>
  </si>
  <si>
    <t>Knr Cubes chicken</t>
  </si>
  <si>
    <t>Description</t>
  </si>
  <si>
    <t>Aji crispy fry orig.</t>
  </si>
  <si>
    <t>Paminta cracked</t>
  </si>
  <si>
    <t>Paminta cpowder</t>
  </si>
  <si>
    <t>Brown sugar</t>
  </si>
  <si>
    <t>W/ Sugar</t>
  </si>
  <si>
    <t>Senorita liver spread</t>
  </si>
  <si>
    <t>Rebisco cracker</t>
  </si>
  <si>
    <t>Fita bisc.</t>
  </si>
  <si>
    <t>Salt</t>
  </si>
  <si>
    <t>Mamasita BBQ</t>
  </si>
  <si>
    <t>Rufina patis</t>
  </si>
  <si>
    <t>SeÑorita s/puti</t>
  </si>
  <si>
    <t>S/Swan soy sauce</t>
  </si>
  <si>
    <t xml:space="preserve">NFC Tamis </t>
  </si>
  <si>
    <t>Papa reg</t>
  </si>
  <si>
    <t>Oil Palm</t>
  </si>
  <si>
    <t xml:space="preserve">blanket </t>
  </si>
  <si>
    <t>towel</t>
  </si>
  <si>
    <t>manicure</t>
  </si>
  <si>
    <t>L- Egg</t>
  </si>
  <si>
    <t>Egg Tray</t>
  </si>
  <si>
    <t>Fresh TB</t>
  </si>
  <si>
    <t>Mamas love c/buds</t>
  </si>
  <si>
    <t>Ariel Powder</t>
  </si>
  <si>
    <t>Downy</t>
  </si>
  <si>
    <t>Bioderm Soap</t>
  </si>
  <si>
    <t>Safeguard</t>
  </si>
  <si>
    <t>Dove SH</t>
  </si>
  <si>
    <t>Mega corned sard</t>
  </si>
  <si>
    <t>MX3 4N1 Coffee</t>
  </si>
  <si>
    <t>Reb s/wich bunch</t>
  </si>
  <si>
    <t>Nissin butter coconut</t>
  </si>
  <si>
    <t>OTHER SUPPLIES EXPENSES</t>
  </si>
  <si>
    <t>M-slipper</t>
  </si>
  <si>
    <t>cartolina</t>
  </si>
  <si>
    <t>pentelpen</t>
  </si>
  <si>
    <t>ballpen</t>
  </si>
  <si>
    <t>manila paper</t>
  </si>
  <si>
    <t>Bond Paper</t>
  </si>
  <si>
    <t>bolinao</t>
  </si>
  <si>
    <t>anopin</t>
  </si>
  <si>
    <t>Bulb 10W</t>
  </si>
  <si>
    <t>Walis</t>
  </si>
  <si>
    <t>thumb tacks</t>
  </si>
  <si>
    <t>brash</t>
  </si>
  <si>
    <t>map</t>
  </si>
  <si>
    <t>Rice cooker</t>
  </si>
  <si>
    <t>Toothbrush</t>
  </si>
  <si>
    <t>Tawas</t>
  </si>
  <si>
    <t>T-shirt</t>
  </si>
  <si>
    <t>Slipper</t>
  </si>
  <si>
    <t>Soft Brown/ Lagaraw</t>
  </si>
  <si>
    <t>Boots</t>
  </si>
  <si>
    <t>Napkin</t>
  </si>
  <si>
    <t>Lagaraw</t>
  </si>
  <si>
    <t>Bairan</t>
  </si>
  <si>
    <t>Keyrench</t>
  </si>
  <si>
    <t>bread</t>
  </si>
  <si>
    <t xml:space="preserve">Tamban </t>
  </si>
  <si>
    <t>Bolinao</t>
  </si>
  <si>
    <t>Tetanustoxoid</t>
  </si>
  <si>
    <t>Water refill</t>
  </si>
  <si>
    <t>Pork</t>
  </si>
  <si>
    <t>LARGE EGG</t>
  </si>
  <si>
    <t>butter mamon</t>
  </si>
  <si>
    <t>OTHER MOOE</t>
  </si>
  <si>
    <t>delmonte orange juice 220ml</t>
  </si>
  <si>
    <t>crayons</t>
  </si>
  <si>
    <t>sharpener</t>
  </si>
  <si>
    <t>skin tighter</t>
  </si>
  <si>
    <t>long plastic envelop</t>
  </si>
  <si>
    <t>grade 1</t>
  </si>
  <si>
    <t>Honorarium</t>
  </si>
  <si>
    <t>Honorarium - Derad Speaker</t>
  </si>
  <si>
    <t>BINDER CLIP (Medium)</t>
  </si>
  <si>
    <t>BLACK BALLPEN (50 pcs)</t>
  </si>
  <si>
    <t>BOOK PAPER (A4 SIZE-SUB 20)</t>
  </si>
  <si>
    <t>BOOK PAPER (LEGAL SIZE-SUB 20)</t>
  </si>
  <si>
    <t>BOOK PAPER (SHORT-SUB 20)</t>
  </si>
  <si>
    <t>CORRECTION TAPE 8m</t>
  </si>
  <si>
    <t>EXPANDED FOLDER (GREEN)</t>
  </si>
  <si>
    <t>FOLDER LONG (brown)</t>
  </si>
  <si>
    <t>INK REFILL (EPSON) 4 colors</t>
  </si>
  <si>
    <t>LINEN PAPER VELLUM (20 pcs)</t>
  </si>
  <si>
    <t>PAPER CLIP BIG</t>
  </si>
  <si>
    <t>PENTEL PEN BROAD</t>
  </si>
  <si>
    <t>SIGN PEN high tech pen black</t>
  </si>
  <si>
    <t>STAPLE WIRE</t>
  </si>
  <si>
    <t>Medicine Expenses</t>
  </si>
  <si>
    <t>50 box</t>
  </si>
  <si>
    <t>22 galloons</t>
  </si>
  <si>
    <t>22 rool</t>
  </si>
  <si>
    <t>20 box</t>
  </si>
  <si>
    <t>20 bottle</t>
  </si>
  <si>
    <t>10 bottle</t>
  </si>
  <si>
    <t>100 vial</t>
  </si>
  <si>
    <t>25 tabs</t>
  </si>
  <si>
    <t>90 tabs</t>
  </si>
  <si>
    <t>30 tabs</t>
  </si>
  <si>
    <t>50 tabs</t>
  </si>
  <si>
    <t>100 tabs</t>
  </si>
  <si>
    <t>Bioflue 500mg</t>
  </si>
  <si>
    <t xml:space="preserve">Band Aid </t>
  </si>
  <si>
    <t>Salbutamol 250mg</t>
  </si>
  <si>
    <t>Biogesic 500mg</t>
  </si>
  <si>
    <t xml:space="preserve">Neozep 500mg </t>
  </si>
  <si>
    <t xml:space="preserve">Losartan10mg </t>
  </si>
  <si>
    <t xml:space="preserve">Ascorbic Acid Vit. C </t>
  </si>
  <si>
    <t xml:space="preserve">Planax 500mg </t>
  </si>
  <si>
    <t xml:space="preserve">Flumocil 500MG </t>
  </si>
  <si>
    <t>PSWDO - HAPPY HOME</t>
  </si>
  <si>
    <t>HRMDO</t>
  </si>
  <si>
    <t>PAGRI</t>
  </si>
  <si>
    <t>PPDO</t>
  </si>
  <si>
    <t>ENRO</t>
  </si>
  <si>
    <t>Printing &amp; Binding</t>
  </si>
  <si>
    <t>RSDC-Trafficking</t>
  </si>
  <si>
    <t>RSDC-PIACAT</t>
  </si>
  <si>
    <t>WOMEN 7999E</t>
  </si>
  <si>
    <r>
      <t>Training &amp; Seminar Expenses</t>
    </r>
    <r>
      <rPr>
        <sz val="10"/>
        <rFont val="Arial Narrow"/>
        <family val="2"/>
      </rPr>
      <t xml:space="preserve"> </t>
    </r>
  </si>
  <si>
    <t>Jan.-June 2026</t>
  </si>
  <si>
    <t>Code of Conduct &amp; Ethical Standards for Public Officials &amp; Employees RA 6713 (duration 2 days)</t>
  </si>
  <si>
    <t>Catering</t>
  </si>
  <si>
    <t>PHRMDO</t>
  </si>
  <si>
    <t>Fuel, Oil and Lubricants Expense</t>
  </si>
  <si>
    <t>FUEL</t>
  </si>
  <si>
    <t>345 liters</t>
  </si>
  <si>
    <t>Water Expense</t>
  </si>
  <si>
    <t>round container</t>
  </si>
  <si>
    <t>Repair &amp; Maintenance                      Office Equipment</t>
  </si>
  <si>
    <t>Goods &amp; Services</t>
  </si>
  <si>
    <t>Repair &amp; Maintenance                      Transportation Equipment</t>
  </si>
  <si>
    <t xml:space="preserve">Other Main. &amp; Operating Expenses </t>
  </si>
  <si>
    <t>pieces</t>
  </si>
  <si>
    <t>EMPLOYEES BADGE / ID</t>
  </si>
  <si>
    <t>Information &amp; Communication Tech. Equipment</t>
  </si>
  <si>
    <t>DESKTOP COMPUTER with printer and UPS</t>
  </si>
  <si>
    <t>8721-5-02-02-010</t>
  </si>
  <si>
    <t xml:space="preserve">Supply and Delivery of various supplies </t>
  </si>
  <si>
    <t>8721-5-02-03-010</t>
  </si>
  <si>
    <t>for the  Veterinary Office</t>
  </si>
  <si>
    <t>8721-5-02-06-010</t>
  </si>
  <si>
    <t>GENERAL FUND -MOOE(8721)</t>
  </si>
  <si>
    <t xml:space="preserve">Small Value </t>
  </si>
  <si>
    <t xml:space="preserve">Supply of Fuel for the Veterinary Office's Animal </t>
  </si>
  <si>
    <t>Diesel-1,311 liters</t>
  </si>
  <si>
    <t>8721-5-02-03</t>
  </si>
  <si>
    <t>Health Services</t>
  </si>
  <si>
    <t>Gasoline - 317.46 liters</t>
  </si>
  <si>
    <t>090</t>
  </si>
  <si>
    <t>8721-5-02-03-990</t>
  </si>
  <si>
    <t xml:space="preserve">Supply and delivery of accountable forms for </t>
  </si>
  <si>
    <t>60 booklets -accountable</t>
  </si>
  <si>
    <t>8721-5-02-03-020</t>
  </si>
  <si>
    <t>RIS and Acceptance</t>
  </si>
  <si>
    <t>veterinary revenue collection and services</t>
  </si>
  <si>
    <t>forms</t>
  </si>
  <si>
    <t xml:space="preserve">Water expenses for safe drinking water and </t>
  </si>
  <si>
    <t>375 bottles drinking water</t>
  </si>
  <si>
    <t>8721-5-02-04-010</t>
  </si>
  <si>
    <t>Production Center Operations</t>
  </si>
  <si>
    <t>8721-5-02-13-040</t>
  </si>
  <si>
    <t xml:space="preserve">Supplies for the Repair of Veterinary Office </t>
  </si>
  <si>
    <t>3 unit printer repair</t>
  </si>
  <si>
    <t>8721-5-02-13-050</t>
  </si>
  <si>
    <t>Equipment</t>
  </si>
  <si>
    <t>and reset</t>
  </si>
  <si>
    <t xml:space="preserve">Supply and Delivery of various spare parts </t>
  </si>
  <si>
    <t>8721-5-02-99-990</t>
  </si>
  <si>
    <t>for the use motorcycle veterinary vehicle</t>
  </si>
  <si>
    <t>8721-5-02-99</t>
  </si>
  <si>
    <t>charged to other maintenance and operating  exp.</t>
  </si>
  <si>
    <t>990</t>
  </si>
  <si>
    <t>CONSTRUCTION MATERIALS</t>
  </si>
  <si>
    <t>Puncher</t>
  </si>
  <si>
    <t>Ballpen Black</t>
  </si>
  <si>
    <t>Ballpen Red</t>
  </si>
  <si>
    <t>bottles</t>
  </si>
  <si>
    <t>Epson Ink 001 (Black)</t>
  </si>
  <si>
    <t>Epson Ink 001 (Yellow)</t>
  </si>
  <si>
    <t>Epson Ink 001 (Cayene, Magenta)</t>
  </si>
  <si>
    <t>FILER (BIG)</t>
  </si>
  <si>
    <t>File Folder (Long)</t>
  </si>
  <si>
    <t>Engineer's Field Book</t>
  </si>
  <si>
    <t>Expanding Envelope, Long 100's</t>
  </si>
  <si>
    <t>Hard Drive (2TB)</t>
  </si>
  <si>
    <t>Heavy Duty Stapler</t>
  </si>
  <si>
    <t>Pentelpen Black (Broad)</t>
  </si>
  <si>
    <t>Pentelpen INK Black (Broad)</t>
  </si>
  <si>
    <t>Paper Clip</t>
  </si>
  <si>
    <t>Alligator Clip (BIG)</t>
  </si>
  <si>
    <t>bxs.</t>
  </si>
  <si>
    <t>Alligator Clip (SMALL)</t>
  </si>
  <si>
    <t>Stamp (Released)</t>
  </si>
  <si>
    <t>Stamp (Date)</t>
  </si>
  <si>
    <t>Stamp (Draft)</t>
  </si>
  <si>
    <t>Picture Frame (A4)</t>
  </si>
  <si>
    <t>Tissue</t>
  </si>
  <si>
    <t>gal</t>
  </si>
  <si>
    <t>(2nd  Quarter)</t>
  </si>
  <si>
    <t>Epson Ink 664 (Black)</t>
  </si>
  <si>
    <t>Correction Tape 5mmX12m</t>
  </si>
  <si>
    <t>pcs.</t>
  </si>
  <si>
    <t>Traveling expenses include transportation costs, accommodation, meals or per diem, and other incidental expenses incurred when engineers attend trainings, seminars, or official activities outside their duty station.</t>
  </si>
  <si>
    <t>Training expenses for engineers cover fees for courses and certifications, travel and allowances, training materials, equipment or software, and related logistics.</t>
  </si>
  <si>
    <t>Procurement Semi- Expendable Machinery &amp; Equipment Expenses  of One (1) Lot ICT Equipment and Accessories (Desktop, Printers, Laptop, UPS, Cables, etc.)</t>
  </si>
  <si>
    <t>Office Chair</t>
  </si>
  <si>
    <t>LAN Wire 6m</t>
  </si>
  <si>
    <t>LAN Wire 15m</t>
  </si>
  <si>
    <t>Wheel Meter</t>
  </si>
  <si>
    <t>Laser Tape Measure</t>
  </si>
  <si>
    <t>A3 Printer</t>
  </si>
  <si>
    <t>3 in 1 Printer</t>
  </si>
  <si>
    <t>Reflectorized Vest</t>
  </si>
  <si>
    <t>Payment of Communcations Allowance /Subscription (Mobile Services for Office Operations)</t>
  </si>
  <si>
    <t>(monthly)</t>
  </si>
  <si>
    <t>December 2026</t>
  </si>
  <si>
    <t>Jan - Dec 2026</t>
  </si>
  <si>
    <t>Repair and Maintenance of Photocopier Machines, Laptops, Desktop Computers &amp; Aircon (Window &amp; Split Type)</t>
  </si>
  <si>
    <t>Procurement of Meals for meetings covers the provision of food and refreshments for participants during official meetings or activities.</t>
  </si>
  <si>
    <t>Goods
meal and snack (once a week or as needed)</t>
  </si>
  <si>
    <t xml:space="preserve">CAPITAL OUTLAY </t>
  </si>
  <si>
    <t>Procurement of One (1) Lot ICT Equipment and Accessories (Desktop, Printers, Laptop, UPS, Cables, etc.)</t>
  </si>
  <si>
    <t>atleast or equivalent
Intel Core i3 (10gen)
8gb ram, 512 SSD, with Licensed OS and Office</t>
  </si>
  <si>
    <t xml:space="preserve">Computer LED Monitor 20 inch </t>
  </si>
  <si>
    <t>Uninterruptible Power System -  Minimum Rating : 650 VA</t>
  </si>
  <si>
    <t>Computer Printer (Ink tank Printer, Compact size)</t>
  </si>
  <si>
    <t>SSD 500gb</t>
  </si>
  <si>
    <t>External Drive 2TB</t>
  </si>
  <si>
    <t>pc</t>
  </si>
  <si>
    <t>PEO - PLANNING</t>
  </si>
  <si>
    <t>tubes</t>
  </si>
  <si>
    <t>kls</t>
  </si>
  <si>
    <t>Long Size Expanding File Folder With Clipboard Folder Organizer</t>
  </si>
  <si>
    <t xml:space="preserve">Heavy Duty Tape Dispenser Big </t>
  </si>
  <si>
    <t>PEO - ADMIN</t>
  </si>
  <si>
    <t>PEO ADMIN</t>
  </si>
  <si>
    <t>PEO-PLANNING</t>
  </si>
  <si>
    <t>All-in-One Ink Tank Printer</t>
  </si>
  <si>
    <t>PEO-ADMIN</t>
  </si>
  <si>
    <t>Procurement of semi expandable machinery &amp; eqpt. Expenses  of One (1) Lot ICT Equipment and Accessories (Desktop, Printers, Laptop, UPS, Cables, etc.)</t>
  </si>
  <si>
    <t>at least or equivalent
Intel Core i3 (12gen)
8gb ram, 500GB SSD, with Licensed OS and Office</t>
  </si>
  <si>
    <r>
      <t xml:space="preserve">Procurement of </t>
    </r>
    <r>
      <rPr>
        <b/>
        <sz val="10"/>
        <color indexed="8"/>
        <rFont val="Times New Roman"/>
        <family val="1"/>
      </rPr>
      <t>semi‑expendable furniture</t>
    </r>
    <r>
      <rPr>
        <sz val="10"/>
        <color indexed="8"/>
        <rFont val="Times New Roman"/>
        <family val="1"/>
      </rPr>
      <t xml:space="preserve"> to support the operational and administrative requirements of the office</t>
    </r>
  </si>
  <si>
    <t>Goods
Purified Drinking Water</t>
  </si>
  <si>
    <r>
      <t xml:space="preserve">Payment of </t>
    </r>
    <r>
      <rPr>
        <b/>
        <sz val="10"/>
        <color indexed="8"/>
        <rFont val="Times New Roman"/>
        <family val="1"/>
      </rPr>
      <t>Telephone Subscription</t>
    </r>
    <r>
      <rPr>
        <sz val="10"/>
        <color indexed="8"/>
        <rFont val="Times New Roman"/>
        <family val="1"/>
      </rPr>
      <t xml:space="preserve"> (Landline Services for Office Operations)</t>
    </r>
  </si>
  <si>
    <r>
      <t xml:space="preserve">Payment of </t>
    </r>
    <r>
      <rPr>
        <b/>
        <sz val="10"/>
        <color indexed="8"/>
        <rFont val="Times New Roman"/>
        <family val="1"/>
      </rPr>
      <t>Internet Subscription</t>
    </r>
    <r>
      <rPr>
        <sz val="10"/>
        <color indexed="8"/>
        <rFont val="Times New Roman"/>
        <family val="1"/>
      </rPr>
      <t xml:space="preserve"> (Broadband/Fiber Connection for Office Operations)</t>
    </r>
  </si>
  <si>
    <t>Extraordinary and Miscellaneous Expenses</t>
  </si>
  <si>
    <t>SEMI-EXPENDABLE FURNITURES AND FIXTURES</t>
  </si>
  <si>
    <t>Jan-June 2026</t>
  </si>
  <si>
    <t>Short Book Paper, 70 gsm</t>
  </si>
  <si>
    <t>ream</t>
  </si>
  <si>
    <t>Long Book Paper, 70 gsm</t>
  </si>
  <si>
    <t>A4 Paper, 70 gsm</t>
  </si>
  <si>
    <t>A3 Paper, 70 gsm</t>
  </si>
  <si>
    <t>Folder Long, (brown color)</t>
  </si>
  <si>
    <t>Folder Short, (brown color)</t>
  </si>
  <si>
    <t>Record book 300 pages</t>
  </si>
  <si>
    <t>Epson Ink (Black) #003</t>
  </si>
  <si>
    <t>Epson Ink (Cyan) #003</t>
  </si>
  <si>
    <t>Epson Ink (Yellow) #003</t>
  </si>
  <si>
    <t>Epson Ink (Magenta) #003</t>
  </si>
  <si>
    <t>Plasctic Fastener (Colored, Plastic)</t>
  </si>
  <si>
    <t>box</t>
  </si>
  <si>
    <t>Staple wire #55</t>
  </si>
  <si>
    <t>Stapler #55</t>
  </si>
  <si>
    <t>Ballpen, (Black, 0.5mm)</t>
  </si>
  <si>
    <t>Masking tape big #2</t>
  </si>
  <si>
    <t>Masking tape big #1</t>
  </si>
  <si>
    <t>Scotch Tape big #2</t>
  </si>
  <si>
    <t>Scotch Tape big #1</t>
  </si>
  <si>
    <t>Correction tape, 5mmX12mm</t>
  </si>
  <si>
    <t>Field Book</t>
  </si>
  <si>
    <t>Computer Chair</t>
  </si>
  <si>
    <t>Carbon Paper, (Blue color, Long)</t>
  </si>
  <si>
    <t>Alcohol, 500 ml, 70%</t>
  </si>
  <si>
    <t>bots</t>
  </si>
  <si>
    <t>Dishwashing Liquid 500ml</t>
  </si>
  <si>
    <t>Detergent Powder 65g</t>
  </si>
  <si>
    <t>Detergent Bar</t>
  </si>
  <si>
    <t>Broom Stick</t>
  </si>
  <si>
    <t>Dust Pan</t>
  </si>
  <si>
    <t>Toilet Paper 2ply</t>
  </si>
  <si>
    <t>dozen</t>
  </si>
  <si>
    <t>Toilet Bowl Cleaner (200ml)</t>
  </si>
  <si>
    <t>Insect Repellent Spray (500 ml)</t>
  </si>
  <si>
    <t>Calcuclator (ordinary)</t>
  </si>
  <si>
    <t>PEO-OPERATION</t>
  </si>
  <si>
    <r>
      <rPr>
        <b/>
        <sz val="10"/>
        <color rgb="FF000000"/>
        <rFont val="Arial"/>
        <family val="2"/>
      </rPr>
      <t>Travelling expenses</t>
    </r>
    <r>
      <rPr>
        <sz val="10"/>
        <color rgb="FF000000"/>
        <rFont val="Arial"/>
        <family val="2"/>
      </rPr>
      <t xml:space="preserve"> for personnel attending trainings and official activities in support of RA 12009 compliance</t>
    </r>
  </si>
  <si>
    <r>
      <rPr>
        <b/>
        <sz val="10"/>
        <color rgb="FF000000"/>
        <rFont val="Arial"/>
        <family val="2"/>
      </rPr>
      <t>Training expenses</t>
    </r>
    <r>
      <rPr>
        <sz val="10"/>
        <color rgb="FF000000"/>
        <rFont val="Arial"/>
        <family val="2"/>
      </rPr>
      <t xml:space="preserve"> for employees to ensure compliance with RA 12009 and strengthen procurement skills</t>
    </r>
  </si>
  <si>
    <t xml:space="preserve">Procurement of semi-expandable machinery  &amp; eqpt. Expenses of one (1) Lot ICT Equipment and accessories (Desktop, Printers, Laptop, UPS, Cables, etc.  </t>
  </si>
  <si>
    <r>
      <t xml:space="preserve">Payment of </t>
    </r>
    <r>
      <rPr>
        <b/>
        <sz val="10"/>
        <color rgb="FF000000"/>
        <rFont val="Arial"/>
        <family val="2"/>
      </rPr>
      <t>Telephone Subscription</t>
    </r>
    <r>
      <rPr>
        <sz val="10"/>
        <color rgb="FF000000"/>
        <rFont val="Arial"/>
        <family val="2"/>
      </rPr>
      <t xml:space="preserve"> (Landline Services for Office Operations)</t>
    </r>
  </si>
  <si>
    <r>
      <t xml:space="preserve">Payment of </t>
    </r>
    <r>
      <rPr>
        <b/>
        <sz val="10"/>
        <color rgb="FF000000"/>
        <rFont val="Arial"/>
        <family val="2"/>
      </rPr>
      <t>Internet Subscription</t>
    </r>
    <r>
      <rPr>
        <sz val="10"/>
        <color rgb="FF000000"/>
        <rFont val="Arial"/>
        <family val="2"/>
      </rPr>
      <t xml:space="preserve"> (Broadband/Fiber Connection for Office Operations)</t>
    </r>
  </si>
  <si>
    <t>Repair &amp; Maintenance</t>
  </si>
  <si>
    <t>Other Supplies Expenses</t>
  </si>
  <si>
    <t>Oxygen (Industrial) (Content only) 50 LBS</t>
  </si>
  <si>
    <t>cyl</t>
  </si>
  <si>
    <t>Acetylene (Industrial) (Content only) 25.2 LBS</t>
  </si>
  <si>
    <t>Dual band two-way radio (4 pcs)
Specification:
Output: 4W
1.5" LCD display professional two-way radio
128 channels 50CSTCSS and 104 CDCSS
Frequency Range: 136-174Mhz / 400 ~ 520Mhz
Frequency Stability: +/-2.5ppm
80 Hour Stanby Time
Antenna: High gain Dual Band Antenna
Antenna Impedance: 50Ω
Operating Voltage: DC 7.4V
Modulation Mode: 16kΦF3E / 11ΦF3E
Maximum deviation: &lt;5kHz (Wide) / &lt;2.5kHz (Narrow)
Spurios Radiation: &lt;7uW
Adjacent Ch. power: &lt;-65dB (Wide) / &lt;-60dB (Narrow)
Pre-emphasis characteristics: 6dB
Current: &lt;1.6A (5W)
CTCSS/DCS deviation: 0.5+0.1 kHz (Wide) / 0.3 +0.1kHz (Narrow)</t>
  </si>
  <si>
    <t>Other Maint. &amp; Operating Expenses</t>
  </si>
  <si>
    <t>Steel plate 1/2 inch</t>
  </si>
  <si>
    <t>Channel Bar 2 x 6 x 6 6 mm</t>
  </si>
  <si>
    <t>Welding rod 70/18 (3.2mm)</t>
  </si>
  <si>
    <t>Welding rod 60/11 (3.2mm)</t>
  </si>
  <si>
    <t>Welding rod 60/13 (3.2mm)</t>
  </si>
  <si>
    <t>Air Compressor Oil Free 4HP 
Specification:
Voltage:220-240V~60Hz
Input power: 2×1500W(4HP)
Tank:100L(26.4Gal)
Oil free system
Noise: 75db
Copper wire motor
No-load speed:3400rpm
Operation pressure:max.8bar</t>
  </si>
  <si>
    <t>Air impact wrench #3/4
Specification:
Without quick plug
Square drive:19mm(3/4")
No-load speed:4000 rpm
Max.torque:1600Nm(1180ft)
Twin hammer mechanism
With universal connector.
Air Consumption:256l/min(9cfm)
Air Pressure:6.3bar(90psi)
Length:234mm(9.2")
Weight:5.9kgs(13lbs)
Air Inlet:3/8"
Air hose:1/2"</t>
  </si>
  <si>
    <t>Air impact wrench #1
Specification:
Without quick plug
Square drive:25mm(1")
No-load speed:4000 rpm
Max.torque:1800Nm(1328ft)
Twin hammer mechanism
With universal connector.
Air Consumption:256l/min(9cfm)
Air Pressure:6.3bar(90psi)
Length:234mm(9.2")
Weight:5.9kgs(13lbs)
Air Inlet:3/8"
Air hose:1/2"</t>
  </si>
  <si>
    <t>Air Impact Wrench 1 Inch (Square Drive)
Specification:
Square Drive: 25mm (1")
No-Load Speed: 3600 RPM
Maximum Torque: 3100 Nm (2300 ft-lbs)
Air Consumption: 1019 L/min (36 CFM)
Anvil Size: 200mm (8")
Capacity Bolt Size: 45mm (1-3/4")
Air Inlet Size: 1/2"
Air Hose Size: 1/2"</t>
  </si>
  <si>
    <t>Rubber Air Hose 1/2 (High Pressure Heavy Duty with Fittings)
Specification:
Size: 1/2 inch (≈ 13 mm inner diameter)
Type: Straight hose / tube
Material: Rubber (heavy-duty)
Working Pressure: ~200–300 PSI
Length options: 15mtrs.
Fittings: Quick connect (C-type / NPT)
Use:
- Air tools (impact wrench, grinder)
- Spray gun
- Vulcanizing / shop use</t>
  </si>
  <si>
    <t>roll</t>
  </si>
  <si>
    <t>2 unit</t>
  </si>
  <si>
    <t xml:space="preserve">2 pc  </t>
  </si>
  <si>
    <t>Printer 3 in 1
*Functions Print, Scan, Copy
*Printing Technology On-demand inkjet (Piezoelectric) with Heat-Free Technology
*Maximum Print Resolution 5760 x 1440 dpi
*ISO Print Speed Up to 10 ipm (black) and 5 ipm (color)
*Scanning Resolution 600 x 1200 dpi (optical)
*Connectivity Hi-Speed USB 2.0
*Paper Capacity 100 sheets (input tray), 30 sheets (output tray)
*Maximum Paper Size 215.9 x 1200 mm (user defined), supports up to A4/Legal
*Borderless Printing Yes, up to 4R photo size (4 x 6")
*Compatible OS Windows XP SP3 or later, Windows Server 2003 or later, Mac OS X 10.6.8 or later
*Dimensions (W x D x H) 375 x 347 x 179 mm (closed)
*Weight 3.9 kg</t>
  </si>
  <si>
    <t xml:space="preserve">INTERNAL STORAGE DRIVE
- 500 GB M.2 2280 Gen 4x4 NVME SSD
</t>
  </si>
  <si>
    <r>
      <t xml:space="preserve">Brother Ink </t>
    </r>
    <r>
      <rPr>
        <sz val="10"/>
        <color indexed="8"/>
        <rFont val="Century Gothic"/>
        <family val="2"/>
      </rPr>
      <t xml:space="preserve">BT DT-D60 (Black) </t>
    </r>
  </si>
  <si>
    <r>
      <t xml:space="preserve">Brother Ink </t>
    </r>
    <r>
      <rPr>
        <sz val="10"/>
        <color indexed="8"/>
        <rFont val="Century Gothic"/>
        <family val="2"/>
      </rPr>
      <t xml:space="preserve"> BT5000 (Yellow) </t>
    </r>
  </si>
  <si>
    <r>
      <t xml:space="preserve">Brother Ink </t>
    </r>
    <r>
      <rPr>
        <sz val="10"/>
        <color indexed="8"/>
        <rFont val="Century Gothic"/>
        <family val="2"/>
      </rPr>
      <t xml:space="preserve"> BT5000 (Cayene, Magenta) </t>
    </r>
  </si>
  <si>
    <t>1 JOB ORDER</t>
  </si>
  <si>
    <t>200 round container</t>
  </si>
  <si>
    <t>119 Gallon per month</t>
  </si>
  <si>
    <t>OLF</t>
  </si>
  <si>
    <t>GAD</t>
  </si>
  <si>
    <t>GEN FUND</t>
  </si>
  <si>
    <t>Legend:</t>
  </si>
  <si>
    <t>TOTAL SUMMARY</t>
  </si>
  <si>
    <r>
      <t xml:space="preserve">Supply and Delivery of </t>
    </r>
    <r>
      <rPr>
        <b/>
        <sz val="10"/>
        <color theme="1"/>
        <rFont val="Times New Roman"/>
        <family val="1"/>
      </rPr>
      <t>Office Supplies</t>
    </r>
    <r>
      <rPr>
        <sz val="10"/>
        <color theme="1"/>
        <rFont val="Times New Roman"/>
        <family val="1"/>
      </rPr>
      <t xml:space="preserve"> (1 Lot) for Office Use</t>
    </r>
  </si>
  <si>
    <t>small value</t>
  </si>
  <si>
    <t>to be follow</t>
  </si>
  <si>
    <t>Book paper short sub 70</t>
  </si>
  <si>
    <t>rms</t>
  </si>
  <si>
    <t>Book paper long sub 70</t>
  </si>
  <si>
    <t>Book paper A4 sub 70</t>
  </si>
  <si>
    <t>Bond paper short sub 16</t>
  </si>
  <si>
    <t>Bond paper long sub 16</t>
  </si>
  <si>
    <t>Expanded long envelope</t>
  </si>
  <si>
    <t>doz</t>
  </si>
  <si>
    <t>Masking Tape 2"</t>
  </si>
  <si>
    <t>Envelope Short Brown</t>
  </si>
  <si>
    <t>Ballpen (50 pcs)</t>
  </si>
  <si>
    <t>Envelop long (brown)</t>
  </si>
  <si>
    <t>Pass Slip 1/4 with duplicate</t>
  </si>
  <si>
    <t>pads</t>
  </si>
  <si>
    <t>Order Slip 1/2 with duplicate</t>
  </si>
  <si>
    <t>Double sided tape</t>
  </si>
  <si>
    <t>Clearbook</t>
  </si>
  <si>
    <t>Calculator</t>
  </si>
  <si>
    <t>Scissor (big)</t>
  </si>
  <si>
    <t>Plastic Fastener</t>
  </si>
  <si>
    <t>Paper Clip small</t>
  </si>
  <si>
    <t>Paper Clip big</t>
  </si>
  <si>
    <t>Stamping pad</t>
  </si>
  <si>
    <t xml:space="preserve">pc </t>
  </si>
  <si>
    <t>Toilet brush</t>
  </si>
  <si>
    <t>Logbook 300 pgs</t>
  </si>
  <si>
    <t>BT 600 Ink Black</t>
  </si>
  <si>
    <t>bot</t>
  </si>
  <si>
    <t>BT 5000 Yellow</t>
  </si>
  <si>
    <t>BT 5000 Magenta</t>
  </si>
  <si>
    <t>BT 5000 Cyan</t>
  </si>
  <si>
    <t>Expanded Foldern color  L</t>
  </si>
  <si>
    <t>Cambric Board long</t>
  </si>
  <si>
    <t>bx</t>
  </si>
  <si>
    <t>Spring Binder # 1/2, 1/4</t>
  </si>
  <si>
    <t>Diswashing Paste  Anti-Bacteria 200 grms</t>
  </si>
  <si>
    <t>Powder Soap 500 mg Ati-Bacteria</t>
  </si>
  <si>
    <t>Staple Wire #35</t>
  </si>
  <si>
    <t>PVC cover  clear Long</t>
  </si>
  <si>
    <t>rm</t>
  </si>
  <si>
    <t>Bulb led light  9watts</t>
  </si>
  <si>
    <t>Folder rack</t>
  </si>
  <si>
    <t>Air Freshener</t>
  </si>
  <si>
    <t>Storage Box L</t>
  </si>
  <si>
    <t>Color Folder Small</t>
  </si>
  <si>
    <t>Vellum White</t>
  </si>
  <si>
    <t>Battery Energizer AAA</t>
  </si>
  <si>
    <t>Battery Energizer AA</t>
  </si>
  <si>
    <t>Pentel pen ink black</t>
  </si>
  <si>
    <t>Gun Tacker Heavy Duty</t>
  </si>
  <si>
    <t>Dishwashing Liquid</t>
  </si>
  <si>
    <t>Sticker paper A4</t>
  </si>
  <si>
    <t>Sliding folder long</t>
  </si>
  <si>
    <t>Paper clamp medium</t>
  </si>
  <si>
    <t>LC 3617 MAGENTA</t>
  </si>
  <si>
    <t>LC 3617 YELLOW</t>
  </si>
  <si>
    <t>LC 3617 BALCK</t>
  </si>
  <si>
    <t>LC 3617 CYAN</t>
  </si>
  <si>
    <t>Baygon Spray</t>
  </si>
  <si>
    <t>Notepad 1/4</t>
  </si>
  <si>
    <t>Expandable Envelop L</t>
  </si>
  <si>
    <t>Staple wire B8 Bostitch</t>
  </si>
  <si>
    <t>Ball pen Blk/Blue</t>
  </si>
  <si>
    <t>Mop Head</t>
  </si>
  <si>
    <t>Mpop Hnadle</t>
  </si>
  <si>
    <t xml:space="preserve">Bathroom Tissue </t>
  </si>
  <si>
    <t>Battery Backup UPS</t>
  </si>
  <si>
    <t>Arch File L</t>
  </si>
  <si>
    <t>Zonrox Liquid</t>
  </si>
  <si>
    <t>Liquid Hand Soap</t>
  </si>
  <si>
    <t>Albatross</t>
  </si>
  <si>
    <t>Staple wire remover</t>
  </si>
  <si>
    <t>Toilet Duck</t>
  </si>
  <si>
    <t>Dtergent Powder</t>
  </si>
  <si>
    <t>Special Paper L assorted color</t>
  </si>
  <si>
    <t>pack</t>
  </si>
  <si>
    <t>Parchment Paper A4</t>
  </si>
  <si>
    <t>Colored plastic Fastener</t>
  </si>
  <si>
    <t>Envelop L/S (brown)</t>
  </si>
  <si>
    <t>PVC  binding element s</t>
  </si>
  <si>
    <t>PVC binding element b</t>
  </si>
  <si>
    <t>Binder clip black big</t>
  </si>
  <si>
    <t>Heavy Duty Stapler big</t>
  </si>
  <si>
    <t>Brown Folder L</t>
  </si>
  <si>
    <t>White Folder S</t>
  </si>
  <si>
    <t>Common Use Supplies</t>
  </si>
  <si>
    <t>TOURISM</t>
  </si>
  <si>
    <t>UB</t>
  </si>
  <si>
    <t>Expanded folder long</t>
  </si>
  <si>
    <t>Mailing Envelop Long</t>
  </si>
  <si>
    <t>Photo paper</t>
  </si>
  <si>
    <t>Duct Tape</t>
  </si>
  <si>
    <t>Gun Tacker Staple wire</t>
  </si>
  <si>
    <t>Toilet Bowl cleanser</t>
  </si>
  <si>
    <t>Face Mask</t>
  </si>
  <si>
    <t>Manila paper</t>
  </si>
  <si>
    <t>Cartolina</t>
  </si>
  <si>
    <t>pentel pen black</t>
  </si>
  <si>
    <t>Paper clamp</t>
  </si>
  <si>
    <t>Glue stick</t>
  </si>
  <si>
    <t>Binder Clip color L</t>
  </si>
  <si>
    <t xml:space="preserve">Notebook  500 </t>
  </si>
  <si>
    <t>A3 PAPER</t>
  </si>
  <si>
    <t>Garbage Bin</t>
  </si>
  <si>
    <t>Crystal Stamp 50x25</t>
  </si>
  <si>
    <t>Stamp 10x28 Yellow Orange</t>
  </si>
  <si>
    <t>Dater Stamp</t>
  </si>
  <si>
    <t>RER Form</t>
  </si>
  <si>
    <t>PVC  A4</t>
  </si>
  <si>
    <t>Gasul refill Tank</t>
  </si>
  <si>
    <t>White Folder L</t>
  </si>
  <si>
    <r>
      <t>Procurement of</t>
    </r>
    <r>
      <rPr>
        <b/>
        <sz val="10"/>
        <color theme="1"/>
        <rFont val="Times New Roman"/>
        <family val="1"/>
      </rPr>
      <t xml:space="preserve"> Other Supplies</t>
    </r>
    <r>
      <rPr>
        <sz val="10"/>
        <color theme="1"/>
        <rFont val="Times New Roman"/>
        <family val="1"/>
      </rPr>
      <t xml:space="preserve"> (Cleaning materials for Pool use)</t>
    </r>
  </si>
  <si>
    <t>Jan-Dec 2026</t>
  </si>
  <si>
    <t>For daily operations</t>
  </si>
  <si>
    <t>a. Chlorine Powder</t>
  </si>
  <si>
    <t>Kls</t>
  </si>
  <si>
    <t>b. Dry Acid</t>
  </si>
  <si>
    <t>Bag</t>
  </si>
  <si>
    <t>c. Test Kit</t>
  </si>
  <si>
    <t>Pcs</t>
  </si>
  <si>
    <t>d. Hi-Clon 70% Chlorine Granules</t>
  </si>
  <si>
    <t>pail</t>
  </si>
  <si>
    <t xml:space="preserve">e.Vacuume Head Heavy </t>
  </si>
  <si>
    <t>OTHER SUPPLIES</t>
  </si>
  <si>
    <t>Printer</t>
  </si>
  <si>
    <t>Hotel Supplies</t>
  </si>
  <si>
    <t>Bathsoap  20g</t>
  </si>
  <si>
    <t>Shampoo w/con</t>
  </si>
  <si>
    <t>Dental Kit</t>
  </si>
  <si>
    <t>Guest Kit (empty)</t>
  </si>
  <si>
    <t>Fabric Conditioner 38ml</t>
  </si>
  <si>
    <t>Detergent Powder 40g</t>
  </si>
  <si>
    <t>Detergent Powder 500g</t>
  </si>
  <si>
    <t>Tissue Paper</t>
  </si>
  <si>
    <t>Liquid Bath cleaner</t>
  </si>
  <si>
    <t>Bleach (color safe)</t>
  </si>
  <si>
    <t>Bl;each (original)</t>
  </si>
  <si>
    <t>Insecticide</t>
  </si>
  <si>
    <t>Bowl Cleaner</t>
  </si>
  <si>
    <t>deodorizer</t>
  </si>
  <si>
    <t>Hydrochloric Acid</t>
  </si>
  <si>
    <t>Lime Scale</t>
  </si>
  <si>
    <t>Sando bag (large size0</t>
  </si>
  <si>
    <t>bag</t>
  </si>
  <si>
    <t>Trash Bag (roll white)</t>
  </si>
  <si>
    <t>Black Coffee (stick)</t>
  </si>
  <si>
    <t>Coffee creamer sachet</t>
  </si>
  <si>
    <t>Sugar (sachet)</t>
  </si>
  <si>
    <t>bar</t>
  </si>
  <si>
    <r>
      <t xml:space="preserve">Supply and Delivery of </t>
    </r>
    <r>
      <rPr>
        <b/>
        <sz val="10"/>
        <color theme="1"/>
        <rFont val="Times New Roman"/>
        <family val="1"/>
      </rPr>
      <t>Other Supplies</t>
    </r>
    <r>
      <rPr>
        <sz val="10"/>
        <color theme="1"/>
        <rFont val="Times New Roman"/>
        <family val="1"/>
      </rPr>
      <t xml:space="preserve"> (Polo Shirts) for Office Staff
</t>
    </r>
  </si>
  <si>
    <t>Polo Shirt</t>
  </si>
  <si>
    <t>Gal</t>
  </si>
  <si>
    <t>Clearbook A4</t>
  </si>
  <si>
    <t>Clearbook Legal</t>
  </si>
  <si>
    <t>Eraser</t>
  </si>
  <si>
    <t>Sign Pen (black)</t>
  </si>
  <si>
    <t>Sign Pen (red)</t>
  </si>
  <si>
    <t>Battery AA</t>
  </si>
  <si>
    <t>Battery AAA</t>
  </si>
  <si>
    <t>Ink (stamp pad) 50ml</t>
  </si>
  <si>
    <t>Glue,all purpose,200g</t>
  </si>
  <si>
    <t>jar</t>
  </si>
  <si>
    <t>Staple Wire 23/13</t>
  </si>
  <si>
    <t>Tape, electrical</t>
  </si>
  <si>
    <t>Tape, masking,24mm</t>
  </si>
  <si>
    <t>Tape, masking,48mm</t>
  </si>
  <si>
    <t>Tape, packaging</t>
  </si>
  <si>
    <t>Twine,plastic</t>
  </si>
  <si>
    <t>Ruler</t>
  </si>
  <si>
    <t>Cutter/Utility knife</t>
  </si>
  <si>
    <t>Data File Box</t>
  </si>
  <si>
    <t>Data Folder</t>
  </si>
  <si>
    <t>Dating and Stamping Machine</t>
  </si>
  <si>
    <t>Envelope,documentary,legal</t>
  </si>
  <si>
    <t>Envelope,Expanding,Kraft</t>
  </si>
  <si>
    <t>Envelope,Expanding,Plastic</t>
  </si>
  <si>
    <t>Envelope, Mailing</t>
  </si>
  <si>
    <t>File Organizer</t>
  </si>
  <si>
    <t>Folder Short</t>
  </si>
  <si>
    <t>Folder A4</t>
  </si>
  <si>
    <t>Folder, Legal</t>
  </si>
  <si>
    <t>Marker, black</t>
  </si>
  <si>
    <t>Marker,blue</t>
  </si>
  <si>
    <t>Paper Clip, 50mm</t>
  </si>
  <si>
    <t>Pencil Sharpener</t>
  </si>
  <si>
    <t>Ring Binder</t>
  </si>
  <si>
    <t>bundle</t>
  </si>
  <si>
    <t>Rubber Band</t>
  </si>
  <si>
    <t>Stamp Pad</t>
  </si>
  <si>
    <t>Stapler, standard</t>
  </si>
  <si>
    <t>Stapler,heavy duty</t>
  </si>
  <si>
    <t>Paper,Multipurpose,Short</t>
  </si>
  <si>
    <t>Paper,Multipurpose,A4</t>
  </si>
  <si>
    <t>Paper,Multipurpose,Legal</t>
  </si>
  <si>
    <t>Record Book,300pages</t>
  </si>
  <si>
    <t>book</t>
  </si>
  <si>
    <t>Ink,Brother,black</t>
  </si>
  <si>
    <t>cart</t>
  </si>
  <si>
    <t>Ink,Brother,cyan</t>
  </si>
  <si>
    <t>Ink,Brother,yellow</t>
  </si>
  <si>
    <t>Ink,Brother,magenta</t>
  </si>
  <si>
    <t>can</t>
  </si>
  <si>
    <t>Broom,soft</t>
  </si>
  <si>
    <t>Broom,stick</t>
  </si>
  <si>
    <t>Cleaner,toilet,1000ml</t>
  </si>
  <si>
    <t>Detergent Powder</t>
  </si>
  <si>
    <t>pouch</t>
  </si>
  <si>
    <t>Floor Wax,paste</t>
  </si>
  <si>
    <t>Furniture cleaner</t>
  </si>
  <si>
    <t>Liquid Hand Soap,500ml</t>
  </si>
  <si>
    <t>Mop Handle,heavy duty</t>
  </si>
  <si>
    <t>Mop head</t>
  </si>
  <si>
    <t>Trashbag,black,37"x40"</t>
  </si>
  <si>
    <t>Tissue,interfolded towel</t>
  </si>
  <si>
    <t>Tissue,toilet paper</t>
  </si>
  <si>
    <t>Liquid Hand Sanitizer</t>
  </si>
  <si>
    <t>Insecticide,600ml</t>
  </si>
  <si>
    <t>Fire Extinguisher</t>
  </si>
  <si>
    <t>Trash Can,big</t>
  </si>
  <si>
    <t>Mighty Bod</t>
  </si>
  <si>
    <t>File box</t>
  </si>
  <si>
    <t xml:space="preserve">Cartolina </t>
  </si>
  <si>
    <t>Rubber Mat</t>
  </si>
  <si>
    <t>mtrs</t>
  </si>
  <si>
    <t>USB,16gb</t>
  </si>
  <si>
    <t>Muriatic Acid,gal.</t>
  </si>
  <si>
    <t>Bath Soap (shield)</t>
  </si>
  <si>
    <t>Zonrox,gal</t>
  </si>
  <si>
    <t>Magazine File Box</t>
  </si>
  <si>
    <t>Sando Bag,XL</t>
  </si>
  <si>
    <t>Vaccuum cellophane</t>
  </si>
  <si>
    <t>Glue Gun</t>
  </si>
  <si>
    <t>Stick Glue</t>
  </si>
  <si>
    <t>Sticker Paper</t>
  </si>
  <si>
    <t>Cleaner, Toilet Bowl</t>
  </si>
  <si>
    <t>bottle</t>
  </si>
  <si>
    <t>Cleanser, Scouring Powder</t>
  </si>
  <si>
    <t>Clip, backfold 50mm</t>
  </si>
  <si>
    <t>Marker, White Board Black</t>
  </si>
  <si>
    <t>Marker, White Board Blue</t>
  </si>
  <si>
    <t>Construction Paper</t>
  </si>
  <si>
    <t>Record Book 500 pages</t>
  </si>
  <si>
    <t>Ballpen</t>
  </si>
  <si>
    <t>Cashbook</t>
  </si>
  <si>
    <t>Epson Ink</t>
  </si>
  <si>
    <t xml:space="preserve">Rubber Mat Rug </t>
  </si>
  <si>
    <t>UC</t>
  </si>
  <si>
    <t>Staple Wire ,standard</t>
  </si>
  <si>
    <t>pair</t>
  </si>
  <si>
    <t>Bookpaper A4</t>
  </si>
  <si>
    <t>Computer Ink</t>
  </si>
  <si>
    <t>Lock with Chain</t>
  </si>
  <si>
    <t>Dust Cloth</t>
  </si>
  <si>
    <t>File Box</t>
  </si>
  <si>
    <t>Hand Dryer</t>
  </si>
  <si>
    <t>Fabric Conditioner</t>
  </si>
  <si>
    <t>Garbage Bag,XL</t>
  </si>
  <si>
    <t>Toilet and Sink Cleaner</t>
  </si>
  <si>
    <r>
      <t>Procurement of</t>
    </r>
    <r>
      <rPr>
        <b/>
        <sz val="10"/>
        <color theme="1"/>
        <rFont val="Times New Roman"/>
        <family val="1"/>
      </rPr>
      <t xml:space="preserve"> Other Supplies</t>
    </r>
    <r>
      <rPr>
        <sz val="10"/>
        <color theme="1"/>
        <rFont val="Times New Roman"/>
        <family val="1"/>
      </rPr>
      <t xml:space="preserve"> </t>
    </r>
  </si>
  <si>
    <t>Philippine National Flag</t>
  </si>
  <si>
    <t>Vacuum Cleaner</t>
  </si>
  <si>
    <t xml:space="preserve">Scenting Machine	</t>
  </si>
  <si>
    <t>Paging System</t>
  </si>
  <si>
    <t xml:space="preserve">Speaker (big)	</t>
  </si>
  <si>
    <t xml:space="preserve">Electric Fan 	</t>
  </si>
  <si>
    <t>Emergency Light</t>
  </si>
  <si>
    <t xml:space="preserve">Water Dispenser	</t>
  </si>
  <si>
    <t xml:space="preserve">Office Table	</t>
  </si>
  <si>
    <t xml:space="preserve">Hand Dryer 	</t>
  </si>
  <si>
    <t xml:space="preserve">Fire Extinguisher </t>
  </si>
  <si>
    <t xml:space="preserve">Microphone set	</t>
  </si>
  <si>
    <t>Lapel</t>
  </si>
  <si>
    <t>warm Light Bulb</t>
  </si>
  <si>
    <t>boxes</t>
  </si>
  <si>
    <t>UC-MUSEUM</t>
  </si>
  <si>
    <t>UB-TDP</t>
  </si>
  <si>
    <r>
      <t xml:space="preserve">Supply and Delivery of </t>
    </r>
    <r>
      <rPr>
        <b/>
        <sz val="10"/>
        <color theme="1"/>
        <rFont val="Times New Roman"/>
        <family val="1"/>
      </rPr>
      <t>Other Supplies</t>
    </r>
    <r>
      <rPr>
        <sz val="10"/>
        <color theme="1"/>
        <rFont val="Times New Roman"/>
        <family val="1"/>
      </rPr>
      <t xml:space="preserve"> (1 Lot) for Eco-Parks</t>
    </r>
  </si>
  <si>
    <t xml:space="preserve"> (1st Quarter)</t>
  </si>
  <si>
    <t>Comfort Room/Sanitation</t>
  </si>
  <si>
    <t>Fabric Conditioner (Downy) Sachet</t>
  </si>
  <si>
    <t>Domex Bottle</t>
  </si>
  <si>
    <t>Zonrox</t>
  </si>
  <si>
    <t>Muriatic</t>
  </si>
  <si>
    <t>Hand Soap</t>
  </si>
  <si>
    <t>Sando Bag (Big)</t>
  </si>
  <si>
    <t>Trash Bag</t>
  </si>
  <si>
    <t>Toilet Paper</t>
  </si>
  <si>
    <t>Sponge</t>
  </si>
  <si>
    <t>Glass Cleaner</t>
  </si>
  <si>
    <t>Empty Bottle with Spray</t>
  </si>
  <si>
    <t>Mop</t>
  </si>
  <si>
    <t>Toilet Brush</t>
  </si>
  <si>
    <t>Medicines for Plants,Pest Control and Alikes</t>
  </si>
  <si>
    <t>Anti-Anay Bokbok Medicine</t>
  </si>
  <si>
    <t>Urea Fertilizer</t>
  </si>
  <si>
    <t>Scissor</t>
  </si>
  <si>
    <t>Coupon Bond Long</t>
  </si>
  <si>
    <t>rims</t>
  </si>
  <si>
    <t>Filer</t>
  </si>
  <si>
    <t>Doormat</t>
  </si>
  <si>
    <t>Paper Fastener</t>
  </si>
  <si>
    <t>Ink</t>
  </si>
  <si>
    <t>Brown Envelop Long</t>
  </si>
  <si>
    <t>Folder Long</t>
  </si>
  <si>
    <t>Record Blue Book Valient</t>
  </si>
  <si>
    <t>Double Sided Tape</t>
  </si>
  <si>
    <t>Shapener</t>
  </si>
  <si>
    <t>Gardening/Lansdcaping</t>
  </si>
  <si>
    <t>Rubberized Gloves</t>
  </si>
  <si>
    <t>pairs</t>
  </si>
  <si>
    <t>Grass Cutter</t>
  </si>
  <si>
    <t>Karit</t>
  </si>
  <si>
    <t>Boots (Sizes#42, #44, #38)</t>
  </si>
  <si>
    <t>Silhig Tukog</t>
  </si>
  <si>
    <t>Silhig Lanot</t>
  </si>
  <si>
    <t>Watering Hose</t>
  </si>
  <si>
    <t>Dustpan</t>
  </si>
  <si>
    <t>Nylon #400</t>
  </si>
  <si>
    <t>metr</t>
  </si>
  <si>
    <t xml:space="preserve">Others </t>
  </si>
  <si>
    <t>Steel brush</t>
  </si>
  <si>
    <t>Brush Panglaba</t>
  </si>
  <si>
    <t>Spot Light LED Green</t>
  </si>
  <si>
    <t>Bulb warm White</t>
  </si>
  <si>
    <t>UD - ECO PARKS</t>
  </si>
  <si>
    <t>Nylon 200mm</t>
  </si>
  <si>
    <t>Hedge Shears</t>
  </si>
  <si>
    <t>Rubber boots</t>
  </si>
  <si>
    <t>Bolo</t>
  </si>
  <si>
    <t>Lawn Mower</t>
  </si>
  <si>
    <t>FLAT LATEX WHITE</t>
  </si>
  <si>
    <t>ACRYTEX REDUCER</t>
  </si>
  <si>
    <t>ACRYTEX CAST</t>
  </si>
  <si>
    <t>BB-ROLLER #2</t>
  </si>
  <si>
    <t>BB- ROLLER # 4</t>
  </si>
  <si>
    <t>PAINT BRUSH # 2</t>
  </si>
  <si>
    <t>PAINT BRUSH # 4</t>
  </si>
  <si>
    <t>PAINT TRAY BIG</t>
  </si>
  <si>
    <t>SAND PAPER #120</t>
  </si>
  <si>
    <t>SAND PAPER # 240</t>
  </si>
  <si>
    <t>RED OXIDE</t>
  </si>
  <si>
    <t>PAINT THINNER</t>
  </si>
  <si>
    <t>MASKING TAPE</t>
  </si>
  <si>
    <t>CHOCO BROWN QDE</t>
  </si>
  <si>
    <t>BLACK QDE</t>
  </si>
  <si>
    <t>FLAT WALL ENAMEL</t>
  </si>
  <si>
    <t>PUTTY KNIFE</t>
  </si>
  <si>
    <t>WHITE PRIMER</t>
  </si>
  <si>
    <t>HARDINER PUTTY</t>
  </si>
  <si>
    <t xml:space="preserve">12mm thhn copper wire </t>
  </si>
  <si>
    <t>8mm thhn copper wire</t>
  </si>
  <si>
    <t>10mm thhn copper wire</t>
  </si>
  <si>
    <t>warm white Led Bulb 9 watts</t>
  </si>
  <si>
    <t>day light Led Bulb 9 watts</t>
  </si>
  <si>
    <t>Electrical tape big</t>
  </si>
  <si>
    <t>Led Solar Panel  Lights</t>
  </si>
  <si>
    <t>junction box</t>
  </si>
  <si>
    <t>masking tape</t>
  </si>
  <si>
    <t>circuit breaker 20 amps</t>
  </si>
  <si>
    <t>circuit breaker 30 amps</t>
  </si>
  <si>
    <t>circuit breaker 60 amps</t>
  </si>
  <si>
    <t>outlet with utility 3 gang</t>
  </si>
  <si>
    <t>panel board 4 hole</t>
  </si>
  <si>
    <t xml:space="preserve">set </t>
  </si>
  <si>
    <t>Other Supplies</t>
  </si>
  <si>
    <t>Lot</t>
  </si>
  <si>
    <r>
      <t xml:space="preserve">Supply and Delivery of </t>
    </r>
    <r>
      <rPr>
        <b/>
        <sz val="10"/>
        <color theme="1"/>
        <rFont val="Times New Roman"/>
        <family val="1"/>
      </rPr>
      <t>Office and</t>
    </r>
    <r>
      <rPr>
        <sz val="10"/>
        <color theme="1"/>
        <rFont val="Times New Roman"/>
        <family val="1"/>
      </rPr>
      <t xml:space="preserve"> </t>
    </r>
    <r>
      <rPr>
        <b/>
        <sz val="10"/>
        <color theme="1"/>
        <rFont val="Times New Roman"/>
        <family val="1"/>
      </rPr>
      <t>Other Supplies</t>
    </r>
    <r>
      <rPr>
        <sz val="10"/>
        <color theme="1"/>
        <rFont val="Times New Roman"/>
        <family val="1"/>
      </rPr>
      <t xml:space="preserve"> (1 Lot)</t>
    </r>
  </si>
  <si>
    <t>BOOK PAPER (A4, LONG, SHORT)</t>
  </si>
  <si>
    <t>BROTHER INK (Yellow,Magenta,Cyan &amp; Black)</t>
  </si>
  <si>
    <t>FOLDER RACK</t>
  </si>
  <si>
    <t>BINDER RING</t>
  </si>
  <si>
    <t>STAPLE WIRES</t>
  </si>
  <si>
    <t>CALCULATOR</t>
  </si>
  <si>
    <t>GLUE</t>
  </si>
  <si>
    <t>BROAD PENTEL PEN</t>
  </si>
  <si>
    <t>WHITE BOARD PEN</t>
  </si>
  <si>
    <t>WHITE BOARD ERASER</t>
  </si>
  <si>
    <t>DOUBLE SIDED TAPE</t>
  </si>
  <si>
    <t>SCOTCH TAPE DISPENSER</t>
  </si>
  <si>
    <t>UE- CULTURE &amp; ARTS</t>
  </si>
  <si>
    <t>Supply and Delivery of Office and Other Supplies (1 Lot)</t>
  </si>
  <si>
    <t xml:space="preserve"> (2nd Quarter)</t>
  </si>
  <si>
    <t>BINDING MACHINE</t>
  </si>
  <si>
    <t>FILE BOX</t>
  </si>
  <si>
    <t>RECORD BOOK</t>
  </si>
  <si>
    <t>SIGN PEN</t>
  </si>
  <si>
    <t>RULER</t>
  </si>
  <si>
    <t>CLEARBOOK</t>
  </si>
  <si>
    <t>ENVELOP</t>
  </si>
  <si>
    <t>MAILING ENVELOP</t>
  </si>
  <si>
    <t>DUSTPAN</t>
  </si>
  <si>
    <t>GLASS CLEANER</t>
  </si>
  <si>
    <r>
      <t xml:space="preserve">Supply and Delivery of </t>
    </r>
    <r>
      <rPr>
        <b/>
        <sz val="10"/>
        <color theme="1"/>
        <rFont val="Times New Roman"/>
        <family val="1"/>
      </rPr>
      <t>Office Supplies</t>
    </r>
    <r>
      <rPr>
        <sz val="10"/>
        <color theme="1"/>
        <rFont val="Times New Roman"/>
        <family val="1"/>
      </rPr>
      <t xml:space="preserve"> (1 Lot) </t>
    </r>
  </si>
  <si>
    <t>Correction Fluid</t>
  </si>
  <si>
    <t>UF - SP DORMITEL</t>
  </si>
  <si>
    <r>
      <rPr>
        <sz val="10"/>
        <color theme="1"/>
        <rFont val="Times New Roman"/>
        <family val="1"/>
      </rPr>
      <t xml:space="preserve">Supply and Delivery of </t>
    </r>
    <r>
      <rPr>
        <b/>
        <sz val="10"/>
        <color theme="1"/>
        <rFont val="Times New Roman"/>
        <family val="1"/>
      </rPr>
      <t>Office Supplies</t>
    </r>
    <r>
      <rPr>
        <sz val="10"/>
        <color theme="1"/>
        <rFont val="Times New Roman"/>
        <family val="1"/>
      </rPr>
      <t xml:space="preserve"> (1 Lot) for Office Use</t>
    </r>
  </si>
  <si>
    <t>PODS</t>
  </si>
  <si>
    <t>Bookpaper Legal</t>
  </si>
  <si>
    <t>EPSON INK (Yellow,Magenta,Cyan &amp; Black)</t>
  </si>
  <si>
    <t>Stapler # 35</t>
  </si>
  <si>
    <t>Masking Tape</t>
  </si>
  <si>
    <t>BOX</t>
  </si>
  <si>
    <t>Whiteboard Pen</t>
  </si>
  <si>
    <t>Double Sided Tape 1"</t>
  </si>
  <si>
    <t>Ballpen 50's</t>
  </si>
  <si>
    <t>Expanded Folder Legal</t>
  </si>
  <si>
    <t>Expanded Envelope Long</t>
  </si>
  <si>
    <t>Brown Envelope</t>
  </si>
  <si>
    <t>Liquid Bleach</t>
  </si>
  <si>
    <t>GALS</t>
  </si>
  <si>
    <t>Domex Sachet 140ml</t>
  </si>
  <si>
    <t>Sando Bag Medium/Large</t>
  </si>
  <si>
    <t>ROLLS</t>
  </si>
  <si>
    <t>Sugar</t>
  </si>
  <si>
    <t>Black coffee nescafe stick</t>
  </si>
  <si>
    <t>Creamer</t>
  </si>
  <si>
    <t>Shampoo w/ Con or Bat Gel</t>
  </si>
  <si>
    <t>Guest kit Box</t>
  </si>
  <si>
    <t>Dental kit Set</t>
  </si>
  <si>
    <t>Bathsoap 20g</t>
  </si>
  <si>
    <t>Albatros</t>
  </si>
  <si>
    <t>Domex limescale</t>
  </si>
  <si>
    <t>Battery 3A heavy duty</t>
  </si>
  <si>
    <t>Battert 2A Heavy Duty</t>
  </si>
  <si>
    <t>Tuff 500ml</t>
  </si>
  <si>
    <t>Stirer</t>
  </si>
  <si>
    <t>PACKS</t>
  </si>
  <si>
    <t>lot</t>
  </si>
  <si>
    <t>Registration Form ( RF )</t>
  </si>
  <si>
    <t>UG - COMPLEX</t>
  </si>
  <si>
    <t xml:space="preserve"> April 2026</t>
  </si>
  <si>
    <t>Toilet Deodorizer</t>
  </si>
  <si>
    <t>lysol lime scale</t>
  </si>
  <si>
    <t>Soft Broom</t>
  </si>
  <si>
    <t>Floor Mop</t>
  </si>
  <si>
    <t>Hand Wash Soap</t>
  </si>
  <si>
    <t>Toilet Cleaner 140 ml</t>
  </si>
  <si>
    <t>TDP-TOURISM</t>
  </si>
  <si>
    <t>MUSEUM-TOURISM</t>
  </si>
  <si>
    <t>UD</t>
  </si>
  <si>
    <t>ECO PARKS-TOURISM</t>
  </si>
  <si>
    <t>UG</t>
  </si>
  <si>
    <t>UE</t>
  </si>
  <si>
    <t>CULTURE &amp; ARTS - TOURISM</t>
  </si>
  <si>
    <t>UF</t>
  </si>
  <si>
    <t>SP DORMITEL-TOURISM</t>
  </si>
  <si>
    <t>COMPLEX-TOURISM</t>
  </si>
  <si>
    <t>01/2026</t>
  </si>
  <si>
    <t>12/2026</t>
  </si>
  <si>
    <t>From 01/2026</t>
  </si>
  <si>
    <t>General 
Fund</t>
  </si>
  <si>
    <t>Drug Price Reference Index (DPRI) 2025 as of October 07, 2025</t>
  </si>
  <si>
    <t>to 12/2026</t>
  </si>
  <si>
    <t>Clonidine 150mcg/ml,1ml Solution for Injection Ampule</t>
  </si>
  <si>
    <t>ampule</t>
  </si>
  <si>
    <t>Co-Amoxiclav (Amoxicillin +Clavulanic Acid) 500mg+125mg Tablet</t>
  </si>
  <si>
    <t>tablet</t>
  </si>
  <si>
    <t>Co-Amoxiclav (Amoxicillin +Clavulanic Acid) 875mg+125mg Tablet</t>
  </si>
  <si>
    <t>Destrose + Lactated Ringer's 5%,500ml Solution for Injection Bottle</t>
  </si>
  <si>
    <t>Dextrose + Sodium Chloride 5% + 0.3%, 500ml  Solution for Injectiion Bottle</t>
  </si>
  <si>
    <t>Epinephrine (Adrenaline) 1mg/ml, 1ml Solution for Injection Ampule</t>
  </si>
  <si>
    <t>Furosemide 10mg/ml, 2 ml Solution for Injection Ampule</t>
  </si>
  <si>
    <t xml:space="preserve">Gentamicin 40 mg/ml, 2 ml Solution for Injection Ampule </t>
  </si>
  <si>
    <t>Hydralazine 20 mg/ml, 1 ml Solution for Injection Ampule</t>
  </si>
  <si>
    <t>DOPH - LUPON</t>
  </si>
  <si>
    <t>Acetylcysteine 600mg Effervescent Tablet</t>
  </si>
  <si>
    <t>Allopurinol 100mg Tablet</t>
  </si>
  <si>
    <t>Allopurinol 300mg Tablet</t>
  </si>
  <si>
    <t>Aluminum Hydroxide +Magnesium Hydroxide 200mg +100mg tablet</t>
  </si>
  <si>
    <t>Aluminum Hydroxide +Magnesium Hydroxide 225mg +200mg/5ml,120ml Oral Suspension Bottle</t>
  </si>
  <si>
    <t>Amiodarone 50mg/ml, 3ml Solution for Injection Ampule</t>
  </si>
  <si>
    <t>Amlodepine 10mg Tablet</t>
  </si>
  <si>
    <t>Amlodepine 5mg Tablet</t>
  </si>
  <si>
    <t>Amoxicillin 100mg/ml, 15ml Oral Drops</t>
  </si>
  <si>
    <t>Amoxicillin 250 mg /5ml, 60ml Oral Suspension</t>
  </si>
  <si>
    <t>Amoxicillin 500mg Capsule</t>
  </si>
  <si>
    <t>capsule</t>
  </si>
  <si>
    <t>Ampicillin + Sulbactam 1000mg + 500mg Powder for Injection Vial</t>
  </si>
  <si>
    <t>vial</t>
  </si>
  <si>
    <t xml:space="preserve">Ampicillin + Sulbsctsm  500mg +250mg Powder for Injection Vial </t>
  </si>
  <si>
    <t>Ampicillin 1g Powder for Injection Vial</t>
  </si>
  <si>
    <t>Ampicillin 250mg Powder for Injection Vial</t>
  </si>
  <si>
    <t>Ampicillin 500mg Powder for Injection Vial</t>
  </si>
  <si>
    <t>Anti-Rabies Serum 200 IU/ml, 5ml Solution for Injection Vial</t>
  </si>
  <si>
    <t>Anti-tetanus Serum(equine) 1500 IU/0.7ml solution for injection, ampule</t>
  </si>
  <si>
    <t>Ascorbic Acid (Vitamin C)100mg/5ml, 120ml Syrup Bottle</t>
  </si>
  <si>
    <t>Ascorbic Acid (Vitamin C)100mg/5ml, 60ml Syrup Bottle</t>
  </si>
  <si>
    <t>Ascorbic Acid (Vitamin C)100mg/ml, 15ml Oral Drops Bottle</t>
  </si>
  <si>
    <t>Ascorbic Acid (Vitamin C)500mg Tablet</t>
  </si>
  <si>
    <t>Aspirin 80mg Tablet</t>
  </si>
  <si>
    <t>Atorvastatin 20mg Tablet</t>
  </si>
  <si>
    <t>Atorvastatin 40mg Tablet</t>
  </si>
  <si>
    <t>Atorvastatin 80mg Tablet</t>
  </si>
  <si>
    <t>Atropine 1mg/ml, 1ml Solution for Injection Ampule</t>
  </si>
  <si>
    <t>Azithromycin 200mg/5ml, 15ml Oral Suspension Bottle</t>
  </si>
  <si>
    <t>Azithromycin 500mg tablet</t>
  </si>
  <si>
    <t>Balanced Multiple Maintenance Solution + Dextrose 5%,500ml Solution for Injection</t>
  </si>
  <si>
    <t>BCG Vaccine 500mcg/ml vial + 1ml diluent in ampule (per dose)</t>
  </si>
  <si>
    <t>Betahistine 24mg Tablet</t>
  </si>
  <si>
    <t>Biphasic Isophane Human Insulin 70/30 (Recombinant Dna) 100 IU/ml,10ml Vial</t>
  </si>
  <si>
    <t>Bisacodyl 10mg Suppository</t>
  </si>
  <si>
    <t>Bisacodyl 5mg Suppository</t>
  </si>
  <si>
    <t>Bisacodyl 5mg Tablet</t>
  </si>
  <si>
    <t>Budesonide + Formoterol 160mcg + 4.5mcg,120doses Metered Dose Inhaler</t>
  </si>
  <si>
    <t>inhaler</t>
  </si>
  <si>
    <t>Budesonide + Formoterol 80mcg + 4.5mcg,120doses Metered Dose Inhaler</t>
  </si>
  <si>
    <t>Budesonide 250mcg/ml,2ml Respiratory Solution</t>
  </si>
  <si>
    <t xml:space="preserve">Butamirate 50mg Modified Release Tablet </t>
  </si>
  <si>
    <t>Calamine 8% ,60ml Lotion Bottle</t>
  </si>
  <si>
    <t>Calcium (equiv,to 500mg elemental calcium) Tablet</t>
  </si>
  <si>
    <t>Calcium Carbonate (equiv,to 500mg elemental calcium) Tablet</t>
  </si>
  <si>
    <t>Captopril 25mg Tablet</t>
  </si>
  <si>
    <t>Carvedilol 25mg Tablet</t>
  </si>
  <si>
    <t>Carvedilol 6.5mg Tablet</t>
  </si>
  <si>
    <t>Cefalexin 100mg/ml,10ml Oral Drops Bottle</t>
  </si>
  <si>
    <t>Cefalexin 250mg/5ml,60ml Syrup Bottle</t>
  </si>
  <si>
    <t>Cefixime 100mg/5ml,60ml Oral Suspension Bottle</t>
  </si>
  <si>
    <t>Cefixime 20mg/ml,10ml Oral Drops Bottle</t>
  </si>
  <si>
    <t>Cefixime 200mg Capsule</t>
  </si>
  <si>
    <t>Ceftriaxone 1g Powder for Injection Vial + 10ml Diluent</t>
  </si>
  <si>
    <t>Cefuroxime 1.5g powder for Injection Vial</t>
  </si>
  <si>
    <t>Cefuroxime 125mg/5ml,70ml Oral Suspention Bottle</t>
  </si>
  <si>
    <t>Cefuroxime 250mg/5ml,50ml Oral Suspension Bottle</t>
  </si>
  <si>
    <t>Cefuroxime 500mg Tablet</t>
  </si>
  <si>
    <t>Cefuroxime 750mg Vial</t>
  </si>
  <si>
    <t>Celecoxib 200mg Capsule</t>
  </si>
  <si>
    <t>Cetirizine 1mg/ml,60ml Oral Solution Bottle</t>
  </si>
  <si>
    <t>Cetirizine 10mg Tablet</t>
  </si>
  <si>
    <t>Cetirizine 2.5mg/ml,10ml Oral Drops Bottle</t>
  </si>
  <si>
    <t>Cetirizine 5mg/5ml,30ml Syrup Bottle</t>
  </si>
  <si>
    <t>Chlorphenamine (Chopheniramine) 4mg Tablet</t>
  </si>
  <si>
    <t>Cinnarizine 25mg Tablet</t>
  </si>
  <si>
    <t>Ciprofloxacin 500mg Tablet</t>
  </si>
  <si>
    <t>Clarithromycin 125mg/5ml,50ml Oral Suspension Bottle</t>
  </si>
  <si>
    <t>Clarithromycin 500mg Tablet</t>
  </si>
  <si>
    <t>Clindamycin 300mg Capsule</t>
  </si>
  <si>
    <t>Clonidine 150mcg Tablet</t>
  </si>
  <si>
    <t>Clonidine 75mcg Tablet</t>
  </si>
  <si>
    <t>Clopidogrel 75mg Tablet</t>
  </si>
  <si>
    <t>Cloxacillin 250mg/5ml,60ml Oral Solution Bottle</t>
  </si>
  <si>
    <t>Cloxacillin 500mg Capsule</t>
  </si>
  <si>
    <t>Co-Amoxiclav (Amoxicillin+Clavulanic Acid)400mg+57mg/5ml,70ml Oral Suspension Bottle</t>
  </si>
  <si>
    <t>Colchicine 500mcg Tablet</t>
  </si>
  <si>
    <t>Cotrimoxazole (Sulfamethoxazole+Trimethoprim)400mg+80mg Tablet</t>
  </si>
  <si>
    <t>Cotrimoxazole (Sulfamethoxazole+Trimethoprim)400mg+80mg per 5ml Suspension,60ml</t>
  </si>
  <si>
    <t>Cotrimozaxole (Sulfamethoxazole+Trimethoprim) 800mg+160mg Tablet</t>
  </si>
  <si>
    <t>Dexamethasone 4mg/ml,2ml Solution for Injection Ampule</t>
  </si>
  <si>
    <t>Dextrose + Lactated Ringer's 5%, 1L  Solution for Injection Bottle</t>
  </si>
  <si>
    <t>Dextrose + Sodium Chloride 5% + 0.9%, 1L  Solution for Injectiion Bottle</t>
  </si>
  <si>
    <t>Dextrose In Water 5%, 1L Solution for Injectiion Bottle</t>
  </si>
  <si>
    <t>Dextrose In Water 5%, 500mL Solution for Injectiion Bottle</t>
  </si>
  <si>
    <t>Diazepam 5mg/ml, 2ml Solution for Injection Bottle</t>
  </si>
  <si>
    <t>Diclofenac 25 mg/ml, 3ml Solution for Injection Ampule</t>
  </si>
  <si>
    <t>Dicycloverine (Dicyclomine) 10mg Tablet</t>
  </si>
  <si>
    <t xml:space="preserve">Dicycloverine (Dicyclomine) 10mg/5ml, 60ml Syrup bottle </t>
  </si>
  <si>
    <t>Digoxin 250 mcg Tablet</t>
  </si>
  <si>
    <t xml:space="preserve">Digoxin 250 mcg/ml, 2 ml Solution for Injection Ampule </t>
  </si>
  <si>
    <t>Diphenhydramine 12.5mg/5ml, 60ml Syrup Bottle</t>
  </si>
  <si>
    <t>Diphenhydramine 25 mg Capsule</t>
  </si>
  <si>
    <t>Diphenhydramine 50 mg Capsule</t>
  </si>
  <si>
    <t xml:space="preserve">Diphenhydramine 50 mg/ml, 1ml Solution for Injection Ampule </t>
  </si>
  <si>
    <t>Dobutamine 50mg/ml, 5ml Solution for Injection Ampule</t>
  </si>
  <si>
    <t>Domperidone 1mg/ml, 60ml Suspension for Injection Bottle</t>
  </si>
  <si>
    <t>Domperidone 10mg Tablet</t>
  </si>
  <si>
    <t>Dopamine 40mg/ml, 5ml Solution for Injection Ampule</t>
  </si>
  <si>
    <t>Doxycycline 100mg Capsule</t>
  </si>
  <si>
    <t>Dydrogesterone 10mg Tablet</t>
  </si>
  <si>
    <t>Erythromycin 0.5%, 5g Eye Ointment Tube</t>
  </si>
  <si>
    <t>tube</t>
  </si>
  <si>
    <t xml:space="preserve">Erythromycin 200mg / 5mL, 60mL Oral Suspension </t>
  </si>
  <si>
    <t>Erythromycin 500mg Tablet</t>
  </si>
  <si>
    <t>Ferrous Salt (equiv. to 15mg elemental iron)0.6 mL, 15ml Oral Drops</t>
  </si>
  <si>
    <t>Ferrous Salt (equiv. to 30mg elemental iron)5ml, 60 mL Syrup</t>
  </si>
  <si>
    <t>Ferrous Salt (equiv. to 60 mg elemental iron) Tablet</t>
  </si>
  <si>
    <t>Ferrous Salt + Folic Acid 60mg elemental iron + 400 mcg Capsule</t>
  </si>
  <si>
    <t>Furosemide 20 mg Tablet</t>
  </si>
  <si>
    <t>Furosemide 40 mg Tablet</t>
  </si>
  <si>
    <t>Gliclazide 30 mg Modified Release Tablet</t>
  </si>
  <si>
    <t>Gliclazide 60 mg Modified Release Tablet</t>
  </si>
  <si>
    <t>Gliclazide 80mg Tablet</t>
  </si>
  <si>
    <t>Glucose  (Dextrose) 50%, 50ml Solution for Injection Vial</t>
  </si>
  <si>
    <t>Haloperidol 5 mg Tablet</t>
  </si>
  <si>
    <t xml:space="preserve">Haloperidol 5 mg/ml, 1 ml Solution for Injection Ampule </t>
  </si>
  <si>
    <t>Hydrocortisone 1%, 5g Cream Tube</t>
  </si>
  <si>
    <t>Hydrocortisone 100 mg Powder for Injection vial</t>
  </si>
  <si>
    <t>Hydrocortisone 250 mg Powder for Injection vial</t>
  </si>
  <si>
    <t>Hyoscine 10mg Tablet</t>
  </si>
  <si>
    <t xml:space="preserve">Hyoscine 20mg/ml, 1 ml Solution for Injection Ampule </t>
  </si>
  <si>
    <t>Ibuprofen 100mg/5 ml, 60 ml Oral Suspension</t>
  </si>
  <si>
    <t>Ibuprofen 200mg Tablet</t>
  </si>
  <si>
    <t>Ipratropium + Salbutamol 20 mcg + 100 mcg, 200 doses Metered Dose Inhaler</t>
  </si>
  <si>
    <t>Ipratropium + Salbutamol 500 mcg +  2.5 mg, 2.5 mL Respiratory Solution</t>
  </si>
  <si>
    <t>Isosobide Dinitrate 5 mg Sublingual Tablet</t>
  </si>
  <si>
    <t>Isosorbide-5-Mononitrate 30 mg Modified Release Tablet</t>
  </si>
  <si>
    <t>Isosorbide-5-Mononitrate 60 mg Modified Release Tablet</t>
  </si>
  <si>
    <t>Isoxsuprine 10 mg Tablet</t>
  </si>
  <si>
    <t>Ketorolac 30ml/ml,1ml Solution for Injection Ampule</t>
  </si>
  <si>
    <t>Lactated Ringer's, 1L Solution for Injection Bottle</t>
  </si>
  <si>
    <t>Lactated Ringer's, 500 mL Solution for Injection Bottle</t>
  </si>
  <si>
    <t>Lactulose 3.3 g/5 ml (3.35g/5 ml), 120 ml Syrup Bottle</t>
  </si>
  <si>
    <t xml:space="preserve">Lagundi (Vitex Negundo L.(Fam. Verbenaceace) 300 mg/5ml, 60 ml Syrup Bottle </t>
  </si>
  <si>
    <t xml:space="preserve">Lagundi (Vitex Negundo L.(Fam. Verbenaceace) 600 mg tablet </t>
  </si>
  <si>
    <t>Levofloxacin 750 mg Tablet</t>
  </si>
  <si>
    <t>Losartan 100mg Tablet</t>
  </si>
  <si>
    <t>Losartan 50mg Tablet</t>
  </si>
  <si>
    <t>Magnesium Sulfate 250 mg/ml, 10 ml Solution for Injection Ampule</t>
  </si>
  <si>
    <t>Mannitol 20%, 500 ml Solution for Injection Bottle</t>
  </si>
  <si>
    <t>Mebendazole 100 mg/5ml, 60 ml Oral Suspension bottle</t>
  </si>
  <si>
    <t>Mebendazole 500 mg Tablet</t>
  </si>
  <si>
    <t>Mefenamic Acid 500 mg Capsule</t>
  </si>
  <si>
    <t>Metformin 500 mg  tablet</t>
  </si>
  <si>
    <t>Methyldopa 250 mg tablet</t>
  </si>
  <si>
    <t>Metoclopramide 10 mg tablet</t>
  </si>
  <si>
    <t xml:space="preserve">Metoclopramide 5mg/ml, 2 ml Solution for Injection ampule </t>
  </si>
  <si>
    <t>Metoprolol 100mg tablet</t>
  </si>
  <si>
    <t>Metoprolol 50mg tablet</t>
  </si>
  <si>
    <t>Metronidazole 125mg/5ml, 60ml Oral Suspension Bottle</t>
  </si>
  <si>
    <t>Metronidazole 500 mg tablet</t>
  </si>
  <si>
    <t>Montelukast 10 mg tablet</t>
  </si>
  <si>
    <t>Montelukast 4 mg Chewable  tablet</t>
  </si>
  <si>
    <t>Morphine 10mg/ml, 1ml Solution for Injection Ampule</t>
  </si>
  <si>
    <t>Multivitamins Capsule</t>
  </si>
  <si>
    <t>Multivitamins per 1ml, 15ml Oral Drops</t>
  </si>
  <si>
    <t>Mupirocin 2%, 5g Ointment Tube</t>
  </si>
  <si>
    <t>Nicardipine 1 mg/ml, 10 ml Solution for Injection ampule</t>
  </si>
  <si>
    <t>Norepinephrine 1 mg/ml, 10 ml Solution for Injection ampule</t>
  </si>
  <si>
    <t>Omeprazole 20 mg capsule</t>
  </si>
  <si>
    <t>Omeprazole 40 mg capsule</t>
  </si>
  <si>
    <t>Omeprazole 40 mg Powder for Injection vial + 10 ml solvent</t>
  </si>
  <si>
    <t>Oral Rehydration Salts (75-Replacement) 20.5 g Oral Powder Sachet</t>
  </si>
  <si>
    <t>sachet</t>
  </si>
  <si>
    <t>Oxytocin 10 IU/ml, 1 ml Solution for Injection Ampule</t>
  </si>
  <si>
    <t>Paracetamol 100 mg/ml, 15 ml Oral Drops bottle</t>
  </si>
  <si>
    <t>Paracetamol 120 mg/5ml, 15 ml (125 mg/5 ml),60ml Syrup bottle</t>
  </si>
  <si>
    <t>Paracetamol 150mg/ml, 2 ml Solution for Injection ample</t>
  </si>
  <si>
    <t>Paracetamol 250 mg Suppository</t>
  </si>
  <si>
    <t>Paracetamol 250 m/5 ml , 60 ml syrup bottle</t>
  </si>
  <si>
    <t>Paracetamol 500 mg tablet</t>
  </si>
  <si>
    <t>Phenobarbital 60 mg tablet</t>
  </si>
  <si>
    <t>Phenytoin 100 mg capsule</t>
  </si>
  <si>
    <t>Phenytoin 50mg/ml, 2 ml Solution for Injection Ample</t>
  </si>
  <si>
    <t>Phytomenadione (Phytomenadione, Vitamin K1 10 mg/ml, 1ml Solution for Injection ampule( as mixed micelle)</t>
  </si>
  <si>
    <t>Potassium Chloride 2 mEq/ml, 20 ml Solution for Injection vial</t>
  </si>
  <si>
    <t xml:space="preserve">Potassium Chloride 750mg (equiv. to 10 mEq Potassium) Sustained Release tablet </t>
  </si>
  <si>
    <t>Prednisone 10 mg tablet</t>
  </si>
  <si>
    <t>Prednisone 10 mg/5 ml, 60 ml Oral Suspension  bottle</t>
  </si>
  <si>
    <t>Prednisone 20 mg tablet</t>
  </si>
  <si>
    <t>Prednisone 5 mg tablet</t>
  </si>
  <si>
    <t>Ranitidine  25 mg/ml, 2 ml Solution for Injection Ampule</t>
  </si>
  <si>
    <t>Ranitidine 300 mg tablet</t>
  </si>
  <si>
    <t>Regular, Insulin (Recombinant DNA Human) 100 IU/ml, 10 ml Solution for injection vial</t>
  </si>
  <si>
    <t>Rosuvastatin 10 mg tablet</t>
  </si>
  <si>
    <t>Rosuvastatin 20 mg tablet</t>
  </si>
  <si>
    <t>Salbutamol 1 mg/ml (unit dose), 2.5 ml Respiratory Solution ampule</t>
  </si>
  <si>
    <t>Salbutamol  100 mcg/dose, 200 actuations Breath Actuated Metered Dose Inhaler</t>
  </si>
  <si>
    <t>Salbutamol 2 mg/5 ml, 60 ml Syrup bottle</t>
  </si>
  <si>
    <t>Salbutamol 2 mg/ ml, 2.5 ml Respiratory Solution</t>
  </si>
  <si>
    <t>Sambong( Bluemea(L) Dc (Fam. Compositae) 500mg tablet</t>
  </si>
  <si>
    <t>Serum, Anti-Tetanus 1500 IU/1 ml Solution for Injection Ampule(Equine)</t>
  </si>
  <si>
    <t>Silver Sulfadiazine 1%, 25g Cream tube</t>
  </si>
  <si>
    <t>Sodium Bicarbonate 1 mEq/ml, 20ml Solution for Injection ampule</t>
  </si>
  <si>
    <t>Sodium Bicarbonate 650 mg tablet</t>
  </si>
  <si>
    <t>Sodium Chloride 0.9%, 1 L Solution  for Injection bottle</t>
  </si>
  <si>
    <t>Sodium Chloride 0.9%, 500 mL Solution  for Injection bottle</t>
  </si>
  <si>
    <t>Sodium Chloride 2.5 mEq/ml, 20ml Solution for Injection vial</t>
  </si>
  <si>
    <t>Spironolactone 25mg tablet</t>
  </si>
  <si>
    <t>Sterile Water for Injection, 50 mL bottle</t>
  </si>
  <si>
    <t>Tetanus Immunoglobulin (Human) 250 IU/mL, 1 mL Solution for Injection Pre-filled Syringe</t>
  </si>
  <si>
    <t>Tetanus Toxoid 0.5 mL ampule (IM)</t>
  </si>
  <si>
    <t>Tobramycin + Dexamethasone 0.3% + 0.1%, 5 ml Eye drops bottle</t>
  </si>
  <si>
    <t>Tobramycin 0.3%, 5 ml Eye Drops bpttle</t>
  </si>
  <si>
    <t>Tramadol 50 mg capsule</t>
  </si>
  <si>
    <t>Tramadol 50 mg/ml, 2 ml solution for injection ampule</t>
  </si>
  <si>
    <t>Tranexamic Acid 100 mg/ml, 5 ml Solution for Injection ampule</t>
  </si>
  <si>
    <t>Tranexamic Acid 500 mg capsule</t>
  </si>
  <si>
    <t>Vitamin B1 B6 B12 100 mg B1+100 mg B6+1 mg B12 per ampule</t>
  </si>
  <si>
    <t>Vitamin B1 B6 B12 100 mg B1+5 mg B6+50 mcg B12 per  tablet</t>
  </si>
  <si>
    <t>Zinc as sulfate monohydrate (equiv. to 10 mg elemental/ml), 15 ml Oral Drops Bottle</t>
  </si>
  <si>
    <t>Zinc as sulfate monohydrate (equiv. to 20 mg elemental zinc/5 ml), 60 ml Syrup bottle</t>
  </si>
  <si>
    <r>
      <t xml:space="preserve">For the purchase of Various </t>
    </r>
    <r>
      <rPr>
        <b/>
        <sz val="10"/>
        <color rgb="FF000000"/>
        <rFont val="Century Gothic "/>
      </rPr>
      <t xml:space="preserve">Drugs and Medicines </t>
    </r>
    <r>
      <rPr>
        <sz val="10"/>
        <color rgb="FF000000"/>
        <rFont val="Century Gothic "/>
      </rPr>
      <t>for the use of DOPH-Lupon</t>
    </r>
  </si>
  <si>
    <t>Price List from Suppliers</t>
  </si>
  <si>
    <t>For the use of Hospital Operations</t>
  </si>
  <si>
    <t>Medical Oxygen Standard tank</t>
  </si>
  <si>
    <t>tanks</t>
  </si>
  <si>
    <t>small Value</t>
  </si>
  <si>
    <t xml:space="preserve">Infusion Set Adult </t>
  </si>
  <si>
    <t xml:space="preserve">Infusion Set Pedia </t>
  </si>
  <si>
    <t>IV Cannula g-22 (100 pieces)</t>
  </si>
  <si>
    <t>IV Cannula g-20 (100 pieces)</t>
  </si>
  <si>
    <t>IV Cannula g-24 (100 pieces)</t>
  </si>
  <si>
    <t>IV Cannula g-18 (100 pieces)</t>
  </si>
  <si>
    <t>IV Cannula g-26 (100 pieces)</t>
  </si>
  <si>
    <t xml:space="preserve">Nebulizer Kit with/without Mask Pedia </t>
  </si>
  <si>
    <t xml:space="preserve">Nebulizer Kit with/without Mask Adult </t>
  </si>
  <si>
    <t xml:space="preserve">Soluset </t>
  </si>
  <si>
    <t>Absorbent Cotton 400 grams</t>
  </si>
  <si>
    <t>Adhesive Plaster /Micropore (12 pieces)</t>
  </si>
  <si>
    <t xml:space="preserve">Autoclave Tape 1 inch </t>
  </si>
  <si>
    <t>Armsling</t>
  </si>
  <si>
    <t>Bactigel by gals (4 liters)</t>
  </si>
  <si>
    <t>Silk Braided Curved cutting 2-0 (12 sachets)</t>
  </si>
  <si>
    <t>Silk Braided Curved cutting 4-0 (12 sachets)</t>
  </si>
  <si>
    <t>Silk Braided Curved cutting 0-0 (12 sachets)</t>
  </si>
  <si>
    <t>BP Cuff Adult</t>
  </si>
  <si>
    <t>Chromic Sutures Needle 1-0-Curved cutting(100's)</t>
  </si>
  <si>
    <t>Chromic Sutures Needle 2-0-Curved cutting(100's)</t>
  </si>
  <si>
    <t>Chromic Sutures Needle 3-0-Curved cutting(100's)</t>
  </si>
  <si>
    <t>Digital Thermometer</t>
  </si>
  <si>
    <t>Disposable Needle G-19 x 1 (100 pieces)</t>
  </si>
  <si>
    <t>Disposable Needle G-23 x 1 (100 pieces)</t>
  </si>
  <si>
    <t>Disposable Needle G-26 x 1 (100 pieces)</t>
  </si>
  <si>
    <t>Disposable Syringe w/Needle 1ml (100 pieces)</t>
  </si>
  <si>
    <t>Disposable Syringe w/Needle 10ml (100 pieces)</t>
  </si>
  <si>
    <t>Disposable Syringe w/Needle 3 ml(100 pieces)</t>
  </si>
  <si>
    <t>Disposable Syringe w/Needle 5ml(100 pieces)</t>
  </si>
  <si>
    <t>Disposable Urinary Bag 2000ml</t>
  </si>
  <si>
    <t>ECG Paper</t>
  </si>
  <si>
    <t>Elastic Bandage  4x5</t>
  </si>
  <si>
    <t>Endotracheal Tube # 4.5</t>
  </si>
  <si>
    <t>Endotracheal Tube # 5</t>
  </si>
  <si>
    <t>Endotracheal Tube # 5.5</t>
  </si>
  <si>
    <t>Endotracheal Tube # 6</t>
  </si>
  <si>
    <t>Endotracheal Tube # 6.5</t>
  </si>
  <si>
    <t>Endotracheal Tube # 7</t>
  </si>
  <si>
    <t>Endotracheal Tube # 7.5</t>
  </si>
  <si>
    <t>Endotracheal Tube # 8</t>
  </si>
  <si>
    <t>Endotracheal Tube # 8.5</t>
  </si>
  <si>
    <t>Foley Ballon Catheter Fr. 16</t>
  </si>
  <si>
    <t>Hand Soap by gallon (4liters)</t>
  </si>
  <si>
    <t>Heplock (100's)</t>
  </si>
  <si>
    <t>Hydrogen Peroxide 500ml</t>
  </si>
  <si>
    <t>Insulin Syringe 1ml (100's)</t>
  </si>
  <si>
    <t>Kelly Pad</t>
  </si>
  <si>
    <t>Lubricating Gel 5g(100's)</t>
  </si>
  <si>
    <t>Medicine Cup</t>
  </si>
  <si>
    <t>Nasogastrict Tube Fr. 8</t>
  </si>
  <si>
    <t>Povidone Iodine Antiseptic 10% by gal.</t>
  </si>
  <si>
    <t>Specimen Bottles with cup(Urine)</t>
  </si>
  <si>
    <t>Specimen Bottles with cup(Stool)</t>
  </si>
  <si>
    <t>Sphygmo Bag  Adult</t>
  </si>
  <si>
    <t>Sphygmo Bag Pedia</t>
  </si>
  <si>
    <t>Sphygmo Bulb</t>
  </si>
  <si>
    <t>Stethoscope Adult</t>
  </si>
  <si>
    <t>Stethoscope Pedia</t>
  </si>
  <si>
    <t>Stomach Tube Fr. 16</t>
  </si>
  <si>
    <t>Suction Catherer Fr. 16</t>
  </si>
  <si>
    <t>Suction Catherer Fr. 8</t>
  </si>
  <si>
    <t>Suction Catherer Fr.  10</t>
  </si>
  <si>
    <t>Surgical Blade Size 20 (100's)</t>
  </si>
  <si>
    <t>Surgical Blade Size 24 (100's)</t>
  </si>
  <si>
    <t>Surgical Needles Cutting  Edge #16</t>
  </si>
  <si>
    <t>Surgical Needles Cutting  Edge #14</t>
  </si>
  <si>
    <t>Surgical Gloves  6.5  (50's)</t>
  </si>
  <si>
    <t>Surgical Gloves  7.0 (50's)</t>
  </si>
  <si>
    <t>Urine Collector Pedia 100ml (100's)</t>
  </si>
  <si>
    <t>Working Gloves Medium (100's)</t>
  </si>
  <si>
    <t>Working Gloves Large (100's)</t>
  </si>
  <si>
    <t>Anti-D, 10ml</t>
  </si>
  <si>
    <t>vials</t>
  </si>
  <si>
    <t>Applicator Sticks, wooden w/cotton, 1000's</t>
  </si>
  <si>
    <t>Applicator Sticks, plain wood (100's)</t>
  </si>
  <si>
    <t xml:space="preserve">Blood Lancets, 200's gauge 23 </t>
  </si>
  <si>
    <t>Blood Typing Sera, 10ml</t>
  </si>
  <si>
    <t>sets</t>
  </si>
  <si>
    <t>Blue Tips with Groove 500's</t>
  </si>
  <si>
    <t>Cholesterol, 4x100ml</t>
  </si>
  <si>
    <t>Control Sera, abnormal, 5ml</t>
  </si>
  <si>
    <t>Control Sera, normal, 5ml</t>
  </si>
  <si>
    <t>Creatinine , 2x100ml</t>
  </si>
  <si>
    <t>Crescent Rapi-Stain, 3x500ml</t>
  </si>
  <si>
    <t>Cleanser 20L</t>
  </si>
  <si>
    <t>Diluent 20L</t>
  </si>
  <si>
    <t>gallons</t>
  </si>
  <si>
    <t>EDTA Microtubes, 0.5ml 100's</t>
  </si>
  <si>
    <t>EDTA Tubes, 2ml 100's</t>
  </si>
  <si>
    <t>Formalin Technical Grade, 1L</t>
  </si>
  <si>
    <t>Glass Slides, 72's</t>
  </si>
  <si>
    <t>Glucose Strips, 50's</t>
  </si>
  <si>
    <t xml:space="preserve">Glucose Test Kit 5x100ml </t>
  </si>
  <si>
    <t xml:space="preserve">HDL Cholesterol 1x200ml </t>
  </si>
  <si>
    <t>Hematology Control Abnormal 10ml</t>
  </si>
  <si>
    <t>Hematology Control Abnormal Low 10ml</t>
  </si>
  <si>
    <t>Hematology Control Normal 10ml</t>
  </si>
  <si>
    <t>Lugol's Iodine, 250ml</t>
  </si>
  <si>
    <t>Occult Blood Set 25's</t>
  </si>
  <si>
    <t>Pasteur Pipettes, 5ml 100's</t>
  </si>
  <si>
    <t>Pipettor 10-100ul/10-1000ul, Labtron</t>
  </si>
  <si>
    <t>Potassium Hydroxide, 10%, 500ml</t>
  </si>
  <si>
    <t xml:space="preserve">Pregnancy Test,SERUM 25's </t>
  </si>
  <si>
    <t xml:space="preserve">Pregnancy Test,URINE 25's </t>
  </si>
  <si>
    <t>Test Tube ,12X75mm 100's</t>
  </si>
  <si>
    <t>Test Tube Rack</t>
  </si>
  <si>
    <t>Triglyceride Test Kit 1x200ml</t>
  </si>
  <si>
    <t>Triple Distilled Water, 5L</t>
  </si>
  <si>
    <t>Typhidot 25's/salmonela Typhi</t>
  </si>
  <si>
    <t>Urea Nitrogen 2x100ml</t>
  </si>
  <si>
    <t>Uric Acid, 1x200ml</t>
  </si>
  <si>
    <t>Urine Strips, 4SG, 100's</t>
  </si>
  <si>
    <t>Yellow Tips w/ Groove</t>
  </si>
  <si>
    <t>Rayto Cleanser, 1L</t>
  </si>
  <si>
    <t>Newborn Hearing Test</t>
  </si>
  <si>
    <t>Agency to Agency</t>
  </si>
  <si>
    <t>OGTT 75grams</t>
  </si>
  <si>
    <t>Resuscitator Bag Adult</t>
  </si>
  <si>
    <t>Resuscitator Bag Pedia</t>
  </si>
  <si>
    <t>Troponin 1 25's</t>
  </si>
  <si>
    <t>HbAIC 25's</t>
  </si>
  <si>
    <r>
      <t xml:space="preserve">The project covers the procurement of </t>
    </r>
    <r>
      <rPr>
        <b/>
        <sz val="10"/>
        <color rgb="FF000000"/>
        <rFont val="Book Antiqua"/>
        <family val="1"/>
      </rPr>
      <t>Medical and Laboratory Supplies</t>
    </r>
    <r>
      <rPr>
        <sz val="10"/>
        <color rgb="FF000000"/>
        <rFont val="Book Antiqua"/>
        <family val="1"/>
      </rPr>
      <t xml:space="preserve"> for the use of DOPH-Lupon to ensure the availability of essential pharmaceutical required for patient care.</t>
    </r>
  </si>
  <si>
    <t>DOPH-LUPON</t>
  </si>
  <si>
    <t>Asepto Syringe</t>
  </si>
  <si>
    <t>ABD's 10x12" or larger</t>
  </si>
  <si>
    <t>Airways Size 0(blue)</t>
  </si>
  <si>
    <t>Airways Size 1(black)</t>
  </si>
  <si>
    <t>Airways Size 2(white)</t>
  </si>
  <si>
    <t>Silk Braided Curved cutting 1-0 (12 sachets)</t>
  </si>
  <si>
    <t>Silk Braided Curved cutting 3-0 (12 sachets)</t>
  </si>
  <si>
    <t>BP Apparatus Adult</t>
  </si>
  <si>
    <t>BP Apparatus Pedia</t>
  </si>
  <si>
    <t>BP Cuff Pedia</t>
  </si>
  <si>
    <t>BP Rubber Cuff Adult</t>
  </si>
  <si>
    <t>BP Rubber Cuff Pedia</t>
  </si>
  <si>
    <t>Chromic Sutures Needle 4-0-Curved cutting(100's)</t>
  </si>
  <si>
    <t>Instrument Disinfectant 1liter</t>
  </si>
  <si>
    <t>Endotracheal Tube # 4</t>
  </si>
  <si>
    <t>Isoprophyl  Alcohol 70%</t>
  </si>
  <si>
    <t>Face Mask with Earloop (100"s)</t>
  </si>
  <si>
    <t>Foley Ballon Catheter Fr. 14</t>
  </si>
  <si>
    <t>Gauze Roll 28 by 24 mesh</t>
  </si>
  <si>
    <t>Infant Feeding Tube Assorted Sizes</t>
  </si>
  <si>
    <t>Nasogastrict Tube Fr. 14</t>
  </si>
  <si>
    <t>Head Cover</t>
  </si>
  <si>
    <t>Nasogastrict Tube Fr.16 (10 pieces)</t>
  </si>
  <si>
    <t>Oxygen Mask Adult</t>
  </si>
  <si>
    <t>Oxygen Mask Pedia</t>
  </si>
  <si>
    <t>Oxygen Nasal Cannula Adult</t>
  </si>
  <si>
    <t>Oxygen Nasal Cannula Pedia</t>
  </si>
  <si>
    <t xml:space="preserve">Spinal Needle G-25 </t>
  </si>
  <si>
    <t>Suturing Needles round Bodied Half Circle Size 14</t>
  </si>
  <si>
    <t xml:space="preserve">dozen </t>
  </si>
  <si>
    <t>Suturing Needles round Bodied Half Circle Size 16</t>
  </si>
  <si>
    <t>Surgical Gloves  7.5 (50's)</t>
  </si>
  <si>
    <t>Tongue Depressor (100's)</t>
  </si>
  <si>
    <t>Torniquet</t>
  </si>
  <si>
    <t>Neck Collar Medium</t>
  </si>
  <si>
    <t>Finger Tips Pulse Oximeter Pedia</t>
  </si>
  <si>
    <t>Sterile Dressing 10"x30"</t>
  </si>
  <si>
    <t xml:space="preserve">Acetone Technical 1 L </t>
  </si>
  <si>
    <t>Electrolytes solution pack</t>
  </si>
  <si>
    <t>Electrolytes  Cleansing solution</t>
  </si>
  <si>
    <t>Gram Stain Set, 4x500ml</t>
  </si>
  <si>
    <t>H.Pylori Cassette 25's</t>
  </si>
  <si>
    <t>Lyze  3000,500ml</t>
  </si>
  <si>
    <t>SGPT Test Kit 2x50ml</t>
  </si>
  <si>
    <t>Yellow Top 100's</t>
  </si>
  <si>
    <t>trays</t>
  </si>
  <si>
    <t>Expanded Newborn Screening  Test</t>
  </si>
  <si>
    <t>Leukoplast Surgical Tape</t>
  </si>
  <si>
    <t>Resuscitator Bag Infant</t>
  </si>
  <si>
    <t>Infarred (Thermometer Gun)</t>
  </si>
  <si>
    <t>Food Supplies</t>
  </si>
  <si>
    <t>CEREALS</t>
  </si>
  <si>
    <t>sacks</t>
  </si>
  <si>
    <t>Rice, Tonner: Malagkit Ist Grade</t>
  </si>
  <si>
    <t>MEAT &amp; MEAT PRODUCTS</t>
  </si>
  <si>
    <t>kilos</t>
  </si>
  <si>
    <t>( 1st Quarter)</t>
  </si>
  <si>
    <t>Pork, Beef,Chicken,goat &amp; carabao meat</t>
  </si>
  <si>
    <t>SEAFOODS</t>
  </si>
  <si>
    <t>Bangus,bariles,barilison,caraballas,</t>
  </si>
  <si>
    <t>kinason,malasugue,lapu-lapu,matambaka,</t>
  </si>
  <si>
    <t>moro-moro,nocos(puti) nocos(gagmay)</t>
  </si>
  <si>
    <t>pasayan,salmolitis,Saramya, sudsid,</t>
  </si>
  <si>
    <t>tangigue,talakitok,tulingan,tilapia,</t>
  </si>
  <si>
    <t>timbongan, et. Al.</t>
  </si>
  <si>
    <t>VEGETABLES &amp; FRUITS</t>
  </si>
  <si>
    <t>-Green Leafy and yellow vegetable, et. al</t>
  </si>
  <si>
    <t>SPICES &amp; HERBS</t>
  </si>
  <si>
    <t>-food seasoning, sauces and herbs,et.al</t>
  </si>
  <si>
    <t>POULTRY</t>
  </si>
  <si>
    <t>-chicken eggs, "pugo eggs, et. Al</t>
  </si>
  <si>
    <t>GROCERIES</t>
  </si>
  <si>
    <t>kls/cans</t>
  </si>
  <si>
    <t>Noodles, cooking oil, flours, sugar et.al</t>
  </si>
  <si>
    <t>PURIFIED WATER REFILL</t>
  </si>
  <si>
    <t>container</t>
  </si>
  <si>
    <t>COOKING GAS</t>
  </si>
  <si>
    <t>LPG Refill</t>
  </si>
  <si>
    <t>LPG Hose</t>
  </si>
  <si>
    <t>meters</t>
  </si>
  <si>
    <t>LPG Regulator</t>
  </si>
  <si>
    <t>******NOTHING FOLLOWS****</t>
  </si>
  <si>
    <r>
      <t xml:space="preserve">The project covers the procurement of </t>
    </r>
    <r>
      <rPr>
        <b/>
        <sz val="10"/>
        <color rgb="FF000000"/>
        <rFont val="Book Antiqua"/>
        <family val="1"/>
      </rPr>
      <t>Food supplies</t>
    </r>
    <r>
      <rPr>
        <sz val="10"/>
        <color rgb="FF000000"/>
        <rFont val="Book Antiqua"/>
        <family val="1"/>
      </rPr>
      <t xml:space="preserve"> for the use of DOPH-Lupon Dietary Section.</t>
    </r>
  </si>
  <si>
    <t>Ballpen Color Black</t>
  </si>
  <si>
    <t>Battery black,  9volts</t>
  </si>
  <si>
    <t>Battery black, Double AA</t>
  </si>
  <si>
    <t>Battery black, Triple AAA</t>
  </si>
  <si>
    <t>Battery black, Medium</t>
  </si>
  <si>
    <t>Bond paper A4 laser copy</t>
  </si>
  <si>
    <t>Bond paper long laser copy</t>
  </si>
  <si>
    <t>Bond paper short laser copy</t>
  </si>
  <si>
    <t>Cartolina Light Yellow Color</t>
  </si>
  <si>
    <t>Cartolina Light Blue Color</t>
  </si>
  <si>
    <t>Cartolina Violet Light Color</t>
  </si>
  <si>
    <t>Cartolina Light Orange Color</t>
  </si>
  <si>
    <t>Cartolina Light Lavander Color</t>
  </si>
  <si>
    <t>Cash book Gen form 103</t>
  </si>
  <si>
    <t>Cash book Gen form 104</t>
  </si>
  <si>
    <t>CFL Bulb 5W</t>
  </si>
  <si>
    <t>Correction pen/tape 10mm</t>
  </si>
  <si>
    <t>Duplo Cart. Ink</t>
  </si>
  <si>
    <t>cartridge</t>
  </si>
  <si>
    <t xml:space="preserve">Computer Printer </t>
  </si>
  <si>
    <t>EPSON  printer ink refill  Black Color 003</t>
  </si>
  <si>
    <t>Vellum paper Long</t>
  </si>
  <si>
    <t>Folder long white 100's</t>
  </si>
  <si>
    <t>Glue bottle 40ml</t>
  </si>
  <si>
    <t>Illustration Board/Cork Board</t>
  </si>
  <si>
    <t>Masking tape 1 inch</t>
  </si>
  <si>
    <t>Packing tape 2 inches</t>
  </si>
  <si>
    <t>Paper clips plastic big 100's</t>
  </si>
  <si>
    <t>Paper clips plastic small 100's</t>
  </si>
  <si>
    <t>Paste in  jar medium size</t>
  </si>
  <si>
    <t>Pentel pen black fine</t>
  </si>
  <si>
    <t>Pentel pen ink refill</t>
  </si>
  <si>
    <t>Plastic Folder short</t>
  </si>
  <si>
    <t>Plastic Folder Long</t>
  </si>
  <si>
    <t>Photocopier Tonner Cartridge ink TN2380</t>
  </si>
  <si>
    <t>Scissor/Cutter</t>
  </si>
  <si>
    <t>Signing pen 0.5 blk</t>
  </si>
  <si>
    <t>Stabilo boss assorted color</t>
  </si>
  <si>
    <t>Thumb Tacks 100's</t>
  </si>
  <si>
    <t>Yellow Paper</t>
  </si>
  <si>
    <r>
      <t xml:space="preserve">The project covers the procurement of </t>
    </r>
    <r>
      <rPr>
        <b/>
        <sz val="10"/>
        <color rgb="FF000000"/>
        <rFont val="Book Antiqua"/>
        <family val="1"/>
      </rPr>
      <t>Office Supplies</t>
    </r>
    <r>
      <rPr>
        <sz val="10"/>
        <color rgb="FF000000"/>
        <rFont val="Book Antiqua"/>
        <family val="1"/>
      </rPr>
      <t xml:space="preserve"> for the use of DOPH-Lupon Office Services.</t>
    </r>
  </si>
  <si>
    <t>DOPH LUPON</t>
  </si>
  <si>
    <t>Bond paper A4 laser copy 500's</t>
  </si>
  <si>
    <t>Bond paper long laser copy 500's</t>
  </si>
  <si>
    <t>Bond paper short laser copy 500's</t>
  </si>
  <si>
    <t>Brown envelope Short</t>
  </si>
  <si>
    <t>Brown envelope long</t>
  </si>
  <si>
    <t>Calculator, 14 digit Casio</t>
  </si>
  <si>
    <t>Carbon paper, plastofoil, long Blue 100's</t>
  </si>
  <si>
    <t>Cartolina White Color 100's</t>
  </si>
  <si>
    <t>Cartolina Light Green Color 100's</t>
  </si>
  <si>
    <t xml:space="preserve">Certificate of dealth municipal form 103 </t>
  </si>
  <si>
    <t xml:space="preserve">Certificate of live birth municipal form 102 </t>
  </si>
  <si>
    <t>Clear Book A4</t>
  </si>
  <si>
    <t>Computer ribbon cartridge LX300+</t>
  </si>
  <si>
    <t>CFL Bulb 11W</t>
  </si>
  <si>
    <t>T8 Led Glass Tube 10w</t>
  </si>
  <si>
    <t>ElectricalTape 1 inch</t>
  </si>
  <si>
    <t>EPSON  printer ink refill  Magenta Color 003</t>
  </si>
  <si>
    <t>EPSON  printer ink refill  Cyan Color 003</t>
  </si>
  <si>
    <t>EPSON  printer ink refill  Yellow Colors 003</t>
  </si>
  <si>
    <t>Flashlight chargable medium size</t>
  </si>
  <si>
    <t>Folder Short white 100's</t>
  </si>
  <si>
    <t>HP ink jet cartridge black 704</t>
  </si>
  <si>
    <t>Index Card 5"x8" white</t>
  </si>
  <si>
    <t>Mailing envelope white long 100's</t>
  </si>
  <si>
    <t>Paper fastener plastic  100's</t>
  </si>
  <si>
    <t xml:space="preserve">Patients registry books </t>
  </si>
  <si>
    <t>Puncher 2 hole heavy duty</t>
  </si>
  <si>
    <t>Ring Binder Long with Plastic refill 200pgs</t>
  </si>
  <si>
    <t>Stamping ink</t>
  </si>
  <si>
    <t>Staples wire no.35</t>
  </si>
  <si>
    <t xml:space="preserve">Mouse </t>
  </si>
  <si>
    <t>Wall Clock</t>
  </si>
  <si>
    <t>Basin Aluminum Big</t>
  </si>
  <si>
    <t>Blanket Family Size</t>
  </si>
  <si>
    <t>Soft Brooms</t>
  </si>
  <si>
    <t>Certicate Frames</t>
  </si>
  <si>
    <t>Chlorine/Superwhite</t>
  </si>
  <si>
    <t>Dipper</t>
  </si>
  <si>
    <t>Everclean/Real Blue Soap</t>
  </si>
  <si>
    <t>bars</t>
  </si>
  <si>
    <t>Fabric Conditioner 800ml</t>
  </si>
  <si>
    <t>File Tray three division Plastic</t>
  </si>
  <si>
    <t>Garbage Bag Large 100's</t>
  </si>
  <si>
    <t>Garbage Bag XL 100's</t>
  </si>
  <si>
    <t>Glass Cleaner 500ml</t>
  </si>
  <si>
    <t>Laundry Gloves Size 7</t>
  </si>
  <si>
    <t>Lysol Pinescent/Disinfectant Concentrate</t>
  </si>
  <si>
    <t>Mop Handle Wooden</t>
  </si>
  <si>
    <t>Mop Head 500g (Large)</t>
  </si>
  <si>
    <t>Muriatic Acid Pure by gal</t>
  </si>
  <si>
    <t>Pail black big</t>
  </si>
  <si>
    <t>Pillow case Large</t>
  </si>
  <si>
    <t>Powder Soap 1kl</t>
  </si>
  <si>
    <t>Round-up 1liter/Tekweed</t>
  </si>
  <si>
    <t>liters</t>
  </si>
  <si>
    <t xml:space="preserve">Toilet Brush </t>
  </si>
  <si>
    <t>Zonrox by gallon</t>
  </si>
  <si>
    <t>-</t>
  </si>
  <si>
    <t xml:space="preserve">Linen </t>
  </si>
  <si>
    <t>Cement</t>
  </si>
  <si>
    <t>Concrete nails Assorted No.</t>
  </si>
  <si>
    <t>Common nails Assorted No.</t>
  </si>
  <si>
    <t>Deformed bar</t>
  </si>
  <si>
    <t>Door Lock</t>
  </si>
  <si>
    <t>Entension Wire</t>
  </si>
  <si>
    <t>Electrical Tape</t>
  </si>
  <si>
    <t>Hollow Blocks</t>
  </si>
  <si>
    <t>Lacquer thinner</t>
  </si>
  <si>
    <t>gals</t>
  </si>
  <si>
    <t>Labor expenses</t>
  </si>
  <si>
    <t>PVC - Y #4</t>
  </si>
  <si>
    <t>PVC # 4</t>
  </si>
  <si>
    <t>PVC Clean Out #4</t>
  </si>
  <si>
    <t>P.E. Coupling Assorted No.</t>
  </si>
  <si>
    <t>Paint Brush assorted Number</t>
  </si>
  <si>
    <t>4 seater Gang Chair</t>
  </si>
  <si>
    <t>units</t>
  </si>
  <si>
    <t>Round Bar 24mm</t>
  </si>
  <si>
    <t>Steel Open Shelves (4shelves)</t>
  </si>
  <si>
    <t>Stainless Jars</t>
  </si>
  <si>
    <t>Sand paper</t>
  </si>
  <si>
    <t>Sandflex blade</t>
  </si>
  <si>
    <t>Side Cutter Plier</t>
  </si>
  <si>
    <t>Switch</t>
  </si>
  <si>
    <t>Stickwel</t>
  </si>
  <si>
    <t>Tapelon Assorted No.</t>
  </si>
  <si>
    <t>Tie Wire</t>
  </si>
  <si>
    <t>Umbrella nails</t>
  </si>
  <si>
    <t xml:space="preserve">Welding Rod </t>
  </si>
  <si>
    <t>Washing Capacitor</t>
  </si>
  <si>
    <t xml:space="preserve">Yellow Square bar </t>
  </si>
  <si>
    <t>Angle bar 1/4x2</t>
  </si>
  <si>
    <t>length</t>
  </si>
  <si>
    <t>Angle bar 3/16x1</t>
  </si>
  <si>
    <t>Bushing Reducer</t>
  </si>
  <si>
    <t>Cut- Off Disk</t>
  </si>
  <si>
    <t>Door Knob</t>
  </si>
  <si>
    <t>Drill BIT Concrete</t>
  </si>
  <si>
    <t>Enamel Quick dry Assorted color</t>
  </si>
  <si>
    <t>Faucet</t>
  </si>
  <si>
    <t>Flat Screw</t>
  </si>
  <si>
    <t>Flat Iron</t>
  </si>
  <si>
    <t>Foam with leather cover</t>
  </si>
  <si>
    <t>Fuse</t>
  </si>
  <si>
    <t>GI Pipe</t>
  </si>
  <si>
    <t>Long Nose Plier</t>
  </si>
  <si>
    <t xml:space="preserve">Multitester </t>
  </si>
  <si>
    <t>Outlet 3 Gang</t>
  </si>
  <si>
    <t>Wall Fan</t>
  </si>
  <si>
    <t>PVC Faucet Plastic Assorted No.</t>
  </si>
  <si>
    <t>P.E. Elbow Assorted No.</t>
  </si>
  <si>
    <t xml:space="preserve">P.E TEE </t>
  </si>
  <si>
    <t>PVC Elbow #4</t>
  </si>
  <si>
    <t>PVC Elbow 45 #4</t>
  </si>
  <si>
    <t>P.E Hose</t>
  </si>
  <si>
    <t>Plyboard</t>
  </si>
  <si>
    <t>Receptacle</t>
  </si>
  <si>
    <t>Roller Brush  assorted Number</t>
  </si>
  <si>
    <t>Star Screw</t>
  </si>
  <si>
    <t>Switch box</t>
  </si>
  <si>
    <t>Special Rod</t>
  </si>
  <si>
    <t>Square tube 2x4x20</t>
  </si>
  <si>
    <t>Speaker Wire</t>
  </si>
  <si>
    <t>Stranded Wire #14,12,10</t>
  </si>
  <si>
    <t>T-Shirt</t>
  </si>
  <si>
    <t>Tex Screw 2-1/2 in.</t>
  </si>
  <si>
    <t xml:space="preserve">Tambler Switch </t>
  </si>
  <si>
    <t xml:space="preserve">Trudot </t>
  </si>
  <si>
    <t>UPS</t>
  </si>
  <si>
    <t>Wheel Borrow</t>
  </si>
  <si>
    <t>Washing Timer</t>
  </si>
  <si>
    <t>Diesel</t>
  </si>
  <si>
    <t xml:space="preserve"> liters</t>
  </si>
  <si>
    <t>Premium</t>
  </si>
  <si>
    <t>Engine Oil</t>
  </si>
  <si>
    <t>Air Cleaner</t>
  </si>
  <si>
    <t>***********nothing follows************</t>
  </si>
  <si>
    <t>Epoxy Assted Colors</t>
  </si>
  <si>
    <t>galloon</t>
  </si>
  <si>
    <t xml:space="preserve">Lacquer Thinner </t>
  </si>
  <si>
    <t>P.E Hose Blk/Blue</t>
  </si>
  <si>
    <t>Deformed Bar #10mm</t>
  </si>
  <si>
    <t>lght</t>
  </si>
  <si>
    <t>Deformed Bar #12mm</t>
  </si>
  <si>
    <t>Time out</t>
  </si>
  <si>
    <t>Paint Assted Colors</t>
  </si>
  <si>
    <t>Welding Rod</t>
  </si>
  <si>
    <t xml:space="preserve">Round bar </t>
  </si>
  <si>
    <t>Lumbers</t>
  </si>
  <si>
    <t>Labor</t>
  </si>
  <si>
    <t>Poly Tuff</t>
  </si>
  <si>
    <t>Nails</t>
  </si>
  <si>
    <t>Sand and Gravel</t>
  </si>
  <si>
    <t>loads</t>
  </si>
  <si>
    <t>Labor &amp; Materials for the Repair Maintenance Electrifrication, Power &amp; Energy Structures</t>
  </si>
  <si>
    <t>***********nothing follows****************</t>
  </si>
  <si>
    <r>
      <t xml:space="preserve">The project covers the procurement of materials used for the </t>
    </r>
    <r>
      <rPr>
        <b/>
        <sz val="10"/>
        <color rgb="FF000000"/>
        <rFont val="Book Antiqua"/>
        <family val="1"/>
      </rPr>
      <t>Repair and Maintenance of Electrical Structure</t>
    </r>
    <r>
      <rPr>
        <sz val="10"/>
        <color rgb="FF000000"/>
        <rFont val="Book Antiqua"/>
        <family val="1"/>
      </rPr>
      <t xml:space="preserve"> of DOPH-Lupon.</t>
    </r>
  </si>
  <si>
    <t>Capacitor 30 UF</t>
  </si>
  <si>
    <t>Capacitor 20 UF</t>
  </si>
  <si>
    <t>Washing motor</t>
  </si>
  <si>
    <t>Washing timer</t>
  </si>
  <si>
    <t>Capacitor 25 UF</t>
  </si>
  <si>
    <t>Thermostat</t>
  </si>
  <si>
    <t>Stranded Wire #10</t>
  </si>
  <si>
    <t>Stranded Wire #8</t>
  </si>
  <si>
    <t>Heavy Duty Back-Up</t>
  </si>
  <si>
    <t>Heavy Duty Plug</t>
  </si>
  <si>
    <t xml:space="preserve">Labor </t>
  </si>
  <si>
    <t>Carbon Brush</t>
  </si>
  <si>
    <t>Royal Cord</t>
  </si>
  <si>
    <t>Computer Reformat</t>
  </si>
  <si>
    <t>Coxial Cable &amp; RJ-45</t>
  </si>
  <si>
    <t>Labor &amp; Materials for Computer Repair</t>
  </si>
  <si>
    <t>************nothing follows*******</t>
  </si>
  <si>
    <r>
      <t xml:space="preserve">The project covers the procurement of </t>
    </r>
    <r>
      <rPr>
        <b/>
        <sz val="10"/>
        <color rgb="FF000000"/>
        <rFont val="Book Antiqua"/>
        <family val="1"/>
      </rPr>
      <t xml:space="preserve">materials used for the repair and maintenance of IT Equipment and Software </t>
    </r>
    <r>
      <rPr>
        <sz val="10"/>
        <color rgb="FF000000"/>
        <rFont val="Book Antiqua"/>
        <family val="1"/>
      </rPr>
      <t xml:space="preserve"> of DOPH-Lupon .</t>
    </r>
  </si>
  <si>
    <t>Axle Bearing</t>
  </si>
  <si>
    <t>piece</t>
  </si>
  <si>
    <t>Axle Oil Seal</t>
  </si>
  <si>
    <t xml:space="preserve">Battery </t>
  </si>
  <si>
    <t>Gasket (Head)</t>
  </si>
  <si>
    <t>Generator Oil Filter</t>
  </si>
  <si>
    <t>Horn</t>
  </si>
  <si>
    <t>Oil Seal</t>
  </si>
  <si>
    <t>Power Steering Belt</t>
  </si>
  <si>
    <t>Pressure Plate</t>
  </si>
  <si>
    <t>Shock Absorber</t>
  </si>
  <si>
    <t>Spark Plug</t>
  </si>
  <si>
    <t>Timing Belt</t>
  </si>
  <si>
    <t>Tire Valve</t>
  </si>
  <si>
    <t>Water Pump</t>
  </si>
  <si>
    <r>
      <t xml:space="preserve">The project covers the procurement of </t>
    </r>
    <r>
      <rPr>
        <b/>
        <sz val="10"/>
        <color rgb="FF000000"/>
        <rFont val="Book Antiqua"/>
        <family val="1"/>
      </rPr>
      <t xml:space="preserve">Parts needed  for the repair and maitenance of  vehicles  </t>
    </r>
    <r>
      <rPr>
        <sz val="10"/>
        <color rgb="FF000000"/>
        <rFont val="Book Antiqua"/>
        <family val="1"/>
      </rPr>
      <t>for the trasportatiion of patient and employees of DOPH-Lupon Hospital.</t>
    </r>
  </si>
  <si>
    <t>Signal Light</t>
  </si>
  <si>
    <t>Tires</t>
  </si>
  <si>
    <t>******nothing follows******</t>
  </si>
  <si>
    <t>Bills</t>
  </si>
  <si>
    <r>
      <t xml:space="preserve">The project covers the payment of </t>
    </r>
    <r>
      <rPr>
        <b/>
        <sz val="10"/>
        <color rgb="FF000000"/>
        <rFont val="Book Antiqua"/>
        <family val="1"/>
      </rPr>
      <t>Internet Bills and other Expenses</t>
    </r>
    <r>
      <rPr>
        <sz val="10"/>
        <color rgb="FF000000"/>
        <rFont val="Book Antiqua"/>
        <family val="1"/>
      </rPr>
      <t xml:space="preserve"> for the use of DOPH-Lupon.</t>
    </r>
  </si>
  <si>
    <t>For the payment of the Pathologist, Surgeon, Anesthesiologist, OB Gynecologist, Pediatrician, Internist and for Court Apperance needed to testify findings of DOPH-Lupon .</t>
  </si>
  <si>
    <t>Consultancy Services</t>
  </si>
  <si>
    <t>Honorarium for:</t>
  </si>
  <si>
    <t>Pathologist, Surgeon, Anesthesiologist, OB-Gynecologist, Pediatrician, Internist and for Court Appearance to testify findings</t>
  </si>
  <si>
    <t>For the payment of  Fidelity Bond needed for the operation of DOPH-Lupon hospital.</t>
  </si>
  <si>
    <t>FIDELITY BOND</t>
  </si>
  <si>
    <t>The project covers the Fare, Meals and Lodging and other travelling expenses needed for DOPH-Lupon operations.</t>
  </si>
  <si>
    <t>Fare ,  Meals and Lodging</t>
  </si>
  <si>
    <t>The project covers the  Registration Fee, Meals and Snacks  and other expenses needed  for  DOPH-Lupon operations.</t>
  </si>
  <si>
    <t>Registration Fee,Meals and Snacks</t>
  </si>
  <si>
    <t>Accountable Forms</t>
  </si>
  <si>
    <t>tabs</t>
  </si>
  <si>
    <t>Water Bills</t>
  </si>
  <si>
    <r>
      <t xml:space="preserve">For the payment of </t>
    </r>
    <r>
      <rPr>
        <b/>
        <sz val="10"/>
        <color rgb="FF000000"/>
        <rFont val="Book Antiqua"/>
        <family val="1"/>
      </rPr>
      <t xml:space="preserve">Water Expenses </t>
    </r>
    <r>
      <rPr>
        <sz val="10"/>
        <color rgb="FF000000"/>
        <rFont val="Book Antiqua"/>
        <family val="1"/>
      </rPr>
      <t xml:space="preserve"> of DOPH-Lupon</t>
    </r>
  </si>
  <si>
    <t>Electric Bills</t>
  </si>
  <si>
    <r>
      <t xml:space="preserve">For the payment of </t>
    </r>
    <r>
      <rPr>
        <b/>
        <sz val="10"/>
        <color rgb="FF000000"/>
        <rFont val="Book Antiqua"/>
        <family val="1"/>
      </rPr>
      <t xml:space="preserve">Electric Bills </t>
    </r>
    <r>
      <rPr>
        <sz val="10"/>
        <color rgb="FF000000"/>
        <rFont val="Book Antiqua"/>
        <family val="1"/>
      </rPr>
      <t>of DOPH-Lupon</t>
    </r>
  </si>
  <si>
    <t>Postage Charges/LBC /JRS charges</t>
  </si>
  <si>
    <r>
      <t xml:space="preserve"> </t>
    </r>
    <r>
      <rPr>
        <b/>
        <sz val="10"/>
        <color rgb="FF000000"/>
        <rFont val="Book Antiqua"/>
        <family val="1"/>
      </rPr>
      <t xml:space="preserve">Postage and Deliveries </t>
    </r>
    <r>
      <rPr>
        <sz val="10"/>
        <color rgb="FF000000"/>
        <rFont val="Book Antiqua"/>
        <family val="1"/>
      </rPr>
      <t xml:space="preserve">for the use of DOPH-Lupon </t>
    </r>
  </si>
  <si>
    <r>
      <rPr>
        <b/>
        <sz val="10"/>
        <color rgb="FF000000"/>
        <rFont val="Book Antiqua"/>
        <family val="1"/>
      </rPr>
      <t>Land line bills</t>
    </r>
    <r>
      <rPr>
        <sz val="10"/>
        <color rgb="FF000000"/>
        <rFont val="Book Antiqua"/>
        <family val="1"/>
      </rPr>
      <t xml:space="preserve"> for the use of DOPH-Lupon </t>
    </r>
  </si>
  <si>
    <r>
      <t xml:space="preserve"> </t>
    </r>
    <r>
      <rPr>
        <b/>
        <sz val="10"/>
        <color rgb="FF000000"/>
        <rFont val="Book Antiqua"/>
        <family val="1"/>
      </rPr>
      <t>Land line bills</t>
    </r>
    <r>
      <rPr>
        <sz val="10"/>
        <color rgb="FF000000"/>
        <rFont val="Book Antiqua"/>
        <family val="1"/>
      </rPr>
      <t xml:space="preserve"> for the use of DOPH-Lupon </t>
    </r>
  </si>
  <si>
    <t>Cell Card</t>
  </si>
  <si>
    <r>
      <t xml:space="preserve">The project covers the procurement of </t>
    </r>
    <r>
      <rPr>
        <b/>
        <sz val="10"/>
        <color rgb="FF000000"/>
        <rFont val="Book Antiqua"/>
        <family val="1"/>
      </rPr>
      <t>Telephone Mobile Expenses</t>
    </r>
    <r>
      <rPr>
        <sz val="10"/>
        <color rgb="FF000000"/>
        <rFont val="Book Antiqua"/>
        <family val="1"/>
      </rPr>
      <t xml:space="preserve"> for the use of DOPH-Lupon</t>
    </r>
  </si>
  <si>
    <t xml:space="preserve">Supply and Deliveries of Capital Outlay Equipment </t>
  </si>
  <si>
    <t xml:space="preserve">Computer with complete accessories including </t>
  </si>
  <si>
    <t>Printers</t>
  </si>
  <si>
    <t>10 sets</t>
  </si>
  <si>
    <t>Consultancy Expenses</t>
  </si>
  <si>
    <t>Agency To Agency</t>
  </si>
  <si>
    <t>market scoping thru canvass price quotation</t>
  </si>
  <si>
    <t>PATHOLOGIST</t>
  </si>
  <si>
    <t>RADIOLOGIST</t>
  </si>
  <si>
    <t>to 06/2026</t>
  </si>
  <si>
    <t>6 JOB ORDER</t>
  </si>
  <si>
    <t>DOPH CATEEL</t>
  </si>
  <si>
    <t>Postage and Courier Expenses</t>
  </si>
  <si>
    <t>Newborn Hearing Order</t>
  </si>
  <si>
    <t>NBS through LBC</t>
  </si>
  <si>
    <t>NEQUAS APPLICATION</t>
  </si>
  <si>
    <t>other Postages and Courier Cost</t>
  </si>
  <si>
    <t>Cable/Satelite Expenses</t>
  </si>
  <si>
    <t>Cable Connection</t>
  </si>
  <si>
    <t>Telephone Expenses-Mobile</t>
  </si>
  <si>
    <t>From 01/2026 to 06/2026</t>
  </si>
  <si>
    <t>Internet Subscription</t>
  </si>
  <si>
    <t>Repair &amp; Maintenance of Office Equipment Expenses</t>
  </si>
  <si>
    <t>REPAIR/CLEANING OF AIRCONDITIONERS</t>
  </si>
  <si>
    <t>Job Order</t>
  </si>
  <si>
    <t>PRION</t>
  </si>
  <si>
    <t>PARTS AND MATERIALS</t>
  </si>
  <si>
    <t>Electricity Expenses</t>
  </si>
  <si>
    <t>Electricity</t>
  </si>
  <si>
    <t>Mineral/Drinking Water Expenses</t>
  </si>
  <si>
    <t>Drinking Water</t>
  </si>
  <si>
    <t>1600 Gallons</t>
  </si>
  <si>
    <t>Repair &amp; Maintenance of Building Expenses</t>
  </si>
  <si>
    <t>Repair of Crack Walls</t>
  </si>
  <si>
    <t>Repair of Doors</t>
  </si>
  <si>
    <t>Repair of other Infrastracture and Fixtures</t>
  </si>
  <si>
    <t>Repair of Windows</t>
  </si>
  <si>
    <t>Repair of Ceilings</t>
  </si>
  <si>
    <t>Repair of Containment Area/Isolation</t>
  </si>
  <si>
    <t>Materials and Parts</t>
  </si>
  <si>
    <t>Repair &amp; Maintenance of ICT Equipment Expenses</t>
  </si>
  <si>
    <t>REPAIR OF COMPUTER CPU</t>
  </si>
  <si>
    <t>JOB ORDER</t>
  </si>
  <si>
    <t>REPAIR OF PRINTERS</t>
  </si>
  <si>
    <t>Fidelity Bond Expenses</t>
  </si>
  <si>
    <t>Guinevere Encarnacion A.</t>
  </si>
  <si>
    <t>Additional</t>
  </si>
  <si>
    <t>Desktop Computer (Core i7)</t>
  </si>
  <si>
    <t>Laptop Computers</t>
  </si>
  <si>
    <t>Fiscal Year : 2026</t>
  </si>
  <si>
    <t>Accountable Forms # 52</t>
  </si>
  <si>
    <t>262 STUB</t>
  </si>
  <si>
    <t>Agency-to-Agency</t>
  </si>
  <si>
    <t>LGDF</t>
  </si>
  <si>
    <t>Ambulance Acquisition</t>
  </si>
  <si>
    <t>Fuels and Lubricants Expenses</t>
  </si>
  <si>
    <t>Cooking Gas</t>
  </si>
  <si>
    <t>Tanks</t>
  </si>
  <si>
    <t>30 TANKS</t>
  </si>
  <si>
    <t>Repair &amp; Maintenance Electricity Expenses</t>
  </si>
  <si>
    <t>Repair and Maintenance of Generator</t>
  </si>
  <si>
    <t>Repair and Maintenance of Transmitter</t>
  </si>
  <si>
    <t>Labor and Materials</t>
  </si>
  <si>
    <t>Repair &amp; Maintenance of Laboratory Equipment Expenses</t>
  </si>
  <si>
    <t>Repair and Maintenance of Microscope</t>
  </si>
  <si>
    <t>Repair and Maintenance of Clinical Chem Analyzer</t>
  </si>
  <si>
    <t>Repair and Maintenance of Hema Analyzer</t>
  </si>
  <si>
    <t>Repair and Maintenance of Centrifuge</t>
  </si>
  <si>
    <t>Repair and Maintenance of Newborn Hearing Machine</t>
  </si>
  <si>
    <t>Parts and Materials</t>
  </si>
  <si>
    <t>Repair &amp; Maintenance Motor Vehicle</t>
  </si>
  <si>
    <t>Oil Filter</t>
  </si>
  <si>
    <t>Pc</t>
  </si>
  <si>
    <t>Fuel Filter</t>
  </si>
  <si>
    <t>Tire U-E</t>
  </si>
  <si>
    <t>Brake Pad</t>
  </si>
  <si>
    <t>Set</t>
  </si>
  <si>
    <t>Front Bearing</t>
  </si>
  <si>
    <t>Rear Bearing</t>
  </si>
  <si>
    <t>Cross Joint</t>
  </si>
  <si>
    <t>Battery Motolite 11 Plates 12 volt</t>
  </si>
  <si>
    <t>Clutch disk Lining</t>
  </si>
  <si>
    <t>Front ball Joint Up and Down</t>
  </si>
  <si>
    <t>Rear Brake Lining</t>
  </si>
  <si>
    <t>Brake Cylinder</t>
  </si>
  <si>
    <t>Labor for Repair and Maintenance of Ambulance</t>
  </si>
  <si>
    <t>Roll</t>
  </si>
  <si>
    <t>Drugs and Medicine Supplies</t>
  </si>
  <si>
    <t>0.9% Sodium Chloride 1L        12's</t>
  </si>
  <si>
    <t>Box</t>
  </si>
  <si>
    <t>0.9% Sodium Chloride 500ml     24's</t>
  </si>
  <si>
    <t>10% Dextrose in Water 1L       12's</t>
  </si>
  <si>
    <t>10% Dextrose in Water 500ml    24's</t>
  </si>
  <si>
    <t>5% Dextrose in 0.3% Sodium Chloride 500ml     24's</t>
  </si>
  <si>
    <t>5% Dextrose in 0.9% Sodium Chloride 1L    12's</t>
  </si>
  <si>
    <t>5% Dextrose in Lactated Ringers 1L   12's</t>
  </si>
  <si>
    <t>5% Dextrose in Lactated Ringers 500ml  24's</t>
  </si>
  <si>
    <t>Acetonide &amp; Polynexin B Sulfate Otic</t>
  </si>
  <si>
    <t>Vls.</t>
  </si>
  <si>
    <t>Activated Charcoal Powder</t>
  </si>
  <si>
    <t>Grams</t>
  </si>
  <si>
    <t>Acyclovir 400mg Tablet</t>
  </si>
  <si>
    <t>Tab.</t>
  </si>
  <si>
    <t>Aluminum/Magnesium Hydroxide Tablet 100's</t>
  </si>
  <si>
    <t>Aluminum/Magnesium Hydroxide200mg/100mg/5ml Sus</t>
  </si>
  <si>
    <t>Bot.</t>
  </si>
  <si>
    <t>Aminophylline 250mg/ml</t>
  </si>
  <si>
    <t>Amp.</t>
  </si>
  <si>
    <t>Amlodipine 10mg Tablet 100's</t>
  </si>
  <si>
    <t>Amlodipine 5mg Tablet 100's</t>
  </si>
  <si>
    <t>Amoxicillin 100mg/ml Drops</t>
  </si>
  <si>
    <t>Amoxicillin 125mg/5ml Suspension</t>
  </si>
  <si>
    <t>Amoxicillin 250mg/5ml Supension</t>
  </si>
  <si>
    <t>Ampicillin 1g</t>
  </si>
  <si>
    <t>Ampicillin 250mg</t>
  </si>
  <si>
    <t>Ampicillin 500mg</t>
  </si>
  <si>
    <t>Anti Rabies Serum 200iu/ml</t>
  </si>
  <si>
    <t>Aspirin 80mg Tablet  100's</t>
  </si>
  <si>
    <t>Atropine 1mg/ml</t>
  </si>
  <si>
    <t>ATS 1,500 i.u</t>
  </si>
  <si>
    <t>ATS 3,000 i.u</t>
  </si>
  <si>
    <t>ATS 5,000 i.u</t>
  </si>
  <si>
    <t>Azithromycin 200mg/5ml Suspension</t>
  </si>
  <si>
    <t>Bacillus ClausII</t>
  </si>
  <si>
    <t>Balance Multiple Maintenance Sol. w/ 5%Dextrose(D51MB) 500ml  24's</t>
  </si>
  <si>
    <t>Balance Multiple Maintenance Sol. w/5%Dextrose(D5NM)1L  12'S</t>
  </si>
  <si>
    <t>Benzyl Penicillin 1M i.u</t>
  </si>
  <si>
    <t>Benzyl Penicillin 5m i.u</t>
  </si>
  <si>
    <t>Betahisitne 16mg Tablet 100's</t>
  </si>
  <si>
    <t>Bisacodyl 10mg</t>
  </si>
  <si>
    <t>Supp</t>
  </si>
  <si>
    <t>Bisacodyl 5mg</t>
  </si>
  <si>
    <t>Bisacodyl 5mg tablet</t>
  </si>
  <si>
    <t>Calcium Gluconate 10% Solution For Injection</t>
  </si>
  <si>
    <t>Calmoseptine Ointment</t>
  </si>
  <si>
    <t>Sachet</t>
  </si>
  <si>
    <t>Cefaclor 100mg/ml Drops</t>
  </si>
  <si>
    <t>Cefaclor 250mg/5ml Suspension</t>
  </si>
  <si>
    <t>Cefalexin 100mg/ml Drop</t>
  </si>
  <si>
    <t>Cefalexin 125mg/5ml Suspension</t>
  </si>
  <si>
    <t>Cefalexin 250mg Capsule 100's</t>
  </si>
  <si>
    <t>Cefalexin 250mg/5ml Suspension</t>
  </si>
  <si>
    <t>Cefalexin 500mg Capsule 100's</t>
  </si>
  <si>
    <t>Cefazolin 1g</t>
  </si>
  <si>
    <t>Cefixime 20mg/ml Drops</t>
  </si>
  <si>
    <t>Cefixime 400mg Capsule</t>
  </si>
  <si>
    <t>Cap</t>
  </si>
  <si>
    <t>Ceftriaxone 1g</t>
  </si>
  <si>
    <t>Cefuroxime 125mg/5ml Suspension</t>
  </si>
  <si>
    <t>Cefuroxime 250mg/ml Suspension</t>
  </si>
  <si>
    <t>Cefuroxime 500mg Capsule</t>
  </si>
  <si>
    <t>Cefuroxime 750mg</t>
  </si>
  <si>
    <t>Celecoxib 200mg Tablet</t>
  </si>
  <si>
    <t>Cetirizine 1mg/ml Drop</t>
  </si>
  <si>
    <t>Cetirizine 5mg/ml Syrup</t>
  </si>
  <si>
    <t>Chloramphenicol 1g</t>
  </si>
  <si>
    <t>Chloramphenicol 250mg capsule</t>
  </si>
  <si>
    <t>Chloramphenicol 500mg</t>
  </si>
  <si>
    <t>Chloramphenicol 500mg Capsule   100's</t>
  </si>
  <si>
    <t>Chlorphenamine 10mg/ml</t>
  </si>
  <si>
    <t>Chlorphenamine Maleate 2mg/5ml Syrup</t>
  </si>
  <si>
    <t>Chlorphenamine Maleate 4mg Tablet 100's</t>
  </si>
  <si>
    <t>Cifixime 100mg/5ml Suspension</t>
  </si>
  <si>
    <t>Cinnarizine 25mg tablet</t>
  </si>
  <si>
    <t>Ciprofloxacin 500mg Tablet  100's</t>
  </si>
  <si>
    <t>Clarithromycin 125mg/5ml Suspension</t>
  </si>
  <si>
    <t>Clarithromycin 250mg/5ml Suspension</t>
  </si>
  <si>
    <t>Clarithromycin 500mg Capsule</t>
  </si>
  <si>
    <t>Clindamycin 500mg Capsule   100's</t>
  </si>
  <si>
    <t>Clonidine 75mg Tablet</t>
  </si>
  <si>
    <t>Cloxacillin 125mg/5ml Suspension</t>
  </si>
  <si>
    <t>Cloxacillin 250mg Capsule 100's</t>
  </si>
  <si>
    <t>Cloxacillin 250mg/5ml Suspension</t>
  </si>
  <si>
    <t>Cloxacillin 500mg Capsule  100's</t>
  </si>
  <si>
    <t>BOx</t>
  </si>
  <si>
    <t>Co-amoxiclav 156mg/5ml</t>
  </si>
  <si>
    <t>Co-amoxiclav 228.5mg/5ml</t>
  </si>
  <si>
    <t>Co-amoxiclav 375mg Tablet</t>
  </si>
  <si>
    <t>Co-amoxiclav 457mg/5ml</t>
  </si>
  <si>
    <t>Co-amoxiclav 625mg tablet</t>
  </si>
  <si>
    <t>Cotrimoxazole 200mg/40mg/5m Suspension</t>
  </si>
  <si>
    <t>Cotrimoxazole 400mg Tablet</t>
  </si>
  <si>
    <t>Contrimoxazole 800mg Tablet</t>
  </si>
  <si>
    <t>D5 Water 1L    12's</t>
  </si>
  <si>
    <t>D5 Water 500ml    24's</t>
  </si>
  <si>
    <t>D50 Water 50ml</t>
  </si>
  <si>
    <t>Dexamethasone 8mg</t>
  </si>
  <si>
    <t>Dextran 500ml</t>
  </si>
  <si>
    <t>Diazepam 5mg Tablet</t>
  </si>
  <si>
    <t>Diazepam 5mg/ml</t>
  </si>
  <si>
    <t>Dicycloverine HCL 10mg Tablet</t>
  </si>
  <si>
    <t>Dicycloverine HC1 10mg/5ml Syrup</t>
  </si>
  <si>
    <t>Digoxin 250mg Tablet</t>
  </si>
  <si>
    <t>Digoxin 250mg/ml</t>
  </si>
  <si>
    <t>Diphenhydramine 25mg Tablet</t>
  </si>
  <si>
    <t>Diphenhydramine 50mg/ml</t>
  </si>
  <si>
    <t>Dobutamine 250mg/20ml</t>
  </si>
  <si>
    <t>Dopamine 200mg</t>
  </si>
  <si>
    <t>Epinephrine 1mg/ml</t>
  </si>
  <si>
    <t>Erythromycin 100mg/ml Drop</t>
  </si>
  <si>
    <t>Erythromycin 250mg/5ml Suspension</t>
  </si>
  <si>
    <t>Erythromycin 250mg Capsule</t>
  </si>
  <si>
    <t>Erythromycin 500mg Capsule</t>
  </si>
  <si>
    <t>Furosemide 10mg/ml</t>
  </si>
  <si>
    <t>Furosemide 20mg tablet</t>
  </si>
  <si>
    <t>Gentamicin SO4 40mg/ml</t>
  </si>
  <si>
    <t>Gentamicin Sulfate 3mg/ml eye drops</t>
  </si>
  <si>
    <t>Gliclazide 80mg tablet</t>
  </si>
  <si>
    <t>Haloperidol 5mg/ml</t>
  </si>
  <si>
    <t>Human Normal Immunoglobulin Ig</t>
  </si>
  <si>
    <t>Hydralazine 20mg/ml</t>
  </si>
  <si>
    <t>Hydrocortisone Succinate 100mg</t>
  </si>
  <si>
    <t>Hydrocortisone Succinate 500mg</t>
  </si>
  <si>
    <t>Hyoscine-N-Butyl Bromide 20mg/ml</t>
  </si>
  <si>
    <t>Hyoscine-N-Butyl Bromide Tablet</t>
  </si>
  <si>
    <t>Ipratropium Hydrobromide+Fenoterol hydrobromide 1.25mg/0/5mg/4ml</t>
  </si>
  <si>
    <t>Isosorbide dinitrate 5mg Tablet</t>
  </si>
  <si>
    <t>Isoxsuprin HCL 10mg Tablet 100's</t>
  </si>
  <si>
    <t>Lactated Ringers Solution 1L    12's</t>
  </si>
  <si>
    <t>Lactated Ringers 500ml   24's</t>
  </si>
  <si>
    <t>Lagundi 300mg/5ml Syrup</t>
  </si>
  <si>
    <t>Levofloxacin 500mg Capsule</t>
  </si>
  <si>
    <t>Lidocaine 20mg 2% Hcl 50ml</t>
  </si>
  <si>
    <t>Loratadine 5mg/5ml Syrup</t>
  </si>
  <si>
    <t>Magnesium Sulfae 250mg/ml</t>
  </si>
  <si>
    <t>Mannitol 500ml   24's</t>
  </si>
  <si>
    <t>Mebendazole 20mg/ml Suspension</t>
  </si>
  <si>
    <t>Mebendazole 500mg Tablet  100's</t>
  </si>
  <si>
    <t>Meclozine 25mg Tablet</t>
  </si>
  <si>
    <t>Mefenamic Acid 250mg Capsule</t>
  </si>
  <si>
    <t>Mefenamic Acid 500mg Capsule</t>
  </si>
  <si>
    <t>Mefenamic Acid 50mg/5ml Suspension</t>
  </si>
  <si>
    <t>Metformin 500mg Tablet</t>
  </si>
  <si>
    <t>Methyldopa 250mg Tablet</t>
  </si>
  <si>
    <t>Methylergonometrine 250mcg/ml</t>
  </si>
  <si>
    <t>Methylergonometrine Maleate 250mcg Tablet</t>
  </si>
  <si>
    <t>Metoclopramide 10mg Tablet 100's</t>
  </si>
  <si>
    <t>Metoclopramide 5mg Tablet</t>
  </si>
  <si>
    <t>Metoclopramide 5mg/5ml Syrup</t>
  </si>
  <si>
    <t>Metoclopramide 5mg/ml</t>
  </si>
  <si>
    <t>Metoprolol Tartrate 100mg Tablet</t>
  </si>
  <si>
    <t>Metoprolol Tartrate 50mg Tablet</t>
  </si>
  <si>
    <t>Metronidazole 125mg/5ml Suspension</t>
  </si>
  <si>
    <t>Metronidazole 500mg Tablet</t>
  </si>
  <si>
    <t>Micronized Purified flavonoid fraction 500mg Tablet</t>
  </si>
  <si>
    <t>Montelukast 10mg Tablet 100's</t>
  </si>
  <si>
    <t>Montelukast 5mg Tablet  100's</t>
  </si>
  <si>
    <t>Morphine 10mg/ml</t>
  </si>
  <si>
    <t>Mupirocin 2% Oitment</t>
  </si>
  <si>
    <t>Tube</t>
  </si>
  <si>
    <t>Newborn Hearing Registry Cards</t>
  </si>
  <si>
    <t>Booklet</t>
  </si>
  <si>
    <t>Nifedipine 10mg Capsule</t>
  </si>
  <si>
    <t>Nifedipine 5mg Capsule</t>
  </si>
  <si>
    <t>Norepinephrine 1mg/ml</t>
  </si>
  <si>
    <t>Ofloxacin 400mg Tablet</t>
  </si>
  <si>
    <t>Omeprazole 20mg Tablet</t>
  </si>
  <si>
    <t>Omeprazole 40mg</t>
  </si>
  <si>
    <t>Omeprazole 40mg Tablet</t>
  </si>
  <si>
    <t>Oral Rehydration Salt</t>
  </si>
  <si>
    <t>Orphenadrine Citrate Paracetamol 35mg/450mg Tablet</t>
  </si>
  <si>
    <t>Oxytocin 10 i.u</t>
  </si>
  <si>
    <t>Paracetamol 100mg/ml Drop</t>
  </si>
  <si>
    <t>Paracetamol 125mg</t>
  </si>
  <si>
    <t>Paracetamol 125mg/5ml Syrup</t>
  </si>
  <si>
    <t>Paracetamol 150mg/ml</t>
  </si>
  <si>
    <t>Paracetamol 250mg</t>
  </si>
  <si>
    <t>Paracetamol 250mg/5ml Syrup</t>
  </si>
  <si>
    <t>Paracetamol 500mg Tablet  100's</t>
  </si>
  <si>
    <t>Pedialyte 45 Solution   500ml</t>
  </si>
  <si>
    <t>Phenobarbital Sodium</t>
  </si>
  <si>
    <t>Phynetoin 100mg Capsule</t>
  </si>
  <si>
    <t>Phynetoin 125mg/5ml Syrup</t>
  </si>
  <si>
    <t>Phynetoin 50mg/ml</t>
  </si>
  <si>
    <t>Phytominadione 10mg/ml</t>
  </si>
  <si>
    <t>Potassium Chloride 2mEq/ml</t>
  </si>
  <si>
    <t>Potassium Chloride 750mg Durules</t>
  </si>
  <si>
    <t>Prednisone 5mg Tablet</t>
  </si>
  <si>
    <t>Pyrantel Pamoate 500mg Tablet</t>
  </si>
  <si>
    <t>Pyrantel Pamoate 20mg/ml Suspension</t>
  </si>
  <si>
    <t>Pyridoxine 1g</t>
  </si>
  <si>
    <t>Ranitidine 25mg/ml</t>
  </si>
  <si>
    <t>Ranitidine 300mg Tablet</t>
  </si>
  <si>
    <t>Salbutamol 2mg Tablet</t>
  </si>
  <si>
    <t>Salbutamol 2mg/5ml Syrup</t>
  </si>
  <si>
    <t>Salbutamol Sulfate 2.5mg/2.5ml Nebule</t>
  </si>
  <si>
    <t>Salbutamol+Guaifenecin 50mg/5ml Syrup</t>
  </si>
  <si>
    <t>Salbutamol+Guaifenecin Capsule</t>
  </si>
  <si>
    <t>Seretide 100 Diskus</t>
  </si>
  <si>
    <t>Silver Sulfadizine cream</t>
  </si>
  <si>
    <t>Jar</t>
  </si>
  <si>
    <t>Sodium Bicarbonate 50ml</t>
  </si>
  <si>
    <t>Sodium Bicarbonate Tablet 100's</t>
  </si>
  <si>
    <t>Sucralfate 1g</t>
  </si>
  <si>
    <t>Terbutaline Sulfate 500mcg/ml</t>
  </si>
  <si>
    <t>Terramycin eye ointment</t>
  </si>
  <si>
    <t>Tetanus Toxoid i.u</t>
  </si>
  <si>
    <t>Tetracycline 500mg Capsule   100's</t>
  </si>
  <si>
    <t>Tramadol Hcl 50mg Capsule</t>
  </si>
  <si>
    <t>Tramadol HCL 50mg/ml</t>
  </si>
  <si>
    <t>Tranexamic Acid 250mg Capsule</t>
  </si>
  <si>
    <t>Tranexamic Acid 25mg/ml</t>
  </si>
  <si>
    <t>Tranexamic Acid 500mg Capsule   100's</t>
  </si>
  <si>
    <t>Verapamil Hydrocloride 2.5mg/ml</t>
  </si>
  <si>
    <t>Vitamin B Complex Tablet</t>
  </si>
  <si>
    <t>Zinc Sulfate 27.50mg/ml Drops</t>
  </si>
  <si>
    <t>Zinc Sulfate 55mg/5ml Syrup</t>
  </si>
  <si>
    <t>Medical Supplies Expenses</t>
  </si>
  <si>
    <t>Applicator Stick</t>
  </si>
  <si>
    <t>Black Braided Silk 2/0</t>
  </si>
  <si>
    <t>Spoll</t>
  </si>
  <si>
    <t>Black Braided Silk 3/0</t>
  </si>
  <si>
    <t>Black Braided Silk 4/0</t>
  </si>
  <si>
    <t>Blood Lancet</t>
  </si>
  <si>
    <t>Blue Tips</t>
  </si>
  <si>
    <t>Packs</t>
  </si>
  <si>
    <t>Body Suit</t>
  </si>
  <si>
    <t>BUN</t>
  </si>
  <si>
    <t>Capillary Tube (Mereinfeld)</t>
  </si>
  <si>
    <t>Chomic 2/0                          10's</t>
  </si>
  <si>
    <t>Chomic 3/0                          10's</t>
  </si>
  <si>
    <t>Chomic 4/0                          10's</t>
  </si>
  <si>
    <t>Cidex long Life Solution</t>
  </si>
  <si>
    <t>Clay Sealer</t>
  </si>
  <si>
    <t>Cotton 400g</t>
  </si>
  <si>
    <t>Cove Slips</t>
  </si>
  <si>
    <t>Creatinine Reagent</t>
  </si>
  <si>
    <t>Disposable Needle G.23    100's</t>
  </si>
  <si>
    <t>Disposable Needle G.26    100's</t>
  </si>
  <si>
    <t>Disposable Shoes Plastic</t>
  </si>
  <si>
    <t>Pack</t>
  </si>
  <si>
    <t>Disposable Syringe 10cc</t>
  </si>
  <si>
    <t>Disposable Syringe 3cc</t>
  </si>
  <si>
    <t>Disposable Syringe 5cc</t>
  </si>
  <si>
    <t>Distilled Water For Injection 100ml</t>
  </si>
  <si>
    <t>Vls</t>
  </si>
  <si>
    <t>EDTA Tubes (2ml)</t>
  </si>
  <si>
    <t>Elastic Bandage (2 in. x 5yrds)</t>
  </si>
  <si>
    <t>Pcs.</t>
  </si>
  <si>
    <t>Elastic Bandage (3 in. x 5yrds)</t>
  </si>
  <si>
    <t>Elastic Bandage (4 in. x 5yrds)</t>
  </si>
  <si>
    <t>Elastic Bandage (6 in. x 5yrds)</t>
  </si>
  <si>
    <t>Expanded NBS Kits</t>
  </si>
  <si>
    <t>Facemask with earloop</t>
  </si>
  <si>
    <t>Faceshield</t>
  </si>
  <si>
    <t>Film Badge (TUV Rhienland)+ Courier</t>
  </si>
  <si>
    <t>Foley Catheter Fr.10</t>
  </si>
  <si>
    <t>Foley Catheter Fr. 12</t>
  </si>
  <si>
    <t>Foley Catheter Fr. 14</t>
  </si>
  <si>
    <t>Foley Catheter Fr. 16</t>
  </si>
  <si>
    <t>Foley Catheter Fr. 18</t>
  </si>
  <si>
    <t>Gauze (20x12)</t>
  </si>
  <si>
    <t>Glass Slides</t>
  </si>
  <si>
    <t>Gloves Non Sterile (Large)</t>
  </si>
  <si>
    <t>Gloves Non Sterile (Medium)</t>
  </si>
  <si>
    <t>Gloves Non Sterile (Small)</t>
  </si>
  <si>
    <t>Glucometer Strip</t>
  </si>
  <si>
    <t>Bot</t>
  </si>
  <si>
    <t>Glucose Reagent</t>
  </si>
  <si>
    <t>H.Pylori Test Kits</t>
  </si>
  <si>
    <t>50's</t>
  </si>
  <si>
    <t>HDL Reagents</t>
  </si>
  <si>
    <t>Head Cap</t>
  </si>
  <si>
    <t>Hemacontrol</t>
  </si>
  <si>
    <t>Hemaquick Stain</t>
  </si>
  <si>
    <t>Hepatitis B Qualitative Test</t>
  </si>
  <si>
    <t>Hydrogen Peroxide Solution 500ml</t>
  </si>
  <si>
    <t>I.V Cannula G.20</t>
  </si>
  <si>
    <t>I.V Cannula G.22</t>
  </si>
  <si>
    <t>I.V Cannula G.24</t>
  </si>
  <si>
    <t>I.V Cannula G.26</t>
  </si>
  <si>
    <t>Insulin Syringe with needle (G.29x1/2)</t>
  </si>
  <si>
    <t>Isolation Gown</t>
  </si>
  <si>
    <t>Isopropyl Alcohol 500ml</t>
  </si>
  <si>
    <t>Ky Jelly lubricant Gel 82g</t>
  </si>
  <si>
    <t>Littman Stethoscope (Adult</t>
  </si>
  <si>
    <t>Littman Stethoscope (Pedia)</t>
  </si>
  <si>
    <t>Lugol's lodine</t>
  </si>
  <si>
    <t>Lysol Solution</t>
  </si>
  <si>
    <t>Macroset</t>
  </si>
  <si>
    <t>Materials For X-ray</t>
  </si>
  <si>
    <t>Medical Oxygen Gauge</t>
  </si>
  <si>
    <t>Medical Oxygen REFILL</t>
  </si>
  <si>
    <t>Methanol</t>
  </si>
  <si>
    <t>Microset</t>
  </si>
  <si>
    <t>Microtainer Edta</t>
  </si>
  <si>
    <t>Nasogastric Fr.10</t>
  </si>
  <si>
    <t>Nasogastric Fr. 12</t>
  </si>
  <si>
    <t>Nasogastric Fr. 14</t>
  </si>
  <si>
    <t>Nasogastric Fr. 16</t>
  </si>
  <si>
    <t>Nasogastric Fr.8</t>
  </si>
  <si>
    <t>Nebulizer Kit</t>
  </si>
  <si>
    <t>Non-Pathologic Control Chem</t>
  </si>
  <si>
    <t>Oxygen Cannula (Adult)</t>
  </si>
  <si>
    <t>Oxygen Cannula (Pedia)</t>
  </si>
  <si>
    <t>Pathologic Control (Chem)</t>
  </si>
  <si>
    <t>Pediatric Urine Collector 100ml</t>
  </si>
  <si>
    <t>Pipettor (of Variety Measurement)</t>
  </si>
  <si>
    <t>Plaster (Hospital Size)</t>
  </si>
  <si>
    <t>Povidone Iodine Solution</t>
  </si>
  <si>
    <t>Pregnancy Test Kit</t>
  </si>
  <si>
    <t>Preventive Maintenance</t>
  </si>
  <si>
    <t>Pulse Oximeter</t>
  </si>
  <si>
    <t>Rayto Cleanser</t>
  </si>
  <si>
    <t>Rayto Diluent</t>
  </si>
  <si>
    <t>Rayto Lyse</t>
  </si>
  <si>
    <t>Rees and Ecker</t>
  </si>
  <si>
    <t>SGPT Reagent</t>
  </si>
  <si>
    <t>Silk 2/0</t>
  </si>
  <si>
    <t>Silk 3/0</t>
  </si>
  <si>
    <t>Silk 4/0</t>
  </si>
  <si>
    <t>Staple Remover</t>
  </si>
  <si>
    <t>Sterile Gauze Swab</t>
  </si>
  <si>
    <t>Stool Container</t>
  </si>
  <si>
    <t>Suction Catheter Fr.10</t>
  </si>
  <si>
    <t>Suction Catheter Fr. 12</t>
  </si>
  <si>
    <t>Suction Catheter Fr. 16</t>
  </si>
  <si>
    <t>Suction Catheter Fr.8</t>
  </si>
  <si>
    <t>Surgical Blade #10</t>
  </si>
  <si>
    <t>Surgical Gloves 6 1/2    50's</t>
  </si>
  <si>
    <t>Surgical Gloves 7   50's</t>
  </si>
  <si>
    <t>Surgical Gloves 7 1/2   50's</t>
  </si>
  <si>
    <t>Surgical Gloves 8     50's</t>
  </si>
  <si>
    <t>Suture Needle Size 12</t>
  </si>
  <si>
    <t>Doz</t>
  </si>
  <si>
    <t>Sature Needle Size 14</t>
  </si>
  <si>
    <t>Sature Needle Size 16</t>
  </si>
  <si>
    <t>Sature Needle Size 18</t>
  </si>
  <si>
    <t>Sature Needle Size 20</t>
  </si>
  <si>
    <t>Sature Needle Size 22</t>
  </si>
  <si>
    <t>Syringe 3ml</t>
  </si>
  <si>
    <t>Syringe 5ml</t>
  </si>
  <si>
    <t>Tes tubes (Red Top)</t>
  </si>
  <si>
    <t>Test Tubes</t>
  </si>
  <si>
    <t>100's</t>
  </si>
  <si>
    <t>Thermal Gun (Big)</t>
  </si>
  <si>
    <t>Total Cholesterol Reagent</t>
  </si>
  <si>
    <t>Triglycerides</t>
  </si>
  <si>
    <t>Tuberculin</t>
  </si>
  <si>
    <t>Typing Sera A</t>
  </si>
  <si>
    <t>Typing Sera B</t>
  </si>
  <si>
    <t>Typing Sera D</t>
  </si>
  <si>
    <t>Umbilical Cord Clamp</t>
  </si>
  <si>
    <t>Uric Acid Reagent</t>
  </si>
  <si>
    <t>Urine Bag 2000ml</t>
  </si>
  <si>
    <t>Urine Container</t>
  </si>
  <si>
    <t>Urine Reagent Strip (Biostix)</t>
  </si>
  <si>
    <t>WBC diluting Fluid</t>
  </si>
  <si>
    <t>Wooden Tongue Depressor 100's</t>
  </si>
  <si>
    <t>Working Gloves</t>
  </si>
  <si>
    <t>Yellow Tips</t>
  </si>
  <si>
    <t xml:space="preserve">                 -   </t>
  </si>
  <si>
    <t>Bath Soap (Safeguard)</t>
  </si>
  <si>
    <t>Brooms</t>
  </si>
  <si>
    <t>Chlorine</t>
  </si>
  <si>
    <t>Kl</t>
  </si>
  <si>
    <t>PC</t>
  </si>
  <si>
    <t>Computer Table</t>
  </si>
  <si>
    <t>Cork Board 2x3</t>
  </si>
  <si>
    <t>DOH-LTO Registration Fee</t>
  </si>
  <si>
    <t>Fire Extinguisher (20 Lbs.)</t>
  </si>
  <si>
    <t>Flash Drive/USB</t>
  </si>
  <si>
    <t>FlashLight</t>
  </si>
  <si>
    <t>FlashLight 2 Batteries</t>
  </si>
  <si>
    <t>Hand Towel</t>
  </si>
  <si>
    <t>Heavy duty AVR</t>
  </si>
  <si>
    <t>Heavy duty mop squeezer</t>
  </si>
  <si>
    <t>Heavy Duty Rice Cooker</t>
  </si>
  <si>
    <t>Heavy duty UPS</t>
  </si>
  <si>
    <t>Laboratory Renewal Fee</t>
  </si>
  <si>
    <t>Laundry Soap Bar</t>
  </si>
  <si>
    <t>Bars</t>
  </si>
  <si>
    <t>Laundry Soap Powder</t>
  </si>
  <si>
    <t>Linen</t>
  </si>
  <si>
    <t>Memo Paper Long</t>
  </si>
  <si>
    <t>Reams</t>
  </si>
  <si>
    <t>Memo Paper Short</t>
  </si>
  <si>
    <t>Monoblock Chairs</t>
  </si>
  <si>
    <t>Mo Head</t>
  </si>
  <si>
    <t>Mop with sqeezer</t>
  </si>
  <si>
    <t>NEQAS CLIN CHEMISTRY</t>
  </si>
  <si>
    <t>NEQAS CLIN MICROSCOPY</t>
  </si>
  <si>
    <t>NEQAS HEMA</t>
  </si>
  <si>
    <t>Other Hospital License Fee</t>
  </si>
  <si>
    <t>Patient's Chart Clip Board (Steel)</t>
  </si>
  <si>
    <t>PHIC Renewal Fee</t>
  </si>
  <si>
    <t>Plastic Mat (Single)</t>
  </si>
  <si>
    <t>Plastic Rugs</t>
  </si>
  <si>
    <t>Pot Holder</t>
  </si>
  <si>
    <t>Round Up Medicine</t>
  </si>
  <si>
    <t>Rolls</t>
  </si>
  <si>
    <t>TUV-X-ray Renewal Fee</t>
  </si>
  <si>
    <t>Walis Tingting</t>
  </si>
  <si>
    <t>Water Analysis</t>
  </si>
  <si>
    <t>X</t>
  </si>
  <si>
    <t>Water Chlorine</t>
  </si>
  <si>
    <t>Bucket</t>
  </si>
  <si>
    <t>White Board ft.x4 ft.size</t>
  </si>
  <si>
    <t>Bots.</t>
  </si>
  <si>
    <t xml:space="preserve">                -   </t>
  </si>
  <si>
    <t>Other Maintenance and Operating Expenses</t>
  </si>
  <si>
    <t>Vulca Seal</t>
  </si>
  <si>
    <t>Can</t>
  </si>
  <si>
    <t>Padlock</t>
  </si>
  <si>
    <t>Paint Brush</t>
  </si>
  <si>
    <t>Pylox</t>
  </si>
  <si>
    <t>Paint Roller</t>
  </si>
  <si>
    <t>Laquer Thinner</t>
  </si>
  <si>
    <t>Gal./Btl.</t>
  </si>
  <si>
    <t>Varnish</t>
  </si>
  <si>
    <t>Sand Paper</t>
  </si>
  <si>
    <t>Calsomine</t>
  </si>
  <si>
    <t>Nylon #300</t>
  </si>
  <si>
    <t>Lysol Spray</t>
  </si>
  <si>
    <t>Btl.</t>
  </si>
  <si>
    <t>Outlet 3 and 4 gang</t>
  </si>
  <si>
    <t>Circuit Breaker(225 ampere)</t>
  </si>
  <si>
    <t>Circuit Breaker(40 ampere)</t>
  </si>
  <si>
    <t>Circuit Breaker(30 ampere)</t>
  </si>
  <si>
    <t>Circuit Breaker(25 ampere)</t>
  </si>
  <si>
    <t>Fuse Link(10 ampere)</t>
  </si>
  <si>
    <t>Fuse Link(15 ampere)</t>
  </si>
  <si>
    <t>Fuse(120 ampere)</t>
  </si>
  <si>
    <t>Fuse (100 ampere)</t>
  </si>
  <si>
    <t>Pvc Pipe</t>
  </si>
  <si>
    <t>Length</t>
  </si>
  <si>
    <t>Brown Envelop (Short)</t>
  </si>
  <si>
    <t>Brown Envelop (Long)</t>
  </si>
  <si>
    <t>Flower Pot</t>
  </si>
  <si>
    <t>Office Table Chair</t>
  </si>
  <si>
    <t>Scotch Tape Cutter Organizer</t>
  </si>
  <si>
    <t>Curtains</t>
  </si>
  <si>
    <t>Registry Logbook</t>
  </si>
  <si>
    <t>Garbage Receptacle w/ cover</t>
  </si>
  <si>
    <t>Pulse Oximeter(Battery Only)</t>
  </si>
  <si>
    <t>Thermometer (Oral)</t>
  </si>
  <si>
    <t>Thermometer(Rectal)</t>
  </si>
  <si>
    <t>Sphygmomanomometer</t>
  </si>
  <si>
    <t>Stethoscope(Littman)</t>
  </si>
  <si>
    <t>Pediatric cuff</t>
  </si>
  <si>
    <t>Needle Hub Cutter</t>
  </si>
  <si>
    <t>Garbage Bins(Color Coded)</t>
  </si>
  <si>
    <t>Straight Kelly Forceps(Medium)</t>
  </si>
  <si>
    <t>Oxygen Tank Carrier</t>
  </si>
  <si>
    <t>Repair, Cleaning And Maintenance of Water Resevoirs and Pump</t>
  </si>
  <si>
    <t>Miscellaneous Expenses</t>
  </si>
  <si>
    <t>Fire Safety Compliance, License to Operate a Hospital, PHA Annual Membership Dues, Philhealth Accreditation (Facility), DENR - EMB Permit &amp; License, EQAS-Laboratory</t>
  </si>
  <si>
    <t xml:space="preserve">                    -   </t>
  </si>
  <si>
    <t>Supply and Delivery of various office supplies &amp; equipment</t>
  </si>
  <si>
    <t>Ball pen (Black)</t>
  </si>
  <si>
    <t>Ball pen (Blue)</t>
  </si>
  <si>
    <t>Ball pen (Red)</t>
  </si>
  <si>
    <t>Birth Certificate</t>
  </si>
  <si>
    <t>Pad</t>
  </si>
  <si>
    <t>Bond Paper (Long)</t>
  </si>
  <si>
    <t>Bond Paper (Red)(Long)</t>
  </si>
  <si>
    <t>Bond Paper (Short)</t>
  </si>
  <si>
    <t>Bond Paper (Blue)(Long)</t>
  </si>
  <si>
    <t>Bond Paper (Yellow)(Long)</t>
  </si>
  <si>
    <t>Calculator Desktop</t>
  </si>
  <si>
    <t>Carbon Paper(Long)</t>
  </si>
  <si>
    <t>10's</t>
  </si>
  <si>
    <t>Garbage Bag XL assorted color</t>
  </si>
  <si>
    <t>Sando Bag XL assorted color</t>
  </si>
  <si>
    <t>Smoke celophane assorted</t>
  </si>
  <si>
    <t>White Board Pen</t>
  </si>
  <si>
    <t>Cartolina Assorted</t>
  </si>
  <si>
    <t>Clear Book</t>
  </si>
  <si>
    <t>Pads</t>
  </si>
  <si>
    <t>Columnar 24 Column</t>
  </si>
  <si>
    <t>Books</t>
  </si>
  <si>
    <t>Columnar Book # 552 28 Column</t>
  </si>
  <si>
    <t>Death Certificate</t>
  </si>
  <si>
    <t>Disinfectant spray</t>
  </si>
  <si>
    <t>Elmer's Glue</t>
  </si>
  <si>
    <t>Bots</t>
  </si>
  <si>
    <t>Filing System Box</t>
  </si>
  <si>
    <t>Folder (Long)</t>
  </si>
  <si>
    <t>Folder (Short)</t>
  </si>
  <si>
    <t>Index Card 5x8</t>
  </si>
  <si>
    <t>Ink Printer Assorted Colors (003)</t>
  </si>
  <si>
    <t>Manila Paper</t>
  </si>
  <si>
    <t>Marking pen Permanent</t>
  </si>
  <si>
    <t>Masking Tape Big</t>
  </si>
  <si>
    <t>Master  Copy (Rizo C180)</t>
  </si>
  <si>
    <t>Paper  Clip 33mm</t>
  </si>
  <si>
    <t>Boxes</t>
  </si>
  <si>
    <t>Paper Towel</t>
  </si>
  <si>
    <t>Pentel Pen (Red)</t>
  </si>
  <si>
    <t>Pentel Pen (Refill Black)</t>
  </si>
  <si>
    <t>Miscellaneous</t>
  </si>
  <si>
    <t>Pentel Pen (Pilot Black)</t>
  </si>
  <si>
    <t>Pentel Pen (Pilot Blue)</t>
  </si>
  <si>
    <t>Record Book 300 pages (Valiant)</t>
  </si>
  <si>
    <t>Roller Steel (12 inches)</t>
  </si>
  <si>
    <t>Scissor Big</t>
  </si>
  <si>
    <t>Scotch Tape 1 Inch</t>
  </si>
  <si>
    <t>Sign Pen Black</t>
  </si>
  <si>
    <t>Sliding Folder Plastic (Long)</t>
  </si>
  <si>
    <t>Stabilo</t>
  </si>
  <si>
    <t>Staple Wire #10</t>
  </si>
  <si>
    <t>Tonner (Rizo c2 180)</t>
  </si>
  <si>
    <t>Typewritter Ribbon</t>
  </si>
  <si>
    <t>Trash Bin (240 Litters) Assorted Color</t>
  </si>
  <si>
    <t>ltrs</t>
  </si>
  <si>
    <t>Oil 2T</t>
  </si>
  <si>
    <t>Engine Oil-40</t>
  </si>
  <si>
    <t>Coolant</t>
  </si>
  <si>
    <t>Gear Oil</t>
  </si>
  <si>
    <t>Brake Fluid</t>
  </si>
  <si>
    <t>Multi-Purpose Grease</t>
  </si>
  <si>
    <t>direct retail price</t>
  </si>
  <si>
    <t>Rice</t>
  </si>
  <si>
    <t>Beef</t>
  </si>
  <si>
    <t>Fish</t>
  </si>
  <si>
    <t>Shrimps</t>
  </si>
  <si>
    <t>Ham</t>
  </si>
  <si>
    <t>pck</t>
  </si>
  <si>
    <t>Chorizzo</t>
  </si>
  <si>
    <t>Eggs</t>
  </si>
  <si>
    <t>Dried Fish</t>
  </si>
  <si>
    <t>Coffee</t>
  </si>
  <si>
    <t>Corned Beef</t>
  </si>
  <si>
    <t>Cans</t>
  </si>
  <si>
    <t>Beef Loaf</t>
  </si>
  <si>
    <t>Bihon</t>
  </si>
  <si>
    <t>Century Tuna</t>
  </si>
  <si>
    <t>cans</t>
  </si>
  <si>
    <t>Vegetables Assorted</t>
  </si>
  <si>
    <t>Spices and Condiments assorted</t>
  </si>
  <si>
    <t>Fruits Assorted</t>
  </si>
  <si>
    <t>Vinegar</t>
  </si>
  <si>
    <t>Soy Sauce</t>
  </si>
  <si>
    <t>Cooking oil</t>
  </si>
  <si>
    <t>Dish washing Paste</t>
  </si>
  <si>
    <t>cups</t>
  </si>
  <si>
    <t>Steel wall</t>
  </si>
  <si>
    <t>FUEL, OIL AND LUBRICANTS EXPENSES</t>
  </si>
  <si>
    <t>Diesel Fuel 60.00/liter</t>
  </si>
  <si>
    <t>July 2026</t>
  </si>
  <si>
    <t>1021-05-03-090</t>
  </si>
  <si>
    <t>Market Scooping through canvass/price quotation</t>
  </si>
  <si>
    <t>LNB</t>
  </si>
  <si>
    <t>HON. JOSSONE MICHAEL G. DAYANGHIRANG</t>
  </si>
  <si>
    <t>REPAIR &amp; MAINTENANCE (Transpo Equipment)</t>
  </si>
  <si>
    <t>1021-05-02-13-060</t>
  </si>
  <si>
    <t>BM JOSSONE DAYANGHIRANG</t>
  </si>
  <si>
    <t>LNB BM JOSSONE DAYANGHIRANG</t>
  </si>
  <si>
    <t>Subsidy to LGU</t>
  </si>
  <si>
    <t>Subsidy</t>
  </si>
  <si>
    <t>1021-5-02-14-30</t>
  </si>
  <si>
    <t>Travel</t>
  </si>
  <si>
    <t>1021-5-02-01-010</t>
  </si>
  <si>
    <t>JOSSONE DAYANGHIRANG</t>
  </si>
  <si>
    <t>DONATIONS</t>
  </si>
  <si>
    <t>Rice (7 Tonner/50 kls.)</t>
  </si>
  <si>
    <t>1021-5-02-99-080</t>
  </si>
  <si>
    <t>Monoblock Chair (200pcs x 500.00)</t>
  </si>
  <si>
    <t>Tent (4pcs 10x20 x 25,000.00)</t>
  </si>
  <si>
    <t>Polo/Sweatshirt (504pcs x 500.00)</t>
  </si>
  <si>
    <t xml:space="preserve">Financial Assistance </t>
  </si>
  <si>
    <t>Burial Assistance</t>
  </si>
  <si>
    <t>Fuel, Oil and Lubricants</t>
  </si>
  <si>
    <t>1021-05-02-03-090</t>
  </si>
  <si>
    <t>BM MONTOJO</t>
  </si>
  <si>
    <t>Rice @ 2,506.00/sack</t>
  </si>
  <si>
    <t>PACCO</t>
  </si>
  <si>
    <t>Procurement of equipment, supplies, amd other materials, logistical support, and effective services delivery of the Provincial Accountant's Office</t>
  </si>
  <si>
    <t>MOOE</t>
  </si>
  <si>
    <t>01/19/2026</t>
  </si>
  <si>
    <t>12/20/2026</t>
  </si>
  <si>
    <t>General Fund Proper (CY 2026)</t>
  </si>
  <si>
    <t>OFFICE SUPPLIES</t>
  </si>
  <si>
    <t>60 RMS BOND PAPER SHORT (PARAGON)</t>
  </si>
  <si>
    <t>60 RMS BOOK APEPR SHORT (DOUBLE AA)</t>
  </si>
  <si>
    <t>30 RMS BOND PAPER LONG (PARAGON)</t>
  </si>
  <si>
    <t>50 RMS BOOK PAPER LONG (DOUBLE AA)</t>
  </si>
  <si>
    <t>20 RMS BOND PAPER A4 (PARAGON)</t>
  </si>
  <si>
    <t>50 RMS BOOK PAPER A4 (DOUBLE AA)</t>
  </si>
  <si>
    <t>8 RMS BOND PAPER LEGAL (CACTUS)</t>
  </si>
  <si>
    <t>3 RMS BOOK PAPER LEGAL (DOUBLE AA)</t>
  </si>
  <si>
    <t>2 BOX ENVELOPE DOCUMENTARY LEGAL SIZE</t>
  </si>
  <si>
    <t>4 BOX ENVELOPE EXPANDING LEGAL SIZE</t>
  </si>
  <si>
    <t>2 BOX ENVELOPE MAILING WHITE LONG</t>
  </si>
  <si>
    <t>2 BOX ENVELOPE MAILING WHITE WITH WINDOW LONG</t>
  </si>
  <si>
    <t>2 PIECE EXPANDED ENVELOPE (12 POCKETS)</t>
  </si>
  <si>
    <t>10 PIECE FILE ORGANIZER 12 POCKETS</t>
  </si>
  <si>
    <t>2 BUNDLE FOLDER, FANCY, A4</t>
  </si>
  <si>
    <t>4 BUNDLE FOLDER, FANCY, LEGAL SIZE</t>
  </si>
  <si>
    <t>2 PACK FOLDER, L-TYPE, PLASTIC, A4</t>
  </si>
  <si>
    <t>4 PACK FOLDER, L-TYPE, PLASTIC, LEGAL SIZE</t>
  </si>
  <si>
    <t>350 PCS FOLDER LEGAL SIZE</t>
  </si>
  <si>
    <t>20 PIECE DATA FOLDER</t>
  </si>
  <si>
    <t>30 BOX CARBON FILM (LONG)</t>
  </si>
  <si>
    <t>1 RM PVC COVER</t>
  </si>
  <si>
    <t>1 RM VELLUM BOARD (LONG)</t>
  </si>
  <si>
    <t>1 RM VELLUM BOARD (SHORT)</t>
  </si>
  <si>
    <t>3000 PIECE INDEX CARD ACCOUNTING FORM #81</t>
  </si>
  <si>
    <t>5 PIECE DISPLAY BOOK LEGAL</t>
  </si>
  <si>
    <t>6 BOTTLE STAMP PAD INK</t>
  </si>
  <si>
    <t>6 PAD STAMP PAD FELT PAD</t>
  </si>
  <si>
    <t>10 UNIT SELF INKING STAMP</t>
  </si>
  <si>
    <t>150 PAD STICKY TABBING</t>
  </si>
  <si>
    <t>40 PIECE STICKY TABBING</t>
  </si>
  <si>
    <t>4 SET FILE TAB DIVIDER LEGAL SIZE</t>
  </si>
  <si>
    <t>6 BOOK RECORD BOOK 500 PAGES</t>
  </si>
  <si>
    <t>4 PIECE MARKER PERMANENT BLACK</t>
  </si>
  <si>
    <t>15 PIECE WHITE BOARD MARKER</t>
  </si>
  <si>
    <t>10 PIECE WHITE BOARD MARKER INK</t>
  </si>
  <si>
    <t>7 BOX SIGN PEN, BLACK 0.5MM NEEDLE TIP</t>
  </si>
  <si>
    <t>4 BOX SIGN PEN, BLUE, 0.5MM NEEDLE TIP</t>
  </si>
  <si>
    <t>2 BOX SIGN PEN, RED, 0.5MM NEEDLE TIP</t>
  </si>
  <si>
    <t>6 BOX SIGN PEN, BLACK, 0.5MM REFILL</t>
  </si>
  <si>
    <t>3 BOX SIGN PEN, BLUE, 0.5MM REFILL</t>
  </si>
  <si>
    <t>1 BOX SIGN PEN, RED, 0.5MM REFILL</t>
  </si>
  <si>
    <t>2 PACK COLORED PENS</t>
  </si>
  <si>
    <t>10 PIECE MARKING PEN BULLET TIP</t>
  </si>
  <si>
    <t>2 BOX PENCIL, LEAD WITH ERASER</t>
  </si>
  <si>
    <t>15 PIECE MECHANICAL PENCIL</t>
  </si>
  <si>
    <t>20 TUBE MECHANICAL PENCIL LEAD</t>
  </si>
  <si>
    <t>20 PIECE STABILO HIGHLIGHTER ORANGE</t>
  </si>
  <si>
    <t>20 PIECE STABILO HIGHLIGHTER YELLOW</t>
  </si>
  <si>
    <t>20 PIECE STABILO HIGHLIGHTER GREEN</t>
  </si>
  <si>
    <t>15 PACK BATTERY AA</t>
  </si>
  <si>
    <t>12 JAR GLUE ALL PURPOSE</t>
  </si>
  <si>
    <t>5 PIECE GLUE ALL PURPOSE bottle (130 GRAMS)</t>
  </si>
  <si>
    <t>20 BOX STAPLE WIRE STANDARD SIZE (NO 35-5M)</t>
  </si>
  <si>
    <t>20 BOX STAPLE WIRE NO 35</t>
  </si>
  <si>
    <t>80 BOX STAPLE WIRE FOR HEAVY DUTY (NO 23/13)</t>
  </si>
  <si>
    <t>10 PIECE STAPLE REMOVER, PLIER-TYPE</t>
  </si>
  <si>
    <t>5 ROLL MASKING TAPE 48MM BIG</t>
  </si>
  <si>
    <t>5 ROLL MASKING TAPE 48MM SMALL</t>
  </si>
  <si>
    <t>26 PIECE DOUBLE SIDED TAPE</t>
  </si>
  <si>
    <t>14 ROLL TRANSPARENT TAPE 24MM</t>
  </si>
  <si>
    <t>14 ROLL TRANSPARENT TAPE 48MM</t>
  </si>
  <si>
    <t>5 PIECE PLASTIC RULER</t>
  </si>
  <si>
    <t>10 PIECE METAL RULER</t>
  </si>
  <si>
    <t>15 PIECE CORRECTION TAPE BIG</t>
  </si>
  <si>
    <t>20 PIECE DATE FILE BOX</t>
  </si>
  <si>
    <t>12 BOX PAPER CLIP 48MM</t>
  </si>
  <si>
    <t>5 BOX PAPER CLIP 33MM</t>
  </si>
  <si>
    <t>25 BOX CLIP BACKFOLD 32MM</t>
  </si>
  <si>
    <t>25 BOX CLIP BACKFOLD 50MM</t>
  </si>
  <si>
    <t>20 BOX RUBBER BAND, 70MM</t>
  </si>
  <si>
    <t>2 BOX CORK BOARDS PINS</t>
  </si>
  <si>
    <t>6 PAIR SCISSORS SMALL</t>
  </si>
  <si>
    <t>4 PAIR SCISSORS BIG</t>
  </si>
  <si>
    <t>20 PAIR BOOK BINDER, HARD BOUND WITH BOLTS</t>
  </si>
  <si>
    <t>20 PCS BOOK BINDER RINGS SPINES</t>
  </si>
  <si>
    <t>3 BOTTLE EPSON INK (T6641 B)</t>
  </si>
  <si>
    <t>3 BOTTLE EPSON INK (T6642C)</t>
  </si>
  <si>
    <t>3 BOTTLE EPSON INK (T6643M)</t>
  </si>
  <si>
    <t>3 BOTTLE EPSON INK (T664Y)</t>
  </si>
  <si>
    <t>3 BOTTLE EPSON INK (774)</t>
  </si>
  <si>
    <t>3 BOTTLE EPSON INK (664)</t>
  </si>
  <si>
    <t>6 BOTTLE BROTHER INK (BT D60BK)</t>
  </si>
  <si>
    <t>6 BOTTLE BROTHER INK (BT 5000C)</t>
  </si>
  <si>
    <t>6 BOTTLE BROTHER INK (BT 5000M)</t>
  </si>
  <si>
    <t>6 BOTTLE BROTHER INK (BT 5000Y)</t>
  </si>
  <si>
    <t>450 PIECE STACKABLE CRATES</t>
  </si>
  <si>
    <t>1 PIECE WHITE BOARD</t>
  </si>
  <si>
    <t>1 PIECE CORK BOARD</t>
  </si>
  <si>
    <t xml:space="preserve">1 PIECE </t>
  </si>
  <si>
    <t>1 PIECE</t>
  </si>
  <si>
    <t>450 PIECE</t>
  </si>
  <si>
    <t xml:space="preserve">6 BOTTLE </t>
  </si>
  <si>
    <t>6 BOTTLE</t>
  </si>
  <si>
    <t xml:space="preserve">3 BOTTLE </t>
  </si>
  <si>
    <t>3 BOTTLE</t>
  </si>
  <si>
    <t>60 RMS</t>
  </si>
  <si>
    <t>30 RMS</t>
  </si>
  <si>
    <t xml:space="preserve">50 RMS </t>
  </si>
  <si>
    <t xml:space="preserve">20 RMS </t>
  </si>
  <si>
    <t>8 RMS</t>
  </si>
  <si>
    <t xml:space="preserve">3 RMS </t>
  </si>
  <si>
    <t xml:space="preserve">2 BOX </t>
  </si>
  <si>
    <t xml:space="preserve">4 BOX </t>
  </si>
  <si>
    <t xml:space="preserve">2 PIECE </t>
  </si>
  <si>
    <t xml:space="preserve">10 PIECE </t>
  </si>
  <si>
    <t>2 BUNDLE</t>
  </si>
  <si>
    <t xml:space="preserve">4 BUNDLE </t>
  </si>
  <si>
    <t xml:space="preserve">2 PACK </t>
  </si>
  <si>
    <t xml:space="preserve">4 PACK </t>
  </si>
  <si>
    <t xml:space="preserve">350 PCS </t>
  </si>
  <si>
    <t>20 PIECE</t>
  </si>
  <si>
    <t xml:space="preserve">30 BOX </t>
  </si>
  <si>
    <t xml:space="preserve">1 RM </t>
  </si>
  <si>
    <t xml:space="preserve">3000 PIECE </t>
  </si>
  <si>
    <t>BOND PAPER SHORT (PARAGON)</t>
  </si>
  <si>
    <t>BOOK APEPR SHORT (DOUBLE AA)</t>
  </si>
  <si>
    <t xml:space="preserve"> BOND PAPER LONG (PARAGON)</t>
  </si>
  <si>
    <t>BOOK PAPER LONG (DOUBLE AA)</t>
  </si>
  <si>
    <t>BOND PAPER A4 (PARAGON)</t>
  </si>
  <si>
    <t>BOOK PAPER A4 (DOUBLE AA)</t>
  </si>
  <si>
    <t>BOND PAPER LEGAL (CACTUS)</t>
  </si>
  <si>
    <t>BOOK PAPER LEGAL (DOUBLE AA)</t>
  </si>
  <si>
    <t>ENVELOPE DOCUMENTARY LEGAL SIZE</t>
  </si>
  <si>
    <t>ENVELOPE EXPANDING LEGAL SIZE</t>
  </si>
  <si>
    <t>ENVELOPE MAILING WHITE LONG</t>
  </si>
  <si>
    <t>ENVELOPE MAILING WHITE WITH WINDOW LONG</t>
  </si>
  <si>
    <t>CORK BOARD</t>
  </si>
  <si>
    <t>WHITE BOARD</t>
  </si>
  <si>
    <t>STACKABLE CRATES</t>
  </si>
  <si>
    <t>BROTHER INK (BT 5000Y)</t>
  </si>
  <si>
    <t>BROTHER INK (BT 5000M)</t>
  </si>
  <si>
    <t>BROTHER INK (BT 5000C)</t>
  </si>
  <si>
    <t>20 PAIR</t>
  </si>
  <si>
    <t xml:space="preserve">6 PAIR </t>
  </si>
  <si>
    <t xml:space="preserve">4 PAIR </t>
  </si>
  <si>
    <t xml:space="preserve">20 BOX </t>
  </si>
  <si>
    <t xml:space="preserve">12 BOX </t>
  </si>
  <si>
    <t xml:space="preserve">5 BOX </t>
  </si>
  <si>
    <t>25 BOX</t>
  </si>
  <si>
    <t xml:space="preserve">25 BOX </t>
  </si>
  <si>
    <t xml:space="preserve">14 ROLL </t>
  </si>
  <si>
    <t>14 ROLL</t>
  </si>
  <si>
    <t xml:space="preserve">5 PIECE </t>
  </si>
  <si>
    <t xml:space="preserve">15 PIECE </t>
  </si>
  <si>
    <t xml:space="preserve">26 PIECE </t>
  </si>
  <si>
    <t xml:space="preserve">5 ROLL </t>
  </si>
  <si>
    <t>5 ROLL</t>
  </si>
  <si>
    <t>10 PIECE</t>
  </si>
  <si>
    <t xml:space="preserve">80 BOX </t>
  </si>
  <si>
    <t>20 BOX</t>
  </si>
  <si>
    <t>5 PIECE</t>
  </si>
  <si>
    <t>12 JAR</t>
  </si>
  <si>
    <t xml:space="preserve">15 PACK </t>
  </si>
  <si>
    <t>20 TUBE</t>
  </si>
  <si>
    <t>15 PIECE</t>
  </si>
  <si>
    <t>EXPANDED ENVELOPE (12 POCKETS)</t>
  </si>
  <si>
    <t>FILE ORGANIZER 12 POCKETS</t>
  </si>
  <si>
    <t>FOLDER, FANCY, A4</t>
  </si>
  <si>
    <t>FOLDER, FANCY, LEGAL SIZE</t>
  </si>
  <si>
    <t>FOLDER, L-TYPE, PLASTIC, A4</t>
  </si>
  <si>
    <t>FOLDER, L-TYPE, PLASTIC, LEGAL SIZE</t>
  </si>
  <si>
    <t>VELLUM BOARD (SHORT)</t>
  </si>
  <si>
    <t>VELLUM BOARD (LONG)</t>
  </si>
  <si>
    <t>PVC COVER</t>
  </si>
  <si>
    <t>CARBON FILM (LONG)</t>
  </si>
  <si>
    <t>DATA FOLDER</t>
  </si>
  <si>
    <t>FOLDER LEGAL SIZE</t>
  </si>
  <si>
    <t>INDEX CARD ACCOUNTING FORM #81</t>
  </si>
  <si>
    <t>6 PAD</t>
  </si>
  <si>
    <t>10 UNIT</t>
  </si>
  <si>
    <t xml:space="preserve">150 PAD </t>
  </si>
  <si>
    <t>40 PIECE</t>
  </si>
  <si>
    <t xml:space="preserve">4 SET </t>
  </si>
  <si>
    <t>6 BOOK</t>
  </si>
  <si>
    <t>4 PIECE</t>
  </si>
  <si>
    <t>7 BOX</t>
  </si>
  <si>
    <t>4 BOX</t>
  </si>
  <si>
    <t>2 BOX</t>
  </si>
  <si>
    <t>6 BOX</t>
  </si>
  <si>
    <t>3 BOX</t>
  </si>
  <si>
    <t>1 BOX</t>
  </si>
  <si>
    <t>DISPLAY BOOK LEGAL</t>
  </si>
  <si>
    <t>STAMP PAD INK</t>
  </si>
  <si>
    <t>STAMP PAD FELT PAD</t>
  </si>
  <si>
    <t>SELF INKING STAMP</t>
  </si>
  <si>
    <t>BOOK BINDER, HARD BOUND WITH BOLTS</t>
  </si>
  <si>
    <t>BOOK BINDER RINGS SPINES</t>
  </si>
  <si>
    <t>EPSON INK (T6641 B)</t>
  </si>
  <si>
    <t>EPSON INK (T6642C)</t>
  </si>
  <si>
    <t>EPSON INK (T6643M)</t>
  </si>
  <si>
    <t>EPSON INK (T664Y)</t>
  </si>
  <si>
    <t>EPSON INK (774)</t>
  </si>
  <si>
    <t>EPSON INK (664)</t>
  </si>
  <si>
    <t>BROTHER INK (BT D60BK)</t>
  </si>
  <si>
    <t>MARKING PEN BULLET TIP</t>
  </si>
  <si>
    <t>PENCIL, LEAD WITH ERASER</t>
  </si>
  <si>
    <t>MECHANICAL PENCIL</t>
  </si>
  <si>
    <t>MECHANICAL PENCIL LEAD</t>
  </si>
  <si>
    <t>STABILO HIGHLIGHTER ORANGE</t>
  </si>
  <si>
    <t>STABILO HIGHLIGHTER YELLOW</t>
  </si>
  <si>
    <t>STABILO HIGHLIGHTER GREEN</t>
  </si>
  <si>
    <t>BATTERY AA</t>
  </si>
  <si>
    <t>GLUE ALL PURPOSE</t>
  </si>
  <si>
    <t>MASKING TAPE 48MM BIG</t>
  </si>
  <si>
    <t>MASKING TAPE 48MM SMALL</t>
  </si>
  <si>
    <t>STAPLE REMOVER, PLIER-TYPE</t>
  </si>
  <si>
    <t>STAPLE WIRE FOR HEAVY DUTY (NO 23/13)</t>
  </si>
  <si>
    <t>STAPLE WIRE NO 35</t>
  </si>
  <si>
    <t>SIGN PEN, BLACK 0.5MM NEEDLE TIP</t>
  </si>
  <si>
    <t>WHITE BOARD MARKER INK</t>
  </si>
  <si>
    <t>MARKER PERMANENT BLACK</t>
  </si>
  <si>
    <t>RECORD BOOK 500 PAGES</t>
  </si>
  <si>
    <t>FILE TAB DIVIDER LEGAL SIZE</t>
  </si>
  <si>
    <t>STICKY TABBING</t>
  </si>
  <si>
    <t>WHITE BOARD MARKER</t>
  </si>
  <si>
    <t>SIGN PEN, BLUE, 0.5MM NEEDLE TIP</t>
  </si>
  <si>
    <t>SIGN PEN, RED, 0.5MM NEEDLE TIP</t>
  </si>
  <si>
    <t>RUBBER BAND, 70MM</t>
  </si>
  <si>
    <t>CORK BOARDS PINS</t>
  </si>
  <si>
    <t>SCISSORS SMALL</t>
  </si>
  <si>
    <t>SCISSORS BIG</t>
  </si>
  <si>
    <t>PLASTIC RULER</t>
  </si>
  <si>
    <t>TRANSPARENT TAPE 48MM</t>
  </si>
  <si>
    <t>TRANSPARENT TAPE 24MM</t>
  </si>
  <si>
    <t>METAL RULER</t>
  </si>
  <si>
    <t>CORRECTION TAPE BIG</t>
  </si>
  <si>
    <t>DATE FILE BOX</t>
  </si>
  <si>
    <t>PAPER CLIP 48MM</t>
  </si>
  <si>
    <t>PAPER CLIP 33MM</t>
  </si>
  <si>
    <t>CLIP BACKFOLD 32MM</t>
  </si>
  <si>
    <t>CLIP BACKFOLD 50MM</t>
  </si>
  <si>
    <t>STAPLE WIRE STANDARD SIZE (NO 35-5M)</t>
  </si>
  <si>
    <t>GLUE ALL PURPOSE bottle (130 GRAMS)</t>
  </si>
  <si>
    <t>SIGN PEN, BLACK, 0.5MM REFILL</t>
  </si>
  <si>
    <t>SIGN PEN, BLUE, 0.5MM REFILL</t>
  </si>
  <si>
    <t>SIGN PEN, RED, 0.5MM REFILL</t>
  </si>
  <si>
    <t>COLORED PENS</t>
  </si>
  <si>
    <t>CALCULATOR 12 DIGITS</t>
  </si>
  <si>
    <t xml:space="preserve">3 PIECE </t>
  </si>
  <si>
    <t>CALCULATOR 12 DIGITS CASIO</t>
  </si>
  <si>
    <t>STAPLER, BINDER TYPE</t>
  </si>
  <si>
    <t>4 UNIT</t>
  </si>
  <si>
    <t>STAPLER STANDARD SIZE (NO. 35)</t>
  </si>
  <si>
    <t>PAPER SHREDDER</t>
  </si>
  <si>
    <t>1 UNIT</t>
  </si>
  <si>
    <t>PENCIL SHARPENER HEAVY DUTY</t>
  </si>
  <si>
    <t>EXTERNAL HARD DRIVE 1TB</t>
  </si>
  <si>
    <t>2 PIECE</t>
  </si>
  <si>
    <t>FLASH DRIVE 16 GB</t>
  </si>
  <si>
    <t>MOUSE OPTICAL</t>
  </si>
  <si>
    <t>USB WIFI ADAPTER</t>
  </si>
  <si>
    <t>2 UNIT</t>
  </si>
  <si>
    <t>WIRELESS KEYBOARD</t>
  </si>
  <si>
    <t>5 UNIT</t>
  </si>
  <si>
    <t>PRINTER</t>
  </si>
  <si>
    <r>
      <t xml:space="preserve">The project covers the procurement of </t>
    </r>
    <r>
      <rPr>
        <b/>
        <sz val="10"/>
        <color rgb="FF000000"/>
        <rFont val="Century Gothic"/>
        <family val="2"/>
      </rPr>
      <t>Other  Supplies</t>
    </r>
    <r>
      <rPr>
        <sz val="10"/>
        <color rgb="FF000000"/>
        <rFont val="Century Gothic"/>
        <family val="2"/>
      </rPr>
      <t xml:space="preserve"> for the use of DOPH-Lupon Office Services.</t>
    </r>
  </si>
  <si>
    <r>
      <t xml:space="preserve">The project covers the procurement of </t>
    </r>
    <r>
      <rPr>
        <b/>
        <sz val="10"/>
        <color rgb="FF000000"/>
        <rFont val="Century Gothic"/>
        <family val="2"/>
      </rPr>
      <t>Other Supply Expenses</t>
    </r>
    <r>
      <rPr>
        <sz val="10"/>
        <color rgb="FF000000"/>
        <rFont val="Century Gothic"/>
        <family val="2"/>
      </rPr>
      <t xml:space="preserve"> for the use of DOPH-Lupon Janitorial Services.</t>
    </r>
  </si>
  <si>
    <t>ALCOHOL (Rubbing) 500 ML</t>
  </si>
  <si>
    <t>60 BOTTLE</t>
  </si>
  <si>
    <t>45 PACK</t>
  </si>
  <si>
    <t>TOILET TISSUE BOX</t>
  </si>
  <si>
    <t>SURGICAL MASK 3-PLY</t>
  </si>
  <si>
    <t>LYSOL AEROSOL</t>
  </si>
  <si>
    <t>10 BOX</t>
  </si>
  <si>
    <t>5 CAN</t>
  </si>
  <si>
    <t>BAYGON AEROSOL</t>
  </si>
  <si>
    <t>AIR FRESHENER</t>
  </si>
  <si>
    <t>BROOM SOFT</t>
  </si>
  <si>
    <t>TOILET BOWL CLEANER</t>
  </si>
  <si>
    <t>5 BOTTLE</t>
  </si>
  <si>
    <t>CLEANSER SCOURING POWDER</t>
  </si>
  <si>
    <t>DUST PAN PLASTIC</t>
  </si>
  <si>
    <t>WASTEBASKET</t>
  </si>
  <si>
    <t>TRASH CAN</t>
  </si>
  <si>
    <t>TRASH BAG PLASTIC BLACK</t>
  </si>
  <si>
    <t>8 BAGS</t>
  </si>
  <si>
    <t>DETERGENT POWDER 500G</t>
  </si>
  <si>
    <t>8 PACK</t>
  </si>
  <si>
    <t>ZONROX</t>
  </si>
  <si>
    <t>4 BOTTLE</t>
  </si>
  <si>
    <t>MURIATIC ACID</t>
  </si>
  <si>
    <t>MR. MUSCLE GLASS CLEANER</t>
  </si>
  <si>
    <t>MICROFIBER 360 SPIN MOP</t>
  </si>
  <si>
    <t>T-SHIRT</t>
  </si>
  <si>
    <t>25 PIECE</t>
  </si>
  <si>
    <t>MINERAL WATER</t>
  </si>
  <si>
    <t>800 BOTTLE</t>
  </si>
  <si>
    <t>1/19/2026</t>
  </si>
  <si>
    <t>LANDLINE (MONTHLY)</t>
  </si>
  <si>
    <t>1/2026-12/2026</t>
  </si>
  <si>
    <t>CELLCARDS</t>
  </si>
  <si>
    <t>60 PCS</t>
  </si>
  <si>
    <t>INTERNET (MONTHLY)</t>
  </si>
  <si>
    <r>
      <t xml:space="preserve">Procurement of materials and services to be use for the </t>
    </r>
    <r>
      <rPr>
        <b/>
        <sz val="10"/>
        <color rgb="FF000000"/>
        <rFont val="Century Gothic"/>
        <family val="2"/>
      </rPr>
      <t>repair and maintenance of the office building</t>
    </r>
  </si>
  <si>
    <r>
      <t>The project covers the procurement of materials used for the</t>
    </r>
    <r>
      <rPr>
        <b/>
        <sz val="10"/>
        <color rgb="FF000000"/>
        <rFont val="Century Gothic"/>
        <family val="2"/>
      </rPr>
      <t xml:space="preserve"> Repair and Maintenance of Hospital Buildings</t>
    </r>
    <r>
      <rPr>
        <sz val="10"/>
        <color rgb="FF000000"/>
        <rFont val="Century Gothic"/>
        <family val="2"/>
      </rPr>
      <t xml:space="preserve"> of DOPH-Lupon.</t>
    </r>
  </si>
  <si>
    <t>CEILING BOARD</t>
  </si>
  <si>
    <t>BULB</t>
  </si>
  <si>
    <t>25 UNIT</t>
  </si>
  <si>
    <r>
      <t xml:space="preserve">Procurement of services to be use for the </t>
    </r>
    <r>
      <rPr>
        <b/>
        <sz val="10"/>
        <color rgb="FF000000"/>
        <rFont val="Century Gothic"/>
        <family val="2"/>
      </rPr>
      <t xml:space="preserve">repair and maintenance of office equipment </t>
    </r>
  </si>
  <si>
    <r>
      <t>The project covers the procurement of materials used for the</t>
    </r>
    <r>
      <rPr>
        <b/>
        <sz val="10"/>
        <color rgb="FF000000"/>
        <rFont val="Century Gothic"/>
        <family val="2"/>
      </rPr>
      <t xml:space="preserve"> Repair and Maintenance of Hospital Office Equipment </t>
    </r>
    <r>
      <rPr>
        <sz val="10"/>
        <color rgb="FF000000"/>
        <rFont val="Century Gothic"/>
        <family val="2"/>
      </rPr>
      <t>of DOPH-Lupon.</t>
    </r>
  </si>
  <si>
    <t>GEN CLEANING (OUTDOOR AND INDOOR CHEMICALS)</t>
  </si>
  <si>
    <t>FREON</t>
  </si>
  <si>
    <t>ELECTRONIC PUMP (REPLACEMENT)</t>
  </si>
  <si>
    <t>3 UNIT</t>
  </si>
  <si>
    <t>CATERING</t>
  </si>
  <si>
    <r>
      <t xml:space="preserve">The project covers the procurement and payment of  </t>
    </r>
    <r>
      <rPr>
        <b/>
        <sz val="10"/>
        <color rgb="FF000000"/>
        <rFont val="Century Gothic"/>
        <family val="2"/>
      </rPr>
      <t xml:space="preserve">Other Operating expenses </t>
    </r>
    <r>
      <rPr>
        <sz val="10"/>
        <color rgb="FF000000"/>
        <rFont val="Century Gothic"/>
        <family val="2"/>
      </rPr>
      <t>of DOPH-Lupon.</t>
    </r>
  </si>
  <si>
    <t>25 PACKS</t>
  </si>
  <si>
    <t>8 PIECE</t>
  </si>
  <si>
    <t>TABLES</t>
  </si>
  <si>
    <t>CHAIRS</t>
  </si>
  <si>
    <t>CAPITAL OUTLAY - OFFICE EQUIPMENT</t>
  </si>
  <si>
    <t>1-07-05-020</t>
  </si>
  <si>
    <t>AIRCON</t>
  </si>
  <si>
    <t>CAPITAL OUTLAY - INFORMATION AND COMMUNICATION TECHNOLOGY</t>
  </si>
  <si>
    <t>LAPTOP</t>
  </si>
  <si>
    <t>OFFICE EQUIPMENT 1-07-05-020</t>
  </si>
  <si>
    <t>SPF</t>
  </si>
  <si>
    <t>PROCUREMENT OF EQUIPMENT, SUPPLIES AND OTHER MATERIALS, LOGISTICAL SUPPORT AND EFFECTIVE SERVICES DELIVERY OF THE LOCAL SCHOOL BOARD</t>
  </si>
  <si>
    <t>Training Expenses DAVRAA</t>
  </si>
  <si>
    <t>Training Expenses Provincial</t>
  </si>
  <si>
    <t>Support to Sports</t>
  </si>
  <si>
    <t>Participation to Palarong Pambansa</t>
  </si>
  <si>
    <t>Division Math Competition 2026</t>
  </si>
  <si>
    <t>Division Science</t>
  </si>
  <si>
    <t>Support to SNED Activity</t>
  </si>
  <si>
    <t>Division Festival of Talents</t>
  </si>
  <si>
    <t>Division School Press</t>
  </si>
  <si>
    <t>National School Press</t>
  </si>
  <si>
    <t>Regional Festival of Talents</t>
  </si>
  <si>
    <t>National Festival of Talents</t>
  </si>
  <si>
    <t>Mathematics</t>
  </si>
  <si>
    <t>Special Education Fund CY 2026 (current appropriations) 3311</t>
  </si>
  <si>
    <t>Regional School Press</t>
  </si>
  <si>
    <t>Technical Vocational Training</t>
  </si>
  <si>
    <t>Participation</t>
  </si>
  <si>
    <t>OMOE-Support to Scouting</t>
  </si>
  <si>
    <t xml:space="preserve">OMOE   </t>
  </si>
  <si>
    <t>OMOE - Operational of</t>
  </si>
  <si>
    <t>OMOE-Support to ALS</t>
  </si>
  <si>
    <t>Jul-2026</t>
  </si>
  <si>
    <t>Aug-2026</t>
  </si>
  <si>
    <t>Sept-2026</t>
  </si>
  <si>
    <t>Jun-2026</t>
  </si>
  <si>
    <t>Oct-2026</t>
  </si>
  <si>
    <t>Nov-2026</t>
  </si>
  <si>
    <t>Dec-2026</t>
  </si>
  <si>
    <t>INFRASTRUCTURE</t>
  </si>
  <si>
    <t xml:space="preserve">GOODS
</t>
  </si>
  <si>
    <t>Construction of Fence (Library) - Macangao Central ES</t>
  </si>
  <si>
    <t>Electrical Upgrading of Ilangay</t>
  </si>
  <si>
    <t>INFRASTUCTURE</t>
  </si>
  <si>
    <t>IPMR OFFICE</t>
  </si>
  <si>
    <t>DONATION</t>
  </si>
  <si>
    <t>RICE</t>
  </si>
  <si>
    <t>7 TONNER/50 KLS.</t>
  </si>
  <si>
    <t>P 650.00/SACK</t>
  </si>
  <si>
    <t>FEB. 2026</t>
  </si>
  <si>
    <t>APRIL 2026</t>
  </si>
  <si>
    <t>JUNE 2026</t>
  </si>
  <si>
    <t>MAY 2026</t>
  </si>
  <si>
    <t>JULY 2026</t>
  </si>
  <si>
    <t>MAR. 2026</t>
  </si>
  <si>
    <t>AUGUST 2026</t>
  </si>
  <si>
    <t>BM RAVELO</t>
  </si>
  <si>
    <t>SUPPLY AND DELIVERY OF GOODS</t>
  </si>
  <si>
    <t>PRINTED MUGS</t>
  </si>
  <si>
    <t>COLLAPSIBLE TENT (10FT X 10FT)</t>
  </si>
  <si>
    <t>OCT 2026</t>
  </si>
  <si>
    <t>FEB-OCT 2026</t>
  </si>
  <si>
    <t>APRIL - MAY 2026</t>
  </si>
  <si>
    <t>Current Appropriation</t>
  </si>
  <si>
    <t>Supply and Delivery of Printing and Publication</t>
  </si>
  <si>
    <t>Procurement of Polo Shirts</t>
  </si>
  <si>
    <t>Tarpaulins</t>
  </si>
  <si>
    <t>Goods (20pcs)</t>
  </si>
  <si>
    <t>FEB 2026</t>
  </si>
  <si>
    <t>DEC 2026</t>
  </si>
  <si>
    <t>MARCH 2026</t>
  </si>
  <si>
    <t>FEB-DEC 2026</t>
  </si>
  <si>
    <t xml:space="preserve">Current Appropriation </t>
  </si>
  <si>
    <t>For the Information Education Campaign (EIC)</t>
  </si>
  <si>
    <t>In support to Food Assistance to Indigent  Constituents of Davao Oriental</t>
  </si>
  <si>
    <t>Counterpart Funds to Operators, Associations</t>
  </si>
  <si>
    <t>Institutions, Cultural &amp; Sports activities in Dvo. Or.</t>
  </si>
  <si>
    <t>Goods (meals &amp; snacks)</t>
  </si>
  <si>
    <t>APRIL - DEC 2026</t>
  </si>
  <si>
    <t>Procurement of Meals and Snacks for Committee Meetings/Budget Hearings</t>
  </si>
  <si>
    <t>Repair and Maintenance  of Vehicle D-Max 2022 with Plate No. 1101-1146385</t>
  </si>
  <si>
    <t>Oct 2026</t>
  </si>
  <si>
    <t>Feb - Oct 2026</t>
  </si>
  <si>
    <t>Telephone and Mobile Expenses</t>
  </si>
  <si>
    <t>JAN 2026</t>
  </si>
  <si>
    <t>JAN - DEC. 2026</t>
  </si>
  <si>
    <t>COLLAPSIBLE TENT (8FT X 14FT)</t>
  </si>
  <si>
    <t>PLASTIC CHAIRS</t>
  </si>
  <si>
    <t>NOV 2026</t>
  </si>
  <si>
    <t>OCTOBER 2026</t>
  </si>
  <si>
    <t>FEB - NOV 2026</t>
  </si>
  <si>
    <t>MAY - JUNE 2026</t>
  </si>
  <si>
    <t>MARCH - OCT 2026</t>
  </si>
  <si>
    <t>SEPT 2026</t>
  </si>
  <si>
    <t>Procurement of Meals and Snacks for Planning, Workshop and Evaluation good for 2 days</t>
  </si>
  <si>
    <t>Dec 2026</t>
  </si>
  <si>
    <t>March - Dec 2026</t>
  </si>
  <si>
    <t>Procurement of Office Supplies</t>
  </si>
  <si>
    <t>July - Dec 2026</t>
  </si>
  <si>
    <t>1021</t>
  </si>
  <si>
    <t>1016</t>
  </si>
  <si>
    <r>
      <t xml:space="preserve">Pre-Procurement Conference, if applicable </t>
    </r>
    <r>
      <rPr>
        <b/>
        <sz val="9"/>
        <rFont val="Century Gothic"/>
        <family val="2"/>
      </rPr>
      <t>(Yes/No)</t>
    </r>
  </si>
  <si>
    <r>
      <t>The project covers the procurement of materials used for the</t>
    </r>
    <r>
      <rPr>
        <b/>
        <sz val="10"/>
        <color rgb="FF000000"/>
        <rFont val="Century Gothic"/>
        <family val="2"/>
      </rPr>
      <t xml:space="preserve"> Repair and Maintenance of Hospital/Medical,Dental &amp; Lab. Equipment </t>
    </r>
    <r>
      <rPr>
        <sz val="10"/>
        <color rgb="FF000000"/>
        <rFont val="Century Gothic"/>
        <family val="2"/>
      </rPr>
      <t>of DOPH-Lupon.</t>
    </r>
  </si>
  <si>
    <r>
      <t xml:space="preserve">The project covers the payment of </t>
    </r>
    <r>
      <rPr>
        <b/>
        <sz val="10"/>
        <color rgb="FF000000"/>
        <rFont val="Century Gothic"/>
        <family val="2"/>
      </rPr>
      <t xml:space="preserve">Accountable Forms </t>
    </r>
    <r>
      <rPr>
        <sz val="10"/>
        <color rgb="FF000000"/>
        <rFont val="Century Gothic"/>
        <family val="2"/>
      </rPr>
      <t xml:space="preserve">for the use of DOPH-Lupon, Cashier Department. </t>
    </r>
  </si>
  <si>
    <t>The project covers the transportation of DOPH-Lupon patient and emplyees.</t>
  </si>
  <si>
    <t>To provide accountable forms to ensure accurate documentation, strengthen financial and administrative control, and support efficient and transparent hospital operations.</t>
  </si>
  <si>
    <t>bklt</t>
  </si>
  <si>
    <t>DOPMC</t>
  </si>
  <si>
    <t>From 01/2026 to 12/2026</t>
  </si>
  <si>
    <t>Provision of Quarterly Drugs and Medicines for DOPMC to ensure the continuous availability of essential medications, promote better health outcomes, enhance the quality and responsiveness of healthcare system.</t>
  </si>
  <si>
    <t>(Drugs and Medicines )</t>
  </si>
  <si>
    <t>Tablet</t>
  </si>
  <si>
    <t>ACETAZOLAMIDE 250mg tablet</t>
  </si>
  <si>
    <t>YES</t>
  </si>
  <si>
    <t>ACETYLCYSTEINE  600 mg effervescent tablet</t>
  </si>
  <si>
    <t>Bottle</t>
  </si>
  <si>
    <t>ACICLOVIR 200 mg/5 mL suspension, 60 mL</t>
  </si>
  <si>
    <t>50g Pack</t>
  </si>
  <si>
    <t>ACTIVATED CHARCOAL, USP grade powder</t>
  </si>
  <si>
    <t>ALL-IN-ONE ADMIXTURES 1400 kcal</t>
  </si>
  <si>
    <t>ALLOPURINOL 100 mg tablet</t>
  </si>
  <si>
    <t>Ampule/Vial</t>
  </si>
  <si>
    <t>AMIKACIN 125 mg/mL (as sulfate), 2 mL ampule/vial</t>
  </si>
  <si>
    <t xml:space="preserve">AMINO ACIDS, CRYSTALLINE STANDARD 8%, 500 mL bottle </t>
  </si>
  <si>
    <t xml:space="preserve">AMINO ACIDS, CRYSTALLINE STANDARD 6%, 100 mL bottle </t>
  </si>
  <si>
    <t>AMINO ACID SOLUTIONS FOR IMMUNONUTRITION / IMMUNOENHANCEMENT 100 mL</t>
  </si>
  <si>
    <t>Ampule</t>
  </si>
  <si>
    <t>AMIODARONE 50 mg/mL (as hydrochloride), 3 mL ampule</t>
  </si>
  <si>
    <t>AMIODARONE 200 mg tablet (as hydrochloride)</t>
  </si>
  <si>
    <t>AMINOPHYLLINE 25 mg/mL, 10 mL ampule</t>
  </si>
  <si>
    <t>AMLODIPINE 10 mg tablet (as besilate/camsylate)</t>
  </si>
  <si>
    <t>AMOXICILLIN  250 mg/5 mL suspension (as trihydrate), 60 mL</t>
  </si>
  <si>
    <t>Vial</t>
  </si>
  <si>
    <t xml:space="preserve">AMPICILLIN 1 g (as sodium salt), vial </t>
  </si>
  <si>
    <t xml:space="preserve">AMPICILLIN 250 mg (as sodium salt), vial </t>
  </si>
  <si>
    <t>AMPICILLIN + SULBACTAM 1.5 g vial</t>
  </si>
  <si>
    <t xml:space="preserve">AMPICILLIN + SULBACTAM 750 mg vial </t>
  </si>
  <si>
    <t>Vial/Ampule</t>
  </si>
  <si>
    <t>ANTI-RABIES SERUM (equine) 200 IU/5 mL, vial</t>
  </si>
  <si>
    <t>ANTI-TETANUS SERUM (EQUINE) 1,500 IU/0.7 mL, ampule</t>
  </si>
  <si>
    <t xml:space="preserve">ASCORBIC ACID  (VITAMIN C) 100 mg/mL drops, 15 mL </t>
  </si>
  <si>
    <t>ASPIRIN 80 mg tablet</t>
  </si>
  <si>
    <t>ASPIRIN 300 mg tablet</t>
  </si>
  <si>
    <t>ATENOLOL 50 mg tablet</t>
  </si>
  <si>
    <t xml:space="preserve">ATORVASTATIN 20 mg tablet (as calcium) </t>
  </si>
  <si>
    <t>ATORVASTATIN 40 mg tablet (as calcium)</t>
  </si>
  <si>
    <t xml:space="preserve">ATORVASTATIN 80 mg tablet (as calcium) </t>
  </si>
  <si>
    <t>ATRACURIUM 10 mg/mL (as besilate) 2.5 mL ampule</t>
  </si>
  <si>
    <t xml:space="preserve">ATROPINE 1 mg/mL, 1 mL ampule (as sulfate) </t>
  </si>
  <si>
    <t>AZITHROMYCIN 500 mg tablet</t>
  </si>
  <si>
    <t>AZITHROMYCIN 200 mg/5 mL suspension, 15 mL</t>
  </si>
  <si>
    <t>AZITHROMYCIN 500 mg vial</t>
  </si>
  <si>
    <t>BACLOFEN 10 mg tablet</t>
  </si>
  <si>
    <t>BCG Vaccine 500 mcg/mL vial + 1 mL diluent in ampule 20 doses</t>
  </si>
  <si>
    <t xml:space="preserve">BETAHISTINE 16 mg (as Hydrochloride/Dihydrochloride) Tablet </t>
  </si>
  <si>
    <t>BETAHISTINE 24 mg (as Hydrochloride/Dihydrochloride) Tablet</t>
  </si>
  <si>
    <t>BETAMETHASONE 0.1% cream (as valerate), 5 g tube</t>
  </si>
  <si>
    <t xml:space="preserve">BIPERIDEN 2 mg tablet (as hydrochloride) </t>
  </si>
  <si>
    <t xml:space="preserve">BIPHASIC ISOPHANE HUMAN INSULIN 70/30 (RECOMBINANT DNA) 70% isophane suspension + 30% soluble insulin in: 100 IU/mL suspension for injection, 10 mL vial </t>
  </si>
  <si>
    <t>BISACODYL 10 mg suppository</t>
  </si>
  <si>
    <t>BISACODYL 5 mg suppository</t>
  </si>
  <si>
    <t>BISACODYL 5 mg tablet</t>
  </si>
  <si>
    <t>BISOPROLOL  2.5 mg tablet (as fumarate)</t>
  </si>
  <si>
    <t>Respule</t>
  </si>
  <si>
    <t>BUDESONIDE 250 mcg/mL respiratory solution, 2 mL</t>
  </si>
  <si>
    <t>MDI</t>
  </si>
  <si>
    <t>BUDESONIDE + FORMOTEROL 160 mcg  + 4.5 mcg (as fumarate dihydrate) x 120 doses</t>
  </si>
  <si>
    <t>BUPIVACAINE (isobaric) 0.5% (as hydrochloride) , 5 mL ampule</t>
  </si>
  <si>
    <t xml:space="preserve">BUTAMIRATE 50 mg MR tablet (as citrate) </t>
  </si>
  <si>
    <t>BUTAMIRATE 7.5 mg/5 mL syrup (as citrate), 120 mL</t>
  </si>
  <si>
    <t>BUTORPHANOL 2 mg/mL (as tartrate), 1 mL ampule</t>
  </si>
  <si>
    <t xml:space="preserve">CALAMINE, PLAIN  8% lotion 60 mL bottle </t>
  </si>
  <si>
    <t>CALCIUM CARBONATE 500 mg  tablet</t>
  </si>
  <si>
    <t>CALCIUM CARBONATE 500 mg  + CHOLECALCIFEROL (VITAMIN D3) 400 IU</t>
  </si>
  <si>
    <t>CALCIUM GLUCONATE 10% solution, 10 mL ampule/vial</t>
  </si>
  <si>
    <t>CAPTOPRIL 25 mg tablet</t>
  </si>
  <si>
    <t>CARBAMAZEPINE  200 mg tablet</t>
  </si>
  <si>
    <t>CARBAMAZEPINE  400 mg tablet</t>
  </si>
  <si>
    <t>CARBETOCIN 100 mcg/mL, 1 mL ampule</t>
  </si>
  <si>
    <t>CARBOPROST 125 mcg/0.5 mL solution ampule</t>
  </si>
  <si>
    <t>CARVEDILOL 6.25 mg tablet</t>
  </si>
  <si>
    <t>CARVEDILOL 25 mg tablet</t>
  </si>
  <si>
    <t>CEFALEXIN 100 mg/mL, 10 mL drops (as monohydrate)</t>
  </si>
  <si>
    <t>CEFALEXIN 125 mg/5 mL suspension (as monohydrate), 30 mL</t>
  </si>
  <si>
    <t>CEFALEXIN 250 mg/5 mL suspension (as monohydrate), 60 mL</t>
  </si>
  <si>
    <t xml:space="preserve">CEFAZOLIN 1 g (as sodium salt), vial </t>
  </si>
  <si>
    <t>CEFEPIME 1 g (as hydrochloride) vial</t>
  </si>
  <si>
    <t>CEFIXIME 100 mg/5 mL suspension, 60 mL</t>
  </si>
  <si>
    <t xml:space="preserve">CEFIXIME 20 mg/mL drops, 10 mL </t>
  </si>
  <si>
    <t>Capsule</t>
  </si>
  <si>
    <t>CEFIXIME 200 mg capsule</t>
  </si>
  <si>
    <t>CEFOTAXIME 500 mg (as sodium salt), vial + 2 mL diluent</t>
  </si>
  <si>
    <t>CEFOXITIN 1 g (as sodium salt), vial</t>
  </si>
  <si>
    <t>CEFTRIAXONE 1 g (as disodium/sodium salt), vial + 10 mL diluent</t>
  </si>
  <si>
    <t>CEFUROXIME 125 mg/5 mL suspension (as axetil), 70 mL</t>
  </si>
  <si>
    <t xml:space="preserve">CEFUROXIME 250 mg/5 mL suspension, 120mL </t>
  </si>
  <si>
    <t xml:space="preserve">CEFUROXIME 500 mg tablet (as axetil) </t>
  </si>
  <si>
    <t>CEFUROXIME 750 mg, vial</t>
  </si>
  <si>
    <t xml:space="preserve">CELECOXIB 200 mg capsule </t>
  </si>
  <si>
    <t xml:space="preserve">CELECOXIB 400 mg capsule </t>
  </si>
  <si>
    <t>CETIRIZINE 1 mg/mL solution (as dihydrochloride), 30 mL</t>
  </si>
  <si>
    <t>CETIRIZINE 1 mg/mL solution (as dihydrochloride), 60 mL</t>
  </si>
  <si>
    <t>CETIRIZINE 2.5 mg/mL oral drops (as dihydrochloride), 10 mL</t>
  </si>
  <si>
    <t>CETIRIZINE 10 mg tablet (as dihydrochloride)</t>
  </si>
  <si>
    <t>CHLORHEXIDINE  0.12% (as gluconate) 120 mL</t>
  </si>
  <si>
    <t>CILOSTAZOL 50 mg tablet</t>
  </si>
  <si>
    <t>CINNARIZINE 25mg tablet</t>
  </si>
  <si>
    <t>CIPROFLOXACIN 500 mg tablet (as hydrochloride)</t>
  </si>
  <si>
    <t>CIPROFLOXACIN 2 mg/mL (as lactate), 100 mL vial</t>
  </si>
  <si>
    <t xml:space="preserve">CLARITHROMYCIN 125 mg/5 mL suspension, 50 mL </t>
  </si>
  <si>
    <t xml:space="preserve">CLARITHROMYCIN 250 mg tablet </t>
  </si>
  <si>
    <t>CLARITHROMYCIN 500 mg tablet</t>
  </si>
  <si>
    <t>CLINDAMYCIN 300 mg capsule (as hydrochloride)</t>
  </si>
  <si>
    <t>CLINDAMYCIN 150 mg/mL (as phosphate), 4 mL ampule</t>
  </si>
  <si>
    <t>CLINDAMYCIN 75 mg/5 mL suspension (as palmitate hydrochloride), 60 mL</t>
  </si>
  <si>
    <t>CLOBETASOL 0.05% cream (as propionate), 5 g</t>
  </si>
  <si>
    <t>CLONIDINE 75 mcg tablet (as hydrochloride)</t>
  </si>
  <si>
    <t xml:space="preserve">CLONIDINE 150 mcg/mL (as hydrochloride), 1 mL ampule </t>
  </si>
  <si>
    <t>CLOPIDOGREL 75 mg tablet</t>
  </si>
  <si>
    <t>CLOTRIMAZOLE 1% (10 mg/g) cream, 10 g</t>
  </si>
  <si>
    <t>CLOXACILLIN 500 mg capsule (as sodium salt)</t>
  </si>
  <si>
    <t>CLOZAPINE 100 mg tablet</t>
  </si>
  <si>
    <t xml:space="preserve">CO-AMOXICLAV 1g (875 mg  + 125 mg) tablet </t>
  </si>
  <si>
    <t>Co-Amoxiclav 156.25mg/5ml (125mg/31.25mg per 5mL) 60mL suspension</t>
  </si>
  <si>
    <t>Co-Amoxiclav 312.5mg/5mL (250mg/62.5mg per 5mL) 60 mL suspension</t>
  </si>
  <si>
    <t>CO-AMOXICLAV 400 mg + 57 mg per 5 mL suspension, 70 mL</t>
  </si>
  <si>
    <t>CO-AMOXICLAV 625mg (500 mg + 125 mg) tablet</t>
  </si>
  <si>
    <t>COLCHICINE 500 mcg tablet</t>
  </si>
  <si>
    <t>CONJUGATED ESTROGEN 625mcg</t>
  </si>
  <si>
    <t>COTRIMOXAZOLE  800 mg  + 160 mg  tablet</t>
  </si>
  <si>
    <t>DABIGATRAN 110 mg capsule</t>
  </si>
  <si>
    <t>DABIGATRAN 150 mg capsule</t>
  </si>
  <si>
    <t>DAPAGLIFLOZIN 10 mg Film-coated tablet</t>
  </si>
  <si>
    <t>DEXAMETHASONE 3 mg tablet</t>
  </si>
  <si>
    <t>DEXAMETHASONE 4 mg tablet</t>
  </si>
  <si>
    <t>DEXAMETHASONE 4 mg/mL (as sodium phosphate), 2 mL ampule</t>
  </si>
  <si>
    <t>DICYCLOVERINE  10 mg/5 mL syrup, 60 mL bottle</t>
  </si>
  <si>
    <t xml:space="preserve">DIGOXIN 250 mcg tablet </t>
  </si>
  <si>
    <t>DIGOXIN 250 mcg/mL, 2 mL ampule</t>
  </si>
  <si>
    <t>DIPHENHYDRAMINE 25 mg capsule (as hydrochloride)</t>
  </si>
  <si>
    <t>DIPHENHYDRAMINE 50 mg/mL (as hydrochloride), 1 mL ampule</t>
  </si>
  <si>
    <t xml:space="preserve">DIPHENHYDRAMINE 50 mg capsule (as hydrochloride) </t>
  </si>
  <si>
    <t>DIPHENHYDRAMINE 12.5 mg/5 mL syrup (as hydrochloride), 60 mL</t>
  </si>
  <si>
    <t>DOBUTAMINE 50 mg/mL (as hydrochloride) 5mL ampule</t>
  </si>
  <si>
    <t>DOMPERIDONE 10mg tablet</t>
  </si>
  <si>
    <t>DOMPERIDONE 1 mg/mL suspension, 60 mL bottle</t>
  </si>
  <si>
    <t>DOPAMINE 40 mg/mL (as hydrochloride), 5 mL ampule</t>
  </si>
  <si>
    <t xml:space="preserve">DOXYCYCLINE 100 mg capsule (as hyclate) </t>
  </si>
  <si>
    <t>DYDROGESTERONE 10mg tablet</t>
  </si>
  <si>
    <t>ENALAPRIL 5 mg tablet (as maleate)</t>
  </si>
  <si>
    <t>PFS</t>
  </si>
  <si>
    <t>ENOXAPARIN 100 mg/mL, 0.4 mL pre-filled syringe (as sodium salt)</t>
  </si>
  <si>
    <t>EPERISONE 50 mg tablet (as hydrochloride)</t>
  </si>
  <si>
    <t>EPINEPHRINE 1 mg/mL (as hydrochloride), 1 mL ampule</t>
  </si>
  <si>
    <t>EPOETIN ALFA (RECOMBINANT HUMAN ERYTHROPOIETIN) 4,000 IU/0.4 mL, pre-filled syringe</t>
  </si>
  <si>
    <t>ERYTHROMYCIN 200 mg/5 mL suspension (as ethyl succinate), 60 mL</t>
  </si>
  <si>
    <t>ERYTHROMYCIN 0.5% eye ointment, 3.5 g tube</t>
  </si>
  <si>
    <t xml:space="preserve">ERYTHROMYCIN 500 mg tablet (as stearate) </t>
  </si>
  <si>
    <t>ESCITALOPRAM 10 mg (as Oxalate) Tablet</t>
  </si>
  <si>
    <t xml:space="preserve">ESMOLOL 10 mg/mL (as hydrochloride), 10 mL vial </t>
  </si>
  <si>
    <t>ETHAMBUTOL 400 mg tablet</t>
  </si>
  <si>
    <t>FERROUS SALT + FOLIC ACID 60 mg  + 400 mcg capsule</t>
  </si>
  <si>
    <t>FERROUS SALT 30 mg elemental iron/5 mL syrup, 60 mL</t>
  </si>
  <si>
    <t>FERROUS SALT 15 mg elemental iron/0.6 mL drops, 15 mL</t>
  </si>
  <si>
    <t>FINASTERIDE 5 mg tablet</t>
  </si>
  <si>
    <t>FLUCONAZOLE 150 mg capsule</t>
  </si>
  <si>
    <t>FLUCONAZOLE 2mg/mL, 100mL vial</t>
  </si>
  <si>
    <t>FLUTICASONE propionate + SALMETEROL xinafoate 50 micrograms + 25 micrograms x 120 actuations (with dose counter*)</t>
  </si>
  <si>
    <t>FLUTICASONE propionate + SALMETEROL xinafoate 250  + 25 mcg x 120 actuations MDI</t>
  </si>
  <si>
    <t>FLUTICASONE propionate + SALMETEROL xinafoate 125  + 25 mcg x 120 actuations MDI</t>
  </si>
  <si>
    <t>FOLIC ACID  5 mg capsule</t>
  </si>
  <si>
    <t>FUROSEMIDE 40 mg tablet</t>
  </si>
  <si>
    <t xml:space="preserve">FUROSEMIDE 20 mg tablet </t>
  </si>
  <si>
    <t xml:space="preserve">FUROSEMIDE 10 mg/mL, 2 mL ampule </t>
  </si>
  <si>
    <t>GABAPENTIN  100 mg capsule</t>
  </si>
  <si>
    <t>GABAPENTIN  300 mg capsule</t>
  </si>
  <si>
    <t>GENTAMICIN 40 mg/mL (as sulfate), 2 mL ampule</t>
  </si>
  <si>
    <t>GLICLAZIDE 30 mg MR tablet</t>
  </si>
  <si>
    <t>GLICLAZIDE 60 mg MR tablet</t>
  </si>
  <si>
    <t>GLICLAZIDE 80 mg tablet (immediate-release)</t>
  </si>
  <si>
    <t>HALOPERIDOL 5mg/mL, 1mL ampule</t>
  </si>
  <si>
    <t>HEPATITIS B IMMUNOGLOBULIN (HUMAN) 100 IU 0.5mL, vial</t>
  </si>
  <si>
    <t>HEPATITIS B VACCINE (RECOMBINANT DNA) 20 mcg/mL monodose vial (IM) adult</t>
  </si>
  <si>
    <t>HUMAN ALBUMIN 20%, 50 mL bottle</t>
  </si>
  <si>
    <t>PFS/vial</t>
  </si>
  <si>
    <t>HUMAN TETANUS IMMUNOGLOBULIN 250 IU/mL 1 mL PFS/Vial</t>
  </si>
  <si>
    <t>HYDRALAZINE 20 mg/mL (as hydrochloride), 1 mL ampule</t>
  </si>
  <si>
    <t>HYDROCHLOROTHIAZIDE 12.5mg tablet</t>
  </si>
  <si>
    <t>HYDROCHLOROTHIAZIDE 25mg tablet</t>
  </si>
  <si>
    <t>HYDROCORTISONE 1% cream, 5 g tube</t>
  </si>
  <si>
    <t>HYDROCORTISONE 250 mg (as sodium succinate), vial</t>
  </si>
  <si>
    <t>HYDROCORTISONE 100 mg (as sodium succinate), vial</t>
  </si>
  <si>
    <t>HYDROXYUREA 500mg capsule</t>
  </si>
  <si>
    <t>Hydroxyethyl Starch 6%, 500 mL Solution for Injection</t>
  </si>
  <si>
    <t>HYOSCINE  N-butylbromide 10mg tablet</t>
  </si>
  <si>
    <t>HYOSCINE  N-Butylbromide 20 mg/mL, 1 mL ampule</t>
  </si>
  <si>
    <t>Hypertonic Lactate 250 mL Solution for Injection Bag</t>
  </si>
  <si>
    <t>IBUPROFEN 200 mg tablet</t>
  </si>
  <si>
    <t>IBUPROFEN 400 mg tablet</t>
  </si>
  <si>
    <t>IBUPROFEN 200 mg/5 mL suspension, 60 mL</t>
  </si>
  <si>
    <t>INFLUENZA POLYVALENT VACCINE 0.5 mL suspension in a pre-filled syringe</t>
  </si>
  <si>
    <t>INSULIN GLARGINE 100 IU/mL in 3 mL pre-filled pen</t>
  </si>
  <si>
    <t>IOPAMIDOL  612 mg/mL equivalent to 300 mg iodine, 50 mL vial</t>
  </si>
  <si>
    <t>IOPAMIDOL 612 mg/mL equivalent to 300 mg iodine, 100 mL vial</t>
  </si>
  <si>
    <t>Nebule</t>
  </si>
  <si>
    <t>IPRATROPIUM 250 mcg/mL (as bromide), 2 mL</t>
  </si>
  <si>
    <t>IPRATROPIUM + SALBUTAMOL 500 mcg  + 2.5 mg x 2.5 mL nebule</t>
  </si>
  <si>
    <t>IRBESARTAN 150 mg tablet</t>
  </si>
  <si>
    <t>IRBESARTAN 300 mg tablet</t>
  </si>
  <si>
    <t>IRBESARTAN + HYDROCHLOROTHIAZIDE 150 mg + 12.5 mg tablet</t>
  </si>
  <si>
    <t>IRON SUCROSE 20 mg/mL, 5 mL ampule</t>
  </si>
  <si>
    <t>ISOFLURANE 100 mL bottle</t>
  </si>
  <si>
    <t>ISONIAZID + RIFAMPICIN + PYRAZINAMIDE + ETHAMBUTOL 75mg + 150mg + 400mg + 275 mg tablet</t>
  </si>
  <si>
    <t>ISONIAZID 200mg/5mL, 120mL syrup</t>
  </si>
  <si>
    <t>ISOSORBIDE DINITRATE 5mg oral tablet</t>
  </si>
  <si>
    <t>ISOSORBIDE DINITRATE 5mg sublingual tablet</t>
  </si>
  <si>
    <t xml:space="preserve">ISOSORBIDE DINITRATE 1 mg/mL, 10 mL ampule </t>
  </si>
  <si>
    <t>ISOSORBIDE MONONITRATE 30 mg MR tablet</t>
  </si>
  <si>
    <t>ISOSORBIDE MONONITRATE 60 mg MR tablet</t>
  </si>
  <si>
    <t>ISOXSUPRINE 10 mg tablet (as hydrochloride)</t>
  </si>
  <si>
    <t>ISOXSUPRINE 5 mg/mL (as hydrochloride), 2 mL ampule</t>
  </si>
  <si>
    <t>KETOROLAC 30 mg/mL (as tromethamol), 1 mL ampule</t>
  </si>
  <si>
    <t xml:space="preserve">LACTULOSE 3.3 g/5 mL (3.35 g/5 mL) syrup, 120 mL bottle </t>
  </si>
  <si>
    <t>LAGUNDI 600 mg tablet</t>
  </si>
  <si>
    <t>LEVETIRACETAM 100 mg/mL, 100 mL Oral Solution Bottle</t>
  </si>
  <si>
    <t xml:space="preserve">LEVETIRACETAM 100 mg/mL, 5 mL Vial </t>
  </si>
  <si>
    <t>LEVOFLOXACIN 500 mg tablet</t>
  </si>
  <si>
    <t>LEVOFLOXACIN 5 mg/mL, 100 mL vial</t>
  </si>
  <si>
    <t>LEVOTHYROXINE 50 mcg tablet (as anhydrous sodium)</t>
  </si>
  <si>
    <t>LEVOTHYROXINE 100 mcg tablet (as anhydrous sodium)</t>
  </si>
  <si>
    <t>LIDOCAINE  2% (as hydrochloride), 50 mL vial</t>
  </si>
  <si>
    <t>LIDOCAINE (as hydrochloride) 10%, 50 mL Spray</t>
  </si>
  <si>
    <t>Carpule</t>
  </si>
  <si>
    <t xml:space="preserve">LIDOCAINE 2% (as hydrochloride), 1.8 mL carpule (with epinephrine) (local infiltration) </t>
  </si>
  <si>
    <t>LOPERAMIDE  2 mg capsule</t>
  </si>
  <si>
    <t>LORATADINE 10 mg tablet</t>
  </si>
  <si>
    <t>LOSARTAN 50 mg tablet (as potassium salt)</t>
  </si>
  <si>
    <t xml:space="preserve">LOSARTAN 100 mg tablet (as potassium salt) </t>
  </si>
  <si>
    <t>LOSARTAN + HYDROCHLOROTHIAZIDE 50 mg + 12.5 mg tablet</t>
  </si>
  <si>
    <t>MAGNESIUM SULFATE 250 mg/mL (as heptahydrate), 10 mL ampule</t>
  </si>
  <si>
    <t>MAGNESIUM SULFATE 250 mg/mL (as heptahydrate), 20 mL vial</t>
  </si>
  <si>
    <t>MEBENDAZOLE 500 mg tablet</t>
  </si>
  <si>
    <t xml:space="preserve">MEBENDAZOLE 100 mg/5 mL suspension, 60 mL </t>
  </si>
  <si>
    <t>MEDROXYPROGESTERONE  10 mg tablet (as acetate)</t>
  </si>
  <si>
    <t xml:space="preserve">MEFENAMIC ACID 500 mg capsule </t>
  </si>
  <si>
    <t>MEROPENEM 1 g vial (as trihydrate)</t>
  </si>
  <si>
    <t xml:space="preserve">Vial </t>
  </si>
  <si>
    <t xml:space="preserve">MEROPENEM 500 mg vial (as trihydrate) </t>
  </si>
  <si>
    <t>METFORMIN 500 mg tablet (as hydrochloride)</t>
  </si>
  <si>
    <t>METHIMAZOLE (THIAMAZOLE) 5 mg tablet</t>
  </si>
  <si>
    <t>METHIMAZOLE (THIAMAZOLE) 10 mg tablet</t>
  </si>
  <si>
    <t>METHYLDOPA 250 mg tablet</t>
  </si>
  <si>
    <t>METHYLERGOMETRINE 200 mcg/mL (as hydrogen maleate or maleate), 1 mL ampule</t>
  </si>
  <si>
    <t>METHYLPREDNISOLONE 4mg tablet</t>
  </si>
  <si>
    <t>METHYLPREDNISOLONE 40 mg (as sodium succinate), single-dose vial</t>
  </si>
  <si>
    <t>Methylprednisolone 1 g Powder for Injection Vial + 16 mL Diluent</t>
  </si>
  <si>
    <t>METOCLOPRAMIDE 10 mg tablet</t>
  </si>
  <si>
    <t>METOCLOPRAMIDE 5 mg/mL, 2 mL ampule</t>
  </si>
  <si>
    <t xml:space="preserve">METOPROLOL 50 mg tablet (as tartrate) </t>
  </si>
  <si>
    <t>METRONIDAZOLE 125 mg/5 mL suspension, 60 mL</t>
  </si>
  <si>
    <t>METRONIDAZOLE 500 mg tablet (as base)</t>
  </si>
  <si>
    <t>METRONIDAZOLE 5 mg/mL, 100 mL vial</t>
  </si>
  <si>
    <t>MICONAZOLE 20 mg oral gel, 3.5 g aluminum tube</t>
  </si>
  <si>
    <t>Modified Fluid Gelatin (polymerisate of degraded succinylated gelatin) 4% solution, 500 mL bottle (IV infusion)</t>
  </si>
  <si>
    <t>MONOBASIC/DIBASIC SODIUM PHOSPHATE 19 g/7 g solution, 133 mL bottle</t>
  </si>
  <si>
    <t>MONTELUKAST 4 mg granules (as sodium salt), sachet</t>
  </si>
  <si>
    <t>MONTELUKAST 4 mg chewable tablet (as sodium salt)</t>
  </si>
  <si>
    <t>MONTELUKAST 5 mg chewable tablet (as sodium salt)</t>
  </si>
  <si>
    <t>MONTELUKAST 10 mg tablet</t>
  </si>
  <si>
    <t xml:space="preserve">MOXIFLOXACIN 400 mg film coated tablet </t>
  </si>
  <si>
    <t xml:space="preserve">MOXIFLOXACIN hydrohloride 5 mg/mL (0.5% w/v), 5 mL bottle </t>
  </si>
  <si>
    <t>MULTIVITAMINS  Capsule</t>
  </si>
  <si>
    <t>MULTIVITAMINS per 5 mL, 60 mL Syrup Bottle</t>
  </si>
  <si>
    <t>MULTIVITAMINS per 1 mL, 15 mL Oral Drops Bottle</t>
  </si>
  <si>
    <t>MUPIROCIN 2% ointment, 5 g tube</t>
  </si>
  <si>
    <t>NALOXONE (as hydrochloride) 400 micrograms/mL, 1 mL ampul (IM, IV, SC)</t>
  </si>
  <si>
    <t>NEOSTIGMINE 500 mcg/mL solution for injection, 1 mL ampule</t>
  </si>
  <si>
    <t xml:space="preserve">NICARDIPINE 1 mg/mL (as hydrochloride), 2 mL ampule </t>
  </si>
  <si>
    <t>Gum</t>
  </si>
  <si>
    <t>Nicotine polacrilex 2mg gum</t>
  </si>
  <si>
    <t>NIFEDIPINE 10 mg capsule</t>
  </si>
  <si>
    <t>NIFEDIPINE 30 mg MR tablet</t>
  </si>
  <si>
    <t>NITROGLYCERIN (GLYCERYL TRINITRATE) 1 mg/mL, 10 mL Ampule</t>
  </si>
  <si>
    <t>NOREPINEPHRINE 1 mg/mL (as bitartrate) 2 mL ampule</t>
  </si>
  <si>
    <t>NOREPINEPHRINE 1 mg/mL (as bitartrate) 4 mL ampule</t>
  </si>
  <si>
    <t>NYSTATIN 100,000 units/mL suspension, 30 mL</t>
  </si>
  <si>
    <t>OLANZAPINE 10 mg tablet</t>
  </si>
  <si>
    <t>OMEPRAZOLE 20 mg capsule</t>
  </si>
  <si>
    <t>OMEPRAZOLE 40 mg capsule</t>
  </si>
  <si>
    <t xml:space="preserve">OMEPRAZOLE 40 mg vial + 10 mL solvent ampule/vial </t>
  </si>
  <si>
    <t>ORAL REHYDRATION SALT (ORS 75-REPLACEMENT) Powder Sachet</t>
  </si>
  <si>
    <t>OXACILLIN 500 mg (as sodium salt), vial</t>
  </si>
  <si>
    <t>OXYTOCIN 10 IU/mL ampule, 1 mL ampule</t>
  </si>
  <si>
    <t>PANTOPRAZOLE 40 mg tablet</t>
  </si>
  <si>
    <t>PARACETAMOL 100 mg/mL drops, 15 mL</t>
  </si>
  <si>
    <t>PARACETAMOL 125 mg Suppository</t>
  </si>
  <si>
    <t>PARACETAMOL 120 mg/5 mL syrup, 60 mL</t>
  </si>
  <si>
    <t>PARACETAMOL 150 mg/mL, 2 mL ampule</t>
  </si>
  <si>
    <t>PARACETAMOL 250 mg/5 mL syrup, 60 mL</t>
  </si>
  <si>
    <t>PARACETAMOL 500 mg tablet</t>
  </si>
  <si>
    <t xml:space="preserve">PENICILLIN G BENZATHINE 1,200,000 units (MR), vial  </t>
  </si>
  <si>
    <t>PENICILLIN G CRYSTALLINE 1 MU (as sodium salt)</t>
  </si>
  <si>
    <t>PENICILLIN G CRYSTALLINE 5 MU (as sodium salt)</t>
  </si>
  <si>
    <t xml:space="preserve">PHENYTOIN 100 mg capsule (as sodium salt) </t>
  </si>
  <si>
    <t>PHENYTOIN 50 mg/mL (as sodium salt), 2 mL ampule</t>
  </si>
  <si>
    <t>PHYTOMENADIONE  10 mg/mL, 1 mL ampule</t>
  </si>
  <si>
    <t>PIPERACILLIN + TAZOBACTAM 2 g + 250 mg (as sodium salt) vial</t>
  </si>
  <si>
    <t>PIPERACILLIN + TAZOBACTAM 4 g + 500 mg (as sodium salt) vial</t>
  </si>
  <si>
    <t>Vial/PFS</t>
  </si>
  <si>
    <t>Pneumococcal Conjugate 13 – valent, 0.5 mL single dose vial and 0.5 mL prefilled syringe</t>
  </si>
  <si>
    <t>POTASSIUM CHLORIDE 2 mEq/mL, 20 mL ampule</t>
  </si>
  <si>
    <t>POTASSIUM CHLORIDE 750 mg durules</t>
  </si>
  <si>
    <t>POTASSIUM CITRATE 10 mEq tablet</t>
  </si>
  <si>
    <t xml:space="preserve">Prednisolone 1% eye drops suspension (as acetate), 5 mL bottle </t>
  </si>
  <si>
    <t>PREDNISONE 20 mg tablet</t>
  </si>
  <si>
    <t>PREDNISONE 10 mg/5 mL suspension, 60 mL</t>
  </si>
  <si>
    <t>PROPRANOLOL 10 mg tablet (as hydrochloride)</t>
  </si>
  <si>
    <t>PROPRANOLOL 40 mg tablet (as hydrochloride)</t>
  </si>
  <si>
    <t>PROPOFOL 10 mg/mL, 20 mL ampule/vial</t>
  </si>
  <si>
    <t>PROPYLTHIOURACIL 50 mg tablet</t>
  </si>
  <si>
    <t>PROXYMETACAINE (PROPARACAINE) 0.5% eye drops solution (as hydrochloride), 15 mL bottle</t>
  </si>
  <si>
    <t xml:space="preserve">PYRAZINAMIDE 500 mg tablet </t>
  </si>
  <si>
    <t>PYRAZINAMIDE 250 mg/5 mL suspension, 120 mL</t>
  </si>
  <si>
    <t>RABIES VACCINE, Vero Cell (purified) lyophilized powder, 2.5 IU/ 0.5 mL, vial + diluent (ID, IM)</t>
  </si>
  <si>
    <t xml:space="preserve">REGULAR INSULIN 100 IU/mL, 10 mL vial </t>
  </si>
  <si>
    <t>RIFAMPICIN 200 mg/5 mL suspension, 120mL</t>
  </si>
  <si>
    <t>RIFAXIMIN 200mg tablet</t>
  </si>
  <si>
    <t>RISPERIDONE 2 mg tablet</t>
  </si>
  <si>
    <t>ROSUVASTATIN 10 mg tablet (as calcium salt)</t>
  </si>
  <si>
    <t>ROSUVASTATIN 20 mg tablet (as calcium salt)</t>
  </si>
  <si>
    <t>SACUBITRIL + VALSARTAN 100 mg (48.6 mg + 51.4 mg) Tablet</t>
  </si>
  <si>
    <t>SALBUTAMOL 2 mg/5 mL syrup (as sulfate), 60 mL</t>
  </si>
  <si>
    <t>SALBUTAMOL 2 mg/mL nebule (as sulfate), 2.5 mL</t>
  </si>
  <si>
    <t>SALBUTAMOL 100 mcg per dose (as sulfate) x 200 doses</t>
  </si>
  <si>
    <t>SAMBONG 500 mg Tablet</t>
  </si>
  <si>
    <t xml:space="preserve">SEVOFLURANE Inhalation: 250 mL bottle </t>
  </si>
  <si>
    <t>SILVER SULFADIAZINE 1%, 25 g Cream Tube</t>
  </si>
  <si>
    <t>SIMVASTATIN 20 mg tablet</t>
  </si>
  <si>
    <t>SIMVASTATIN 40 mg tablet</t>
  </si>
  <si>
    <t>SODIUM BICARBONATE 650 mg tablet</t>
  </si>
  <si>
    <t>SODIUM BICARBONATE 1 mEq/mL, 20 mL vial</t>
  </si>
  <si>
    <t>SODIUM CHLORIDE 2.5 mEq/mL, 50 mL vial</t>
  </si>
  <si>
    <t>SPIRONOLACTONE 25 mg tablet</t>
  </si>
  <si>
    <t>SPIRONOLACTONE 50 mg tablet</t>
  </si>
  <si>
    <t>STANDARD SENNA CONCENTRATE 187 mg tablet</t>
  </si>
  <si>
    <t>SUXAMETHONIUM (SUCCINYLCHOLINE) 20 mg/mL, 10 mL vial (as chloride)</t>
  </si>
  <si>
    <t>SUCRALFATE 1g tablet</t>
  </si>
  <si>
    <t>TAMSULOSIN 400 mcg prolonged-release FC tablet</t>
  </si>
  <si>
    <t>TELMISARTAN 80 mg tablet</t>
  </si>
  <si>
    <t>TELMISARTAN 40 mg tablet</t>
  </si>
  <si>
    <t>TERAZOSIN 2mg tablet</t>
  </si>
  <si>
    <t>TERBINAFINE 250 mg tablet</t>
  </si>
  <si>
    <t>TETANUS TOXOID 40 IU/0.5 mL, 0.5 mL Ampule</t>
  </si>
  <si>
    <t>TOBRAMYCIN 0.3%, 5mL eye drops solution</t>
  </si>
  <si>
    <t>TOBRAMYCIN + DEXAMETHASONE 0.3% + 0.1% eye drops suspension, 5 mL bottle</t>
  </si>
  <si>
    <t>TOPIRAMATE SODIUM 25 mg tablet</t>
  </si>
  <si>
    <t>TOLVAPTAN 15 mg Tablet</t>
  </si>
  <si>
    <t xml:space="preserve">TRAMADOL 50 mg capsule (as hydrochloride) </t>
  </si>
  <si>
    <t>TRAMADOL 50 mg/mL (as hydrochloride), 1 mL ampule</t>
  </si>
  <si>
    <t xml:space="preserve">TRANEXAMIC ACID 100 mg/mL, 5 mL ampule </t>
  </si>
  <si>
    <t>TRANEXAMIC ACID 500 mg capsule</t>
  </si>
  <si>
    <t>TRIMETAZIDINE 35 mg tablet (as hydrochloride)</t>
  </si>
  <si>
    <t>Capsule/Tablet</t>
  </si>
  <si>
    <t>URSODEOXYCHOLIC ACID 250 mg capsule/tablet</t>
  </si>
  <si>
    <t>VALPROIC ACID 500 mg controlled release tablet (333 mg sodium valproate + 145 mg valproic acid)</t>
  </si>
  <si>
    <t>VANCOMYCIN 500 mg vial (as hydrochloride)</t>
  </si>
  <si>
    <t>VANCOMYCIN 1 g vial (as hydrochloride)</t>
  </si>
  <si>
    <t>VERAPAMIL 80 mg tablet (as hydrochloride)</t>
  </si>
  <si>
    <t>Tablet/Capsule</t>
  </si>
  <si>
    <t xml:space="preserve">VITAMIN B1 B6 B12 100 mg B1 + 5 mg B6 + 50 mcg B12 tablet/capsule </t>
  </si>
  <si>
    <t>VITAMIN B1 B6 B12 100 mg B1+ 100 mg B6+ 1 mg B12 per 3mL, ampule</t>
  </si>
  <si>
    <t>ZINC SULFATE  10 mg elemental zinc drops (as monohydrate), 15 mL</t>
  </si>
  <si>
    <t xml:space="preserve">ZINC SULFATE 20 mg elemental zinc/5 mL syrup (as sulfate monohydrate), 60 mL </t>
  </si>
  <si>
    <t>Zinc chewable tablet, (equiv. to 10 mg elemental zinc) (as gluconate)</t>
  </si>
  <si>
    <t>Periodic Procurement of  Drugs and Medicines for DOPMC to ensure the uninterrupted  availability of essential medications, promote better health outcomes, enhance the quality and responsiveness of healthcare system, and support equitable healthcare</t>
  </si>
  <si>
    <t>ALLOPURINOL 300 mg tablet</t>
  </si>
  <si>
    <t>D5 0.9 NSS 1L (5% DEXTROSE IN 0.9% SODIUM CHLORIDE 1 L bottle)</t>
  </si>
  <si>
    <t>D5 Water 1L (5% DEXTROSE IN WATER 1 L) bottle</t>
  </si>
  <si>
    <t>D5LR 1L (5% DEXTROSE IN LACTATED RINGER’S 1 L) bottle</t>
  </si>
  <si>
    <t>Normosol M 1L (BALANCED MULTIPLE MAINTENANCE SOLUTON with 5% dextrose, 1 L (children and adults) bottle</t>
  </si>
  <si>
    <t>Plain LR 1L (Lactated Ringer's, 1 L Solution for Injection) Bottle</t>
  </si>
  <si>
    <t>Plain NSS 1L (0.9% SODIUM CHLORIDE  1L) bottle</t>
  </si>
  <si>
    <t>D10 Water 500mL (10% DEXTROSE IN WATER 500 mL) bottle</t>
  </si>
  <si>
    <t>D5 Water 500mL (5% DEXTROSE IN WATER 500mL) bottle</t>
  </si>
  <si>
    <t>D50 Water 50mL (Glucose (Dextrose) 50%, 50 mL Solution for Injection Vial)</t>
  </si>
  <si>
    <t>D5 0.3naCl 500mL (5% DEXTROSE IN 0.3% SODIUM CHLORIDE 500 mL) bottle</t>
  </si>
  <si>
    <t>D5 IMB 500mL (BALANCED MULTIPLE MAINTENANCE SOLUTON with 5% dextrose, 500 mL (infants) bottle</t>
  </si>
  <si>
    <t>D5LR 500mL (5% DEXTROSE IN LACTATED RINGER’S 500 mL) bottle</t>
  </si>
  <si>
    <t>Intraocular Irrigating Solution (Balanced Salt Solution) 500mL Bottle</t>
  </si>
  <si>
    <t>Mannitol 20%, 500 mL Solution for Injection Bottle</t>
  </si>
  <si>
    <t>Plain LR 500mL (Lactated Ringer's, 500 mL Solution for Injection) Bottle</t>
  </si>
  <si>
    <t>Plain NSS 500mL (0.9% SODIUM CHLORIDE  500 mL) bottle</t>
  </si>
  <si>
    <t>Isotonic Electrolyte Solution for IV Infusion 1L</t>
  </si>
  <si>
    <t>0.9% Sodium Chloride 1 L bottle solution for irrigation</t>
  </si>
  <si>
    <t>Plain NSS 50 mL bottle/bag (0.9% SODIUM CHLORIDE  50 mL)</t>
  </si>
  <si>
    <t>Refilled Medical Oxygen</t>
  </si>
  <si>
    <t>Emergency Procurement of Drugs and Medicines for DOPMC, to address unforseen and emergency cases, improve health outcomes, and support quality, responsive, and equitable healthcare system</t>
  </si>
  <si>
    <t>REGULATED DRUGS</t>
  </si>
  <si>
    <t>DIAZEPAM 5 mg/mL, 2 mL ampule</t>
  </si>
  <si>
    <t>FENTANYL 50 mcg/mL (as citrate), 2 mL ampule</t>
  </si>
  <si>
    <t>KETAMINE  50 mg/mL (as hydrochloride) 10mL vial</t>
  </si>
  <si>
    <t>Midazolam 5mg/mL, 3mL (15mg/3mL) ampule</t>
  </si>
  <si>
    <t>MORPHINE 10 mg/mL (as sulfate), 1 mL ampule</t>
  </si>
  <si>
    <t>NALBUPHINE  10 mg/mL (as hydrochloride), 1 mL ampule</t>
  </si>
  <si>
    <t>FLUIDS</t>
  </si>
  <si>
    <t>General</t>
  </si>
  <si>
    <t>Fund</t>
  </si>
  <si>
    <t xml:space="preserve"> Bottle </t>
  </si>
  <si>
    <t>TELMISARTAN + HYDROCHLOROTHIAZIDE 40 mg + 12.5</t>
  </si>
  <si>
    <t>mg Tablet</t>
  </si>
  <si>
    <r>
      <t xml:space="preserve">BUPIVACAINE (spinal) 0.5% (as hydrochloride), 4 mL  with 8% dextrose </t>
    </r>
    <r>
      <rPr>
        <b/>
        <sz val="10"/>
        <color theme="1"/>
        <rFont val="Book Antiqua"/>
        <family val="1"/>
      </rPr>
      <t>individually packed ampule</t>
    </r>
  </si>
  <si>
    <t>From 01/2026 to 7/2026</t>
  </si>
  <si>
    <t>General Fund</t>
  </si>
  <si>
    <t>Provision of food supplies to ensure adequate, safe, and nutritious meals that support patient care, recovery, and quality healthcare services.</t>
  </si>
  <si>
    <t>Meat and Seafoods</t>
  </si>
  <si>
    <t>June, 2026</t>
  </si>
  <si>
    <t>Price quotation from Suppliers</t>
  </si>
  <si>
    <t>(Food Supplies)</t>
  </si>
  <si>
    <t>kl</t>
  </si>
  <si>
    <t>Bangus</t>
  </si>
  <si>
    <t>Progressive Delivery</t>
  </si>
  <si>
    <t>Barilison (headless &amp; no organs)</t>
  </si>
  <si>
    <t>Fish eskohido</t>
  </si>
  <si>
    <t>Matambaka</t>
  </si>
  <si>
    <t>Salmon/Caraballas Medium</t>
  </si>
  <si>
    <t>Squid  (Ordinary)</t>
  </si>
  <si>
    <t>Squid Eskohido</t>
  </si>
  <si>
    <t xml:space="preserve">Beef </t>
  </si>
  <si>
    <t xml:space="preserve">Beef jumbo hotdog </t>
  </si>
  <si>
    <t xml:space="preserve">Chicken hotdog </t>
  </si>
  <si>
    <t xml:space="preserve">Chicken liver </t>
  </si>
  <si>
    <t xml:space="preserve">Chicken </t>
  </si>
  <si>
    <t>Corned beef</t>
  </si>
  <si>
    <t>Fish ball</t>
  </si>
  <si>
    <t>Squid ball 500g</t>
  </si>
  <si>
    <t>Rice and Grain Products</t>
  </si>
  <si>
    <t>sack</t>
  </si>
  <si>
    <t>Rice, Well Milled (50Kls)</t>
  </si>
  <si>
    <t>One time delivery</t>
  </si>
  <si>
    <t>Rice, Malagkit (kg)</t>
  </si>
  <si>
    <t>Flour, All purpose 1kg</t>
  </si>
  <si>
    <t>Canned Goods and other groceries</t>
  </si>
  <si>
    <t>Baking Powder 50g</t>
  </si>
  <si>
    <t>Baking Soda 125g</t>
  </si>
  <si>
    <t>Beef loaf 215g</t>
  </si>
  <si>
    <t>Bihon (kg)</t>
  </si>
  <si>
    <t>Black Beans 180g</t>
  </si>
  <si>
    <t>Bread Crumbs 1kg</t>
  </si>
  <si>
    <t>Canton noodles 400g</t>
  </si>
  <si>
    <t>Cheeze 160g</t>
  </si>
  <si>
    <t>Chocolate Powder 500g</t>
  </si>
  <si>
    <t>Cling wrap 300Mx90cm</t>
  </si>
  <si>
    <t>Cocoa 500g</t>
  </si>
  <si>
    <t>Coffee 50g/100g/80g</t>
  </si>
  <si>
    <t>Coffee Gold 200g</t>
  </si>
  <si>
    <t>Cooking Oil coconut (kg)</t>
  </si>
  <si>
    <t>Corn starch 1kg</t>
  </si>
  <si>
    <t>Corn Kernel 410g</t>
  </si>
  <si>
    <t>Cream Corn 410g</t>
  </si>
  <si>
    <t>Curry powder 40g (pack)</t>
  </si>
  <si>
    <t>Foldable Napkin 350 sheets/pack</t>
  </si>
  <si>
    <t>Garlic Powder (kg)</t>
  </si>
  <si>
    <t>Green Peas 450g</t>
  </si>
  <si>
    <t>Gulaman  25g 10's</t>
  </si>
  <si>
    <t>Hipon bagoong 250g</t>
  </si>
  <si>
    <t>Iodized Salt (kg)</t>
  </si>
  <si>
    <t>Kaong Green big 340g</t>
  </si>
  <si>
    <t>Kaong Red big 340g</t>
  </si>
  <si>
    <t>Kaong White big 340g</t>
  </si>
  <si>
    <t>Kare-kare Mix  57g</t>
  </si>
  <si>
    <t>Ketchup 530ml</t>
  </si>
  <si>
    <t>Luncheon Meat 360g</t>
  </si>
  <si>
    <t>Macaroni shells (kg)</t>
  </si>
  <si>
    <t>Margarine (kg)  1/2kg</t>
  </si>
  <si>
    <t>Mayonnaise 3.5L</t>
  </si>
  <si>
    <t>Meat sauce 380g</t>
  </si>
  <si>
    <t>Powdered Milk</t>
  </si>
  <si>
    <t>Milk,  Evaporated 410ml</t>
  </si>
  <si>
    <t>Milk, Condensed  374g</t>
  </si>
  <si>
    <t>Olive Oil</t>
  </si>
  <si>
    <t>Misua 24's</t>
  </si>
  <si>
    <t>Nata de cocco 680g</t>
  </si>
  <si>
    <t>All Purpose cream 250ml</t>
  </si>
  <si>
    <t>Patis 350ml</t>
  </si>
  <si>
    <t>Peanut butter 462g</t>
  </si>
  <si>
    <t>Pepper - leaf</t>
  </si>
  <si>
    <t>Pepper - Liso</t>
  </si>
  <si>
    <t>Pepper - powder</t>
  </si>
  <si>
    <t xml:space="preserve">Pickle Relish </t>
  </si>
  <si>
    <t>Pineapple tidbits 822g</t>
  </si>
  <si>
    <t>Raisins 200g</t>
  </si>
  <si>
    <t>Salted Black Beans, 180g</t>
  </si>
  <si>
    <t>Sinigang mix 25g</t>
  </si>
  <si>
    <t>Soda Cracker 24's (single pack)</t>
  </si>
  <si>
    <t>Sotanghon 1kl</t>
  </si>
  <si>
    <t>Soy sauce  1/2 gal.</t>
  </si>
  <si>
    <t>Spaghetti noodles 1kl</t>
  </si>
  <si>
    <t xml:space="preserve">Spaghetti sauce 1kl </t>
  </si>
  <si>
    <t>Sugar, Brown  (kg)</t>
  </si>
  <si>
    <t>Sugar, White  (kg)</t>
  </si>
  <si>
    <t>Sukang puti 1/2 gal</t>
  </si>
  <si>
    <t>Tea 100's</t>
  </si>
  <si>
    <t>Tissue Paper 3 ply</t>
  </si>
  <si>
    <t>Tocino Mix  75g</t>
  </si>
  <si>
    <t>Tomato paste 1kg</t>
  </si>
  <si>
    <t>Tomato sauce 1kg</t>
  </si>
  <si>
    <t>Mushroom 400g</t>
  </si>
  <si>
    <t>Cornstarch 1kl</t>
  </si>
  <si>
    <t>Ignition Lighter</t>
  </si>
  <si>
    <t>Meal box (10's)  cartoon w/ 3 compartments</t>
  </si>
  <si>
    <t>Cellophane (5x10) 1000's</t>
  </si>
  <si>
    <t>Cellophane , Sando Bag Tiny 1000's</t>
  </si>
  <si>
    <t>Cellophane , Sando Bag big 1000's</t>
  </si>
  <si>
    <t>Sponge Pad</t>
  </si>
  <si>
    <t>Steel Wool</t>
  </si>
  <si>
    <t>Milk, Powdered 900g/850g</t>
  </si>
  <si>
    <t>Mineral water 25 gallon</t>
  </si>
  <si>
    <t>tray</t>
  </si>
  <si>
    <t>Egg,  XL (30pcs/tray)</t>
  </si>
  <si>
    <t>Vegetables</t>
  </si>
  <si>
    <t>Alugbati (kg)</t>
  </si>
  <si>
    <t>Ampalaya (kg)</t>
  </si>
  <si>
    <t>Atsal (kg)</t>
  </si>
  <si>
    <t>Azucena leaves</t>
  </si>
  <si>
    <t>Banana Leaf (kg)</t>
  </si>
  <si>
    <t>Beans</t>
  </si>
  <si>
    <t>Broccoli</t>
  </si>
  <si>
    <t>Cabbage (kg)</t>
  </si>
  <si>
    <t>Camote (kg)</t>
  </si>
  <si>
    <t>Camote Tops (bundle)</t>
  </si>
  <si>
    <t>Carlang (kg)</t>
  </si>
  <si>
    <t>Carrots (kg)</t>
  </si>
  <si>
    <t>Cauliflower</t>
  </si>
  <si>
    <t>Chayote (piece)</t>
  </si>
  <si>
    <t>Colicot</t>
  </si>
  <si>
    <t>Cucumber (kg)</t>
  </si>
  <si>
    <t>Dabong (pack)</t>
  </si>
  <si>
    <t>Dried Alamang (kg)</t>
  </si>
  <si>
    <t>Eggplant (kg)</t>
  </si>
  <si>
    <t>Fresh Miki</t>
  </si>
  <si>
    <t>Fresh milk (kg)</t>
  </si>
  <si>
    <t>Garlic (kg)</t>
  </si>
  <si>
    <t>Ginger (kg)</t>
  </si>
  <si>
    <t>Guso (kg)</t>
  </si>
  <si>
    <t>Hebe</t>
  </si>
  <si>
    <t>Kangkong (bundle)</t>
  </si>
  <si>
    <t>Kentucky beans (kg)</t>
  </si>
  <si>
    <t>Kolikot (kg)</t>
  </si>
  <si>
    <t>Lemon (kg)</t>
  </si>
  <si>
    <t>Lubi (piece)</t>
  </si>
  <si>
    <t>Mais (kg)</t>
  </si>
  <si>
    <t>Malunggay (bundle)</t>
  </si>
  <si>
    <t>Mongo (kg)</t>
  </si>
  <si>
    <t>Nangka hilaw (kg)</t>
  </si>
  <si>
    <t>Native pechay (kg)</t>
  </si>
  <si>
    <t>Okra (kg)</t>
  </si>
  <si>
    <t>Onion - bombay</t>
  </si>
  <si>
    <t>bdl</t>
  </si>
  <si>
    <t>Pako</t>
  </si>
  <si>
    <t>Patola (kg)</t>
  </si>
  <si>
    <t>Potato (kg)</t>
  </si>
  <si>
    <t>Puso ng saging (piece)</t>
  </si>
  <si>
    <t>Raddish (kg)</t>
  </si>
  <si>
    <t>Saluyot (bundle)</t>
  </si>
  <si>
    <t>Sesame Seads</t>
  </si>
  <si>
    <t>Singkamas (kg)</t>
  </si>
  <si>
    <t>Sitaw (kg)</t>
  </si>
  <si>
    <t>Spring Onion (bundle)</t>
  </si>
  <si>
    <t>Squash (kg)</t>
  </si>
  <si>
    <t>Tamotoes (kg)</t>
  </si>
  <si>
    <t>Tanglad (bundle)</t>
  </si>
  <si>
    <t>Taosio</t>
  </si>
  <si>
    <t>Tauge (kg)</t>
  </si>
  <si>
    <t>Uling (pack)</t>
  </si>
  <si>
    <t>Upo (kg)</t>
  </si>
  <si>
    <t>Veg. sari (pack)</t>
  </si>
  <si>
    <t>Fruits</t>
  </si>
  <si>
    <t xml:space="preserve">                     -   </t>
  </si>
  <si>
    <t>Banana,  Binangay</t>
  </si>
  <si>
    <t>Banana, Cardaba  (kg)</t>
  </si>
  <si>
    <t>Banana, Saba (kg)</t>
  </si>
  <si>
    <t>Mango (kg)</t>
  </si>
  <si>
    <t>Pineapple (kg)</t>
  </si>
  <si>
    <t>Water melon (kg)</t>
  </si>
  <si>
    <t>Bulad Fish</t>
  </si>
  <si>
    <t xml:space="preserve">Bulad, Squid </t>
  </si>
  <si>
    <t>Bulad, Danggit</t>
  </si>
  <si>
    <t>From 01/2026 TO 01/08/2026</t>
  </si>
  <si>
    <t>To provide a reliable supply of fuel and lubricants that supports uninterrupted healthcare operations, emergency response, patient transportation, and the delivery of essential medical services, to enhance the quality, efficiency, and responsiveness of the healthcare system.</t>
  </si>
  <si>
    <t>Liter</t>
  </si>
  <si>
    <t xml:space="preserve">Diesel </t>
  </si>
  <si>
    <t>Direct Retail Price</t>
  </si>
  <si>
    <t>January, 2026</t>
  </si>
  <si>
    <t>January - September, 2026</t>
  </si>
  <si>
    <t>Price Quotation of  Supplier</t>
  </si>
  <si>
    <t>Gasoline</t>
  </si>
  <si>
    <t>Kg.</t>
  </si>
  <si>
    <t>Lubricants</t>
  </si>
  <si>
    <t>Car Air Freshener</t>
  </si>
  <si>
    <t xml:space="preserve">Coolant </t>
  </si>
  <si>
    <t>January-March, 2026</t>
  </si>
  <si>
    <t>To provide additional hospital furniture that supports the efficient delivery of health services, enhances patient comfort and safety, and improves the functionality and responsiveness of the health system.</t>
  </si>
  <si>
    <t>Furniture and Fixtures</t>
  </si>
  <si>
    <t>Mechanical Bed</t>
  </si>
  <si>
    <t>May, 2026</t>
  </si>
  <si>
    <t>Price  Quotation from Suppliers</t>
  </si>
  <si>
    <t>15 UNITS</t>
  </si>
  <si>
    <t>Provision of office supplies  to ensure the continuous availability of essential materials needed to support efficient operations, accurate documentation, effective records management, and the uninterrupted delivery of quality healthcare system.</t>
  </si>
  <si>
    <t>Ballpen BLACK</t>
  </si>
  <si>
    <t xml:space="preserve">From 01/2026 </t>
  </si>
  <si>
    <t>Ballpen BLUE</t>
  </si>
  <si>
    <t>Ballpen RED</t>
  </si>
  <si>
    <t>Battery 3V CR 2032</t>
  </si>
  <si>
    <t>Battery AA x 4's</t>
  </si>
  <si>
    <t>Battery AAA x 4's</t>
  </si>
  <si>
    <t>Battery MEDIUM</t>
  </si>
  <si>
    <t>Bond Paper Sub. 16 Long 8.5x13 blue</t>
  </si>
  <si>
    <t>Bond Paper Sub. 16 Long 8.5x13 green</t>
  </si>
  <si>
    <t>Bond Paper Sub. 16 Long 8.5x13 pink</t>
  </si>
  <si>
    <t>Bond Paper Sub. 16 Long 8.5x13 yellow</t>
  </si>
  <si>
    <t>pad</t>
  </si>
  <si>
    <t>Carbon film/ Paper black Long</t>
  </si>
  <si>
    <t>Carbon film/ Paper blue Long</t>
  </si>
  <si>
    <t>Cartolina Black</t>
  </si>
  <si>
    <t>Cartolina LIGHT BLUE</t>
  </si>
  <si>
    <t>Cartolina LIGHT GREEN</t>
  </si>
  <si>
    <t>Cartolina ORANGE</t>
  </si>
  <si>
    <t>Cartolina PINK</t>
  </si>
  <si>
    <t>Cartolina PURPLE</t>
  </si>
  <si>
    <t>Cartolina RED</t>
  </si>
  <si>
    <t>Cartolina WHITE</t>
  </si>
  <si>
    <t>Cartolina YELLOW</t>
  </si>
  <si>
    <t>Envelope Brown LONG x 500's</t>
  </si>
  <si>
    <t xml:space="preserve"> piece </t>
  </si>
  <si>
    <t>Envelope, Expanded, Brown Long</t>
  </si>
  <si>
    <t xml:space="preserve"> box </t>
  </si>
  <si>
    <t>Envelope, White, Long (mailing) x 500's</t>
  </si>
  <si>
    <t>Folder, Green, LONG expandable</t>
  </si>
  <si>
    <t>Folder White LONG x 500's</t>
  </si>
  <si>
    <t>Ink EPSON 664 Black</t>
  </si>
  <si>
    <t>Ink EPSON 664 Cyan</t>
  </si>
  <si>
    <t>Ink EPSON 664 Magenta</t>
  </si>
  <si>
    <t>Ink EPSON 664 Yellow</t>
  </si>
  <si>
    <t>Printer Ribbon EPSON LX310</t>
  </si>
  <si>
    <t>UNIVERSAL INK 100 ml  ( BLACK)</t>
  </si>
  <si>
    <t>UNIVERSAL INK 100 ml  (  CYAN )</t>
  </si>
  <si>
    <t>UNIVERSAL INK 100 ml  ( MAGENTA )</t>
  </si>
  <si>
    <t>UNIVERSAL INK 100 ml  ( YELLOW)</t>
  </si>
  <si>
    <r>
      <t xml:space="preserve">INK </t>
    </r>
    <r>
      <rPr>
        <sz val="10"/>
        <color theme="1"/>
        <rFont val="Book Antiqua"/>
        <family val="1"/>
      </rPr>
      <t>( Brother Printer model DCP-T720DW) black, cyan/magenta/yellow</t>
    </r>
  </si>
  <si>
    <t>Master Roll for Duplicating Machine 200 cuts</t>
  </si>
  <si>
    <t>Paper Cutter Heavyduty 15"x18"</t>
  </si>
  <si>
    <t>Paper Fastener 3 inches plastic</t>
  </si>
  <si>
    <t>Paper Fastener 6 inches plastic</t>
  </si>
  <si>
    <t>Paper, Multi-purpose, 70 gsm., size 210mmx297mm (A4)</t>
  </si>
  <si>
    <t xml:space="preserve">Paste Jar </t>
  </si>
  <si>
    <t>Pattern Paper 40 36"x48" (480pcs)</t>
  </si>
  <si>
    <t>Record Book Black # 85 500p</t>
  </si>
  <si>
    <t>Scotch Tape  1"</t>
  </si>
  <si>
    <t>Staple Wire # 35 (24/6mm or 26/6mm)</t>
  </si>
  <si>
    <t>Staple Wire # 35 (HD-88/88R)</t>
  </si>
  <si>
    <t>Staple Wire B8</t>
  </si>
  <si>
    <t>Stapler # 35 (HD-88/88R)</t>
  </si>
  <si>
    <t>Sliding Folder</t>
  </si>
  <si>
    <t>Ink 003 - Black</t>
  </si>
  <si>
    <t>Ink 003 - Cyan</t>
  </si>
  <si>
    <t>Ink 003 - Magenta</t>
  </si>
  <si>
    <t>Ink 003 - Yellow</t>
  </si>
  <si>
    <t>Ink Gl-71M Black</t>
  </si>
  <si>
    <t>Ink Gl-71M  Cyan</t>
  </si>
  <si>
    <t>Ink Gl-71M Magenta</t>
  </si>
  <si>
    <t>Ink Gl-71M Yellow</t>
  </si>
  <si>
    <t>Ink BTD60BK- Black</t>
  </si>
  <si>
    <t>Ink BT5000- Cyan</t>
  </si>
  <si>
    <t>Ink BT5000- Magenta</t>
  </si>
  <si>
    <t>Ink BT5000- Yellow</t>
  </si>
  <si>
    <t>Cartridge PG-7455 Black</t>
  </si>
  <si>
    <t>Cartridge PG-7455 Color</t>
  </si>
  <si>
    <t>Record Book 552</t>
  </si>
  <si>
    <t>Duplicating Machine Ink (DD3344)</t>
  </si>
  <si>
    <t>Calculator 12 digit HSM</t>
  </si>
  <si>
    <t>Paper, Multi-purpose, 70 gsm., size 216mmx330mm (Legal)</t>
  </si>
  <si>
    <t>Clip, Double Binder (big)</t>
  </si>
  <si>
    <t>Clip, Double Binder (small)</t>
  </si>
  <si>
    <t>Pencil Sharpener, 1 Pc In individual plastic case Heavyduty</t>
  </si>
  <si>
    <t>Rubber Band Big</t>
  </si>
  <si>
    <t>Scissor Medium</t>
  </si>
  <si>
    <t>Marker, Permanent, Blue</t>
  </si>
  <si>
    <t>Marker, White Board, Black</t>
  </si>
  <si>
    <t>Marker, White Board, Blue</t>
  </si>
  <si>
    <t>Paper Clip 50mm, 100 Pcs. Per Box or 120 grams (Min) (Net of Box)</t>
  </si>
  <si>
    <t>Photo Copier</t>
  </si>
  <si>
    <t>Stamp Pad Ink</t>
  </si>
  <si>
    <t>Paper Clip 33mm</t>
  </si>
  <si>
    <t>Extra Long Bond Paper</t>
  </si>
  <si>
    <t>Packing Tape</t>
  </si>
  <si>
    <t>Photo Copier Cartridge</t>
  </si>
  <si>
    <t>Book Paper Extra Long</t>
  </si>
  <si>
    <t>Metal Tray</t>
  </si>
  <si>
    <t>Mechanical Pencil with lead</t>
  </si>
  <si>
    <t>Fastener 7 cm x8.5 inches, 50's</t>
  </si>
  <si>
    <t>X-ray Logbook</t>
  </si>
  <si>
    <t>Ultrasound Logbook</t>
  </si>
  <si>
    <t>CT Scan Logbook</t>
  </si>
  <si>
    <t>Cash Book 51A, small</t>
  </si>
  <si>
    <t>Folder Brown LONG x 100's</t>
  </si>
  <si>
    <t>Certificate of Death</t>
  </si>
  <si>
    <t>Certificate of Live Birth</t>
  </si>
  <si>
    <t>Certificate of Fetal Death</t>
  </si>
  <si>
    <t>Live Birth Attachment Form (Islam)</t>
  </si>
  <si>
    <t>From 01/2026  to 06/26</t>
  </si>
  <si>
    <t>HOSPITAL EQUIPMENT / MACHINERY</t>
  </si>
  <si>
    <t>DOMPC</t>
  </si>
  <si>
    <t>To strengthen the capacity of healthcare facilities through the provision of additional medical equipment to complement existing equipment, support accurate diagnosis and effective treatment, promote better health outcomes,  enhance the quality  and responsiveness of healthcare system</t>
  </si>
  <si>
    <t>Hospital Equipment</t>
  </si>
  <si>
    <t xml:space="preserve">Infusion Pump </t>
  </si>
  <si>
    <t>August, 2026</t>
  </si>
  <si>
    <t>Mobile OR Light/Lamp</t>
  </si>
  <si>
    <t>February, 2026</t>
  </si>
  <si>
    <t>April, 2026</t>
  </si>
  <si>
    <t>Rotary Sealer with Printer</t>
  </si>
  <si>
    <t>July, 2026</t>
  </si>
  <si>
    <t>Roll Dispenser &amp; Cutter</t>
  </si>
  <si>
    <t>TOTAL BUDGET</t>
  </si>
  <si>
    <t>4 set</t>
  </si>
  <si>
    <t>2 piece</t>
  </si>
  <si>
    <t>Provision of training to strengthen healthcare personnel's knowledge, skills, and competencies, improving the quality, efficiency, and responsiveness of the healthcare system.</t>
  </si>
  <si>
    <t>Various Trainings &amp; Seminars</t>
  </si>
  <si>
    <t>January - June, 2026</t>
  </si>
  <si>
    <t>Training Expenses for Team Building and conflict resolution</t>
  </si>
  <si>
    <t>Foundation Day Celebration</t>
  </si>
  <si>
    <t>Other  Supplies</t>
  </si>
  <si>
    <t>Bleaching Liquid 3.875L x 3's</t>
  </si>
  <si>
    <t>Price Quotation of  Suppliers</t>
  </si>
  <si>
    <t>Bath Soap</t>
  </si>
  <si>
    <t>to 6/26</t>
  </si>
  <si>
    <t>Broom SOFT (Tambo)</t>
  </si>
  <si>
    <t>Broom STICK</t>
  </si>
  <si>
    <t>Cellophane ,  Sando bag, Medium 100's YELLOW</t>
  </si>
  <si>
    <t>Cellophane ,   Sando bag  Large  100's YELLOW</t>
  </si>
  <si>
    <t>Detergent Powder 65g x 288's</t>
  </si>
  <si>
    <t>Dishwashing Liquid Soap 18.5mL</t>
  </si>
  <si>
    <t>Distilled Water 6L x 4's</t>
  </si>
  <si>
    <t>Fabric Conditioner 27mL</t>
  </si>
  <si>
    <t>Hospital Grade Aerosol Surface Disinfectant Spray 510g</t>
  </si>
  <si>
    <t>Liquid Disinfectant Pine Scent 6.10L</t>
  </si>
  <si>
    <t>LPG 50Kg. Refilled</t>
  </si>
  <si>
    <t xml:space="preserve">Muriatic Acid 3.875L </t>
  </si>
  <si>
    <t>Plastic Cellophane BANYERA YELLOW</t>
  </si>
  <si>
    <t>Plastic Cellophane BANYERA GREEN</t>
  </si>
  <si>
    <t>Plastic Cellophane BANYERA BLACK</t>
  </si>
  <si>
    <t>Trash Bag Biodegradable Medium 22 x 24 Black x 500's</t>
  </si>
  <si>
    <t>Trash Bag Biodegradable Medium 22 x 24 Green x 500's</t>
  </si>
  <si>
    <t>Trash Bag Biodegradable Medium 22 x 24 Yellow x 500's</t>
  </si>
  <si>
    <t>Trash Bag Biodegradable XL 30 x 37 Black x 200's</t>
  </si>
  <si>
    <t>Trash Bag Biodegradable XL 30 x 37 Green x 200's</t>
  </si>
  <si>
    <t>Trash Bag Biodegradable XL 30 x 37 Yellow x 200's</t>
  </si>
  <si>
    <t xml:space="preserve">MEGAPHONE </t>
  </si>
  <si>
    <t>HARDHAT WITH HEADLIGHT</t>
  </si>
  <si>
    <t xml:space="preserve">HARDHAT </t>
  </si>
  <si>
    <t>RECHARGEABLE FLASHLIGHT</t>
  </si>
  <si>
    <t>PLASTIC STORAGE BOX,  25L, WHITE</t>
  </si>
  <si>
    <t>PLASTIC STORAGE BOX , 105L, WHITE</t>
  </si>
  <si>
    <t>PLASTIC GARBAGE BIN WITH SWING COVER, 30L, BLACK</t>
  </si>
  <si>
    <t xml:space="preserve">PLASTIC GARBAGE BIN WITH SWING COVER, 30L, GREEN </t>
  </si>
  <si>
    <t>PLASTIC GARBAGE BIN WITH SWING COVER, 30L, YELLOW</t>
  </si>
  <si>
    <t>STEEL CABINET</t>
  </si>
  <si>
    <t>STEEL RACK</t>
  </si>
  <si>
    <t>FOLDABLE  TABLE</t>
  </si>
  <si>
    <t>OFFICE TABLE</t>
  </si>
  <si>
    <t>OFFICE CHAIR</t>
  </si>
  <si>
    <t>OFFICE CABINET</t>
  </si>
  <si>
    <t>LOCKER CABINET</t>
  </si>
  <si>
    <t>REFRIGERATOR</t>
  </si>
  <si>
    <t>WHISTLES</t>
  </si>
  <si>
    <t>COTBED</t>
  </si>
  <si>
    <t>2 WAY HANDHELD RADIO  10's</t>
  </si>
  <si>
    <t xml:space="preserve">GO BAG  </t>
  </si>
  <si>
    <t>SPEAKER WITH MICROPHONE</t>
  </si>
  <si>
    <t>Liquid Laundry Detergent Soap, 2.16kg</t>
  </si>
  <si>
    <t>HOMIS SUPPLIES</t>
  </si>
  <si>
    <t>External Hard Drive  1TB</t>
  </si>
  <si>
    <t>Computer Printer ( 3 in 1)</t>
  </si>
  <si>
    <t>CAT. 6 UTP</t>
  </si>
  <si>
    <t>Cat 6 Outdoor Ethernet Cable 305m</t>
  </si>
  <si>
    <t>Outdoor fiber Cable 300M</t>
  </si>
  <si>
    <t>Rj45 Connector</t>
  </si>
  <si>
    <t>No more nails 100g</t>
  </si>
  <si>
    <t>Rj45 Kewystone jack Cat6</t>
  </si>
  <si>
    <t>86-Type PVC Internet Mount Adjustable Junction Box</t>
  </si>
  <si>
    <t>Network Cable Tester, USB Charging, Test on PoE, NCV, Ethernet Port, Flashing, Crimping checking, LAN Cable Tracer Kit</t>
  </si>
  <si>
    <t>Fiber Optic Tool Kit with Fiber Cleaver 15km All in One Optical Power Meter 70 +10dbm Visual Fault Locator Tester</t>
  </si>
  <si>
    <t xml:space="preserve">                                         -   </t>
  </si>
  <si>
    <t>600 case</t>
  </si>
  <si>
    <t>150 piece</t>
  </si>
  <si>
    <t>200 piece</t>
  </si>
  <si>
    <t>20 piece</t>
  </si>
  <si>
    <t>90 case</t>
  </si>
  <si>
    <t>3000 sachet</t>
  </si>
  <si>
    <t>900 sachet</t>
  </si>
  <si>
    <t>250 tin</t>
  </si>
  <si>
    <t>60 gallon</t>
  </si>
  <si>
    <t>108 cylinder</t>
  </si>
  <si>
    <t xml:space="preserve"> 12 gallon</t>
  </si>
  <si>
    <t>1000 piece</t>
  </si>
  <si>
    <t>2000 piece</t>
  </si>
  <si>
    <t>15 bundle</t>
  </si>
  <si>
    <t>50 bundle</t>
  </si>
  <si>
    <t>7 piece</t>
  </si>
  <si>
    <t>40 piece</t>
  </si>
  <si>
    <t>5 piece</t>
  </si>
  <si>
    <t>41 piece</t>
  </si>
  <si>
    <t>4 piece</t>
  </si>
  <si>
    <t>3 piece</t>
  </si>
  <si>
    <t>10 piece</t>
  </si>
  <si>
    <t>1 piece</t>
  </si>
  <si>
    <t>60 piece</t>
  </si>
  <si>
    <t>50 piece</t>
  </si>
  <si>
    <t>164 gallon</t>
  </si>
  <si>
    <t>To provide additional and replacement ICT equipment to support the Hospital MIS, improve data management and communication processes, enhance operational capacity, and strengthen the quality and responsiveness of healthcare system</t>
  </si>
  <si>
    <t>Information and Communication Technology Equipment</t>
  </si>
  <si>
    <t>Supply, Delivery, Installation of Closed Circuit Television (CCTV)</t>
  </si>
  <si>
    <t>May-June, 2026</t>
  </si>
  <si>
    <t>DHCP Server</t>
  </si>
  <si>
    <t xml:space="preserve">    - Windows Server 2025 Standard</t>
  </si>
  <si>
    <t xml:space="preserve">   - HWIS- Installation, Copnfiguration, testing, Documentation, and Knowledge Transfer</t>
  </si>
  <si>
    <t xml:space="preserve">    - HWIS - Support</t>
  </si>
  <si>
    <t>I-HOMIS SERVER</t>
  </si>
  <si>
    <t xml:space="preserve"> - Main Server </t>
  </si>
  <si>
    <t xml:space="preserve"> - Microsoft SQL Server</t>
  </si>
  <si>
    <t>- Windows Server 2025 Standard</t>
  </si>
  <si>
    <t xml:space="preserve">   - Installation, Copnfiguration, testing, Documentation, and Knowledge Transfer</t>
  </si>
  <si>
    <t>- Technical Support</t>
  </si>
  <si>
    <t>1 LOT</t>
  </si>
  <si>
    <t>Provision of Quarterly Medical, Dental, and Ophtha Supplies  for DOPMC to ensure their  continuous availability , promote better health outcomes, enhance the quality and responsiveness of healthcare system.</t>
  </si>
  <si>
    <t>Medical, Dental, and Ophtha Supplies</t>
  </si>
  <si>
    <t xml:space="preserve">Roll </t>
  </si>
  <si>
    <t>Absorbent Cotton 400g (Packed Individually)</t>
  </si>
  <si>
    <t>Gallon</t>
  </si>
  <si>
    <t>Alcohol 70% Ethyl 3.785L</t>
  </si>
  <si>
    <t>Alcohol Based Solution for Surgical and Hygienic Hand Disinfection with Active Ingredients Against Bacteria, Fungi and Viruses</t>
  </si>
  <si>
    <t>Alcohol Based Operative Solution for Surgical and Hygienic Hand Disinfectant for Scrubbing/Operative use</t>
  </si>
  <si>
    <t>Autoclave Tape / Indicator Tape 1"x60yd (Packed Individually, Indicator Should be Clearly Seen Once Items are Sterilized &amp; it Should Last a Month)</t>
  </si>
  <si>
    <t>Bacterial Filter for Ventilator</t>
  </si>
  <si>
    <t>Piece</t>
  </si>
  <si>
    <t>Blood Transfusion Set(Sterile, Packed Individually, Non-toxic, Non- pyrogenic, w/ Luer lock &amp; injection Port)</t>
  </si>
  <si>
    <t xml:space="preserve">Bone Wax  </t>
  </si>
  <si>
    <t>Bouffant Cap Spaghetti Type x 100's</t>
  </si>
  <si>
    <t>Breathing/Ventilator Circuit Adult, Universal Wye Adaptor, 22mm corrugated tubing, 1.6m corrugated circuit, Connector and Water Trap w/ Nebulizer</t>
  </si>
  <si>
    <t>Breathing/Ventilator Circuit Pedia, Universal Wye Adaptor, 22mm corrugated tubing, 1.6m corrugated circuit, Connector and Water Trap w/ Nebulizer</t>
  </si>
  <si>
    <t>Breathing/Ventilator Circuit Neonatal, Universal Wye Adaptor, 22mm corrugated tubing, 1.6m corrugated circuit, Connector and Water Trap w/ Nebulizer</t>
  </si>
  <si>
    <t>Cautery Pencil w/ Removable Tip</t>
  </si>
  <si>
    <t xml:space="preserve">Cautery Plate </t>
  </si>
  <si>
    <t>Cigarette Rubber Drain 1/8"x18"</t>
  </si>
  <si>
    <t>Colostomy Bag/Set 57mm</t>
  </si>
  <si>
    <t>Cotton Tipped Applicator x 100's Sterile</t>
  </si>
  <si>
    <t>Decontaminating Mat 90x115cm x 30's</t>
  </si>
  <si>
    <t>Disposable Medical Apron</t>
  </si>
  <si>
    <t>Disposable Prep Razor Single Edge (Packed Individually w/ Superior Sharpness of Blade)</t>
  </si>
  <si>
    <t>Distilled/Sterile Water for Injection 50ml</t>
  </si>
  <si>
    <t>ECG Tracing Paper 80mmx20m</t>
  </si>
  <si>
    <t>Elastic Bandage 2"x5yd (Packed Individually)</t>
  </si>
  <si>
    <t>Elastic Bandage 4"x5yd (Packed Individually)</t>
  </si>
  <si>
    <t>Elastic Bandage 6"x5yd (Packed Individually)</t>
  </si>
  <si>
    <t>Electrodes Red Dot, Adult x 50's</t>
  </si>
  <si>
    <t>Endotracheal Tube Uncuffed # 2.0 with pre loaded stylet, Thermosensitive PVC w/ radiopaque line for easy x-ray verification of placement, Clear markings for accurate positioning, Kink-resistant shaft and 15mm connector for universal circuit fitting (Sterile, Packed Individually, Non-toxic, Non- pyrogenic)</t>
  </si>
  <si>
    <t>Endotracheal Tube Uncuffed # 2.5 with pre loaded stylet, Thermosensitive PVC w/ radiopaque line for easy x-ray verification of placement, Clear markings for accurate positioning, Kink-resistant shaft and 15mm connector for universal circuit fitting (Sterile, Packed Individually, Non-toxic, Non- pyrogenic)</t>
  </si>
  <si>
    <t>Endotracheal Tube Uncuffed # 3.0 with pre loaded stylet, Thermosensitive PVC w/ radiopaque line for easy x-ray verification of placement, Clear markings for accurate positioning, Kink-resistant shaft and 15mm connector for universal circuit fitting (Sterile, Packed Individually, Non-toxic, Non- pyrogenic)</t>
  </si>
  <si>
    <t>Endotracheal Tube Uncuffed # 3.5 with pre loaded stylet, Thermosensitive PVC w/ radiopaque line for easy x-ray verification of placement, Clear markings for accurate positioning, Kink-resistant shaft and 15mm connector for universal circuit fitting (Sterile, Packed Individually, Non-toxic, Non- pyrogenic)</t>
  </si>
  <si>
    <t>Endotracheal Tube Uncuffed # 4.0 with pre loaded stylet, Thermosensitive PVC w/ radiopaque line for easy x-ray verification of placement, Clear markings for accurate positioning, Kink-resistant shaft and 15mm connector for universal circuit fitting (Sterile, Packed Individually, Non-toxic, Non- pyrogenic)</t>
  </si>
  <si>
    <t>Endotracheal Tube Uncuffed # 4.5 with pre loaded stylet, Thermosensitive PVC w/ radiopaque line for easy x-ray verification of placement, Clear markings for accurate positioning, Kink-resistant shaft and 15mm connector for universal circuit fitting (Sterile, Packed Individually, Non-toxic, Non- pyrogenic)</t>
  </si>
  <si>
    <t>Endotracheal Tube Uncuffed # 5.0 with pre loaded stylet, Thermosensitive PVC w/ radiopaque line for easy x-ray verification of placement, Clear markings for accurate positioning, Kink-resistant shaft and 15mm connector for universal circuit fitting (Sterile, Packed Individually, Non-toxic, Non- pyrogenic)</t>
  </si>
  <si>
    <t>Endotracheal Tube Cuffed # 5.5 Thermosensitive PVC w/ radiopaque line for easy x-ray verification of placement, Clear markings for accurate positioning, Kink-resistant shaft and 15mm connector for universal circuit fitting (Sterile, Packed Individually, Non-toxic, Non- pyrogenic)</t>
  </si>
  <si>
    <t>Endotracheal Tube Cuffed # 6.0 Thermosensitive PVC w/ radiopaque line for easy x-ray verification of placement, Clear markings for accurate positioning, Kink-resistant shaft and 15mm connector for universal circuit fitting (Sterile, Packed Individually, Non-toxic, Non- pyrogenic)</t>
  </si>
  <si>
    <t>Endotracheal Tube Cuffed # 6.5 Thermosensitive PVC w/ radiopaque line for easy x-ray verification of placement, Clear markings for accurate positioning, Kink-resistant shaft and 15mm connector for universal circuit fitting (Sterile, Packed Individually, Non-toxic, Non- pyrogenic)</t>
  </si>
  <si>
    <t>Endotracheal Tube Cuffed # 7.0 Thermosensitive PVC w/ radiopaque line for easy x-ray verification of placement, Clear markings for accurate positioning, Kink-resistant shaft and 15mm connector for universal circuit fitting (Sterile, Packed Individually, Non-toxic, Non- pyrogenic)</t>
  </si>
  <si>
    <t>Endotracheal Tube Cuffed # 7.5 Thermosensitive PVC w/ radiopaque line for easy x-ray verification of placement, Clear markings for accurate positioning, Kink-resistant shaft and 15mm connector for universal circuit fitting (Sterile, Packed Individually, Non-toxic, Non- pyrogenic)</t>
  </si>
  <si>
    <t>Endotracheal Tube Cuffed # 8.0 Thermosensitive PVC w/ radiopaque line for easy x-ray verification of placement, Clear markings for accurate positioning, Kink-resistant shaft and 15mm connector for universal circuit fitting (Sterile, Packed Individually, Non-toxic, Non- pyrogenic)</t>
  </si>
  <si>
    <t>Extension Tubing 100cm</t>
  </si>
  <si>
    <t>Extension Tubing, 3-Way, w/ Needleless Connector, Tri-Lumen</t>
  </si>
  <si>
    <t>Foley 2 Way Latex Balloon Catheter Fr.14 (Sterile, Packed Individually, Non-toxic, Non- pyrogenic)</t>
  </si>
  <si>
    <t>Foley 2 Way Latex Balloon Catheter Fr.16 (Sterile, Packed Individually, Non-toxic, Non- pyrogenic)</t>
  </si>
  <si>
    <t>Gauze Roll 2Ply 24x28 Fine Mesh 36"x100yd w/ X-ray Detectable (Packed Individually)</t>
  </si>
  <si>
    <t>Guedel Airway #2 Green (Sterile, Packed Individually, Non-toxic, Non- pyrogenic)</t>
  </si>
  <si>
    <t>Guedel Airway #3 Yellow (Sterile, Packed Individually, Non-toxic, Non- pyrogenic)</t>
  </si>
  <si>
    <t>Guedel Airway #4 Orange (Sterile, Packed Individually, Non-toxic, Non- pyrogenic)</t>
  </si>
  <si>
    <t>Heplock Needleless/Needle Free</t>
  </si>
  <si>
    <t>Hypo-Allergenic Plaster 1"x10yd x 12's (With Strong Adhesive Feature)</t>
  </si>
  <si>
    <t>Hypo-Dental Needle Short G.27 x 100's(Sterile, Packed Individually, Non-toxic, Non- pyrogenic)</t>
  </si>
  <si>
    <t>Hypo-Dental Needle Long G.27 x 100's(Sterile, Packed Individually, Non-toxic, Non- pyrogenic)</t>
  </si>
  <si>
    <t>Hypo-Dental Needle Short G.30 x 100's(Sterile, Packed Individually, Non-toxic, Non- pyrogenic)</t>
  </si>
  <si>
    <t>Hypo-Dental Needle Long G.30 x 100's(Sterile, Packed Individually, Non-toxic, Non- pyrogenic)</t>
  </si>
  <si>
    <t>Hypodermic Needle G.18x100's (Sterile, Packed Individually, Non-toxic, Non- pyrogenic)</t>
  </si>
  <si>
    <t>Hypodermic Needle G.19x100's (Sterile, Packed Individually, Non-toxic, Non- pyrogenic)</t>
  </si>
  <si>
    <t>Hypodermic Needle G.21x100's (Sterile, Packed Individually, Non-toxic, Non- pyrogenic)</t>
  </si>
  <si>
    <t>Hypodermic Needle G.23x100's (Sterile, Packed Individually, Non-toxic, Non- pyrogenic)</t>
  </si>
  <si>
    <t>Hypodermic Needle G.26x100's (Sterile, Packed Individually, Non-toxic, Non- pyrogenic)</t>
  </si>
  <si>
    <t>Infusion Set with Burette 150cc (Sterile, Packed Individually, Non-toxic, Non-pyrogenic)</t>
  </si>
  <si>
    <t>IV Cannula G.16 x 1 3/4 for Thora</t>
  </si>
  <si>
    <t xml:space="preserve">IV Cannula G.18(Winged and with Safety Features, Sterile, Packed Individually, Non-toxic, Non-pyrogenic, w/ Superior Sharpness of Needle w/c Requires Less Force Needed to Penetrate the Skin) </t>
  </si>
  <si>
    <t>IV Cannula G. 18, Operative use</t>
  </si>
  <si>
    <t xml:space="preserve">IV Cannula G.20(Winged and with Safety Features, Sterile, Packed Individually, Non-toxic, Non-pyrogenic, w/ Superior Sharpness of Needle w/c Requires Less Force Needed to Penetrate the Skin) </t>
  </si>
  <si>
    <t>IV Cannula G. 20, Operative use</t>
  </si>
  <si>
    <t>IV Cannula G.24(Winged and with Safety Features, Sterile, Packed Individually, Non-toxic, Non-pyrogenic, w/ Superior Sharpness of Needle w/c Requires Less Force Needed to Penetrate the Skin Especially in Neonates &amp; Infants)</t>
  </si>
  <si>
    <t>IV Cannula G.26(Winged and with Safety Features, Sterile, Packed Individually, Non-toxic, Non-pyrogenic, w/ Superior Sharpness of Needle w/c Requires Less Force Needed to Penetrate the Skin Especially in Neonates &amp; Infants)</t>
  </si>
  <si>
    <t>IV Tubing Macrodrip(Sterile, Packed Individually, Non-toxic, Non- pyrogenic, w/ Flow Regulator)</t>
  </si>
  <si>
    <t>IV Tubing Microdrip(Sterile, Packed Individually, Non-toxic, Non- pyrogenic, w/ Flow Regulator)</t>
  </si>
  <si>
    <t>Lubricating Gel 5g x 150's</t>
  </si>
  <si>
    <t>Nasal Oxygen Cannula Adult (Sterile, Packed Individually, Non-toxic, Non- pyrogenic)</t>
  </si>
  <si>
    <t>Nasal Oxygen Cannula Pedia (Sterile, Packed Individually, Non-toxic, Non- pyrogenic)</t>
  </si>
  <si>
    <t>Nasal Oxygen Cannula Neonate (Sterile, Packed Individually, Non-toxic, Non- pyrogenic)</t>
  </si>
  <si>
    <t>Nasogastric/Feeding Tube Fr. 12(Sterile, Packed Individually, Non-toxic, Non- pyrogenic, Pliable w/c Provides Ease of Insertion) 100cm length</t>
  </si>
  <si>
    <t>Nasogastric/Feeding Tube Fr.10 (Sterile, Packed Individually, Non-toxic, Non- pyrogenic, Pliable w/c Provides Ease of Insertion) 100cm length</t>
  </si>
  <si>
    <t>Nasogastric/Feeding Tube Fr.14 (Sterile, Packed Individually, Non-toxic, Non- pyrogenic, Pliable w/c Provides Ease of Insertion) 100cm length</t>
  </si>
  <si>
    <t>Nasogastric/Feeding Tube Fr.16 Silicon (Sterile, Packed Individually, Non-toxic, Non- pyrogenic, Pliable w/c Provides Ease of Insertion) 100cm length</t>
  </si>
  <si>
    <t>Nasogastric/Feeding Tube Fr.18 (Sterile, Packed Individually, Non-toxic, Non- pyrogenic, Pliable w/c Provides Ease of Insertion) 100cm length</t>
  </si>
  <si>
    <t>Nasogastric/Feeding Tube Fr.5 (Sterile, Packed Individually, Non-toxic, Non- pyrogenic, Pliable w/c Provides Ease of Insertion) 100cm length, color-yellow</t>
  </si>
  <si>
    <t>Nasogastric/Feeding Tube Fr.8 (Sterile, Packed Individually, Non-toxic, Non- pyrogenic, Pliable w/c Provides Ease of Insertion) 100cm length</t>
  </si>
  <si>
    <t>Non-abrasive ID Band Adult  Blue x 100's</t>
  </si>
  <si>
    <t>Non-abrasive ID Band Adult  Green x 100's</t>
  </si>
  <si>
    <t>Non-abrasive ID Band Adult  Orange x 100's</t>
  </si>
  <si>
    <t>Non-abrasive ID Band Adult  Red x 100's</t>
  </si>
  <si>
    <t>Non-abrasive ID Band Adult Yellow x 100's</t>
  </si>
  <si>
    <t>Non-abrasive ID Band Adult White x 100's</t>
  </si>
  <si>
    <t>Non-abrasive ID Band Pedia Blue x 100's</t>
  </si>
  <si>
    <t>Non-abrasive ID Band Pedia Pink x 100's</t>
  </si>
  <si>
    <t>Non-Rebreather Mask Adult</t>
  </si>
  <si>
    <t>Oxygen Face Mask Adult (Sterile, Packed Individually, Non-toxic, Non- pyrogenic)</t>
  </si>
  <si>
    <t>Oxygen Face Mask Newborn/Neonate (Sterile, Packed Individually, Non-toxic, Non- pyrogenic)</t>
  </si>
  <si>
    <t>Oxygen Face Mask Pedia (Sterile, Packed Individually, Non-toxic, Non- pyrogenic)</t>
  </si>
  <si>
    <t>Oxygen Water Humidifier 340ml (Packed Individually)</t>
  </si>
  <si>
    <t>Pack Blue Wrapper 90x90x150's</t>
  </si>
  <si>
    <t>Pack Blue Wrapper 120x120x200's</t>
  </si>
  <si>
    <t>Plaster of Paris 4"x5yd (Sterile, Packed Individually, Non-toxic, Non- pyrogenic)</t>
  </si>
  <si>
    <t>Plaster of Paris 6"x5yd (Sterile, Packed Individually, Non-toxic, Non- pyrogenic)</t>
  </si>
  <si>
    <t>Polypropylene Mesh 3x6mm</t>
  </si>
  <si>
    <t>Povidone Iodine Antiseptic 10% 3.785liter</t>
  </si>
  <si>
    <t>Power Injector for CT Scan, Disposable Single Syringe Kit 200ml for NEMOTO SSA with serial number NCB10157G</t>
  </si>
  <si>
    <t>Pulmo-Nebulizing Kit w/ Mask Adult</t>
  </si>
  <si>
    <t>Pulmo-Nebulizing Kit w/ Mask Pedia</t>
  </si>
  <si>
    <t>Pulmo-Nebulizing Kit w/ Mouth Piece</t>
  </si>
  <si>
    <t>Skin Stapler (Sterile, Packed Individually)</t>
  </si>
  <si>
    <t>Pail</t>
  </si>
  <si>
    <t>Soda Lime 2.5-5.0mm (Carbon Dioxide Absorbent; Whitte to Violet; Net Wt.: 37lb; Gross Wt.: 40lb)</t>
  </si>
  <si>
    <t>Solution for Cleaning Instruments 1L</t>
  </si>
  <si>
    <t>Solution for Cleaning and disinfecting Instruments 1L</t>
  </si>
  <si>
    <t>Solution for Neutralizing Instruments for Treatment 1L</t>
  </si>
  <si>
    <t>Solution for Pre Cleaning 500mg x 2's</t>
  </si>
  <si>
    <t>Solution for Removal of Silicate Coatings, Discoloration, Deposit Rust ad Corrosion, and Passivation, Maintenance of Condem Instruments x 1L</t>
  </si>
  <si>
    <t>Solution for Soaking Instruments 1liter (Aldehyde Free)</t>
  </si>
  <si>
    <t>Sterilization Reel (Flat) 5cm x 200m</t>
  </si>
  <si>
    <t>Sterilization Reel (Flat) 7.5cm x 200m</t>
  </si>
  <si>
    <t>Sterilization Reel (Flat) 10cm x 200m</t>
  </si>
  <si>
    <t>Sterilization Reel (Flat) 15cm x 200m</t>
  </si>
  <si>
    <t>Sterilization Reel (Flat) 20cm x 200m</t>
  </si>
  <si>
    <t>Sterilization Reel (Flat) 25cm x 200m</t>
  </si>
  <si>
    <t>Sterilization Reel (Flat) 30cm x 200m</t>
  </si>
  <si>
    <t>Sterilization Reel (Flat) 35cm x 200m</t>
  </si>
  <si>
    <t>Sterilization Reel (Flat) 40cm x 200m</t>
  </si>
  <si>
    <t>Sterilization Reel (Gusseted) 75mm x 100m</t>
  </si>
  <si>
    <t>Sterilization Reel (Gusseted) 100mm x 100m</t>
  </si>
  <si>
    <t>Sterilization Reel (Gusseted) 150mm x 100m</t>
  </si>
  <si>
    <t>Sterilization Reel (Gusseted) 200mm x 100m</t>
  </si>
  <si>
    <t>Sterilization Reel (Gusseted) 250mm x 100m</t>
  </si>
  <si>
    <t>Sterilization Reel (Gusseted) 300mm x 100m</t>
  </si>
  <si>
    <t>Sterilization Reel (Gusseted) 350mm x 100m</t>
  </si>
  <si>
    <t>Sterilization Reel (Gusseted) 400mm x 100m</t>
  </si>
  <si>
    <t>Suction Catheter Fr.10 (Sterile, Packed Individually, Non-toxic, Non- pyrogenic)</t>
  </si>
  <si>
    <t>Suction Catheter Fr.12 (Sterile, Packed Individually, Non-toxic, Non- pyrogenic)</t>
  </si>
  <si>
    <t>Suction Catheter Fr.14 (Sterile, Packed Individually, Non-toxic, Non- pyrogenic)</t>
  </si>
  <si>
    <t>Suction Catheter Fr.16 (Sterile, Packed Individually, Non-toxic, Non- pyrogenic)</t>
  </si>
  <si>
    <t xml:space="preserve">Suction Catheter Fr.5 (Sterile, Packed Individually, Non-toxic, Non- pyrogenic)    </t>
  </si>
  <si>
    <r>
      <t>Suction Catheter Fr.8 (Sterile, Packed Individually, Non-toxic, Non- pyrogenic)</t>
    </r>
    <r>
      <rPr>
        <sz val="10"/>
        <color rgb="FFFF0000"/>
        <rFont val="Candara"/>
        <family val="2"/>
      </rPr>
      <t xml:space="preserve"> </t>
    </r>
  </si>
  <si>
    <t>Suction Tubing Set with Fingertip Vacuum Control 1/4 IN. * 3.6M (Sterile, Packed Individually, Non-toxic, Non- pyrogenic)</t>
  </si>
  <si>
    <t>Surgical Gloves Natural Rubber Latex #6.0x50 pairs(Powdered-free (USP), Sterile, Rough surface on palm, anatomic size embossed, packed in pair w/ Durable Rubber Latex)</t>
  </si>
  <si>
    <t>Surgical Gloves Natural Rubber Latex #6.5x50 pairs(Powdered-free (USP), Sterile, Rough surface on palm, anatomic size embossed, packed in pair, w/ Durable Rubber Latex)</t>
  </si>
  <si>
    <t>Surgical Gloves Natural Rubber Latex #7.0x50 pairs(Powdered-free (USP), Sterile, Rough surface on palm, anatomic size embossed, packed in pair, w/ Durable Rubber Latex)</t>
  </si>
  <si>
    <t>Surgical Gloves Natural Rubber Latex #7.5x50 pairs(Powdered-free (USP), Sterile, Rough surface on palm, anatomic size embossed, packed in pair w/ Durable Rubber Latex)</t>
  </si>
  <si>
    <t>Syringe Asepto 50ml Disposable (Sterile, Packed Individually, Non-toxic, Non-pyrogenic)</t>
  </si>
  <si>
    <t>Syringe w/ Needle 10ml Disposable G.21x1.5"x100's(Sterile, Packed Individually, Non-toxic, Non-pyrogenic) Air Tight Plunger</t>
  </si>
  <si>
    <t>Syringe w/ Needle 1ml Disposable G.25x5/8"x100's(Sterile, Packed Individually, Non-toxic, Non-pyrogenic) Air Tight Plunger</t>
  </si>
  <si>
    <t>Syringe w/ Needle 3ml Disposable G. 23 x1"x100's (Sterile, Packed Individually, Non-toxic, Non-pyrogenic) Air Tight Plunger</t>
  </si>
  <si>
    <t>Syringe w/ Needle 5ml Disposable G.23x1"x100's(Sterile, Packed Individually, Non-toxic, Non-pyrogenic) Air Tight Plunger</t>
  </si>
  <si>
    <t>Thermal Paper for Video Printer 110mm x 18m (high glossy) for Ultrasound</t>
  </si>
  <si>
    <t>Tongue Wooden Depressor x 100's (Sterile, Individually Packed)</t>
  </si>
  <si>
    <t>Umbilical Cord Clamp x 100's , Durable plastic w/ double lock sterilized w/ ethylene oxide gas non pyrogenic, non-fever causing and non-pus forming (Sterile, Packed Individually w/ Strong Lock Feature, Non-toxic, Non-pyrogenic)</t>
  </si>
  <si>
    <t>Urine Bag Adult 2000cc</t>
  </si>
  <si>
    <t>Urine Collector Pedia</t>
  </si>
  <si>
    <t>Wadding Cotton Sheet 5"x6yd</t>
  </si>
  <si>
    <t>Working Gloves Nitrile Large x 50pairs (Non-powdered)</t>
  </si>
  <si>
    <t>Working Gloves Nitrile Medium x 50 pairs (Non-powdered)</t>
  </si>
  <si>
    <t>Working Gloves Nitrile Small x 50 pairs (Non-powdered)</t>
  </si>
  <si>
    <t>Poliglecaprone 25 0 (36mm 1/2c Taper;90cm, Sterile, Packed Individually)</t>
  </si>
  <si>
    <t>Poliglecaprone 25 1 (36mm 1/2c Taper;90cm, Sterile, Packed Individually)</t>
  </si>
  <si>
    <t>Poliglecaprone 25 3-0 (Sterile, Packed Individually)</t>
  </si>
  <si>
    <t>Polypropylene 2-0 With Needle Cutting Edge (26mm Round Bodied;45cm, Sterile, Packed Individually)</t>
  </si>
  <si>
    <t>Polypropylene 3-0 With Needle Cutting Edge (26mm Round Bodied;45cm, Sterile, Packed Individually)</t>
  </si>
  <si>
    <t>Polypropylene 4-0 With Needle Cutting Edge (16mm Round Bodied;45cm, Sterile, Packed Individually)</t>
  </si>
  <si>
    <t>Polypropylene 0 With Needle Taper point (36mm Round Bodied;75cm, Sterile, Packed Individually)</t>
  </si>
  <si>
    <t>Polypropylene 2-0 With  Needle taper Point  (31mm Round Bodied;75cm, Sterile, Packed Individually)</t>
  </si>
  <si>
    <t>Polypropylene 3-0 With  Needle taper Point Edge (31mm Round Bodied;75cm, Sterile, Packed Individually)</t>
  </si>
  <si>
    <t>Polypropylene 4-0 With Needle (45cm; 17mm Round Bodied; Sterile, Packed Individually)</t>
  </si>
  <si>
    <t>Polyglactin 910 0 w/ Needle Round Triclosan synthetic braided absorbable suture (90cm; 36mm Sterile, Packed Individually)</t>
  </si>
  <si>
    <t xml:space="preserve">Polyglactin 910 1 w/ Needle Round Triclosan synthetic braided absorbable suture (Coated;40mm; 90cm, Sterile, Packed Individually) CT PLUS VIOLET ROUND                                             </t>
  </si>
  <si>
    <t>Polyglactin 910 2-0 w/ Needle Round Triclosan synthetic braided absorbable suture (Coated; 70cm; 26mm, Sterile, Packed individually)</t>
  </si>
  <si>
    <t>Polyglactin 910 2-0 w/ Needle Round Triclosan synthetic braided absorbable suture (Coated; 90cm; 36mm, Sterile, Packed individually)</t>
  </si>
  <si>
    <t>Polyglactin 910 3-0 w/ Needle Triclosan synthetic braided absorbable suture (Coated;26mm; 70cm, Sterile, Packed Individually)</t>
  </si>
  <si>
    <t>Polyglactin 910 4-0 w/ Needle Round Triclosan synthetic braided absorbable suture (Coated; 22mm; 70cm, Sterile, Packed Individually)</t>
  </si>
  <si>
    <t>Polyglactin 910 5-0 w/ Needle Round (Coated;17mm; 70cm, Sterile, Packed Individually)</t>
  </si>
  <si>
    <t>Polyglactin 910 2-0 1/2 Circle Round Bodied Needle 37mm Heavy Needle, 90cm with Polyglactin 370+ Calcium Stearate Coating, Short Term Absorbable Synthetic Braided Suture x 36's</t>
  </si>
  <si>
    <t>Silk Non-absorbable Surgical Suture 1 Strand 15x60cm x 24's (Braided, Coated, Non-absorbable Surgical Suture, Sterile, Packed Individually)</t>
  </si>
  <si>
    <t>Silk Non-absorbable Surgical Suture 3-0 Cutting Edge DS24 75cm x 36's (Braided, Coated, Non-absorbable Surgical Suture, Sterile, Packed Individually)</t>
  </si>
  <si>
    <t>Silk Non-absorbable Surgical Suture 4-0 Cutting Edge DS19 45cm x 36's (Braided, Coated, Non-absorbable Surgical Suture, Sterile, Packed Individually)</t>
  </si>
  <si>
    <t>Chromic 0 HR26 (76cm, 26mm, 1/2 circle round bodied, absorbable cut-gut sutures)</t>
  </si>
  <si>
    <t>Chromic 2.0 HR26 (76cm, 36mm, 1/2 circle round bodied, absorbable cut-gut sutures, box of 12)</t>
  </si>
  <si>
    <t>Chromic 1.0 HR40 (76cm, 40mm, 1/2 circle round bodied, absorbable cut-gut sutures, box of 12)</t>
  </si>
  <si>
    <t>Chromic 3.0 HR26 (76cm, 26mm, 1/2 circle round bodied, absorbable cut-gut sutures box of 12)</t>
  </si>
  <si>
    <t>Orthopedic Implant</t>
  </si>
  <si>
    <t>Periodic Procurement of  Medical, Dental, and Ophtha Supplies  for DOPMC to ensure their  uninterrupted  availability,   promote better health outcomes, enhance the quality and responsiveness of healthcare system.</t>
  </si>
  <si>
    <t>Disposable Bedsheet Mechanical Bed 70x23 with Pillowcase</t>
  </si>
  <si>
    <t>Disposable Bedsheet Stretcher Bed 74x35</t>
  </si>
  <si>
    <t>Disposable Isolation Gown Universal Size</t>
  </si>
  <si>
    <t>Gauze Sponge Pre-Cut 4x4x8 x 100's Nonsterile</t>
  </si>
  <si>
    <t>Ice Cap 6"</t>
  </si>
  <si>
    <t>Povidone Iodine Skin Cleanser 7.5% 3.785liter</t>
  </si>
  <si>
    <t>Syringe w/ Needle Insulin .5ml Disposable G.30x8mmx100's (Sterile, Packed Individually, Non-toxic, Non-pyrogenic, w/ Superior Sharpness of Needle)</t>
  </si>
  <si>
    <t>Underpads 80x180 (BLUE)</t>
  </si>
  <si>
    <t>Wipes - Fast-Acting Alcoholic Surface Disinfection Ready-to-Use Surface Disinfection of Alcohol Sensitive Surfaces Based on N-Propanol and Quaternary Ammonium Compund Active Against Bacteria, Mycobacteria (M. Terrae), Fungi, Viruses (HIV/HBV/HCV), Adeno-, Noro-, Polyoma-, Rotavirus x 100's</t>
  </si>
  <si>
    <t>IV Stand w/ wheels, adjustable height with four hooks</t>
  </si>
  <si>
    <t>Stethoscope, Classic III, high quality sensitivity, dual single-piece tunable diaphragms, versatile adult and pediatric two sided chestpiece and snap tight soft sealing eartips</t>
  </si>
  <si>
    <t>Patient Wheelchair</t>
  </si>
  <si>
    <t>G.22 x 0.1 inch Safety-engineered catheter with integrated extension set and clamp, with teardrop holes catheter tip fenestrations compatible with power injection up to 325psi and maximum power injectio flow rate of 3ml/second</t>
  </si>
  <si>
    <t>G.24 x 0.75 inch Safety-engineered catheter with integrated extension set and clamp, with teardrop holes catheter tip fenestrations compatible with power injection up to 325psi and maximum power injectio flow rate of 3ml/second</t>
  </si>
  <si>
    <t>Nebulizing Machine</t>
  </si>
  <si>
    <t>BP Apparatus Heavy Duty Desk Type</t>
  </si>
  <si>
    <t>Digital Finger Tip Pulse Oximeter Adult</t>
  </si>
  <si>
    <t>Digital Finger Tip Pulse Oximeter Pedia</t>
  </si>
  <si>
    <t>Weighing Scale for Infant</t>
  </si>
  <si>
    <t>Bathroom Weighing Scale</t>
  </si>
  <si>
    <t>Oxygen Gauge Regulator</t>
  </si>
  <si>
    <t>Pulse Oximeter Adult (Digital)</t>
  </si>
  <si>
    <t>Pulse Oximeter Pedia (Digital)</t>
  </si>
  <si>
    <t>Plaster Assorted Hospital Size (4pcs-1.25cm;3pcs-2.5cm;2pcs-5cm;1pc-7.5cm, Strong Adhesive Feature)</t>
  </si>
  <si>
    <t>Sterile Stainless Steel Disposable Surgical Blade #11 (Foiled Packed Individually w/ Superior Sharpness of Blade)</t>
  </si>
  <si>
    <t>Emergency Procurement of Medical, Dental, and Ophtha Supplies for DOPMC, to address unforseen emergency cases, improve health outcomes, and support quality, responsive, and equitable healthcare system.</t>
  </si>
  <si>
    <t xml:space="preserve">IV Cannula G.22(Winged and with Safety Features, Sterile, Packed Individually, Non-toxic, Non-pyrogenic, w/ Superior Sharpness of Needle w/c Requires Less Force Needed to Penetrate the Skin) </t>
  </si>
  <si>
    <t>Pack Laparotomy Complete Set</t>
  </si>
  <si>
    <t>Sphygmomanometer Wheeled Stand Type Heavyduty w/ Adult, Pedia and Newborn Cuff, Meets the American National Standard ANSI/AAMI SP-10 for accuracy and performance. Low reflection, high contrast scale and red pointer to increase visibility and reduce parallax error. Diecast aluminum 5-wheel base (20" dig.) with casters and 2lb cast iron weight for increased stability. Manometer housing is mounted at a 20" angle for ease of viewing. Heavy gauge machine aluminum tubing with large circulation basket for cuff holder.</t>
  </si>
  <si>
    <t>Crile -Murray Needle Holder Slender Pattern Cross Serrated Jaw Straight 6"</t>
  </si>
  <si>
    <t>Lister Bandage Scissors Tungsten Carbide Inserted (TC)  6 3/4"</t>
  </si>
  <si>
    <t>Mayo Dissecting Scissors Curved 6"</t>
  </si>
  <si>
    <t>OPHTHA</t>
  </si>
  <si>
    <t>Hypromellose Opthalmic Solution USP 2%  3ml Pre-filled Syringe (Hydroxy Propyl Methyl Cellulose)</t>
  </si>
  <si>
    <t xml:space="preserve">I &amp; A Simcoe  Gauge 23  </t>
  </si>
  <si>
    <t>Non-woven incise Drip with Collection Bag 101.5x127(40x50")x10's</t>
  </si>
  <si>
    <t>Posterior Chamber Intra - Occular Lens Implant Power + 22.0 with Serial number &amp; stickers</t>
  </si>
  <si>
    <t>Posterior Chamber Intra - Occular Lens Implant Power + 22.5 with Serial number &amp; stickers</t>
  </si>
  <si>
    <t>Posterior Chamber Intra - Occular Lens Implant Power + 23.0 with Serial number &amp; stickers</t>
  </si>
  <si>
    <t>Nucleus Hydrodissector Cannula 40x22mm, 27gx718in</t>
  </si>
  <si>
    <t>Posterior Chamber Intra - Occular Lens Implant Power + 25.0 with Serial number &amp; stickers</t>
  </si>
  <si>
    <t>Posterior Chamber Intra - Occular Lens Implant Power + 17.50 with Serial number &amp; stickers</t>
  </si>
  <si>
    <t>Posterior Chamber Intra - Occular Lens Implant Power + 16.50 with Serial number &amp; stickers</t>
  </si>
  <si>
    <t>Shoe Cover</t>
  </si>
  <si>
    <t>LABORATORY SUPPLIES</t>
  </si>
  <si>
    <t>Provision of laboratory supplies to ensure the continuous availability of reagents for diagnostic services, promote  better health outcomes, enhance the quality and responsiveness of the healthcare system.</t>
  </si>
  <si>
    <t xml:space="preserve"> Blood Collecting Tube Yellow Top (Clot Activator)  glass   13x75mm 4.0 ml  100's</t>
  </si>
  <si>
    <r>
      <t>Blood Collecting Tube EDTA K2</t>
    </r>
    <r>
      <rPr>
        <vertAlign val="subscript"/>
        <sz val="10"/>
        <color rgb="FF000000"/>
        <rFont val="Candara"/>
        <family val="2"/>
      </rPr>
      <t xml:space="preserve"> </t>
    </r>
    <r>
      <rPr>
        <sz val="10"/>
        <color rgb="FF000000"/>
        <rFont val="Candara"/>
        <family val="2"/>
      </rPr>
      <t>GLASS 2.0 ml   13X75mm    100's</t>
    </r>
  </si>
  <si>
    <t>Blood Collecting Tube EDTA K2  0.5 ml  Screw Cap 100's</t>
  </si>
  <si>
    <t>Syringe with needle g 23 x 1   3ml    luer lock     100's</t>
  </si>
  <si>
    <t>Sterile, individually packed, double bevel and ultra-thin wall ,hypodermic  needle w/ superior sharpness for easier skin  penetration especially in neonates and elderly patients and with visible back flow of blood</t>
  </si>
  <si>
    <t xml:space="preserve">Transfer Pipette  plastic  calibrated                3.0 ml      500's  </t>
  </si>
  <si>
    <t>Differential Stain                  4 x 250 ml</t>
  </si>
  <si>
    <t>Gram Stain                           4 x 500 ml</t>
  </si>
  <si>
    <t>AFB Stain                              4 x 500 ml  (hot method)</t>
  </si>
  <si>
    <t>Blood Typing Sera Anti A &amp; B         10 ml</t>
  </si>
  <si>
    <t>Anti -D blood Typing Sera                        10 ml</t>
  </si>
  <si>
    <t>Low Isotonic Solution (LISS)             10 ml</t>
  </si>
  <si>
    <t xml:space="preserve">Orange Glucose drink 75g                       </t>
  </si>
  <si>
    <t>HBA1C  cartridge  (to provide device or machine)</t>
  </si>
  <si>
    <t xml:space="preserve"> Anti human globulin AHG IgG + C3d Gel cards  24's</t>
  </si>
  <si>
    <t>Diluent - 2 Low Isotonic Saline Solution (LISS)      250ml</t>
  </si>
  <si>
    <t>Immunology /Serology</t>
  </si>
  <si>
    <t>kit</t>
  </si>
  <si>
    <t>T3                            100's</t>
  </si>
  <si>
    <t>T4                            100's</t>
  </si>
  <si>
    <t>FT3                          100's</t>
  </si>
  <si>
    <t>TSH                         100's</t>
  </si>
  <si>
    <t>FT4                          100's</t>
  </si>
  <si>
    <t>Starter kit                     (1 kit =  3 x 2x230ml)</t>
  </si>
  <si>
    <t>Reaction Module          (1box=  64x6 cups)</t>
  </si>
  <si>
    <t>Wash Concentrate                  750ml</t>
  </si>
  <si>
    <t>Anti-HBs quantitative  with CPR          100's</t>
  </si>
  <si>
    <t>CA-125                       50's</t>
  </si>
  <si>
    <r>
      <t xml:space="preserve">                B</t>
    </r>
    <r>
      <rPr>
        <b/>
        <sz val="10"/>
        <color rgb="FF000000"/>
        <rFont val="Candara"/>
        <family val="2"/>
      </rPr>
      <t>lood Gas</t>
    </r>
  </si>
  <si>
    <t xml:space="preserve">BG8 cartridge                25's      </t>
  </si>
  <si>
    <t>CP 100 calibrant pack  100 test</t>
  </si>
  <si>
    <t>HEMATOLOGY</t>
  </si>
  <si>
    <t>DS Diluent                       20L</t>
  </si>
  <si>
    <t>M-6FN Dye                     12ml</t>
  </si>
  <si>
    <t>M-6FD Dye                     12ml</t>
  </si>
  <si>
    <t>M-6LN Lyse                   1L</t>
  </si>
  <si>
    <t>M-6LD Lyse                    1l</t>
  </si>
  <si>
    <t xml:space="preserve">Electrolytes </t>
  </si>
  <si>
    <t>Electrolytes Fluid Pack 800ml (Na/K+/Ph/Ca/Cl)or its equivalent</t>
  </si>
  <si>
    <t>Daily Rinse/ Cleaning Solution kit</t>
  </si>
  <si>
    <t xml:space="preserve">Electrolyte Control Tri -Level                          </t>
  </si>
  <si>
    <t>COAGULATION</t>
  </si>
  <si>
    <t>Prothrombin Time              200's</t>
  </si>
  <si>
    <t>Activated Partial Thromboplastin Time             200's</t>
  </si>
  <si>
    <t>Coagulation Control Level 2   powder   12x1ml</t>
  </si>
  <si>
    <t>Measuring cuvettes    200's</t>
  </si>
  <si>
    <t xml:space="preserve"> Blood Collecting Tube Blue Top glass  13x 75mm 1.8ml    100's</t>
  </si>
  <si>
    <t>Syringe with needle g 23 x 1 luer lock      5ml    100's</t>
  </si>
  <si>
    <t>Sterile, individually packed, double bevel and ultra-thin wall ,hypodermic  needle w/ superior sharpness for easier skin  penetration and with visible back flow of blood</t>
  </si>
  <si>
    <t xml:space="preserve"> Glucose  Strips  for neonates   and adult  50's to provide 1 device per 20bxs</t>
  </si>
  <si>
    <r>
      <t xml:space="preserve">                              </t>
    </r>
    <r>
      <rPr>
        <b/>
        <sz val="10"/>
        <color rgb="FF000000"/>
        <rFont val="Candara"/>
        <family val="2"/>
      </rPr>
      <t xml:space="preserve"> Bacteriology</t>
    </r>
  </si>
  <si>
    <t>Amikacin antibiotic disc   30ug</t>
  </si>
  <si>
    <t xml:space="preserve">Amoxicillin Antibiotic disc    </t>
  </si>
  <si>
    <t>Amoxicillin/Clavunalic Antibiotic disc 10ug/20ug</t>
  </si>
  <si>
    <t>Ampicillin Antibiotic disc   10ug</t>
  </si>
  <si>
    <t xml:space="preserve">Ampicillin/Sulbactam Antibiotic disc  </t>
  </si>
  <si>
    <t xml:space="preserve">Azithromycin Antibiotic disc  </t>
  </si>
  <si>
    <t>Aztreonam Antibiotic disc  30ug</t>
  </si>
  <si>
    <t>Cefazolin Antibiotic disc   30ug</t>
  </si>
  <si>
    <t xml:space="preserve">Cefixime Antibiotic disc    </t>
  </si>
  <si>
    <t>Ceftazidime Antibiotic disc  30ug</t>
  </si>
  <si>
    <t>Cefepime Antibiotic disc  30ug</t>
  </si>
  <si>
    <t>Cefotaxime Antibiotic disc   30ug</t>
  </si>
  <si>
    <t>Cefoxitin Antibiotic disc  30ug</t>
  </si>
  <si>
    <t>Ceftriaxone Antibiotic disc   30ug</t>
  </si>
  <si>
    <t>Cefuroxime Antibiotic disc  30ug</t>
  </si>
  <si>
    <t>Ciprofloxacin Anibiotic disc   5ug</t>
  </si>
  <si>
    <t>Clindamycin Antibiotic disc 2ug</t>
  </si>
  <si>
    <t>Erythromycin Antibiotic disc</t>
  </si>
  <si>
    <t>Gentamycin Antibiotic disc   10ug</t>
  </si>
  <si>
    <t>Levofloxacin Antibiotic disc 5ug</t>
  </si>
  <si>
    <t>Linezolid Antibiotic disc   30ug</t>
  </si>
  <si>
    <t xml:space="preserve">Meropenem Antibiotic disc  </t>
  </si>
  <si>
    <t>Minocycline        30ug</t>
  </si>
  <si>
    <t>Nitrofurantoin Antibiotic disc 300ug</t>
  </si>
  <si>
    <t xml:space="preserve">Oxacillin Antibiotic disc    </t>
  </si>
  <si>
    <t>Penicillin Antibiotic disc    10ug</t>
  </si>
  <si>
    <t>Piperacillin/Tazobactam Antibiotic disc  10ug/100ug</t>
  </si>
  <si>
    <t>Rifampicin Antibiotic disc     5ug</t>
  </si>
  <si>
    <t>Streptomycin Antibiotic disc   300ug</t>
  </si>
  <si>
    <t>Tetracycline Antibiotic disc   30ug</t>
  </si>
  <si>
    <t>Tobramycin Antibiotic disc   10ug</t>
  </si>
  <si>
    <t>Vancomycin Antibiotic disc 30ug</t>
  </si>
  <si>
    <t>Trimethoprim/Sulfamethoxazole Antibiotic disc  1.25 / 23.75ug</t>
  </si>
  <si>
    <t>Taxo VX  Factor disc    50disc</t>
  </si>
  <si>
    <t>Taxo V Factor</t>
  </si>
  <si>
    <t>Taxo X Factor</t>
  </si>
  <si>
    <t>Taxo N -Oxidase disc</t>
  </si>
  <si>
    <t>Taxo A -Bacitracin Disc vial</t>
  </si>
  <si>
    <t>Thioglycollate Broth Agar                 500g</t>
  </si>
  <si>
    <t>Mac Conkey Agar                              500g</t>
  </si>
  <si>
    <t>Urea Broth    500g</t>
  </si>
  <si>
    <t>Trypticase Soy Broth       500grm</t>
  </si>
  <si>
    <t>Mueller Hinton Agar        500grm</t>
  </si>
  <si>
    <t>Bile Esculin Agar         500grm</t>
  </si>
  <si>
    <t>Nutrient Agar            500grm</t>
  </si>
  <si>
    <t>Trypticasin  Soy Agar                        500g</t>
  </si>
  <si>
    <t>TCBS Agar                                                  500g</t>
  </si>
  <si>
    <t xml:space="preserve">Alkaline Peptone Water  500grm     </t>
  </si>
  <si>
    <t>Selenite F Broth    Agar  500grm</t>
  </si>
  <si>
    <t>Salmonella Shigella Agar  500grm</t>
  </si>
  <si>
    <t xml:space="preserve">vials </t>
  </si>
  <si>
    <t xml:space="preserve">Rabbit Coagulase Plasma                               5's            </t>
  </si>
  <si>
    <t>ATCC Escherichia Coli 25922</t>
  </si>
  <si>
    <t>ATCC Pseudomonas Aeruginosa 27853</t>
  </si>
  <si>
    <t>ATCC Staphylococcus 25923</t>
  </si>
  <si>
    <t>Mac Farland 0.5</t>
  </si>
  <si>
    <t>Rapid Test Kits</t>
  </si>
  <si>
    <t>Dengue NS1Ag + Ag Combo  cassette                10's</t>
  </si>
  <si>
    <t>Dengue NS1Ag  cassette                                     25's</t>
  </si>
  <si>
    <t>HBsAg strips WHO pre qualified which can detect major  vaccine escape mutants and with analytical sensitivity and specificity of less than or equal to 0.1 IU/ml                                    100's</t>
  </si>
  <si>
    <t xml:space="preserve">Hepatitis A (HAV)   IgG IgM  25's                           </t>
  </si>
  <si>
    <t>Hepatitis C Antibody( HCV Ab)    cassette     30's</t>
  </si>
  <si>
    <t xml:space="preserve">H. Pylori  Antibody test casette   30's            </t>
  </si>
  <si>
    <t>H. Pylori  Stool Antigen                20's</t>
  </si>
  <si>
    <t>Salmonella  Typhi IgG IgM           25's</t>
  </si>
  <si>
    <t xml:space="preserve">Syphilis Multi device cartridge   100's           </t>
  </si>
  <si>
    <t>HCG Test kit  cartridge   40's</t>
  </si>
  <si>
    <t>Fecal Occult Blood               25's</t>
  </si>
  <si>
    <t>Urine Strips               4SG</t>
  </si>
  <si>
    <t>Covid -19 Antigen+flu Rapid Test Device nasopharyngeal 10's</t>
  </si>
  <si>
    <t xml:space="preserve">Blood Chemistry </t>
  </si>
  <si>
    <t xml:space="preserve">bot </t>
  </si>
  <si>
    <t>Control  Sereum Level 1      5ml or equivalent</t>
  </si>
  <si>
    <t>Control Serum Level 2        5ml or equivalent</t>
  </si>
  <si>
    <t>System Calibrator                 5ml or equivalent</t>
  </si>
  <si>
    <t>Wash Solution                  2000ml</t>
  </si>
  <si>
    <t>Cuvettes                           10's</t>
  </si>
  <si>
    <t>HDL Control Serum    5ml</t>
  </si>
  <si>
    <t>HDL Calibrator             3ml</t>
  </si>
  <si>
    <t>Glucose R1 4x40ml / R2 2x20ml  800 Test or better</t>
  </si>
  <si>
    <t>Creatinine Enzymatic R1 4x45ml, R2 4x15ml 1440 tests  or better</t>
  </si>
  <si>
    <t>Urea R1 4x25ml / R2 4x25ml  2480 test or better</t>
  </si>
  <si>
    <t>Uric Acid R1 4x12ml / R2 4x5ml 1000 test or better</t>
  </si>
  <si>
    <t>Total Cholesterol R1  4x22.5ml  3640 test or better</t>
  </si>
  <si>
    <t>Triglycerides R1 4x20ml 650 test or better</t>
  </si>
  <si>
    <t>HDL-C R1 4x27ml / R2 4x9ml 740 test or better</t>
  </si>
  <si>
    <t>AST R1 4x6ml / R2 4x6ml 800 test or better</t>
  </si>
  <si>
    <t>ALP R1 4x12ml / R2 4x12ml 1240 test or better</t>
  </si>
  <si>
    <t>Albumin R1 4x29 ml 2480test or better</t>
  </si>
  <si>
    <t>Total Protein 4x25ml, R2 4x25ml 3000 test or better</t>
  </si>
  <si>
    <t>Bilirubin Direct R1 4x6ml / R2 4x6ml   920 test or better</t>
  </si>
  <si>
    <t>Kit</t>
  </si>
  <si>
    <t>Bilirubin Total R1 4x15ml / R2 4x15ml  2360 test or better</t>
  </si>
  <si>
    <t xml:space="preserve">          Automated Urinalysis</t>
  </si>
  <si>
    <t>Urine Strips 14 parameters         100's</t>
  </si>
  <si>
    <t>Direct Contracting</t>
  </si>
  <si>
    <t>MOA</t>
  </si>
  <si>
    <t>Sheath Fluid II  20L</t>
  </si>
  <si>
    <t>FE Focus B II 125ml</t>
  </si>
  <si>
    <t>Cleaning Liquid II                          500ml</t>
  </si>
  <si>
    <t xml:space="preserve">QC Positive  Chem 4x8ml        </t>
  </si>
  <si>
    <t>From 01/2026 to 6/26</t>
  </si>
  <si>
    <t>To provide additional and replacement office equipment to support efficient administrative operations, improve workplace productivity, and enhance the quality and responsiveness of healthcare system.</t>
  </si>
  <si>
    <t>Office Equipment</t>
  </si>
  <si>
    <t>Freezer/Chiller for Dietary</t>
  </si>
  <si>
    <t>Window Type Air Conditioning unit 2.5hp</t>
  </si>
  <si>
    <t>Feb, 2026</t>
  </si>
  <si>
    <t>3TR Floor Mounted Split Type Air Conditioner 4.0HP</t>
  </si>
  <si>
    <t>Rice Steamer</t>
  </si>
  <si>
    <t>April , 2026</t>
  </si>
  <si>
    <t>Submersible Pump</t>
  </si>
  <si>
    <t xml:space="preserve">Provision of other Maintenance and Other MOOE supplies to ensure the continuous availability of essential materials that support the day-to-day operations of the hospital. </t>
  </si>
  <si>
    <t>Cloth, Catcha 60"</t>
  </si>
  <si>
    <t>Cloth, Oxford 60" E-Green</t>
  </si>
  <si>
    <t xml:space="preserve">Cloth, Pongee 60"  </t>
  </si>
  <si>
    <t>Cloth, Pongee 60" E-Green</t>
  </si>
  <si>
    <t>Meals</t>
  </si>
  <si>
    <t>Oil (For Sewing Machine)</t>
  </si>
  <si>
    <t>Sharpening of Scissors (OR/DR/ER)</t>
  </si>
  <si>
    <t>Tarpauline / Signage ( all sizes)</t>
  </si>
  <si>
    <t>Textile Paint</t>
  </si>
  <si>
    <t>Thread Green Big  1000 mtrs/roll</t>
  </si>
  <si>
    <t>Thread White Big 1000 mtrs/roll</t>
  </si>
  <si>
    <t xml:space="preserve">Sports Uniform </t>
  </si>
  <si>
    <t>PIAD Uniform</t>
  </si>
  <si>
    <t>Garter</t>
  </si>
  <si>
    <t>Caster Wheel</t>
  </si>
  <si>
    <t>Bed Foam</t>
  </si>
  <si>
    <t>Bed Foam b1t1</t>
  </si>
  <si>
    <t>Can opener</t>
  </si>
  <si>
    <t>Peeler</t>
  </si>
  <si>
    <t>Desktop Switch</t>
  </si>
  <si>
    <t>Sim Card</t>
  </si>
  <si>
    <t>Acrylic Stamp</t>
  </si>
  <si>
    <t>Upholstery of Foam</t>
  </si>
  <si>
    <t>Chair, Monoblock</t>
  </si>
  <si>
    <t>Foldable Table</t>
  </si>
  <si>
    <t>Plastic Bench with Backrest</t>
  </si>
  <si>
    <t>Examination bed</t>
  </si>
  <si>
    <t>Medical Screen partiition</t>
  </si>
  <si>
    <t>Foldable Bed</t>
  </si>
  <si>
    <t>Steel Filing Cabinet</t>
  </si>
  <si>
    <t>Steel Rack</t>
  </si>
  <si>
    <t>Conference Table</t>
  </si>
  <si>
    <t>Office Lounge Sofa</t>
  </si>
  <si>
    <t xml:space="preserve">Single Sofa </t>
  </si>
  <si>
    <t>Computer Table with printer Stand</t>
  </si>
  <si>
    <t>katrina Cloth</t>
  </si>
  <si>
    <t>Chinese Cotton</t>
  </si>
  <si>
    <t>CellPhone</t>
  </si>
  <si>
    <t>Nursing Activity</t>
  </si>
  <si>
    <t>Medical Department Assembly</t>
  </si>
  <si>
    <t>mo</t>
  </si>
  <si>
    <t>House Rental</t>
  </si>
  <si>
    <t>Buntis Day Celebration</t>
  </si>
  <si>
    <t>Send Out Examination</t>
  </si>
  <si>
    <t>Hospital Security Measure ( visitor/watchers ID)</t>
  </si>
  <si>
    <t>Sterilization of packs and instruments</t>
  </si>
  <si>
    <t>4 Seaters Steel Chair</t>
  </si>
  <si>
    <t>HIV/AIDS Activity</t>
  </si>
  <si>
    <t>Refilled Fire Extinguisher, 10 lbs</t>
  </si>
  <si>
    <t>Refilled Carbon Dioxide (20 lbs)</t>
  </si>
  <si>
    <t>Office Employees ID</t>
  </si>
  <si>
    <t>EMB/ECC</t>
  </si>
  <si>
    <t xml:space="preserve"> card </t>
  </si>
  <si>
    <t xml:space="preserve"> bundle </t>
  </si>
  <si>
    <t xml:space="preserve"> lot </t>
  </si>
  <si>
    <t xml:space="preserve"> can </t>
  </si>
  <si>
    <t xml:space="preserve"> cone </t>
  </si>
  <si>
    <t xml:space="preserve"> roll </t>
  </si>
  <si>
    <t xml:space="preserve"> set </t>
  </si>
  <si>
    <t xml:space="preserve"> unit </t>
  </si>
  <si>
    <t>Ensure hospital vehicles remain safe, reliable, and operational through timely repair and maintenance to support efficient healthcare service delivery, emergency response, and patient transport.</t>
  </si>
  <si>
    <t>Repair &amp; Maintenace - Transportation Equipment / Motor Vehicle</t>
  </si>
  <si>
    <t xml:space="preserve">NISSAN URBAN AMBULANCE  </t>
  </si>
  <si>
    <t>Screenshot of Online Price Listing</t>
  </si>
  <si>
    <t>PLATE NO. 1312-440389</t>
  </si>
  <si>
    <t>to June, 2026</t>
  </si>
  <si>
    <t>Preventive Maintenace</t>
  </si>
  <si>
    <t>Vulcate</t>
  </si>
  <si>
    <t>Price Quotation from Supplier</t>
  </si>
  <si>
    <t>NISSAN URVAN</t>
  </si>
  <si>
    <t>PLATE NO. SKW581</t>
  </si>
  <si>
    <t>Repair &amp; Preventive Maintenance</t>
  </si>
  <si>
    <t>Repair and maintenance of hospital machinery and equipment to ensure they remain safe, reliable, and fully operational, supporting uninterrupted, efficient, and quality healthcare services.</t>
  </si>
  <si>
    <t>Repair &amp; Maintenance of Machinery</t>
  </si>
  <si>
    <t>Calibration and Maintenance of Ct Scan Machine (Philips Mx16)</t>
  </si>
  <si>
    <t>Calibration and Maintenance of CT Scan Un-interrupted Power Supply ( Industrial Online UPS)</t>
  </si>
  <si>
    <t>Calibration and Maintenance of Ultrasound Machine (Mindray)</t>
  </si>
  <si>
    <t>Repair and Maintenance of Elevator (3 units)</t>
  </si>
  <si>
    <t>Change  Oil &amp; Preventive Maintenenance of 2  Generator  Set( labor &amp; materials)</t>
  </si>
  <si>
    <t>Installation, Commissioning, and Other relevant services for Central Monitoring System supporting 7 Cardiac Monitor</t>
  </si>
  <si>
    <t>Installation of Air conditionin unit</t>
  </si>
  <si>
    <t>2 LOT</t>
  </si>
  <si>
    <t>3 LOT</t>
  </si>
  <si>
    <t>Repair and maintenance of hospital buildings and structures to ensure safe, functional, and well-maintained facilities that support efficient operations and quality healthcare services.</t>
  </si>
  <si>
    <t>Repair and Maintenance- Building</t>
  </si>
  <si>
    <t>HEAT VENTILATION AIRCONDITIONING</t>
  </si>
  <si>
    <t>Copper Tube 1/4 (0.28 thickness)</t>
  </si>
  <si>
    <t>Jan-June, 2026</t>
  </si>
  <si>
    <t>Drill Bits for concrete</t>
  </si>
  <si>
    <t>tank</t>
  </si>
  <si>
    <t>Map Gas</t>
  </si>
  <si>
    <t>Refrigerant R410A</t>
  </si>
  <si>
    <t>Silver Rod</t>
  </si>
  <si>
    <t>SANITARY SERVICES/PLUMBING</t>
  </si>
  <si>
    <t>cu</t>
  </si>
  <si>
    <t>Disludging</t>
  </si>
  <si>
    <t>Faucet (G-Neck  Wall Type # 1/2)</t>
  </si>
  <si>
    <t>Faucet (G-Neck  Founted Type # 1/2)</t>
  </si>
  <si>
    <t>Flexible hose #  1/2 x 18</t>
  </si>
  <si>
    <t>meter</t>
  </si>
  <si>
    <t xml:space="preserve">Flexible hose # 1/2 </t>
  </si>
  <si>
    <t>Flexible Hose 3/4</t>
  </si>
  <si>
    <t>Marine Epoxy  non-sag  (A&amp;B)</t>
  </si>
  <si>
    <t>Metal Cutting disc 4"</t>
  </si>
  <si>
    <t xml:space="preserve">Nipple #1/2 - 4 INCHES GI </t>
  </si>
  <si>
    <t>Plastic Angle Valve 1/2 x 1/2</t>
  </si>
  <si>
    <t>PVC Coupling 1/2</t>
  </si>
  <si>
    <t>PVC ELBOW #3  (SANITARY)</t>
  </si>
  <si>
    <t>PVC Moulding 3/4</t>
  </si>
  <si>
    <t>PVC PIPE # 3 (SANITARY)</t>
  </si>
  <si>
    <t>Teflon Tape 10m</t>
  </si>
  <si>
    <t>Pressure Washer Strainer</t>
  </si>
  <si>
    <t xml:space="preserve">Pressure Washer Short Nozzle </t>
  </si>
  <si>
    <t xml:space="preserve">Pressure Washer Long Nozzle </t>
  </si>
  <si>
    <t>Pressure Washer Suction Hose</t>
  </si>
  <si>
    <t>Pressure Washer Return Hose</t>
  </si>
  <si>
    <t>PVC Moulding #1 (halfmoon)</t>
  </si>
  <si>
    <t>Conveniet Outlet Flash Type 3 gang</t>
  </si>
  <si>
    <t>Strong Glue</t>
  </si>
  <si>
    <t>Moulding 2"x8"</t>
  </si>
  <si>
    <t>ELECTRICAL SUPPLIES</t>
  </si>
  <si>
    <t>Battery N150 24 plates ( gen set)</t>
  </si>
  <si>
    <t>Breaker 30A</t>
  </si>
  <si>
    <t>Bolt on Safety Breaker 20 amp</t>
  </si>
  <si>
    <t>Electrical Tape (Big)</t>
  </si>
  <si>
    <t>Flash Type 3 gang switch</t>
  </si>
  <si>
    <t>Flat Cord Wire # 14</t>
  </si>
  <si>
    <t>Male plug</t>
  </si>
  <si>
    <t>Rubber Tape Big</t>
  </si>
  <si>
    <t>Socket/Adaptor</t>
  </si>
  <si>
    <t>Switch Box</t>
  </si>
  <si>
    <t>THHN Wire #10</t>
  </si>
  <si>
    <t>10 M</t>
  </si>
  <si>
    <t>THHN/THW # 12</t>
  </si>
  <si>
    <t>Utility Box</t>
  </si>
  <si>
    <t>Wire, PDX # 10 75m/roll</t>
  </si>
  <si>
    <t>Flat Cord Wire # 12</t>
  </si>
  <si>
    <t>Incandescent Bulb 50w</t>
  </si>
  <si>
    <t>FLOURESCENT TUBE, LED  18 watts</t>
  </si>
  <si>
    <t>Bulb,  LED 18 watts</t>
  </si>
  <si>
    <t>CARPENTRY WORKS</t>
  </si>
  <si>
    <t>Angle Bar 1 1/2</t>
  </si>
  <si>
    <t>lengh</t>
  </si>
  <si>
    <t>Angle Bar # 2"x2"x6m</t>
  </si>
  <si>
    <t>Sack</t>
  </si>
  <si>
    <t>Cement 40kilos/Sack</t>
  </si>
  <si>
    <t>Concrete hollowblock</t>
  </si>
  <si>
    <t>Doorknob Heavy Duty</t>
  </si>
  <si>
    <t>G.I Pipe Schedule 40 #1/2"</t>
  </si>
  <si>
    <t>Metal Primer Red Oxide</t>
  </si>
  <si>
    <t>kg</t>
  </si>
  <si>
    <t>Nails, Common  # 1 1/2</t>
  </si>
  <si>
    <t>sacket</t>
  </si>
  <si>
    <t>No more nails</t>
  </si>
  <si>
    <t>Paint brush # 4</t>
  </si>
  <si>
    <t>Paint tray</t>
  </si>
  <si>
    <t>sheets</t>
  </si>
  <si>
    <t>Plywood 4mm (Marine)</t>
  </si>
  <si>
    <t>Plywood   1/4 (Marine)</t>
  </si>
  <si>
    <t>Roller Paint Brush  # 4</t>
  </si>
  <si>
    <t>Rubber Coated Gloves (white Orange) Size 8</t>
  </si>
  <si>
    <t>Safety hasp</t>
  </si>
  <si>
    <t>Screw Hook # 1 1/2 with Toks</t>
  </si>
  <si>
    <t>Tox Screw # 2</t>
  </si>
  <si>
    <t>Well Seal</t>
  </si>
  <si>
    <t>Splicing Kit Cat # 82-A2</t>
  </si>
  <si>
    <t>Plastic Tape</t>
  </si>
  <si>
    <t>Inclosure Box 30 amps</t>
  </si>
  <si>
    <t>Cutting Wheel</t>
  </si>
  <si>
    <t>Glass door repair</t>
  </si>
  <si>
    <t>Trolley</t>
  </si>
  <si>
    <t>Conveyor Wheel</t>
  </si>
  <si>
    <t>Deformed Bar # 10</t>
  </si>
  <si>
    <t>Electrical Circular Saw</t>
  </si>
  <si>
    <t>Extension Wire</t>
  </si>
  <si>
    <t>Airconditon unit ( Window Type)</t>
  </si>
  <si>
    <t>Flexibond Water Proofing paint</t>
  </si>
  <si>
    <t>FloorBrush # 6</t>
  </si>
  <si>
    <t>Concrete Epoxy</t>
  </si>
  <si>
    <t>Putty Knife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</si>
</sst>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0.00_-;\-&quot;₱&quot;* #,##0.00_-;_-&quot;₱&quot;* &quot;-&quot;??_-;_-@_-"/>
    <numFmt numFmtId="43" formatCode="_-* #,##0.00_-;\-* #,##0.00_-;_-* &quot;-&quot;??_-;_-@_-"/>
    <numFmt numFmtId="164" formatCode="[$₱-3409]#,##0.00"/>
    <numFmt numFmtId="165" formatCode="&quot;₱&quot;#,##0.00"/>
    <numFmt numFmtId="166" formatCode="0.00;[Red]0.00"/>
    <numFmt numFmtId="167" formatCode="_-* #,##0_-;\-* #,##0_-;_-* &quot;-&quot;??_-;_-@_-"/>
    <numFmt numFmtId="168" formatCode="_(* #,##0.00_);_(* \(#,##0.00\);_(* &quot;-&quot;??_);_(@_)"/>
    <numFmt numFmtId="169" formatCode="_-[$₱-3409]* #,##0.00_-;\-[$₱-3409]* #,##0.00_-;_-[$₱-3409]* &quot;-&quot;??_-;_-@_-"/>
    <numFmt numFmtId="170" formatCode="_(* #,##0_);_(* \(#,##0\);_(* &quot;-&quot;??_);_(@_)"/>
    <numFmt numFmtId="171" formatCode="_-[$₱-464]* #,##0.00_-;\-[$₱-464]* #,##0.00_-;_-[$₱-464]* &quot;-&quot;??_-;_-@_-"/>
    <numFmt numFmtId="172" formatCode="_(* #,##0.00_);_(* \(#,##0.00\);_(* &quot;-&quot;???_);_(@_)"/>
  </numFmts>
  <fonts count="188">
    <font>
      <sz val="11"/>
      <color theme="1"/>
      <name val="Calibri"/>
      <family val="2"/>
      <scheme val="minor"/>
    </font>
    <font>
      <sz val="11"/>
      <color theme="1"/>
      <name val="Calibri"/>
      <family val="2"/>
      <scheme val="minor"/>
    </font>
    <font>
      <sz val="10"/>
      <color rgb="FF000000"/>
      <name val="Arial"/>
      <family val="2"/>
    </font>
    <font>
      <i/>
      <sz val="10"/>
      <color rgb="FF000000"/>
      <name val="Arial"/>
      <family val="2"/>
    </font>
    <font>
      <i/>
      <sz val="10"/>
      <name val="Arial"/>
      <family val="2"/>
    </font>
    <font>
      <i/>
      <sz val="10"/>
      <color rgb="FFFF0000"/>
      <name val="Arial"/>
      <family val="2"/>
    </font>
    <font>
      <sz val="10"/>
      <name val="Arial"/>
      <family val="2"/>
    </font>
    <font>
      <b/>
      <sz val="10"/>
      <name val="Arial"/>
      <family val="2"/>
    </font>
    <font>
      <i/>
      <sz val="9"/>
      <color rgb="FF000000"/>
      <name val="Arial"/>
      <family val="2"/>
    </font>
    <font>
      <i/>
      <sz val="9"/>
      <name val="Arial"/>
      <family val="2"/>
    </font>
    <font>
      <b/>
      <sz val="9"/>
      <color rgb="FF000000"/>
      <name val="Arial"/>
      <family val="2"/>
    </font>
    <font>
      <b/>
      <sz val="9"/>
      <name val="Arial"/>
      <family val="2"/>
    </font>
    <font>
      <b/>
      <sz val="9"/>
      <color theme="1"/>
      <name val="Arial"/>
      <family val="2"/>
    </font>
    <font>
      <sz val="10"/>
      <name val="Arial"/>
      <family val="2"/>
    </font>
    <font>
      <sz val="10"/>
      <color theme="1"/>
      <name val="Century Gothic"/>
      <family val="2"/>
    </font>
    <font>
      <b/>
      <sz val="9"/>
      <color theme="1"/>
      <name val="Century Gothic"/>
      <family val="2"/>
    </font>
    <font>
      <b/>
      <sz val="9"/>
      <name val="Century Gothic"/>
      <family val="2"/>
    </font>
    <font>
      <b/>
      <sz val="9"/>
      <color rgb="FF000000"/>
      <name val="Century Gothic"/>
      <family val="2"/>
    </font>
    <font>
      <b/>
      <sz val="10"/>
      <color theme="1"/>
      <name val="Century Gothic"/>
      <family val="2"/>
    </font>
    <font>
      <sz val="10"/>
      <name val="Century Gothic"/>
      <family val="2"/>
    </font>
    <font>
      <b/>
      <sz val="12"/>
      <color theme="0"/>
      <name val="Century Gothic"/>
      <family val="2"/>
    </font>
    <font>
      <b/>
      <sz val="14"/>
      <color theme="0"/>
      <name val="Century Gothic"/>
      <family val="2"/>
    </font>
    <font>
      <sz val="10"/>
      <color rgb="FFFF0000"/>
      <name val="Century Gothic"/>
      <family val="2"/>
    </font>
    <font>
      <sz val="8"/>
      <color theme="1"/>
      <name val="Calibri"/>
      <family val="2"/>
      <scheme val="minor"/>
    </font>
    <font>
      <b/>
      <sz val="10"/>
      <color theme="1"/>
      <name val="Calibri"/>
      <family val="2"/>
      <scheme val="minor"/>
    </font>
    <font>
      <sz val="10"/>
      <color theme="1"/>
      <name val="Calibri"/>
      <family val="2"/>
      <scheme val="minor"/>
    </font>
    <font>
      <sz val="10"/>
      <name val="Calibri"/>
      <family val="2"/>
      <scheme val="minor"/>
    </font>
    <font>
      <b/>
      <sz val="9"/>
      <color rgb="FFFF0000"/>
      <name val="Arial"/>
      <family val="2"/>
    </font>
    <font>
      <sz val="9"/>
      <color theme="1"/>
      <name val="Calibri"/>
      <family val="2"/>
      <scheme val="minor"/>
    </font>
    <font>
      <b/>
      <sz val="10"/>
      <color rgb="FFFF0000"/>
      <name val="Calibri"/>
      <family val="2"/>
      <scheme val="minor"/>
    </font>
    <font>
      <b/>
      <sz val="11"/>
      <color rgb="FFFF0000"/>
      <name val="Calibri"/>
      <family val="2"/>
      <scheme val="minor"/>
    </font>
    <font>
      <b/>
      <sz val="10"/>
      <name val="Calibri"/>
      <family val="2"/>
      <scheme val="minor"/>
    </font>
    <font>
      <sz val="10"/>
      <name val="Calibri"/>
      <family val="2"/>
    </font>
    <font>
      <b/>
      <sz val="10"/>
      <color rgb="FF000000"/>
      <name val="Calibri"/>
      <family val="2"/>
    </font>
    <font>
      <sz val="10"/>
      <color rgb="FF000000"/>
      <name val="Calibri"/>
      <family val="2"/>
    </font>
    <font>
      <b/>
      <sz val="8"/>
      <color theme="1"/>
      <name val="Calibri"/>
      <family val="2"/>
      <scheme val="minor"/>
    </font>
    <font>
      <sz val="6"/>
      <color theme="1"/>
      <name val="Calibri"/>
      <family val="2"/>
      <scheme val="minor"/>
    </font>
    <font>
      <sz val="7"/>
      <color theme="1"/>
      <name val="Calibri"/>
      <family val="2"/>
      <scheme val="minor"/>
    </font>
    <font>
      <b/>
      <sz val="10"/>
      <color rgb="FF000000"/>
      <name val="Arial"/>
      <family val="2"/>
    </font>
    <font>
      <sz val="10"/>
      <color theme="1"/>
      <name val="Arial"/>
      <family val="2"/>
    </font>
    <font>
      <b/>
      <sz val="10"/>
      <color theme="1"/>
      <name val="Arial"/>
      <family val="2"/>
    </font>
    <font>
      <sz val="9"/>
      <name val="Arial"/>
      <family val="2"/>
    </font>
    <font>
      <sz val="9"/>
      <color theme="1"/>
      <name val="Arial"/>
      <family val="2"/>
    </font>
    <font>
      <sz val="10"/>
      <color rgb="FF000000"/>
      <name val="Times New Roman"/>
      <family val="1"/>
    </font>
    <font>
      <sz val="10"/>
      <color theme="1"/>
      <name val="Times New Roman"/>
      <family val="1"/>
    </font>
    <font>
      <b/>
      <sz val="10"/>
      <color rgb="FF000000"/>
      <name val="Times New Roman"/>
      <family val="1"/>
    </font>
    <font>
      <b/>
      <sz val="12"/>
      <color rgb="FF000000"/>
      <name val="Arial"/>
      <family val="2"/>
    </font>
    <font>
      <sz val="12"/>
      <name val="Arial"/>
      <family val="2"/>
    </font>
    <font>
      <i/>
      <sz val="12"/>
      <name val="Arial"/>
      <family val="2"/>
    </font>
    <font>
      <i/>
      <sz val="12"/>
      <color rgb="FF000000"/>
      <name val="Arial"/>
      <family val="2"/>
    </font>
    <font>
      <sz val="12"/>
      <color rgb="FF000000"/>
      <name val="Arial"/>
      <family val="2"/>
    </font>
    <font>
      <b/>
      <sz val="11"/>
      <color rgb="FF000000"/>
      <name val="Arial"/>
      <family val="2"/>
    </font>
    <font>
      <i/>
      <sz val="11"/>
      <color rgb="FF000000"/>
      <name val="Arial"/>
      <family val="2"/>
    </font>
    <font>
      <i/>
      <sz val="11"/>
      <name val="Arial"/>
      <family val="2"/>
    </font>
    <font>
      <sz val="11"/>
      <name val="Arial"/>
      <family val="2"/>
    </font>
    <font>
      <sz val="11"/>
      <color rgb="FF000000"/>
      <name val="Arial"/>
      <family val="2"/>
    </font>
    <font>
      <b/>
      <sz val="8.5"/>
      <color rgb="FF000000"/>
      <name val="Arial"/>
      <family val="2"/>
    </font>
    <font>
      <sz val="8.5"/>
      <color rgb="FF000000"/>
      <name val="Arial"/>
      <family val="2"/>
    </font>
    <font>
      <sz val="9"/>
      <color rgb="FF000000"/>
      <name val="Arial"/>
      <family val="2"/>
    </font>
    <font>
      <sz val="8"/>
      <color rgb="FF000000"/>
      <name val="Arial Narrow"/>
      <family val="2"/>
    </font>
    <font>
      <sz val="11"/>
      <name val="Calibri"/>
      <family val="2"/>
      <scheme val="minor"/>
    </font>
    <font>
      <sz val="11"/>
      <color theme="1"/>
      <name val="Century Gothic"/>
      <family val="2"/>
    </font>
    <font>
      <b/>
      <sz val="10"/>
      <color rgb="FFFF0000"/>
      <name val="Century Gothic"/>
      <family val="2"/>
    </font>
    <font>
      <sz val="10"/>
      <color rgb="FF000000"/>
      <name val="Century Gothic"/>
      <family val="2"/>
    </font>
    <font>
      <b/>
      <sz val="10"/>
      <color rgb="FF000000"/>
      <name val="Century Gothic"/>
      <family val="2"/>
    </font>
    <font>
      <b/>
      <sz val="10"/>
      <name val="Century Gothic"/>
      <family val="2"/>
    </font>
    <font>
      <sz val="8"/>
      <color theme="1"/>
      <name val="Century Gothic"/>
      <family val="2"/>
    </font>
    <font>
      <sz val="6"/>
      <color theme="1"/>
      <name val="Century Gothic"/>
      <family val="2"/>
    </font>
    <font>
      <i/>
      <sz val="10"/>
      <color rgb="FF000000"/>
      <name val="Century Gothic"/>
      <family val="2"/>
    </font>
    <font>
      <i/>
      <sz val="10"/>
      <name val="Century Gothic"/>
      <family val="2"/>
    </font>
    <font>
      <i/>
      <sz val="10"/>
      <color rgb="FFFF0000"/>
      <name val="Century Gothic"/>
      <family val="2"/>
    </font>
    <font>
      <sz val="10"/>
      <color indexed="8"/>
      <name val="Century Gothic"/>
      <family val="2"/>
    </font>
    <font>
      <sz val="12"/>
      <name val="Century Gothic"/>
      <family val="2"/>
    </font>
    <font>
      <sz val="10"/>
      <color theme="1"/>
      <name val="Century Gothic "/>
    </font>
    <font>
      <sz val="10"/>
      <color rgb="FF000000"/>
      <name val="Century Gothic "/>
    </font>
    <font>
      <sz val="10"/>
      <name val="Century Gothic "/>
    </font>
    <font>
      <sz val="10"/>
      <color rgb="FFFF0000"/>
      <name val="Century Gothic "/>
    </font>
    <font>
      <sz val="12"/>
      <color rgb="FF000000"/>
      <name val="Century Gothic"/>
      <family val="2"/>
    </font>
    <font>
      <i/>
      <sz val="12"/>
      <name val="Century Gothic"/>
      <family val="2"/>
    </font>
    <font>
      <i/>
      <sz val="12"/>
      <color rgb="FF000000"/>
      <name val="Century Gothic"/>
      <family val="2"/>
    </font>
    <font>
      <i/>
      <sz val="10"/>
      <color rgb="FF000000"/>
      <name val="Century Gothic "/>
    </font>
    <font>
      <i/>
      <sz val="10"/>
      <name val="Century Gothic "/>
    </font>
    <font>
      <b/>
      <sz val="8"/>
      <color rgb="FF000000"/>
      <name val="Calibri"/>
      <family val="2"/>
      <scheme val="minor"/>
    </font>
    <font>
      <b/>
      <sz val="8"/>
      <color rgb="FF000000"/>
      <name val="Arial"/>
      <family val="2"/>
    </font>
    <font>
      <sz val="8"/>
      <color rgb="FF000000"/>
      <name val="Arial"/>
      <family val="2"/>
    </font>
    <font>
      <sz val="8.5"/>
      <color rgb="FF000000"/>
      <name val="Arial Narrow"/>
      <family val="2"/>
    </font>
    <font>
      <sz val="8"/>
      <color theme="1"/>
      <name val="Arial"/>
      <family val="2"/>
    </font>
    <font>
      <sz val="8"/>
      <name val="Calibri"/>
      <family val="2"/>
      <scheme val="minor"/>
    </font>
    <font>
      <sz val="10"/>
      <color theme="1"/>
      <name val="Arial Narrow"/>
      <family val="2"/>
    </font>
    <font>
      <sz val="8"/>
      <color theme="1"/>
      <name val="Times New Roman"/>
      <family val="1"/>
    </font>
    <font>
      <b/>
      <sz val="8"/>
      <color theme="1"/>
      <name val="Arial"/>
      <family val="2"/>
    </font>
    <font>
      <b/>
      <sz val="10"/>
      <name val="Arial Narrow"/>
      <family val="2"/>
    </font>
    <font>
      <sz val="10"/>
      <name val="Arial Narrow"/>
      <family val="2"/>
    </font>
    <font>
      <b/>
      <sz val="8.5"/>
      <color rgb="FF000000"/>
      <name val="Arial Narrow"/>
      <family val="2"/>
    </font>
    <font>
      <b/>
      <sz val="8"/>
      <color theme="1"/>
      <name val="Times New Roman"/>
      <family val="1"/>
    </font>
    <font>
      <sz val="9"/>
      <name val="Arial Narrow"/>
      <family val="2"/>
    </font>
    <font>
      <sz val="6"/>
      <color rgb="FF000000"/>
      <name val="Arial"/>
      <family val="2"/>
    </font>
    <font>
      <sz val="10"/>
      <color indexed="8"/>
      <name val="Calibri"/>
      <family val="2"/>
      <scheme val="minor"/>
    </font>
    <font>
      <sz val="10"/>
      <color theme="1"/>
      <name val="Calibri"/>
      <family val="2"/>
    </font>
    <font>
      <b/>
      <sz val="10"/>
      <name val="Calibri Light"/>
      <family val="1"/>
      <scheme val="major"/>
    </font>
    <font>
      <b/>
      <sz val="10"/>
      <color theme="0"/>
      <name val="Century Gothic"/>
      <family val="2"/>
    </font>
    <font>
      <b/>
      <sz val="10"/>
      <color indexed="8"/>
      <name val="Times New Roman"/>
      <family val="1"/>
    </font>
    <font>
      <sz val="10"/>
      <color indexed="8"/>
      <name val="Times New Roman"/>
      <family val="1"/>
    </font>
    <font>
      <sz val="10"/>
      <name val="Times New Roman"/>
      <family val="1"/>
    </font>
    <font>
      <b/>
      <sz val="10"/>
      <color theme="1"/>
      <name val="Times New Roman"/>
      <family val="1"/>
    </font>
    <font>
      <sz val="12"/>
      <color theme="1"/>
      <name val="Calibri"/>
      <family val="2"/>
      <scheme val="minor"/>
    </font>
    <font>
      <i/>
      <sz val="11"/>
      <color theme="1"/>
      <name val="Calibri"/>
      <family val="2"/>
      <scheme val="minor"/>
    </font>
    <font>
      <b/>
      <i/>
      <sz val="10"/>
      <color rgb="FF000000"/>
      <name val="Times New Roman"/>
      <family val="1"/>
    </font>
    <font>
      <sz val="10"/>
      <name val="Calibri Light"/>
      <family val="1"/>
      <scheme val="major"/>
    </font>
    <font>
      <sz val="10"/>
      <color rgb="FF000000"/>
      <name val="Book Antiqua"/>
      <family val="1"/>
    </font>
    <font>
      <b/>
      <sz val="10"/>
      <color rgb="FF000000"/>
      <name val="Book Antiqua"/>
      <family val="1"/>
    </font>
    <font>
      <sz val="10"/>
      <name val="Book Antiqua"/>
      <family val="1"/>
    </font>
    <font>
      <i/>
      <sz val="10"/>
      <color rgb="FF000000"/>
      <name val="Book Antiqua"/>
      <family val="1"/>
    </font>
    <font>
      <b/>
      <sz val="10"/>
      <color rgb="FF000000"/>
      <name val="Century Gothic "/>
    </font>
    <font>
      <b/>
      <sz val="10"/>
      <color rgb="FFFF0000"/>
      <name val="Century Gothic "/>
    </font>
    <font>
      <sz val="10"/>
      <color theme="0"/>
      <name val="Century Gothic "/>
    </font>
    <font>
      <b/>
      <sz val="10"/>
      <name val="Book Antiqua"/>
      <family val="1"/>
    </font>
    <font>
      <sz val="10"/>
      <color theme="1"/>
      <name val="Book Antiqua"/>
      <family val="1"/>
    </font>
    <font>
      <sz val="10"/>
      <color rgb="FFFF0000"/>
      <name val="Arial Narrow"/>
      <family val="2"/>
    </font>
    <font>
      <b/>
      <sz val="10"/>
      <color rgb="FFFF0000"/>
      <name val="Arial Narrow"/>
      <family val="2"/>
    </font>
    <font>
      <b/>
      <sz val="10"/>
      <name val="Times New Roman"/>
      <family val="1"/>
    </font>
    <font>
      <sz val="11"/>
      <name val="Century Gothic"/>
      <family val="2"/>
    </font>
    <font>
      <b/>
      <sz val="11"/>
      <name val="Century Gothic"/>
      <family val="2"/>
    </font>
    <font>
      <sz val="11"/>
      <name val="Book Antiqua"/>
      <family val="1"/>
    </font>
    <font>
      <sz val="9"/>
      <color theme="1"/>
      <name val="Times New Roman"/>
      <family val="1"/>
    </font>
    <font>
      <b/>
      <sz val="11"/>
      <color theme="1"/>
      <name val="Times New Roman"/>
      <family val="1"/>
    </font>
    <font>
      <sz val="11"/>
      <color theme="1"/>
      <name val="Times New Roman"/>
      <family val="1"/>
    </font>
    <font>
      <sz val="7"/>
      <color theme="1"/>
      <name val="Times New Roman"/>
      <family val="1"/>
    </font>
    <font>
      <sz val="11"/>
      <color rgb="FF000000"/>
      <name val="Times New Roman"/>
      <family val="1"/>
    </font>
    <font>
      <sz val="12"/>
      <color theme="1"/>
      <name val="Times New Roman"/>
      <family val="1"/>
    </font>
    <font>
      <b/>
      <sz val="11"/>
      <color rgb="FF000000"/>
      <name val="Book Antiqua"/>
      <family val="1"/>
    </font>
    <font>
      <b/>
      <sz val="11"/>
      <color theme="1"/>
      <name val="Calibri"/>
      <family val="2"/>
      <scheme val="minor"/>
    </font>
    <font>
      <sz val="9"/>
      <name val="Times New Roman"/>
      <family val="1"/>
    </font>
    <font>
      <b/>
      <sz val="12"/>
      <color theme="1"/>
      <name val="Times New Roman"/>
      <family val="1"/>
    </font>
    <font>
      <b/>
      <sz val="9"/>
      <color theme="1"/>
      <name val="Times New Roman"/>
      <family val="1"/>
    </font>
    <font>
      <b/>
      <sz val="9"/>
      <color rgb="FF000000"/>
      <name val="Times New Roman"/>
      <family val="1"/>
    </font>
    <font>
      <sz val="9"/>
      <color rgb="FF000000"/>
      <name val="Times New Roman"/>
      <family val="1"/>
    </font>
    <font>
      <sz val="8"/>
      <name val="Times New Roman"/>
      <family val="1"/>
    </font>
    <font>
      <b/>
      <sz val="11"/>
      <color rgb="FF000000"/>
      <name val="Times New Roman"/>
      <family val="1"/>
    </font>
    <font>
      <b/>
      <sz val="11"/>
      <name val="Arial"/>
      <family val="2"/>
    </font>
    <font>
      <sz val="14"/>
      <color theme="1"/>
      <name val="Times New Roman"/>
      <family val="1"/>
    </font>
    <font>
      <sz val="14"/>
      <name val="Times New Roman"/>
      <family val="1"/>
    </font>
    <font>
      <sz val="12"/>
      <color rgb="FF000000"/>
      <name val="Times New Roman"/>
      <family val="1"/>
    </font>
    <font>
      <sz val="11"/>
      <color rgb="FF000000"/>
      <name val="Century Gothic"/>
      <family val="2"/>
    </font>
    <font>
      <sz val="20"/>
      <color rgb="FF000000"/>
      <name val="Century Gothic"/>
      <family val="2"/>
    </font>
    <font>
      <sz val="16"/>
      <name val="Century Gothic"/>
      <family val="2"/>
    </font>
    <font>
      <sz val="7"/>
      <color theme="1"/>
      <name val="Century Gothic"/>
      <family val="2"/>
    </font>
    <font>
      <sz val="8"/>
      <color rgb="FF000000"/>
      <name val="Century Gothic"/>
      <family val="2"/>
    </font>
    <font>
      <sz val="7"/>
      <color rgb="FF000000"/>
      <name val="Century Gothic"/>
      <family val="2"/>
    </font>
    <font>
      <b/>
      <sz val="11"/>
      <color theme="1"/>
      <name val="Century Gothic"/>
      <family val="2"/>
    </font>
    <font>
      <sz val="9"/>
      <name val="Century Gothic"/>
      <family val="2"/>
    </font>
    <font>
      <sz val="9"/>
      <color theme="1"/>
      <name val="Century Gothic"/>
      <family val="2"/>
    </font>
    <font>
      <i/>
      <sz val="11"/>
      <name val="Century Gothic"/>
      <family val="2"/>
    </font>
    <font>
      <i/>
      <sz val="11"/>
      <color rgb="FF000000"/>
      <name val="Century Gothic"/>
      <family val="2"/>
    </font>
    <font>
      <b/>
      <sz val="11"/>
      <color theme="0" tint="-4.9989318521683403E-2"/>
      <name val="Calibri"/>
      <family val="2"/>
      <scheme val="minor"/>
    </font>
    <font>
      <u val="doubleAccounting"/>
      <sz val="11"/>
      <color theme="1"/>
      <name val="Calibri"/>
      <family val="2"/>
      <scheme val="minor"/>
    </font>
    <font>
      <b/>
      <sz val="11"/>
      <name val="Calibri"/>
      <family val="2"/>
      <scheme val="minor"/>
    </font>
    <font>
      <b/>
      <sz val="12"/>
      <name val="Calibri"/>
      <family val="2"/>
      <scheme val="minor"/>
    </font>
    <font>
      <b/>
      <sz val="12"/>
      <name val="Century Gothic"/>
      <family val="2"/>
    </font>
    <font>
      <b/>
      <sz val="10"/>
      <name val="Century Gothic "/>
    </font>
    <font>
      <i/>
      <sz val="9"/>
      <color rgb="FF000000"/>
      <name val="Century Gothic"/>
      <family val="2"/>
    </font>
    <font>
      <i/>
      <sz val="9"/>
      <name val="Century Gothic"/>
      <family val="2"/>
    </font>
    <font>
      <b/>
      <sz val="9"/>
      <color rgb="FFFF0000"/>
      <name val="Century Gothic"/>
      <family val="2"/>
    </font>
    <font>
      <b/>
      <sz val="11"/>
      <name val="Century Gothic "/>
    </font>
    <font>
      <b/>
      <sz val="12"/>
      <name val="Century Gothic "/>
    </font>
    <font>
      <sz val="12"/>
      <color theme="1"/>
      <name val="Century Gothic"/>
      <family val="2"/>
    </font>
    <font>
      <b/>
      <sz val="12"/>
      <name val="Arial"/>
      <family val="2"/>
    </font>
    <font>
      <sz val="10"/>
      <color rgb="FF000000"/>
      <name val="Candara"/>
      <family val="2"/>
    </font>
    <font>
      <sz val="10"/>
      <color theme="1"/>
      <name val="Candara"/>
      <family val="2"/>
    </font>
    <font>
      <sz val="11"/>
      <color theme="1"/>
      <name val="Candara"/>
      <family val="2"/>
    </font>
    <font>
      <b/>
      <sz val="10"/>
      <color theme="1"/>
      <name val="Book Antiqua"/>
      <family val="1"/>
    </font>
    <font>
      <b/>
      <sz val="11"/>
      <color rgb="FF000000"/>
      <name val="Century Gothic"/>
      <family val="2"/>
    </font>
    <font>
      <sz val="10"/>
      <name val="Candara"/>
      <family val="2"/>
    </font>
    <font>
      <sz val="11"/>
      <color rgb="FF000000"/>
      <name val="Candara"/>
      <family val="2"/>
    </font>
    <font>
      <sz val="11"/>
      <color rgb="FF000000"/>
      <name val="Book Antiqua"/>
      <family val="1"/>
    </font>
    <font>
      <sz val="11"/>
      <name val="Candara"/>
      <family val="2"/>
    </font>
    <font>
      <i/>
      <sz val="11"/>
      <color rgb="FF000000"/>
      <name val="Book Antiqua"/>
      <family val="1"/>
    </font>
    <font>
      <sz val="10"/>
      <color rgb="FFFF0000"/>
      <name val="Book Antiqua"/>
      <family val="1"/>
    </font>
    <font>
      <i/>
      <sz val="10"/>
      <color rgb="FF000000"/>
      <name val="Candara"/>
      <family val="2"/>
    </font>
    <font>
      <i/>
      <sz val="10"/>
      <color theme="1"/>
      <name val="Candara"/>
      <family val="2"/>
    </font>
    <font>
      <sz val="10"/>
      <color rgb="FFFF0000"/>
      <name val="Candara"/>
      <family val="2"/>
    </font>
    <font>
      <b/>
      <sz val="10"/>
      <color theme="1"/>
      <name val="Candara"/>
      <family val="2"/>
    </font>
    <font>
      <sz val="10"/>
      <color rgb="FFC00000"/>
      <name val="Candara"/>
      <family val="2"/>
    </font>
    <font>
      <vertAlign val="subscript"/>
      <sz val="10"/>
      <color rgb="FF000000"/>
      <name val="Candara"/>
      <family val="2"/>
    </font>
    <font>
      <b/>
      <sz val="10"/>
      <color rgb="FF000000"/>
      <name val="Candara"/>
      <family val="2"/>
    </font>
    <font>
      <i/>
      <sz val="10"/>
      <color theme="1"/>
      <name val="Book Antiqua"/>
      <family val="1"/>
    </font>
    <font>
      <sz val="10"/>
      <color rgb="FF000000"/>
      <name val="Cnda"/>
    </font>
    <font>
      <b/>
      <sz val="12"/>
      <name val="Book Antiqua"/>
      <family val="1"/>
    </font>
  </fonts>
  <fills count="23">
    <fill>
      <patternFill patternType="none"/>
    </fill>
    <fill>
      <patternFill patternType="gray125"/>
    </fill>
    <fill>
      <patternFill patternType="solid">
        <fgColor theme="0"/>
        <bgColor indexed="64"/>
      </patternFill>
    </fill>
    <fill>
      <patternFill patternType="solid">
        <fgColor theme="2" tint="-4.9989318521683403E-2"/>
        <bgColor indexed="64"/>
      </patternFill>
    </fill>
    <fill>
      <patternFill patternType="solid">
        <fgColor theme="1"/>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0" tint="-0.14996795556505021"/>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F2F2F2"/>
        <bgColor indexed="64"/>
      </patternFill>
    </fill>
    <fill>
      <patternFill patternType="solid">
        <fgColor rgb="FF92D050"/>
        <bgColor indexed="64"/>
      </patternFill>
    </fill>
    <fill>
      <patternFill patternType="solid">
        <fgColor theme="9" tint="0.59999389629810485"/>
        <bgColor indexed="64"/>
      </patternFill>
    </fill>
    <fill>
      <patternFill patternType="solid">
        <fgColor rgb="FF00B0F0"/>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rgb="FFFF3399"/>
        <bgColor indexed="64"/>
      </patternFill>
    </fill>
    <fill>
      <patternFill patternType="solid">
        <fgColor theme="2"/>
        <bgColor indexed="64"/>
      </patternFill>
    </fill>
    <fill>
      <patternFill patternType="solid">
        <fgColor rgb="FFFFFFFF"/>
        <bgColor indexed="64"/>
      </patternFill>
    </fill>
    <fill>
      <patternFill patternType="solid">
        <fgColor rgb="FF7030A0"/>
        <bgColor indexed="64"/>
      </patternFill>
    </fill>
    <fill>
      <patternFill patternType="solid">
        <fgColor rgb="FF227ACB"/>
        <bgColor indexed="64"/>
      </patternFill>
    </fill>
  </fills>
  <borders count="53">
    <border>
      <left/>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medium">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right style="thin">
        <color indexed="64"/>
      </right>
      <top style="hair">
        <color indexed="64"/>
      </top>
      <bottom/>
      <diagonal/>
    </border>
    <border>
      <left style="thin">
        <color indexed="64"/>
      </left>
      <right/>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bottom style="thin">
        <color indexed="64"/>
      </bottom>
      <diagonal/>
    </border>
    <border>
      <left/>
      <right style="medium">
        <color indexed="64"/>
      </right>
      <top style="thin">
        <color auto="1"/>
      </top>
      <bottom style="thin">
        <color auto="1"/>
      </bottom>
      <diagonal/>
    </border>
    <border>
      <left style="thin">
        <color auto="1"/>
      </left>
      <right style="thin">
        <color auto="1"/>
      </right>
      <top style="thin">
        <color auto="1"/>
      </top>
      <bottom style="medium">
        <color indexed="64"/>
      </bottom>
      <diagonal/>
    </border>
    <border>
      <left style="thin">
        <color indexed="64"/>
      </left>
      <right/>
      <top style="hair">
        <color indexed="64"/>
      </top>
      <bottom style="hair">
        <color indexed="64"/>
      </bottom>
      <diagonal/>
    </border>
    <border>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thin">
        <color indexed="64"/>
      </left>
      <right style="thin">
        <color indexed="64"/>
      </right>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style="medium">
        <color indexed="64"/>
      </bottom>
      <diagonal/>
    </border>
  </borders>
  <cellStyleXfs count="16">
    <xf numFmtId="0" fontId="0" fillId="0" borderId="0"/>
    <xf numFmtId="43" fontId="1" fillId="0" borderId="0" applyFont="0" applyFill="0" applyBorder="0" applyAlignment="0" applyProtection="0"/>
    <xf numFmtId="0" fontId="2" fillId="0" borderId="0"/>
    <xf numFmtId="0" fontId="13" fillId="0" borderId="0"/>
    <xf numFmtId="166" fontId="6" fillId="0" borderId="0" applyFont="0" applyFill="0" applyBorder="0" applyAlignment="0" applyProtection="0"/>
    <xf numFmtId="0" fontId="6" fillId="0" borderId="0"/>
    <xf numFmtId="0" fontId="1" fillId="0" borderId="0"/>
    <xf numFmtId="0" fontId="6" fillId="0" borderId="0"/>
    <xf numFmtId="0" fontId="1" fillId="0" borderId="0"/>
    <xf numFmtId="168" fontId="1" fillId="0" borderId="0" applyFont="0" applyFill="0" applyBorder="0" applyAlignment="0" applyProtection="0"/>
    <xf numFmtId="168" fontId="6" fillId="0" borderId="0" applyFont="0" applyFill="0" applyBorder="0" applyAlignment="0" applyProtection="0"/>
    <xf numFmtId="0" fontId="1" fillId="0" borderId="0"/>
    <xf numFmtId="0" fontId="6" fillId="0" borderId="0"/>
    <xf numFmtId="0" fontId="1" fillId="0" borderId="0"/>
    <xf numFmtId="0" fontId="6" fillId="0" borderId="0"/>
    <xf numFmtId="9" fontId="6" fillId="0" borderId="0" applyFont="0" applyFill="0" applyBorder="0" applyAlignment="0" applyProtection="0"/>
  </cellStyleXfs>
  <cellXfs count="3140">
    <xf numFmtId="0" fontId="0" fillId="0" borderId="0" xfId="0"/>
    <xf numFmtId="0" fontId="0" fillId="0" borderId="0" xfId="0" applyAlignment="1">
      <alignment vertical="center"/>
    </xf>
    <xf numFmtId="0" fontId="8" fillId="0" borderId="4" xfId="2" applyFont="1" applyBorder="1" applyAlignment="1">
      <alignment horizontal="center" vertical="top" wrapText="1"/>
    </xf>
    <xf numFmtId="0" fontId="9" fillId="0" borderId="4" xfId="2" applyFont="1" applyBorder="1" applyAlignment="1">
      <alignment vertical="top" wrapText="1"/>
    </xf>
    <xf numFmtId="165" fontId="9" fillId="2" borderId="4" xfId="2" applyNumberFormat="1" applyFont="1" applyFill="1" applyBorder="1" applyAlignment="1">
      <alignment horizontal="center" vertical="top" wrapText="1"/>
    </xf>
    <xf numFmtId="49" fontId="9" fillId="0" borderId="4" xfId="2" applyNumberFormat="1" applyFont="1" applyBorder="1" applyAlignment="1">
      <alignment horizontal="center" vertical="top" wrapText="1"/>
    </xf>
    <xf numFmtId="0" fontId="9" fillId="0" borderId="4" xfId="2" applyFont="1" applyBorder="1" applyAlignment="1">
      <alignment horizontal="center" vertical="top" wrapText="1"/>
    </xf>
    <xf numFmtId="0" fontId="9" fillId="0" borderId="4" xfId="2" applyFont="1" applyBorder="1" applyAlignment="1">
      <alignment horizontal="left" vertical="top" wrapText="1"/>
    </xf>
    <xf numFmtId="0" fontId="8" fillId="0" borderId="4" xfId="2" applyFont="1" applyBorder="1" applyAlignment="1">
      <alignment horizontal="left" vertical="top" wrapText="1"/>
    </xf>
    <xf numFmtId="0" fontId="10" fillId="3" borderId="4" xfId="0" applyFont="1" applyFill="1" applyBorder="1" applyAlignment="1">
      <alignment horizontal="center" vertical="center" wrapText="1"/>
    </xf>
    <xf numFmtId="0" fontId="11" fillId="0" borderId="4" xfId="2" applyFont="1" applyBorder="1" applyAlignment="1">
      <alignment horizontal="center" vertical="center" wrapText="1"/>
    </xf>
    <xf numFmtId="0" fontId="12" fillId="0" borderId="4" xfId="0" applyFont="1" applyBorder="1" applyAlignment="1">
      <alignment horizontal="center" vertical="center" wrapText="1"/>
    </xf>
    <xf numFmtId="0" fontId="10" fillId="2" borderId="4" xfId="2" applyFont="1" applyFill="1" applyBorder="1" applyAlignment="1">
      <alignment horizontal="center" vertical="center" wrapText="1"/>
    </xf>
    <xf numFmtId="0" fontId="10" fillId="0" borderId="4" xfId="2" applyFont="1" applyBorder="1" applyAlignment="1">
      <alignment horizontal="center" vertical="center" wrapText="1"/>
    </xf>
    <xf numFmtId="0" fontId="0" fillId="2" borderId="0" xfId="0" applyFill="1"/>
    <xf numFmtId="0" fontId="10" fillId="2" borderId="4" xfId="0" applyFont="1" applyFill="1" applyBorder="1" applyAlignment="1">
      <alignment horizontal="center" vertical="center" wrapText="1"/>
    </xf>
    <xf numFmtId="0" fontId="11" fillId="0" borderId="3" xfId="2" applyFont="1" applyBorder="1" applyAlignment="1">
      <alignment horizontal="center" vertical="center" wrapText="1"/>
    </xf>
    <xf numFmtId="0" fontId="12" fillId="0" borderId="3" xfId="0" applyFont="1" applyBorder="1" applyAlignment="1">
      <alignment horizontal="center" vertical="center" wrapText="1"/>
    </xf>
    <xf numFmtId="0" fontId="10" fillId="0" borderId="3" xfId="2" applyFont="1" applyBorder="1" applyAlignment="1">
      <alignment horizontal="center" vertical="center" wrapText="1"/>
    </xf>
    <xf numFmtId="0" fontId="0" fillId="0" borderId="4" xfId="0" applyBorder="1"/>
    <xf numFmtId="0" fontId="7" fillId="0" borderId="4" xfId="2" applyFont="1" applyBorder="1" applyAlignment="1">
      <alignment horizontal="center" vertical="center" wrapText="1"/>
    </xf>
    <xf numFmtId="0" fontId="6" fillId="0" borderId="4" xfId="2" quotePrefix="1" applyFont="1" applyBorder="1" applyAlignment="1">
      <alignment horizontal="center" vertical="center" wrapText="1"/>
    </xf>
    <xf numFmtId="0" fontId="4" fillId="0" borderId="4" xfId="2" applyFont="1" applyBorder="1" applyAlignment="1">
      <alignment horizontal="center" vertical="center" wrapText="1"/>
    </xf>
    <xf numFmtId="49" fontId="5" fillId="0" borderId="4" xfId="2" applyNumberFormat="1" applyFont="1" applyBorder="1" applyAlignment="1">
      <alignment horizontal="center" vertical="center" wrapText="1"/>
    </xf>
    <xf numFmtId="164" fontId="4" fillId="0" borderId="4" xfId="2" applyNumberFormat="1" applyFont="1" applyBorder="1" applyAlignment="1">
      <alignment horizontal="center" vertical="center" wrapText="1"/>
    </xf>
    <xf numFmtId="0" fontId="3" fillId="0" borderId="4" xfId="2" applyFont="1" applyBorder="1" applyAlignment="1">
      <alignment horizontal="center" vertical="center" wrapText="1"/>
    </xf>
    <xf numFmtId="49" fontId="4" fillId="0" borderId="4" xfId="2" applyNumberFormat="1" applyFont="1" applyBorder="1" applyAlignment="1">
      <alignment vertical="center" wrapText="1"/>
    </xf>
    <xf numFmtId="0" fontId="3" fillId="0" borderId="4" xfId="2" applyFont="1" applyBorder="1" applyAlignment="1">
      <alignment vertical="center" wrapText="1"/>
    </xf>
    <xf numFmtId="0" fontId="4" fillId="0" borderId="4" xfId="2" applyFont="1" applyBorder="1" applyAlignment="1">
      <alignment vertical="center" wrapText="1"/>
    </xf>
    <xf numFmtId="164" fontId="4" fillId="0" borderId="4" xfId="2" applyNumberFormat="1" applyFont="1" applyBorder="1" applyAlignment="1">
      <alignment vertical="center" wrapText="1"/>
    </xf>
    <xf numFmtId="0" fontId="3" fillId="2" borderId="4" xfId="2" applyFont="1" applyFill="1" applyBorder="1" applyAlignment="1">
      <alignment horizontal="center" vertical="center" wrapText="1"/>
    </xf>
    <xf numFmtId="0" fontId="3" fillId="2" borderId="4" xfId="2" applyFont="1" applyFill="1" applyBorder="1" applyAlignment="1">
      <alignment vertical="center" wrapText="1"/>
    </xf>
    <xf numFmtId="43" fontId="14" fillId="0" borderId="0" xfId="1" applyFont="1"/>
    <xf numFmtId="43" fontId="14" fillId="0" borderId="4" xfId="1" quotePrefix="1" applyFont="1" applyBorder="1" applyAlignment="1">
      <alignment vertical="center"/>
    </xf>
    <xf numFmtId="43" fontId="14" fillId="0" borderId="4" xfId="1" applyFont="1" applyBorder="1" applyAlignment="1">
      <alignment vertical="center"/>
    </xf>
    <xf numFmtId="43" fontId="14" fillId="0" borderId="6" xfId="1" applyFont="1" applyBorder="1" applyAlignment="1">
      <alignment vertical="center"/>
    </xf>
    <xf numFmtId="43" fontId="14" fillId="0" borderId="14" xfId="1" applyFont="1" applyBorder="1" applyAlignment="1">
      <alignment vertical="center"/>
    </xf>
    <xf numFmtId="43" fontId="14" fillId="0" borderId="15" xfId="1" applyFont="1" applyBorder="1" applyAlignment="1">
      <alignment vertical="center"/>
    </xf>
    <xf numFmtId="43" fontId="18" fillId="0" borderId="4" xfId="1" applyFont="1" applyBorder="1" applyAlignment="1">
      <alignment vertical="center"/>
    </xf>
    <xf numFmtId="43" fontId="14" fillId="2" borderId="4" xfId="1" quotePrefix="1" applyFont="1" applyFill="1" applyBorder="1" applyAlignment="1">
      <alignment vertical="center"/>
    </xf>
    <xf numFmtId="43" fontId="14" fillId="2" borderId="4" xfId="1" applyFont="1" applyFill="1" applyBorder="1" applyAlignment="1">
      <alignment vertical="center"/>
    </xf>
    <xf numFmtId="43" fontId="14" fillId="2" borderId="6" xfId="1" applyFont="1" applyFill="1" applyBorder="1" applyAlignment="1">
      <alignment vertical="center"/>
    </xf>
    <xf numFmtId="43" fontId="14" fillId="2" borderId="14" xfId="1" applyFont="1" applyFill="1" applyBorder="1" applyAlignment="1">
      <alignment vertical="center"/>
    </xf>
    <xf numFmtId="43" fontId="14" fillId="2" borderId="15" xfId="1" applyFont="1" applyFill="1" applyBorder="1" applyAlignment="1">
      <alignment vertical="center"/>
    </xf>
    <xf numFmtId="43" fontId="14" fillId="2" borderId="4" xfId="1" applyFont="1" applyFill="1" applyBorder="1" applyAlignment="1">
      <alignment vertical="center" wrapText="1"/>
    </xf>
    <xf numFmtId="43" fontId="14" fillId="2" borderId="4" xfId="1" applyFont="1" applyFill="1" applyBorder="1" applyAlignment="1">
      <alignment horizontal="left" vertical="center" wrapText="1"/>
    </xf>
    <xf numFmtId="43" fontId="14" fillId="2" borderId="3" xfId="1" applyFont="1" applyFill="1" applyBorder="1" applyAlignment="1">
      <alignment vertical="center" wrapText="1"/>
    </xf>
    <xf numFmtId="43" fontId="14" fillId="2" borderId="3" xfId="1" applyFont="1" applyFill="1" applyBorder="1" applyAlignment="1">
      <alignment vertical="center"/>
    </xf>
    <xf numFmtId="43" fontId="14" fillId="2" borderId="9" xfId="1" applyFont="1" applyFill="1" applyBorder="1" applyAlignment="1">
      <alignment vertical="center"/>
    </xf>
    <xf numFmtId="43" fontId="14" fillId="2" borderId="16" xfId="1" applyFont="1" applyFill="1" applyBorder="1" applyAlignment="1">
      <alignment vertical="center"/>
    </xf>
    <xf numFmtId="43" fontId="14" fillId="2" borderId="17" xfId="1" applyFont="1" applyFill="1" applyBorder="1" applyAlignment="1">
      <alignment vertical="center"/>
    </xf>
    <xf numFmtId="43" fontId="14" fillId="0" borderId="4" xfId="1" applyFont="1" applyBorder="1" applyAlignment="1">
      <alignment vertical="center" wrapText="1"/>
    </xf>
    <xf numFmtId="43" fontId="14" fillId="2" borderId="4" xfId="1" applyFont="1" applyFill="1" applyBorder="1"/>
    <xf numFmtId="43" fontId="14" fillId="2" borderId="6" xfId="1" applyFont="1" applyFill="1" applyBorder="1"/>
    <xf numFmtId="43" fontId="19" fillId="2" borderId="4" xfId="1" applyFont="1" applyFill="1" applyBorder="1" applyAlignment="1">
      <alignment vertical="center"/>
    </xf>
    <xf numFmtId="43" fontId="18" fillId="2" borderId="4" xfId="1" applyFont="1" applyFill="1" applyBorder="1" applyAlignment="1">
      <alignment vertical="center"/>
    </xf>
    <xf numFmtId="43" fontId="14" fillId="6" borderId="4" xfId="1" applyFont="1" applyFill="1" applyBorder="1" applyAlignment="1">
      <alignment vertical="center"/>
    </xf>
    <xf numFmtId="0" fontId="24" fillId="0" borderId="4" xfId="0" applyFont="1" applyBorder="1" applyAlignment="1">
      <alignment vertical="top" wrapText="1"/>
    </xf>
    <xf numFmtId="0" fontId="24" fillId="0" borderId="4" xfId="0" applyFont="1" applyBorder="1" applyAlignment="1">
      <alignment horizontal="center" vertical="top" wrapText="1"/>
    </xf>
    <xf numFmtId="0" fontId="24" fillId="0" borderId="4" xfId="0" applyFont="1" applyBorder="1" applyAlignment="1">
      <alignment horizontal="center" vertical="top"/>
    </xf>
    <xf numFmtId="49" fontId="24" fillId="0" borderId="4" xfId="0" applyNumberFormat="1" applyFont="1" applyBorder="1" applyAlignment="1">
      <alignment horizontal="center" vertical="top" wrapText="1"/>
    </xf>
    <xf numFmtId="44" fontId="24" fillId="0" borderId="4" xfId="1" applyNumberFormat="1" applyFont="1" applyFill="1" applyBorder="1" applyAlignment="1">
      <alignment vertical="top"/>
    </xf>
    <xf numFmtId="0" fontId="25" fillId="0" borderId="4" xfId="0" applyFont="1" applyBorder="1" applyAlignment="1">
      <alignment vertical="top"/>
    </xf>
    <xf numFmtId="0" fontId="25" fillId="0" borderId="0" xfId="0" applyFont="1" applyAlignment="1">
      <alignment vertical="center"/>
    </xf>
    <xf numFmtId="43" fontId="24" fillId="0" borderId="4" xfId="1" applyFont="1" applyFill="1" applyBorder="1" applyAlignment="1">
      <alignment vertical="top"/>
    </xf>
    <xf numFmtId="43" fontId="15" fillId="2" borderId="4" xfId="1" applyFont="1" applyFill="1" applyBorder="1" applyAlignment="1">
      <alignment horizontal="center" vertical="center" wrapText="1"/>
    </xf>
    <xf numFmtId="43" fontId="15" fillId="2" borderId="14" xfId="1" applyFont="1" applyFill="1" applyBorder="1" applyAlignment="1">
      <alignment horizontal="center" vertical="center" wrapText="1"/>
    </xf>
    <xf numFmtId="43" fontId="15" fillId="2" borderId="15" xfId="1" applyFont="1" applyFill="1" applyBorder="1" applyAlignment="1">
      <alignment horizontal="center" vertical="center" wrapText="1"/>
    </xf>
    <xf numFmtId="43" fontId="15" fillId="2" borderId="6" xfId="1" applyFont="1" applyFill="1" applyBorder="1" applyAlignment="1">
      <alignment horizontal="center" vertical="center" wrapText="1"/>
    </xf>
    <xf numFmtId="43" fontId="16" fillId="2" borderId="4" xfId="1" applyFont="1" applyFill="1" applyBorder="1" applyAlignment="1">
      <alignment horizontal="center" vertical="center" wrapText="1"/>
    </xf>
    <xf numFmtId="43" fontId="15" fillId="2" borderId="5" xfId="1" applyFont="1" applyFill="1" applyBorder="1" applyAlignment="1">
      <alignment horizontal="center" vertical="center" wrapText="1"/>
    </xf>
    <xf numFmtId="43" fontId="17" fillId="2" borderId="4" xfId="1" applyFont="1" applyFill="1" applyBorder="1" applyAlignment="1">
      <alignment horizontal="center" vertical="center" wrapText="1"/>
    </xf>
    <xf numFmtId="43" fontId="17" fillId="2" borderId="6" xfId="1" applyFont="1" applyFill="1" applyBorder="1" applyAlignment="1">
      <alignment horizontal="center" vertical="center" wrapText="1"/>
    </xf>
    <xf numFmtId="43" fontId="16" fillId="2" borderId="14" xfId="1" applyFont="1" applyFill="1" applyBorder="1" applyAlignment="1">
      <alignment horizontal="center" vertical="center" wrapText="1"/>
    </xf>
    <xf numFmtId="43" fontId="16" fillId="2" borderId="15" xfId="1" applyFont="1" applyFill="1" applyBorder="1" applyAlignment="1">
      <alignment horizontal="center" vertical="center" wrapText="1"/>
    </xf>
    <xf numFmtId="43" fontId="16" fillId="7" borderId="4" xfId="1" applyFont="1" applyFill="1" applyBorder="1" applyAlignment="1">
      <alignment horizontal="center" vertical="center" wrapText="1"/>
    </xf>
    <xf numFmtId="0" fontId="25" fillId="0" borderId="0" xfId="0" quotePrefix="1" applyFont="1" applyAlignment="1">
      <alignment vertical="center"/>
    </xf>
    <xf numFmtId="0" fontId="25" fillId="0" borderId="4" xfId="0" applyFont="1" applyBorder="1" applyAlignment="1">
      <alignment vertical="center"/>
    </xf>
    <xf numFmtId="0" fontId="26" fillId="0" borderId="4" xfId="5" applyFont="1" applyBorder="1" applyAlignment="1">
      <alignment horizontal="right" vertical="center" shrinkToFit="1"/>
    </xf>
    <xf numFmtId="3" fontId="26" fillId="0" borderId="6" xfId="5" applyNumberFormat="1" applyFont="1" applyBorder="1" applyAlignment="1">
      <alignment vertical="center"/>
    </xf>
    <xf numFmtId="3" fontId="26" fillId="0" borderId="5" xfId="5" applyNumberFormat="1" applyFont="1" applyBorder="1" applyAlignment="1">
      <alignment vertical="center"/>
    </xf>
    <xf numFmtId="3" fontId="26" fillId="0" borderId="4" xfId="5" applyNumberFormat="1" applyFont="1" applyBorder="1" applyAlignment="1">
      <alignment vertical="center"/>
    </xf>
    <xf numFmtId="0" fontId="25" fillId="0" borderId="4" xfId="0" applyFont="1" applyBorder="1" applyAlignment="1">
      <alignment wrapText="1"/>
    </xf>
    <xf numFmtId="0" fontId="10" fillId="3" borderId="6" xfId="0" applyFont="1" applyFill="1" applyBorder="1" applyAlignment="1">
      <alignment horizontal="center" vertical="center" wrapText="1"/>
    </xf>
    <xf numFmtId="0" fontId="10" fillId="3" borderId="0" xfId="0" applyFont="1" applyFill="1" applyAlignment="1">
      <alignment horizontal="center" vertical="center" wrapText="1"/>
    </xf>
    <xf numFmtId="0" fontId="27" fillId="3" borderId="4" xfId="0" applyFont="1" applyFill="1" applyBorder="1" applyAlignment="1">
      <alignment horizontal="center" vertical="center" wrapText="1"/>
    </xf>
    <xf numFmtId="0" fontId="24" fillId="0" borderId="4" xfId="0" applyFont="1" applyBorder="1" applyAlignment="1">
      <alignment vertical="center" wrapText="1"/>
    </xf>
    <xf numFmtId="0" fontId="24" fillId="0" borderId="4" xfId="0" applyFont="1" applyBorder="1" applyAlignment="1">
      <alignment horizontal="center" vertical="center" wrapText="1"/>
    </xf>
    <xf numFmtId="0" fontId="24" fillId="0" borderId="4" xfId="0" applyFont="1" applyBorder="1" applyAlignment="1">
      <alignment horizontal="center" vertical="center"/>
    </xf>
    <xf numFmtId="49" fontId="24" fillId="0" borderId="4" xfId="0" applyNumberFormat="1" applyFont="1" applyBorder="1" applyAlignment="1">
      <alignment horizontal="center" vertical="center" wrapText="1"/>
    </xf>
    <xf numFmtId="0" fontId="26" fillId="0" borderId="4" xfId="0" applyFont="1" applyBorder="1" applyAlignment="1">
      <alignment vertical="top" wrapText="1"/>
    </xf>
    <xf numFmtId="0" fontId="25" fillId="0" borderId="4" xfId="0" applyFont="1" applyBorder="1"/>
    <xf numFmtId="0" fontId="24" fillId="0" borderId="4" xfId="0" applyFont="1" applyBorder="1"/>
    <xf numFmtId="44" fontId="24" fillId="0" borderId="4" xfId="0" applyNumberFormat="1" applyFont="1" applyBorder="1"/>
    <xf numFmtId="0" fontId="26" fillId="0" borderId="6" xfId="0" applyFont="1" applyBorder="1" applyAlignment="1">
      <alignment vertical="top" wrapText="1"/>
    </xf>
    <xf numFmtId="0" fontId="24" fillId="0" borderId="6" xfId="0" applyFont="1" applyBorder="1" applyAlignment="1">
      <alignment vertical="center" wrapText="1"/>
    </xf>
    <xf numFmtId="0" fontId="26" fillId="0" borderId="6" xfId="5" applyFont="1" applyBorder="1" applyAlignment="1">
      <alignment vertical="center"/>
    </xf>
    <xf numFmtId="0" fontId="26" fillId="0" borderId="4" xfId="5" applyFont="1" applyBorder="1" applyAlignment="1">
      <alignment vertical="center"/>
    </xf>
    <xf numFmtId="43" fontId="24" fillId="0" borderId="4" xfId="1" applyFont="1" applyFill="1" applyBorder="1" applyAlignment="1">
      <alignment vertical="center"/>
    </xf>
    <xf numFmtId="43" fontId="0" fillId="0" borderId="0" xfId="1" applyFont="1"/>
    <xf numFmtId="43" fontId="24" fillId="0" borderId="4" xfId="1" applyFont="1" applyBorder="1" applyAlignment="1">
      <alignment horizontal="center" vertical="top" wrapText="1"/>
    </xf>
    <xf numFmtId="43" fontId="24" fillId="0" borderId="4" xfId="1" applyFont="1" applyBorder="1"/>
    <xf numFmtId="0" fontId="29" fillId="0" borderId="4" xfId="0" applyFont="1" applyBorder="1" applyAlignment="1">
      <alignment horizontal="center" vertical="top" wrapText="1"/>
    </xf>
    <xf numFmtId="0" fontId="25" fillId="0" borderId="21" xfId="0" applyFont="1" applyBorder="1"/>
    <xf numFmtId="0" fontId="31" fillId="8" borderId="20" xfId="0" applyFont="1" applyFill="1" applyBorder="1" applyAlignment="1">
      <alignment vertical="center" wrapText="1"/>
    </xf>
    <xf numFmtId="0" fontId="31" fillId="8" borderId="5" xfId="0" applyFont="1" applyFill="1" applyBorder="1" applyAlignment="1">
      <alignment vertical="center" wrapText="1"/>
    </xf>
    <xf numFmtId="0" fontId="26" fillId="0" borderId="6" xfId="0" applyFont="1" applyBorder="1" applyAlignment="1">
      <alignment horizontal="center" vertical="top" wrapText="1"/>
    </xf>
    <xf numFmtId="0" fontId="26" fillId="0" borderId="5" xfId="0" applyFont="1" applyBorder="1" applyAlignment="1">
      <alignment horizontal="center" vertical="top" wrapText="1"/>
    </xf>
    <xf numFmtId="43" fontId="27" fillId="2" borderId="4" xfId="1" applyFont="1" applyFill="1" applyBorder="1" applyAlignment="1">
      <alignment horizontal="center" vertical="top" wrapText="1"/>
    </xf>
    <xf numFmtId="0" fontId="24" fillId="0" borderId="5" xfId="0" applyFont="1" applyBorder="1" applyAlignment="1">
      <alignment horizontal="center" vertical="top" wrapText="1"/>
    </xf>
    <xf numFmtId="0" fontId="24" fillId="0" borderId="1" xfId="0" applyFont="1" applyBorder="1" applyAlignment="1">
      <alignment horizontal="center" vertical="top" wrapText="1"/>
    </xf>
    <xf numFmtId="0" fontId="24" fillId="0" borderId="1" xfId="0" applyFont="1" applyBorder="1" applyAlignment="1">
      <alignment horizontal="center" vertical="top"/>
    </xf>
    <xf numFmtId="49" fontId="24" fillId="0" borderId="1" xfId="0" applyNumberFormat="1" applyFont="1" applyBorder="1" applyAlignment="1">
      <alignment horizontal="center" vertical="top" wrapText="1"/>
    </xf>
    <xf numFmtId="0" fontId="26" fillId="0" borderId="4" xfId="0" applyFont="1" applyBorder="1" applyAlignment="1">
      <alignment horizontal="center" vertical="top" wrapText="1"/>
    </xf>
    <xf numFmtId="0" fontId="25" fillId="0" borderId="4" xfId="0" applyFont="1" applyBorder="1" applyAlignment="1">
      <alignment horizontal="center" vertical="top" wrapText="1"/>
    </xf>
    <xf numFmtId="17" fontId="25" fillId="0" borderId="4" xfId="0" applyNumberFormat="1" applyFont="1" applyBorder="1" applyAlignment="1">
      <alignment horizontal="center" vertical="top" wrapText="1"/>
    </xf>
    <xf numFmtId="44" fontId="25" fillId="0" borderId="4" xfId="1" applyNumberFormat="1" applyFont="1" applyFill="1" applyBorder="1" applyAlignment="1">
      <alignment horizontal="center" vertical="top" wrapText="1"/>
    </xf>
    <xf numFmtId="0" fontId="25" fillId="0" borderId="4" xfId="0" applyFont="1" applyBorder="1" applyAlignment="1">
      <alignment horizontal="center" vertical="top"/>
    </xf>
    <xf numFmtId="17" fontId="25" fillId="0" borderId="4" xfId="0" applyNumberFormat="1" applyFont="1" applyBorder="1" applyAlignment="1">
      <alignment horizontal="center" vertical="top"/>
    </xf>
    <xf numFmtId="44" fontId="25" fillId="0" borderId="4" xfId="1" applyNumberFormat="1" applyFont="1" applyFill="1" applyBorder="1" applyAlignment="1">
      <alignment horizontal="center" vertical="top"/>
    </xf>
    <xf numFmtId="0" fontId="25" fillId="0" borderId="5" xfId="0" applyFont="1" applyBorder="1"/>
    <xf numFmtId="43" fontId="0" fillId="0" borderId="0" xfId="0" applyNumberFormat="1"/>
    <xf numFmtId="0" fontId="26" fillId="0" borderId="6" xfId="5" applyFont="1" applyBorder="1" applyAlignment="1">
      <alignment horizontal="right" vertical="center" shrinkToFit="1"/>
    </xf>
    <xf numFmtId="44" fontId="24" fillId="0" borderId="4" xfId="1" applyNumberFormat="1" applyFont="1" applyFill="1" applyBorder="1" applyAlignment="1">
      <alignment vertical="center"/>
    </xf>
    <xf numFmtId="0" fontId="25" fillId="0" borderId="0" xfId="0" applyFont="1"/>
    <xf numFmtId="0" fontId="33" fillId="0" borderId="4" xfId="0" applyFont="1" applyBorder="1" applyAlignment="1">
      <alignment horizontal="center" vertical="top" wrapText="1"/>
    </xf>
    <xf numFmtId="0" fontId="33" fillId="0" borderId="4" xfId="0" applyFont="1" applyBorder="1" applyAlignment="1">
      <alignment horizontal="center" vertical="top"/>
    </xf>
    <xf numFmtId="49" fontId="33" fillId="0" borderId="4" xfId="0" applyNumberFormat="1" applyFont="1" applyBorder="1" applyAlignment="1">
      <alignment horizontal="center" vertical="top" wrapText="1"/>
    </xf>
    <xf numFmtId="44" fontId="33" fillId="0" borderId="4" xfId="1" applyNumberFormat="1" applyFont="1" applyFill="1" applyBorder="1" applyAlignment="1">
      <alignment vertical="top"/>
    </xf>
    <xf numFmtId="0" fontId="34" fillId="0" borderId="4" xfId="0" applyFont="1" applyBorder="1" applyAlignment="1">
      <alignment vertical="top"/>
    </xf>
    <xf numFmtId="0" fontId="32" fillId="0" borderId="4" xfId="5" applyFont="1" applyBorder="1" applyAlignment="1">
      <alignment horizontal="right" vertical="center" shrinkToFit="1"/>
    </xf>
    <xf numFmtId="0" fontId="34" fillId="0" borderId="4" xfId="0" applyFont="1" applyBorder="1" applyAlignment="1">
      <alignment horizontal="right"/>
    </xf>
    <xf numFmtId="167" fontId="34" fillId="0" borderId="6" xfId="1" applyNumberFormat="1" applyFont="1" applyFill="1" applyBorder="1" applyAlignment="1"/>
    <xf numFmtId="167" fontId="34" fillId="0" borderId="5" xfId="1" applyNumberFormat="1" applyFont="1" applyFill="1" applyBorder="1" applyAlignment="1"/>
    <xf numFmtId="3" fontId="32" fillId="0" borderId="6" xfId="5" applyNumberFormat="1" applyFont="1" applyBorder="1" applyAlignment="1">
      <alignment vertical="center"/>
    </xf>
    <xf numFmtId="167" fontId="32" fillId="0" borderId="6" xfId="1" applyNumberFormat="1" applyFont="1" applyFill="1" applyBorder="1" applyAlignment="1">
      <alignment vertical="center"/>
    </xf>
    <xf numFmtId="0" fontId="25" fillId="0" borderId="6" xfId="0" applyFont="1" applyBorder="1" applyAlignment="1">
      <alignment vertical="center" wrapText="1"/>
    </xf>
    <xf numFmtId="0" fontId="34" fillId="0" borderId="6" xfId="0" applyFont="1" applyBorder="1" applyAlignment="1">
      <alignment wrapText="1"/>
    </xf>
    <xf numFmtId="0" fontId="26" fillId="0" borderId="6" xfId="5" applyFont="1" applyBorder="1" applyAlignment="1">
      <alignment vertical="center" wrapText="1"/>
    </xf>
    <xf numFmtId="0" fontId="26" fillId="0" borderId="4" xfId="5" applyFont="1" applyBorder="1" applyAlignment="1">
      <alignment vertical="center" wrapText="1"/>
    </xf>
    <xf numFmtId="43" fontId="33" fillId="0" borderId="4" xfId="1" applyFont="1" applyFill="1" applyBorder="1" applyAlignment="1">
      <alignment vertical="top"/>
    </xf>
    <xf numFmtId="43" fontId="33" fillId="0" borderId="4" xfId="1" applyFont="1" applyBorder="1" applyAlignment="1">
      <alignment horizontal="center" vertical="top" wrapText="1"/>
    </xf>
    <xf numFmtId="167" fontId="25" fillId="0" borderId="5" xfId="1" applyNumberFormat="1" applyFont="1" applyFill="1" applyBorder="1" applyAlignment="1"/>
    <xf numFmtId="0" fontId="24" fillId="0" borderId="6" xfId="0" applyFont="1" applyBorder="1" applyAlignment="1">
      <alignment horizontal="center" vertical="top" wrapText="1"/>
    </xf>
    <xf numFmtId="0" fontId="25" fillId="0" borderId="6" xfId="0" applyFont="1" applyBorder="1" applyAlignment="1">
      <alignment horizontal="right"/>
    </xf>
    <xf numFmtId="167" fontId="25" fillId="0" borderId="4" xfId="1" applyNumberFormat="1" applyFont="1" applyFill="1" applyBorder="1" applyAlignment="1"/>
    <xf numFmtId="43" fontId="0" fillId="0" borderId="4" xfId="1" applyFont="1" applyBorder="1"/>
    <xf numFmtId="43" fontId="14" fillId="0" borderId="0" xfId="1" applyFont="1" applyAlignment="1">
      <alignment horizontal="fill"/>
    </xf>
    <xf numFmtId="43" fontId="15" fillId="2" borderId="4" xfId="1" applyFont="1" applyFill="1" applyBorder="1" applyAlignment="1">
      <alignment horizontal="fill" vertical="center"/>
    </xf>
    <xf numFmtId="0" fontId="0" fillId="0" borderId="5" xfId="0" applyBorder="1" applyAlignment="1">
      <alignment horizontal="fill"/>
    </xf>
    <xf numFmtId="43" fontId="14" fillId="2" borderId="4" xfId="1" quotePrefix="1" applyFont="1" applyFill="1" applyBorder="1" applyAlignment="1">
      <alignment horizontal="fill" vertical="center"/>
    </xf>
    <xf numFmtId="43" fontId="14" fillId="2" borderId="4" xfId="1" applyFont="1" applyFill="1" applyBorder="1" applyAlignment="1">
      <alignment horizontal="fill" vertical="center"/>
    </xf>
    <xf numFmtId="43" fontId="14" fillId="2" borderId="4" xfId="1" applyFont="1" applyFill="1" applyBorder="1" applyAlignment="1">
      <alignment horizontal="fill"/>
    </xf>
    <xf numFmtId="0" fontId="0" fillId="0" borderId="0" xfId="0" applyAlignment="1">
      <alignment horizontal="fill"/>
    </xf>
    <xf numFmtId="0" fontId="25" fillId="0" borderId="5" xfId="0" applyFont="1" applyBorder="1" applyAlignment="1">
      <alignment wrapText="1"/>
    </xf>
    <xf numFmtId="0" fontId="26" fillId="0" borderId="21" xfId="0" applyFont="1" applyBorder="1" applyAlignment="1">
      <alignment vertical="top" wrapText="1"/>
    </xf>
    <xf numFmtId="44" fontId="24" fillId="0" borderId="0" xfId="0" applyNumberFormat="1" applyFont="1"/>
    <xf numFmtId="0" fontId="25" fillId="0" borderId="6" xfId="0" applyFont="1" applyBorder="1" applyAlignment="1">
      <alignment horizontal="right" vertical="top" wrapText="1"/>
    </xf>
    <xf numFmtId="0" fontId="24" fillId="0" borderId="4" xfId="0" applyFont="1" applyBorder="1" applyAlignment="1">
      <alignment wrapText="1"/>
    </xf>
    <xf numFmtId="43" fontId="11" fillId="0" borderId="4" xfId="1" applyFont="1" applyBorder="1" applyAlignment="1">
      <alignment horizontal="center" vertical="center" wrapText="1"/>
    </xf>
    <xf numFmtId="43" fontId="10" fillId="3" borderId="4" xfId="1" applyFont="1" applyFill="1" applyBorder="1" applyAlignment="1">
      <alignment horizontal="center" vertical="center" wrapText="1"/>
    </xf>
    <xf numFmtId="0" fontId="35" fillId="9" borderId="24" xfId="0" applyFont="1" applyFill="1" applyBorder="1"/>
    <xf numFmtId="0" fontId="23" fillId="0" borderId="24" xfId="0" applyFont="1" applyBorder="1"/>
    <xf numFmtId="0" fontId="23" fillId="0" borderId="24" xfId="0" applyFont="1" applyBorder="1" applyAlignment="1">
      <alignment horizontal="left"/>
    </xf>
    <xf numFmtId="0" fontId="23" fillId="0" borderId="25" xfId="0" applyFont="1" applyBorder="1" applyAlignment="1">
      <alignment horizontal="center"/>
    </xf>
    <xf numFmtId="0" fontId="23" fillId="0" borderId="26" xfId="0" applyFont="1" applyBorder="1"/>
    <xf numFmtId="0" fontId="23" fillId="0" borderId="24" xfId="0" quotePrefix="1" applyFont="1" applyBorder="1"/>
    <xf numFmtId="0" fontId="23" fillId="0" borderId="24" xfId="0" applyFont="1" applyBorder="1" applyAlignment="1">
      <alignment horizontal="center"/>
    </xf>
    <xf numFmtId="0" fontId="23" fillId="0" borderId="25" xfId="0" applyFont="1" applyBorder="1"/>
    <xf numFmtId="0" fontId="23" fillId="0" borderId="25" xfId="0" applyFont="1" applyBorder="1" applyAlignment="1">
      <alignment horizontal="left"/>
    </xf>
    <xf numFmtId="0" fontId="23" fillId="0" borderId="27" xfId="0" applyFont="1" applyBorder="1" applyAlignment="1">
      <alignment horizontal="center"/>
    </xf>
    <xf numFmtId="0" fontId="23" fillId="0" borderId="25" xfId="0" quotePrefix="1" applyFont="1" applyBorder="1"/>
    <xf numFmtId="17" fontId="23" fillId="0" borderId="25" xfId="0" applyNumberFormat="1" applyFont="1" applyBorder="1"/>
    <xf numFmtId="0" fontId="36" fillId="0" borderId="25" xfId="0" applyFont="1" applyBorder="1"/>
    <xf numFmtId="0" fontId="23" fillId="0" borderId="25" xfId="0" quotePrefix="1" applyFont="1" applyBorder="1" applyAlignment="1">
      <alignment horizontal="center"/>
    </xf>
    <xf numFmtId="43" fontId="24" fillId="0" borderId="0" xfId="1" applyFont="1"/>
    <xf numFmtId="43" fontId="23" fillId="0" borderId="24" xfId="1" applyFont="1" applyBorder="1"/>
    <xf numFmtId="43" fontId="23" fillId="0" borderId="25" xfId="1" applyFont="1" applyBorder="1"/>
    <xf numFmtId="43" fontId="9" fillId="2" borderId="4" xfId="1" applyFont="1" applyFill="1" applyBorder="1" applyAlignment="1">
      <alignment horizontal="center" vertical="top" wrapText="1"/>
    </xf>
    <xf numFmtId="43" fontId="4" fillId="0" borderId="4" xfId="1" applyFont="1" applyBorder="1" applyAlignment="1">
      <alignment vertical="center" wrapText="1"/>
    </xf>
    <xf numFmtId="43" fontId="4" fillId="0" borderId="4" xfId="1" applyFont="1" applyBorder="1" applyAlignment="1">
      <alignment horizontal="center" vertical="center" wrapText="1"/>
    </xf>
    <xf numFmtId="0" fontId="25" fillId="2" borderId="0" xfId="0" applyFont="1" applyFill="1" applyAlignment="1">
      <alignment vertical="center"/>
    </xf>
    <xf numFmtId="0" fontId="24" fillId="2" borderId="4" xfId="0" applyFont="1" applyFill="1" applyBorder="1" applyAlignment="1">
      <alignment vertical="top" wrapText="1"/>
    </xf>
    <xf numFmtId="0" fontId="24" fillId="2" borderId="4" xfId="0" applyFont="1" applyFill="1" applyBorder="1" applyAlignment="1">
      <alignment horizontal="center" vertical="top" wrapText="1"/>
    </xf>
    <xf numFmtId="0" fontId="24" fillId="2" borderId="4" xfId="0" applyFont="1" applyFill="1" applyBorder="1" applyAlignment="1">
      <alignment horizontal="center" vertical="top"/>
    </xf>
    <xf numFmtId="49" fontId="24" fillId="2" borderId="4" xfId="0" applyNumberFormat="1" applyFont="1" applyFill="1" applyBorder="1" applyAlignment="1">
      <alignment horizontal="center" vertical="top" wrapText="1"/>
    </xf>
    <xf numFmtId="44" fontId="24" fillId="2" borderId="4" xfId="1" applyNumberFormat="1" applyFont="1" applyFill="1" applyBorder="1" applyAlignment="1">
      <alignment vertical="top"/>
    </xf>
    <xf numFmtId="0" fontId="25" fillId="2" borderId="4" xfId="0" applyFont="1" applyFill="1" applyBorder="1" applyAlignment="1">
      <alignment vertical="top"/>
    </xf>
    <xf numFmtId="0" fontId="26" fillId="2" borderId="4" xfId="0" applyFont="1" applyFill="1" applyBorder="1" applyAlignment="1">
      <alignment horizontal="center" vertical="top" wrapText="1"/>
    </xf>
    <xf numFmtId="0" fontId="25" fillId="2" borderId="4" xfId="0" applyFont="1" applyFill="1" applyBorder="1" applyAlignment="1">
      <alignment horizontal="center" vertical="top" wrapText="1"/>
    </xf>
    <xf numFmtId="17" fontId="25" fillId="2" borderId="4" xfId="0" applyNumberFormat="1" applyFont="1" applyFill="1" applyBorder="1" applyAlignment="1">
      <alignment horizontal="center" vertical="top" wrapText="1"/>
    </xf>
    <xf numFmtId="44" fontId="25" fillId="2" borderId="4" xfId="1" applyNumberFormat="1" applyFont="1" applyFill="1" applyBorder="1" applyAlignment="1">
      <alignment horizontal="center" vertical="top" wrapText="1"/>
    </xf>
    <xf numFmtId="43" fontId="24" fillId="2" borderId="4" xfId="1" applyFont="1" applyFill="1" applyBorder="1" applyAlignment="1">
      <alignment vertical="top"/>
    </xf>
    <xf numFmtId="0" fontId="0" fillId="2" borderId="4" xfId="0" applyFill="1" applyBorder="1"/>
    <xf numFmtId="0" fontId="10" fillId="3" borderId="2" xfId="0" applyFont="1" applyFill="1" applyBorder="1" applyAlignment="1">
      <alignment horizontal="center" vertical="center" wrapText="1"/>
    </xf>
    <xf numFmtId="0" fontId="10" fillId="3" borderId="22" xfId="0" applyFont="1" applyFill="1" applyBorder="1" applyAlignment="1">
      <alignment horizontal="center" vertical="center" wrapText="1"/>
    </xf>
    <xf numFmtId="0" fontId="29" fillId="10" borderId="25" xfId="0" applyFont="1" applyFill="1" applyBorder="1" applyAlignment="1">
      <alignment horizontal="center"/>
    </xf>
    <xf numFmtId="0" fontId="33" fillId="0" borderId="1" xfId="0" applyFont="1" applyBorder="1" applyAlignment="1">
      <alignment horizontal="center" vertical="top" wrapText="1"/>
    </xf>
    <xf numFmtId="0" fontId="26" fillId="0" borderId="1" xfId="5" applyFont="1" applyBorder="1" applyAlignment="1">
      <alignment horizontal="right" vertical="center" shrinkToFit="1"/>
    </xf>
    <xf numFmtId="3" fontId="26" fillId="0" borderId="30" xfId="5" applyNumberFormat="1" applyFont="1" applyBorder="1" applyAlignment="1">
      <alignment vertical="center"/>
    </xf>
    <xf numFmtId="43" fontId="24" fillId="0" borderId="1" xfId="1" applyFont="1" applyFill="1" applyBorder="1" applyAlignment="1">
      <alignment vertical="top"/>
    </xf>
    <xf numFmtId="0" fontId="25" fillId="2" borderId="4" xfId="0" quotePrefix="1" applyFont="1" applyFill="1" applyBorder="1" applyAlignment="1">
      <alignment vertical="center"/>
    </xf>
    <xf numFmtId="0" fontId="25" fillId="2" borderId="4" xfId="0" applyFont="1" applyFill="1" applyBorder="1" applyAlignment="1">
      <alignment vertical="center"/>
    </xf>
    <xf numFmtId="167" fontId="26" fillId="2" borderId="4" xfId="1" applyNumberFormat="1" applyFont="1" applyFill="1" applyBorder="1" applyAlignment="1">
      <alignment vertical="center"/>
    </xf>
    <xf numFmtId="167" fontId="28" fillId="2" borderId="4" xfId="1" applyNumberFormat="1" applyFont="1" applyFill="1" applyBorder="1" applyAlignment="1"/>
    <xf numFmtId="0" fontId="24" fillId="2" borderId="4" xfId="0" applyFont="1" applyFill="1" applyBorder="1" applyAlignment="1">
      <alignment wrapText="1"/>
    </xf>
    <xf numFmtId="0" fontId="25" fillId="0" borderId="4" xfId="0" quotePrefix="1" applyFont="1" applyBorder="1" applyAlignment="1">
      <alignment vertical="center"/>
    </xf>
    <xf numFmtId="0" fontId="34" fillId="0" borderId="4" xfId="0" applyFont="1" applyBorder="1" applyAlignment="1">
      <alignment wrapText="1"/>
    </xf>
    <xf numFmtId="3" fontId="32" fillId="0" borderId="4" xfId="5" applyNumberFormat="1" applyFont="1" applyBorder="1" applyAlignment="1">
      <alignment vertical="center"/>
    </xf>
    <xf numFmtId="167" fontId="32" fillId="0" borderId="4" xfId="1" applyNumberFormat="1" applyFont="1" applyFill="1" applyBorder="1" applyAlignment="1">
      <alignment vertical="center"/>
    </xf>
    <xf numFmtId="167" fontId="34" fillId="0" borderId="4" xfId="1" applyNumberFormat="1" applyFont="1" applyFill="1" applyBorder="1" applyAlignment="1"/>
    <xf numFmtId="0" fontId="25" fillId="0" borderId="4" xfId="0" applyFont="1" applyBorder="1" applyAlignment="1">
      <alignment vertical="center" wrapText="1"/>
    </xf>
    <xf numFmtId="0" fontId="37" fillId="0" borderId="25" xfId="0" applyFont="1" applyBorder="1"/>
    <xf numFmtId="0" fontId="29" fillId="10" borderId="25" xfId="0" quotePrefix="1" applyFont="1" applyFill="1" applyBorder="1" applyAlignment="1">
      <alignment horizontal="center"/>
    </xf>
    <xf numFmtId="43" fontId="30" fillId="5" borderId="0" xfId="0" applyNumberFormat="1" applyFont="1" applyFill="1"/>
    <xf numFmtId="43" fontId="29" fillId="5" borderId="4" xfId="1" applyFont="1" applyFill="1" applyBorder="1" applyAlignment="1">
      <alignment vertical="center"/>
    </xf>
    <xf numFmtId="43" fontId="29" fillId="5" borderId="4" xfId="1" applyFont="1" applyFill="1" applyBorder="1"/>
    <xf numFmtId="0" fontId="38" fillId="2" borderId="4" xfId="6" applyFont="1" applyFill="1" applyBorder="1" applyAlignment="1">
      <alignment horizontal="center" vertical="center" wrapText="1"/>
    </xf>
    <xf numFmtId="0" fontId="39" fillId="0" borderId="4" xfId="6" applyFont="1" applyBorder="1" applyAlignment="1">
      <alignment horizontal="center" vertical="center" wrapText="1"/>
    </xf>
    <xf numFmtId="0" fontId="39" fillId="0" borderId="3" xfId="6" applyFont="1" applyBorder="1" applyAlignment="1">
      <alignment horizontal="center" vertical="center" wrapText="1"/>
    </xf>
    <xf numFmtId="0" fontId="39" fillId="0" borderId="2" xfId="6" applyFont="1" applyBorder="1" applyAlignment="1">
      <alignment horizontal="center" vertical="center" wrapText="1"/>
    </xf>
    <xf numFmtId="0" fontId="41" fillId="0" borderId="4" xfId="0" applyFont="1" applyBorder="1" applyAlignment="1">
      <alignment vertical="center" wrapText="1"/>
    </xf>
    <xf numFmtId="0" fontId="42" fillId="0" borderId="4" xfId="7" applyFont="1" applyBorder="1" applyAlignment="1">
      <alignment horizontal="center" vertical="center" wrapText="1"/>
    </xf>
    <xf numFmtId="0" fontId="41" fillId="0" borderId="6" xfId="0" applyFont="1" applyBorder="1" applyAlignment="1">
      <alignment vertical="center"/>
    </xf>
    <xf numFmtId="0" fontId="41" fillId="0" borderId="6" xfId="0" applyFont="1" applyBorder="1" applyAlignment="1">
      <alignment vertical="center" wrapText="1"/>
    </xf>
    <xf numFmtId="0" fontId="39" fillId="0" borderId="1" xfId="6" applyFont="1" applyBorder="1" applyAlignment="1">
      <alignment horizontal="center" vertical="center" wrapText="1"/>
    </xf>
    <xf numFmtId="0" fontId="38" fillId="2" borderId="9" xfId="6" applyFont="1" applyFill="1" applyBorder="1" applyAlignment="1">
      <alignment vertical="center" wrapText="1"/>
    </xf>
    <xf numFmtId="0" fontId="38" fillId="2" borderId="10" xfId="6" applyFont="1" applyFill="1" applyBorder="1" applyAlignment="1">
      <alignment vertical="center" wrapText="1"/>
    </xf>
    <xf numFmtId="0" fontId="38" fillId="2" borderId="30" xfId="6" applyFont="1" applyFill="1" applyBorder="1" applyAlignment="1">
      <alignment vertical="center" wrapText="1"/>
    </xf>
    <xf numFmtId="0" fontId="40" fillId="0" borderId="3" xfId="6" applyFont="1" applyBorder="1" applyAlignment="1">
      <alignment horizontal="center" vertical="center"/>
    </xf>
    <xf numFmtId="17" fontId="6" fillId="0" borderId="3" xfId="2" quotePrefix="1" applyNumberFormat="1" applyFont="1" applyBorder="1" applyAlignment="1">
      <alignment horizontal="center" vertical="center" wrapText="1"/>
    </xf>
    <xf numFmtId="169" fontId="40" fillId="0" borderId="3" xfId="9" applyNumberFormat="1" applyFont="1" applyBorder="1" applyAlignment="1">
      <alignment horizontal="center" vertical="center"/>
    </xf>
    <xf numFmtId="0" fontId="2" fillId="2" borderId="3" xfId="6" applyFont="1" applyFill="1" applyBorder="1" applyAlignment="1">
      <alignment horizontal="center" vertical="center" wrapText="1"/>
    </xf>
    <xf numFmtId="0" fontId="40" fillId="0" borderId="2" xfId="6" applyFont="1" applyBorder="1" applyAlignment="1">
      <alignment horizontal="center" vertical="center"/>
    </xf>
    <xf numFmtId="17" fontId="6" fillId="0" borderId="2" xfId="2" quotePrefix="1" applyNumberFormat="1" applyFont="1" applyBorder="1" applyAlignment="1">
      <alignment horizontal="center" vertical="center" wrapText="1"/>
    </xf>
    <xf numFmtId="169" fontId="40" fillId="0" borderId="2" xfId="9" applyNumberFormat="1" applyFont="1" applyBorder="1" applyAlignment="1">
      <alignment horizontal="center" vertical="center"/>
    </xf>
    <xf numFmtId="0" fontId="2" fillId="2" borderId="2" xfId="6" applyFont="1" applyFill="1" applyBorder="1" applyAlignment="1">
      <alignment horizontal="center" vertical="center" wrapText="1"/>
    </xf>
    <xf numFmtId="0" fontId="40" fillId="0" borderId="1" xfId="6" applyFont="1" applyBorder="1" applyAlignment="1">
      <alignment horizontal="center" vertical="center"/>
    </xf>
    <xf numFmtId="17" fontId="6" fillId="0" borderId="1" xfId="2" quotePrefix="1" applyNumberFormat="1" applyFont="1" applyBorder="1" applyAlignment="1">
      <alignment horizontal="center" vertical="center" wrapText="1"/>
    </xf>
    <xf numFmtId="169" fontId="40" fillId="0" borderId="1" xfId="9" applyNumberFormat="1" applyFont="1" applyBorder="1" applyAlignment="1">
      <alignment horizontal="center" vertical="center"/>
    </xf>
    <xf numFmtId="0" fontId="2" fillId="2" borderId="1" xfId="6" applyFont="1" applyFill="1" applyBorder="1" applyAlignment="1">
      <alignment horizontal="center" vertical="center" wrapText="1"/>
    </xf>
    <xf numFmtId="43" fontId="16" fillId="5" borderId="4" xfId="1" applyFont="1" applyFill="1" applyBorder="1" applyAlignment="1">
      <alignment horizontal="center" vertical="center" wrapText="1"/>
    </xf>
    <xf numFmtId="0" fontId="45" fillId="2" borderId="4" xfId="6" applyFont="1" applyFill="1" applyBorder="1" applyAlignment="1">
      <alignment horizontal="center" vertical="center" wrapText="1"/>
    </xf>
    <xf numFmtId="0" fontId="10" fillId="3" borderId="3" xfId="0" applyFont="1" applyFill="1" applyBorder="1" applyAlignment="1">
      <alignment horizontal="center" vertical="center" wrapText="1"/>
    </xf>
    <xf numFmtId="43" fontId="10" fillId="3" borderId="3" xfId="1" applyFont="1" applyFill="1" applyBorder="1" applyAlignment="1">
      <alignment horizontal="center" vertical="center" wrapText="1"/>
    </xf>
    <xf numFmtId="0" fontId="24" fillId="0" borderId="1" xfId="0" applyFont="1" applyBorder="1" applyAlignment="1">
      <alignment vertical="center" wrapText="1"/>
    </xf>
    <xf numFmtId="0" fontId="24" fillId="0" borderId="1" xfId="0" applyFont="1" applyBorder="1" applyAlignment="1">
      <alignment horizontal="center" vertical="center" wrapText="1"/>
    </xf>
    <xf numFmtId="0" fontId="24" fillId="0" borderId="30" xfId="0" applyFont="1" applyBorder="1" applyAlignment="1">
      <alignment vertical="center" wrapText="1"/>
    </xf>
    <xf numFmtId="0" fontId="24" fillId="0" borderId="1" xfId="0" applyFont="1" applyBorder="1" applyAlignment="1">
      <alignment horizontal="center" vertical="center"/>
    </xf>
    <xf numFmtId="49" fontId="24" fillId="0" borderId="1" xfId="0" applyNumberFormat="1" applyFont="1" applyBorder="1" applyAlignment="1">
      <alignment horizontal="center" vertical="center" wrapText="1"/>
    </xf>
    <xf numFmtId="43" fontId="24" fillId="0" borderId="1" xfId="1" applyFont="1" applyFill="1" applyBorder="1" applyAlignment="1">
      <alignment vertical="center"/>
    </xf>
    <xf numFmtId="0" fontId="0" fillId="0" borderId="1" xfId="0" applyBorder="1"/>
    <xf numFmtId="0" fontId="24" fillId="6" borderId="4" xfId="0" applyFont="1" applyFill="1" applyBorder="1" applyAlignment="1">
      <alignment horizontal="center" vertical="top" wrapText="1"/>
    </xf>
    <xf numFmtId="0" fontId="25" fillId="6" borderId="0" xfId="0" applyFont="1" applyFill="1" applyAlignment="1">
      <alignment vertical="center"/>
    </xf>
    <xf numFmtId="0" fontId="54" fillId="6" borderId="4" xfId="2" applyFont="1" applyFill="1" applyBorder="1" applyAlignment="1">
      <alignment horizontal="center" vertical="center" wrapText="1"/>
    </xf>
    <xf numFmtId="0" fontId="51" fillId="6" borderId="3" xfId="2" applyFont="1" applyFill="1" applyBorder="1" applyAlignment="1">
      <alignment vertical="center" wrapText="1"/>
    </xf>
    <xf numFmtId="0" fontId="54" fillId="6" borderId="3" xfId="2" applyFont="1" applyFill="1" applyBorder="1" applyAlignment="1">
      <alignment horizontal="left" vertical="center" wrapText="1"/>
    </xf>
    <xf numFmtId="17" fontId="53" fillId="6" borderId="3" xfId="2" applyNumberFormat="1" applyFont="1" applyFill="1" applyBorder="1" applyAlignment="1">
      <alignment horizontal="left" vertical="center" wrapText="1"/>
    </xf>
    <xf numFmtId="0" fontId="53" fillId="6" borderId="3" xfId="2" applyFont="1" applyFill="1" applyBorder="1" applyAlignment="1">
      <alignment horizontal="left" vertical="center" wrapText="1"/>
    </xf>
    <xf numFmtId="0" fontId="55" fillId="2" borderId="4" xfId="2" applyFont="1" applyFill="1" applyBorder="1" applyAlignment="1">
      <alignment vertical="top" wrapText="1"/>
    </xf>
    <xf numFmtId="0" fontId="55" fillId="2" borderId="4" xfId="2" applyFont="1" applyFill="1" applyBorder="1" applyAlignment="1">
      <alignment horizontal="center" vertical="top" wrapText="1"/>
    </xf>
    <xf numFmtId="0" fontId="54" fillId="2" borderId="4" xfId="2" applyFont="1" applyFill="1" applyBorder="1" applyAlignment="1">
      <alignment horizontal="center" vertical="top" wrapText="1"/>
    </xf>
    <xf numFmtId="0" fontId="51" fillId="2" borderId="2" xfId="2" applyFont="1" applyFill="1" applyBorder="1" applyAlignment="1">
      <alignment vertical="center" wrapText="1"/>
    </xf>
    <xf numFmtId="0" fontId="54" fillId="2" borderId="2" xfId="2" applyFont="1" applyFill="1" applyBorder="1" applyAlignment="1">
      <alignment horizontal="left" vertical="center" wrapText="1"/>
    </xf>
    <xf numFmtId="0" fontId="53" fillId="2" borderId="2" xfId="2" applyFont="1" applyFill="1" applyBorder="1" applyAlignment="1">
      <alignment horizontal="center" vertical="center" wrapText="1"/>
    </xf>
    <xf numFmtId="17" fontId="53" fillId="2" borderId="2" xfId="2" applyNumberFormat="1" applyFont="1" applyFill="1" applyBorder="1" applyAlignment="1">
      <alignment horizontal="left" vertical="center" wrapText="1"/>
    </xf>
    <xf numFmtId="0" fontId="53" fillId="2" borderId="2" xfId="2" applyFont="1" applyFill="1" applyBorder="1" applyAlignment="1">
      <alignment horizontal="left" vertical="center" wrapText="1"/>
    </xf>
    <xf numFmtId="164" fontId="53" fillId="2" borderId="2" xfId="2" applyNumberFormat="1" applyFont="1" applyFill="1" applyBorder="1" applyAlignment="1">
      <alignment horizontal="right" vertical="center" wrapText="1"/>
    </xf>
    <xf numFmtId="0" fontId="52" fillId="2" borderId="2" xfId="2" applyFont="1" applyFill="1" applyBorder="1" applyAlignment="1">
      <alignment horizontal="left" vertical="center" wrapText="1"/>
    </xf>
    <xf numFmtId="43" fontId="14" fillId="0" borderId="5" xfId="1" applyFont="1" applyBorder="1" applyAlignment="1">
      <alignment vertical="center"/>
    </xf>
    <xf numFmtId="43" fontId="14" fillId="2" borderId="5" xfId="1" applyFont="1" applyFill="1" applyBorder="1" applyAlignment="1">
      <alignment vertical="center"/>
    </xf>
    <xf numFmtId="43" fontId="14" fillId="2" borderId="8" xfId="1" applyFont="1" applyFill="1" applyBorder="1" applyAlignment="1">
      <alignment vertical="center"/>
    </xf>
    <xf numFmtId="0" fontId="51" fillId="6" borderId="4" xfId="2" applyFont="1" applyFill="1" applyBorder="1" applyAlignment="1">
      <alignment vertical="center" wrapText="1"/>
    </xf>
    <xf numFmtId="0" fontId="55" fillId="6" borderId="6" xfId="2" applyFont="1" applyFill="1" applyBorder="1" applyAlignment="1">
      <alignment vertical="center" wrapText="1"/>
    </xf>
    <xf numFmtId="164" fontId="54" fillId="6" borderId="3" xfId="2" applyNumberFormat="1" applyFont="1" applyFill="1" applyBorder="1" applyAlignment="1">
      <alignment horizontal="right" vertical="center" wrapText="1"/>
    </xf>
    <xf numFmtId="0" fontId="52" fillId="6" borderId="4" xfId="2" applyFont="1" applyFill="1" applyBorder="1" applyAlignment="1">
      <alignment horizontal="left" vertical="center" wrapText="1"/>
    </xf>
    <xf numFmtId="0" fontId="45" fillId="0" borderId="4" xfId="6" applyFont="1" applyBorder="1" applyAlignment="1">
      <alignment horizontal="left" vertical="center" wrapText="1"/>
    </xf>
    <xf numFmtId="0" fontId="43" fillId="12" borderId="4" xfId="6" applyFont="1" applyFill="1" applyBorder="1" applyAlignment="1">
      <alignment horizontal="center" vertical="center" wrapText="1"/>
    </xf>
    <xf numFmtId="0" fontId="43" fillId="0" borderId="4" xfId="6" applyFont="1" applyBorder="1" applyAlignment="1">
      <alignment horizontal="left" vertical="center" wrapText="1"/>
    </xf>
    <xf numFmtId="0" fontId="43" fillId="12" borderId="6" xfId="6" applyFont="1" applyFill="1" applyBorder="1" applyAlignment="1">
      <alignment horizontal="center" vertical="center" wrapText="1"/>
    </xf>
    <xf numFmtId="0" fontId="44" fillId="0" borderId="4" xfId="7" applyFont="1" applyBorder="1" applyAlignment="1">
      <alignment horizontal="center" vertical="center" wrapText="1"/>
    </xf>
    <xf numFmtId="4" fontId="45" fillId="2" borderId="4" xfId="6" applyNumberFormat="1" applyFont="1" applyFill="1" applyBorder="1" applyAlignment="1">
      <alignment horizontal="center" vertical="center" wrapText="1"/>
    </xf>
    <xf numFmtId="0" fontId="46" fillId="2" borderId="4" xfId="2" applyFont="1" applyFill="1" applyBorder="1" applyAlignment="1">
      <alignment vertical="center" wrapText="1"/>
    </xf>
    <xf numFmtId="0" fontId="46" fillId="2" borderId="3" xfId="2" applyFont="1" applyFill="1" applyBorder="1" applyAlignment="1">
      <alignment vertical="center" wrapText="1"/>
    </xf>
    <xf numFmtId="0" fontId="50" fillId="2" borderId="9" xfId="2" applyFont="1" applyFill="1" applyBorder="1" applyAlignment="1">
      <alignment vertical="top" wrapText="1"/>
    </xf>
    <xf numFmtId="0" fontId="47" fillId="2" borderId="8" xfId="2" applyFont="1" applyFill="1" applyBorder="1" applyAlignment="1">
      <alignment horizontal="left" vertical="center" wrapText="1"/>
    </xf>
    <xf numFmtId="0" fontId="47" fillId="2" borderId="3" xfId="2" applyFont="1" applyFill="1" applyBorder="1" applyAlignment="1">
      <alignment horizontal="center" vertical="center" wrapText="1"/>
    </xf>
    <xf numFmtId="17" fontId="47" fillId="2" borderId="3" xfId="2" applyNumberFormat="1" applyFont="1" applyFill="1" applyBorder="1" applyAlignment="1">
      <alignment horizontal="left" vertical="center" wrapText="1"/>
    </xf>
    <xf numFmtId="0" fontId="47" fillId="2" borderId="3" xfId="2" applyFont="1" applyFill="1" applyBorder="1" applyAlignment="1">
      <alignment horizontal="left" vertical="center" wrapText="1"/>
    </xf>
    <xf numFmtId="164" fontId="47" fillId="2" borderId="3" xfId="2" applyNumberFormat="1" applyFont="1" applyFill="1" applyBorder="1" applyAlignment="1">
      <alignment horizontal="right" vertical="center" wrapText="1"/>
    </xf>
    <xf numFmtId="0" fontId="48" fillId="2" borderId="4" xfId="2" applyFont="1" applyFill="1" applyBorder="1" applyAlignment="1">
      <alignment horizontal="left" vertical="center" wrapText="1"/>
    </xf>
    <xf numFmtId="0" fontId="49" fillId="2" borderId="4" xfId="2" applyFont="1" applyFill="1" applyBorder="1" applyAlignment="1">
      <alignment horizontal="left" vertical="center" wrapText="1"/>
    </xf>
    <xf numFmtId="0" fontId="43" fillId="12" borderId="5" xfId="6" applyFont="1" applyFill="1" applyBorder="1" applyAlignment="1">
      <alignment horizontal="center" vertical="center" wrapText="1"/>
    </xf>
    <xf numFmtId="0" fontId="43" fillId="0" borderId="4" xfId="6" applyFont="1" applyBorder="1" applyAlignment="1">
      <alignment horizontal="center" vertical="center" wrapText="1"/>
    </xf>
    <xf numFmtId="0" fontId="45" fillId="0" borderId="4" xfId="6" applyFont="1" applyBorder="1" applyAlignment="1">
      <alignment horizontal="center" vertical="center" wrapText="1"/>
    </xf>
    <xf numFmtId="170" fontId="44" fillId="0" borderId="4" xfId="9" applyNumberFormat="1" applyFont="1" applyBorder="1" applyAlignment="1">
      <alignment horizontal="center" vertical="center" wrapText="1"/>
    </xf>
    <xf numFmtId="43" fontId="14" fillId="2" borderId="0" xfId="1" applyFont="1" applyFill="1" applyBorder="1" applyAlignment="1">
      <alignment horizontal="fill" vertical="center"/>
    </xf>
    <xf numFmtId="43" fontId="14" fillId="2" borderId="0" xfId="1" applyFont="1" applyFill="1" applyBorder="1" applyAlignment="1">
      <alignment vertical="center"/>
    </xf>
    <xf numFmtId="43" fontId="14" fillId="2" borderId="22" xfId="1" applyFont="1" applyFill="1" applyBorder="1" applyAlignment="1">
      <alignment vertical="center"/>
    </xf>
    <xf numFmtId="0" fontId="61" fillId="0" borderId="0" xfId="0" applyFont="1"/>
    <xf numFmtId="0" fontId="62" fillId="0" borderId="4" xfId="0" applyFont="1" applyBorder="1" applyAlignment="1">
      <alignment horizontal="center" vertical="top" wrapText="1"/>
    </xf>
    <xf numFmtId="0" fontId="14" fillId="0" borderId="0" xfId="0" quotePrefix="1" applyFont="1" applyAlignment="1">
      <alignment vertical="center"/>
    </xf>
    <xf numFmtId="0" fontId="14" fillId="0" borderId="0" xfId="0" applyFont="1" applyAlignment="1">
      <alignment vertical="center"/>
    </xf>
    <xf numFmtId="0" fontId="63" fillId="0" borderId="4" xfId="0" applyFont="1" applyBorder="1" applyAlignment="1">
      <alignment wrapText="1"/>
    </xf>
    <xf numFmtId="0" fontId="14" fillId="0" borderId="4" xfId="7" applyFont="1" applyBorder="1" applyAlignment="1">
      <alignment horizontal="center" vertical="center" wrapText="1"/>
    </xf>
    <xf numFmtId="0" fontId="18" fillId="0" borderId="4" xfId="6" applyFont="1" applyBorder="1" applyAlignment="1">
      <alignment horizontal="center" vertical="center" wrapText="1"/>
    </xf>
    <xf numFmtId="0" fontId="14" fillId="0" borderId="4" xfId="6" applyFont="1" applyBorder="1"/>
    <xf numFmtId="17" fontId="19" fillId="0" borderId="4" xfId="2" quotePrefix="1" applyNumberFormat="1" applyFont="1" applyBorder="1" applyAlignment="1">
      <alignment horizontal="center" vertical="center" wrapText="1"/>
    </xf>
    <xf numFmtId="0" fontId="14" fillId="0" borderId="4" xfId="6" applyFont="1" applyBorder="1" applyAlignment="1">
      <alignment horizontal="center" vertical="center" wrapText="1"/>
    </xf>
    <xf numFmtId="0" fontId="63" fillId="2" borderId="4" xfId="6" applyFont="1" applyFill="1" applyBorder="1" applyAlignment="1">
      <alignment horizontal="center" vertical="center" wrapText="1"/>
    </xf>
    <xf numFmtId="0" fontId="14" fillId="0" borderId="4" xfId="8" applyFont="1" applyBorder="1" applyAlignment="1">
      <alignment horizontal="left" vertical="center"/>
    </xf>
    <xf numFmtId="0" fontId="14" fillId="0" borderId="4" xfId="6" applyFont="1" applyBorder="1" applyAlignment="1">
      <alignment horizontal="center"/>
    </xf>
    <xf numFmtId="168" fontId="19" fillId="2" borderId="4" xfId="9" applyFont="1" applyFill="1" applyBorder="1" applyAlignment="1">
      <alignment horizontal="left" vertical="center" wrapText="1"/>
    </xf>
    <xf numFmtId="0" fontId="14" fillId="0" borderId="4" xfId="6" applyFont="1" applyBorder="1" applyAlignment="1">
      <alignment horizontal="center" vertical="center"/>
    </xf>
    <xf numFmtId="0" fontId="63" fillId="2" borderId="4" xfId="6" applyFont="1" applyFill="1" applyBorder="1" applyAlignment="1">
      <alignment horizontal="left" vertical="center" wrapText="1"/>
    </xf>
    <xf numFmtId="0" fontId="14" fillId="0" borderId="4" xfId="8" applyFont="1" applyBorder="1" applyAlignment="1">
      <alignment horizontal="center" vertical="center"/>
    </xf>
    <xf numFmtId="168" fontId="18" fillId="0" borderId="4" xfId="9" applyFont="1" applyBorder="1" applyAlignment="1">
      <alignment vertical="center"/>
    </xf>
    <xf numFmtId="0" fontId="14" fillId="0" borderId="4" xfId="6" applyFont="1" applyBorder="1" applyAlignment="1">
      <alignment horizontal="left" vertical="center" wrapText="1"/>
    </xf>
    <xf numFmtId="0" fontId="14" fillId="0" borderId="4" xfId="6" applyFont="1" applyBorder="1" applyAlignment="1">
      <alignment vertical="center"/>
    </xf>
    <xf numFmtId="14" fontId="14" fillId="0" borderId="4" xfId="6" applyNumberFormat="1" applyFont="1" applyBorder="1" applyAlignment="1">
      <alignment horizontal="center" vertical="center"/>
    </xf>
    <xf numFmtId="17" fontId="14" fillId="0" borderId="4" xfId="6" applyNumberFormat="1" applyFont="1" applyBorder="1" applyAlignment="1">
      <alignment horizontal="center" vertical="center"/>
    </xf>
    <xf numFmtId="168" fontId="19" fillId="0" borderId="4" xfId="9" applyFont="1" applyBorder="1" applyAlignment="1">
      <alignment horizontal="left" vertical="center" wrapText="1"/>
    </xf>
    <xf numFmtId="0" fontId="63" fillId="0" borderId="4" xfId="6" applyFont="1" applyBorder="1" applyAlignment="1">
      <alignment vertical="center" wrapText="1"/>
    </xf>
    <xf numFmtId="0" fontId="64" fillId="0" borderId="4" xfId="0" applyFont="1" applyBorder="1" applyAlignment="1">
      <alignment horizontal="center" vertical="top" wrapText="1"/>
    </xf>
    <xf numFmtId="0" fontId="19" fillId="0" borderId="4" xfId="5" applyFont="1" applyBorder="1" applyAlignment="1">
      <alignment horizontal="right" vertical="center" shrinkToFit="1"/>
    </xf>
    <xf numFmtId="167" fontId="19" fillId="0" borderId="6" xfId="1" applyNumberFormat="1" applyFont="1" applyFill="1" applyBorder="1" applyAlignment="1">
      <alignment vertical="center"/>
    </xf>
    <xf numFmtId="0" fontId="64" fillId="0" borderId="4" xfId="0" applyFont="1" applyBorder="1" applyAlignment="1">
      <alignment horizontal="center" vertical="top"/>
    </xf>
    <xf numFmtId="49" fontId="64" fillId="0" borderId="4" xfId="0" applyNumberFormat="1" applyFont="1" applyBorder="1" applyAlignment="1">
      <alignment horizontal="center" vertical="top" wrapText="1"/>
    </xf>
    <xf numFmtId="43" fontId="64" fillId="0" borderId="4" xfId="1" applyFont="1" applyFill="1" applyBorder="1" applyAlignment="1">
      <alignment vertical="top"/>
    </xf>
    <xf numFmtId="0" fontId="63" fillId="0" borderId="4" xfId="0" applyFont="1" applyBorder="1" applyAlignment="1">
      <alignment vertical="top"/>
    </xf>
    <xf numFmtId="0" fontId="63" fillId="0" borderId="4" xfId="0" applyFont="1" applyBorder="1" applyAlignment="1">
      <alignment horizontal="right"/>
    </xf>
    <xf numFmtId="167" fontId="63" fillId="0" borderId="6" xfId="1" applyNumberFormat="1" applyFont="1" applyFill="1" applyBorder="1" applyAlignment="1"/>
    <xf numFmtId="167" fontId="63" fillId="0" borderId="5" xfId="1" applyNumberFormat="1" applyFont="1" applyFill="1" applyBorder="1" applyAlignment="1"/>
    <xf numFmtId="43" fontId="64" fillId="0" borderId="4" xfId="1" applyFont="1" applyBorder="1" applyAlignment="1">
      <alignment horizontal="center" vertical="top" wrapText="1"/>
    </xf>
    <xf numFmtId="44" fontId="64" fillId="0" borderId="4" xfId="1" applyNumberFormat="1" applyFont="1" applyFill="1" applyBorder="1" applyAlignment="1">
      <alignment vertical="top"/>
    </xf>
    <xf numFmtId="0" fontId="18" fillId="0" borderId="4" xfId="0" applyFont="1" applyBorder="1" applyAlignment="1">
      <alignment vertical="center" wrapText="1"/>
    </xf>
    <xf numFmtId="0" fontId="18" fillId="0" borderId="4" xfId="0" applyFont="1" applyBorder="1" applyAlignment="1">
      <alignment horizontal="center" vertical="center" wrapText="1"/>
    </xf>
    <xf numFmtId="0" fontId="14" fillId="0" borderId="6" xfId="0" applyFont="1" applyBorder="1" applyAlignment="1">
      <alignment vertical="center" wrapText="1"/>
    </xf>
    <xf numFmtId="0" fontId="18" fillId="0" borderId="4" xfId="0" applyFont="1" applyBorder="1" applyAlignment="1">
      <alignment horizontal="center" vertical="center"/>
    </xf>
    <xf numFmtId="49" fontId="18" fillId="0" borderId="4" xfId="0" applyNumberFormat="1" applyFont="1" applyBorder="1" applyAlignment="1">
      <alignment horizontal="center" vertical="center" wrapText="1"/>
    </xf>
    <xf numFmtId="43" fontId="18" fillId="0" borderId="4" xfId="1" applyFont="1" applyFill="1" applyBorder="1" applyAlignment="1">
      <alignment vertical="center"/>
    </xf>
    <xf numFmtId="0" fontId="61" fillId="0" borderId="4" xfId="0" applyFont="1" applyBorder="1"/>
    <xf numFmtId="0" fontId="14" fillId="0" borderId="4" xfId="0" applyFont="1" applyBorder="1" applyAlignment="1">
      <alignment vertical="center"/>
    </xf>
    <xf numFmtId="0" fontId="18" fillId="0" borderId="4" xfId="0" applyFont="1" applyBorder="1" applyAlignment="1">
      <alignment horizontal="center" vertical="top" wrapText="1"/>
    </xf>
    <xf numFmtId="0" fontId="19" fillId="0" borderId="6" xfId="5" applyFont="1" applyBorder="1" applyAlignment="1">
      <alignment vertical="center"/>
    </xf>
    <xf numFmtId="0" fontId="18" fillId="0" borderId="4" xfId="0" applyFont="1" applyBorder="1" applyAlignment="1">
      <alignment horizontal="center" vertical="top"/>
    </xf>
    <xf numFmtId="49" fontId="18" fillId="0" borderId="4" xfId="0" applyNumberFormat="1" applyFont="1" applyBorder="1" applyAlignment="1">
      <alignment horizontal="center" vertical="top" wrapText="1"/>
    </xf>
    <xf numFmtId="43" fontId="18" fillId="0" borderId="4" xfId="1" applyFont="1" applyFill="1" applyBorder="1" applyAlignment="1">
      <alignment vertical="top"/>
    </xf>
    <xf numFmtId="0" fontId="14" fillId="0" borderId="4" xfId="0" applyFont="1" applyBorder="1" applyAlignment="1">
      <alignment vertical="top"/>
    </xf>
    <xf numFmtId="3" fontId="19" fillId="0" borderId="6" xfId="5" applyNumberFormat="1" applyFont="1" applyBorder="1" applyAlignment="1">
      <alignment vertical="center"/>
    </xf>
    <xf numFmtId="0" fontId="19" fillId="0" borderId="4" xfId="0" applyFont="1" applyBorder="1" applyAlignment="1">
      <alignment vertical="top" wrapText="1"/>
    </xf>
    <xf numFmtId="0" fontId="19" fillId="0" borderId="6" xfId="0" applyFont="1" applyBorder="1" applyAlignment="1">
      <alignment vertical="top" wrapText="1"/>
    </xf>
    <xf numFmtId="0" fontId="14" fillId="0" borderId="4" xfId="0" applyFont="1" applyBorder="1"/>
    <xf numFmtId="43" fontId="18" fillId="0" borderId="4" xfId="1" applyFont="1" applyBorder="1"/>
    <xf numFmtId="44" fontId="18" fillId="0" borderId="4" xfId="0" applyNumberFormat="1" applyFont="1" applyBorder="1"/>
    <xf numFmtId="0" fontId="14" fillId="0" borderId="0" xfId="0" applyFont="1"/>
    <xf numFmtId="0" fontId="18" fillId="0" borderId="6" xfId="0" applyFont="1" applyBorder="1" applyAlignment="1">
      <alignment vertical="center" wrapText="1"/>
    </xf>
    <xf numFmtId="0" fontId="19" fillId="0" borderId="4" xfId="5" applyFont="1" applyBorder="1" applyAlignment="1">
      <alignment vertical="center"/>
    </xf>
    <xf numFmtId="3" fontId="19" fillId="0" borderId="4" xfId="5" applyNumberFormat="1" applyFont="1" applyBorder="1" applyAlignment="1">
      <alignment vertical="center"/>
    </xf>
    <xf numFmtId="0" fontId="18" fillId="0" borderId="4" xfId="0" applyFont="1" applyBorder="1"/>
    <xf numFmtId="3" fontId="19" fillId="0" borderId="5" xfId="5" applyNumberFormat="1" applyFont="1" applyBorder="1" applyAlignment="1">
      <alignment vertical="center"/>
    </xf>
    <xf numFmtId="43" fontId="18" fillId="0" borderId="4" xfId="1" applyFont="1" applyBorder="1" applyAlignment="1">
      <alignment horizontal="center" vertical="top" wrapText="1"/>
    </xf>
    <xf numFmtId="44" fontId="18" fillId="0" borderId="4" xfId="1" applyNumberFormat="1" applyFont="1" applyFill="1" applyBorder="1" applyAlignment="1">
      <alignment vertical="top"/>
    </xf>
    <xf numFmtId="0" fontId="19" fillId="0" borderId="6" xfId="5" applyFont="1" applyBorder="1" applyAlignment="1">
      <alignment vertical="center" wrapText="1"/>
    </xf>
    <xf numFmtId="0" fontId="19" fillId="0" borderId="4" xfId="5" applyFont="1" applyBorder="1" applyAlignment="1">
      <alignment vertical="center" wrapText="1"/>
    </xf>
    <xf numFmtId="0" fontId="18" fillId="0" borderId="5" xfId="0" applyFont="1" applyBorder="1" applyAlignment="1">
      <alignment horizontal="center" vertical="top" wrapText="1"/>
    </xf>
    <xf numFmtId="43" fontId="62" fillId="5" borderId="4" xfId="1" applyFont="1" applyFill="1" applyBorder="1"/>
    <xf numFmtId="0" fontId="68" fillId="2" borderId="4" xfId="2" applyFont="1" applyFill="1" applyBorder="1" applyAlignment="1">
      <alignment vertical="center" wrapText="1"/>
    </xf>
    <xf numFmtId="0" fontId="68" fillId="0" borderId="4" xfId="2" applyFont="1" applyBorder="1" applyAlignment="1">
      <alignment vertical="center" wrapText="1"/>
    </xf>
    <xf numFmtId="0" fontId="65" fillId="0" borderId="4" xfId="2" applyFont="1" applyBorder="1" applyAlignment="1">
      <alignment horizontal="center" vertical="center" wrapText="1"/>
    </xf>
    <xf numFmtId="0" fontId="69" fillId="0" borderId="4" xfId="2" applyFont="1" applyBorder="1" applyAlignment="1">
      <alignment vertical="center" wrapText="1"/>
    </xf>
    <xf numFmtId="49" fontId="69" fillId="0" borderId="4" xfId="2" applyNumberFormat="1" applyFont="1" applyBorder="1" applyAlignment="1">
      <alignment vertical="center" wrapText="1"/>
    </xf>
    <xf numFmtId="43" fontId="69" fillId="0" borderId="4" xfId="1" applyFont="1" applyBorder="1" applyAlignment="1">
      <alignment vertical="center" wrapText="1"/>
    </xf>
    <xf numFmtId="0" fontId="19" fillId="0" borderId="4" xfId="2" quotePrefix="1" applyFont="1" applyBorder="1" applyAlignment="1">
      <alignment horizontal="center" vertical="center" wrapText="1"/>
    </xf>
    <xf numFmtId="0" fontId="68" fillId="2" borderId="4" xfId="2" applyFont="1" applyFill="1" applyBorder="1" applyAlignment="1">
      <alignment horizontal="center" vertical="center" wrapText="1"/>
    </xf>
    <xf numFmtId="0" fontId="68" fillId="0" borderId="4" xfId="2" applyFont="1" applyBorder="1" applyAlignment="1">
      <alignment horizontal="center" vertical="center" wrapText="1"/>
    </xf>
    <xf numFmtId="0" fontId="69" fillId="0" borderId="4" xfId="2" applyFont="1" applyBorder="1" applyAlignment="1">
      <alignment horizontal="center" vertical="center" wrapText="1"/>
    </xf>
    <xf numFmtId="49" fontId="70" fillId="0" borderId="4" xfId="2" applyNumberFormat="1" applyFont="1" applyBorder="1" applyAlignment="1">
      <alignment horizontal="center" vertical="center" wrapText="1"/>
    </xf>
    <xf numFmtId="43" fontId="69" fillId="0" borderId="4" xfId="1" applyFont="1" applyBorder="1" applyAlignment="1">
      <alignment horizontal="center" vertical="center" wrapText="1"/>
    </xf>
    <xf numFmtId="0" fontId="64" fillId="0" borderId="4" xfId="2" applyFont="1" applyBorder="1" applyAlignment="1">
      <alignment horizontal="center" vertical="center" wrapText="1"/>
    </xf>
    <xf numFmtId="0" fontId="64" fillId="2" borderId="4" xfId="2" applyFont="1" applyFill="1" applyBorder="1" applyAlignment="1">
      <alignment horizontal="center" vertical="center" wrapText="1"/>
    </xf>
    <xf numFmtId="43" fontId="65" fillId="0" borderId="4" xfId="1" applyFont="1" applyBorder="1" applyAlignment="1">
      <alignment horizontal="center" vertical="center" wrapText="1"/>
    </xf>
    <xf numFmtId="0" fontId="64" fillId="3" borderId="4" xfId="0" applyFont="1" applyFill="1" applyBorder="1" applyAlignment="1">
      <alignment horizontal="center" vertical="center" wrapText="1"/>
    </xf>
    <xf numFmtId="43" fontId="64" fillId="3" borderId="4" xfId="1" applyFont="1" applyFill="1" applyBorder="1" applyAlignment="1">
      <alignment horizontal="center" vertical="center" wrapText="1"/>
    </xf>
    <xf numFmtId="0" fontId="64" fillId="3" borderId="6" xfId="0" applyFont="1" applyFill="1" applyBorder="1" applyAlignment="1">
      <alignment horizontal="center" vertical="center" wrapText="1"/>
    </xf>
    <xf numFmtId="0" fontId="64" fillId="3" borderId="0" xfId="0" applyFont="1" applyFill="1" applyAlignment="1">
      <alignment horizontal="center" vertical="center" wrapText="1"/>
    </xf>
    <xf numFmtId="0" fontId="63" fillId="0" borderId="4" xfId="0" applyFont="1" applyBorder="1" applyAlignment="1">
      <alignment horizontal="left" vertical="top" wrapText="1" indent="1"/>
    </xf>
    <xf numFmtId="0" fontId="14" fillId="0" borderId="6" xfId="8" applyFont="1" applyBorder="1" applyAlignment="1">
      <alignment vertical="top" wrapText="1"/>
    </xf>
    <xf numFmtId="0" fontId="14" fillId="0" borderId="4" xfId="8" applyFont="1" applyBorder="1" applyAlignment="1">
      <alignment vertical="top" wrapText="1"/>
    </xf>
    <xf numFmtId="0" fontId="14" fillId="0" borderId="6" xfId="8" applyFont="1" applyBorder="1" applyAlignment="1">
      <alignment horizontal="left" vertical="top" wrapText="1"/>
    </xf>
    <xf numFmtId="0" fontId="14" fillId="0" borderId="4" xfId="8" applyFont="1" applyBorder="1" applyAlignment="1">
      <alignment horizontal="left" vertical="top" wrapText="1"/>
    </xf>
    <xf numFmtId="0" fontId="63" fillId="2" borderId="6" xfId="6" applyFont="1" applyFill="1" applyBorder="1" applyAlignment="1">
      <alignment vertical="center" wrapText="1"/>
    </xf>
    <xf numFmtId="0" fontId="63" fillId="2" borderId="4" xfId="6" applyFont="1" applyFill="1" applyBorder="1" applyAlignment="1">
      <alignment vertical="center" wrapText="1"/>
    </xf>
    <xf numFmtId="0" fontId="14" fillId="0" borderId="25" xfId="0" applyFont="1" applyBorder="1"/>
    <xf numFmtId="0" fontId="14" fillId="0" borderId="25" xfId="0" applyFont="1" applyBorder="1" applyAlignment="1">
      <alignment horizontal="left"/>
    </xf>
    <xf numFmtId="0" fontId="14" fillId="0" borderId="25" xfId="0" applyFont="1" applyBorder="1" applyAlignment="1">
      <alignment horizontal="center"/>
    </xf>
    <xf numFmtId="0" fontId="14" fillId="0" borderId="27" xfId="0" applyFont="1" applyBorder="1" applyAlignment="1">
      <alignment horizontal="center"/>
    </xf>
    <xf numFmtId="0" fontId="14" fillId="0" borderId="25" xfId="0" quotePrefix="1" applyFont="1" applyBorder="1"/>
    <xf numFmtId="0" fontId="14" fillId="0" borderId="25" xfId="0" quotePrefix="1" applyFont="1" applyBorder="1" applyAlignment="1">
      <alignment horizontal="center"/>
    </xf>
    <xf numFmtId="43" fontId="14" fillId="0" borderId="25" xfId="1" applyFont="1" applyBorder="1"/>
    <xf numFmtId="0" fontId="68" fillId="0" borderId="4" xfId="2" applyFont="1" applyBorder="1" applyAlignment="1">
      <alignment horizontal="left" vertical="top" wrapText="1"/>
    </xf>
    <xf numFmtId="0" fontId="69" fillId="0" borderId="4" xfId="2" applyFont="1" applyBorder="1" applyAlignment="1">
      <alignment horizontal="left" vertical="top" wrapText="1"/>
    </xf>
    <xf numFmtId="0" fontId="69" fillId="0" borderId="4" xfId="2" applyFont="1" applyBorder="1" applyAlignment="1">
      <alignment horizontal="center" vertical="top" wrapText="1"/>
    </xf>
    <xf numFmtId="49" fontId="69" fillId="0" borderId="4" xfId="2" applyNumberFormat="1" applyFont="1" applyBorder="1" applyAlignment="1">
      <alignment horizontal="center" vertical="top" wrapText="1"/>
    </xf>
    <xf numFmtId="43" fontId="69" fillId="2" borderId="4" xfId="1" applyFont="1" applyFill="1" applyBorder="1" applyAlignment="1">
      <alignment horizontal="center" vertical="top" wrapText="1"/>
    </xf>
    <xf numFmtId="0" fontId="68" fillId="0" borderId="4" xfId="2" applyFont="1" applyBorder="1" applyAlignment="1">
      <alignment horizontal="center" vertical="top" wrapText="1"/>
    </xf>
    <xf numFmtId="43" fontId="62" fillId="2" borderId="4" xfId="1" applyFont="1" applyFill="1" applyBorder="1" applyAlignment="1">
      <alignment horizontal="center" vertical="top" wrapText="1"/>
    </xf>
    <xf numFmtId="0" fontId="69" fillId="0" borderId="4" xfId="2" applyFont="1" applyBorder="1" applyAlignment="1">
      <alignment vertical="top" wrapText="1"/>
    </xf>
    <xf numFmtId="165" fontId="69" fillId="2" borderId="4" xfId="2" applyNumberFormat="1" applyFont="1" applyFill="1" applyBorder="1" applyAlignment="1">
      <alignment horizontal="center" vertical="top" wrapText="1"/>
    </xf>
    <xf numFmtId="43" fontId="14" fillId="0" borderId="4" xfId="1" applyFont="1" applyBorder="1"/>
    <xf numFmtId="0" fontId="63" fillId="0" borderId="4" xfId="2" applyFont="1" applyBorder="1" applyAlignment="1">
      <alignment vertical="center" wrapText="1"/>
    </xf>
    <xf numFmtId="168" fontId="14" fillId="0" borderId="4" xfId="9" applyFont="1" applyBorder="1" applyAlignment="1">
      <alignment vertical="center"/>
    </xf>
    <xf numFmtId="0" fontId="22" fillId="0" borderId="0" xfId="0" applyFont="1"/>
    <xf numFmtId="0" fontId="70" fillId="0" borderId="4" xfId="2" applyFont="1" applyBorder="1" applyAlignment="1">
      <alignment horizontal="left" vertical="top" wrapText="1"/>
    </xf>
    <xf numFmtId="0" fontId="70" fillId="0" borderId="4" xfId="2" applyFont="1" applyBorder="1" applyAlignment="1">
      <alignment horizontal="center" vertical="top" wrapText="1"/>
    </xf>
    <xf numFmtId="49" fontId="70" fillId="0" borderId="4" xfId="2" applyNumberFormat="1" applyFont="1" applyBorder="1" applyAlignment="1">
      <alignment horizontal="center" vertical="top" wrapText="1"/>
    </xf>
    <xf numFmtId="0" fontId="70" fillId="0" borderId="4" xfId="2" applyFont="1" applyBorder="1" applyAlignment="1">
      <alignment vertical="top" wrapText="1"/>
    </xf>
    <xf numFmtId="43" fontId="70" fillId="2" borderId="4" xfId="1" applyFont="1" applyFill="1" applyBorder="1" applyAlignment="1">
      <alignment horizontal="center" vertical="top" wrapText="1"/>
    </xf>
    <xf numFmtId="0" fontId="14" fillId="0" borderId="6" xfId="0" applyFont="1" applyBorder="1"/>
    <xf numFmtId="0" fontId="14" fillId="0" borderId="6" xfId="0" applyFont="1" applyBorder="1" applyAlignment="1">
      <alignment wrapText="1"/>
    </xf>
    <xf numFmtId="0" fontId="14" fillId="0" borderId="4" xfId="0" applyFont="1" applyBorder="1" applyAlignment="1">
      <alignment wrapText="1"/>
    </xf>
    <xf numFmtId="3" fontId="19" fillId="0" borderId="6" xfId="5" applyNumberFormat="1" applyFont="1" applyBorder="1" applyAlignment="1">
      <alignment vertical="center" wrapText="1"/>
    </xf>
    <xf numFmtId="3" fontId="19" fillId="0" borderId="4" xfId="5" applyNumberFormat="1" applyFont="1" applyBorder="1" applyAlignment="1">
      <alignment vertical="center" wrapText="1"/>
    </xf>
    <xf numFmtId="0" fontId="19" fillId="0" borderId="6" xfId="5" applyFont="1" applyBorder="1" applyAlignment="1">
      <alignment vertical="center" shrinkToFit="1"/>
    </xf>
    <xf numFmtId="0" fontId="19" fillId="0" borderId="4" xfId="5" applyFont="1" applyBorder="1" applyAlignment="1">
      <alignment vertical="center" shrinkToFit="1"/>
    </xf>
    <xf numFmtId="0" fontId="19" fillId="0" borderId="6" xfId="5" applyFont="1" applyBorder="1" applyAlignment="1">
      <alignment vertical="center" wrapText="1" shrinkToFit="1"/>
    </xf>
    <xf numFmtId="0" fontId="19" fillId="0" borderId="4" xfId="5" applyFont="1" applyBorder="1" applyAlignment="1">
      <alignment vertical="center" wrapText="1" shrinkToFit="1"/>
    </xf>
    <xf numFmtId="0" fontId="63" fillId="0" borderId="4" xfId="0" applyFont="1" applyBorder="1" applyAlignment="1">
      <alignment vertical="top" wrapText="1"/>
    </xf>
    <xf numFmtId="3" fontId="19" fillId="0" borderId="4" xfId="5" applyNumberFormat="1" applyFont="1" applyBorder="1" applyAlignment="1">
      <alignment horizontal="right" vertical="center"/>
    </xf>
    <xf numFmtId="167" fontId="19" fillId="0" borderId="4" xfId="1" applyNumberFormat="1" applyFont="1" applyFill="1" applyBorder="1" applyAlignment="1">
      <alignment horizontal="center" vertical="center"/>
    </xf>
    <xf numFmtId="0" fontId="63" fillId="0" borderId="4" xfId="0" applyFont="1" applyBorder="1"/>
    <xf numFmtId="167" fontId="63" fillId="0" borderId="4" xfId="1" applyNumberFormat="1" applyFont="1" applyFill="1" applyBorder="1" applyAlignment="1">
      <alignment horizontal="center"/>
    </xf>
    <xf numFmtId="0" fontId="63" fillId="0" borderId="4" xfId="0" applyFont="1" applyBorder="1" applyAlignment="1">
      <alignment horizontal="center"/>
    </xf>
    <xf numFmtId="0" fontId="19" fillId="0" borderId="4" xfId="5" applyFont="1" applyBorder="1" applyAlignment="1">
      <alignment horizontal="center" vertical="center" shrinkToFit="1"/>
    </xf>
    <xf numFmtId="0" fontId="14" fillId="0" borderId="4" xfId="0" applyFont="1" applyBorder="1" applyAlignment="1">
      <alignment horizontal="right"/>
    </xf>
    <xf numFmtId="167" fontId="14" fillId="0" borderId="6" xfId="1" applyNumberFormat="1" applyFont="1" applyFill="1" applyBorder="1" applyAlignment="1"/>
    <xf numFmtId="167" fontId="14" fillId="0" borderId="5" xfId="1" applyNumberFormat="1" applyFont="1" applyFill="1" applyBorder="1" applyAlignment="1"/>
    <xf numFmtId="0" fontId="19" fillId="0" borderId="4" xfId="0" applyFont="1" applyBorder="1" applyAlignment="1">
      <alignment horizontal="center" vertical="top" wrapText="1"/>
    </xf>
    <xf numFmtId="0" fontId="14" fillId="0" borderId="4" xfId="0" applyFont="1" applyBorder="1" applyAlignment="1">
      <alignment horizontal="center" vertical="top" wrapText="1"/>
    </xf>
    <xf numFmtId="17" fontId="14" fillId="0" borderId="4" xfId="0" applyNumberFormat="1" applyFont="1" applyBorder="1" applyAlignment="1">
      <alignment horizontal="center" vertical="top" wrapText="1"/>
    </xf>
    <xf numFmtId="44" fontId="14" fillId="0" borderId="4" xfId="1" applyNumberFormat="1" applyFont="1" applyFill="1" applyBorder="1" applyAlignment="1">
      <alignment horizontal="center" vertical="top" wrapText="1"/>
    </xf>
    <xf numFmtId="0" fontId="14" fillId="0" borderId="4" xfId="0" applyFont="1" applyBorder="1" applyAlignment="1">
      <alignment horizontal="center" vertical="top"/>
    </xf>
    <xf numFmtId="17" fontId="14" fillId="0" borderId="4" xfId="0" applyNumberFormat="1" applyFont="1" applyBorder="1" applyAlignment="1">
      <alignment horizontal="center" vertical="top"/>
    </xf>
    <xf numFmtId="44" fontId="14" fillId="0" borderId="4" xfId="1" applyNumberFormat="1" applyFont="1" applyFill="1" applyBorder="1" applyAlignment="1">
      <alignment horizontal="center" vertical="top"/>
    </xf>
    <xf numFmtId="0" fontId="14" fillId="0" borderId="4" xfId="0" applyFont="1" applyBorder="1" applyAlignment="1">
      <alignment vertical="top" wrapText="1"/>
    </xf>
    <xf numFmtId="167" fontId="19" fillId="0" borderId="4" xfId="1" applyNumberFormat="1" applyFont="1" applyBorder="1" applyAlignment="1">
      <alignment horizontal="right" vertical="center"/>
    </xf>
    <xf numFmtId="0" fontId="14" fillId="0" borderId="3" xfId="0" applyFont="1" applyBorder="1" applyAlignment="1">
      <alignment horizontal="right"/>
    </xf>
    <xf numFmtId="43" fontId="14" fillId="0" borderId="4" xfId="1" applyFont="1" applyFill="1" applyBorder="1" applyAlignment="1">
      <alignment horizontal="center" vertical="top" wrapText="1"/>
    </xf>
    <xf numFmtId="167" fontId="14" fillId="0" borderId="4" xfId="1" applyNumberFormat="1" applyFont="1" applyFill="1" applyBorder="1" applyAlignment="1">
      <alignment horizontal="right"/>
    </xf>
    <xf numFmtId="43" fontId="14" fillId="0" borderId="4" xfId="1" applyFont="1" applyFill="1" applyBorder="1" applyAlignment="1">
      <alignment horizontal="center" vertical="top"/>
    </xf>
    <xf numFmtId="0" fontId="14" fillId="0" borderId="4" xfId="0" applyFont="1" applyBorder="1" applyAlignment="1">
      <alignment horizontal="center"/>
    </xf>
    <xf numFmtId="0" fontId="14" fillId="0" borderId="4" xfId="0" applyFont="1" applyBorder="1" applyAlignment="1">
      <alignment horizontal="right" vertical="top" wrapText="1"/>
    </xf>
    <xf numFmtId="167" fontId="14" fillId="0" borderId="4" xfId="1" applyNumberFormat="1" applyFont="1" applyBorder="1" applyAlignment="1">
      <alignment horizontal="center" wrapText="1"/>
    </xf>
    <xf numFmtId="0" fontId="14" fillId="0" borderId="4" xfId="0" applyFont="1" applyBorder="1" applyAlignment="1">
      <alignment horizontal="right" wrapText="1"/>
    </xf>
    <xf numFmtId="0" fontId="14" fillId="2" borderId="4" xfId="0" applyFont="1" applyFill="1" applyBorder="1" applyAlignment="1">
      <alignment vertical="center"/>
    </xf>
    <xf numFmtId="0" fontId="14" fillId="2" borderId="0" xfId="0" applyFont="1" applyFill="1"/>
    <xf numFmtId="0" fontId="19" fillId="2" borderId="4" xfId="5" applyFont="1" applyFill="1" applyBorder="1" applyAlignment="1">
      <alignment horizontal="right" vertical="center" shrinkToFit="1"/>
    </xf>
    <xf numFmtId="0" fontId="19" fillId="2" borderId="6" xfId="5" applyFont="1" applyFill="1" applyBorder="1" applyAlignment="1">
      <alignment vertical="center"/>
    </xf>
    <xf numFmtId="0" fontId="14" fillId="2" borderId="4" xfId="0" applyFont="1" applyFill="1" applyBorder="1" applyAlignment="1">
      <alignment vertical="top"/>
    </xf>
    <xf numFmtId="3" fontId="19" fillId="2" borderId="6" xfId="5" applyNumberFormat="1" applyFont="1" applyFill="1" applyBorder="1" applyAlignment="1">
      <alignment vertical="center"/>
    </xf>
    <xf numFmtId="0" fontId="14" fillId="2" borderId="4" xfId="0" applyFont="1" applyFill="1" applyBorder="1"/>
    <xf numFmtId="0" fontId="19" fillId="2" borderId="4" xfId="0" applyFont="1" applyFill="1" applyBorder="1" applyAlignment="1">
      <alignment vertical="top" wrapText="1"/>
    </xf>
    <xf numFmtId="0" fontId="19" fillId="2" borderId="6" xfId="0" applyFont="1" applyFill="1" applyBorder="1" applyAlignment="1">
      <alignment vertical="top" wrapText="1"/>
    </xf>
    <xf numFmtId="0" fontId="14" fillId="2" borderId="1" xfId="0" applyFont="1" applyFill="1" applyBorder="1"/>
    <xf numFmtId="0" fontId="19" fillId="2" borderId="4" xfId="5" applyFont="1" applyFill="1" applyBorder="1" applyAlignment="1">
      <alignment vertical="center"/>
    </xf>
    <xf numFmtId="3" fontId="19" fillId="2" borderId="4" xfId="5" applyNumberFormat="1" applyFont="1" applyFill="1" applyBorder="1" applyAlignment="1">
      <alignment vertical="center"/>
    </xf>
    <xf numFmtId="3" fontId="19" fillId="2" borderId="5" xfId="5" applyNumberFormat="1" applyFont="1" applyFill="1" applyBorder="1" applyAlignment="1">
      <alignment vertical="center"/>
    </xf>
    <xf numFmtId="0" fontId="14" fillId="2" borderId="22" xfId="0" applyFont="1" applyFill="1" applyBorder="1" applyAlignment="1">
      <alignment vertical="center"/>
    </xf>
    <xf numFmtId="0" fontId="14" fillId="2" borderId="4" xfId="0" applyFont="1" applyFill="1" applyBorder="1" applyAlignment="1">
      <alignment vertical="top" wrapText="1"/>
    </xf>
    <xf numFmtId="0" fontId="14" fillId="2" borderId="4" xfId="0" applyFont="1" applyFill="1" applyBorder="1" applyAlignment="1">
      <alignment horizontal="right"/>
    </xf>
    <xf numFmtId="0" fontId="19" fillId="2" borderId="4" xfId="0" applyFont="1" applyFill="1" applyBorder="1" applyAlignment="1">
      <alignment horizontal="center" vertical="top" wrapText="1"/>
    </xf>
    <xf numFmtId="0" fontId="14" fillId="2" borderId="4" xfId="0" applyFont="1" applyFill="1" applyBorder="1" applyAlignment="1">
      <alignment horizontal="center" vertical="top" wrapText="1"/>
    </xf>
    <xf numFmtId="17" fontId="14" fillId="2" borderId="4" xfId="0" applyNumberFormat="1" applyFont="1" applyFill="1" applyBorder="1" applyAlignment="1">
      <alignment horizontal="center" vertical="top" wrapText="1"/>
    </xf>
    <xf numFmtId="43" fontId="14" fillId="2" borderId="4" xfId="1" applyFont="1" applyFill="1" applyBorder="1" applyAlignment="1">
      <alignment horizontal="center" vertical="top" wrapText="1"/>
    </xf>
    <xf numFmtId="44" fontId="14" fillId="2" borderId="4" xfId="1" applyNumberFormat="1" applyFont="1" applyFill="1" applyBorder="1" applyAlignment="1">
      <alignment horizontal="center" vertical="top" wrapText="1"/>
    </xf>
    <xf numFmtId="0" fontId="14" fillId="2" borderId="4" xfId="0" applyFont="1" applyFill="1" applyBorder="1" applyAlignment="1">
      <alignment horizontal="right" vertical="top" wrapText="1"/>
    </xf>
    <xf numFmtId="0" fontId="14" fillId="2" borderId="4" xfId="0" applyFont="1" applyFill="1" applyBorder="1" applyAlignment="1">
      <alignment wrapText="1"/>
    </xf>
    <xf numFmtId="0" fontId="14" fillId="2" borderId="4" xfId="0" applyFont="1" applyFill="1" applyBorder="1" applyAlignment="1">
      <alignment horizontal="center" vertical="top"/>
    </xf>
    <xf numFmtId="17" fontId="14" fillId="2" borderId="4" xfId="0" applyNumberFormat="1" applyFont="1" applyFill="1" applyBorder="1" applyAlignment="1">
      <alignment horizontal="center" vertical="top"/>
    </xf>
    <xf numFmtId="43" fontId="14" fillId="2" borderId="4" xfId="1" applyFont="1" applyFill="1" applyBorder="1" applyAlignment="1">
      <alignment horizontal="center" vertical="top"/>
    </xf>
    <xf numFmtId="0" fontId="19" fillId="2" borderId="4" xfId="5" applyFont="1" applyFill="1" applyBorder="1" applyAlignment="1">
      <alignment horizontal="center" vertical="center"/>
    </xf>
    <xf numFmtId="43" fontId="14" fillId="2" borderId="0" xfId="1" applyFont="1" applyFill="1"/>
    <xf numFmtId="44" fontId="14" fillId="2" borderId="4" xfId="1" applyNumberFormat="1" applyFont="1" applyFill="1" applyBorder="1" applyAlignment="1">
      <alignment horizontal="center" vertical="top"/>
    </xf>
    <xf numFmtId="0" fontId="14" fillId="2" borderId="0" xfId="0" applyFont="1" applyFill="1" applyAlignment="1">
      <alignment vertical="center"/>
    </xf>
    <xf numFmtId="0" fontId="14" fillId="2" borderId="4" xfId="0" quotePrefix="1" applyFont="1" applyFill="1" applyBorder="1"/>
    <xf numFmtId="0" fontId="14" fillId="0" borderId="4" xfId="0" quotePrefix="1" applyFont="1" applyBorder="1"/>
    <xf numFmtId="0" fontId="14" fillId="0" borderId="31" xfId="0" quotePrefix="1" applyFont="1" applyBorder="1"/>
    <xf numFmtId="17" fontId="14" fillId="0" borderId="25" xfId="0" applyNumberFormat="1" applyFont="1" applyBorder="1"/>
    <xf numFmtId="0" fontId="63" fillId="11" borderId="4" xfId="2" applyFont="1" applyFill="1" applyBorder="1" applyAlignment="1">
      <alignment horizontal="center" vertical="center" wrapText="1"/>
    </xf>
    <xf numFmtId="0" fontId="14" fillId="11" borderId="4" xfId="7" applyFont="1" applyFill="1" applyBorder="1" applyAlignment="1">
      <alignment horizontal="center" vertical="center" wrapText="1"/>
    </xf>
    <xf numFmtId="0" fontId="14" fillId="11" borderId="4" xfId="6" applyFont="1" applyFill="1" applyBorder="1" applyAlignment="1">
      <alignment horizontal="center" vertical="center"/>
    </xf>
    <xf numFmtId="17" fontId="19" fillId="11" borderId="4" xfId="2" quotePrefix="1" applyNumberFormat="1" applyFont="1" applyFill="1" applyBorder="1" applyAlignment="1">
      <alignment horizontal="center" vertical="center" wrapText="1"/>
    </xf>
    <xf numFmtId="0" fontId="14" fillId="11" borderId="4" xfId="6" applyFont="1" applyFill="1" applyBorder="1" applyAlignment="1">
      <alignment horizontal="center" vertical="center" wrapText="1"/>
    </xf>
    <xf numFmtId="0" fontId="63" fillId="11" borderId="4" xfId="6" applyFont="1" applyFill="1" applyBorder="1" applyAlignment="1">
      <alignment horizontal="center" vertical="center" wrapText="1"/>
    </xf>
    <xf numFmtId="0" fontId="14" fillId="0" borderId="4" xfId="6" applyFont="1" applyBorder="1" applyAlignment="1">
      <alignment vertical="center" wrapText="1"/>
    </xf>
    <xf numFmtId="0" fontId="63" fillId="2" borderId="4" xfId="11" applyFont="1" applyFill="1" applyBorder="1" applyAlignment="1">
      <alignment horizontal="center" vertical="center" wrapText="1"/>
    </xf>
    <xf numFmtId="0" fontId="14" fillId="2" borderId="6" xfId="7" applyFont="1" applyFill="1" applyBorder="1" applyAlignment="1">
      <alignment horizontal="center" vertical="center" wrapText="1"/>
    </xf>
    <xf numFmtId="0" fontId="14" fillId="2" borderId="4" xfId="6" applyFont="1" applyFill="1" applyBorder="1" applyAlignment="1">
      <alignment horizontal="center" vertical="center"/>
    </xf>
    <xf numFmtId="17" fontId="19" fillId="2" borderId="4" xfId="11" quotePrefix="1" applyNumberFormat="1" applyFont="1" applyFill="1" applyBorder="1" applyAlignment="1">
      <alignment horizontal="center" vertical="center" wrapText="1"/>
    </xf>
    <xf numFmtId="0" fontId="14" fillId="2" borderId="4" xfId="6" applyFont="1" applyFill="1" applyBorder="1" applyAlignment="1">
      <alignment horizontal="center" vertical="center" wrapText="1"/>
    </xf>
    <xf numFmtId="0" fontId="14" fillId="2" borderId="4" xfId="6" applyFont="1" applyFill="1" applyBorder="1" applyAlignment="1">
      <alignment vertical="center" wrapText="1"/>
    </xf>
    <xf numFmtId="0" fontId="14" fillId="2" borderId="6" xfId="7" applyFont="1" applyFill="1" applyBorder="1" applyAlignment="1">
      <alignment vertical="center" wrapText="1"/>
    </xf>
    <xf numFmtId="0" fontId="14" fillId="2" borderId="4" xfId="6" applyFont="1" applyFill="1" applyBorder="1" applyAlignment="1">
      <alignment vertical="center"/>
    </xf>
    <xf numFmtId="0" fontId="14" fillId="0" borderId="4" xfId="6" applyFont="1" applyBorder="1" applyAlignment="1">
      <alignment horizontal="left" vertical="center" wrapText="1" indent="1"/>
    </xf>
    <xf numFmtId="49" fontId="14" fillId="0" borderId="4" xfId="0" applyNumberFormat="1" applyFont="1" applyBorder="1" applyAlignment="1">
      <alignment horizontal="center" vertical="top" wrapText="1"/>
    </xf>
    <xf numFmtId="43" fontId="14" fillId="0" borderId="4" xfId="1" applyFont="1" applyFill="1" applyBorder="1" applyAlignment="1">
      <alignment vertical="top"/>
    </xf>
    <xf numFmtId="0" fontId="14" fillId="0" borderId="4" xfId="0" applyFont="1" applyBorder="1" applyAlignment="1">
      <alignment horizontal="left" vertical="top" wrapText="1"/>
    </xf>
    <xf numFmtId="44" fontId="14" fillId="0" borderId="4" xfId="1" applyNumberFormat="1" applyFont="1" applyFill="1" applyBorder="1" applyAlignment="1">
      <alignment vertical="top"/>
    </xf>
    <xf numFmtId="0" fontId="63" fillId="0" borderId="4" xfId="0" applyFont="1" applyBorder="1" applyAlignment="1">
      <alignment horizontal="center" vertical="center" wrapText="1"/>
    </xf>
    <xf numFmtId="0" fontId="63" fillId="0" borderId="4" xfId="0" applyFont="1" applyBorder="1" applyAlignment="1">
      <alignment vertical="center" wrapText="1"/>
    </xf>
    <xf numFmtId="0" fontId="63" fillId="0" borderId="4" xfId="0" applyFont="1" applyBorder="1" applyAlignment="1">
      <alignment horizontal="center" vertical="center"/>
    </xf>
    <xf numFmtId="49" fontId="63" fillId="0" borderId="4" xfId="0" applyNumberFormat="1" applyFont="1" applyBorder="1" applyAlignment="1">
      <alignment horizontal="center" vertical="center" wrapText="1"/>
    </xf>
    <xf numFmtId="43" fontId="63" fillId="0" borderId="4" xfId="1" applyFont="1" applyFill="1" applyBorder="1" applyAlignment="1">
      <alignment vertical="center"/>
    </xf>
    <xf numFmtId="0" fontId="63" fillId="0" borderId="4" xfId="0" applyFont="1" applyBorder="1" applyAlignment="1">
      <alignment horizontal="center" vertical="top" wrapText="1"/>
    </xf>
    <xf numFmtId="0" fontId="63" fillId="0" borderId="4" xfId="0" applyFont="1" applyBorder="1" applyAlignment="1">
      <alignment horizontal="center" vertical="top"/>
    </xf>
    <xf numFmtId="49" fontId="63" fillId="0" borderId="4" xfId="0" applyNumberFormat="1" applyFont="1" applyBorder="1" applyAlignment="1">
      <alignment horizontal="center" vertical="top" wrapText="1"/>
    </xf>
    <xf numFmtId="43" fontId="63" fillId="0" borderId="4" xfId="1" applyFont="1" applyFill="1" applyBorder="1" applyAlignment="1">
      <alignment vertical="top"/>
    </xf>
    <xf numFmtId="44" fontId="63" fillId="0" borderId="4" xfId="1" applyNumberFormat="1" applyFont="1" applyFill="1" applyBorder="1" applyAlignment="1">
      <alignment vertical="top"/>
    </xf>
    <xf numFmtId="0" fontId="63" fillId="0" borderId="6" xfId="0" applyFont="1" applyBorder="1" applyAlignment="1">
      <alignment wrapText="1"/>
    </xf>
    <xf numFmtId="43" fontId="14" fillId="0" borderId="4" xfId="1" applyFont="1" applyBorder="1" applyAlignment="1">
      <alignment horizontal="center" vertical="top" wrapText="1"/>
    </xf>
    <xf numFmtId="0" fontId="14" fillId="0" borderId="3" xfId="0" applyFont="1" applyBorder="1" applyAlignment="1">
      <alignment horizontal="center" vertical="top" wrapText="1"/>
    </xf>
    <xf numFmtId="0" fontId="14" fillId="2" borderId="4" xfId="0" applyFont="1" applyFill="1" applyBorder="1" applyAlignment="1">
      <alignment vertical="center" wrapText="1"/>
    </xf>
    <xf numFmtId="0" fontId="14" fillId="2" borderId="4" xfId="0" applyFont="1" applyFill="1" applyBorder="1" applyAlignment="1">
      <alignment horizontal="center" vertical="center" wrapText="1"/>
    </xf>
    <xf numFmtId="0" fontId="14" fillId="2" borderId="6" xfId="0" applyFont="1" applyFill="1" applyBorder="1" applyAlignment="1">
      <alignment vertical="center" wrapText="1"/>
    </xf>
    <xf numFmtId="0" fontId="14" fillId="2" borderId="4" xfId="0" applyFont="1" applyFill="1" applyBorder="1" applyAlignment="1">
      <alignment horizontal="center" vertical="center"/>
    </xf>
    <xf numFmtId="49" fontId="14" fillId="2" borderId="4" xfId="0" applyNumberFormat="1" applyFont="1" applyFill="1" applyBorder="1" applyAlignment="1">
      <alignment horizontal="center" vertical="center" wrapText="1"/>
    </xf>
    <xf numFmtId="49" fontId="14" fillId="2" borderId="4" xfId="0" applyNumberFormat="1" applyFont="1" applyFill="1" applyBorder="1" applyAlignment="1">
      <alignment horizontal="center" vertical="top" wrapText="1"/>
    </xf>
    <xf numFmtId="43" fontId="14" fillId="2" borderId="4" xfId="1" applyFont="1" applyFill="1" applyBorder="1" applyAlignment="1">
      <alignment vertical="top"/>
    </xf>
    <xf numFmtId="0" fontId="14" fillId="2" borderId="4" xfId="0" applyFont="1" applyFill="1" applyBorder="1" applyAlignment="1">
      <alignment horizontal="center"/>
    </xf>
    <xf numFmtId="44" fontId="14" fillId="2" borderId="4" xfId="1" applyNumberFormat="1" applyFont="1" applyFill="1" applyBorder="1" applyAlignment="1">
      <alignment vertical="top"/>
    </xf>
    <xf numFmtId="44" fontId="14" fillId="2" borderId="4" xfId="0" applyNumberFormat="1" applyFont="1" applyFill="1" applyBorder="1"/>
    <xf numFmtId="0" fontId="14" fillId="0" borderId="4" xfId="0" applyFont="1" applyBorder="1" applyAlignment="1">
      <alignment vertical="center" wrapText="1"/>
    </xf>
    <xf numFmtId="0" fontId="14" fillId="0" borderId="4" xfId="0" applyFont="1" applyBorder="1" applyAlignment="1">
      <alignment horizontal="center" vertical="center" wrapText="1"/>
    </xf>
    <xf numFmtId="0" fontId="14" fillId="0" borderId="4" xfId="0" applyFont="1" applyBorder="1" applyAlignment="1">
      <alignment horizontal="center" vertical="center"/>
    </xf>
    <xf numFmtId="0" fontId="63" fillId="11" borderId="4" xfId="2" applyFont="1" applyFill="1" applyBorder="1" applyAlignment="1">
      <alignment vertical="center" wrapText="1"/>
    </xf>
    <xf numFmtId="169" fontId="19" fillId="9" borderId="4" xfId="9" applyNumberFormat="1" applyFont="1" applyFill="1" applyBorder="1" applyAlignment="1">
      <alignment horizontal="left" vertical="center" wrapText="1"/>
    </xf>
    <xf numFmtId="169" fontId="19" fillId="0" borderId="4" xfId="9" applyNumberFormat="1" applyFont="1" applyBorder="1" applyAlignment="1">
      <alignment horizontal="left" vertical="center" wrapText="1"/>
    </xf>
    <xf numFmtId="0" fontId="63" fillId="2" borderId="4" xfId="11" applyFont="1" applyFill="1" applyBorder="1" applyAlignment="1">
      <alignment vertical="center" wrapText="1"/>
    </xf>
    <xf numFmtId="168" fontId="19" fillId="2" borderId="4" xfId="10" applyFont="1" applyFill="1" applyBorder="1" applyAlignment="1">
      <alignment horizontal="left" vertical="center" wrapText="1"/>
    </xf>
    <xf numFmtId="0" fontId="14" fillId="0" borderId="6" xfId="0" applyFont="1" applyBorder="1" applyAlignment="1">
      <alignment horizontal="center" wrapText="1"/>
    </xf>
    <xf numFmtId="0" fontId="14" fillId="0" borderId="0" xfId="0" applyFont="1" applyAlignment="1">
      <alignment horizontal="center"/>
    </xf>
    <xf numFmtId="0" fontId="19" fillId="0" borderId="6" xfId="5" applyFont="1" applyBorder="1" applyAlignment="1">
      <alignment horizontal="center" vertical="center" shrinkToFit="1"/>
    </xf>
    <xf numFmtId="0" fontId="19" fillId="0" borderId="6" xfId="5" applyFont="1" applyBorder="1" applyAlignment="1">
      <alignment horizontal="center" vertical="center" wrapText="1" shrinkToFit="1"/>
    </xf>
    <xf numFmtId="3" fontId="19" fillId="0" borderId="6" xfId="5" applyNumberFormat="1" applyFont="1" applyBorder="1" applyAlignment="1">
      <alignment horizontal="center" vertical="center"/>
    </xf>
    <xf numFmtId="0" fontId="14" fillId="0" borderId="6" xfId="0" applyFont="1" applyBorder="1" applyAlignment="1">
      <alignment horizontal="center"/>
    </xf>
    <xf numFmtId="0" fontId="63" fillId="0" borderId="6" xfId="0" applyFont="1" applyBorder="1" applyAlignment="1">
      <alignment horizontal="center" vertical="center" wrapText="1"/>
    </xf>
    <xf numFmtId="0" fontId="14" fillId="0" borderId="0" xfId="0" applyFont="1" applyAlignment="1">
      <alignment horizontal="center" vertical="center"/>
    </xf>
    <xf numFmtId="0" fontId="70" fillId="0" borderId="6" xfId="2" applyFont="1" applyBorder="1" applyAlignment="1">
      <alignment horizontal="center" vertical="top" wrapText="1"/>
    </xf>
    <xf numFmtId="0" fontId="14" fillId="0" borderId="6" xfId="0" applyFont="1" applyBorder="1" applyAlignment="1">
      <alignment vertical="top"/>
    </xf>
    <xf numFmtId="0" fontId="14" fillId="0" borderId="6" xfId="0" applyFont="1" applyBorder="1" applyAlignment="1">
      <alignment horizontal="center" vertical="top" wrapText="1"/>
    </xf>
    <xf numFmtId="44" fontId="14" fillId="0" borderId="6" xfId="1" applyNumberFormat="1" applyFont="1" applyFill="1" applyBorder="1" applyAlignment="1">
      <alignment horizontal="center" vertical="top" wrapText="1"/>
    </xf>
    <xf numFmtId="0" fontId="14" fillId="2" borderId="6" xfId="0" applyFont="1" applyFill="1" applyBorder="1" applyAlignment="1">
      <alignment vertical="center"/>
    </xf>
    <xf numFmtId="0" fontId="14" fillId="2" borderId="6" xfId="0" applyFont="1" applyFill="1" applyBorder="1" applyAlignment="1">
      <alignment vertical="top"/>
    </xf>
    <xf numFmtId="0" fontId="14" fillId="2" borderId="6" xfId="0" applyFont="1" applyFill="1" applyBorder="1"/>
    <xf numFmtId="0" fontId="14" fillId="2" borderId="6" xfId="0" applyFont="1" applyFill="1" applyBorder="1" applyAlignment="1">
      <alignment horizontal="center" vertical="top" wrapText="1"/>
    </xf>
    <xf numFmtId="44" fontId="14" fillId="2" borderId="6" xfId="1" applyNumberFormat="1" applyFont="1" applyFill="1" applyBorder="1" applyAlignment="1">
      <alignment horizontal="center" vertical="top" wrapText="1"/>
    </xf>
    <xf numFmtId="0" fontId="14" fillId="0" borderId="35" xfId="0" applyFont="1" applyBorder="1"/>
    <xf numFmtId="0" fontId="14" fillId="11" borderId="6" xfId="6" applyFont="1" applyFill="1" applyBorder="1" applyAlignment="1">
      <alignment horizontal="center" vertical="center" wrapText="1"/>
    </xf>
    <xf numFmtId="0" fontId="14" fillId="0" borderId="6" xfId="6" applyFont="1" applyBorder="1" applyAlignment="1">
      <alignment vertical="center"/>
    </xf>
    <xf numFmtId="0" fontId="14" fillId="0" borderId="6" xfId="6" applyFont="1" applyBorder="1"/>
    <xf numFmtId="0" fontId="63" fillId="2" borderId="6" xfId="6" applyFont="1" applyFill="1" applyBorder="1" applyAlignment="1">
      <alignment horizontal="center" vertical="center" wrapText="1"/>
    </xf>
    <xf numFmtId="0" fontId="14" fillId="2" borderId="6" xfId="6" applyFont="1" applyFill="1" applyBorder="1" applyAlignment="1">
      <alignment vertical="center"/>
    </xf>
    <xf numFmtId="0" fontId="0" fillId="0" borderId="6" xfId="0" applyBorder="1"/>
    <xf numFmtId="0" fontId="14" fillId="0" borderId="0" xfId="0" applyFont="1" applyAlignment="1">
      <alignment vertical="top"/>
    </xf>
    <xf numFmtId="0" fontId="14" fillId="0" borderId="0" xfId="0" applyFont="1" applyAlignment="1">
      <alignment horizontal="center" vertical="top" wrapText="1"/>
    </xf>
    <xf numFmtId="0" fontId="14" fillId="2" borderId="0" xfId="0" applyFont="1" applyFill="1" applyAlignment="1">
      <alignment vertical="top"/>
    </xf>
    <xf numFmtId="0" fontId="14" fillId="2" borderId="0" xfId="0" applyFont="1" applyFill="1" applyAlignment="1">
      <alignment horizontal="center" vertical="top" wrapText="1"/>
    </xf>
    <xf numFmtId="0" fontId="14" fillId="2" borderId="0" xfId="6" applyFont="1" applyFill="1" applyAlignment="1">
      <alignment horizontal="center" vertical="center" wrapText="1"/>
    </xf>
    <xf numFmtId="0" fontId="63" fillId="0" borderId="3" xfId="0" applyFont="1" applyBorder="1" applyAlignment="1">
      <alignment horizontal="center" vertical="top" wrapText="1"/>
    </xf>
    <xf numFmtId="0" fontId="14" fillId="0" borderId="4" xfId="0" applyFont="1" applyBorder="1" applyAlignment="1">
      <alignment horizontal="center" wrapText="1"/>
    </xf>
    <xf numFmtId="3" fontId="19" fillId="0" borderId="4" xfId="5" applyNumberFormat="1" applyFont="1" applyBorder="1" applyAlignment="1">
      <alignment horizontal="center" vertical="center"/>
    </xf>
    <xf numFmtId="167" fontId="19" fillId="0" borderId="4" xfId="1" applyNumberFormat="1" applyFont="1" applyBorder="1" applyAlignment="1">
      <alignment horizontal="center" vertical="center"/>
    </xf>
    <xf numFmtId="167" fontId="14" fillId="0" borderId="4" xfId="1" applyNumberFormat="1" applyFont="1" applyFill="1" applyBorder="1" applyAlignment="1">
      <alignment horizontal="center"/>
    </xf>
    <xf numFmtId="0" fontId="19" fillId="0" borderId="4" xfId="5" applyFont="1" applyBorder="1" applyAlignment="1">
      <alignment horizontal="left" vertical="center" shrinkToFit="1"/>
    </xf>
    <xf numFmtId="0" fontId="14" fillId="0" borderId="4" xfId="0" applyFont="1" applyBorder="1" applyAlignment="1">
      <alignment horizontal="left"/>
    </xf>
    <xf numFmtId="0" fontId="19" fillId="2" borderId="4" xfId="5" applyFont="1" applyFill="1" applyBorder="1" applyAlignment="1">
      <alignment horizontal="left" vertical="center" shrinkToFit="1"/>
    </xf>
    <xf numFmtId="0" fontId="14" fillId="2" borderId="0" xfId="0" applyFont="1" applyFill="1" applyAlignment="1">
      <alignment horizontal="center"/>
    </xf>
    <xf numFmtId="0" fontId="14" fillId="2" borderId="6" xfId="0" applyFont="1" applyFill="1" applyBorder="1" applyAlignment="1">
      <alignment horizontal="center" wrapText="1"/>
    </xf>
    <xf numFmtId="3" fontId="19" fillId="2" borderId="4" xfId="5" applyNumberFormat="1" applyFont="1" applyFill="1" applyBorder="1" applyAlignment="1">
      <alignment horizontal="center" vertical="center"/>
    </xf>
    <xf numFmtId="3" fontId="19" fillId="2" borderId="6" xfId="5" applyNumberFormat="1" applyFont="1" applyFill="1" applyBorder="1" applyAlignment="1">
      <alignment horizontal="center" vertical="center"/>
    </xf>
    <xf numFmtId="0" fontId="63" fillId="0" borderId="6" xfId="0" applyFont="1" applyBorder="1" applyAlignment="1">
      <alignment horizontal="center" wrapText="1"/>
    </xf>
    <xf numFmtId="167" fontId="14" fillId="0" borderId="6" xfId="1" applyNumberFormat="1" applyFont="1" applyFill="1" applyBorder="1" applyAlignment="1">
      <alignment horizontal="center"/>
    </xf>
    <xf numFmtId="0" fontId="14" fillId="2" borderId="6" xfId="0" applyFont="1" applyFill="1" applyBorder="1" applyAlignment="1">
      <alignment horizontal="center" vertical="center" wrapText="1"/>
    </xf>
    <xf numFmtId="0" fontId="19" fillId="2" borderId="6" xfId="5" applyFont="1" applyFill="1" applyBorder="1" applyAlignment="1">
      <alignment horizontal="center" vertical="center"/>
    </xf>
    <xf numFmtId="0" fontId="19" fillId="2" borderId="6" xfId="0" applyFont="1" applyFill="1" applyBorder="1" applyAlignment="1">
      <alignment horizontal="center" vertical="top" wrapText="1"/>
    </xf>
    <xf numFmtId="0" fontId="14" fillId="2" borderId="4" xfId="0" applyFont="1" applyFill="1" applyBorder="1" applyAlignment="1">
      <alignment horizontal="center" wrapText="1"/>
    </xf>
    <xf numFmtId="167" fontId="14" fillId="2" borderId="4" xfId="1" applyNumberFormat="1" applyFont="1" applyFill="1" applyBorder="1" applyAlignment="1">
      <alignment horizontal="center"/>
    </xf>
    <xf numFmtId="0" fontId="0" fillId="0" borderId="4" xfId="0" applyBorder="1" applyAlignment="1">
      <alignment horizontal="center"/>
    </xf>
    <xf numFmtId="0" fontId="0" fillId="0" borderId="0" xfId="0" applyAlignment="1">
      <alignment horizontal="center"/>
    </xf>
    <xf numFmtId="0" fontId="19" fillId="2" borderId="6" xfId="5" applyFont="1" applyFill="1" applyBorder="1" applyAlignment="1">
      <alignment horizontal="left" vertical="center"/>
    </xf>
    <xf numFmtId="3" fontId="19" fillId="2" borderId="6" xfId="5" applyNumberFormat="1" applyFont="1" applyFill="1" applyBorder="1" applyAlignment="1">
      <alignment horizontal="left" vertical="center"/>
    </xf>
    <xf numFmtId="3" fontId="19" fillId="2" borderId="4" xfId="5" applyNumberFormat="1" applyFont="1" applyFill="1" applyBorder="1" applyAlignment="1">
      <alignment horizontal="left" vertical="center"/>
    </xf>
    <xf numFmtId="167" fontId="14" fillId="0" borderId="4" xfId="1" applyNumberFormat="1" applyFont="1" applyFill="1" applyBorder="1" applyAlignment="1"/>
    <xf numFmtId="164" fontId="69" fillId="0" borderId="4" xfId="2" applyNumberFormat="1" applyFont="1" applyBorder="1" applyAlignment="1">
      <alignment vertical="center" wrapText="1"/>
    </xf>
    <xf numFmtId="0" fontId="19" fillId="0" borderId="4" xfId="5" applyFont="1" applyBorder="1" applyAlignment="1">
      <alignment horizontal="left" vertical="center" wrapText="1" shrinkToFit="1"/>
    </xf>
    <xf numFmtId="0" fontId="14" fillId="0" borderId="3" xfId="6" applyFont="1" applyBorder="1" applyAlignment="1">
      <alignment horizontal="left" vertical="center" wrapText="1"/>
    </xf>
    <xf numFmtId="17" fontId="19" fillId="0" borderId="3" xfId="11" quotePrefix="1" applyNumberFormat="1" applyFont="1" applyBorder="1" applyAlignment="1">
      <alignment horizontal="center" vertical="center" wrapText="1"/>
    </xf>
    <xf numFmtId="0" fontId="19" fillId="2" borderId="4" xfId="7" applyFont="1" applyFill="1" applyBorder="1" applyAlignment="1">
      <alignment vertical="center" wrapText="1"/>
    </xf>
    <xf numFmtId="0" fontId="19" fillId="2" borderId="4" xfId="7" applyFont="1" applyFill="1" applyBorder="1" applyAlignment="1">
      <alignment horizontal="left" vertical="center" wrapText="1"/>
    </xf>
    <xf numFmtId="0" fontId="19" fillId="2" borderId="4" xfId="7" applyFont="1" applyFill="1" applyBorder="1" applyAlignment="1">
      <alignment vertical="center"/>
    </xf>
    <xf numFmtId="17" fontId="14" fillId="0" borderId="4" xfId="6" applyNumberFormat="1" applyFont="1" applyBorder="1" applyAlignment="1">
      <alignment horizontal="center"/>
    </xf>
    <xf numFmtId="14" fontId="14" fillId="0" borderId="4" xfId="6" applyNumberFormat="1" applyFont="1" applyBorder="1" applyAlignment="1">
      <alignment horizontal="center"/>
    </xf>
    <xf numFmtId="17" fontId="19" fillId="0" borderId="3" xfId="2" quotePrefix="1" applyNumberFormat="1" applyFont="1" applyBorder="1" applyAlignment="1">
      <alignment horizontal="center" vertical="center" wrapText="1"/>
    </xf>
    <xf numFmtId="0" fontId="14" fillId="0" borderId="4" xfId="7" applyFont="1" applyBorder="1" applyAlignment="1">
      <alignment vertical="center" wrapText="1"/>
    </xf>
    <xf numFmtId="14" fontId="14" fillId="0" borderId="4" xfId="0" applyNumberFormat="1" applyFont="1" applyBorder="1" applyAlignment="1">
      <alignment horizontal="center" vertical="center"/>
    </xf>
    <xf numFmtId="43" fontId="19" fillId="0" borderId="4" xfId="1" applyFont="1" applyBorder="1" applyAlignment="1">
      <alignment horizontal="center" vertical="center" wrapText="1"/>
    </xf>
    <xf numFmtId="4" fontId="14" fillId="0" borderId="25" xfId="0" applyNumberFormat="1" applyFont="1" applyBorder="1"/>
    <xf numFmtId="0" fontId="19" fillId="2" borderId="5" xfId="7" applyFont="1" applyFill="1" applyBorder="1" applyAlignment="1">
      <alignment vertical="center" wrapText="1"/>
    </xf>
    <xf numFmtId="0" fontId="14" fillId="2" borderId="5" xfId="7" applyFont="1" applyFill="1" applyBorder="1" applyAlignment="1">
      <alignment vertical="center" wrapText="1"/>
    </xf>
    <xf numFmtId="0" fontId="19" fillId="0" borderId="4" xfId="0" applyFont="1" applyBorder="1" applyAlignment="1">
      <alignment horizontal="center" vertical="center"/>
    </xf>
    <xf numFmtId="0" fontId="63" fillId="12" borderId="4" xfId="0" applyFont="1" applyFill="1" applyBorder="1" applyAlignment="1">
      <alignment horizontal="center" vertical="center" wrapText="1"/>
    </xf>
    <xf numFmtId="14" fontId="63" fillId="12" borderId="4" xfId="0" applyNumberFormat="1" applyFont="1" applyFill="1" applyBorder="1" applyAlignment="1">
      <alignment horizontal="center" vertical="center" wrapText="1"/>
    </xf>
    <xf numFmtId="14" fontId="63" fillId="12" borderId="4" xfId="0" applyNumberFormat="1" applyFont="1" applyFill="1" applyBorder="1" applyAlignment="1">
      <alignment horizontal="left" vertical="center" wrapText="1" indent="1"/>
    </xf>
    <xf numFmtId="0" fontId="63" fillId="12" borderId="4" xfId="0" applyFont="1" applyFill="1" applyBorder="1" applyAlignment="1">
      <alignment horizontal="left" vertical="center" wrapText="1" indent="1"/>
    </xf>
    <xf numFmtId="0" fontId="14" fillId="0" borderId="4" xfId="13" applyFont="1" applyBorder="1" applyAlignment="1">
      <alignment horizontal="left" vertical="center"/>
    </xf>
    <xf numFmtId="17" fontId="63" fillId="12" borderId="4" xfId="0" applyNumberFormat="1" applyFont="1" applyFill="1" applyBorder="1" applyAlignment="1">
      <alignment horizontal="left" vertical="center" wrapText="1" indent="1"/>
    </xf>
    <xf numFmtId="0" fontId="22" fillId="0" borderId="4" xfId="0" applyFont="1" applyBorder="1" applyAlignment="1">
      <alignment horizontal="center" vertical="top" wrapText="1"/>
    </xf>
    <xf numFmtId="0" fontId="14" fillId="0" borderId="5" xfId="0" applyFont="1" applyBorder="1" applyAlignment="1">
      <alignment horizontal="center" vertical="top" wrapText="1"/>
    </xf>
    <xf numFmtId="0" fontId="19" fillId="0" borderId="4" xfId="2" applyFont="1" applyBorder="1" applyAlignment="1">
      <alignment horizontal="center" vertical="center" wrapText="1"/>
    </xf>
    <xf numFmtId="49" fontId="14" fillId="0" borderId="4" xfId="0" applyNumberFormat="1" applyFont="1" applyBorder="1" applyAlignment="1">
      <alignment horizontal="center" vertical="center" wrapText="1"/>
    </xf>
    <xf numFmtId="43" fontId="14" fillId="0" borderId="4" xfId="1" applyFont="1" applyFill="1" applyBorder="1" applyAlignment="1">
      <alignment vertical="center"/>
    </xf>
    <xf numFmtId="4" fontId="63" fillId="12" borderId="1" xfId="0" applyNumberFormat="1" applyFont="1" applyFill="1" applyBorder="1" applyAlignment="1">
      <alignment vertical="center" wrapText="1"/>
    </xf>
    <xf numFmtId="0" fontId="14" fillId="2" borderId="3" xfId="0" applyFont="1" applyFill="1" applyBorder="1" applyAlignment="1">
      <alignment horizontal="center" vertical="top" wrapText="1"/>
    </xf>
    <xf numFmtId="0" fontId="14" fillId="2" borderId="3" xfId="0" applyFont="1" applyFill="1" applyBorder="1" applyAlignment="1">
      <alignment horizontal="center" vertical="top"/>
    </xf>
    <xf numFmtId="49" fontId="14" fillId="2" borderId="3" xfId="0" applyNumberFormat="1" applyFont="1" applyFill="1" applyBorder="1" applyAlignment="1">
      <alignment horizontal="center" vertical="top" wrapText="1"/>
    </xf>
    <xf numFmtId="0" fontId="14" fillId="2" borderId="5" xfId="0" applyFont="1" applyFill="1" applyBorder="1" applyAlignment="1">
      <alignment horizontal="center" vertical="top" wrapText="1"/>
    </xf>
    <xf numFmtId="0" fontId="14" fillId="2" borderId="1" xfId="0" applyFont="1" applyFill="1" applyBorder="1" applyAlignment="1">
      <alignment horizontal="center" vertical="top" wrapText="1"/>
    </xf>
    <xf numFmtId="0" fontId="14" fillId="2" borderId="1" xfId="0" applyFont="1" applyFill="1" applyBorder="1" applyAlignment="1">
      <alignment horizontal="center" vertical="top"/>
    </xf>
    <xf numFmtId="49" fontId="14" fillId="2" borderId="1" xfId="0" applyNumberFormat="1" applyFont="1" applyFill="1" applyBorder="1" applyAlignment="1">
      <alignment horizontal="center" vertical="top" wrapText="1"/>
    </xf>
    <xf numFmtId="167" fontId="14" fillId="2" borderId="6" xfId="1" applyNumberFormat="1" applyFont="1" applyFill="1" applyBorder="1" applyAlignment="1"/>
    <xf numFmtId="167" fontId="14" fillId="2" borderId="4" xfId="1" applyNumberFormat="1" applyFont="1" applyFill="1" applyBorder="1" applyAlignment="1"/>
    <xf numFmtId="0" fontId="68" fillId="2" borderId="4" xfId="2" applyFont="1" applyFill="1" applyBorder="1" applyAlignment="1">
      <alignment horizontal="left" vertical="top" wrapText="1"/>
    </xf>
    <xf numFmtId="0" fontId="69" fillId="2" borderId="4" xfId="2" applyFont="1" applyFill="1" applyBorder="1" applyAlignment="1">
      <alignment horizontal="center" vertical="top" wrapText="1"/>
    </xf>
    <xf numFmtId="49" fontId="69" fillId="2" borderId="4" xfId="2" applyNumberFormat="1" applyFont="1" applyFill="1" applyBorder="1" applyAlignment="1">
      <alignment horizontal="center" vertical="top" wrapText="1"/>
    </xf>
    <xf numFmtId="0" fontId="68" fillId="2" borderId="4" xfId="2" applyFont="1" applyFill="1" applyBorder="1" applyAlignment="1">
      <alignment horizontal="center" vertical="top" wrapText="1"/>
    </xf>
    <xf numFmtId="0" fontId="14" fillId="2" borderId="4" xfId="0" applyFont="1" applyFill="1" applyBorder="1" applyAlignment="1">
      <alignment horizontal="left"/>
    </xf>
    <xf numFmtId="0" fontId="19" fillId="2" borderId="4" xfId="2" applyFont="1" applyFill="1" applyBorder="1" applyAlignment="1">
      <alignment horizontal="center" vertical="center" wrapText="1"/>
    </xf>
    <xf numFmtId="0" fontId="69" fillId="2" borderId="4" xfId="2" applyFont="1" applyFill="1" applyBorder="1" applyAlignment="1">
      <alignment vertical="center" wrapText="1"/>
    </xf>
    <xf numFmtId="49" fontId="69" fillId="2" borderId="4" xfId="2" applyNumberFormat="1" applyFont="1" applyFill="1" applyBorder="1" applyAlignment="1">
      <alignment vertical="center" wrapText="1"/>
    </xf>
    <xf numFmtId="164" fontId="69" fillId="2" borderId="4" xfId="2" applyNumberFormat="1" applyFont="1" applyFill="1" applyBorder="1" applyAlignment="1">
      <alignment vertical="center" wrapText="1"/>
    </xf>
    <xf numFmtId="0" fontId="19" fillId="2" borderId="4" xfId="5" applyFont="1" applyFill="1" applyBorder="1" applyAlignment="1">
      <alignment horizontal="left" vertical="center" wrapText="1" shrinkToFit="1"/>
    </xf>
    <xf numFmtId="0" fontId="14" fillId="2" borderId="0" xfId="0" quotePrefix="1" applyFont="1" applyFill="1" applyAlignment="1">
      <alignment vertical="center"/>
    </xf>
    <xf numFmtId="0" fontId="14" fillId="2" borderId="25" xfId="0" applyFont="1" applyFill="1" applyBorder="1"/>
    <xf numFmtId="0" fontId="14" fillId="2" borderId="25" xfId="0" applyFont="1" applyFill="1" applyBorder="1" applyAlignment="1">
      <alignment horizontal="center"/>
    </xf>
    <xf numFmtId="0" fontId="14" fillId="2" borderId="27" xfId="0" applyFont="1" applyFill="1" applyBorder="1" applyAlignment="1">
      <alignment horizontal="center"/>
    </xf>
    <xf numFmtId="0" fontId="14" fillId="2" borderId="25" xfId="0" quotePrefix="1" applyFont="1" applyFill="1" applyBorder="1"/>
    <xf numFmtId="17" fontId="14" fillId="2" borderId="25" xfId="0" applyNumberFormat="1" applyFont="1" applyFill="1" applyBorder="1"/>
    <xf numFmtId="4" fontId="14" fillId="2" borderId="25" xfId="0" applyNumberFormat="1" applyFont="1" applyFill="1" applyBorder="1"/>
    <xf numFmtId="0" fontId="14" fillId="2" borderId="3" xfId="6" applyFont="1" applyFill="1" applyBorder="1" applyAlignment="1">
      <alignment horizontal="left" vertical="center" wrapText="1"/>
    </xf>
    <xf numFmtId="17" fontId="19" fillId="2" borderId="3" xfId="11" quotePrefix="1" applyNumberFormat="1" applyFont="1" applyFill="1" applyBorder="1" applyAlignment="1">
      <alignment horizontal="center" vertical="center" wrapText="1"/>
    </xf>
    <xf numFmtId="168" fontId="14" fillId="2" borderId="4" xfId="10" applyFont="1" applyFill="1" applyBorder="1" applyAlignment="1">
      <alignment vertical="center"/>
    </xf>
    <xf numFmtId="0" fontId="14" fillId="2" borderId="4" xfId="6" applyFont="1" applyFill="1" applyBorder="1" applyAlignment="1">
      <alignment horizontal="center"/>
    </xf>
    <xf numFmtId="14" fontId="14" fillId="2" borderId="4" xfId="6" applyNumberFormat="1" applyFont="1" applyFill="1" applyBorder="1" applyAlignment="1">
      <alignment horizontal="center" vertical="center"/>
    </xf>
    <xf numFmtId="17" fontId="14" fillId="2" borderId="4" xfId="6" applyNumberFormat="1" applyFont="1" applyFill="1" applyBorder="1" applyAlignment="1">
      <alignment horizontal="center" vertical="center"/>
    </xf>
    <xf numFmtId="0" fontId="14" fillId="2" borderId="4" xfId="6" applyFont="1" applyFill="1" applyBorder="1"/>
    <xf numFmtId="4" fontId="14" fillId="2" borderId="4" xfId="0" applyNumberFormat="1" applyFont="1" applyFill="1" applyBorder="1"/>
    <xf numFmtId="17" fontId="14" fillId="2" borderId="4" xfId="6" applyNumberFormat="1" applyFont="1" applyFill="1" applyBorder="1" applyAlignment="1">
      <alignment horizontal="center"/>
    </xf>
    <xf numFmtId="14" fontId="14" fillId="2" borderId="4" xfId="6" applyNumberFormat="1" applyFont="1" applyFill="1" applyBorder="1" applyAlignment="1">
      <alignment horizontal="center"/>
    </xf>
    <xf numFmtId="0" fontId="14" fillId="2" borderId="20" xfId="6" applyFont="1" applyFill="1" applyBorder="1"/>
    <xf numFmtId="0" fontId="14" fillId="2" borderId="0" xfId="6" applyFont="1" applyFill="1"/>
    <xf numFmtId="17" fontId="19" fillId="2" borderId="3" xfId="2" quotePrefix="1" applyNumberFormat="1" applyFont="1" applyFill="1" applyBorder="1" applyAlignment="1">
      <alignment horizontal="center" vertical="center" wrapText="1"/>
    </xf>
    <xf numFmtId="0" fontId="14" fillId="2" borderId="4" xfId="7" applyFont="1" applyFill="1" applyBorder="1" applyAlignment="1">
      <alignment vertical="center" wrapText="1"/>
    </xf>
    <xf numFmtId="0" fontId="14" fillId="2" borderId="4" xfId="7" applyFont="1" applyFill="1" applyBorder="1" applyAlignment="1">
      <alignment horizontal="center" vertical="center" wrapText="1"/>
    </xf>
    <xf numFmtId="14" fontId="14" fillId="2" borderId="4" xfId="0" applyNumberFormat="1" applyFont="1" applyFill="1" applyBorder="1" applyAlignment="1">
      <alignment horizontal="center" vertical="center"/>
    </xf>
    <xf numFmtId="43" fontId="19" fillId="2" borderId="4" xfId="1" applyFont="1" applyFill="1" applyBorder="1" applyAlignment="1">
      <alignment horizontal="left" vertical="center" wrapText="1"/>
    </xf>
    <xf numFmtId="0" fontId="14" fillId="2" borderId="4" xfId="7" applyFont="1" applyFill="1" applyBorder="1" applyAlignment="1">
      <alignment horizontal="left" vertical="center" wrapText="1"/>
    </xf>
    <xf numFmtId="43" fontId="19" fillId="2" borderId="4" xfId="1" applyFont="1" applyFill="1" applyBorder="1" applyAlignment="1">
      <alignment horizontal="center" vertical="center" wrapText="1"/>
    </xf>
    <xf numFmtId="0" fontId="63" fillId="2" borderId="30" xfId="0" applyFont="1" applyFill="1" applyBorder="1" applyAlignment="1">
      <alignment horizontal="center" vertical="center" wrapText="1"/>
    </xf>
    <xf numFmtId="0" fontId="63" fillId="2" borderId="7" xfId="0" applyFont="1" applyFill="1" applyBorder="1" applyAlignment="1">
      <alignment horizontal="left" vertical="center" wrapText="1"/>
    </xf>
    <xf numFmtId="14" fontId="63" fillId="2" borderId="2" xfId="0" applyNumberFormat="1" applyFont="1" applyFill="1" applyBorder="1" applyAlignment="1">
      <alignment horizontal="left" vertical="center" wrapText="1"/>
    </xf>
    <xf numFmtId="14" fontId="63" fillId="2" borderId="0" xfId="0" applyNumberFormat="1" applyFont="1" applyFill="1" applyAlignment="1">
      <alignment horizontal="left" vertical="center" wrapText="1" indent="1"/>
    </xf>
    <xf numFmtId="0" fontId="63" fillId="2" borderId="2" xfId="0" applyFont="1" applyFill="1" applyBorder="1" applyAlignment="1">
      <alignment horizontal="left" vertical="center" wrapText="1" indent="1"/>
    </xf>
    <xf numFmtId="0" fontId="63" fillId="2" borderId="7" xfId="0" applyFont="1" applyFill="1" applyBorder="1" applyAlignment="1">
      <alignment horizontal="left" vertical="center" wrapText="1" indent="1"/>
    </xf>
    <xf numFmtId="0" fontId="63" fillId="2" borderId="1" xfId="0" applyFont="1" applyFill="1" applyBorder="1" applyAlignment="1">
      <alignment horizontal="left" vertical="center" wrapText="1" indent="1"/>
    </xf>
    <xf numFmtId="0" fontId="63" fillId="2" borderId="1" xfId="0" applyFont="1" applyFill="1" applyBorder="1" applyAlignment="1">
      <alignment horizontal="left" vertical="center" wrapText="1"/>
    </xf>
    <xf numFmtId="0" fontId="19" fillId="2" borderId="4" xfId="0" applyFont="1" applyFill="1" applyBorder="1" applyAlignment="1">
      <alignment horizontal="center" vertical="center"/>
    </xf>
    <xf numFmtId="0" fontId="14" fillId="2" borderId="4" xfId="12" applyFont="1" applyFill="1" applyBorder="1" applyAlignment="1">
      <alignment horizontal="left" vertical="center"/>
    </xf>
    <xf numFmtId="0" fontId="63" fillId="2" borderId="4" xfId="0" applyFont="1" applyFill="1" applyBorder="1" applyAlignment="1">
      <alignment horizontal="center" vertical="center" wrapText="1"/>
    </xf>
    <xf numFmtId="14" fontId="63" fillId="2" borderId="4" xfId="0" applyNumberFormat="1" applyFont="1" applyFill="1" applyBorder="1" applyAlignment="1">
      <alignment horizontal="center" vertical="center" wrapText="1"/>
    </xf>
    <xf numFmtId="14" fontId="63" fillId="2" borderId="4" xfId="0" applyNumberFormat="1" applyFont="1" applyFill="1" applyBorder="1" applyAlignment="1">
      <alignment horizontal="left" vertical="center" wrapText="1" indent="1"/>
    </xf>
    <xf numFmtId="0" fontId="63" fillId="2" borderId="4" xfId="0" applyFont="1" applyFill="1" applyBorder="1" applyAlignment="1">
      <alignment horizontal="left" vertical="center" wrapText="1" indent="1"/>
    </xf>
    <xf numFmtId="43" fontId="14" fillId="2" borderId="4" xfId="0" applyNumberFormat="1" applyFont="1" applyFill="1" applyBorder="1" applyAlignment="1">
      <alignment horizontal="center" vertical="center"/>
    </xf>
    <xf numFmtId="43" fontId="63" fillId="2" borderId="4" xfId="1" applyFont="1" applyFill="1" applyBorder="1" applyAlignment="1">
      <alignment horizontal="center" vertical="center"/>
    </xf>
    <xf numFmtId="0" fontId="19" fillId="2" borderId="3" xfId="0" applyFont="1" applyFill="1" applyBorder="1" applyAlignment="1">
      <alignment horizontal="center" vertical="center"/>
    </xf>
    <xf numFmtId="0" fontId="14" fillId="2" borderId="3" xfId="13" applyFont="1" applyFill="1" applyBorder="1" applyAlignment="1">
      <alignment horizontal="left" vertical="center"/>
    </xf>
    <xf numFmtId="0" fontId="63" fillId="2" borderId="3" xfId="0" applyFont="1" applyFill="1" applyBorder="1" applyAlignment="1">
      <alignment horizontal="center" vertical="center" wrapText="1"/>
    </xf>
    <xf numFmtId="14" fontId="63" fillId="2" borderId="3" xfId="0" applyNumberFormat="1" applyFont="1" applyFill="1" applyBorder="1" applyAlignment="1">
      <alignment horizontal="center" vertical="center" wrapText="1"/>
    </xf>
    <xf numFmtId="14" fontId="63" fillId="2" borderId="3" xfId="0" applyNumberFormat="1" applyFont="1" applyFill="1" applyBorder="1" applyAlignment="1">
      <alignment horizontal="left" vertical="center" wrapText="1" indent="1"/>
    </xf>
    <xf numFmtId="0" fontId="63" fillId="2" borderId="3" xfId="0" applyFont="1" applyFill="1" applyBorder="1" applyAlignment="1">
      <alignment horizontal="left" vertical="center" wrapText="1" indent="1"/>
    </xf>
    <xf numFmtId="43" fontId="14" fillId="2" borderId="3" xfId="0" applyNumberFormat="1" applyFont="1" applyFill="1" applyBorder="1" applyAlignment="1">
      <alignment horizontal="center" vertical="center"/>
    </xf>
    <xf numFmtId="0" fontId="63" fillId="2" borderId="2" xfId="0" applyFont="1" applyFill="1" applyBorder="1" applyAlignment="1">
      <alignment horizontal="left" vertical="center" wrapText="1"/>
    </xf>
    <xf numFmtId="0" fontId="14" fillId="2" borderId="4" xfId="13" applyFont="1" applyFill="1" applyBorder="1" applyAlignment="1">
      <alignment horizontal="left" vertical="center"/>
    </xf>
    <xf numFmtId="0" fontId="63" fillId="2" borderId="4" xfId="0" applyFont="1" applyFill="1" applyBorder="1" applyAlignment="1">
      <alignment horizontal="left" vertical="center" wrapText="1"/>
    </xf>
    <xf numFmtId="43" fontId="63" fillId="2" borderId="3" xfId="1" applyFont="1" applyFill="1" applyBorder="1" applyAlignment="1">
      <alignment horizontal="center" vertical="center"/>
    </xf>
    <xf numFmtId="0" fontId="14" fillId="2" borderId="1" xfId="13" applyFont="1" applyFill="1" applyBorder="1" applyAlignment="1">
      <alignment horizontal="left" vertical="center"/>
    </xf>
    <xf numFmtId="0" fontId="63" fillId="2" borderId="1" xfId="0" applyFont="1" applyFill="1" applyBorder="1" applyAlignment="1">
      <alignment horizontal="center" vertical="center" wrapText="1"/>
    </xf>
    <xf numFmtId="14" fontId="63" fillId="2" borderId="1" xfId="0" applyNumberFormat="1" applyFont="1" applyFill="1" applyBorder="1" applyAlignment="1">
      <alignment horizontal="center" vertical="center" wrapText="1"/>
    </xf>
    <xf numFmtId="14" fontId="63" fillId="2" borderId="1" xfId="0" applyNumberFormat="1" applyFont="1" applyFill="1" applyBorder="1" applyAlignment="1">
      <alignment horizontal="left" vertical="center" wrapText="1" indent="1"/>
    </xf>
    <xf numFmtId="43" fontId="14" fillId="2" borderId="1" xfId="1" applyFont="1" applyFill="1" applyBorder="1" applyAlignment="1">
      <alignment horizontal="center" vertical="center"/>
    </xf>
    <xf numFmtId="0" fontId="14" fillId="2" borderId="6" xfId="13" applyFont="1" applyFill="1" applyBorder="1" applyAlignment="1">
      <alignment horizontal="left" vertical="center"/>
    </xf>
    <xf numFmtId="43" fontId="14" fillId="2" borderId="4" xfId="1" applyFont="1" applyFill="1" applyBorder="1" applyAlignment="1">
      <alignment horizontal="center" vertical="center"/>
    </xf>
    <xf numFmtId="0" fontId="14" fillId="2" borderId="0" xfId="13" applyFont="1" applyFill="1" applyAlignment="1">
      <alignment horizontal="left" vertical="center"/>
    </xf>
    <xf numFmtId="0" fontId="63" fillId="2" borderId="0" xfId="0" applyFont="1" applyFill="1" applyAlignment="1">
      <alignment horizontal="center" vertical="center" wrapText="1"/>
    </xf>
    <xf numFmtId="14" fontId="63" fillId="2" borderId="0" xfId="0" applyNumberFormat="1" applyFont="1" applyFill="1" applyAlignment="1">
      <alignment horizontal="center" vertical="center" wrapText="1"/>
    </xf>
    <xf numFmtId="0" fontId="63" fillId="2" borderId="0" xfId="0" applyFont="1" applyFill="1" applyAlignment="1">
      <alignment horizontal="left" vertical="center" wrapText="1" indent="1"/>
    </xf>
    <xf numFmtId="43" fontId="63" fillId="2" borderId="0" xfId="1" applyFont="1" applyFill="1" applyBorder="1" applyAlignment="1">
      <alignment horizontal="center" vertical="center"/>
    </xf>
    <xf numFmtId="0" fontId="63" fillId="2" borderId="7" xfId="0" applyFont="1" applyFill="1" applyBorder="1" applyAlignment="1">
      <alignment horizontal="center" vertical="center" wrapText="1"/>
    </xf>
    <xf numFmtId="14" fontId="63" fillId="2" borderId="2" xfId="0" applyNumberFormat="1" applyFont="1" applyFill="1" applyBorder="1" applyAlignment="1">
      <alignment horizontal="left" vertical="center" wrapText="1" indent="1"/>
    </xf>
    <xf numFmtId="14" fontId="63" fillId="2" borderId="6" xfId="0" applyNumberFormat="1" applyFont="1" applyFill="1" applyBorder="1" applyAlignment="1">
      <alignment horizontal="center" vertical="center" wrapText="1"/>
    </xf>
    <xf numFmtId="17" fontId="63" fillId="2" borderId="4" xfId="0" applyNumberFormat="1" applyFont="1" applyFill="1" applyBorder="1" applyAlignment="1">
      <alignment horizontal="left" vertical="center" wrapText="1" indent="1"/>
    </xf>
    <xf numFmtId="0" fontId="63" fillId="2" borderId="5" xfId="0" applyFont="1" applyFill="1" applyBorder="1" applyAlignment="1">
      <alignment horizontal="left" vertical="center" wrapText="1" indent="1"/>
    </xf>
    <xf numFmtId="0" fontId="14" fillId="2" borderId="2" xfId="13" applyFont="1" applyFill="1" applyBorder="1" applyAlignment="1">
      <alignment horizontal="left" vertical="center"/>
    </xf>
    <xf numFmtId="14" fontId="63" fillId="2" borderId="10" xfId="0" applyNumberFormat="1" applyFont="1" applyFill="1" applyBorder="1" applyAlignment="1">
      <alignment horizontal="center" vertical="center" wrapText="1"/>
    </xf>
    <xf numFmtId="17" fontId="63" fillId="2" borderId="1" xfId="0" applyNumberFormat="1" applyFont="1" applyFill="1" applyBorder="1" applyAlignment="1">
      <alignment horizontal="left" vertical="center" wrapText="1" indent="1"/>
    </xf>
    <xf numFmtId="0" fontId="63" fillId="2" borderId="22" xfId="0" applyFont="1" applyFill="1" applyBorder="1" applyAlignment="1">
      <alignment horizontal="left" vertical="center" wrapText="1" indent="1"/>
    </xf>
    <xf numFmtId="43" fontId="14" fillId="2" borderId="2" xfId="0" applyNumberFormat="1" applyFont="1" applyFill="1" applyBorder="1" applyAlignment="1">
      <alignment horizontal="center" vertical="center"/>
    </xf>
    <xf numFmtId="14" fontId="63" fillId="2" borderId="30" xfId="0" applyNumberFormat="1" applyFont="1" applyFill="1" applyBorder="1" applyAlignment="1">
      <alignment horizontal="center" vertical="center" wrapText="1"/>
    </xf>
    <xf numFmtId="0" fontId="63" fillId="2" borderId="32" xfId="0" applyFont="1" applyFill="1" applyBorder="1" applyAlignment="1">
      <alignment horizontal="left" vertical="center" wrapText="1" indent="1"/>
    </xf>
    <xf numFmtId="0" fontId="42" fillId="2" borderId="0" xfId="13" applyFont="1" applyFill="1" applyAlignment="1">
      <alignment horizontal="left" vertical="center"/>
    </xf>
    <xf numFmtId="0" fontId="57" fillId="2" borderId="0" xfId="0" applyFont="1" applyFill="1" applyAlignment="1">
      <alignment horizontal="center" vertical="center" wrapText="1"/>
    </xf>
    <xf numFmtId="14" fontId="57" fillId="2" borderId="0" xfId="0" applyNumberFormat="1" applyFont="1" applyFill="1" applyAlignment="1">
      <alignment horizontal="center" vertical="center" wrapText="1"/>
    </xf>
    <xf numFmtId="14" fontId="57" fillId="2" borderId="0" xfId="0" applyNumberFormat="1" applyFont="1" applyFill="1" applyAlignment="1">
      <alignment horizontal="left" vertical="center" wrapText="1" indent="1"/>
    </xf>
    <xf numFmtId="0" fontId="57" fillId="2" borderId="0" xfId="0" applyFont="1" applyFill="1" applyAlignment="1">
      <alignment horizontal="left" vertical="center" wrapText="1" indent="1"/>
    </xf>
    <xf numFmtId="43" fontId="58" fillId="2" borderId="0" xfId="1" applyFont="1" applyFill="1" applyBorder="1" applyAlignment="1">
      <alignment horizontal="center" vertical="center"/>
    </xf>
    <xf numFmtId="0" fontId="59" fillId="2" borderId="0" xfId="0" applyFont="1" applyFill="1" applyAlignment="1">
      <alignment horizontal="center" vertical="center" wrapText="1"/>
    </xf>
    <xf numFmtId="0" fontId="56" fillId="2" borderId="0" xfId="0" applyFont="1" applyFill="1" applyAlignment="1">
      <alignment horizontal="center" vertical="center" wrapText="1"/>
    </xf>
    <xf numFmtId="0" fontId="19" fillId="2" borderId="6" xfId="7" applyFont="1" applyFill="1" applyBorder="1" applyAlignment="1">
      <alignment horizontal="center" vertical="center" wrapText="1"/>
    </xf>
    <xf numFmtId="0" fontId="0" fillId="2" borderId="0" xfId="0" applyFill="1" applyAlignment="1">
      <alignment horizontal="center"/>
    </xf>
    <xf numFmtId="0" fontId="14" fillId="0" borderId="5" xfId="0" applyFont="1" applyBorder="1" applyAlignment="1">
      <alignment vertical="top"/>
    </xf>
    <xf numFmtId="0" fontId="19" fillId="0" borderId="4" xfId="5" applyFont="1" applyBorder="1" applyAlignment="1">
      <alignment horizontal="right" vertical="center" wrapText="1" shrinkToFit="1"/>
    </xf>
    <xf numFmtId="0" fontId="19" fillId="0" borderId="21" xfId="0" applyFont="1" applyBorder="1" applyAlignment="1">
      <alignment vertical="top" wrapText="1"/>
    </xf>
    <xf numFmtId="0" fontId="14" fillId="0" borderId="21" xfId="0" applyFont="1" applyBorder="1"/>
    <xf numFmtId="0" fontId="14" fillId="0" borderId="8" xfId="0" applyFont="1" applyBorder="1"/>
    <xf numFmtId="0" fontId="14" fillId="0" borderId="9" xfId="0" applyFont="1" applyBorder="1"/>
    <xf numFmtId="0" fontId="19" fillId="0" borderId="4" xfId="0" applyFont="1" applyBorder="1" applyAlignment="1">
      <alignment vertical="center"/>
    </xf>
    <xf numFmtId="43" fontId="63" fillId="12" borderId="4" xfId="1" applyFont="1" applyFill="1" applyBorder="1" applyAlignment="1">
      <alignment horizontal="left" vertical="center" wrapText="1" indent="1"/>
    </xf>
    <xf numFmtId="44" fontId="14" fillId="0" borderId="23" xfId="0" applyNumberFormat="1" applyFont="1" applyBorder="1"/>
    <xf numFmtId="0" fontId="19" fillId="0" borderId="6" xfId="0" applyFont="1" applyBorder="1" applyAlignment="1">
      <alignment vertical="center"/>
    </xf>
    <xf numFmtId="0" fontId="19" fillId="0" borderId="20" xfId="0" applyFont="1" applyBorder="1" applyAlignment="1">
      <alignment vertical="center"/>
    </xf>
    <xf numFmtId="0" fontId="19" fillId="0" borderId="5" xfId="0" applyFont="1" applyBorder="1" applyAlignment="1">
      <alignment vertical="center"/>
    </xf>
    <xf numFmtId="0" fontId="19" fillId="0" borderId="4" xfId="0" applyFont="1" applyBorder="1"/>
    <xf numFmtId="43" fontId="19" fillId="0" borderId="4" xfId="1" applyFont="1" applyBorder="1"/>
    <xf numFmtId="0" fontId="19" fillId="0" borderId="6" xfId="0" applyFont="1" applyBorder="1"/>
    <xf numFmtId="0" fontId="63" fillId="2" borderId="20" xfId="6" applyFont="1" applyFill="1" applyBorder="1" applyAlignment="1">
      <alignment vertical="center" wrapText="1"/>
    </xf>
    <xf numFmtId="0" fontId="63" fillId="2" borderId="5" xfId="6" applyFont="1" applyFill="1" applyBorder="1" applyAlignment="1">
      <alignment vertical="center" wrapText="1"/>
    </xf>
    <xf numFmtId="0" fontId="14" fillId="2" borderId="30" xfId="7" applyFont="1" applyFill="1" applyBorder="1" applyAlignment="1">
      <alignment vertical="center" wrapText="1"/>
    </xf>
    <xf numFmtId="0" fontId="14" fillId="2" borderId="7" xfId="7" applyFont="1" applyFill="1" applyBorder="1" applyAlignment="1">
      <alignment vertical="center" wrapText="1"/>
    </xf>
    <xf numFmtId="0" fontId="14" fillId="2" borderId="32" xfId="7" applyFont="1" applyFill="1" applyBorder="1" applyAlignment="1">
      <alignment vertical="center" wrapText="1"/>
    </xf>
    <xf numFmtId="0" fontId="14" fillId="2" borderId="20" xfId="7" applyFont="1" applyFill="1" applyBorder="1" applyAlignment="1">
      <alignment vertical="center" wrapText="1"/>
    </xf>
    <xf numFmtId="43" fontId="19" fillId="0" borderId="5" xfId="1" applyFont="1" applyBorder="1"/>
    <xf numFmtId="43" fontId="19" fillId="0" borderId="4" xfId="0" applyNumberFormat="1" applyFont="1" applyBorder="1" applyAlignment="1">
      <alignment vertical="center"/>
    </xf>
    <xf numFmtId="0" fontId="63" fillId="3" borderId="4" xfId="0" applyFont="1" applyFill="1" applyBorder="1" applyAlignment="1">
      <alignment horizontal="center" vertical="center" wrapText="1"/>
    </xf>
    <xf numFmtId="0" fontId="63" fillId="3" borderId="6" xfId="0" applyFont="1" applyFill="1" applyBorder="1" applyAlignment="1">
      <alignment horizontal="center" vertical="center" wrapText="1"/>
    </xf>
    <xf numFmtId="43" fontId="63" fillId="3" borderId="4" xfId="1" applyFont="1" applyFill="1" applyBorder="1" applyAlignment="1">
      <alignment horizontal="center" vertical="center" wrapText="1"/>
    </xf>
    <xf numFmtId="0" fontId="63" fillId="3" borderId="0" xfId="0" applyFont="1" applyFill="1" applyAlignment="1">
      <alignment horizontal="center" vertical="center" wrapText="1"/>
    </xf>
    <xf numFmtId="0" fontId="19" fillId="0" borderId="3" xfId="0" applyFont="1" applyBorder="1" applyAlignment="1">
      <alignment vertical="center"/>
    </xf>
    <xf numFmtId="14" fontId="63" fillId="12" borderId="9" xfId="0" applyNumberFormat="1" applyFont="1" applyFill="1" applyBorder="1" applyAlignment="1">
      <alignment horizontal="center" vertical="center" wrapText="1"/>
    </xf>
    <xf numFmtId="0" fontId="63" fillId="12" borderId="8" xfId="0" applyFont="1" applyFill="1" applyBorder="1" applyAlignment="1">
      <alignment horizontal="left" vertical="center" wrapText="1" indent="1"/>
    </xf>
    <xf numFmtId="43" fontId="63" fillId="12" borderId="3" xfId="1" applyFont="1" applyFill="1" applyBorder="1" applyAlignment="1">
      <alignment horizontal="right" vertical="center" wrapText="1"/>
    </xf>
    <xf numFmtId="0" fontId="19" fillId="8" borderId="20" xfId="0" applyFont="1" applyFill="1" applyBorder="1" applyAlignment="1">
      <alignment horizontal="left" vertical="center" wrapText="1"/>
    </xf>
    <xf numFmtId="0" fontId="19" fillId="8" borderId="20" xfId="0" applyFont="1" applyFill="1" applyBorder="1" applyAlignment="1">
      <alignment vertical="center" wrapText="1"/>
    </xf>
    <xf numFmtId="0" fontId="19" fillId="8" borderId="5" xfId="0" applyFont="1" applyFill="1" applyBorder="1" applyAlignment="1">
      <alignment vertical="center" wrapText="1"/>
    </xf>
    <xf numFmtId="0" fontId="19" fillId="8" borderId="5" xfId="0" applyFont="1" applyFill="1" applyBorder="1" applyAlignment="1">
      <alignment horizontal="left" vertical="center" wrapText="1"/>
    </xf>
    <xf numFmtId="0" fontId="19" fillId="0" borderId="6" xfId="5" applyFont="1" applyBorder="1" applyAlignment="1">
      <alignment horizontal="right" vertical="center" shrinkToFit="1"/>
    </xf>
    <xf numFmtId="0" fontId="19" fillId="0" borderId="20" xfId="5" applyFont="1" applyBorder="1" applyAlignment="1">
      <alignment horizontal="right" vertical="center" shrinkToFit="1"/>
    </xf>
    <xf numFmtId="0" fontId="14" fillId="0" borderId="5" xfId="0" applyFont="1" applyBorder="1"/>
    <xf numFmtId="167" fontId="19" fillId="0" borderId="6" xfId="1" applyNumberFormat="1" applyFont="1" applyBorder="1" applyAlignment="1">
      <alignment vertical="center"/>
    </xf>
    <xf numFmtId="0" fontId="14" fillId="0" borderId="6" xfId="0" applyFont="1" applyBorder="1" applyAlignment="1">
      <alignment horizontal="right"/>
    </xf>
    <xf numFmtId="167" fontId="14" fillId="0" borderId="6" xfId="1" applyNumberFormat="1" applyFont="1" applyBorder="1" applyAlignment="1">
      <alignment horizontal="left" vertical="top" wrapText="1"/>
    </xf>
    <xf numFmtId="0" fontId="14" fillId="0" borderId="5" xfId="0" applyFont="1" applyBorder="1" applyAlignment="1">
      <alignment wrapText="1"/>
    </xf>
    <xf numFmtId="44" fontId="14" fillId="0" borderId="4" xfId="0" applyNumberFormat="1" applyFont="1" applyBorder="1"/>
    <xf numFmtId="0" fontId="19" fillId="0" borderId="5" xfId="0" applyFont="1" applyBorder="1" applyAlignment="1">
      <alignment vertical="top" wrapText="1"/>
    </xf>
    <xf numFmtId="164" fontId="69" fillId="0" borderId="4" xfId="2" applyNumberFormat="1" applyFont="1" applyBorder="1" applyAlignment="1">
      <alignment horizontal="center" vertical="center" wrapText="1"/>
    </xf>
    <xf numFmtId="0" fontId="63" fillId="2" borderId="4" xfId="7" applyFont="1" applyFill="1" applyBorder="1" applyAlignment="1">
      <alignment vertical="top" wrapText="1"/>
    </xf>
    <xf numFmtId="17" fontId="19" fillId="2" borderId="4" xfId="2" quotePrefix="1" applyNumberFormat="1" applyFont="1" applyFill="1" applyBorder="1" applyAlignment="1">
      <alignment horizontal="center" vertical="center" wrapText="1"/>
    </xf>
    <xf numFmtId="43" fontId="22" fillId="5" borderId="4" xfId="1" applyFont="1" applyFill="1" applyBorder="1"/>
    <xf numFmtId="0" fontId="73" fillId="0" borderId="0" xfId="0" quotePrefix="1" applyFont="1" applyAlignment="1">
      <alignment vertical="center"/>
    </xf>
    <xf numFmtId="0" fontId="73" fillId="0" borderId="0" xfId="0" applyFont="1" applyAlignment="1">
      <alignment vertical="center"/>
    </xf>
    <xf numFmtId="0" fontId="74" fillId="0" borderId="4" xfId="2" applyFont="1" applyBorder="1" applyAlignment="1">
      <alignment vertical="center" wrapText="1"/>
    </xf>
    <xf numFmtId="0" fontId="73" fillId="0" borderId="4" xfId="7" applyFont="1" applyBorder="1" applyAlignment="1">
      <alignment horizontal="center" vertical="center" wrapText="1"/>
    </xf>
    <xf numFmtId="17" fontId="75" fillId="0" borderId="4" xfId="2" quotePrefix="1" applyNumberFormat="1" applyFont="1" applyBorder="1" applyAlignment="1">
      <alignment horizontal="center" vertical="center" wrapText="1"/>
    </xf>
    <xf numFmtId="0" fontId="73" fillId="0" borderId="4" xfId="6" applyFont="1" applyBorder="1" applyAlignment="1">
      <alignment horizontal="center" vertical="center" wrapText="1"/>
    </xf>
    <xf numFmtId="0" fontId="74" fillId="2" borderId="4" xfId="6" applyFont="1" applyFill="1" applyBorder="1" applyAlignment="1">
      <alignment horizontal="center" vertical="center" wrapText="1"/>
    </xf>
    <xf numFmtId="0" fontId="73" fillId="0" borderId="0" xfId="0" applyFont="1"/>
    <xf numFmtId="0" fontId="73" fillId="0" borderId="4" xfId="0" applyFont="1" applyBorder="1"/>
    <xf numFmtId="0" fontId="73" fillId="0" borderId="4" xfId="0" applyFont="1" applyBorder="1" applyAlignment="1">
      <alignment vertical="top"/>
    </xf>
    <xf numFmtId="3" fontId="75" fillId="0" borderId="6" xfId="5" applyNumberFormat="1" applyFont="1" applyBorder="1" applyAlignment="1">
      <alignment vertical="center"/>
    </xf>
    <xf numFmtId="0" fontId="75" fillId="0" borderId="6" xfId="5" applyFont="1" applyBorder="1" applyAlignment="1">
      <alignment horizontal="right" vertical="center" shrinkToFit="1"/>
    </xf>
    <xf numFmtId="3" fontId="75" fillId="0" borderId="4" xfId="5" applyNumberFormat="1" applyFont="1" applyBorder="1" applyAlignment="1">
      <alignment vertical="center"/>
    </xf>
    <xf numFmtId="3" fontId="75" fillId="0" borderId="5" xfId="5" applyNumberFormat="1" applyFont="1" applyBorder="1" applyAlignment="1">
      <alignment vertical="center"/>
    </xf>
    <xf numFmtId="0" fontId="75" fillId="0" borderId="4" xfId="0" applyFont="1" applyBorder="1" applyAlignment="1">
      <alignment horizontal="center" vertical="top" wrapText="1"/>
    </xf>
    <xf numFmtId="0" fontId="73" fillId="0" borderId="4" xfId="0" applyFont="1" applyBorder="1" applyAlignment="1">
      <alignment horizontal="center" vertical="top" wrapText="1"/>
    </xf>
    <xf numFmtId="17" fontId="73" fillId="0" borderId="4" xfId="0" applyNumberFormat="1" applyFont="1" applyBorder="1" applyAlignment="1">
      <alignment horizontal="center" vertical="top" wrapText="1"/>
    </xf>
    <xf numFmtId="44" fontId="73" fillId="0" borderId="4" xfId="1" applyNumberFormat="1" applyFont="1" applyFill="1" applyBorder="1" applyAlignment="1">
      <alignment horizontal="center" vertical="top" wrapText="1"/>
    </xf>
    <xf numFmtId="0" fontId="73" fillId="0" borderId="6" xfId="0" applyFont="1" applyBorder="1" applyAlignment="1">
      <alignment horizontal="right" vertical="top" wrapText="1"/>
    </xf>
    <xf numFmtId="0" fontId="73" fillId="0" borderId="4" xfId="0" applyFont="1" applyBorder="1" applyAlignment="1">
      <alignment wrapText="1"/>
    </xf>
    <xf numFmtId="0" fontId="73" fillId="0" borderId="5" xfId="0" applyFont="1" applyBorder="1" applyAlignment="1">
      <alignment wrapText="1"/>
    </xf>
    <xf numFmtId="0" fontId="73" fillId="0" borderId="4" xfId="0" applyFont="1" applyBorder="1" applyAlignment="1">
      <alignment horizontal="center" vertical="top"/>
    </xf>
    <xf numFmtId="17" fontId="73" fillId="0" borderId="4" xfId="0" applyNumberFormat="1" applyFont="1" applyBorder="1" applyAlignment="1">
      <alignment horizontal="center" vertical="top"/>
    </xf>
    <xf numFmtId="44" fontId="73" fillId="0" borderId="4" xfId="1" applyNumberFormat="1" applyFont="1" applyFill="1" applyBorder="1" applyAlignment="1">
      <alignment horizontal="center" vertical="top"/>
    </xf>
    <xf numFmtId="0" fontId="73" fillId="0" borderId="6" xfId="0" applyFont="1" applyBorder="1" applyAlignment="1">
      <alignment horizontal="right"/>
    </xf>
    <xf numFmtId="167" fontId="73" fillId="0" borderId="4" xfId="1" applyNumberFormat="1" applyFont="1" applyFill="1" applyBorder="1" applyAlignment="1"/>
    <xf numFmtId="167" fontId="73" fillId="0" borderId="5" xfId="1" applyNumberFormat="1" applyFont="1" applyFill="1" applyBorder="1" applyAlignment="1"/>
    <xf numFmtId="0" fontId="75" fillId="0" borderId="21" xfId="0" applyFont="1" applyBorder="1" applyAlignment="1">
      <alignment vertical="top" wrapText="1"/>
    </xf>
    <xf numFmtId="0" fontId="75" fillId="0" borderId="4" xfId="0" applyFont="1" applyBorder="1" applyAlignment="1">
      <alignment vertical="top" wrapText="1"/>
    </xf>
    <xf numFmtId="0" fontId="73" fillId="0" borderId="21" xfId="0" applyFont="1" applyBorder="1"/>
    <xf numFmtId="0" fontId="73" fillId="0" borderId="24" xfId="0" applyFont="1" applyBorder="1"/>
    <xf numFmtId="0" fontId="73" fillId="0" borderId="24" xfId="0" applyFont="1" applyBorder="1" applyAlignment="1">
      <alignment horizontal="left"/>
    </xf>
    <xf numFmtId="0" fontId="73" fillId="0" borderId="25" xfId="0" applyFont="1" applyBorder="1" applyAlignment="1">
      <alignment horizontal="center"/>
    </xf>
    <xf numFmtId="0" fontId="73" fillId="0" borderId="26" xfId="0" applyFont="1" applyBorder="1"/>
    <xf numFmtId="0" fontId="73" fillId="0" borderId="24" xfId="0" quotePrefix="1" applyFont="1" applyBorder="1"/>
    <xf numFmtId="43" fontId="73" fillId="0" borderId="24" xfId="1" applyFont="1" applyBorder="1"/>
    <xf numFmtId="0" fontId="73" fillId="0" borderId="24" xfId="0" applyFont="1" applyBorder="1" applyAlignment="1">
      <alignment horizontal="center"/>
    </xf>
    <xf numFmtId="0" fontId="73" fillId="0" borderId="25" xfId="0" applyFont="1" applyBorder="1"/>
    <xf numFmtId="0" fontId="73" fillId="0" borderId="25" xfId="0" applyFont="1" applyBorder="1" applyAlignment="1">
      <alignment horizontal="left"/>
    </xf>
    <xf numFmtId="0" fontId="73" fillId="0" borderId="27" xfId="0" applyFont="1" applyBorder="1" applyAlignment="1">
      <alignment horizontal="center"/>
    </xf>
    <xf numFmtId="0" fontId="73" fillId="0" borderId="25" xfId="0" quotePrefix="1" applyFont="1" applyBorder="1"/>
    <xf numFmtId="17" fontId="73" fillId="0" borderId="25" xfId="0" applyNumberFormat="1" applyFont="1" applyBorder="1"/>
    <xf numFmtId="43" fontId="73" fillId="0" borderId="25" xfId="1" applyFont="1" applyBorder="1"/>
    <xf numFmtId="0" fontId="73" fillId="0" borderId="25" xfId="0" quotePrefix="1" applyFont="1" applyBorder="1" applyAlignment="1">
      <alignment horizontal="center"/>
    </xf>
    <xf numFmtId="0" fontId="75" fillId="0" borderId="4" xfId="5" applyFont="1" applyBorder="1" applyAlignment="1">
      <alignment horizontal="right" vertical="center" shrinkToFit="1"/>
    </xf>
    <xf numFmtId="167" fontId="75" fillId="0" borderId="6" xfId="1" applyNumberFormat="1" applyFont="1" applyFill="1" applyBorder="1" applyAlignment="1">
      <alignment vertical="center"/>
    </xf>
    <xf numFmtId="0" fontId="74" fillId="0" borderId="4" xfId="0" applyFont="1" applyBorder="1" applyAlignment="1">
      <alignment vertical="top"/>
    </xf>
    <xf numFmtId="0" fontId="74" fillId="0" borderId="4" xfId="0" applyFont="1" applyBorder="1" applyAlignment="1">
      <alignment horizontal="right"/>
    </xf>
    <xf numFmtId="167" fontId="74" fillId="0" borderId="6" xfId="1" applyNumberFormat="1" applyFont="1" applyFill="1" applyBorder="1" applyAlignment="1"/>
    <xf numFmtId="167" fontId="74" fillId="0" borderId="5" xfId="1" applyNumberFormat="1" applyFont="1" applyFill="1" applyBorder="1" applyAlignment="1"/>
    <xf numFmtId="0" fontId="73" fillId="0" borderId="6" xfId="0" applyFont="1" applyBorder="1" applyAlignment="1">
      <alignment vertical="center" wrapText="1"/>
    </xf>
    <xf numFmtId="0" fontId="73" fillId="0" borderId="4" xfId="0" applyFont="1" applyBorder="1" applyAlignment="1">
      <alignment vertical="center"/>
    </xf>
    <xf numFmtId="0" fontId="75" fillId="0" borderId="6" xfId="5" applyFont="1" applyBorder="1" applyAlignment="1">
      <alignment vertical="center"/>
    </xf>
    <xf numFmtId="0" fontId="73" fillId="0" borderId="4" xfId="6" applyFont="1" applyBorder="1" applyAlignment="1">
      <alignment horizontal="center" vertical="center"/>
    </xf>
    <xf numFmtId="169" fontId="75" fillId="0" borderId="4" xfId="9" applyNumberFormat="1" applyFont="1" applyBorder="1" applyAlignment="1">
      <alignment horizontal="left" vertical="center" wrapText="1"/>
    </xf>
    <xf numFmtId="0" fontId="73" fillId="0" borderId="4" xfId="0" applyFont="1" applyBorder="1" applyAlignment="1">
      <alignment vertical="top" wrapText="1"/>
    </xf>
    <xf numFmtId="0" fontId="73" fillId="0" borderId="6" xfId="0" applyFont="1" applyBorder="1" applyAlignment="1">
      <alignment horizontal="center" vertical="top" wrapText="1"/>
    </xf>
    <xf numFmtId="49" fontId="73" fillId="0" borderId="4" xfId="0" applyNumberFormat="1" applyFont="1" applyBorder="1" applyAlignment="1">
      <alignment horizontal="center" vertical="top" wrapText="1"/>
    </xf>
    <xf numFmtId="43" fontId="73" fillId="0" borderId="4" xfId="1" applyFont="1" applyFill="1" applyBorder="1" applyAlignment="1">
      <alignment vertical="top"/>
    </xf>
    <xf numFmtId="43" fontId="73" fillId="0" borderId="4" xfId="1" applyFont="1" applyBorder="1" applyAlignment="1">
      <alignment horizontal="center" vertical="top" wrapText="1"/>
    </xf>
    <xf numFmtId="44" fontId="73" fillId="0" borderId="4" xfId="1" applyNumberFormat="1" applyFont="1" applyFill="1" applyBorder="1" applyAlignment="1">
      <alignment vertical="top"/>
    </xf>
    <xf numFmtId="43" fontId="73" fillId="0" borderId="0" xfId="1" applyFont="1"/>
    <xf numFmtId="44" fontId="73" fillId="0" borderId="0" xfId="0" applyNumberFormat="1" applyFont="1"/>
    <xf numFmtId="0" fontId="73" fillId="9" borderId="24" xfId="0" applyFont="1" applyFill="1" applyBorder="1"/>
    <xf numFmtId="0" fontId="74" fillId="0" borderId="4" xfId="0" applyFont="1" applyBorder="1" applyAlignment="1">
      <alignment horizontal="center" vertical="top" wrapText="1"/>
    </xf>
    <xf numFmtId="0" fontId="74" fillId="0" borderId="4" xfId="0" applyFont="1" applyBorder="1" applyAlignment="1">
      <alignment horizontal="center" vertical="top"/>
    </xf>
    <xf numFmtId="49" fontId="74" fillId="0" borderId="4" xfId="0" applyNumberFormat="1" applyFont="1" applyBorder="1" applyAlignment="1">
      <alignment horizontal="center" vertical="top" wrapText="1"/>
    </xf>
    <xf numFmtId="43" fontId="74" fillId="0" borderId="4" xfId="1" applyFont="1" applyFill="1" applyBorder="1" applyAlignment="1">
      <alignment vertical="top"/>
    </xf>
    <xf numFmtId="43" fontId="74" fillId="0" borderId="4" xfId="1" applyFont="1" applyBorder="1" applyAlignment="1">
      <alignment horizontal="center" vertical="top" wrapText="1"/>
    </xf>
    <xf numFmtId="44" fontId="74" fillId="0" borderId="4" xfId="1" applyNumberFormat="1" applyFont="1" applyFill="1" applyBorder="1" applyAlignment="1">
      <alignment vertical="top"/>
    </xf>
    <xf numFmtId="0" fontId="73" fillId="0" borderId="4" xfId="0" applyFont="1" applyBorder="1" applyAlignment="1">
      <alignment vertical="center" wrapText="1"/>
    </xf>
    <xf numFmtId="0" fontId="73" fillId="0" borderId="4" xfId="0" applyFont="1" applyBorder="1" applyAlignment="1">
      <alignment horizontal="center" vertical="center" wrapText="1"/>
    </xf>
    <xf numFmtId="0" fontId="73" fillId="0" borderId="4" xfId="0" applyFont="1" applyBorder="1" applyAlignment="1">
      <alignment horizontal="center" vertical="center"/>
    </xf>
    <xf numFmtId="49" fontId="73" fillId="0" borderId="4" xfId="0" applyNumberFormat="1" applyFont="1" applyBorder="1" applyAlignment="1">
      <alignment horizontal="center" vertical="center" wrapText="1"/>
    </xf>
    <xf numFmtId="43" fontId="73" fillId="0" borderId="4" xfId="1" applyFont="1" applyFill="1" applyBorder="1" applyAlignment="1">
      <alignment vertical="center"/>
    </xf>
    <xf numFmtId="0" fontId="14" fillId="0" borderId="4" xfId="8" applyFont="1" applyBorder="1" applyAlignment="1">
      <alignment horizontal="center"/>
    </xf>
    <xf numFmtId="0" fontId="63" fillId="0" borderId="4" xfId="2" applyFont="1" applyBorder="1" applyAlignment="1">
      <alignment horizontal="center" vertical="center" wrapText="1"/>
    </xf>
    <xf numFmtId="169" fontId="19" fillId="0" borderId="4" xfId="9" applyNumberFormat="1" applyFont="1" applyBorder="1" applyAlignment="1">
      <alignment vertical="center" wrapText="1"/>
    </xf>
    <xf numFmtId="43" fontId="22" fillId="5" borderId="0" xfId="1" applyFont="1" applyFill="1"/>
    <xf numFmtId="0" fontId="14" fillId="0" borderId="6" xfId="0" applyFont="1" applyBorder="1" applyAlignment="1">
      <alignment horizontal="right" vertical="top" wrapText="1"/>
    </xf>
    <xf numFmtId="0" fontId="14" fillId="0" borderId="24" xfId="0" applyFont="1" applyBorder="1"/>
    <xf numFmtId="0" fontId="14" fillId="0" borderId="24" xfId="0" applyFont="1" applyBorder="1" applyAlignment="1">
      <alignment horizontal="left"/>
    </xf>
    <xf numFmtId="0" fontId="14" fillId="0" borderId="26" xfId="0" applyFont="1" applyBorder="1"/>
    <xf numFmtId="0" fontId="14" fillId="0" borderId="24" xfId="0" quotePrefix="1" applyFont="1" applyBorder="1"/>
    <xf numFmtId="43" fontId="14" fillId="0" borderId="24" xfId="1" applyFont="1" applyBorder="1"/>
    <xf numFmtId="0" fontId="14" fillId="0" borderId="24" xfId="0" applyFont="1" applyBorder="1" applyAlignment="1">
      <alignment horizontal="center"/>
    </xf>
    <xf numFmtId="44" fontId="14" fillId="0" borderId="0" xfId="0" applyNumberFormat="1" applyFont="1"/>
    <xf numFmtId="0" fontId="14" fillId="9" borderId="24" xfId="0" applyFont="1" applyFill="1" applyBorder="1"/>
    <xf numFmtId="43" fontId="63" fillId="0" borderId="4" xfId="1" applyFont="1" applyBorder="1" applyAlignment="1">
      <alignment horizontal="center" vertical="top" wrapText="1"/>
    </xf>
    <xf numFmtId="0" fontId="14" fillId="0" borderId="4" xfId="8" applyFont="1" applyBorder="1" applyAlignment="1">
      <alignment horizontal="center" vertical="center" wrapText="1"/>
    </xf>
    <xf numFmtId="0" fontId="14" fillId="0" borderId="3" xfId="6" applyFont="1" applyBorder="1" applyAlignment="1">
      <alignment horizontal="center" vertical="center" wrapText="1"/>
    </xf>
    <xf numFmtId="0" fontId="14" fillId="0" borderId="3" xfId="6" applyFont="1" applyBorder="1" applyAlignment="1">
      <alignment horizontal="center" vertical="center"/>
    </xf>
    <xf numFmtId="0" fontId="19" fillId="0" borderId="20" xfId="0" applyFont="1" applyBorder="1"/>
    <xf numFmtId="0" fontId="14" fillId="2" borderId="4" xfId="0" quotePrefix="1" applyFont="1" applyFill="1" applyBorder="1" applyAlignment="1">
      <alignment vertical="center"/>
    </xf>
    <xf numFmtId="167" fontId="19" fillId="2" borderId="4" xfId="1" applyNumberFormat="1" applyFont="1" applyFill="1" applyBorder="1" applyAlignment="1">
      <alignment vertical="center"/>
    </xf>
    <xf numFmtId="0" fontId="14" fillId="0" borderId="4" xfId="0" quotePrefix="1" applyFont="1" applyBorder="1" applyAlignment="1">
      <alignment vertical="center"/>
    </xf>
    <xf numFmtId="167" fontId="19" fillId="0" borderId="4" xfId="1" applyNumberFormat="1" applyFont="1" applyFill="1" applyBorder="1" applyAlignment="1">
      <alignment vertical="center"/>
    </xf>
    <xf numFmtId="167" fontId="63" fillId="0" borderId="4" xfId="1" applyNumberFormat="1" applyFont="1" applyFill="1" applyBorder="1" applyAlignment="1"/>
    <xf numFmtId="0" fontId="63" fillId="0" borderId="1" xfId="0" applyFont="1" applyBorder="1" applyAlignment="1">
      <alignment horizontal="center" vertical="top" wrapText="1"/>
    </xf>
    <xf numFmtId="0" fontId="14" fillId="0" borderId="28" xfId="0" quotePrefix="1" applyFont="1" applyBorder="1"/>
    <xf numFmtId="0" fontId="14" fillId="10" borderId="25" xfId="0" applyFont="1" applyFill="1" applyBorder="1"/>
    <xf numFmtId="0" fontId="14" fillId="10" borderId="25" xfId="0" applyFont="1" applyFill="1" applyBorder="1" applyAlignment="1">
      <alignment horizontal="center"/>
    </xf>
    <xf numFmtId="0" fontId="14" fillId="10" borderId="25" xfId="0" applyFont="1" applyFill="1" applyBorder="1" applyAlignment="1">
      <alignment horizontal="left"/>
    </xf>
    <xf numFmtId="0" fontId="14" fillId="10" borderId="27" xfId="0" applyFont="1" applyFill="1" applyBorder="1" applyAlignment="1">
      <alignment horizontal="center"/>
    </xf>
    <xf numFmtId="0" fontId="14" fillId="10" borderId="25" xfId="0" quotePrefix="1" applyFont="1" applyFill="1" applyBorder="1"/>
    <xf numFmtId="4" fontId="14" fillId="10" borderId="25" xfId="0" applyNumberFormat="1" applyFont="1" applyFill="1" applyBorder="1"/>
    <xf numFmtId="0" fontId="14" fillId="0" borderId="25" xfId="0" applyFont="1" applyBorder="1" applyAlignment="1">
      <alignment horizontal="left" vertical="center" wrapText="1"/>
    </xf>
    <xf numFmtId="0" fontId="14" fillId="0" borderId="27" xfId="0" applyFont="1" applyBorder="1"/>
    <xf numFmtId="0" fontId="14" fillId="0" borderId="25" xfId="0" applyFont="1" applyBorder="1" applyAlignment="1">
      <alignment horizontal="center" vertical="center"/>
    </xf>
    <xf numFmtId="2" fontId="14" fillId="0" borderId="25" xfId="0" applyNumberFormat="1" applyFont="1" applyBorder="1"/>
    <xf numFmtId="0" fontId="22" fillId="0" borderId="25" xfId="0" applyFont="1" applyBorder="1" applyAlignment="1">
      <alignment horizontal="center"/>
    </xf>
    <xf numFmtId="0" fontId="63" fillId="3" borderId="2" xfId="0" applyFont="1" applyFill="1" applyBorder="1" applyAlignment="1">
      <alignment horizontal="center" vertical="center" wrapText="1"/>
    </xf>
    <xf numFmtId="0" fontId="63" fillId="3" borderId="22" xfId="0" applyFont="1" applyFill="1" applyBorder="1" applyAlignment="1">
      <alignment horizontal="center" vertical="center" wrapText="1"/>
    </xf>
    <xf numFmtId="0" fontId="19" fillId="2" borderId="1" xfId="0" applyFont="1" applyFill="1" applyBorder="1" applyAlignment="1">
      <alignment vertical="center"/>
    </xf>
    <xf numFmtId="0" fontId="14" fillId="0" borderId="1" xfId="0" applyFont="1" applyBorder="1" applyAlignment="1">
      <alignment vertical="center"/>
    </xf>
    <xf numFmtId="0" fontId="14" fillId="0" borderId="31" xfId="0" applyFont="1" applyBorder="1" applyAlignment="1">
      <alignment vertical="center"/>
    </xf>
    <xf numFmtId="0" fontId="14" fillId="0" borderId="31" xfId="0" applyFont="1" applyBorder="1" applyAlignment="1">
      <alignment horizontal="center" vertical="center"/>
    </xf>
    <xf numFmtId="0" fontId="14" fillId="0" borderId="31" xfId="0" quotePrefix="1" applyFont="1" applyBorder="1" applyAlignment="1">
      <alignment vertical="center"/>
    </xf>
    <xf numFmtId="17" fontId="14" fillId="0" borderId="31" xfId="0" applyNumberFormat="1" applyFont="1" applyBorder="1" applyAlignment="1">
      <alignment vertical="center"/>
    </xf>
    <xf numFmtId="43" fontId="14" fillId="0" borderId="1" xfId="1" applyFont="1" applyBorder="1" applyAlignment="1">
      <alignment vertical="center"/>
    </xf>
    <xf numFmtId="0" fontId="14" fillId="0" borderId="1" xfId="0" applyFont="1" applyBorder="1" applyAlignment="1">
      <alignment vertical="center" wrapText="1"/>
    </xf>
    <xf numFmtId="0" fontId="19" fillId="0" borderId="5" xfId="0" applyFont="1" applyBorder="1"/>
    <xf numFmtId="0" fontId="14" fillId="2" borderId="25" xfId="0" applyFont="1" applyFill="1" applyBorder="1" applyAlignment="1">
      <alignment horizontal="left"/>
    </xf>
    <xf numFmtId="0" fontId="14" fillId="2" borderId="31" xfId="0" quotePrefix="1" applyFont="1" applyFill="1" applyBorder="1"/>
    <xf numFmtId="17" fontId="14" fillId="2" borderId="31" xfId="0" applyNumberFormat="1" applyFont="1" applyFill="1" applyBorder="1"/>
    <xf numFmtId="0" fontId="14" fillId="2" borderId="25" xfId="0" quotePrefix="1" applyFont="1" applyFill="1" applyBorder="1" applyAlignment="1">
      <alignment horizontal="center"/>
    </xf>
    <xf numFmtId="0" fontId="63" fillId="2" borderId="4" xfId="2" applyFont="1" applyFill="1" applyBorder="1" applyAlignment="1">
      <alignment vertical="center" wrapText="1"/>
    </xf>
    <xf numFmtId="169" fontId="19" fillId="2" borderId="4" xfId="9" applyNumberFormat="1" applyFont="1" applyFill="1" applyBorder="1" applyAlignment="1">
      <alignment horizontal="left" vertical="center" wrapText="1"/>
    </xf>
    <xf numFmtId="0" fontId="19" fillId="2" borderId="5" xfId="0" applyFont="1" applyFill="1" applyBorder="1" applyAlignment="1">
      <alignment vertical="center"/>
    </xf>
    <xf numFmtId="0" fontId="19" fillId="2" borderId="4" xfId="0" applyFont="1" applyFill="1" applyBorder="1" applyAlignment="1">
      <alignment vertical="center"/>
    </xf>
    <xf numFmtId="0" fontId="14" fillId="2" borderId="1" xfId="0" applyFont="1" applyFill="1" applyBorder="1" applyAlignment="1">
      <alignment vertical="center" wrapText="1"/>
    </xf>
    <xf numFmtId="4" fontId="63" fillId="2" borderId="4" xfId="0" applyNumberFormat="1" applyFont="1" applyFill="1" applyBorder="1" applyAlignment="1">
      <alignment horizontal="right" vertical="center" wrapText="1"/>
    </xf>
    <xf numFmtId="43" fontId="63" fillId="2" borderId="4" xfId="1" applyFont="1" applyFill="1" applyBorder="1" applyAlignment="1">
      <alignment horizontal="right" vertical="center" wrapText="1"/>
    </xf>
    <xf numFmtId="0" fontId="19" fillId="2" borderId="5" xfId="0" applyFont="1" applyFill="1" applyBorder="1"/>
    <xf numFmtId="0" fontId="19" fillId="2" borderId="4" xfId="0" applyFont="1" applyFill="1" applyBorder="1"/>
    <xf numFmtId="0" fontId="19" fillId="2" borderId="6" xfId="0" applyFont="1" applyFill="1" applyBorder="1"/>
    <xf numFmtId="43" fontId="19" fillId="2" borderId="4" xfId="1" applyFont="1" applyFill="1" applyBorder="1"/>
    <xf numFmtId="43" fontId="19" fillId="2" borderId="5" xfId="1" applyFont="1" applyFill="1" applyBorder="1"/>
    <xf numFmtId="0" fontId="63" fillId="2" borderId="4" xfId="0" applyFont="1" applyFill="1" applyBorder="1" applyAlignment="1">
      <alignment vertical="center" wrapText="1"/>
    </xf>
    <xf numFmtId="4" fontId="63" fillId="2" borderId="4" xfId="0" applyNumberFormat="1" applyFont="1" applyFill="1" applyBorder="1" applyAlignment="1">
      <alignment vertical="center" wrapText="1"/>
    </xf>
    <xf numFmtId="0" fontId="14" fillId="0" borderId="28" xfId="0" applyFont="1" applyBorder="1" applyAlignment="1">
      <alignment vertical="center"/>
    </xf>
    <xf numFmtId="0" fontId="14" fillId="0" borderId="28" xfId="0" applyFont="1" applyBorder="1" applyAlignment="1">
      <alignment horizontal="left" vertical="center"/>
    </xf>
    <xf numFmtId="0" fontId="14" fillId="0" borderId="29" xfId="0" applyFont="1" applyBorder="1" applyAlignment="1">
      <alignment horizontal="center" vertical="center"/>
    </xf>
    <xf numFmtId="0" fontId="14" fillId="0" borderId="28" xfId="0" quotePrefix="1" applyFont="1" applyBorder="1" applyAlignment="1">
      <alignment vertical="center"/>
    </xf>
    <xf numFmtId="17" fontId="14" fillId="0" borderId="28" xfId="0" applyNumberFormat="1" applyFont="1" applyBorder="1" applyAlignment="1">
      <alignment vertical="center"/>
    </xf>
    <xf numFmtId="0" fontId="14" fillId="0" borderId="28" xfId="0" applyFont="1" applyBorder="1" applyAlignment="1">
      <alignment horizontal="center" vertical="center"/>
    </xf>
    <xf numFmtId="4" fontId="14" fillId="0" borderId="28" xfId="0" applyNumberFormat="1" applyFont="1" applyBorder="1" applyAlignment="1">
      <alignment vertical="center"/>
    </xf>
    <xf numFmtId="0" fontId="14" fillId="0" borderId="25" xfId="0" applyFont="1" applyBorder="1" applyAlignment="1">
      <alignment vertical="center"/>
    </xf>
    <xf numFmtId="0" fontId="22" fillId="10" borderId="25" xfId="0" applyFont="1" applyFill="1" applyBorder="1" applyAlignment="1">
      <alignment horizontal="center"/>
    </xf>
    <xf numFmtId="167" fontId="19" fillId="0" borderId="5" xfId="1" applyNumberFormat="1" applyFont="1" applyBorder="1" applyAlignment="1">
      <alignment vertical="center"/>
    </xf>
    <xf numFmtId="44" fontId="14" fillId="6" borderId="4" xfId="1" applyNumberFormat="1" applyFont="1" applyFill="1" applyBorder="1" applyAlignment="1">
      <alignment vertical="top"/>
    </xf>
    <xf numFmtId="0" fontId="73" fillId="2" borderId="4" xfId="0" quotePrefix="1" applyFont="1" applyFill="1" applyBorder="1" applyAlignment="1">
      <alignment vertical="center"/>
    </xf>
    <xf numFmtId="0" fontId="73" fillId="2" borderId="4" xfId="0" applyFont="1" applyFill="1" applyBorder="1" applyAlignment="1">
      <alignment vertical="center"/>
    </xf>
    <xf numFmtId="0" fontId="75" fillId="2" borderId="4" xfId="0" applyFont="1" applyFill="1" applyBorder="1" applyAlignment="1">
      <alignment horizontal="center" vertical="top" wrapText="1"/>
    </xf>
    <xf numFmtId="0" fontId="73" fillId="2" borderId="4" xfId="0" applyFont="1" applyFill="1" applyBorder="1" applyAlignment="1">
      <alignment horizontal="center" vertical="top" wrapText="1"/>
    </xf>
    <xf numFmtId="17" fontId="73" fillId="2" borderId="4" xfId="0" applyNumberFormat="1" applyFont="1" applyFill="1" applyBorder="1" applyAlignment="1">
      <alignment horizontal="center" vertical="top" wrapText="1"/>
    </xf>
    <xf numFmtId="44" fontId="73" fillId="2" borderId="4" xfId="1" applyNumberFormat="1" applyFont="1" applyFill="1" applyBorder="1" applyAlignment="1">
      <alignment horizontal="center" vertical="top" wrapText="1"/>
    </xf>
    <xf numFmtId="0" fontId="73" fillId="2" borderId="4" xfId="0" applyFont="1" applyFill="1" applyBorder="1" applyAlignment="1">
      <alignment vertical="top"/>
    </xf>
    <xf numFmtId="0" fontId="75" fillId="0" borderId="4" xfId="5" applyFont="1" applyBorder="1" applyAlignment="1">
      <alignment vertical="center"/>
    </xf>
    <xf numFmtId="0" fontId="75" fillId="0" borderId="1" xfId="5" applyFont="1" applyBorder="1" applyAlignment="1">
      <alignment horizontal="right" vertical="center" shrinkToFit="1"/>
    </xf>
    <xf numFmtId="3" fontId="75" fillId="0" borderId="30" xfId="5" applyNumberFormat="1" applyFont="1" applyBorder="1" applyAlignment="1">
      <alignment vertical="center"/>
    </xf>
    <xf numFmtId="0" fontId="76" fillId="0" borderId="25" xfId="0" applyFont="1" applyBorder="1" applyAlignment="1">
      <alignment horizontal="center"/>
    </xf>
    <xf numFmtId="0" fontId="74" fillId="0" borderId="1" xfId="0" applyFont="1" applyBorder="1" applyAlignment="1">
      <alignment horizontal="center" vertical="top" wrapText="1"/>
    </xf>
    <xf numFmtId="0" fontId="73" fillId="0" borderId="1" xfId="0" applyFont="1" applyBorder="1" applyAlignment="1">
      <alignment horizontal="center" vertical="top" wrapText="1"/>
    </xf>
    <xf numFmtId="0" fontId="73" fillId="0" borderId="1" xfId="0" applyFont="1" applyBorder="1" applyAlignment="1">
      <alignment horizontal="center" vertical="top"/>
    </xf>
    <xf numFmtId="49" fontId="73" fillId="0" borderId="1" xfId="0" applyNumberFormat="1" applyFont="1" applyBorder="1" applyAlignment="1">
      <alignment horizontal="center" vertical="top" wrapText="1"/>
    </xf>
    <xf numFmtId="43" fontId="73" fillId="0" borderId="1" xfId="1" applyFont="1" applyFill="1" applyBorder="1" applyAlignment="1">
      <alignment vertical="top"/>
    </xf>
    <xf numFmtId="167" fontId="73" fillId="2" borderId="4" xfId="1" applyNumberFormat="1" applyFont="1" applyFill="1" applyBorder="1" applyAlignment="1"/>
    <xf numFmtId="0" fontId="73" fillId="2" borderId="4" xfId="0" applyFont="1" applyFill="1" applyBorder="1"/>
    <xf numFmtId="0" fontId="73" fillId="2" borderId="0" xfId="0" applyFont="1" applyFill="1"/>
    <xf numFmtId="0" fontId="73" fillId="0" borderId="31" xfId="0" quotePrefix="1" applyFont="1" applyBorder="1"/>
    <xf numFmtId="4" fontId="73" fillId="0" borderId="25" xfId="0" applyNumberFormat="1" applyFont="1" applyBorder="1"/>
    <xf numFmtId="0" fontId="73" fillId="0" borderId="27" xfId="0" applyFont="1" applyBorder="1"/>
    <xf numFmtId="0" fontId="63" fillId="2" borderId="3" xfId="6" applyFont="1" applyFill="1" applyBorder="1" applyAlignment="1">
      <alignment horizontal="center" vertical="center" wrapText="1"/>
    </xf>
    <xf numFmtId="17" fontId="19" fillId="0" borderId="2" xfId="2" quotePrefix="1" applyNumberFormat="1" applyFont="1" applyBorder="1" applyAlignment="1">
      <alignment horizontal="center" vertical="center" wrapText="1"/>
    </xf>
    <xf numFmtId="0" fontId="14" fillId="0" borderId="2" xfId="6" applyFont="1" applyBorder="1" applyAlignment="1">
      <alignment horizontal="center" vertical="center" wrapText="1"/>
    </xf>
    <xf numFmtId="0" fontId="63" fillId="2" borderId="2" xfId="6" applyFont="1" applyFill="1" applyBorder="1" applyAlignment="1">
      <alignment horizontal="center" vertical="center" wrapText="1"/>
    </xf>
    <xf numFmtId="0" fontId="19" fillId="0" borderId="4" xfId="0" applyFont="1" applyBorder="1" applyAlignment="1">
      <alignment vertical="center" wrapText="1"/>
    </xf>
    <xf numFmtId="0" fontId="63" fillId="2" borderId="9" xfId="6" applyFont="1" applyFill="1" applyBorder="1" applyAlignment="1">
      <alignment vertical="center" wrapText="1"/>
    </xf>
    <xf numFmtId="169" fontId="14" fillId="0" borderId="3" xfId="9" applyNumberFormat="1" applyFont="1" applyBorder="1" applyAlignment="1">
      <alignment horizontal="center" vertical="center"/>
    </xf>
    <xf numFmtId="0" fontId="63" fillId="2" borderId="10" xfId="6" applyFont="1" applyFill="1" applyBorder="1" applyAlignment="1">
      <alignment vertical="center" wrapText="1"/>
    </xf>
    <xf numFmtId="0" fontId="14" fillId="0" borderId="2" xfId="6" applyFont="1" applyBorder="1" applyAlignment="1">
      <alignment horizontal="center" vertical="center"/>
    </xf>
    <xf numFmtId="169" fontId="14" fillId="0" borderId="2" xfId="9" applyNumberFormat="1" applyFont="1" applyBorder="1" applyAlignment="1">
      <alignment horizontal="center" vertical="center"/>
    </xf>
    <xf numFmtId="0" fontId="14" fillId="2" borderId="4" xfId="6" applyFont="1" applyFill="1" applyBorder="1" applyAlignment="1">
      <alignment vertical="top" wrapText="1"/>
    </xf>
    <xf numFmtId="0" fontId="19" fillId="0" borderId="7" xfId="0" applyFont="1" applyBorder="1"/>
    <xf numFmtId="43" fontId="19" fillId="0" borderId="30" xfId="1" applyFont="1" applyBorder="1"/>
    <xf numFmtId="0" fontId="19" fillId="0" borderId="30" xfId="0" applyFont="1" applyBorder="1"/>
    <xf numFmtId="43" fontId="19" fillId="0" borderId="10" xfId="1" applyFont="1" applyBorder="1"/>
    <xf numFmtId="0" fontId="14" fillId="0" borderId="1" xfId="6" applyFont="1" applyBorder="1" applyAlignment="1">
      <alignment horizontal="center" vertical="center" wrapText="1"/>
    </xf>
    <xf numFmtId="17" fontId="19" fillId="0" borderId="1" xfId="2" quotePrefix="1" applyNumberFormat="1" applyFont="1" applyBorder="1" applyAlignment="1">
      <alignment horizontal="center" vertical="center" wrapText="1"/>
    </xf>
    <xf numFmtId="0" fontId="63" fillId="2" borderId="1" xfId="6" applyFont="1" applyFill="1" applyBorder="1" applyAlignment="1">
      <alignment horizontal="center" vertical="center" wrapText="1"/>
    </xf>
    <xf numFmtId="0" fontId="63" fillId="2" borderId="30" xfId="6" applyFont="1" applyFill="1" applyBorder="1" applyAlignment="1">
      <alignment vertical="center" wrapText="1"/>
    </xf>
    <xf numFmtId="0" fontId="14" fillId="0" borderId="1" xfId="6" applyFont="1" applyBorder="1" applyAlignment="1">
      <alignment horizontal="center" vertical="center"/>
    </xf>
    <xf numFmtId="169" fontId="14" fillId="0" borderId="1" xfId="9" applyNumberFormat="1" applyFont="1" applyBorder="1" applyAlignment="1">
      <alignment horizontal="center" vertical="center"/>
    </xf>
    <xf numFmtId="0" fontId="19" fillId="0" borderId="6" xfId="0" applyFont="1" applyBorder="1" applyAlignment="1">
      <alignment vertical="center" wrapText="1"/>
    </xf>
    <xf numFmtId="0" fontId="19" fillId="0" borderId="6" xfId="0" applyFont="1" applyBorder="1" applyAlignment="1">
      <alignment horizontal="center" vertical="top" wrapText="1"/>
    </xf>
    <xf numFmtId="0" fontId="19" fillId="0" borderId="5" xfId="0" applyFont="1" applyBorder="1" applyAlignment="1">
      <alignment horizontal="center" vertical="top" wrapText="1"/>
    </xf>
    <xf numFmtId="0" fontId="14" fillId="2" borderId="4" xfId="0" applyFont="1" applyFill="1" applyBorder="1" applyAlignment="1">
      <alignment horizontal="right" vertical="center"/>
    </xf>
    <xf numFmtId="0" fontId="19" fillId="2" borderId="4" xfId="0" applyFont="1" applyFill="1" applyBorder="1" applyAlignment="1">
      <alignment horizontal="right" vertical="center"/>
    </xf>
    <xf numFmtId="16" fontId="19" fillId="2" borderId="4" xfId="0" quotePrefix="1" applyNumberFormat="1" applyFont="1" applyFill="1" applyBorder="1" applyAlignment="1">
      <alignment horizontal="center" vertical="center"/>
    </xf>
    <xf numFmtId="0" fontId="19" fillId="0" borderId="4" xfId="0" applyFont="1" applyBorder="1" applyAlignment="1">
      <alignment horizontal="right" vertical="center" wrapText="1"/>
    </xf>
    <xf numFmtId="0" fontId="19" fillId="2" borderId="4" xfId="0" applyFont="1" applyFill="1" applyBorder="1" applyAlignment="1">
      <alignment horizontal="center"/>
    </xf>
    <xf numFmtId="3" fontId="19" fillId="0" borderId="4" xfId="0" applyNumberFormat="1" applyFont="1" applyBorder="1" applyAlignment="1">
      <alignment horizontal="center" vertical="center" wrapText="1"/>
    </xf>
    <xf numFmtId="0" fontId="14" fillId="6" borderId="4" xfId="0" applyFont="1" applyFill="1" applyBorder="1" applyAlignment="1">
      <alignment horizontal="center" vertical="center" wrapText="1"/>
    </xf>
    <xf numFmtId="164" fontId="53" fillId="2" borderId="2" xfId="2" applyNumberFormat="1" applyFont="1" applyFill="1" applyBorder="1" applyAlignment="1">
      <alignment horizontal="left" vertical="center" wrapText="1"/>
    </xf>
    <xf numFmtId="0" fontId="63" fillId="12" borderId="4" xfId="6" applyFont="1" applyFill="1" applyBorder="1" applyAlignment="1">
      <alignment vertical="center" wrapText="1"/>
    </xf>
    <xf numFmtId="0" fontId="63" fillId="12" borderId="4" xfId="6" applyFont="1" applyFill="1" applyBorder="1" applyAlignment="1">
      <alignment horizontal="center" vertical="center" wrapText="1"/>
    </xf>
    <xf numFmtId="0" fontId="63" fillId="0" borderId="4" xfId="6" applyFont="1" applyBorder="1" applyAlignment="1">
      <alignment horizontal="left" vertical="center" wrapText="1"/>
    </xf>
    <xf numFmtId="0" fontId="63" fillId="12" borderId="6" xfId="6" applyFont="1" applyFill="1" applyBorder="1" applyAlignment="1">
      <alignment horizontal="center" vertical="center" wrapText="1"/>
    </xf>
    <xf numFmtId="17" fontId="14" fillId="2" borderId="4" xfId="6" quotePrefix="1" applyNumberFormat="1" applyFont="1" applyFill="1" applyBorder="1" applyAlignment="1">
      <alignment horizontal="center" vertical="center" wrapText="1"/>
    </xf>
    <xf numFmtId="17" fontId="14" fillId="0" borderId="4" xfId="6" quotePrefix="1" applyNumberFormat="1" applyFont="1" applyBorder="1" applyAlignment="1">
      <alignment horizontal="center" vertical="center" wrapText="1"/>
    </xf>
    <xf numFmtId="0" fontId="14" fillId="2" borderId="4" xfId="6" applyFont="1" applyFill="1" applyBorder="1" applyAlignment="1">
      <alignment horizontal="left" vertical="center" wrapText="1"/>
    </xf>
    <xf numFmtId="3" fontId="14" fillId="2" borderId="4" xfId="6" applyNumberFormat="1" applyFont="1" applyFill="1" applyBorder="1" applyAlignment="1">
      <alignment horizontal="center" vertical="center" wrapText="1"/>
    </xf>
    <xf numFmtId="17" fontId="14" fillId="0" borderId="4" xfId="6" applyNumberFormat="1" applyFont="1" applyBorder="1" applyAlignment="1">
      <alignment horizontal="center" vertical="center" wrapText="1"/>
    </xf>
    <xf numFmtId="17" fontId="19" fillId="0" borderId="6" xfId="2" quotePrefix="1" applyNumberFormat="1" applyFont="1" applyBorder="1" applyAlignment="1">
      <alignment horizontal="center" vertical="center" wrapText="1"/>
    </xf>
    <xf numFmtId="0" fontId="63" fillId="2" borderId="4" xfId="2" applyFont="1" applyFill="1" applyBorder="1" applyAlignment="1">
      <alignment horizontal="center" vertical="center" wrapText="1"/>
    </xf>
    <xf numFmtId="17" fontId="14" fillId="0" borderId="4" xfId="6" quotePrefix="1" applyNumberFormat="1" applyFont="1" applyBorder="1" applyAlignment="1">
      <alignment horizontal="center" vertical="center"/>
    </xf>
    <xf numFmtId="17" fontId="14" fillId="0" borderId="6" xfId="6" quotePrefix="1" applyNumberFormat="1" applyFont="1" applyBorder="1" applyAlignment="1">
      <alignment horizontal="center" vertical="center" wrapText="1"/>
    </xf>
    <xf numFmtId="0" fontId="14" fillId="0" borderId="9" xfId="6" applyFont="1" applyBorder="1" applyAlignment="1">
      <alignment horizontal="left" vertical="center" wrapText="1" indent="1"/>
    </xf>
    <xf numFmtId="0" fontId="63" fillId="0" borderId="3" xfId="0" applyFont="1" applyBorder="1" applyAlignment="1">
      <alignment horizontal="center" vertical="center" wrapText="1"/>
    </xf>
    <xf numFmtId="0" fontId="14" fillId="0" borderId="3" xfId="8" applyFont="1" applyBorder="1" applyAlignment="1">
      <alignment horizontal="center" vertical="center"/>
    </xf>
    <xf numFmtId="0" fontId="63" fillId="0" borderId="3" xfId="6" applyFont="1" applyBorder="1" applyAlignment="1">
      <alignment horizontal="center" vertical="center" wrapText="1"/>
    </xf>
    <xf numFmtId="0" fontId="68" fillId="0" borderId="4" xfId="2" applyFont="1" applyBorder="1" applyAlignment="1">
      <alignment vertical="top" wrapText="1"/>
    </xf>
    <xf numFmtId="0" fontId="14" fillId="0" borderId="10" xfId="0" applyFont="1" applyBorder="1"/>
    <xf numFmtId="0" fontId="63" fillId="6" borderId="6" xfId="2" applyFont="1" applyFill="1" applyBorder="1" applyAlignment="1">
      <alignment horizontal="center" vertical="center" wrapText="1"/>
    </xf>
    <xf numFmtId="0" fontId="63" fillId="6" borderId="5" xfId="2" applyFont="1" applyFill="1" applyBorder="1" applyAlignment="1">
      <alignment horizontal="center" vertical="center" wrapText="1"/>
    </xf>
    <xf numFmtId="0" fontId="19" fillId="6" borderId="3" xfId="2" applyFont="1" applyFill="1" applyBorder="1" applyAlignment="1">
      <alignment horizontal="left" vertical="center" wrapText="1"/>
    </xf>
    <xf numFmtId="0" fontId="19" fillId="6" borderId="3" xfId="2" applyFont="1" applyFill="1" applyBorder="1" applyAlignment="1">
      <alignment horizontal="center" vertical="center" wrapText="1"/>
    </xf>
    <xf numFmtId="17" fontId="19" fillId="6" borderId="3" xfId="2" applyNumberFormat="1" applyFont="1" applyFill="1" applyBorder="1" applyAlignment="1">
      <alignment horizontal="left" vertical="center" wrapText="1"/>
    </xf>
    <xf numFmtId="164" fontId="19" fillId="6" borderId="3" xfId="2" applyNumberFormat="1" applyFont="1" applyFill="1" applyBorder="1" applyAlignment="1">
      <alignment horizontal="right" vertical="center" wrapText="1"/>
    </xf>
    <xf numFmtId="0" fontId="69" fillId="6" borderId="3" xfId="2" applyFont="1" applyFill="1" applyBorder="1" applyAlignment="1">
      <alignment horizontal="left" vertical="center" wrapText="1"/>
    </xf>
    <xf numFmtId="0" fontId="68" fillId="6" borderId="4" xfId="2" applyFont="1" applyFill="1" applyBorder="1" applyAlignment="1">
      <alignment horizontal="left" vertical="center" wrapText="1"/>
    </xf>
    <xf numFmtId="0" fontId="63" fillId="6" borderId="3" xfId="2" applyFont="1" applyFill="1" applyBorder="1" applyAlignment="1">
      <alignment vertical="center" wrapText="1"/>
    </xf>
    <xf numFmtId="0" fontId="63" fillId="6" borderId="4" xfId="2" applyFont="1" applyFill="1" applyBorder="1" applyAlignment="1">
      <alignment vertical="center" wrapText="1"/>
    </xf>
    <xf numFmtId="0" fontId="63" fillId="0" borderId="9" xfId="0" applyFont="1" applyBorder="1" applyAlignment="1">
      <alignment vertical="center" wrapText="1"/>
    </xf>
    <xf numFmtId="0" fontId="14" fillId="0" borderId="3" xfId="6" applyFont="1" applyBorder="1" applyAlignment="1">
      <alignment vertical="center" wrapText="1"/>
    </xf>
    <xf numFmtId="4" fontId="63" fillId="12" borderId="4" xfId="6" applyNumberFormat="1" applyFont="1" applyFill="1" applyBorder="1" applyAlignment="1">
      <alignment horizontal="center" vertical="center" wrapText="1"/>
    </xf>
    <xf numFmtId="43" fontId="63" fillId="12" borderId="4" xfId="1" applyFont="1" applyFill="1" applyBorder="1" applyAlignment="1">
      <alignment horizontal="center" vertical="center" wrapText="1"/>
    </xf>
    <xf numFmtId="4" fontId="63" fillId="5" borderId="4" xfId="6" applyNumberFormat="1" applyFont="1" applyFill="1" applyBorder="1" applyAlignment="1">
      <alignment horizontal="center" vertical="center" wrapText="1"/>
    </xf>
    <xf numFmtId="4" fontId="63" fillId="2" borderId="4" xfId="6" applyNumberFormat="1" applyFont="1" applyFill="1" applyBorder="1" applyAlignment="1">
      <alignment horizontal="center" vertical="center" wrapText="1"/>
    </xf>
    <xf numFmtId="43" fontId="14" fillId="2" borderId="4" xfId="1" applyFont="1" applyFill="1" applyBorder="1" applyAlignment="1">
      <alignment horizontal="center" vertical="center" wrapText="1"/>
    </xf>
    <xf numFmtId="168" fontId="14" fillId="5" borderId="4" xfId="9" applyFont="1" applyFill="1" applyBorder="1" applyAlignment="1">
      <alignment horizontal="left" vertical="center" wrapText="1"/>
    </xf>
    <xf numFmtId="4" fontId="14" fillId="5" borderId="4" xfId="9" applyNumberFormat="1" applyFont="1" applyFill="1" applyBorder="1" applyAlignment="1">
      <alignment horizontal="center" vertical="center" wrapText="1"/>
    </xf>
    <xf numFmtId="43" fontId="14" fillId="0" borderId="4" xfId="1" applyFont="1" applyBorder="1" applyAlignment="1">
      <alignment horizontal="center" vertical="center" wrapText="1"/>
    </xf>
    <xf numFmtId="168" fontId="14" fillId="2" borderId="4" xfId="9" applyFont="1" applyFill="1" applyBorder="1" applyAlignment="1">
      <alignment horizontal="left" vertical="center" wrapText="1"/>
    </xf>
    <xf numFmtId="168" fontId="14" fillId="5" borderId="4" xfId="9" applyFont="1" applyFill="1" applyBorder="1" applyAlignment="1">
      <alignment horizontal="center" vertical="center" wrapText="1"/>
    </xf>
    <xf numFmtId="168" fontId="14" fillId="2" borderId="4" xfId="6" applyNumberFormat="1" applyFont="1" applyFill="1" applyBorder="1" applyAlignment="1">
      <alignment horizontal="center" vertical="center"/>
    </xf>
    <xf numFmtId="168" fontId="14" fillId="5" borderId="4" xfId="6" applyNumberFormat="1" applyFont="1" applyFill="1" applyBorder="1" applyAlignment="1">
      <alignment horizontal="center" vertical="center"/>
    </xf>
    <xf numFmtId="0" fontId="63" fillId="0" borderId="4" xfId="6" applyFont="1" applyBorder="1" applyAlignment="1">
      <alignment horizontal="center" vertical="center" wrapText="1"/>
    </xf>
    <xf numFmtId="168" fontId="14" fillId="2" borderId="4" xfId="9" applyFont="1" applyFill="1" applyBorder="1" applyAlignment="1">
      <alignment horizontal="center" vertical="center" wrapText="1"/>
    </xf>
    <xf numFmtId="168" fontId="14" fillId="0" borderId="4" xfId="9" applyFont="1" applyBorder="1" applyAlignment="1">
      <alignment horizontal="center" vertical="center" wrapText="1"/>
    </xf>
    <xf numFmtId="0" fontId="14" fillId="2" borderId="1" xfId="6" applyFont="1" applyFill="1" applyBorder="1" applyAlignment="1">
      <alignment horizontal="center" vertical="center" wrapText="1"/>
    </xf>
    <xf numFmtId="168" fontId="14" fillId="2" borderId="4" xfId="9" applyFont="1" applyFill="1" applyBorder="1" applyAlignment="1">
      <alignment vertical="center"/>
    </xf>
    <xf numFmtId="168" fontId="19" fillId="0" borderId="3" xfId="10" applyFont="1" applyFill="1" applyBorder="1" applyAlignment="1">
      <alignment horizontal="center" vertical="center" wrapText="1"/>
    </xf>
    <xf numFmtId="0" fontId="63" fillId="12" borderId="15" xfId="0" applyFont="1" applyFill="1" applyBorder="1" applyAlignment="1">
      <alignment horizontal="center" vertical="center" wrapText="1"/>
    </xf>
    <xf numFmtId="4" fontId="63" fillId="12" borderId="4" xfId="0" applyNumberFormat="1" applyFont="1" applyFill="1" applyBorder="1" applyAlignment="1">
      <alignment horizontal="right" vertical="center" wrapText="1" indent="1"/>
    </xf>
    <xf numFmtId="0" fontId="63" fillId="2" borderId="34" xfId="6" applyFont="1" applyFill="1" applyBorder="1" applyAlignment="1">
      <alignment horizontal="left" vertical="center" wrapText="1"/>
    </xf>
    <xf numFmtId="0" fontId="14" fillId="0" borderId="15" xfId="0" applyFont="1" applyBorder="1" applyAlignment="1">
      <alignment vertical="center" wrapText="1"/>
    </xf>
    <xf numFmtId="0" fontId="14" fillId="0" borderId="34" xfId="0" applyFont="1" applyBorder="1" applyAlignment="1">
      <alignment vertical="center" wrapText="1"/>
    </xf>
    <xf numFmtId="0" fontId="63" fillId="12" borderId="34" xfId="0" applyFont="1" applyFill="1" applyBorder="1" applyAlignment="1">
      <alignment horizontal="center" vertical="center" wrapText="1"/>
    </xf>
    <xf numFmtId="14" fontId="63" fillId="12" borderId="34" xfId="0" applyNumberFormat="1" applyFont="1" applyFill="1" applyBorder="1" applyAlignment="1">
      <alignment horizontal="center" vertical="center" wrapText="1"/>
    </xf>
    <xf numFmtId="14" fontId="63" fillId="12" borderId="34" xfId="0" applyNumberFormat="1" applyFont="1" applyFill="1" applyBorder="1" applyAlignment="1">
      <alignment horizontal="left" vertical="center" wrapText="1" indent="1"/>
    </xf>
    <xf numFmtId="0" fontId="63" fillId="12" borderId="34" xfId="0" applyFont="1" applyFill="1" applyBorder="1" applyAlignment="1">
      <alignment horizontal="left" vertical="center" wrapText="1" indent="1"/>
    </xf>
    <xf numFmtId="4" fontId="63" fillId="12" borderId="34" xfId="0" applyNumberFormat="1" applyFont="1" applyFill="1" applyBorder="1" applyAlignment="1">
      <alignment horizontal="right" vertical="center" wrapText="1" indent="1"/>
    </xf>
    <xf numFmtId="0" fontId="19" fillId="0" borderId="4" xfId="5" applyFont="1" applyBorder="1" applyAlignment="1">
      <alignment horizontal="center" vertical="center"/>
    </xf>
    <xf numFmtId="0" fontId="14" fillId="6" borderId="0" xfId="0" applyFont="1" applyFill="1" applyAlignment="1">
      <alignment vertical="center"/>
    </xf>
    <xf numFmtId="0" fontId="79" fillId="6" borderId="5" xfId="2" applyFont="1" applyFill="1" applyBorder="1" applyAlignment="1">
      <alignment vertical="top" wrapText="1"/>
    </xf>
    <xf numFmtId="0" fontId="72" fillId="6" borderId="4" xfId="2" applyFont="1" applyFill="1" applyBorder="1" applyAlignment="1">
      <alignment horizontal="left" vertical="center" wrapText="1"/>
    </xf>
    <xf numFmtId="0" fontId="72" fillId="6" borderId="4" xfId="2" applyFont="1" applyFill="1" applyBorder="1" applyAlignment="1">
      <alignment horizontal="center" vertical="center" wrapText="1"/>
    </xf>
    <xf numFmtId="0" fontId="78" fillId="6" borderId="4" xfId="2" applyFont="1" applyFill="1" applyBorder="1" applyAlignment="1">
      <alignment horizontal="left" vertical="top" wrapText="1"/>
    </xf>
    <xf numFmtId="165" fontId="72" fillId="6" borderId="4" xfId="2" applyNumberFormat="1" applyFont="1" applyFill="1" applyBorder="1" applyAlignment="1">
      <alignment horizontal="right" vertical="center" wrapText="1"/>
    </xf>
    <xf numFmtId="0" fontId="79" fillId="6" borderId="4" xfId="2" applyFont="1" applyFill="1" applyBorder="1" applyAlignment="1">
      <alignment horizontal="left" vertical="top" wrapText="1"/>
    </xf>
    <xf numFmtId="0" fontId="77" fillId="6" borderId="4" xfId="2" applyFont="1" applyFill="1" applyBorder="1" applyAlignment="1">
      <alignment horizontal="left" vertical="center" wrapText="1"/>
    </xf>
    <xf numFmtId="0" fontId="77" fillId="0" borderId="4" xfId="2" applyFont="1" applyBorder="1" applyAlignment="1">
      <alignment vertical="center" wrapText="1"/>
    </xf>
    <xf numFmtId="0" fontId="72" fillId="0" borderId="4" xfId="2" applyFont="1" applyBorder="1" applyAlignment="1">
      <alignment horizontal="left" vertical="center" wrapText="1"/>
    </xf>
    <xf numFmtId="0" fontId="72" fillId="0" borderId="4" xfId="2" applyFont="1" applyBorder="1" applyAlignment="1">
      <alignment horizontal="center" vertical="center" wrapText="1"/>
    </xf>
    <xf numFmtId="17" fontId="72" fillId="0" borderId="4" xfId="2" applyNumberFormat="1" applyFont="1" applyBorder="1" applyAlignment="1">
      <alignment horizontal="left" vertical="center" wrapText="1"/>
    </xf>
    <xf numFmtId="164" fontId="72" fillId="0" borderId="4" xfId="2" applyNumberFormat="1" applyFont="1" applyBorder="1" applyAlignment="1">
      <alignment horizontal="right" vertical="center" wrapText="1"/>
    </xf>
    <xf numFmtId="0" fontId="63" fillId="0" borderId="5" xfId="0" applyFont="1" applyBorder="1" applyAlignment="1">
      <alignment vertical="top"/>
    </xf>
    <xf numFmtId="0" fontId="14" fillId="0" borderId="5" xfId="0" applyFont="1" applyBorder="1" applyAlignment="1">
      <alignment vertical="center"/>
    </xf>
    <xf numFmtId="17" fontId="14" fillId="2" borderId="4" xfId="6" quotePrefix="1" applyNumberFormat="1" applyFont="1" applyFill="1" applyBorder="1" applyAlignment="1">
      <alignment horizontal="center" vertical="center"/>
    </xf>
    <xf numFmtId="0" fontId="14" fillId="0" borderId="22" xfId="0" applyFont="1" applyBorder="1" applyAlignment="1">
      <alignment vertical="center"/>
    </xf>
    <xf numFmtId="17" fontId="19" fillId="0" borderId="4" xfId="11" quotePrefix="1" applyNumberFormat="1" applyFont="1" applyBorder="1" applyAlignment="1">
      <alignment horizontal="center" vertical="center" wrapText="1"/>
    </xf>
    <xf numFmtId="168" fontId="19" fillId="0" borderId="4" xfId="10" applyFont="1" applyFill="1" applyBorder="1" applyAlignment="1">
      <alignment horizontal="left" vertical="center" wrapText="1"/>
    </xf>
    <xf numFmtId="0" fontId="14" fillId="0" borderId="2" xfId="6" applyFont="1" applyBorder="1" applyAlignment="1">
      <alignment vertical="top" wrapText="1"/>
    </xf>
    <xf numFmtId="0" fontId="14" fillId="0" borderId="1" xfId="6" applyFont="1" applyBorder="1" applyAlignment="1">
      <alignment vertical="top" wrapText="1"/>
    </xf>
    <xf numFmtId="4" fontId="14" fillId="0" borderId="4" xfId="7" applyNumberFormat="1" applyFont="1" applyBorder="1" applyAlignment="1">
      <alignment horizontal="right" vertical="center" wrapText="1"/>
    </xf>
    <xf numFmtId="0" fontId="14" fillId="6" borderId="4" xfId="0" applyFont="1" applyFill="1" applyBorder="1" applyAlignment="1">
      <alignment horizontal="center" vertical="top" wrapText="1"/>
    </xf>
    <xf numFmtId="4" fontId="14" fillId="0" borderId="4" xfId="9" applyNumberFormat="1" applyFont="1" applyBorder="1" applyAlignment="1">
      <alignment horizontal="center" vertical="center" wrapText="1"/>
    </xf>
    <xf numFmtId="4" fontId="14" fillId="2" borderId="4" xfId="9" applyNumberFormat="1" applyFont="1" applyFill="1" applyBorder="1" applyAlignment="1">
      <alignment horizontal="center" vertical="center" wrapText="1"/>
    </xf>
    <xf numFmtId="17" fontId="14" fillId="2" borderId="6" xfId="6" quotePrefix="1" applyNumberFormat="1" applyFont="1" applyFill="1" applyBorder="1" applyAlignment="1">
      <alignment vertical="center" wrapText="1"/>
    </xf>
    <xf numFmtId="17" fontId="14" fillId="2" borderId="5" xfId="6" quotePrefix="1" applyNumberFormat="1" applyFont="1" applyFill="1" applyBorder="1" applyAlignment="1">
      <alignment vertical="center" wrapText="1"/>
    </xf>
    <xf numFmtId="4" fontId="14" fillId="2" borderId="4" xfId="6" applyNumberFormat="1" applyFont="1" applyFill="1" applyBorder="1" applyAlignment="1">
      <alignment horizontal="center" vertical="center" wrapText="1"/>
    </xf>
    <xf numFmtId="43" fontId="63" fillId="2" borderId="4" xfId="1" applyFont="1" applyFill="1" applyBorder="1" applyAlignment="1">
      <alignment horizontal="center" vertical="center" wrapText="1"/>
    </xf>
    <xf numFmtId="43" fontId="63" fillId="0" borderId="4" xfId="1" applyFont="1" applyBorder="1" applyAlignment="1">
      <alignment horizontal="center" vertical="center" wrapText="1"/>
    </xf>
    <xf numFmtId="43" fontId="14" fillId="2" borderId="4" xfId="1" applyFont="1" applyFill="1" applyBorder="1" applyAlignment="1">
      <alignment horizontal="left" wrapText="1"/>
    </xf>
    <xf numFmtId="43" fontId="14" fillId="0" borderId="4" xfId="1" applyFont="1" applyBorder="1" applyAlignment="1">
      <alignment horizontal="left" wrapText="1"/>
    </xf>
    <xf numFmtId="168" fontId="14" fillId="13" borderId="4" xfId="9" applyFont="1" applyFill="1" applyBorder="1" applyAlignment="1">
      <alignment horizontal="center" vertical="center" wrapText="1"/>
    </xf>
    <xf numFmtId="0" fontId="63" fillId="0" borderId="6" xfId="6" applyFont="1" applyBorder="1" applyAlignment="1">
      <alignment vertical="center" wrapText="1"/>
    </xf>
    <xf numFmtId="168" fontId="14" fillId="0" borderId="4" xfId="9" applyFont="1" applyFill="1" applyBorder="1" applyAlignment="1">
      <alignment horizontal="center" vertical="center"/>
    </xf>
    <xf numFmtId="0" fontId="63" fillId="3" borderId="3" xfId="0" applyFont="1" applyFill="1" applyBorder="1" applyAlignment="1">
      <alignment horizontal="center" vertical="center" wrapText="1"/>
    </xf>
    <xf numFmtId="43" fontId="63" fillId="3" borderId="3" xfId="1" applyFont="1" applyFill="1" applyBorder="1" applyAlignment="1">
      <alignment horizontal="center" vertical="center" wrapText="1"/>
    </xf>
    <xf numFmtId="0" fontId="63" fillId="6" borderId="4" xfId="2" applyFont="1" applyFill="1" applyBorder="1" applyAlignment="1">
      <alignment horizontal="left" vertical="center" wrapText="1"/>
    </xf>
    <xf numFmtId="0" fontId="68" fillId="6" borderId="5" xfId="2" applyFont="1" applyFill="1" applyBorder="1" applyAlignment="1">
      <alignment vertical="top" wrapText="1"/>
    </xf>
    <xf numFmtId="0" fontId="19" fillId="6" borderId="4" xfId="2" applyFont="1" applyFill="1" applyBorder="1" applyAlignment="1">
      <alignment horizontal="left" vertical="center" wrapText="1"/>
    </xf>
    <xf numFmtId="0" fontId="19" fillId="6" borderId="4" xfId="2" applyFont="1" applyFill="1" applyBorder="1" applyAlignment="1">
      <alignment horizontal="center" vertical="center" wrapText="1"/>
    </xf>
    <xf numFmtId="0" fontId="69" fillId="6" borderId="4" xfId="2" applyFont="1" applyFill="1" applyBorder="1" applyAlignment="1">
      <alignment horizontal="left" vertical="top" wrapText="1"/>
    </xf>
    <xf numFmtId="165" fontId="19" fillId="6" borderId="4" xfId="2" applyNumberFormat="1" applyFont="1" applyFill="1" applyBorder="1" applyAlignment="1">
      <alignment horizontal="right" vertical="center" wrapText="1"/>
    </xf>
    <xf numFmtId="0" fontId="14" fillId="6" borderId="0" xfId="0" applyFont="1" applyFill="1"/>
    <xf numFmtId="0" fontId="68" fillId="6" borderId="4" xfId="2" applyFont="1" applyFill="1" applyBorder="1" applyAlignment="1">
      <alignment horizontal="left" vertical="top" wrapText="1"/>
    </xf>
    <xf numFmtId="0" fontId="63" fillId="6" borderId="4" xfId="2" applyFont="1" applyFill="1" applyBorder="1" applyAlignment="1">
      <alignment horizontal="center" vertical="center" wrapText="1"/>
    </xf>
    <xf numFmtId="17" fontId="19" fillId="6" borderId="4" xfId="2" applyNumberFormat="1" applyFont="1" applyFill="1" applyBorder="1" applyAlignment="1">
      <alignment horizontal="left" vertical="center" wrapText="1"/>
    </xf>
    <xf numFmtId="164" fontId="19" fillId="6" borderId="4" xfId="2" applyNumberFormat="1" applyFont="1" applyFill="1" applyBorder="1" applyAlignment="1">
      <alignment horizontal="right" vertical="center" wrapText="1"/>
    </xf>
    <xf numFmtId="0" fontId="69" fillId="6" borderId="4" xfId="2" applyFont="1" applyFill="1" applyBorder="1" applyAlignment="1">
      <alignment horizontal="left" vertical="center" wrapText="1"/>
    </xf>
    <xf numFmtId="0" fontId="68" fillId="6" borderId="5" xfId="2" applyFont="1" applyFill="1" applyBorder="1" applyAlignment="1">
      <alignment horizontal="left" vertical="center" wrapText="1"/>
    </xf>
    <xf numFmtId="0" fontId="19" fillId="0" borderId="4" xfId="2" applyFont="1" applyBorder="1" applyAlignment="1">
      <alignment horizontal="left" vertical="center" wrapText="1"/>
    </xf>
    <xf numFmtId="17" fontId="19" fillId="0" borderId="4" xfId="2" applyNumberFormat="1" applyFont="1" applyBorder="1" applyAlignment="1">
      <alignment horizontal="left" vertical="center" wrapText="1"/>
    </xf>
    <xf numFmtId="164" fontId="19" fillId="0" borderId="4" xfId="2" applyNumberFormat="1" applyFont="1" applyBorder="1" applyAlignment="1">
      <alignment horizontal="right" vertical="center" wrapText="1"/>
    </xf>
    <xf numFmtId="0" fontId="19" fillId="0" borderId="4" xfId="2" applyFont="1" applyBorder="1" applyAlignment="1">
      <alignment vertical="center" wrapText="1"/>
    </xf>
    <xf numFmtId="4" fontId="14" fillId="0" borderId="4" xfId="8" applyNumberFormat="1" applyFont="1" applyBorder="1" applyAlignment="1">
      <alignment horizontal="right" vertical="center"/>
    </xf>
    <xf numFmtId="0" fontId="73" fillId="6" borderId="4" xfId="0" applyFont="1" applyFill="1" applyBorder="1" applyAlignment="1">
      <alignment horizontal="center" vertical="top" wrapText="1"/>
    </xf>
    <xf numFmtId="0" fontId="73" fillId="6" borderId="0" xfId="0" applyFont="1" applyFill="1" applyAlignment="1">
      <alignment vertical="center"/>
    </xf>
    <xf numFmtId="0" fontId="74" fillId="6" borderId="4" xfId="2" applyFont="1" applyFill="1" applyBorder="1" applyAlignment="1">
      <alignment horizontal="left" vertical="center" wrapText="1"/>
    </xf>
    <xf numFmtId="0" fontId="80" fillId="6" borderId="4" xfId="2" applyFont="1" applyFill="1" applyBorder="1" applyAlignment="1">
      <alignment horizontal="left" vertical="top" wrapText="1"/>
    </xf>
    <xf numFmtId="0" fontId="80" fillId="6" borderId="6" xfId="2" applyFont="1" applyFill="1" applyBorder="1" applyAlignment="1">
      <alignment horizontal="left" vertical="top" wrapText="1"/>
    </xf>
    <xf numFmtId="0" fontId="81" fillId="6" borderId="5" xfId="2" applyFont="1" applyFill="1" applyBorder="1" applyAlignment="1">
      <alignment horizontal="center" vertical="top" wrapText="1"/>
    </xf>
    <xf numFmtId="0" fontId="81" fillId="6" borderId="4" xfId="2" applyFont="1" applyFill="1" applyBorder="1" applyAlignment="1">
      <alignment horizontal="left" vertical="top" wrapText="1"/>
    </xf>
    <xf numFmtId="0" fontId="81" fillId="6" borderId="4" xfId="2" applyFont="1" applyFill="1" applyBorder="1" applyAlignment="1">
      <alignment horizontal="center" vertical="top" wrapText="1"/>
    </xf>
    <xf numFmtId="0" fontId="75" fillId="6" borderId="4" xfId="2" applyFont="1" applyFill="1" applyBorder="1" applyAlignment="1">
      <alignment horizontal="left" vertical="center" wrapText="1"/>
    </xf>
    <xf numFmtId="165" fontId="75" fillId="6" borderId="4" xfId="2" applyNumberFormat="1" applyFont="1" applyFill="1" applyBorder="1" applyAlignment="1">
      <alignment horizontal="right" vertical="center" wrapText="1"/>
    </xf>
    <xf numFmtId="0" fontId="74" fillId="6" borderId="4" xfId="2" applyFont="1" applyFill="1" applyBorder="1" applyAlignment="1">
      <alignment vertical="center" wrapText="1"/>
    </xf>
    <xf numFmtId="0" fontId="74" fillId="6" borderId="6" xfId="2" applyFont="1" applyFill="1" applyBorder="1" applyAlignment="1">
      <alignment vertical="center" wrapText="1"/>
    </xf>
    <xf numFmtId="0" fontId="75" fillId="6" borderId="4" xfId="2" applyFont="1" applyFill="1" applyBorder="1" applyAlignment="1">
      <alignment horizontal="center" vertical="center" wrapText="1"/>
    </xf>
    <xf numFmtId="17" fontId="75" fillId="6" borderId="4" xfId="2" applyNumberFormat="1" applyFont="1" applyFill="1" applyBorder="1" applyAlignment="1">
      <alignment horizontal="left" vertical="center" wrapText="1"/>
    </xf>
    <xf numFmtId="164" fontId="75" fillId="6" borderId="4" xfId="2" applyNumberFormat="1" applyFont="1" applyFill="1" applyBorder="1" applyAlignment="1">
      <alignment horizontal="right" vertical="center" wrapText="1"/>
    </xf>
    <xf numFmtId="0" fontId="74" fillId="6" borderId="3" xfId="2" applyFont="1" applyFill="1" applyBorder="1" applyAlignment="1">
      <alignment vertical="center" wrapText="1"/>
    </xf>
    <xf numFmtId="0" fontId="74" fillId="6" borderId="4" xfId="2" applyFont="1" applyFill="1" applyBorder="1" applyAlignment="1">
      <alignment vertical="top" wrapText="1"/>
    </xf>
    <xf numFmtId="0" fontId="74" fillId="6" borderId="4" xfId="2" applyFont="1" applyFill="1" applyBorder="1" applyAlignment="1">
      <alignment horizontal="center" vertical="top" wrapText="1"/>
    </xf>
    <xf numFmtId="0" fontId="75" fillId="6" borderId="4" xfId="2" applyFont="1" applyFill="1" applyBorder="1" applyAlignment="1">
      <alignment horizontal="center" vertical="top" wrapText="1"/>
    </xf>
    <xf numFmtId="0" fontId="75" fillId="6" borderId="3" xfId="2" applyFont="1" applyFill="1" applyBorder="1" applyAlignment="1">
      <alignment horizontal="left" vertical="center" wrapText="1"/>
    </xf>
    <xf numFmtId="0" fontId="81" fillId="6" borderId="3" xfId="2" applyFont="1" applyFill="1" applyBorder="1" applyAlignment="1">
      <alignment horizontal="center" vertical="center" wrapText="1"/>
    </xf>
    <xf numFmtId="17" fontId="81" fillId="6" borderId="3" xfId="2" applyNumberFormat="1" applyFont="1" applyFill="1" applyBorder="1" applyAlignment="1">
      <alignment horizontal="left" vertical="center" wrapText="1"/>
    </xf>
    <xf numFmtId="0" fontId="81" fillId="6" borderId="3" xfId="2" applyFont="1" applyFill="1" applyBorder="1" applyAlignment="1">
      <alignment horizontal="left" vertical="center" wrapText="1"/>
    </xf>
    <xf numFmtId="164" fontId="81" fillId="6" borderId="3" xfId="2" applyNumberFormat="1" applyFont="1" applyFill="1" applyBorder="1" applyAlignment="1">
      <alignment horizontal="right" vertical="center" wrapText="1"/>
    </xf>
    <xf numFmtId="0" fontId="80" fillId="6" borderId="3" xfId="2" applyFont="1" applyFill="1" applyBorder="1" applyAlignment="1">
      <alignment horizontal="left" vertical="center" wrapText="1"/>
    </xf>
    <xf numFmtId="0" fontId="74" fillId="6" borderId="2" xfId="2" applyFont="1" applyFill="1" applyBorder="1" applyAlignment="1">
      <alignment vertical="center" wrapText="1"/>
    </xf>
    <xf numFmtId="0" fontId="75" fillId="6" borderId="2" xfId="2" applyFont="1" applyFill="1" applyBorder="1" applyAlignment="1">
      <alignment horizontal="left" vertical="center" wrapText="1"/>
    </xf>
    <xf numFmtId="0" fontId="81" fillId="6" borderId="2" xfId="2" applyFont="1" applyFill="1" applyBorder="1" applyAlignment="1">
      <alignment horizontal="center" vertical="center" wrapText="1"/>
    </xf>
    <xf numFmtId="17" fontId="81" fillId="6" borderId="2" xfId="2" applyNumberFormat="1" applyFont="1" applyFill="1" applyBorder="1" applyAlignment="1">
      <alignment horizontal="left" vertical="center" wrapText="1"/>
    </xf>
    <xf numFmtId="0" fontId="81" fillId="6" borderId="2" xfId="2" applyFont="1" applyFill="1" applyBorder="1" applyAlignment="1">
      <alignment horizontal="left" vertical="center" wrapText="1"/>
    </xf>
    <xf numFmtId="164" fontId="81" fillId="6" borderId="2" xfId="2" applyNumberFormat="1" applyFont="1" applyFill="1" applyBorder="1" applyAlignment="1">
      <alignment horizontal="right" vertical="center" wrapText="1"/>
    </xf>
    <xf numFmtId="0" fontId="80" fillId="6" borderId="2" xfId="2" applyFont="1" applyFill="1" applyBorder="1" applyAlignment="1">
      <alignment horizontal="left" vertical="center" wrapText="1"/>
    </xf>
    <xf numFmtId="0" fontId="73" fillId="0" borderId="4" xfId="0" quotePrefix="1" applyFont="1" applyBorder="1" applyAlignment="1">
      <alignment vertical="center"/>
    </xf>
    <xf numFmtId="0" fontId="75" fillId="0" borderId="6" xfId="0" applyFont="1" applyBorder="1" applyAlignment="1">
      <alignment vertical="top" wrapText="1"/>
    </xf>
    <xf numFmtId="43" fontId="73" fillId="0" borderId="4" xfId="1" applyFont="1" applyBorder="1"/>
    <xf numFmtId="44" fontId="73" fillId="0" borderId="4" xfId="0" applyNumberFormat="1" applyFont="1" applyBorder="1"/>
    <xf numFmtId="0" fontId="69" fillId="0" borderId="4" xfId="2" applyFont="1" applyBorder="1" applyAlignment="1">
      <alignment horizontal="left" vertical="center" wrapText="1"/>
    </xf>
    <xf numFmtId="0" fontId="68" fillId="0" borderId="5" xfId="2" applyFont="1" applyBorder="1" applyAlignment="1">
      <alignment horizontal="left" vertical="center" wrapText="1"/>
    </xf>
    <xf numFmtId="0" fontId="14" fillId="9" borderId="4" xfId="0" applyFont="1" applyFill="1" applyBorder="1"/>
    <xf numFmtId="17" fontId="14" fillId="0" borderId="4" xfId="0" applyNumberFormat="1" applyFont="1" applyBorder="1"/>
    <xf numFmtId="0" fontId="14" fillId="0" borderId="4" xfId="0" quotePrefix="1" applyFont="1" applyBorder="1" applyAlignment="1">
      <alignment horizontal="center"/>
    </xf>
    <xf numFmtId="0" fontId="66" fillId="0" borderId="4" xfId="0" applyFont="1" applyBorder="1"/>
    <xf numFmtId="0" fontId="66" fillId="0" borderId="4" xfId="0" applyFont="1" applyBorder="1" applyAlignment="1">
      <alignment horizontal="left"/>
    </xf>
    <xf numFmtId="0" fontId="66" fillId="0" borderId="4" xfId="0" applyFont="1" applyBorder="1" applyAlignment="1">
      <alignment horizontal="center"/>
    </xf>
    <xf numFmtId="0" fontId="66" fillId="0" borderId="4" xfId="0" quotePrefix="1" applyFont="1" applyBorder="1"/>
    <xf numFmtId="0" fontId="66" fillId="0" borderId="4" xfId="0" quotePrefix="1" applyFont="1" applyBorder="1" applyAlignment="1">
      <alignment horizontal="center"/>
    </xf>
    <xf numFmtId="43" fontId="66" fillId="0" borderId="4" xfId="1" applyFont="1" applyBorder="1"/>
    <xf numFmtId="0" fontId="67" fillId="0" borderId="4" xfId="0" applyFont="1" applyBorder="1"/>
    <xf numFmtId="0" fontId="63" fillId="6" borderId="9" xfId="2" applyFont="1" applyFill="1" applyBorder="1" applyAlignment="1">
      <alignment vertical="top" wrapText="1"/>
    </xf>
    <xf numFmtId="0" fontId="19" fillId="6" borderId="8" xfId="2" applyFont="1" applyFill="1" applyBorder="1" applyAlignment="1">
      <alignment horizontal="left" vertical="center" wrapText="1"/>
    </xf>
    <xf numFmtId="0" fontId="63" fillId="6" borderId="9" xfId="2" applyFont="1" applyFill="1" applyBorder="1" applyAlignment="1">
      <alignment vertical="center" wrapText="1"/>
    </xf>
    <xf numFmtId="0" fontId="19" fillId="6" borderId="4" xfId="2" applyFont="1" applyFill="1" applyBorder="1" applyAlignment="1">
      <alignment vertical="center" wrapText="1"/>
    </xf>
    <xf numFmtId="0" fontId="19" fillId="6" borderId="4" xfId="2" applyFont="1" applyFill="1" applyBorder="1" applyAlignment="1">
      <alignment horizontal="right" vertical="center" wrapText="1"/>
    </xf>
    <xf numFmtId="0" fontId="68" fillId="0" borderId="8" xfId="2" applyFont="1" applyBorder="1" applyAlignment="1">
      <alignment vertical="center" wrapText="1"/>
    </xf>
    <xf numFmtId="0" fontId="14" fillId="0" borderId="32" xfId="5" applyFont="1" applyBorder="1" applyAlignment="1">
      <alignment horizontal="center" vertical="center"/>
    </xf>
    <xf numFmtId="0" fontId="19" fillId="0" borderId="4" xfId="7" applyFont="1" applyBorder="1" applyAlignment="1">
      <alignment horizontal="center" vertical="center" wrapText="1"/>
    </xf>
    <xf numFmtId="168" fontId="19" fillId="0" borderId="4" xfId="9" applyFont="1" applyFill="1" applyBorder="1" applyAlignment="1">
      <alignment horizontal="center" vertical="center"/>
    </xf>
    <xf numFmtId="0" fontId="63" fillId="2" borderId="3" xfId="2" applyFont="1" applyFill="1" applyBorder="1" applyAlignment="1">
      <alignment vertical="center" wrapText="1"/>
    </xf>
    <xf numFmtId="0" fontId="63" fillId="2" borderId="4" xfId="2" applyFont="1" applyFill="1" applyBorder="1" applyAlignment="1">
      <alignment vertical="top" wrapText="1"/>
    </xf>
    <xf numFmtId="0" fontId="63" fillId="2" borderId="4" xfId="2" applyFont="1" applyFill="1" applyBorder="1" applyAlignment="1">
      <alignment horizontal="center" vertical="top" wrapText="1"/>
    </xf>
    <xf numFmtId="0" fontId="19" fillId="2" borderId="4" xfId="2" applyFont="1" applyFill="1" applyBorder="1" applyAlignment="1">
      <alignment horizontal="center" vertical="top" wrapText="1"/>
    </xf>
    <xf numFmtId="0" fontId="19" fillId="2" borderId="3" xfId="2" applyFont="1" applyFill="1" applyBorder="1" applyAlignment="1">
      <alignment horizontal="left" vertical="center" wrapText="1"/>
    </xf>
    <xf numFmtId="0" fontId="69" fillId="2" borderId="3" xfId="2" applyFont="1" applyFill="1" applyBorder="1" applyAlignment="1">
      <alignment horizontal="center" vertical="center" wrapText="1"/>
    </xf>
    <xf numFmtId="17" fontId="69" fillId="2" borderId="3" xfId="2" applyNumberFormat="1" applyFont="1" applyFill="1" applyBorder="1" applyAlignment="1">
      <alignment horizontal="left" vertical="center" wrapText="1"/>
    </xf>
    <xf numFmtId="0" fontId="69" fillId="2" borderId="3" xfId="2" applyFont="1" applyFill="1" applyBorder="1" applyAlignment="1">
      <alignment horizontal="left" vertical="center" wrapText="1"/>
    </xf>
    <xf numFmtId="164" fontId="69" fillId="2" borderId="3" xfId="2" applyNumberFormat="1" applyFont="1" applyFill="1" applyBorder="1" applyAlignment="1">
      <alignment horizontal="right" vertical="center" wrapText="1"/>
    </xf>
    <xf numFmtId="0" fontId="68" fillId="2" borderId="3" xfId="2" applyFont="1" applyFill="1" applyBorder="1" applyAlignment="1">
      <alignment horizontal="left" vertical="center" wrapText="1"/>
    </xf>
    <xf numFmtId="0" fontId="63" fillId="2" borderId="2" xfId="2" applyFont="1" applyFill="1" applyBorder="1" applyAlignment="1">
      <alignment vertical="center" wrapText="1"/>
    </xf>
    <xf numFmtId="0" fontId="19" fillId="2" borderId="2" xfId="2" applyFont="1" applyFill="1" applyBorder="1" applyAlignment="1">
      <alignment horizontal="left" vertical="center" wrapText="1"/>
    </xf>
    <xf numFmtId="0" fontId="69" fillId="2" borderId="2" xfId="2" applyFont="1" applyFill="1" applyBorder="1" applyAlignment="1">
      <alignment horizontal="center" vertical="center" wrapText="1"/>
    </xf>
    <xf numFmtId="17" fontId="69" fillId="2" borderId="2" xfId="2" applyNumberFormat="1" applyFont="1" applyFill="1" applyBorder="1" applyAlignment="1">
      <alignment horizontal="left" vertical="center" wrapText="1"/>
    </xf>
    <xf numFmtId="0" fontId="69" fillId="2" borderId="2" xfId="2" applyFont="1" applyFill="1" applyBorder="1" applyAlignment="1">
      <alignment horizontal="left" vertical="center" wrapText="1"/>
    </xf>
    <xf numFmtId="164" fontId="69" fillId="2" borderId="2" xfId="2" applyNumberFormat="1" applyFont="1" applyFill="1" applyBorder="1" applyAlignment="1">
      <alignment horizontal="right" vertical="center" wrapText="1"/>
    </xf>
    <xf numFmtId="0" fontId="68" fillId="2" borderId="2" xfId="2" applyFont="1" applyFill="1" applyBorder="1" applyAlignment="1">
      <alignment horizontal="left" vertical="center" wrapText="1"/>
    </xf>
    <xf numFmtId="0" fontId="63" fillId="6" borderId="5" xfId="2" applyFont="1" applyFill="1" applyBorder="1" applyAlignment="1">
      <alignment horizontal="center" vertical="top" wrapText="1"/>
    </xf>
    <xf numFmtId="17" fontId="69" fillId="6" borderId="3" xfId="2" applyNumberFormat="1" applyFont="1" applyFill="1" applyBorder="1" applyAlignment="1">
      <alignment horizontal="left" vertical="center" wrapText="1"/>
    </xf>
    <xf numFmtId="0" fontId="19" fillId="2" borderId="4" xfId="2" applyFont="1" applyFill="1" applyBorder="1" applyAlignment="1">
      <alignment vertical="center" wrapText="1"/>
    </xf>
    <xf numFmtId="0" fontId="19" fillId="2" borderId="4" xfId="2" applyFont="1" applyFill="1" applyBorder="1" applyAlignment="1">
      <alignment horizontal="right" vertical="center" wrapText="1"/>
    </xf>
    <xf numFmtId="0" fontId="61" fillId="6" borderId="0" xfId="0" applyFont="1" applyFill="1"/>
    <xf numFmtId="0" fontId="78" fillId="0" borderId="4" xfId="2" applyFont="1" applyBorder="1" applyAlignment="1">
      <alignment horizontal="left" vertical="center" wrapText="1"/>
    </xf>
    <xf numFmtId="0" fontId="79" fillId="0" borderId="5" xfId="2" applyFont="1" applyBorder="1" applyAlignment="1">
      <alignment horizontal="left" vertical="center" wrapText="1"/>
    </xf>
    <xf numFmtId="0" fontId="66" fillId="9" borderId="4" xfId="0" applyFont="1" applyFill="1" applyBorder="1"/>
    <xf numFmtId="17" fontId="66" fillId="0" borderId="4" xfId="0" applyNumberFormat="1" applyFont="1" applyBorder="1"/>
    <xf numFmtId="0" fontId="14" fillId="0" borderId="1" xfId="0" applyFont="1" applyBorder="1" applyAlignment="1">
      <alignment horizontal="center" vertical="center" wrapText="1"/>
    </xf>
    <xf numFmtId="0" fontId="14" fillId="0" borderId="30" xfId="0" applyFont="1" applyBorder="1" applyAlignment="1">
      <alignment vertical="center" wrapText="1"/>
    </xf>
    <xf numFmtId="0" fontId="14" fillId="0" borderId="1" xfId="0" applyFont="1" applyBorder="1" applyAlignment="1">
      <alignment horizontal="center" vertical="center"/>
    </xf>
    <xf numFmtId="49" fontId="14" fillId="0" borderId="1" xfId="0" applyNumberFormat="1" applyFont="1" applyBorder="1" applyAlignment="1">
      <alignment horizontal="center" vertical="center" wrapText="1"/>
    </xf>
    <xf numFmtId="0" fontId="61" fillId="0" borderId="1" xfId="0" applyFont="1" applyBorder="1"/>
    <xf numFmtId="0" fontId="76" fillId="0" borderId="4" xfId="0" applyFont="1" applyBorder="1" applyAlignment="1">
      <alignment horizontal="center" vertical="top" wrapText="1"/>
    </xf>
    <xf numFmtId="0" fontId="74" fillId="3" borderId="4" xfId="0" applyFont="1" applyFill="1" applyBorder="1" applyAlignment="1">
      <alignment horizontal="center" vertical="center" wrapText="1"/>
    </xf>
    <xf numFmtId="0" fontId="74" fillId="3" borderId="6" xfId="0" applyFont="1" applyFill="1" applyBorder="1" applyAlignment="1">
      <alignment horizontal="center" vertical="center" wrapText="1"/>
    </xf>
    <xf numFmtId="43" fontId="74" fillId="3" borderId="4" xfId="1" applyFont="1" applyFill="1" applyBorder="1" applyAlignment="1">
      <alignment horizontal="center" vertical="center" wrapText="1"/>
    </xf>
    <xf numFmtId="0" fontId="74" fillId="3" borderId="0" xfId="0" applyFont="1" applyFill="1" applyAlignment="1">
      <alignment horizontal="center" vertical="center" wrapText="1"/>
    </xf>
    <xf numFmtId="0" fontId="74" fillId="0" borderId="3" xfId="2" applyFont="1" applyBorder="1" applyAlignment="1">
      <alignment vertical="center" wrapText="1"/>
    </xf>
    <xf numFmtId="0" fontId="75" fillId="0" borderId="3" xfId="2" applyFont="1" applyBorder="1" applyAlignment="1">
      <alignment horizontal="left" vertical="center" wrapText="1"/>
    </xf>
    <xf numFmtId="0" fontId="75" fillId="0" borderId="3" xfId="2" applyFont="1" applyBorder="1" applyAlignment="1">
      <alignment horizontal="center" vertical="center" wrapText="1"/>
    </xf>
    <xf numFmtId="17" fontId="75" fillId="0" borderId="3" xfId="2" applyNumberFormat="1" applyFont="1" applyBorder="1" applyAlignment="1">
      <alignment horizontal="left" vertical="center" wrapText="1"/>
    </xf>
    <xf numFmtId="164" fontId="75" fillId="0" borderId="3" xfId="2" applyNumberFormat="1" applyFont="1" applyBorder="1" applyAlignment="1">
      <alignment horizontal="right" vertical="center" wrapText="1"/>
    </xf>
    <xf numFmtId="0" fontId="81" fillId="0" borderId="3" xfId="2" applyFont="1" applyBorder="1" applyAlignment="1">
      <alignment horizontal="left" vertical="center" wrapText="1"/>
    </xf>
    <xf numFmtId="0" fontId="80" fillId="0" borderId="4" xfId="2" applyFont="1" applyBorder="1" applyAlignment="1">
      <alignment horizontal="left" vertical="center" wrapText="1"/>
    </xf>
    <xf numFmtId="0" fontId="74" fillId="0" borderId="9" xfId="2" applyFont="1" applyBorder="1" applyAlignment="1">
      <alignment vertical="center" wrapText="1"/>
    </xf>
    <xf numFmtId="0" fontId="74" fillId="0" borderId="10" xfId="2" applyFont="1" applyBorder="1" applyAlignment="1">
      <alignment vertical="center" wrapText="1"/>
    </xf>
    <xf numFmtId="0" fontId="75" fillId="0" borderId="2" xfId="2" applyFont="1" applyBorder="1" applyAlignment="1">
      <alignment horizontal="left" vertical="center" wrapText="1"/>
    </xf>
    <xf numFmtId="0" fontId="75" fillId="0" borderId="2" xfId="2" applyFont="1" applyBorder="1" applyAlignment="1">
      <alignment horizontal="center" vertical="center" wrapText="1"/>
    </xf>
    <xf numFmtId="17" fontId="75" fillId="0" borderId="2" xfId="2" applyNumberFormat="1" applyFont="1" applyBorder="1" applyAlignment="1">
      <alignment horizontal="left" vertical="center" wrapText="1"/>
    </xf>
    <xf numFmtId="164" fontId="75" fillId="0" borderId="2" xfId="2" applyNumberFormat="1" applyFont="1" applyBorder="1" applyAlignment="1">
      <alignment horizontal="right" vertical="center" wrapText="1"/>
    </xf>
    <xf numFmtId="0" fontId="74" fillId="0" borderId="30" xfId="2" applyFont="1" applyBorder="1" applyAlignment="1">
      <alignment vertical="center" wrapText="1"/>
    </xf>
    <xf numFmtId="0" fontId="75" fillId="0" borderId="1" xfId="2" applyFont="1" applyBorder="1" applyAlignment="1">
      <alignment horizontal="left" vertical="center" wrapText="1"/>
    </xf>
    <xf numFmtId="0" fontId="75" fillId="0" borderId="1" xfId="2" applyFont="1" applyBorder="1" applyAlignment="1">
      <alignment horizontal="center" vertical="center" wrapText="1"/>
    </xf>
    <xf numFmtId="17" fontId="75" fillId="0" borderId="1" xfId="2" applyNumberFormat="1" applyFont="1" applyBorder="1" applyAlignment="1">
      <alignment horizontal="left" vertical="center" wrapText="1"/>
    </xf>
    <xf numFmtId="164" fontId="75" fillId="0" borderId="1" xfId="2" applyNumberFormat="1" applyFont="1" applyBorder="1" applyAlignment="1">
      <alignment horizontal="right" vertical="center" wrapText="1"/>
    </xf>
    <xf numFmtId="0" fontId="75" fillId="6" borderId="3" xfId="2" applyFont="1" applyFill="1" applyBorder="1" applyAlignment="1">
      <alignment horizontal="center" vertical="center" wrapText="1"/>
    </xf>
    <xf numFmtId="17" fontId="75" fillId="6" borderId="3" xfId="2" applyNumberFormat="1" applyFont="1" applyFill="1" applyBorder="1" applyAlignment="1">
      <alignment horizontal="left" vertical="center" wrapText="1"/>
    </xf>
    <xf numFmtId="164" fontId="75" fillId="6" borderId="3" xfId="2" applyNumberFormat="1" applyFont="1" applyFill="1" applyBorder="1" applyAlignment="1">
      <alignment horizontal="right" vertical="center" wrapText="1"/>
    </xf>
    <xf numFmtId="17" fontId="75" fillId="6" borderId="2" xfId="2" applyNumberFormat="1" applyFont="1" applyFill="1" applyBorder="1" applyAlignment="1">
      <alignment horizontal="left" vertical="center" wrapText="1"/>
    </xf>
    <xf numFmtId="164" fontId="75" fillId="6" borderId="2" xfId="2" applyNumberFormat="1" applyFont="1" applyFill="1" applyBorder="1" applyAlignment="1">
      <alignment horizontal="right" vertical="center" wrapText="1"/>
    </xf>
    <xf numFmtId="0" fontId="75" fillId="6" borderId="1" xfId="2" applyFont="1" applyFill="1" applyBorder="1" applyAlignment="1">
      <alignment horizontal="left" vertical="center" wrapText="1"/>
    </xf>
    <xf numFmtId="0" fontId="81" fillId="6" borderId="1" xfId="2" applyFont="1" applyFill="1" applyBorder="1" applyAlignment="1">
      <alignment horizontal="center" vertical="center" wrapText="1"/>
    </xf>
    <xf numFmtId="17" fontId="75" fillId="6" borderId="1" xfId="2" applyNumberFormat="1" applyFont="1" applyFill="1" applyBorder="1" applyAlignment="1">
      <alignment horizontal="left" vertical="center" wrapText="1"/>
    </xf>
    <xf numFmtId="164" fontId="75" fillId="6" borderId="1" xfId="2" applyNumberFormat="1" applyFont="1" applyFill="1" applyBorder="1" applyAlignment="1">
      <alignment horizontal="right" vertical="center" wrapText="1"/>
    </xf>
    <xf numFmtId="0" fontId="73" fillId="0" borderId="0" xfId="0" applyFont="1" applyAlignment="1">
      <alignment vertical="top"/>
    </xf>
    <xf numFmtId="0" fontId="73" fillId="0" borderId="4" xfId="0" applyFont="1" applyBorder="1" applyAlignment="1">
      <alignment horizontal="right" vertical="top" wrapText="1"/>
    </xf>
    <xf numFmtId="0" fontId="73" fillId="0" borderId="6" xfId="0" applyFont="1" applyBorder="1" applyAlignment="1">
      <alignment wrapText="1"/>
    </xf>
    <xf numFmtId="0" fontId="73" fillId="0" borderId="22" xfId="0" applyFont="1" applyBorder="1" applyAlignment="1">
      <alignment vertical="center"/>
    </xf>
    <xf numFmtId="0" fontId="73" fillId="0" borderId="5" xfId="6" applyFont="1" applyBorder="1" applyAlignment="1">
      <alignment horizontal="center" vertical="center"/>
    </xf>
    <xf numFmtId="17" fontId="75" fillId="0" borderId="3" xfId="11" quotePrefix="1" applyNumberFormat="1" applyFont="1" applyBorder="1" applyAlignment="1">
      <alignment horizontal="center" vertical="center" wrapText="1"/>
    </xf>
    <xf numFmtId="0" fontId="74" fillId="0" borderId="4" xfId="6" applyFont="1" applyBorder="1" applyAlignment="1">
      <alignment horizontal="center" vertical="center" wrapText="1"/>
    </xf>
    <xf numFmtId="4" fontId="73" fillId="0" borderId="4" xfId="7" applyNumberFormat="1" applyFont="1" applyBorder="1" applyAlignment="1">
      <alignment horizontal="center" vertical="center" wrapText="1"/>
    </xf>
    <xf numFmtId="0" fontId="73" fillId="0" borderId="4" xfId="6" applyFont="1" applyBorder="1"/>
    <xf numFmtId="0" fontId="73" fillId="0" borderId="4" xfId="6" applyFont="1" applyBorder="1" applyAlignment="1">
      <alignment vertical="center"/>
    </xf>
    <xf numFmtId="14" fontId="73" fillId="0" borderId="4" xfId="6" applyNumberFormat="1" applyFont="1" applyBorder="1" applyAlignment="1">
      <alignment horizontal="center" vertical="center"/>
    </xf>
    <xf numFmtId="17" fontId="73" fillId="0" borderId="4" xfId="6" applyNumberFormat="1" applyFont="1" applyBorder="1" applyAlignment="1">
      <alignment horizontal="center" vertical="center"/>
    </xf>
    <xf numFmtId="168" fontId="75" fillId="0" borderId="4" xfId="10" applyFont="1" applyFill="1" applyBorder="1" applyAlignment="1">
      <alignment horizontal="left" vertical="center" wrapText="1"/>
    </xf>
    <xf numFmtId="0" fontId="74" fillId="0" borderId="4" xfId="6" applyFont="1" applyBorder="1" applyAlignment="1">
      <alignment vertical="center" wrapText="1"/>
    </xf>
    <xf numFmtId="0" fontId="73" fillId="0" borderId="4" xfId="5" applyFont="1" applyBorder="1" applyAlignment="1">
      <alignment horizontal="left" vertical="center"/>
    </xf>
    <xf numFmtId="0" fontId="73" fillId="0" borderId="4" xfId="13" applyFont="1" applyBorder="1" applyAlignment="1">
      <alignment horizontal="left" vertical="center"/>
    </xf>
    <xf numFmtId="0" fontId="75" fillId="0" borderId="4" xfId="0" applyFont="1" applyBorder="1" applyAlignment="1">
      <alignment horizontal="center" vertical="center"/>
    </xf>
    <xf numFmtId="0" fontId="75" fillId="0" borderId="4" xfId="0" applyFont="1" applyBorder="1" applyAlignment="1">
      <alignment vertical="center"/>
    </xf>
    <xf numFmtId="0" fontId="80" fillId="0" borderId="4" xfId="2" applyFont="1" applyBorder="1" applyAlignment="1">
      <alignment vertical="top" wrapText="1"/>
    </xf>
    <xf numFmtId="0" fontId="80" fillId="0" borderId="4" xfId="2" applyFont="1" applyBorder="1" applyAlignment="1">
      <alignment horizontal="left" vertical="top" wrapText="1"/>
    </xf>
    <xf numFmtId="0" fontId="81" fillId="0" borderId="4" xfId="2" applyFont="1" applyBorder="1" applyAlignment="1">
      <alignment horizontal="left" vertical="top" wrapText="1"/>
    </xf>
    <xf numFmtId="0" fontId="81" fillId="0" borderId="4" xfId="2" applyFont="1" applyBorder="1" applyAlignment="1">
      <alignment horizontal="center" vertical="top" wrapText="1"/>
    </xf>
    <xf numFmtId="49" fontId="81" fillId="0" borderId="4" xfId="2" applyNumberFormat="1" applyFont="1" applyBorder="1" applyAlignment="1">
      <alignment horizontal="center" vertical="top" wrapText="1"/>
    </xf>
    <xf numFmtId="165" fontId="81" fillId="2" borderId="4" xfId="2" applyNumberFormat="1" applyFont="1" applyFill="1" applyBorder="1" applyAlignment="1">
      <alignment horizontal="center" vertical="top" wrapText="1"/>
    </xf>
    <xf numFmtId="0" fontId="80" fillId="0" borderId="4" xfId="2" applyFont="1" applyBorder="1" applyAlignment="1">
      <alignment horizontal="center" vertical="top" wrapText="1"/>
    </xf>
    <xf numFmtId="0" fontId="74" fillId="6" borderId="6" xfId="2" applyFont="1" applyFill="1" applyBorder="1" applyAlignment="1">
      <alignment horizontal="center" vertical="top" wrapText="1"/>
    </xf>
    <xf numFmtId="0" fontId="80" fillId="6" borderId="4" xfId="2" applyFont="1" applyFill="1" applyBorder="1" applyAlignment="1">
      <alignment horizontal="left" vertical="center" wrapText="1"/>
    </xf>
    <xf numFmtId="0" fontId="74" fillId="6" borderId="5" xfId="2" applyFont="1" applyFill="1" applyBorder="1" applyAlignment="1">
      <alignment horizontal="center" vertical="top" wrapText="1"/>
    </xf>
    <xf numFmtId="0" fontId="73" fillId="0" borderId="4" xfId="5" applyFont="1" applyBorder="1" applyAlignment="1">
      <alignment horizontal="center" vertical="center"/>
    </xf>
    <xf numFmtId="168" fontId="75" fillId="0" borderId="4" xfId="9" applyFont="1" applyFill="1" applyBorder="1" applyAlignment="1">
      <alignment horizontal="center" vertical="center"/>
    </xf>
    <xf numFmtId="0" fontId="74" fillId="12" borderId="4" xfId="0" applyFont="1" applyFill="1" applyBorder="1" applyAlignment="1">
      <alignment horizontal="center" vertical="center" wrapText="1"/>
    </xf>
    <xf numFmtId="14" fontId="74" fillId="12" borderId="4" xfId="0" applyNumberFormat="1" applyFont="1" applyFill="1" applyBorder="1" applyAlignment="1">
      <alignment horizontal="center" vertical="center" wrapText="1"/>
    </xf>
    <xf numFmtId="14" fontId="74" fillId="12" borderId="4" xfId="0" applyNumberFormat="1" applyFont="1" applyFill="1" applyBorder="1" applyAlignment="1">
      <alignment horizontal="left" vertical="center" wrapText="1" indent="1"/>
    </xf>
    <xf numFmtId="0" fontId="74" fillId="12" borderId="4" xfId="0" applyFont="1" applyFill="1" applyBorder="1" applyAlignment="1">
      <alignment horizontal="left" vertical="center" wrapText="1" indent="1"/>
    </xf>
    <xf numFmtId="0" fontId="73" fillId="0" borderId="15" xfId="0" applyFont="1" applyBorder="1" applyAlignment="1">
      <alignment vertical="center" wrapText="1"/>
    </xf>
    <xf numFmtId="0" fontId="76" fillId="3" borderId="4" xfId="0" applyFont="1" applyFill="1" applyBorder="1" applyAlignment="1">
      <alignment horizontal="center" vertical="center" wrapText="1"/>
    </xf>
    <xf numFmtId="0" fontId="73" fillId="0" borderId="0" xfId="0" applyFont="1" applyAlignment="1">
      <alignment horizontal="center" vertical="top" wrapText="1"/>
    </xf>
    <xf numFmtId="168" fontId="73" fillId="0" borderId="4" xfId="9" applyFont="1" applyFill="1" applyBorder="1" applyAlignment="1">
      <alignment horizontal="center" vertical="center"/>
    </xf>
    <xf numFmtId="0" fontId="75" fillId="0" borderId="6" xfId="0" applyFont="1" applyBorder="1" applyAlignment="1">
      <alignment vertical="center"/>
    </xf>
    <xf numFmtId="0" fontId="75" fillId="0" borderId="20" xfId="0" applyFont="1" applyBorder="1" applyAlignment="1">
      <alignment vertical="center"/>
    </xf>
    <xf numFmtId="0" fontId="75" fillId="0" borderId="33" xfId="0" applyFont="1" applyBorder="1" applyAlignment="1">
      <alignment vertical="center"/>
    </xf>
    <xf numFmtId="4" fontId="74" fillId="12" borderId="4" xfId="0" applyNumberFormat="1" applyFont="1" applyFill="1" applyBorder="1" applyAlignment="1">
      <alignment horizontal="right" vertical="center" wrapText="1" indent="1"/>
    </xf>
    <xf numFmtId="0" fontId="74" fillId="2" borderId="4" xfId="0" applyFont="1" applyFill="1" applyBorder="1" applyAlignment="1">
      <alignment horizontal="center" vertical="top" wrapText="1"/>
    </xf>
    <xf numFmtId="0" fontId="74" fillId="2" borderId="4" xfId="2" applyFont="1" applyFill="1" applyBorder="1" applyAlignment="1">
      <alignment vertical="top" wrapText="1"/>
    </xf>
    <xf numFmtId="0" fontId="74" fillId="0" borderId="3" xfId="0" applyFont="1" applyBorder="1" applyAlignment="1">
      <alignment horizontal="center" vertical="top" wrapText="1"/>
    </xf>
    <xf numFmtId="0" fontId="74" fillId="6" borderId="3" xfId="2" applyFont="1" applyFill="1" applyBorder="1" applyAlignment="1">
      <alignment vertical="top" wrapText="1"/>
    </xf>
    <xf numFmtId="0" fontId="74" fillId="6" borderId="3" xfId="2" applyFont="1" applyFill="1" applyBorder="1" applyAlignment="1">
      <alignment horizontal="center" vertical="top" wrapText="1"/>
    </xf>
    <xf numFmtId="0" fontId="75" fillId="6" borderId="3" xfId="2" applyFont="1" applyFill="1" applyBorder="1" applyAlignment="1">
      <alignment horizontal="center" vertical="top" wrapText="1"/>
    </xf>
    <xf numFmtId="0" fontId="73" fillId="0" borderId="1" xfId="0" applyFont="1" applyBorder="1" applyAlignment="1">
      <alignment vertical="top"/>
    </xf>
    <xf numFmtId="0" fontId="81" fillId="6" borderId="4" xfId="2" applyFont="1" applyFill="1" applyBorder="1" applyAlignment="1">
      <alignment horizontal="center" vertical="center" wrapText="1"/>
    </xf>
    <xf numFmtId="17" fontId="81" fillId="6" borderId="4" xfId="2" applyNumberFormat="1" applyFont="1" applyFill="1" applyBorder="1" applyAlignment="1">
      <alignment horizontal="left" vertical="center" wrapText="1"/>
    </xf>
    <xf numFmtId="0" fontId="81" fillId="6" borderId="4" xfId="2" applyFont="1" applyFill="1" applyBorder="1" applyAlignment="1">
      <alignment horizontal="left" vertical="center" wrapText="1"/>
    </xf>
    <xf numFmtId="164" fontId="81" fillId="6" borderId="4" xfId="2" applyNumberFormat="1" applyFont="1" applyFill="1" applyBorder="1" applyAlignment="1">
      <alignment horizontal="right" vertical="center" wrapText="1"/>
    </xf>
    <xf numFmtId="0" fontId="74" fillId="2" borderId="4" xfId="2" applyFont="1" applyFill="1" applyBorder="1" applyAlignment="1">
      <alignment vertical="center" wrapText="1"/>
    </xf>
    <xf numFmtId="0" fontId="74" fillId="2" borderId="4" xfId="2" applyFont="1" applyFill="1" applyBorder="1" applyAlignment="1">
      <alignment horizontal="center" vertical="top" wrapText="1"/>
    </xf>
    <xf numFmtId="0" fontId="75" fillId="2" borderId="4" xfId="2" applyFont="1" applyFill="1" applyBorder="1" applyAlignment="1">
      <alignment horizontal="center" vertical="top" wrapText="1"/>
    </xf>
    <xf numFmtId="0" fontId="75" fillId="2" borderId="4" xfId="2" applyFont="1" applyFill="1" applyBorder="1" applyAlignment="1">
      <alignment horizontal="left" vertical="center" wrapText="1"/>
    </xf>
    <xf numFmtId="0" fontId="81" fillId="2" borderId="4" xfId="2" applyFont="1" applyFill="1" applyBorder="1" applyAlignment="1">
      <alignment horizontal="center" vertical="center" wrapText="1"/>
    </xf>
    <xf numFmtId="17" fontId="81" fillId="2" borderId="4" xfId="2" applyNumberFormat="1" applyFont="1" applyFill="1" applyBorder="1" applyAlignment="1">
      <alignment horizontal="left" vertical="center" wrapText="1"/>
    </xf>
    <xf numFmtId="0" fontId="81" fillId="2" borderId="4" xfId="2" applyFont="1" applyFill="1" applyBorder="1" applyAlignment="1">
      <alignment horizontal="left" vertical="center" wrapText="1"/>
    </xf>
    <xf numFmtId="164" fontId="81" fillId="2" borderId="4" xfId="2" applyNumberFormat="1" applyFont="1" applyFill="1" applyBorder="1" applyAlignment="1">
      <alignment horizontal="right" vertical="center" wrapText="1"/>
    </xf>
    <xf numFmtId="0" fontId="80" fillId="2" borderId="4" xfId="2" applyFont="1" applyFill="1" applyBorder="1" applyAlignment="1">
      <alignment horizontal="left" vertical="center" wrapText="1"/>
    </xf>
    <xf numFmtId="0" fontId="82" fillId="12" borderId="1" xfId="0" applyFont="1" applyFill="1" applyBorder="1" applyAlignment="1">
      <alignment horizontal="left" vertical="center" wrapText="1"/>
    </xf>
    <xf numFmtId="0" fontId="51" fillId="12" borderId="30" xfId="0" applyFont="1" applyFill="1" applyBorder="1" applyAlignment="1">
      <alignment horizontal="center" vertical="center" wrapText="1"/>
    </xf>
    <xf numFmtId="0" fontId="51" fillId="12" borderId="30" xfId="0" applyFont="1" applyFill="1" applyBorder="1" applyAlignment="1">
      <alignment horizontal="left" vertical="center" wrapText="1"/>
    </xf>
    <xf numFmtId="0" fontId="51" fillId="12" borderId="7" xfId="0" applyFont="1" applyFill="1" applyBorder="1" applyAlignment="1">
      <alignment horizontal="left" vertical="center" wrapText="1"/>
    </xf>
    <xf numFmtId="0" fontId="51" fillId="12" borderId="32" xfId="0" applyFont="1" applyFill="1" applyBorder="1" applyAlignment="1">
      <alignment horizontal="left" vertical="center" wrapText="1"/>
    </xf>
    <xf numFmtId="14" fontId="56" fillId="12" borderId="2" xfId="0" applyNumberFormat="1" applyFont="1" applyFill="1" applyBorder="1" applyAlignment="1">
      <alignment horizontal="left" vertical="center" wrapText="1"/>
    </xf>
    <xf numFmtId="14" fontId="56" fillId="12" borderId="0" xfId="0" applyNumberFormat="1" applyFont="1" applyFill="1" applyAlignment="1">
      <alignment horizontal="left" vertical="center" wrapText="1" indent="1"/>
    </xf>
    <xf numFmtId="0" fontId="56" fillId="12" borderId="2" xfId="0" applyFont="1" applyFill="1" applyBorder="1" applyAlignment="1">
      <alignment horizontal="left" vertical="center" wrapText="1" indent="1"/>
    </xf>
    <xf numFmtId="0" fontId="83" fillId="12" borderId="7" xfId="0" applyFont="1" applyFill="1" applyBorder="1" applyAlignment="1">
      <alignment horizontal="left" vertical="center" wrapText="1" indent="1"/>
    </xf>
    <xf numFmtId="43" fontId="38" fillId="12" borderId="1" xfId="1" applyFont="1" applyFill="1" applyBorder="1" applyAlignment="1">
      <alignment horizontal="left" vertical="center" wrapText="1" indent="1"/>
    </xf>
    <xf numFmtId="0" fontId="56" fillId="12" borderId="7" xfId="0" applyFont="1" applyFill="1" applyBorder="1" applyAlignment="1">
      <alignment horizontal="left" vertical="center" wrapText="1"/>
    </xf>
    <xf numFmtId="0" fontId="56" fillId="12" borderId="1" xfId="0" applyFont="1" applyFill="1" applyBorder="1" applyAlignment="1">
      <alignment horizontal="left" vertical="center" wrapText="1"/>
    </xf>
    <xf numFmtId="167" fontId="0" fillId="0" borderId="4" xfId="0" applyNumberFormat="1" applyBorder="1"/>
    <xf numFmtId="0" fontId="25" fillId="0" borderId="4" xfId="7" applyFont="1" applyBorder="1" applyAlignment="1">
      <alignment horizontal="center" vertical="center" wrapText="1"/>
    </xf>
    <xf numFmtId="0" fontId="23" fillId="0" borderId="4" xfId="7" applyFont="1" applyBorder="1" applyAlignment="1">
      <alignment vertical="center" wrapText="1"/>
    </xf>
    <xf numFmtId="0" fontId="57" fillId="12" borderId="4" xfId="0" applyFont="1" applyFill="1" applyBorder="1" applyAlignment="1">
      <alignment horizontal="center" vertical="center" wrapText="1"/>
    </xf>
    <xf numFmtId="14" fontId="57" fillId="12" borderId="4" xfId="0" applyNumberFormat="1" applyFont="1" applyFill="1" applyBorder="1" applyAlignment="1">
      <alignment horizontal="center" vertical="center" wrapText="1"/>
    </xf>
    <xf numFmtId="14" fontId="57" fillId="12" borderId="4" xfId="0" applyNumberFormat="1" applyFont="1" applyFill="1" applyBorder="1" applyAlignment="1">
      <alignment horizontal="left" vertical="center" wrapText="1" indent="1"/>
    </xf>
    <xf numFmtId="0" fontId="57" fillId="12" borderId="4" xfId="0" applyFont="1" applyFill="1" applyBorder="1" applyAlignment="1">
      <alignment horizontal="left" vertical="center" wrapText="1" indent="1"/>
    </xf>
    <xf numFmtId="0" fontId="84" fillId="12" borderId="4" xfId="0" applyFont="1" applyFill="1" applyBorder="1" applyAlignment="1">
      <alignment horizontal="left" vertical="center" wrapText="1" indent="1"/>
    </xf>
    <xf numFmtId="43" fontId="39" fillId="0" borderId="4" xfId="0" applyNumberFormat="1" applyFont="1" applyBorder="1" applyAlignment="1">
      <alignment horizontal="center" vertical="center"/>
    </xf>
    <xf numFmtId="0" fontId="85" fillId="12" borderId="4" xfId="0" applyFont="1" applyFill="1" applyBorder="1" applyAlignment="1">
      <alignment horizontal="center" vertical="center" wrapText="1"/>
    </xf>
    <xf numFmtId="0" fontId="56" fillId="12" borderId="4" xfId="0" applyFont="1" applyFill="1" applyBorder="1" applyAlignment="1">
      <alignment horizontal="center" vertical="center" wrapText="1"/>
    </xf>
    <xf numFmtId="167" fontId="43" fillId="0" borderId="4" xfId="1" applyNumberFormat="1" applyFont="1" applyBorder="1" applyAlignment="1">
      <alignment vertical="center"/>
    </xf>
    <xf numFmtId="43" fontId="2" fillId="0" borderId="4" xfId="1" applyFont="1" applyBorder="1" applyAlignment="1">
      <alignment horizontal="center" vertical="center"/>
    </xf>
    <xf numFmtId="0" fontId="59" fillId="12" borderId="4" xfId="0" applyFont="1" applyFill="1" applyBorder="1" applyAlignment="1">
      <alignment horizontal="center" vertical="center" wrapText="1"/>
    </xf>
    <xf numFmtId="0" fontId="25" fillId="0" borderId="3" xfId="7" applyFont="1" applyBorder="1" applyAlignment="1">
      <alignment horizontal="center" vertical="center" wrapText="1"/>
    </xf>
    <xf numFmtId="0" fontId="86" fillId="0" borderId="4" xfId="12" applyFont="1" applyBorder="1" applyAlignment="1">
      <alignment horizontal="left" vertical="center"/>
    </xf>
    <xf numFmtId="4" fontId="25" fillId="0" borderId="4" xfId="7" applyNumberFormat="1" applyFont="1" applyBorder="1" applyAlignment="1">
      <alignment horizontal="center" vertical="center" wrapText="1"/>
    </xf>
    <xf numFmtId="0" fontId="87" fillId="0" borderId="4" xfId="7" applyFont="1" applyBorder="1" applyAlignment="1">
      <alignment vertical="center" wrapText="1"/>
    </xf>
    <xf numFmtId="0" fontId="23" fillId="0" borderId="4" xfId="0" applyFont="1" applyBorder="1" applyAlignment="1">
      <alignment horizontal="left" vertical="center"/>
    </xf>
    <xf numFmtId="0" fontId="25" fillId="0" borderId="4" xfId="0" applyFont="1" applyBorder="1" applyAlignment="1">
      <alignment horizontal="center" vertical="center"/>
    </xf>
    <xf numFmtId="0" fontId="23" fillId="0" borderId="4" xfId="0" applyFont="1" applyBorder="1" applyAlignment="1">
      <alignment horizontal="left" vertical="center" wrapText="1"/>
    </xf>
    <xf numFmtId="167" fontId="88" fillId="0" borderId="4" xfId="1" applyNumberFormat="1" applyFont="1" applyBorder="1" applyAlignment="1">
      <alignment vertical="center"/>
    </xf>
    <xf numFmtId="43" fontId="39" fillId="0" borderId="4" xfId="1" applyFont="1" applyBorder="1" applyAlignment="1">
      <alignment horizontal="center" vertical="center"/>
    </xf>
    <xf numFmtId="0" fontId="61" fillId="2" borderId="0" xfId="0" applyFont="1" applyFill="1"/>
    <xf numFmtId="0" fontId="89" fillId="0" borderId="4" xfId="0" applyFont="1" applyBorder="1" applyAlignment="1">
      <alignment vertical="center" wrapText="1"/>
    </xf>
    <xf numFmtId="0" fontId="90" fillId="0" borderId="4" xfId="0" applyFont="1" applyBorder="1" applyAlignment="1">
      <alignment horizontal="center" vertical="center" wrapText="1"/>
    </xf>
    <xf numFmtId="0" fontId="91" fillId="0" borderId="4" xfId="0" applyFont="1" applyBorder="1"/>
    <xf numFmtId="0" fontId="92" fillId="0" borderId="4" xfId="0" applyFont="1" applyBorder="1"/>
    <xf numFmtId="43" fontId="91" fillId="0" borderId="4" xfId="1" applyFont="1" applyBorder="1"/>
    <xf numFmtId="0" fontId="6" fillId="0" borderId="4" xfId="0" applyFont="1" applyBorder="1"/>
    <xf numFmtId="0" fontId="93" fillId="12" borderId="4" xfId="0" applyFont="1" applyFill="1" applyBorder="1" applyAlignment="1">
      <alignment horizontal="center" vertical="center" wrapText="1"/>
    </xf>
    <xf numFmtId="0" fontId="89" fillId="0" borderId="3" xfId="0" applyFont="1" applyBorder="1" applyAlignment="1">
      <alignment vertical="center" wrapText="1"/>
    </xf>
    <xf numFmtId="0" fontId="92" fillId="0" borderId="3" xfId="0" applyFont="1" applyBorder="1" applyAlignment="1">
      <alignment vertical="center"/>
    </xf>
    <xf numFmtId="0" fontId="57" fillId="12" borderId="3" xfId="0" applyFont="1" applyFill="1" applyBorder="1" applyAlignment="1">
      <alignment horizontal="center" vertical="center" wrapText="1"/>
    </xf>
    <xf numFmtId="14" fontId="57" fillId="12" borderId="3" xfId="0" applyNumberFormat="1" applyFont="1" applyFill="1" applyBorder="1" applyAlignment="1">
      <alignment horizontal="center" vertical="center" wrapText="1"/>
    </xf>
    <xf numFmtId="43" fontId="38" fillId="12" borderId="3" xfId="1" applyFont="1" applyFill="1" applyBorder="1" applyAlignment="1">
      <alignment horizontal="left" vertical="center" wrapText="1" indent="1"/>
    </xf>
    <xf numFmtId="0" fontId="85" fillId="12" borderId="3" xfId="0" applyFont="1" applyFill="1" applyBorder="1" applyAlignment="1">
      <alignment horizontal="center" vertical="center" wrapText="1"/>
    </xf>
    <xf numFmtId="0" fontId="56" fillId="12" borderId="3" xfId="0" applyFont="1" applyFill="1" applyBorder="1" applyAlignment="1">
      <alignment horizontal="center" vertical="center" wrapText="1"/>
    </xf>
    <xf numFmtId="0" fontId="66" fillId="2" borderId="4" xfId="0" applyFont="1" applyFill="1" applyBorder="1"/>
    <xf numFmtId="0" fontId="91" fillId="0" borderId="5" xfId="0" applyFont="1" applyBorder="1"/>
    <xf numFmtId="0" fontId="38" fillId="12" borderId="4" xfId="0" applyFont="1" applyFill="1" applyBorder="1" applyAlignment="1">
      <alignment horizontal="left" vertical="center" wrapText="1" indent="1"/>
    </xf>
    <xf numFmtId="0" fontId="92" fillId="0" borderId="4" xfId="0" applyFont="1" applyBorder="1" applyAlignment="1">
      <alignment vertical="center"/>
    </xf>
    <xf numFmtId="0" fontId="94" fillId="0" borderId="4" xfId="0" applyFont="1" applyBorder="1" applyAlignment="1">
      <alignment horizontal="center" vertical="center" wrapText="1"/>
    </xf>
    <xf numFmtId="0" fontId="91" fillId="0" borderId="30" xfId="0" applyFont="1" applyBorder="1" applyAlignment="1">
      <alignment wrapText="1"/>
    </xf>
    <xf numFmtId="43" fontId="92" fillId="0" borderId="30" xfId="1" applyFont="1" applyBorder="1"/>
    <xf numFmtId="0" fontId="2" fillId="12" borderId="4" xfId="0" applyFont="1" applyFill="1" applyBorder="1" applyAlignment="1">
      <alignment horizontal="left" vertical="center" wrapText="1" indent="1"/>
    </xf>
    <xf numFmtId="0" fontId="95" fillId="0" borderId="10" xfId="0" applyFont="1" applyBorder="1" applyAlignment="1">
      <alignment vertical="center"/>
    </xf>
    <xf numFmtId="4" fontId="38" fillId="12" borderId="4" xfId="0" applyNumberFormat="1" applyFont="1" applyFill="1" applyBorder="1" applyAlignment="1">
      <alignment horizontal="right" vertical="center" wrapText="1" indent="1"/>
    </xf>
    <xf numFmtId="0" fontId="14" fillId="0" borderId="0" xfId="7" applyFont="1" applyAlignment="1">
      <alignment horizontal="center" vertical="center" wrapText="1"/>
    </xf>
    <xf numFmtId="0" fontId="19" fillId="0" borderId="0" xfId="0" applyFont="1" applyAlignment="1">
      <alignment vertical="center"/>
    </xf>
    <xf numFmtId="0" fontId="63" fillId="12" borderId="0" xfId="0" applyFont="1" applyFill="1" applyAlignment="1">
      <alignment horizontal="center" vertical="center" wrapText="1"/>
    </xf>
    <xf numFmtId="14" fontId="63" fillId="12" borderId="0" xfId="0" applyNumberFormat="1" applyFont="1" applyFill="1" applyAlignment="1">
      <alignment horizontal="center" vertical="center" wrapText="1"/>
    </xf>
    <xf numFmtId="14" fontId="63" fillId="12" borderId="0" xfId="0" applyNumberFormat="1" applyFont="1" applyFill="1" applyAlignment="1">
      <alignment horizontal="left" vertical="center" wrapText="1" indent="1"/>
    </xf>
    <xf numFmtId="0" fontId="63" fillId="12" borderId="0" xfId="0" applyFont="1" applyFill="1" applyAlignment="1">
      <alignment horizontal="left" vertical="center" wrapText="1" indent="1"/>
    </xf>
    <xf numFmtId="4" fontId="63" fillId="12" borderId="0" xfId="0" applyNumberFormat="1" applyFont="1" applyFill="1" applyAlignment="1">
      <alignment horizontal="right" vertical="center" wrapText="1" indent="1"/>
    </xf>
    <xf numFmtId="43" fontId="92" fillId="0" borderId="4" xfId="1" applyFont="1" applyBorder="1"/>
    <xf numFmtId="43" fontId="38" fillId="12" borderId="4" xfId="1" applyFont="1" applyFill="1" applyBorder="1" applyAlignment="1">
      <alignment horizontal="left" vertical="center" wrapText="1" indent="1"/>
    </xf>
    <xf numFmtId="4" fontId="58" fillId="12" borderId="4" xfId="0" applyNumberFormat="1" applyFont="1" applyFill="1" applyBorder="1" applyAlignment="1">
      <alignment horizontal="right" vertical="center" wrapText="1" indent="1"/>
    </xf>
    <xf numFmtId="43" fontId="14" fillId="0" borderId="20" xfId="1" applyFont="1" applyBorder="1" applyAlignment="1">
      <alignment vertical="center"/>
    </xf>
    <xf numFmtId="43" fontId="14" fillId="2" borderId="20" xfId="1" applyFont="1" applyFill="1" applyBorder="1" applyAlignment="1">
      <alignment vertical="center"/>
    </xf>
    <xf numFmtId="43" fontId="14" fillId="2" borderId="36" xfId="1" applyFont="1" applyFill="1" applyBorder="1" applyAlignment="1">
      <alignment vertical="center"/>
    </xf>
    <xf numFmtId="167" fontId="88" fillId="0" borderId="14" xfId="1" applyNumberFormat="1" applyFont="1" applyBorder="1" applyAlignment="1">
      <alignment vertical="center"/>
    </xf>
    <xf numFmtId="0" fontId="96" fillId="12" borderId="4" xfId="0" applyFont="1" applyFill="1" applyBorder="1" applyAlignment="1">
      <alignment horizontal="center" vertical="center" wrapText="1"/>
    </xf>
    <xf numFmtId="0" fontId="84" fillId="12" borderId="4" xfId="0" applyFont="1" applyFill="1" applyBorder="1" applyAlignment="1">
      <alignment horizontal="center" vertical="center" wrapText="1"/>
    </xf>
    <xf numFmtId="0" fontId="56" fillId="12" borderId="15" xfId="0" applyFont="1" applyFill="1" applyBorder="1" applyAlignment="1">
      <alignment horizontal="center" vertical="center" wrapText="1"/>
    </xf>
    <xf numFmtId="0" fontId="44" fillId="0" borderId="14" xfId="7" applyFont="1" applyBorder="1" applyAlignment="1">
      <alignment horizontal="center" vertical="center" wrapText="1"/>
    </xf>
    <xf numFmtId="43" fontId="60" fillId="0" borderId="4" xfId="1" applyFont="1" applyFill="1" applyBorder="1" applyAlignment="1">
      <alignment horizontal="left" vertical="center" wrapText="1"/>
    </xf>
    <xf numFmtId="43" fontId="60" fillId="0" borderId="4" xfId="1" applyFont="1" applyFill="1" applyBorder="1" applyAlignment="1">
      <alignment vertical="center" wrapText="1"/>
    </xf>
    <xf numFmtId="0" fontId="44" fillId="0" borderId="6" xfId="7" applyFont="1" applyBorder="1" applyAlignment="1">
      <alignment horizontal="center" vertical="center" wrapText="1"/>
    </xf>
    <xf numFmtId="0" fontId="56" fillId="12" borderId="33" xfId="0" applyFont="1" applyFill="1" applyBorder="1" applyAlignment="1">
      <alignment horizontal="center" vertical="center" wrapText="1"/>
    </xf>
    <xf numFmtId="0" fontId="89" fillId="0" borderId="14" xfId="0" applyFont="1" applyBorder="1" applyAlignment="1">
      <alignment vertical="center" wrapText="1"/>
    </xf>
    <xf numFmtId="0" fontId="91" fillId="0" borderId="6" xfId="0" applyFont="1" applyBorder="1" applyAlignment="1">
      <alignment vertical="center"/>
    </xf>
    <xf numFmtId="0" fontId="91" fillId="0" borderId="20" xfId="0" applyFont="1" applyBorder="1" applyAlignment="1">
      <alignment vertical="center"/>
    </xf>
    <xf numFmtId="0" fontId="91" fillId="0" borderId="33" xfId="0" applyFont="1" applyBorder="1" applyAlignment="1">
      <alignment vertical="center"/>
    </xf>
    <xf numFmtId="0" fontId="89" fillId="0" borderId="15" xfId="0" applyFont="1" applyBorder="1" applyAlignment="1">
      <alignment vertical="center" wrapText="1"/>
    </xf>
    <xf numFmtId="0" fontId="83" fillId="12" borderId="0" xfId="0" applyFont="1" applyFill="1" applyAlignment="1">
      <alignment horizontal="left" vertical="center" wrapText="1" indent="1"/>
    </xf>
    <xf numFmtId="0" fontId="41" fillId="0" borderId="4" xfId="0" applyFont="1" applyBorder="1" applyAlignment="1">
      <alignment horizontal="center" vertical="center"/>
    </xf>
    <xf numFmtId="0" fontId="26" fillId="0" borderId="1" xfId="7" applyFont="1" applyBorder="1" applyAlignment="1">
      <alignment horizontal="left" vertical="center" wrapText="1"/>
    </xf>
    <xf numFmtId="43" fontId="43" fillId="0" borderId="5" xfId="1" applyFont="1" applyBorder="1" applyAlignment="1">
      <alignment vertical="center"/>
    </xf>
    <xf numFmtId="0" fontId="97" fillId="0" borderId="4" xfId="14" applyFont="1" applyBorder="1" applyAlignment="1">
      <alignment horizontal="left"/>
    </xf>
    <xf numFmtId="0" fontId="26" fillId="0" borderId="4" xfId="7" applyFont="1" applyBorder="1" applyAlignment="1">
      <alignment horizontal="left" vertical="center" wrapText="1"/>
    </xf>
    <xf numFmtId="0" fontId="41" fillId="0" borderId="6" xfId="0" applyFont="1" applyBorder="1" applyAlignment="1">
      <alignment horizontal="center" vertical="center"/>
    </xf>
    <xf numFmtId="43" fontId="43" fillId="0" borderId="0" xfId="1" applyFont="1" applyAlignment="1">
      <alignment vertical="center"/>
    </xf>
    <xf numFmtId="0" fontId="98" fillId="0" borderId="4" xfId="7" applyFont="1" applyBorder="1" applyAlignment="1">
      <alignment horizontal="center" vertical="center" wrapText="1"/>
    </xf>
    <xf numFmtId="43" fontId="43" fillId="0" borderId="5" xfId="1" applyFont="1" applyBorder="1" applyAlignment="1">
      <alignment horizontal="right" vertical="center"/>
    </xf>
    <xf numFmtId="43" fontId="88" fillId="0" borderId="5" xfId="1" applyFont="1" applyBorder="1" applyAlignment="1">
      <alignment vertical="center"/>
    </xf>
    <xf numFmtId="43" fontId="88" fillId="0" borderId="4" xfId="1" applyFont="1" applyBorder="1" applyAlignment="1">
      <alignment vertical="center"/>
    </xf>
    <xf numFmtId="0" fontId="97" fillId="0" borderId="4" xfId="14" applyFont="1" applyBorder="1" applyAlignment="1">
      <alignment horizontal="left" vertical="center"/>
    </xf>
    <xf numFmtId="0" fontId="63" fillId="2" borderId="4" xfId="2" applyFont="1" applyFill="1" applyBorder="1" applyAlignment="1">
      <alignment horizontal="left" vertical="center" wrapText="1"/>
    </xf>
    <xf numFmtId="0" fontId="68" fillId="2" borderId="5" xfId="2" applyFont="1" applyFill="1" applyBorder="1" applyAlignment="1">
      <alignment vertical="top" wrapText="1"/>
    </xf>
    <xf numFmtId="0" fontId="19" fillId="2" borderId="4" xfId="2" applyFont="1" applyFill="1" applyBorder="1" applyAlignment="1">
      <alignment horizontal="left" vertical="center" wrapText="1"/>
    </xf>
    <xf numFmtId="0" fontId="69" fillId="2" borderId="4" xfId="2" applyFont="1" applyFill="1" applyBorder="1" applyAlignment="1">
      <alignment horizontal="left" vertical="top" wrapText="1"/>
    </xf>
    <xf numFmtId="165" fontId="19" fillId="2" borderId="4" xfId="2" applyNumberFormat="1" applyFont="1" applyFill="1" applyBorder="1" applyAlignment="1">
      <alignment horizontal="right" vertical="center" wrapText="1"/>
    </xf>
    <xf numFmtId="0" fontId="68" fillId="2" borderId="5" xfId="2" applyFont="1" applyFill="1" applyBorder="1" applyAlignment="1">
      <alignment horizontal="left" vertical="center" wrapText="1"/>
    </xf>
    <xf numFmtId="0" fontId="14" fillId="2" borderId="2" xfId="6" applyFont="1" applyFill="1" applyBorder="1" applyAlignment="1">
      <alignment vertical="top" wrapText="1"/>
    </xf>
    <xf numFmtId="0" fontId="14" fillId="2" borderId="1" xfId="6" applyFont="1" applyFill="1" applyBorder="1" applyAlignment="1">
      <alignment vertical="top" wrapText="1"/>
    </xf>
    <xf numFmtId="0" fontId="60" fillId="0" borderId="4" xfId="0" applyFont="1" applyBorder="1" applyAlignment="1">
      <alignment horizontal="left"/>
    </xf>
    <xf numFmtId="0" fontId="60" fillId="0" borderId="4" xfId="0" applyFont="1" applyBorder="1"/>
    <xf numFmtId="14" fontId="60" fillId="0" borderId="4" xfId="0" applyNumberFormat="1" applyFont="1" applyBorder="1" applyAlignment="1">
      <alignment horizontal="left"/>
    </xf>
    <xf numFmtId="14" fontId="60" fillId="2" borderId="4" xfId="0" applyNumberFormat="1" applyFont="1" applyFill="1" applyBorder="1" applyAlignment="1">
      <alignment horizontal="left"/>
    </xf>
    <xf numFmtId="0" fontId="60" fillId="2" borderId="4" xfId="0" applyFont="1" applyFill="1" applyBorder="1" applyAlignment="1">
      <alignment horizontal="left"/>
    </xf>
    <xf numFmtId="0" fontId="99" fillId="0" borderId="4" xfId="0" applyFont="1" applyBorder="1" applyAlignment="1">
      <alignment horizontal="left" vertical="center" wrapText="1"/>
    </xf>
    <xf numFmtId="0" fontId="51" fillId="12" borderId="4" xfId="0" applyFont="1" applyFill="1" applyBorder="1" applyAlignment="1">
      <alignment horizontal="center" vertical="center" wrapText="1"/>
    </xf>
    <xf numFmtId="0" fontId="51" fillId="12" borderId="4" xfId="0" applyFont="1" applyFill="1" applyBorder="1" applyAlignment="1">
      <alignment vertical="center" wrapText="1"/>
    </xf>
    <xf numFmtId="14" fontId="56" fillId="12" borderId="4" xfId="0" applyNumberFormat="1" applyFont="1" applyFill="1" applyBorder="1" applyAlignment="1">
      <alignment horizontal="left" vertical="center" wrapText="1"/>
    </xf>
    <xf numFmtId="14" fontId="56" fillId="12" borderId="4" xfId="0" applyNumberFormat="1" applyFont="1" applyFill="1" applyBorder="1" applyAlignment="1">
      <alignment horizontal="left" vertical="center" wrapText="1" indent="1"/>
    </xf>
    <xf numFmtId="0" fontId="56" fillId="12" borderId="4" xfId="0" applyFont="1" applyFill="1" applyBorder="1" applyAlignment="1">
      <alignment horizontal="left" vertical="center" wrapText="1" indent="1"/>
    </xf>
    <xf numFmtId="0" fontId="83" fillId="12" borderId="4" xfId="0" applyFont="1" applyFill="1" applyBorder="1" applyAlignment="1">
      <alignment horizontal="left" vertical="center" wrapText="1" indent="1"/>
    </xf>
    <xf numFmtId="0" fontId="56" fillId="12" borderId="4" xfId="0" applyFont="1" applyFill="1" applyBorder="1" applyAlignment="1">
      <alignment horizontal="left" vertical="center" wrapText="1"/>
    </xf>
    <xf numFmtId="0" fontId="56" fillId="12" borderId="15" xfId="0" applyFont="1" applyFill="1" applyBorder="1" applyAlignment="1">
      <alignment horizontal="left" vertical="center" wrapText="1"/>
    </xf>
    <xf numFmtId="0" fontId="60" fillId="2" borderId="4" xfId="0" applyFont="1" applyFill="1" applyBorder="1"/>
    <xf numFmtId="0" fontId="82" fillId="12" borderId="14" xfId="0" applyFont="1" applyFill="1" applyBorder="1" applyAlignment="1">
      <alignment horizontal="left" vertical="center" wrapText="1"/>
    </xf>
    <xf numFmtId="43" fontId="60" fillId="0" borderId="4" xfId="1" applyFont="1" applyFill="1" applyBorder="1" applyAlignment="1">
      <alignment horizontal="center" vertical="top" wrapText="1"/>
    </xf>
    <xf numFmtId="165" fontId="22" fillId="5" borderId="4" xfId="1" applyNumberFormat="1" applyFont="1" applyFill="1" applyBorder="1"/>
    <xf numFmtId="167" fontId="0" fillId="0" borderId="14" xfId="0" applyNumberFormat="1" applyBorder="1"/>
    <xf numFmtId="0" fontId="60" fillId="2" borderId="4" xfId="0" applyFont="1" applyFill="1" applyBorder="1" applyAlignment="1">
      <alignment horizontal="left" vertical="center" wrapText="1"/>
    </xf>
    <xf numFmtId="167" fontId="43" fillId="0" borderId="14" xfId="1" applyNumberFormat="1" applyFont="1" applyBorder="1" applyAlignment="1">
      <alignment vertical="center"/>
    </xf>
    <xf numFmtId="0" fontId="60" fillId="0" borderId="4" xfId="0" applyFont="1" applyBorder="1" applyAlignment="1">
      <alignment horizontal="left" vertical="center" wrapText="1"/>
    </xf>
    <xf numFmtId="0" fontId="60" fillId="0" borderId="4" xfId="0" applyFont="1" applyBorder="1" applyAlignment="1">
      <alignment vertical="center" wrapText="1"/>
    </xf>
    <xf numFmtId="0" fontId="60" fillId="0" borderId="4" xfId="0" applyFont="1" applyBorder="1" applyAlignment="1">
      <alignment vertical="center"/>
    </xf>
    <xf numFmtId="43" fontId="1" fillId="0" borderId="4" xfId="1" applyFont="1" applyFill="1" applyBorder="1" applyAlignment="1">
      <alignment horizontal="center" vertical="center" wrapText="1"/>
    </xf>
    <xf numFmtId="167" fontId="88" fillId="0" borderId="16" xfId="1" applyNumberFormat="1" applyFont="1" applyBorder="1" applyAlignment="1">
      <alignment vertical="center"/>
    </xf>
    <xf numFmtId="0" fontId="60" fillId="0" borderId="34" xfId="0" applyFont="1" applyBorder="1" applyAlignment="1">
      <alignment vertical="center"/>
    </xf>
    <xf numFmtId="0" fontId="96" fillId="12" borderId="34" xfId="0" applyFont="1" applyFill="1" applyBorder="1" applyAlignment="1">
      <alignment horizontal="center" vertical="center" wrapText="1"/>
    </xf>
    <xf numFmtId="14" fontId="57" fillId="12" borderId="34" xfId="0" applyNumberFormat="1" applyFont="1" applyFill="1" applyBorder="1" applyAlignment="1">
      <alignment horizontal="center" vertical="center" wrapText="1"/>
    </xf>
    <xf numFmtId="14" fontId="57" fillId="12" borderId="34" xfId="0" applyNumberFormat="1" applyFont="1" applyFill="1" applyBorder="1" applyAlignment="1">
      <alignment horizontal="left" vertical="center" wrapText="1" indent="1"/>
    </xf>
    <xf numFmtId="0" fontId="57" fillId="12" borderId="34" xfId="0" applyFont="1" applyFill="1" applyBorder="1" applyAlignment="1">
      <alignment horizontal="left" vertical="center" wrapText="1" indent="1"/>
    </xf>
    <xf numFmtId="0" fontId="84" fillId="12" borderId="34" xfId="0" applyFont="1" applyFill="1" applyBorder="1" applyAlignment="1">
      <alignment horizontal="center" vertical="center" wrapText="1"/>
    </xf>
    <xf numFmtId="43" fontId="1" fillId="0" borderId="34" xfId="1" applyFont="1" applyFill="1" applyBorder="1" applyAlignment="1">
      <alignment horizontal="center" vertical="center" wrapText="1"/>
    </xf>
    <xf numFmtId="0" fontId="59" fillId="12" borderId="34" xfId="0" applyFont="1" applyFill="1" applyBorder="1" applyAlignment="1">
      <alignment horizontal="center" vertical="center" wrapText="1"/>
    </xf>
    <xf numFmtId="0" fontId="56" fillId="12" borderId="17" xfId="0" applyFont="1" applyFill="1" applyBorder="1" applyAlignment="1">
      <alignment horizontal="center" vertical="center" wrapText="1"/>
    </xf>
    <xf numFmtId="43" fontId="14" fillId="14" borderId="4" xfId="1" applyFont="1" applyFill="1" applyBorder="1" applyAlignment="1">
      <alignment horizontal="fill" vertical="center"/>
    </xf>
    <xf numFmtId="43" fontId="14" fillId="14" borderId="4" xfId="1" applyFont="1" applyFill="1" applyBorder="1" applyAlignment="1">
      <alignment vertical="center"/>
    </xf>
    <xf numFmtId="43" fontId="14" fillId="14" borderId="4" xfId="1" quotePrefix="1" applyFont="1" applyFill="1" applyBorder="1" applyAlignment="1">
      <alignment vertical="center"/>
    </xf>
    <xf numFmtId="43" fontId="14" fillId="14" borderId="4" xfId="1" applyFont="1" applyFill="1" applyBorder="1"/>
    <xf numFmtId="0" fontId="18" fillId="6" borderId="4" xfId="0" applyFont="1" applyFill="1" applyBorder="1" applyAlignment="1">
      <alignment horizontal="center" vertical="top" wrapText="1"/>
    </xf>
    <xf numFmtId="43" fontId="14" fillId="0" borderId="0" xfId="1" applyFont="1" applyAlignment="1">
      <alignment vertical="center"/>
    </xf>
    <xf numFmtId="4" fontId="14" fillId="0" borderId="4" xfId="0" applyNumberFormat="1" applyFont="1" applyBorder="1"/>
    <xf numFmtId="43" fontId="100" fillId="4" borderId="0" xfId="1" applyFont="1" applyFill="1" applyBorder="1" applyAlignment="1">
      <alignment horizontal="center" vertical="center"/>
    </xf>
    <xf numFmtId="43" fontId="18" fillId="5" borderId="4" xfId="1" applyFont="1" applyFill="1" applyBorder="1" applyAlignment="1">
      <alignment horizontal="center" vertical="center" wrapText="1"/>
    </xf>
    <xf numFmtId="43" fontId="18" fillId="2" borderId="4" xfId="1" applyFont="1" applyFill="1" applyBorder="1" applyAlignment="1">
      <alignment horizontal="center" vertical="center" wrapText="1"/>
    </xf>
    <xf numFmtId="43" fontId="65" fillId="5" borderId="4" xfId="1" applyFont="1" applyFill="1" applyBorder="1" applyAlignment="1">
      <alignment horizontal="center" vertical="center" wrapText="1"/>
    </xf>
    <xf numFmtId="43" fontId="64" fillId="5" borderId="4" xfId="1" applyFont="1" applyFill="1" applyBorder="1" applyAlignment="1">
      <alignment horizontal="center" vertical="center" wrapText="1"/>
    </xf>
    <xf numFmtId="43" fontId="64" fillId="5" borderId="6" xfId="1" applyFont="1" applyFill="1" applyBorder="1" applyAlignment="1">
      <alignment horizontal="center" vertical="center" wrapText="1"/>
    </xf>
    <xf numFmtId="43" fontId="64" fillId="5" borderId="5" xfId="1" applyFont="1" applyFill="1" applyBorder="1" applyAlignment="1">
      <alignment horizontal="center" vertical="center" wrapText="1"/>
    </xf>
    <xf numFmtId="43" fontId="65" fillId="5" borderId="14" xfId="1" applyFont="1" applyFill="1" applyBorder="1" applyAlignment="1">
      <alignment horizontal="center" vertical="center" wrapText="1"/>
    </xf>
    <xf numFmtId="43" fontId="65" fillId="5" borderId="20" xfId="1" applyFont="1" applyFill="1" applyBorder="1" applyAlignment="1">
      <alignment horizontal="center" vertical="center" wrapText="1"/>
    </xf>
    <xf numFmtId="43" fontId="65" fillId="5" borderId="15" xfId="1" applyFont="1" applyFill="1" applyBorder="1" applyAlignment="1">
      <alignment horizontal="center" vertical="center" wrapText="1"/>
    </xf>
    <xf numFmtId="0" fontId="14" fillId="14" borderId="0" xfId="0" applyFont="1" applyFill="1"/>
    <xf numFmtId="168" fontId="14" fillId="0" borderId="4" xfId="9" applyFont="1" applyBorder="1"/>
    <xf numFmtId="168" fontId="69" fillId="2" borderId="4" xfId="9" applyFont="1" applyFill="1" applyBorder="1" applyAlignment="1">
      <alignment horizontal="center" vertical="top" wrapText="1"/>
    </xf>
    <xf numFmtId="0" fontId="14" fillId="0" borderId="4" xfId="6" applyFont="1" applyBorder="1" applyAlignment="1">
      <alignment wrapText="1"/>
    </xf>
    <xf numFmtId="168" fontId="14" fillId="0" borderId="4" xfId="9" applyFont="1" applyBorder="1" applyAlignment="1">
      <alignment horizontal="center" vertical="center"/>
    </xf>
    <xf numFmtId="168" fontId="19" fillId="0" borderId="4" xfId="10" applyFont="1" applyBorder="1" applyAlignment="1">
      <alignment vertical="center" wrapText="1"/>
    </xf>
    <xf numFmtId="0" fontId="14" fillId="0" borderId="4" xfId="0" applyFont="1" applyBorder="1" applyAlignment="1">
      <alignment horizontal="fill" vertical="top"/>
    </xf>
    <xf numFmtId="43" fontId="18" fillId="2" borderId="4" xfId="1" applyFont="1" applyFill="1" applyBorder="1" applyAlignment="1">
      <alignment horizontal="fill" vertical="center"/>
    </xf>
    <xf numFmtId="43" fontId="18" fillId="2" borderId="14" xfId="1" applyFont="1" applyFill="1" applyBorder="1" applyAlignment="1">
      <alignment horizontal="center" vertical="center" wrapText="1"/>
    </xf>
    <xf numFmtId="43" fontId="18" fillId="2" borderId="15" xfId="1" applyFont="1" applyFill="1" applyBorder="1" applyAlignment="1">
      <alignment horizontal="center" vertical="center" wrapText="1"/>
    </xf>
    <xf numFmtId="43" fontId="18" fillId="2" borderId="6" xfId="1" applyFont="1" applyFill="1" applyBorder="1" applyAlignment="1">
      <alignment horizontal="center" vertical="center" wrapText="1"/>
    </xf>
    <xf numFmtId="43" fontId="65" fillId="2" borderId="4" xfId="1" applyFont="1" applyFill="1" applyBorder="1" applyAlignment="1">
      <alignment horizontal="center" vertical="center" wrapText="1"/>
    </xf>
    <xf numFmtId="43" fontId="18" fillId="2" borderId="5" xfId="1" applyFont="1" applyFill="1" applyBorder="1" applyAlignment="1">
      <alignment horizontal="center" vertical="center" wrapText="1"/>
    </xf>
    <xf numFmtId="43" fontId="64" fillId="2" borderId="4" xfId="1" applyFont="1" applyFill="1" applyBorder="1" applyAlignment="1">
      <alignment horizontal="center" vertical="center" wrapText="1"/>
    </xf>
    <xf numFmtId="43" fontId="65" fillId="7" borderId="4" xfId="1" applyFont="1" applyFill="1" applyBorder="1" applyAlignment="1">
      <alignment horizontal="center" vertical="center" wrapText="1"/>
    </xf>
    <xf numFmtId="43" fontId="64" fillId="2" borderId="6" xfId="1" applyFont="1" applyFill="1" applyBorder="1" applyAlignment="1">
      <alignment horizontal="center" vertical="center" wrapText="1"/>
    </xf>
    <xf numFmtId="43" fontId="65" fillId="2" borderId="14" xfId="1" applyFont="1" applyFill="1" applyBorder="1" applyAlignment="1">
      <alignment horizontal="center" vertical="center" wrapText="1"/>
    </xf>
    <xf numFmtId="43" fontId="65" fillId="2" borderId="15" xfId="1" applyFont="1" applyFill="1" applyBorder="1" applyAlignment="1">
      <alignment horizontal="center" vertical="center" wrapText="1"/>
    </xf>
    <xf numFmtId="0" fontId="14" fillId="0" borderId="5" xfId="0" applyFont="1" applyBorder="1" applyAlignment="1">
      <alignment horizontal="fill"/>
    </xf>
    <xf numFmtId="0" fontId="14" fillId="0" borderId="0" xfId="0" applyFont="1" applyAlignment="1">
      <alignment horizontal="fill"/>
    </xf>
    <xf numFmtId="0" fontId="18" fillId="0" borderId="0" xfId="0" applyFont="1"/>
    <xf numFmtId="43" fontId="14" fillId="14" borderId="0" xfId="1" applyFont="1" applyFill="1"/>
    <xf numFmtId="43" fontId="19" fillId="0" borderId="4" xfId="1" applyFont="1" applyBorder="1" applyAlignment="1">
      <alignment horizontal="center" vertical="top" wrapText="1"/>
    </xf>
    <xf numFmtId="43" fontId="22" fillId="0" borderId="4" xfId="1" applyFont="1" applyBorder="1"/>
    <xf numFmtId="17" fontId="19" fillId="2" borderId="4" xfId="2" applyNumberFormat="1" applyFont="1" applyFill="1" applyBorder="1" applyAlignment="1">
      <alignment horizontal="left" vertical="center" wrapText="1"/>
    </xf>
    <xf numFmtId="164" fontId="19" fillId="2" borderId="4" xfId="2" applyNumberFormat="1" applyFont="1" applyFill="1" applyBorder="1" applyAlignment="1">
      <alignment horizontal="right" vertical="center" wrapText="1"/>
    </xf>
    <xf numFmtId="0" fontId="14" fillId="2" borderId="21" xfId="0" applyFont="1" applyFill="1" applyBorder="1"/>
    <xf numFmtId="0" fontId="14" fillId="2" borderId="5" xfId="0" applyFont="1" applyFill="1" applyBorder="1"/>
    <xf numFmtId="0" fontId="63" fillId="2" borderId="5" xfId="0" applyFont="1" applyFill="1" applyBorder="1" applyAlignment="1">
      <alignment vertical="top"/>
    </xf>
    <xf numFmtId="0" fontId="14" fillId="2" borderId="5" xfId="0" applyFont="1" applyFill="1" applyBorder="1" applyAlignment="1">
      <alignment vertical="center"/>
    </xf>
    <xf numFmtId="0" fontId="14" fillId="2" borderId="5" xfId="0" applyFont="1" applyFill="1" applyBorder="1" applyAlignment="1">
      <alignment vertical="top"/>
    </xf>
    <xf numFmtId="17" fontId="14" fillId="2" borderId="4" xfId="6" applyNumberFormat="1" applyFont="1" applyFill="1" applyBorder="1" applyAlignment="1">
      <alignment horizontal="center" vertical="center" wrapText="1"/>
    </xf>
    <xf numFmtId="4" fontId="14" fillId="2" borderId="4" xfId="8" applyNumberFormat="1" applyFont="1" applyFill="1" applyBorder="1" applyAlignment="1">
      <alignment horizontal="right" vertical="center"/>
    </xf>
    <xf numFmtId="17" fontId="19" fillId="2" borderId="6" xfId="2" quotePrefix="1" applyNumberFormat="1" applyFont="1" applyFill="1" applyBorder="1" applyAlignment="1">
      <alignment horizontal="center" vertical="center" wrapText="1"/>
    </xf>
    <xf numFmtId="168" fontId="14" fillId="2" borderId="4" xfId="9" applyFont="1" applyFill="1" applyBorder="1" applyAlignment="1">
      <alignment horizontal="center" vertical="center"/>
    </xf>
    <xf numFmtId="4" fontId="14" fillId="2" borderId="4" xfId="7" applyNumberFormat="1" applyFont="1" applyFill="1" applyBorder="1" applyAlignment="1">
      <alignment horizontal="right" vertical="center" wrapText="1"/>
    </xf>
    <xf numFmtId="0" fontId="91" fillId="0" borderId="3" xfId="0" applyFont="1" applyBorder="1" applyAlignment="1">
      <alignment horizontal="center" vertical="center" wrapText="1"/>
    </xf>
    <xf numFmtId="0" fontId="92" fillId="0" borderId="3" xfId="0" applyFont="1" applyBorder="1" applyAlignment="1">
      <alignment horizontal="center" vertical="center"/>
    </xf>
    <xf numFmtId="0" fontId="11" fillId="0" borderId="3" xfId="0" applyFont="1" applyBorder="1"/>
    <xf numFmtId="49" fontId="95" fillId="0" borderId="3" xfId="0" applyNumberFormat="1" applyFont="1" applyBorder="1" applyAlignment="1">
      <alignment horizontal="center" vertical="center"/>
    </xf>
    <xf numFmtId="0" fontId="11" fillId="0" borderId="3" xfId="0" applyFont="1" applyBorder="1" applyAlignment="1">
      <alignment horizontal="center"/>
    </xf>
    <xf numFmtId="0" fontId="92" fillId="0" borderId="1" xfId="0" applyFont="1" applyBorder="1" applyAlignment="1">
      <alignment horizontal="center" wrapText="1"/>
    </xf>
    <xf numFmtId="0" fontId="92" fillId="0" borderId="1" xfId="0" applyFont="1" applyBorder="1" applyAlignment="1">
      <alignment horizontal="center" vertical="center"/>
    </xf>
    <xf numFmtId="0" fontId="11" fillId="0" borderId="1" xfId="0" applyFont="1" applyBorder="1"/>
    <xf numFmtId="168" fontId="92" fillId="0" borderId="3" xfId="0" applyNumberFormat="1" applyFont="1" applyBorder="1" applyAlignment="1">
      <alignment horizontal="center" vertical="center" wrapText="1"/>
    </xf>
    <xf numFmtId="0" fontId="41" fillId="0" borderId="3" xfId="0" applyFont="1" applyBorder="1" applyAlignment="1">
      <alignment vertical="center" wrapText="1"/>
    </xf>
    <xf numFmtId="49" fontId="92" fillId="0" borderId="3" xfId="0" applyNumberFormat="1" applyFont="1" applyBorder="1" applyAlignment="1">
      <alignment vertical="center"/>
    </xf>
    <xf numFmtId="49" fontId="95" fillId="0" borderId="3" xfId="0" applyNumberFormat="1" applyFont="1" applyBorder="1" applyAlignment="1">
      <alignment vertical="center"/>
    </xf>
    <xf numFmtId="168" fontId="92" fillId="0" borderId="3" xfId="0" applyNumberFormat="1" applyFont="1" applyBorder="1" applyAlignment="1">
      <alignment vertical="center" wrapText="1"/>
    </xf>
    <xf numFmtId="43" fontId="11" fillId="0" borderId="3" xfId="1" applyFont="1" applyBorder="1" applyAlignment="1">
      <alignment vertical="center"/>
    </xf>
    <xf numFmtId="0" fontId="41" fillId="0" borderId="3" xfId="0" applyFont="1" applyBorder="1" applyAlignment="1">
      <alignment vertical="center"/>
    </xf>
    <xf numFmtId="0" fontId="91" fillId="0" borderId="4" xfId="0" applyFont="1" applyBorder="1" applyAlignment="1">
      <alignment horizontal="center" vertical="center"/>
    </xf>
    <xf numFmtId="0" fontId="92" fillId="0" borderId="4" xfId="0" applyFont="1" applyBorder="1" applyAlignment="1">
      <alignment horizontal="center" vertical="center"/>
    </xf>
    <xf numFmtId="0" fontId="6" fillId="0" borderId="4" xfId="0" applyFont="1" applyBorder="1" applyAlignment="1">
      <alignment horizontal="center" vertical="center"/>
    </xf>
    <xf numFmtId="0" fontId="6" fillId="0" borderId="4" xfId="0" applyFont="1" applyBorder="1" applyAlignment="1">
      <alignment horizontal="center" wrapText="1"/>
    </xf>
    <xf numFmtId="0" fontId="41" fillId="0" borderId="4" xfId="0" applyFont="1" applyBorder="1" applyAlignment="1">
      <alignment horizontal="center" vertical="center" wrapText="1"/>
    </xf>
    <xf numFmtId="49" fontId="92" fillId="0" borderId="4" xfId="0" applyNumberFormat="1" applyFont="1" applyBorder="1" applyAlignment="1">
      <alignment vertical="center"/>
    </xf>
    <xf numFmtId="0" fontId="41" fillId="0" borderId="4" xfId="0" applyFont="1" applyBorder="1" applyAlignment="1">
      <alignment horizontal="center" vertical="top" wrapText="1"/>
    </xf>
    <xf numFmtId="43" fontId="91" fillId="0" borderId="4" xfId="1" applyFont="1" applyBorder="1" applyAlignment="1">
      <alignment vertical="center"/>
    </xf>
    <xf numFmtId="0" fontId="91" fillId="0" borderId="4" xfId="0" applyFont="1" applyBorder="1" applyAlignment="1">
      <alignment horizontal="center" vertical="center" wrapText="1"/>
    </xf>
    <xf numFmtId="0" fontId="41" fillId="0" borderId="4" xfId="0" applyFont="1" applyBorder="1" applyAlignment="1">
      <alignment horizontal="center" wrapText="1"/>
    </xf>
    <xf numFmtId="43" fontId="91" fillId="15" borderId="4" xfId="1" applyFont="1" applyFill="1" applyBorder="1" applyAlignment="1">
      <alignment vertical="center"/>
    </xf>
    <xf numFmtId="0" fontId="0" fillId="0" borderId="3" xfId="0" applyBorder="1"/>
    <xf numFmtId="0" fontId="91" fillId="0" borderId="1" xfId="0" applyFont="1" applyBorder="1" applyAlignment="1">
      <alignment horizontal="center" vertical="top" wrapText="1"/>
    </xf>
    <xf numFmtId="0" fontId="92" fillId="0" borderId="1" xfId="0" applyFont="1" applyBorder="1" applyAlignment="1">
      <alignment horizontal="center" vertical="center" wrapText="1"/>
    </xf>
    <xf numFmtId="0" fontId="84" fillId="0" borderId="25" xfId="0" applyFont="1" applyBorder="1" applyAlignment="1">
      <alignment vertical="center"/>
    </xf>
    <xf numFmtId="43" fontId="84" fillId="0" borderId="25" xfId="1" applyFont="1" applyBorder="1" applyAlignment="1">
      <alignment vertical="center"/>
    </xf>
    <xf numFmtId="0" fontId="83" fillId="0" borderId="25" xfId="0" applyFont="1" applyBorder="1" applyAlignment="1">
      <alignment vertical="center"/>
    </xf>
    <xf numFmtId="0" fontId="36" fillId="0" borderId="25" xfId="0" applyFont="1" applyBorder="1" applyAlignment="1">
      <alignment horizontal="center"/>
    </xf>
    <xf numFmtId="0" fontId="23" fillId="0" borderId="1" xfId="0" applyFont="1" applyBorder="1"/>
    <xf numFmtId="0" fontId="37" fillId="0" borderId="31" xfId="0" applyFont="1" applyBorder="1"/>
    <xf numFmtId="0" fontId="23" fillId="0" borderId="31" xfId="0" applyFont="1" applyBorder="1" applyAlignment="1">
      <alignment horizontal="center"/>
    </xf>
    <xf numFmtId="0" fontId="23" fillId="0" borderId="31" xfId="0" quotePrefix="1" applyFont="1" applyBorder="1"/>
    <xf numFmtId="17" fontId="23" fillId="0" borderId="31" xfId="0" applyNumberFormat="1" applyFont="1" applyBorder="1"/>
    <xf numFmtId="0" fontId="36" fillId="0" borderId="31" xfId="0" applyFont="1" applyBorder="1" applyAlignment="1">
      <alignment horizontal="center"/>
    </xf>
    <xf numFmtId="4" fontId="23" fillId="0" borderId="1" xfId="0" applyNumberFormat="1" applyFont="1" applyBorder="1"/>
    <xf numFmtId="0" fontId="36" fillId="0" borderId="25" xfId="0" applyFont="1" applyBorder="1" applyAlignment="1">
      <alignment horizontal="left"/>
    </xf>
    <xf numFmtId="0" fontId="23" fillId="0" borderId="27" xfId="0" applyFont="1" applyBorder="1"/>
    <xf numFmtId="2" fontId="23" fillId="0" borderId="25" xfId="0" applyNumberFormat="1" applyFont="1" applyBorder="1"/>
    <xf numFmtId="0" fontId="84" fillId="0" borderId="25" xfId="0" applyFont="1" applyBorder="1" applyAlignment="1">
      <alignment horizontal="center" vertical="center"/>
    </xf>
    <xf numFmtId="0" fontId="23" fillId="2" borderId="25" xfId="0" applyFont="1" applyFill="1" applyBorder="1"/>
    <xf numFmtId="0" fontId="23" fillId="2" borderId="25" xfId="0" applyFont="1" applyFill="1" applyBorder="1" applyAlignment="1">
      <alignment horizontal="left"/>
    </xf>
    <xf numFmtId="0" fontId="23" fillId="2" borderId="25" xfId="0" applyFont="1" applyFill="1" applyBorder="1" applyAlignment="1">
      <alignment horizontal="center"/>
    </xf>
    <xf numFmtId="0" fontId="23" fillId="2" borderId="27" xfId="0" applyFont="1" applyFill="1" applyBorder="1"/>
    <xf numFmtId="0" fontId="23" fillId="2" borderId="25" xfId="0" quotePrefix="1" applyFont="1" applyFill="1" applyBorder="1"/>
    <xf numFmtId="4" fontId="23" fillId="2" borderId="25" xfId="0" applyNumberFormat="1" applyFont="1" applyFill="1" applyBorder="1"/>
    <xf numFmtId="0" fontId="63" fillId="2" borderId="3" xfId="6" applyFont="1" applyFill="1" applyBorder="1" applyAlignment="1">
      <alignment vertical="center" wrapText="1"/>
    </xf>
    <xf numFmtId="0" fontId="63" fillId="2" borderId="1" xfId="6" applyFont="1" applyFill="1" applyBorder="1" applyAlignment="1">
      <alignment vertical="center" wrapText="1"/>
    </xf>
    <xf numFmtId="0" fontId="68" fillId="2" borderId="8" xfId="2" applyFont="1" applyFill="1" applyBorder="1" applyAlignment="1">
      <alignment vertical="center" wrapText="1"/>
    </xf>
    <xf numFmtId="0" fontId="68" fillId="2" borderId="22" xfId="2" applyFont="1" applyFill="1" applyBorder="1" applyAlignment="1">
      <alignment vertical="center" wrapText="1"/>
    </xf>
    <xf numFmtId="0" fontId="68" fillId="2" borderId="32" xfId="2" applyFont="1" applyFill="1" applyBorder="1" applyAlignment="1">
      <alignment vertical="center" wrapText="1"/>
    </xf>
    <xf numFmtId="0" fontId="14" fillId="2" borderId="4" xfId="13" applyFont="1" applyFill="1" applyBorder="1" applyAlignment="1">
      <alignment vertical="center"/>
    </xf>
    <xf numFmtId="0" fontId="44" fillId="2" borderId="4" xfId="6" applyFont="1" applyFill="1" applyBorder="1" applyAlignment="1">
      <alignment horizontal="center" vertical="center" wrapText="1"/>
    </xf>
    <xf numFmtId="0" fontId="44" fillId="2" borderId="4" xfId="6" applyFont="1" applyFill="1" applyBorder="1" applyAlignment="1">
      <alignment horizontal="center" vertical="center"/>
    </xf>
    <xf numFmtId="168" fontId="104" fillId="2" borderId="4" xfId="10" applyFont="1" applyFill="1" applyBorder="1" applyAlignment="1">
      <alignment vertical="center"/>
    </xf>
    <xf numFmtId="0" fontId="43" fillId="2" borderId="4" xfId="6" applyFont="1" applyFill="1" applyBorder="1" applyAlignment="1">
      <alignment horizontal="center" vertical="center" wrapText="1"/>
    </xf>
    <xf numFmtId="0" fontId="105" fillId="2" borderId="4" xfId="7" applyFont="1" applyFill="1" applyBorder="1" applyAlignment="1">
      <alignment vertical="center" wrapText="1"/>
    </xf>
    <xf numFmtId="0" fontId="44" fillId="2" borderId="4" xfId="6" applyFont="1" applyFill="1" applyBorder="1"/>
    <xf numFmtId="0" fontId="44" fillId="2" borderId="4" xfId="6" applyFont="1" applyFill="1" applyBorder="1" applyAlignment="1">
      <alignment vertical="center"/>
    </xf>
    <xf numFmtId="14" fontId="44" fillId="2" borderId="4" xfId="6" applyNumberFormat="1" applyFont="1" applyFill="1" applyBorder="1" applyAlignment="1">
      <alignment horizontal="center" vertical="center"/>
    </xf>
    <xf numFmtId="17" fontId="44" fillId="2" borderId="4" xfId="6" applyNumberFormat="1" applyFont="1" applyFill="1" applyBorder="1" applyAlignment="1">
      <alignment horizontal="center" vertical="center"/>
    </xf>
    <xf numFmtId="168" fontId="92" fillId="2" borderId="4" xfId="10" applyFont="1" applyFill="1" applyBorder="1" applyAlignment="1">
      <alignment horizontal="left" vertical="center" wrapText="1"/>
    </xf>
    <xf numFmtId="0" fontId="43" fillId="2" borderId="4" xfId="6" applyFont="1" applyFill="1" applyBorder="1" applyAlignment="1">
      <alignment vertical="center" wrapText="1"/>
    </xf>
    <xf numFmtId="0" fontId="41" fillId="0" borderId="1" xfId="0" applyFont="1" applyBorder="1" applyAlignment="1">
      <alignment vertical="center"/>
    </xf>
    <xf numFmtId="0" fontId="45" fillId="2" borderId="4" xfId="11" applyFont="1" applyFill="1" applyBorder="1" applyAlignment="1">
      <alignment vertical="center" wrapText="1"/>
    </xf>
    <xf numFmtId="0" fontId="44" fillId="2" borderId="4" xfId="7" applyFont="1" applyFill="1" applyBorder="1" applyAlignment="1">
      <alignment horizontal="center" vertical="center" wrapText="1"/>
    </xf>
    <xf numFmtId="0" fontId="44" fillId="2" borderId="4" xfId="8" applyFont="1" applyFill="1" applyBorder="1" applyAlignment="1">
      <alignment horizontal="center"/>
    </xf>
    <xf numFmtId="0" fontId="23" fillId="2" borderId="4" xfId="7" applyFont="1" applyFill="1" applyBorder="1" applyAlignment="1">
      <alignment horizontal="center" wrapText="1"/>
    </xf>
    <xf numFmtId="168" fontId="91" fillId="2" borderId="4" xfId="10" applyFont="1" applyFill="1" applyBorder="1" applyAlignment="1">
      <alignment horizontal="left" vertical="center" wrapText="1"/>
    </xf>
    <xf numFmtId="0" fontId="43" fillId="2" borderId="4" xfId="7" applyFont="1" applyFill="1" applyBorder="1" applyAlignment="1">
      <alignment vertical="top" wrapText="1"/>
    </xf>
    <xf numFmtId="17" fontId="103" fillId="2" borderId="4" xfId="2" quotePrefix="1" applyNumberFormat="1" applyFont="1" applyFill="1" applyBorder="1" applyAlignment="1">
      <alignment horizontal="center" vertical="center" wrapText="1"/>
    </xf>
    <xf numFmtId="0" fontId="104" fillId="2" borderId="4" xfId="6" applyFont="1" applyFill="1" applyBorder="1" applyAlignment="1">
      <alignment horizontal="center" vertical="center" wrapText="1"/>
    </xf>
    <xf numFmtId="0" fontId="1" fillId="2" borderId="4" xfId="8" applyFill="1" applyBorder="1" applyAlignment="1">
      <alignment horizontal="left" vertical="center"/>
    </xf>
    <xf numFmtId="17" fontId="103" fillId="2" borderId="4" xfId="11" quotePrefix="1" applyNumberFormat="1" applyFont="1" applyFill="1" applyBorder="1" applyAlignment="1">
      <alignment horizontal="center" vertical="center" wrapText="1"/>
    </xf>
    <xf numFmtId="0" fontId="44" fillId="2" borderId="4" xfId="8" applyFont="1" applyFill="1" applyBorder="1" applyAlignment="1">
      <alignment horizontal="center" vertical="center"/>
    </xf>
    <xf numFmtId="0" fontId="44" fillId="2" borderId="4" xfId="6" applyFont="1" applyFill="1" applyBorder="1" applyAlignment="1">
      <alignment horizontal="center"/>
    </xf>
    <xf numFmtId="17" fontId="44" fillId="2" borderId="4" xfId="6" applyNumberFormat="1" applyFont="1" applyFill="1" applyBorder="1" applyAlignment="1">
      <alignment horizontal="center"/>
    </xf>
    <xf numFmtId="14" fontId="44" fillId="2" borderId="4" xfId="6" applyNumberFormat="1" applyFont="1" applyFill="1" applyBorder="1" applyAlignment="1">
      <alignment horizontal="center"/>
    </xf>
    <xf numFmtId="0" fontId="43" fillId="2" borderId="4" xfId="11" applyFont="1" applyFill="1" applyBorder="1" applyAlignment="1">
      <alignment vertical="center" wrapText="1"/>
    </xf>
    <xf numFmtId="0" fontId="43" fillId="2" borderId="4" xfId="11" applyFont="1" applyFill="1" applyBorder="1" applyAlignment="1">
      <alignment horizontal="center" vertical="center" wrapText="1"/>
    </xf>
    <xf numFmtId="0" fontId="23" fillId="2" borderId="4" xfId="7" applyFont="1" applyFill="1" applyBorder="1" applyAlignment="1">
      <alignment horizontal="center" vertical="center" wrapText="1"/>
    </xf>
    <xf numFmtId="0" fontId="45" fillId="0" borderId="4" xfId="2" applyFont="1" applyBorder="1" applyAlignment="1">
      <alignment vertical="center" wrapText="1"/>
    </xf>
    <xf numFmtId="0" fontId="44" fillId="0" borderId="4" xfId="8" applyFont="1" applyBorder="1" applyAlignment="1">
      <alignment horizontal="left" vertical="center"/>
    </xf>
    <xf numFmtId="0" fontId="44" fillId="0" borderId="4" xfId="6" applyFont="1" applyBorder="1"/>
    <xf numFmtId="0" fontId="44" fillId="0" borderId="4" xfId="6" applyFont="1" applyBorder="1" applyAlignment="1">
      <alignment horizontal="center"/>
    </xf>
    <xf numFmtId="168" fontId="92" fillId="0" borderId="4" xfId="10" applyFont="1" applyBorder="1" applyAlignment="1">
      <alignment horizontal="left" vertical="center" wrapText="1"/>
    </xf>
    <xf numFmtId="0" fontId="43" fillId="0" borderId="4" xfId="7" applyFont="1" applyBorder="1" applyAlignment="1">
      <alignment horizontal="left" wrapText="1" indent="1"/>
    </xf>
    <xf numFmtId="0" fontId="44" fillId="0" borderId="4" xfId="6" applyFont="1" applyBorder="1" applyAlignment="1">
      <alignment horizontal="center" vertical="center" wrapText="1"/>
    </xf>
    <xf numFmtId="17" fontId="103" fillId="0" borderId="4" xfId="2" quotePrefix="1" applyNumberFormat="1" applyFont="1" applyBorder="1" applyAlignment="1">
      <alignment horizontal="center" vertical="center" wrapText="1"/>
    </xf>
    <xf numFmtId="168" fontId="91" fillId="0" borderId="4" xfId="10" applyFont="1" applyBorder="1" applyAlignment="1">
      <alignment horizontal="left" vertical="center" wrapText="1"/>
    </xf>
    <xf numFmtId="0" fontId="104" fillId="0" borderId="4" xfId="6" applyFont="1" applyBorder="1" applyAlignment="1">
      <alignment horizontal="center" vertical="center" wrapText="1"/>
    </xf>
    <xf numFmtId="0" fontId="43" fillId="2" borderId="4" xfId="6" applyFont="1" applyFill="1" applyBorder="1" applyAlignment="1">
      <alignment horizontal="left" vertical="center" wrapText="1"/>
    </xf>
    <xf numFmtId="0" fontId="44" fillId="0" borderId="4" xfId="8" applyFont="1" applyBorder="1" applyAlignment="1">
      <alignment horizontal="center"/>
    </xf>
    <xf numFmtId="0" fontId="44" fillId="0" borderId="4" xfId="6" applyFont="1" applyBorder="1" applyAlignment="1">
      <alignment horizontal="center" vertical="center"/>
    </xf>
    <xf numFmtId="168" fontId="104" fillId="0" borderId="4" xfId="10" applyFont="1" applyBorder="1" applyAlignment="1">
      <alignment vertical="center"/>
    </xf>
    <xf numFmtId="0" fontId="43" fillId="2" borderId="4" xfId="6" applyFont="1" applyFill="1" applyBorder="1" applyAlignment="1">
      <alignment horizontal="left" vertical="center" wrapText="1" indent="1"/>
    </xf>
    <xf numFmtId="0" fontId="44" fillId="0" borderId="4" xfId="6" applyFont="1" applyBorder="1" applyAlignment="1">
      <alignment horizontal="left" vertical="center" wrapText="1"/>
    </xf>
    <xf numFmtId="0" fontId="44" fillId="0" borderId="4" xfId="8" applyFont="1" applyBorder="1" applyAlignment="1">
      <alignment horizontal="left" vertical="center" wrapText="1"/>
    </xf>
    <xf numFmtId="0" fontId="44" fillId="0" borderId="4" xfId="8" applyFont="1" applyBorder="1" applyAlignment="1">
      <alignment horizontal="center" vertical="center"/>
    </xf>
    <xf numFmtId="0" fontId="44" fillId="0" borderId="4" xfId="6" applyFont="1" applyBorder="1" applyAlignment="1">
      <alignment vertical="center"/>
    </xf>
    <xf numFmtId="14" fontId="44" fillId="0" borderId="4" xfId="6" applyNumberFormat="1" applyFont="1" applyBorder="1" applyAlignment="1">
      <alignment horizontal="center" vertical="center"/>
    </xf>
    <xf numFmtId="17" fontId="44" fillId="0" borderId="4" xfId="6" applyNumberFormat="1" applyFont="1" applyBorder="1" applyAlignment="1">
      <alignment horizontal="center" vertical="center"/>
    </xf>
    <xf numFmtId="0" fontId="43" fillId="0" borderId="4" xfId="6" applyFont="1" applyBorder="1" applyAlignment="1">
      <alignment vertical="center" wrapText="1"/>
    </xf>
    <xf numFmtId="0" fontId="44" fillId="0" borderId="4" xfId="7" applyFont="1" applyBorder="1" applyAlignment="1">
      <alignment vertical="center" wrapText="1"/>
    </xf>
    <xf numFmtId="17" fontId="44" fillId="0" borderId="4" xfId="6" applyNumberFormat="1" applyFont="1" applyBorder="1" applyAlignment="1">
      <alignment horizontal="center"/>
    </xf>
    <xf numFmtId="14" fontId="44" fillId="0" borderId="4" xfId="6" applyNumberFormat="1" applyFont="1" applyBorder="1" applyAlignment="1">
      <alignment horizontal="center"/>
    </xf>
    <xf numFmtId="0" fontId="44" fillId="2" borderId="4" xfId="8" applyFont="1" applyFill="1" applyBorder="1" applyAlignment="1">
      <alignment horizontal="left" vertical="center" wrapText="1"/>
    </xf>
    <xf numFmtId="0" fontId="44" fillId="2" borderId="4" xfId="7" applyFont="1" applyFill="1" applyBorder="1" applyAlignment="1">
      <alignment vertical="center" wrapText="1"/>
    </xf>
    <xf numFmtId="0" fontId="44" fillId="2" borderId="4" xfId="8" applyFont="1" applyFill="1" applyBorder="1" applyAlignment="1">
      <alignment horizontal="left" vertical="center"/>
    </xf>
    <xf numFmtId="0" fontId="43" fillId="0" borderId="4" xfId="2" applyFont="1" applyBorder="1" applyAlignment="1">
      <alignment vertical="center" wrapText="1"/>
    </xf>
    <xf numFmtId="0" fontId="43" fillId="0" borderId="4" xfId="2" applyFont="1" applyBorder="1" applyAlignment="1">
      <alignment horizontal="center" vertical="center" wrapText="1"/>
    </xf>
    <xf numFmtId="0" fontId="2" fillId="0" borderId="4" xfId="2" applyBorder="1" applyAlignment="1">
      <alignment vertical="center" wrapText="1"/>
    </xf>
    <xf numFmtId="0" fontId="86" fillId="0" borderId="4" xfId="7" applyFont="1" applyBorder="1" applyAlignment="1">
      <alignment horizontal="center" wrapText="1"/>
    </xf>
    <xf numFmtId="0" fontId="39" fillId="0" borderId="4" xfId="6" applyFont="1" applyBorder="1"/>
    <xf numFmtId="17" fontId="39" fillId="0" borderId="4" xfId="6" applyNumberFormat="1" applyFont="1" applyBorder="1" applyAlignment="1">
      <alignment horizontal="center" vertical="center"/>
    </xf>
    <xf numFmtId="168" fontId="7" fillId="0" borderId="4" xfId="9" applyFont="1" applyBorder="1" applyAlignment="1">
      <alignment horizontal="left" vertical="center" wrapText="1"/>
    </xf>
    <xf numFmtId="17" fontId="6" fillId="0" borderId="4" xfId="2" quotePrefix="1" applyNumberFormat="1" applyFont="1" applyBorder="1" applyAlignment="1">
      <alignment horizontal="center" vertical="center" wrapText="1"/>
    </xf>
    <xf numFmtId="0" fontId="2" fillId="2" borderId="4" xfId="6" applyFont="1" applyFill="1" applyBorder="1" applyAlignment="1">
      <alignment horizontal="center" vertical="center" wrapText="1"/>
    </xf>
    <xf numFmtId="0" fontId="39" fillId="0" borderId="4" xfId="7" applyFont="1" applyBorder="1" applyAlignment="1">
      <alignment horizontal="center" vertical="center" wrapText="1"/>
    </xf>
    <xf numFmtId="0" fontId="39" fillId="0" borderId="4" xfId="8" applyFont="1" applyBorder="1" applyAlignment="1">
      <alignment horizontal="center"/>
    </xf>
    <xf numFmtId="0" fontId="2" fillId="0" borderId="4" xfId="2" applyBorder="1" applyAlignment="1">
      <alignment horizontal="center" vertical="center" wrapText="1"/>
    </xf>
    <xf numFmtId="43" fontId="60" fillId="2" borderId="0" xfId="0" applyNumberFormat="1" applyFont="1" applyFill="1"/>
    <xf numFmtId="168" fontId="22" fillId="5" borderId="4" xfId="9" applyFont="1" applyFill="1" applyBorder="1" applyAlignment="1">
      <alignment horizontal="center" vertical="center" wrapText="1"/>
    </xf>
    <xf numFmtId="0" fontId="25" fillId="0" borderId="25" xfId="0" applyFont="1" applyBorder="1" applyAlignment="1">
      <alignment horizontal="center"/>
    </xf>
    <xf numFmtId="0" fontId="25" fillId="0" borderId="27" xfId="0" applyFont="1" applyBorder="1" applyAlignment="1">
      <alignment horizontal="center"/>
    </xf>
    <xf numFmtId="0" fontId="25" fillId="0" borderId="25" xfId="0" quotePrefix="1" applyFont="1" applyBorder="1"/>
    <xf numFmtId="17" fontId="25" fillId="0" borderId="25" xfId="0" applyNumberFormat="1" applyFont="1" applyBorder="1"/>
    <xf numFmtId="0" fontId="25" fillId="0" borderId="25" xfId="0" applyFont="1" applyBorder="1"/>
    <xf numFmtId="43" fontId="19" fillId="0" borderId="4" xfId="1" applyFont="1" applyBorder="1" applyAlignment="1">
      <alignment horizontal="center"/>
    </xf>
    <xf numFmtId="0" fontId="14" fillId="16" borderId="4" xfId="6" applyFont="1" applyFill="1" applyBorder="1" applyAlignment="1">
      <alignment horizontal="center" vertical="center"/>
    </xf>
    <xf numFmtId="0" fontId="19" fillId="0" borderId="4" xfId="7" applyFont="1" applyBorder="1" applyAlignment="1">
      <alignment vertical="center" wrapText="1"/>
    </xf>
    <xf numFmtId="168" fontId="19" fillId="0" borderId="4" xfId="10" applyFont="1" applyBorder="1" applyAlignment="1">
      <alignment horizontal="left" vertical="center" wrapText="1"/>
    </xf>
    <xf numFmtId="0" fontId="19" fillId="2" borderId="4" xfId="7" applyFont="1" applyFill="1" applyBorder="1" applyAlignment="1">
      <alignment horizontal="center" vertical="center" wrapText="1"/>
    </xf>
    <xf numFmtId="0" fontId="14" fillId="16" borderId="3" xfId="6" applyFont="1" applyFill="1" applyBorder="1" applyAlignment="1">
      <alignment horizontal="left" vertical="center" wrapText="1"/>
    </xf>
    <xf numFmtId="0" fontId="14" fillId="16" borderId="4" xfId="6" applyFont="1" applyFill="1" applyBorder="1" applyAlignment="1">
      <alignment horizontal="center" vertical="center" wrapText="1"/>
    </xf>
    <xf numFmtId="17" fontId="19" fillId="16" borderId="3" xfId="2" quotePrefix="1" applyNumberFormat="1" applyFont="1" applyFill="1" applyBorder="1" applyAlignment="1">
      <alignment horizontal="center" vertical="center" wrapText="1"/>
    </xf>
    <xf numFmtId="0" fontId="63" fillId="16" borderId="4" xfId="6" applyFont="1" applyFill="1" applyBorder="1" applyAlignment="1">
      <alignment horizontal="center" vertical="center" wrapText="1"/>
    </xf>
    <xf numFmtId="0" fontId="19" fillId="2" borderId="1" xfId="0" applyFont="1" applyFill="1" applyBorder="1" applyAlignment="1">
      <alignment horizontal="center" vertical="center"/>
    </xf>
    <xf numFmtId="0" fontId="14" fillId="0" borderId="4" xfId="7" applyFont="1" applyBorder="1" applyAlignment="1">
      <alignment horizontal="center" wrapText="1"/>
    </xf>
    <xf numFmtId="168" fontId="65" fillId="0" borderId="4" xfId="9" applyFont="1" applyBorder="1" applyAlignment="1">
      <alignment horizontal="left" vertical="center" wrapText="1"/>
    </xf>
    <xf numFmtId="0" fontId="19" fillId="0" borderId="3" xfId="0" applyFont="1" applyBorder="1" applyAlignment="1">
      <alignment horizontal="center" vertical="center"/>
    </xf>
    <xf numFmtId="0" fontId="19" fillId="0" borderId="6" xfId="0" applyFont="1" applyBorder="1" applyAlignment="1">
      <alignment horizontal="left" vertical="center"/>
    </xf>
    <xf numFmtId="0" fontId="63" fillId="0" borderId="4" xfId="0" applyFont="1" applyBorder="1" applyAlignment="1">
      <alignment horizontal="left" wrapText="1" indent="1"/>
    </xf>
    <xf numFmtId="0" fontId="19" fillId="0" borderId="6" xfId="0" applyFont="1" applyBorder="1" applyAlignment="1">
      <alignment horizontal="left" vertical="center" wrapText="1"/>
    </xf>
    <xf numFmtId="0" fontId="14" fillId="0" borderId="5" xfId="6" applyFont="1" applyBorder="1" applyAlignment="1">
      <alignment horizontal="center" vertical="center" wrapText="1"/>
    </xf>
    <xf numFmtId="168" fontId="14" fillId="0" borderId="4" xfId="10" applyFont="1" applyBorder="1" applyAlignment="1">
      <alignment vertical="center"/>
    </xf>
    <xf numFmtId="171" fontId="14" fillId="16" borderId="4" xfId="9" applyNumberFormat="1" applyFont="1" applyFill="1" applyBorder="1" applyAlignment="1">
      <alignment vertical="center"/>
    </xf>
    <xf numFmtId="43" fontId="19" fillId="2" borderId="4" xfId="1" applyFont="1" applyFill="1" applyBorder="1" applyAlignment="1">
      <alignment horizontal="right" vertical="center" wrapText="1"/>
    </xf>
    <xf numFmtId="43" fontId="14" fillId="16" borderId="4" xfId="1" applyFont="1" applyFill="1" applyBorder="1" applyAlignment="1">
      <alignment horizontal="center" vertical="center" wrapText="1"/>
    </xf>
    <xf numFmtId="43" fontId="14" fillId="0" borderId="5" xfId="1" applyFont="1" applyBorder="1" applyAlignment="1">
      <alignment horizontal="center" vertical="center" wrapText="1"/>
    </xf>
    <xf numFmtId="0" fontId="63" fillId="16" borderId="6" xfId="6" applyFont="1" applyFill="1" applyBorder="1" applyAlignment="1">
      <alignment vertical="center" wrapText="1"/>
    </xf>
    <xf numFmtId="4" fontId="14" fillId="15" borderId="25" xfId="0" applyNumberFormat="1" applyFont="1" applyFill="1" applyBorder="1"/>
    <xf numFmtId="43" fontId="22" fillId="5" borderId="4" xfId="1" applyFont="1" applyFill="1" applyBorder="1" applyAlignment="1">
      <alignment horizontal="center" vertical="center" wrapText="1"/>
    </xf>
    <xf numFmtId="49" fontId="95" fillId="0" borderId="1" xfId="0" applyNumberFormat="1" applyFont="1" applyBorder="1" applyAlignment="1">
      <alignment vertical="center"/>
    </xf>
    <xf numFmtId="168" fontId="92" fillId="0" borderId="1" xfId="0" applyNumberFormat="1" applyFont="1" applyBorder="1" applyAlignment="1">
      <alignment vertical="center" wrapText="1"/>
    </xf>
    <xf numFmtId="0" fontId="41" fillId="0" borderId="1" xfId="0" applyFont="1" applyBorder="1" applyAlignment="1">
      <alignment vertical="center" wrapText="1"/>
    </xf>
    <xf numFmtId="43" fontId="91" fillId="0" borderId="1" xfId="1" applyFont="1" applyBorder="1" applyAlignment="1">
      <alignment vertical="center"/>
    </xf>
    <xf numFmtId="0" fontId="6" fillId="0" borderId="1" xfId="0" applyFont="1" applyBorder="1" applyAlignment="1">
      <alignment vertical="center"/>
    </xf>
    <xf numFmtId="49" fontId="92" fillId="0" borderId="1" xfId="0" applyNumberFormat="1" applyFont="1" applyBorder="1" applyAlignment="1">
      <alignment vertical="center"/>
    </xf>
    <xf numFmtId="0" fontId="25" fillId="0" borderId="25" xfId="0" applyFont="1" applyBorder="1" applyAlignment="1">
      <alignment horizontal="left"/>
    </xf>
    <xf numFmtId="0" fontId="2" fillId="0" borderId="25" xfId="0" applyFont="1" applyBorder="1" applyAlignment="1">
      <alignment vertical="center"/>
    </xf>
    <xf numFmtId="0" fontId="63" fillId="0" borderId="25" xfId="0" applyFont="1" applyBorder="1" applyAlignment="1">
      <alignment horizontal="center" vertical="center"/>
    </xf>
    <xf numFmtId="0" fontId="63" fillId="0" borderId="25" xfId="0" applyFont="1" applyBorder="1" applyAlignment="1">
      <alignment vertical="center"/>
    </xf>
    <xf numFmtId="0" fontId="14" fillId="0" borderId="31" xfId="0" applyFont="1" applyBorder="1"/>
    <xf numFmtId="0" fontId="14" fillId="2" borderId="28" xfId="0" applyFont="1" applyFill="1" applyBorder="1"/>
    <xf numFmtId="0" fontId="14" fillId="2" borderId="28" xfId="0" applyFont="1" applyFill="1" applyBorder="1" applyAlignment="1">
      <alignment horizontal="left"/>
    </xf>
    <xf numFmtId="0" fontId="14" fillId="2" borderId="28" xfId="0" applyFont="1" applyFill="1" applyBorder="1" applyAlignment="1">
      <alignment horizontal="center"/>
    </xf>
    <xf numFmtId="0" fontId="14" fillId="2" borderId="31" xfId="0" applyFont="1" applyFill="1" applyBorder="1"/>
    <xf numFmtId="0" fontId="14" fillId="2" borderId="28" xfId="0" quotePrefix="1" applyFont="1" applyFill="1" applyBorder="1"/>
    <xf numFmtId="0" fontId="14" fillId="0" borderId="28" xfId="0" applyFont="1" applyBorder="1"/>
    <xf numFmtId="0" fontId="14" fillId="0" borderId="28" xfId="0" quotePrefix="1" applyFont="1" applyBorder="1" applyAlignment="1">
      <alignment horizontal="center"/>
    </xf>
    <xf numFmtId="4" fontId="14" fillId="2" borderId="28" xfId="0" applyNumberFormat="1" applyFont="1" applyFill="1" applyBorder="1"/>
    <xf numFmtId="0" fontId="19" fillId="0" borderId="1" xfId="0" applyFont="1" applyBorder="1" applyAlignment="1">
      <alignment horizontal="center" vertical="center"/>
    </xf>
    <xf numFmtId="0" fontId="14" fillId="2" borderId="4" xfId="6" applyFont="1" applyFill="1" applyBorder="1" applyAlignment="1">
      <alignment horizontal="left" vertical="center" wrapText="1" indent="1"/>
    </xf>
    <xf numFmtId="49" fontId="19" fillId="0" borderId="3" xfId="0" applyNumberFormat="1" applyFont="1" applyBorder="1" applyAlignment="1">
      <alignment horizontal="center" vertical="center"/>
    </xf>
    <xf numFmtId="168" fontId="19" fillId="0" borderId="3" xfId="0" applyNumberFormat="1" applyFont="1" applyBorder="1" applyAlignment="1">
      <alignment horizontal="center" vertical="center" wrapText="1"/>
    </xf>
    <xf numFmtId="0" fontId="19" fillId="0" borderId="3" xfId="0" applyFont="1" applyBorder="1" applyAlignment="1">
      <alignment horizontal="center" vertical="top" wrapText="1"/>
    </xf>
    <xf numFmtId="43" fontId="19" fillId="0" borderId="3" xfId="1" applyFont="1" applyBorder="1" applyAlignment="1">
      <alignment horizontal="center" vertical="center"/>
    </xf>
    <xf numFmtId="49" fontId="19" fillId="0" borderId="1" xfId="0" applyNumberFormat="1" applyFont="1" applyBorder="1" applyAlignment="1">
      <alignment horizontal="center" vertical="center"/>
    </xf>
    <xf numFmtId="168" fontId="19" fillId="0" borderId="1" xfId="0" applyNumberFormat="1" applyFont="1" applyBorder="1" applyAlignment="1">
      <alignment horizontal="center" vertical="center" wrapText="1"/>
    </xf>
    <xf numFmtId="0" fontId="19" fillId="0" borderId="1" xfId="0" applyFont="1" applyBorder="1" applyAlignment="1">
      <alignment horizontal="center" vertical="top" wrapText="1"/>
    </xf>
    <xf numFmtId="43" fontId="19" fillId="0" borderId="1" xfId="1" applyFont="1" applyBorder="1" applyAlignment="1">
      <alignment horizontal="center" vertical="center"/>
    </xf>
    <xf numFmtId="43" fontId="2" fillId="0" borderId="25" xfId="1" applyFont="1" applyBorder="1" applyAlignment="1">
      <alignment vertical="center"/>
    </xf>
    <xf numFmtId="0" fontId="38" fillId="0" borderId="25" xfId="0" applyFont="1" applyBorder="1" applyAlignment="1">
      <alignment vertical="center"/>
    </xf>
    <xf numFmtId="43" fontId="91" fillId="2" borderId="4" xfId="1" applyFont="1" applyFill="1" applyBorder="1" applyAlignment="1">
      <alignment horizontal="left" vertical="center" wrapText="1"/>
    </xf>
    <xf numFmtId="43" fontId="7" fillId="0" borderId="4" xfId="1" applyFont="1" applyBorder="1" applyAlignment="1">
      <alignment horizontal="left" vertical="center" wrapText="1"/>
    </xf>
    <xf numFmtId="43" fontId="14" fillId="2" borderId="5" xfId="1" quotePrefix="1" applyFont="1" applyFill="1" applyBorder="1" applyAlignment="1">
      <alignment vertical="center" wrapText="1"/>
    </xf>
    <xf numFmtId="43" fontId="14" fillId="2" borderId="4" xfId="1" applyFont="1" applyFill="1" applyBorder="1" applyAlignment="1">
      <alignment horizontal="right" vertical="center"/>
    </xf>
    <xf numFmtId="0" fontId="0" fillId="6" borderId="0" xfId="0" applyFill="1"/>
    <xf numFmtId="0" fontId="0" fillId="7" borderId="0" xfId="0" applyFill="1"/>
    <xf numFmtId="0" fontId="0" fillId="17" borderId="0" xfId="0" applyFill="1"/>
    <xf numFmtId="0" fontId="0" fillId="15" borderId="0" xfId="0" applyFill="1"/>
    <xf numFmtId="0" fontId="106" fillId="0" borderId="0" xfId="0" applyFont="1"/>
    <xf numFmtId="0" fontId="44" fillId="0" borderId="3" xfId="6" applyFont="1" applyBorder="1" applyAlignment="1">
      <alignment horizontal="left" vertical="center" wrapText="1"/>
    </xf>
    <xf numFmtId="17" fontId="103" fillId="0" borderId="3" xfId="2" quotePrefix="1" applyNumberFormat="1" applyFont="1" applyBorder="1" applyAlignment="1">
      <alignment horizontal="center" vertical="center" wrapText="1"/>
    </xf>
    <xf numFmtId="168" fontId="104" fillId="0" borderId="4" xfId="9" applyFont="1" applyBorder="1" applyAlignment="1">
      <alignment vertical="center"/>
    </xf>
    <xf numFmtId="168" fontId="92" fillId="0" borderId="4" xfId="9" applyFont="1" applyBorder="1" applyAlignment="1">
      <alignment horizontal="left" vertical="center" wrapText="1"/>
    </xf>
    <xf numFmtId="0" fontId="1" fillId="0" borderId="0" xfId="6"/>
    <xf numFmtId="0" fontId="44" fillId="0" borderId="4" xfId="7" applyFont="1" applyBorder="1" applyAlignment="1">
      <alignment horizontal="left" vertical="center" wrapText="1"/>
    </xf>
    <xf numFmtId="0" fontId="103" fillId="0" borderId="4" xfId="7" applyFont="1" applyBorder="1" applyAlignment="1">
      <alignment vertical="center" wrapText="1"/>
    </xf>
    <xf numFmtId="0" fontId="44" fillId="0" borderId="0" xfId="6" applyFont="1" applyAlignment="1">
      <alignment horizontal="center" vertical="center"/>
    </xf>
    <xf numFmtId="0" fontId="44" fillId="0" borderId="6" xfId="6" applyFont="1" applyBorder="1" applyAlignment="1">
      <alignment horizontal="center" vertical="center"/>
    </xf>
    <xf numFmtId="168" fontId="92" fillId="0" borderId="4" xfId="9" applyFont="1" applyBorder="1" applyAlignment="1">
      <alignment horizontal="center" vertical="center" wrapText="1"/>
    </xf>
    <xf numFmtId="168" fontId="88" fillId="0" borderId="4" xfId="9" applyFont="1" applyBorder="1"/>
    <xf numFmtId="0" fontId="45" fillId="2" borderId="6" xfId="6" applyFont="1" applyFill="1" applyBorder="1" applyAlignment="1">
      <alignment horizontal="center" vertical="center" wrapText="1"/>
    </xf>
    <xf numFmtId="0" fontId="45" fillId="2" borderId="5" xfId="6" applyFont="1" applyFill="1" applyBorder="1" applyAlignment="1">
      <alignment horizontal="center" vertical="center" wrapText="1"/>
    </xf>
    <xf numFmtId="0" fontId="45" fillId="2" borderId="6" xfId="6" applyFont="1" applyFill="1" applyBorder="1" applyAlignment="1">
      <alignment vertical="center" wrapText="1"/>
    </xf>
    <xf numFmtId="0" fontId="0" fillId="2" borderId="0" xfId="0" applyFill="1" applyAlignment="1">
      <alignment horizontal="left"/>
    </xf>
    <xf numFmtId="0" fontId="104" fillId="0" borderId="3" xfId="6" applyFont="1" applyBorder="1" applyAlignment="1">
      <alignment vertical="top"/>
    </xf>
    <xf numFmtId="168" fontId="104" fillId="0" borderId="4" xfId="9" applyFont="1" applyBorder="1" applyAlignment="1">
      <alignment horizontal="center" vertical="center"/>
    </xf>
    <xf numFmtId="168" fontId="92" fillId="0" borderId="4" xfId="9" applyFont="1" applyFill="1" applyBorder="1" applyAlignment="1">
      <alignment horizontal="center" vertical="center" wrapText="1"/>
    </xf>
    <xf numFmtId="168" fontId="88" fillId="0" borderId="4" xfId="9" applyFont="1" applyFill="1" applyBorder="1"/>
    <xf numFmtId="0" fontId="104" fillId="0" borderId="4" xfId="6" applyFont="1" applyBorder="1" applyAlignment="1">
      <alignment vertical="center"/>
    </xf>
    <xf numFmtId="0" fontId="89" fillId="0" borderId="4" xfId="0" applyFont="1" applyBorder="1" applyAlignment="1">
      <alignment horizontal="center"/>
    </xf>
    <xf numFmtId="0" fontId="89" fillId="0" borderId="4" xfId="0" applyFont="1" applyBorder="1" applyAlignment="1">
      <alignment horizontal="center" vertical="center"/>
    </xf>
    <xf numFmtId="0" fontId="89" fillId="0" borderId="4" xfId="7" applyFont="1" applyBorder="1" applyAlignment="1">
      <alignment horizontal="center" vertical="center" wrapText="1"/>
    </xf>
    <xf numFmtId="0" fontId="89" fillId="0" borderId="4" xfId="8" applyFont="1" applyBorder="1" applyAlignment="1">
      <alignment horizontal="center"/>
    </xf>
    <xf numFmtId="0" fontId="107" fillId="2" borderId="4" xfId="6" applyFont="1" applyFill="1" applyBorder="1" applyAlignment="1">
      <alignment horizontal="left" vertical="center" wrapText="1"/>
    </xf>
    <xf numFmtId="0" fontId="1" fillId="0" borderId="0" xfId="6" applyAlignment="1">
      <alignment vertical="center"/>
    </xf>
    <xf numFmtId="0" fontId="44" fillId="0" borderId="6" xfId="6" applyFont="1" applyBorder="1" applyAlignment="1">
      <alignment vertical="center"/>
    </xf>
    <xf numFmtId="0" fontId="108" fillId="0" borderId="4" xfId="1" applyNumberFormat="1" applyFont="1" applyFill="1" applyBorder="1" applyAlignment="1">
      <alignment horizontal="center"/>
    </xf>
    <xf numFmtId="0" fontId="108" fillId="0" borderId="5" xfId="0" applyFont="1" applyBorder="1" applyAlignment="1">
      <alignment horizontal="center"/>
    </xf>
    <xf numFmtId="0" fontId="108" fillId="0" borderId="1" xfId="1" applyNumberFormat="1" applyFont="1" applyFill="1" applyBorder="1" applyAlignment="1">
      <alignment horizontal="center"/>
    </xf>
    <xf numFmtId="0" fontId="108" fillId="0" borderId="32" xfId="0" applyFont="1" applyBorder="1" applyAlignment="1">
      <alignment horizontal="center"/>
    </xf>
    <xf numFmtId="43" fontId="10" fillId="3" borderId="2" xfId="1" applyFont="1" applyFill="1" applyBorder="1" applyAlignment="1">
      <alignment horizontal="center" vertical="center" wrapText="1"/>
    </xf>
    <xf numFmtId="43" fontId="14" fillId="2" borderId="0" xfId="1" applyFont="1" applyFill="1" applyAlignment="1">
      <alignment vertical="center"/>
    </xf>
    <xf numFmtId="43" fontId="19" fillId="0" borderId="4" xfId="1" applyFont="1" applyBorder="1" applyAlignment="1">
      <alignment horizontal="left" vertical="center" wrapText="1"/>
    </xf>
    <xf numFmtId="43" fontId="14" fillId="0" borderId="3" xfId="1" applyFont="1" applyFill="1" applyBorder="1" applyAlignment="1">
      <alignment horizontal="center" vertical="center"/>
    </xf>
    <xf numFmtId="43" fontId="104" fillId="0" borderId="4" xfId="1" applyFont="1" applyBorder="1" applyAlignment="1">
      <alignment vertical="center"/>
    </xf>
    <xf numFmtId="43" fontId="44" fillId="0" borderId="4" xfId="1" applyFont="1" applyBorder="1" applyAlignment="1">
      <alignment vertical="center"/>
    </xf>
    <xf numFmtId="43" fontId="44" fillId="0" borderId="4" xfId="1" applyFont="1" applyBorder="1"/>
    <xf numFmtId="43" fontId="44" fillId="0" borderId="4" xfId="1" applyFont="1" applyBorder="1" applyAlignment="1">
      <alignment horizontal="center" vertical="center" wrapText="1"/>
    </xf>
    <xf numFmtId="43" fontId="1" fillId="0" borderId="0" xfId="1"/>
    <xf numFmtId="43" fontId="14" fillId="18" borderId="4" xfId="1" applyFont="1" applyFill="1" applyBorder="1" applyAlignment="1">
      <alignment vertical="center"/>
    </xf>
    <xf numFmtId="0" fontId="109" fillId="0" borderId="3" xfId="2" applyFont="1" applyBorder="1" applyAlignment="1">
      <alignment horizontal="center" vertical="center" wrapText="1"/>
    </xf>
    <xf numFmtId="0" fontId="109" fillId="0" borderId="3" xfId="2" quotePrefix="1" applyFont="1" applyBorder="1" applyAlignment="1">
      <alignment horizontal="center" vertical="center" wrapText="1"/>
    </xf>
    <xf numFmtId="172" fontId="111" fillId="0" borderId="3" xfId="1" applyNumberFormat="1" applyFont="1" applyFill="1" applyBorder="1" applyAlignment="1">
      <alignment horizontal="center" vertical="center"/>
    </xf>
    <xf numFmtId="0" fontId="109" fillId="0" borderId="3" xfId="2" quotePrefix="1" applyFont="1" applyBorder="1" applyAlignment="1">
      <alignment horizontal="center" vertical="top" wrapText="1"/>
    </xf>
    <xf numFmtId="0" fontId="112" fillId="0" borderId="3" xfId="2" applyFont="1" applyBorder="1" applyAlignment="1">
      <alignment horizontal="center" vertical="top" wrapText="1"/>
    </xf>
    <xf numFmtId="0" fontId="112" fillId="0" borderId="2" xfId="2" applyFont="1" applyBorder="1" applyAlignment="1">
      <alignment horizontal="center" vertical="top" wrapText="1"/>
    </xf>
    <xf numFmtId="0" fontId="38" fillId="0" borderId="4" xfId="0" applyFont="1" applyBorder="1" applyAlignment="1">
      <alignment horizontal="center" vertical="center" wrapText="1"/>
    </xf>
    <xf numFmtId="0" fontId="92" fillId="0" borderId="4" xfId="10" applyNumberFormat="1" applyFont="1" applyBorder="1" applyAlignment="1">
      <alignment horizontal="center"/>
    </xf>
    <xf numFmtId="0" fontId="112" fillId="0" borderId="4" xfId="2" applyFont="1" applyBorder="1" applyAlignment="1">
      <alignment horizontal="center" vertical="top" wrapText="1"/>
    </xf>
    <xf numFmtId="0" fontId="109" fillId="0" borderId="4" xfId="2" quotePrefix="1" applyFont="1" applyBorder="1" applyAlignment="1">
      <alignment vertical="top" wrapText="1"/>
    </xf>
    <xf numFmtId="0" fontId="92" fillId="0" borderId="4" xfId="5" applyFont="1" applyBorder="1"/>
    <xf numFmtId="0" fontId="92" fillId="0" borderId="4" xfId="5" applyFont="1" applyBorder="1" applyAlignment="1">
      <alignment horizontal="left"/>
    </xf>
    <xf numFmtId="0" fontId="111" fillId="0" borderId="4" xfId="10" applyNumberFormat="1" applyFont="1" applyBorder="1" applyAlignment="1">
      <alignment horizontal="center"/>
    </xf>
    <xf numFmtId="0" fontId="109" fillId="0" borderId="4" xfId="2" quotePrefix="1" applyFont="1" applyBorder="1" applyAlignment="1">
      <alignment horizontal="center" vertical="center" wrapText="1"/>
    </xf>
    <xf numFmtId="0" fontId="109" fillId="0" borderId="4" xfId="2" applyFont="1" applyBorder="1" applyAlignment="1">
      <alignment horizontal="left" vertical="top" wrapText="1"/>
    </xf>
    <xf numFmtId="172" fontId="111" fillId="0" borderId="4" xfId="1" applyNumberFormat="1" applyFont="1" applyFill="1" applyBorder="1" applyAlignment="1">
      <alignment horizontal="center" vertical="center"/>
    </xf>
    <xf numFmtId="0" fontId="74" fillId="0" borderId="3" xfId="2" applyFont="1" applyBorder="1" applyAlignment="1">
      <alignment horizontal="center" vertical="center" wrapText="1"/>
    </xf>
    <xf numFmtId="167" fontId="75" fillId="0" borderId="4" xfId="1" applyNumberFormat="1" applyFont="1" applyFill="1" applyBorder="1" applyAlignment="1">
      <alignment horizontal="center" vertical="center"/>
    </xf>
    <xf numFmtId="0" fontId="74" fillId="0" borderId="3" xfId="2" quotePrefix="1" applyFont="1" applyBorder="1" applyAlignment="1">
      <alignment horizontal="center" vertical="center" wrapText="1"/>
    </xf>
    <xf numFmtId="0" fontId="74" fillId="19" borderId="3" xfId="2" quotePrefix="1" applyFont="1" applyFill="1" applyBorder="1" applyAlignment="1">
      <alignment horizontal="center" vertical="center" wrapText="1"/>
    </xf>
    <xf numFmtId="0" fontId="74" fillId="19" borderId="3" xfId="2" applyFont="1" applyFill="1" applyBorder="1" applyAlignment="1">
      <alignment vertical="center" wrapText="1"/>
    </xf>
    <xf numFmtId="172" fontId="75" fillId="0" borderId="3" xfId="1" applyNumberFormat="1" applyFont="1" applyFill="1" applyBorder="1" applyAlignment="1">
      <alignment horizontal="center" vertical="center"/>
    </xf>
    <xf numFmtId="0" fontId="74" fillId="0" borderId="3" xfId="2" quotePrefix="1" applyFont="1" applyBorder="1" applyAlignment="1">
      <alignment horizontal="center" vertical="top" wrapText="1"/>
    </xf>
    <xf numFmtId="0" fontId="80" fillId="0" borderId="3" xfId="2" applyFont="1" applyBorder="1" applyAlignment="1">
      <alignment horizontal="center" vertical="top" wrapText="1"/>
    </xf>
    <xf numFmtId="167" fontId="75" fillId="0" borderId="5" xfId="1" applyNumberFormat="1" applyFont="1" applyFill="1" applyBorder="1" applyAlignment="1">
      <alignment horizontal="center" vertical="center"/>
    </xf>
    <xf numFmtId="0" fontId="75" fillId="0" borderId="5" xfId="0" applyFont="1" applyBorder="1" applyAlignment="1">
      <alignment horizontal="center" vertical="center"/>
    </xf>
    <xf numFmtId="0" fontId="74" fillId="19" borderId="2" xfId="2" applyFont="1" applyFill="1" applyBorder="1" applyAlignment="1">
      <alignment horizontal="center" vertical="center" wrapText="1"/>
    </xf>
    <xf numFmtId="0" fontId="74" fillId="19" borderId="2" xfId="2" applyFont="1" applyFill="1" applyBorder="1" applyAlignment="1">
      <alignment vertical="center" wrapText="1"/>
    </xf>
    <xf numFmtId="172" fontId="75" fillId="0" borderId="2" xfId="1" applyNumberFormat="1" applyFont="1" applyFill="1" applyBorder="1" applyAlignment="1">
      <alignment horizontal="center" vertical="center"/>
    </xf>
    <xf numFmtId="0" fontId="74" fillId="0" borderId="2" xfId="2" quotePrefix="1" applyFont="1" applyBorder="1" applyAlignment="1">
      <alignment horizontal="center" vertical="top" wrapText="1"/>
    </xf>
    <xf numFmtId="0" fontId="80" fillId="0" borderId="2" xfId="2" applyFont="1" applyBorder="1" applyAlignment="1">
      <alignment horizontal="center" vertical="top" wrapText="1"/>
    </xf>
    <xf numFmtId="0" fontId="113" fillId="0" borderId="4" xfId="0" applyFont="1" applyBorder="1" applyAlignment="1">
      <alignment horizontal="center" vertical="center" wrapText="1"/>
    </xf>
    <xf numFmtId="0" fontId="75" fillId="0" borderId="4" xfId="5" applyFont="1" applyBorder="1" applyAlignment="1">
      <alignment horizontal="left" wrapText="1"/>
    </xf>
    <xf numFmtId="3" fontId="75" fillId="0" borderId="4" xfId="10" applyNumberFormat="1" applyFont="1" applyBorder="1" applyAlignment="1">
      <alignment horizontal="center"/>
    </xf>
    <xf numFmtId="0" fontId="75" fillId="0" borderId="4" xfId="10" applyNumberFormat="1" applyFont="1" applyBorder="1" applyAlignment="1">
      <alignment horizontal="center"/>
    </xf>
    <xf numFmtId="0" fontId="74" fillId="0" borderId="4" xfId="2" quotePrefix="1" applyFont="1" applyBorder="1" applyAlignment="1">
      <alignment horizontal="center" vertical="center" wrapText="1"/>
    </xf>
    <xf numFmtId="43" fontId="76" fillId="0" borderId="4" xfId="1" applyFont="1" applyBorder="1" applyAlignment="1">
      <alignment horizontal="center" vertical="top" wrapText="1"/>
    </xf>
    <xf numFmtId="0" fontId="74" fillId="0" borderId="4" xfId="2" applyFont="1" applyBorder="1" applyAlignment="1">
      <alignment horizontal="left" vertical="top" wrapText="1"/>
    </xf>
    <xf numFmtId="17" fontId="74" fillId="0" borderId="4" xfId="2" applyNumberFormat="1" applyFont="1" applyBorder="1" applyAlignment="1">
      <alignment horizontal="left" vertical="top" wrapText="1"/>
    </xf>
    <xf numFmtId="168" fontId="75" fillId="2" borderId="4" xfId="10" applyFont="1" applyFill="1" applyBorder="1"/>
    <xf numFmtId="0" fontId="74" fillId="0" borderId="4" xfId="2" quotePrefix="1" applyFont="1" applyBorder="1" applyAlignment="1">
      <alignment horizontal="center" vertical="top" wrapText="1"/>
    </xf>
    <xf numFmtId="0" fontId="74" fillId="0" borderId="4" xfId="0" applyFont="1" applyBorder="1" applyAlignment="1">
      <alignment vertical="top" wrapText="1"/>
    </xf>
    <xf numFmtId="9" fontId="75" fillId="0" borderId="4" xfId="15" applyFont="1" applyFill="1" applyBorder="1" applyAlignment="1">
      <alignment horizontal="left" wrapText="1"/>
    </xf>
    <xf numFmtId="0" fontId="75" fillId="0" borderId="4" xfId="2" applyFont="1" applyBorder="1" applyAlignment="1">
      <alignment vertical="top" wrapText="1"/>
    </xf>
    <xf numFmtId="43" fontId="74" fillId="0" borderId="4" xfId="1" applyFont="1" applyBorder="1" applyAlignment="1">
      <alignment horizontal="left" vertical="top" wrapText="1"/>
    </xf>
    <xf numFmtId="0" fontId="74" fillId="0" borderId="4" xfId="2" quotePrefix="1" applyFont="1" applyBorder="1" applyAlignment="1">
      <alignment vertical="top" wrapText="1"/>
    </xf>
    <xf numFmtId="0" fontId="75" fillId="0" borderId="4" xfId="5" applyFont="1" applyBorder="1" applyAlignment="1">
      <alignment wrapText="1"/>
    </xf>
    <xf numFmtId="0" fontId="114" fillId="2" borderId="4" xfId="5" applyFont="1" applyFill="1" applyBorder="1"/>
    <xf numFmtId="0" fontId="75" fillId="0" borderId="4" xfId="5" applyFont="1" applyBorder="1"/>
    <xf numFmtId="0" fontId="75" fillId="2" borderId="4" xfId="10" applyNumberFormat="1" applyFont="1" applyFill="1" applyBorder="1" applyAlignment="1">
      <alignment horizontal="center"/>
    </xf>
    <xf numFmtId="3" fontId="75" fillId="2" borderId="4" xfId="10" applyNumberFormat="1" applyFont="1" applyFill="1" applyBorder="1" applyAlignment="1">
      <alignment horizontal="center"/>
    </xf>
    <xf numFmtId="0" fontId="75" fillId="0" borderId="4" xfId="10" applyNumberFormat="1" applyFont="1" applyBorder="1" applyAlignment="1"/>
    <xf numFmtId="43" fontId="76" fillId="0" borderId="4" xfId="1" applyFont="1" applyBorder="1" applyAlignment="1">
      <alignment vertical="top" wrapText="1"/>
    </xf>
    <xf numFmtId="0" fontId="74" fillId="0" borderId="4" xfId="2" applyFont="1" applyBorder="1" applyAlignment="1">
      <alignment vertical="top" wrapText="1"/>
    </xf>
    <xf numFmtId="168" fontId="75" fillId="0" borderId="4" xfId="10" applyFont="1" applyBorder="1" applyAlignment="1">
      <alignment horizontal="center"/>
    </xf>
    <xf numFmtId="0" fontId="75" fillId="0" borderId="4" xfId="5" applyFont="1" applyBorder="1" applyAlignment="1">
      <alignment horizontal="left"/>
    </xf>
    <xf numFmtId="43" fontId="76" fillId="0" borderId="4" xfId="1" applyFont="1" applyBorder="1" applyAlignment="1">
      <alignment vertical="center" wrapText="1"/>
    </xf>
    <xf numFmtId="43" fontId="76" fillId="0" borderId="4" xfId="1" applyFont="1" applyBorder="1" applyAlignment="1">
      <alignment horizontal="center" vertical="center" wrapText="1"/>
    </xf>
    <xf numFmtId="0" fontId="75" fillId="0" borderId="4" xfId="10" applyNumberFormat="1" applyFont="1" applyBorder="1" applyAlignment="1">
      <alignment horizontal="center" vertical="center"/>
    </xf>
    <xf numFmtId="9" fontId="75" fillId="0" borderId="4" xfId="15" applyFont="1" applyFill="1" applyBorder="1" applyAlignment="1"/>
    <xf numFmtId="9" fontId="75" fillId="0" borderId="4" xfId="15" applyFont="1" applyFill="1" applyBorder="1" applyAlignment="1">
      <alignment horizontal="left"/>
    </xf>
    <xf numFmtId="0" fontId="75" fillId="2" borderId="4" xfId="5" applyFont="1" applyFill="1" applyBorder="1" applyAlignment="1">
      <alignment wrapText="1"/>
    </xf>
    <xf numFmtId="0" fontId="75" fillId="2" borderId="4" xfId="5" applyFont="1" applyFill="1" applyBorder="1" applyAlignment="1">
      <alignment horizontal="left"/>
    </xf>
    <xf numFmtId="0" fontId="73" fillId="0" borderId="4" xfId="10" applyNumberFormat="1" applyFont="1" applyBorder="1" applyAlignment="1">
      <alignment horizontal="center"/>
    </xf>
    <xf numFmtId="0" fontId="75" fillId="0" borderId="4" xfId="10" applyNumberFormat="1" applyFont="1" applyBorder="1" applyAlignment="1">
      <alignment vertical="center"/>
    </xf>
    <xf numFmtId="0" fontId="75" fillId="0" borderId="4" xfId="10" applyNumberFormat="1" applyFont="1" applyFill="1" applyBorder="1" applyAlignment="1">
      <alignment horizontal="center"/>
    </xf>
    <xf numFmtId="0" fontId="73" fillId="0" borderId="4" xfId="0" applyFont="1" applyBorder="1" applyAlignment="1">
      <alignment horizontal="center"/>
    </xf>
    <xf numFmtId="0" fontId="75" fillId="0" borderId="4" xfId="5" applyFont="1" applyBorder="1" applyAlignment="1">
      <alignment horizontal="left" vertical="center" wrapText="1"/>
    </xf>
    <xf numFmtId="0" fontId="75" fillId="0" borderId="4" xfId="5" applyFont="1" applyBorder="1" applyAlignment="1">
      <alignment horizontal="center" vertical="center"/>
    </xf>
    <xf numFmtId="43" fontId="115" fillId="0" borderId="4" xfId="1" applyFont="1" applyBorder="1" applyAlignment="1">
      <alignment horizontal="center" vertical="top" wrapText="1"/>
    </xf>
    <xf numFmtId="172" fontId="75" fillId="0" borderId="4" xfId="1" applyNumberFormat="1" applyFont="1" applyFill="1" applyBorder="1" applyAlignment="1">
      <alignment horizontal="center" vertical="center"/>
    </xf>
    <xf numFmtId="0" fontId="74" fillId="0" borderId="1" xfId="2" quotePrefix="1" applyFont="1" applyBorder="1" applyAlignment="1">
      <alignment horizontal="center" vertical="top" wrapText="1"/>
    </xf>
    <xf numFmtId="43" fontId="74" fillId="0" borderId="4" xfId="2" applyNumberFormat="1" applyFont="1" applyBorder="1" applyAlignment="1">
      <alignment horizontal="left" vertical="top" wrapText="1"/>
    </xf>
    <xf numFmtId="0" fontId="116" fillId="2" borderId="9" xfId="0" applyFont="1" applyFill="1" applyBorder="1" applyAlignment="1">
      <alignment horizontal="center" vertical="center" wrapText="1"/>
    </xf>
    <xf numFmtId="0" fontId="116" fillId="2" borderId="4" xfId="0" applyFont="1" applyFill="1" applyBorder="1" applyAlignment="1">
      <alignment horizontal="center" vertical="center" wrapText="1"/>
    </xf>
    <xf numFmtId="0" fontId="116" fillId="2" borderId="6" xfId="0" applyFont="1" applyFill="1" applyBorder="1" applyAlignment="1">
      <alignment horizontal="center" vertical="center" wrapText="1"/>
    </xf>
    <xf numFmtId="0" fontId="116" fillId="2" borderId="20" xfId="0" applyFont="1" applyFill="1" applyBorder="1" applyAlignment="1">
      <alignment horizontal="center" vertical="center" wrapText="1"/>
    </xf>
    <xf numFmtId="0" fontId="109" fillId="0" borderId="1" xfId="2" quotePrefix="1" applyFont="1" applyBorder="1" applyAlignment="1">
      <alignment horizontal="center" vertical="center" wrapText="1"/>
    </xf>
    <xf numFmtId="17" fontId="109" fillId="0" borderId="3" xfId="2" quotePrefix="1" applyNumberFormat="1" applyFont="1" applyBorder="1" applyAlignment="1">
      <alignment horizontal="center" vertical="center" wrapText="1"/>
    </xf>
    <xf numFmtId="0" fontId="116" fillId="2" borderId="3" xfId="0" applyFont="1" applyFill="1" applyBorder="1" applyAlignment="1">
      <alignment horizontal="center" vertical="center" wrapText="1"/>
    </xf>
    <xf numFmtId="0" fontId="116" fillId="2" borderId="5" xfId="0" applyFont="1" applyFill="1" applyBorder="1" applyAlignment="1">
      <alignment horizontal="center" vertical="center" wrapText="1"/>
    </xf>
    <xf numFmtId="9" fontId="111" fillId="0" borderId="4" xfId="15" applyFont="1" applyFill="1" applyBorder="1" applyAlignment="1">
      <alignment horizontal="left"/>
    </xf>
    <xf numFmtId="0" fontId="111" fillId="2" borderId="5" xfId="10" applyNumberFormat="1" applyFont="1" applyFill="1" applyBorder="1" applyAlignment="1">
      <alignment horizontal="center"/>
    </xf>
    <xf numFmtId="43" fontId="111" fillId="0" borderId="5" xfId="10" applyNumberFormat="1" applyFont="1" applyBorder="1" applyAlignment="1">
      <alignment horizontal="center"/>
    </xf>
    <xf numFmtId="0" fontId="109" fillId="0" borderId="4" xfId="2" applyFont="1" applyBorder="1" applyAlignment="1">
      <alignment vertical="center" wrapText="1"/>
    </xf>
    <xf numFmtId="168" fontId="111" fillId="0" borderId="5" xfId="10" applyFont="1" applyBorder="1"/>
    <xf numFmtId="0" fontId="111" fillId="0" borderId="4" xfId="5" applyFont="1" applyBorder="1" applyAlignment="1">
      <alignment horizontal="left"/>
    </xf>
    <xf numFmtId="0" fontId="111" fillId="0" borderId="5" xfId="10" applyNumberFormat="1" applyFont="1" applyBorder="1" applyAlignment="1">
      <alignment horizontal="center"/>
    </xf>
    <xf numFmtId="0" fontId="109" fillId="0" borderId="4" xfId="2" applyFont="1" applyBorder="1" applyAlignment="1">
      <alignment horizontal="center" vertical="center" wrapText="1"/>
    </xf>
    <xf numFmtId="0" fontId="109" fillId="0" borderId="4" xfId="2" applyFont="1" applyBorder="1" applyAlignment="1">
      <alignment horizontal="left" vertical="center" wrapText="1"/>
    </xf>
    <xf numFmtId="17" fontId="109" fillId="0" borderId="4" xfId="2" applyNumberFormat="1" applyFont="1" applyBorder="1" applyAlignment="1">
      <alignment horizontal="left" vertical="center" wrapText="1"/>
    </xf>
    <xf numFmtId="168" fontId="111" fillId="0" borderId="8" xfId="10" applyFont="1" applyBorder="1"/>
    <xf numFmtId="0" fontId="109" fillId="0" borderId="4" xfId="0" applyFont="1" applyBorder="1" applyAlignment="1">
      <alignment horizontal="center" vertical="top" wrapText="1"/>
    </xf>
    <xf numFmtId="0" fontId="110" fillId="0" borderId="4" xfId="0" applyFont="1" applyBorder="1" applyAlignment="1">
      <alignment horizontal="center" vertical="center" wrapText="1"/>
    </xf>
    <xf numFmtId="0" fontId="111" fillId="0" borderId="4" xfId="5" applyFont="1" applyBorder="1"/>
    <xf numFmtId="43" fontId="111" fillId="0" borderId="4" xfId="10" applyNumberFormat="1" applyFont="1" applyBorder="1" applyAlignment="1">
      <alignment horizontal="center"/>
    </xf>
    <xf numFmtId="0" fontId="111" fillId="0" borderId="1" xfId="5" applyFont="1" applyBorder="1"/>
    <xf numFmtId="0" fontId="111" fillId="0" borderId="1" xfId="10" applyNumberFormat="1" applyFont="1" applyBorder="1" applyAlignment="1">
      <alignment horizontal="center"/>
    </xf>
    <xf numFmtId="43" fontId="111" fillId="2" borderId="20" xfId="1" applyFont="1" applyFill="1" applyBorder="1" applyAlignment="1">
      <alignment horizontal="center" vertical="center" wrapText="1"/>
    </xf>
    <xf numFmtId="0" fontId="111" fillId="0" borderId="6" xfId="5" applyFont="1" applyBorder="1"/>
    <xf numFmtId="0" fontId="109" fillId="0" borderId="3" xfId="2" applyFont="1" applyBorder="1" applyAlignment="1">
      <alignment horizontal="left" vertical="center" wrapText="1"/>
    </xf>
    <xf numFmtId="17" fontId="109" fillId="0" borderId="3" xfId="2" applyNumberFormat="1" applyFont="1" applyBorder="1" applyAlignment="1">
      <alignment horizontal="left" vertical="center" wrapText="1"/>
    </xf>
    <xf numFmtId="43" fontId="111" fillId="2" borderId="21" xfId="1" applyFont="1" applyFill="1" applyBorder="1" applyAlignment="1">
      <alignment horizontal="center" vertical="center" wrapText="1"/>
    </xf>
    <xf numFmtId="43" fontId="111" fillId="2" borderId="5" xfId="1" applyFont="1" applyFill="1" applyBorder="1" applyAlignment="1">
      <alignment horizontal="center" vertical="center" wrapText="1"/>
    </xf>
    <xf numFmtId="0" fontId="111" fillId="0" borderId="9" xfId="5" applyFont="1" applyBorder="1"/>
    <xf numFmtId="43" fontId="111" fillId="2" borderId="4" xfId="1" applyFont="1" applyFill="1" applyBorder="1" applyAlignment="1">
      <alignment horizontal="center" vertical="center" wrapText="1"/>
    </xf>
    <xf numFmtId="0" fontId="109" fillId="0" borderId="3" xfId="0" applyFont="1" applyBorder="1" applyAlignment="1">
      <alignment horizontal="center" vertical="top" wrapText="1"/>
    </xf>
    <xf numFmtId="0" fontId="111" fillId="0" borderId="3" xfId="10" applyNumberFormat="1" applyFont="1" applyBorder="1" applyAlignment="1">
      <alignment horizontal="center"/>
    </xf>
    <xf numFmtId="43" fontId="111" fillId="2" borderId="3" xfId="1" applyFont="1" applyFill="1" applyBorder="1" applyAlignment="1">
      <alignment horizontal="center" vertical="center" wrapText="1"/>
    </xf>
    <xf numFmtId="0" fontId="109" fillId="0" borderId="3" xfId="2" quotePrefix="1" applyFont="1" applyBorder="1" applyAlignment="1">
      <alignment vertical="top" wrapText="1"/>
    </xf>
    <xf numFmtId="0" fontId="117" fillId="0" borderId="4" xfId="0" applyFont="1" applyBorder="1" applyAlignment="1">
      <alignment vertical="center"/>
    </xf>
    <xf numFmtId="0" fontId="117" fillId="0" borderId="4" xfId="0" applyFont="1" applyBorder="1"/>
    <xf numFmtId="0" fontId="111" fillId="0" borderId="4" xfId="0" applyFont="1" applyBorder="1"/>
    <xf numFmtId="43" fontId="111" fillId="0" borderId="4" xfId="1" applyFont="1" applyBorder="1"/>
    <xf numFmtId="0" fontId="111" fillId="0" borderId="4" xfId="0" applyFont="1" applyBorder="1" applyAlignment="1">
      <alignment vertical="center"/>
    </xf>
    <xf numFmtId="43" fontId="111" fillId="0" borderId="4" xfId="1" applyFont="1" applyBorder="1" applyAlignment="1">
      <alignment horizontal="center"/>
    </xf>
    <xf numFmtId="0" fontId="109" fillId="0" borderId="3" xfId="2" applyFont="1" applyBorder="1"/>
    <xf numFmtId="0" fontId="111" fillId="0" borderId="3" xfId="5" applyFont="1" applyBorder="1"/>
    <xf numFmtId="0" fontId="117" fillId="0" borderId="3" xfId="2" applyFont="1" applyBorder="1" applyAlignment="1">
      <alignment vertical="center" wrapText="1"/>
    </xf>
    <xf numFmtId="43" fontId="111" fillId="0" borderId="3" xfId="1" applyFont="1" applyBorder="1"/>
    <xf numFmtId="0" fontId="109" fillId="0" borderId="2" xfId="0" applyFont="1" applyBorder="1" applyAlignment="1">
      <alignment horizontal="center" vertical="top" wrapText="1"/>
    </xf>
    <xf numFmtId="0" fontId="111" fillId="0" borderId="2" xfId="5" applyFont="1" applyBorder="1"/>
    <xf numFmtId="0" fontId="111" fillId="0" borderId="2" xfId="10" applyNumberFormat="1" applyFont="1" applyBorder="1" applyAlignment="1">
      <alignment horizontal="center"/>
    </xf>
    <xf numFmtId="0" fontId="109" fillId="0" borderId="2" xfId="2" quotePrefix="1" applyFont="1" applyBorder="1" applyAlignment="1">
      <alignment horizontal="center" vertical="center" wrapText="1"/>
    </xf>
    <xf numFmtId="0" fontId="109" fillId="0" borderId="2" xfId="2" applyFont="1" applyBorder="1" applyAlignment="1">
      <alignment horizontal="center" vertical="center" wrapText="1"/>
    </xf>
    <xf numFmtId="0" fontId="109" fillId="0" borderId="2" xfId="2" applyFont="1" applyBorder="1" applyAlignment="1">
      <alignment horizontal="left" vertical="center" wrapText="1"/>
    </xf>
    <xf numFmtId="17" fontId="109" fillId="0" borderId="2" xfId="2" applyNumberFormat="1" applyFont="1" applyBorder="1" applyAlignment="1">
      <alignment horizontal="left" vertical="center" wrapText="1"/>
    </xf>
    <xf numFmtId="43" fontId="111" fillId="2" borderId="2" xfId="1" applyFont="1" applyFill="1" applyBorder="1" applyAlignment="1">
      <alignment horizontal="center" vertical="center" wrapText="1"/>
    </xf>
    <xf numFmtId="0" fontId="109" fillId="0" borderId="2" xfId="2" quotePrefix="1" applyFont="1" applyBorder="1" applyAlignment="1">
      <alignment vertical="top" wrapText="1"/>
    </xf>
    <xf numFmtId="0" fontId="109" fillId="0" borderId="1" xfId="0" applyFont="1" applyBorder="1" applyAlignment="1">
      <alignment horizontal="center" vertical="top" wrapText="1"/>
    </xf>
    <xf numFmtId="0" fontId="109" fillId="0" borderId="1" xfId="2" applyFont="1" applyBorder="1" applyAlignment="1">
      <alignment horizontal="left" vertical="center" wrapText="1"/>
    </xf>
    <xf numFmtId="17" fontId="109" fillId="0" borderId="1" xfId="2" applyNumberFormat="1" applyFont="1" applyBorder="1" applyAlignment="1">
      <alignment horizontal="left" vertical="center" wrapText="1"/>
    </xf>
    <xf numFmtId="43" fontId="111" fillId="2" borderId="1" xfId="1" applyFont="1" applyFill="1" applyBorder="1" applyAlignment="1">
      <alignment horizontal="center" vertical="center" wrapText="1"/>
    </xf>
    <xf numFmtId="0" fontId="109" fillId="0" borderId="1" xfId="2" quotePrefix="1" applyFont="1" applyBorder="1" applyAlignment="1">
      <alignment vertical="top" wrapText="1"/>
    </xf>
    <xf numFmtId="0" fontId="112" fillId="0" borderId="1" xfId="2" applyFont="1" applyBorder="1" applyAlignment="1">
      <alignment horizontal="center" vertical="top" wrapText="1"/>
    </xf>
    <xf numFmtId="0" fontId="111" fillId="0" borderId="4" xfId="1" applyNumberFormat="1" applyFont="1" applyBorder="1"/>
    <xf numFmtId="0" fontId="111" fillId="0" borderId="4" xfId="1" applyNumberFormat="1" applyFont="1" applyBorder="1" applyAlignment="1">
      <alignment horizontal="left"/>
    </xf>
    <xf numFmtId="0" fontId="111" fillId="2" borderId="4" xfId="1" applyNumberFormat="1" applyFont="1" applyFill="1" applyBorder="1" applyAlignment="1">
      <alignment horizontal="left"/>
    </xf>
    <xf numFmtId="168" fontId="92" fillId="0" borderId="4" xfId="10" applyFont="1" applyBorder="1" applyAlignment="1">
      <alignment horizontal="center" wrapText="1"/>
    </xf>
    <xf numFmtId="9" fontId="92" fillId="0" borderId="6" xfId="15" applyFont="1" applyFill="1" applyBorder="1" applyAlignment="1">
      <alignment horizontal="left"/>
    </xf>
    <xf numFmtId="43" fontId="92" fillId="0" borderId="5" xfId="10" applyNumberFormat="1" applyFont="1" applyBorder="1" applyAlignment="1">
      <alignment horizontal="center"/>
    </xf>
    <xf numFmtId="0" fontId="92" fillId="0" borderId="6" xfId="5" applyFont="1" applyBorder="1" applyAlignment="1">
      <alignment horizontal="left"/>
    </xf>
    <xf numFmtId="0" fontId="92" fillId="0" borderId="5" xfId="10" applyNumberFormat="1" applyFont="1" applyBorder="1" applyAlignment="1">
      <alignment horizontal="center"/>
    </xf>
    <xf numFmtId="43" fontId="92" fillId="0" borderId="5" xfId="1" applyFont="1" applyBorder="1"/>
    <xf numFmtId="0" fontId="2" fillId="0" borderId="4" xfId="0" applyFont="1" applyBorder="1" applyAlignment="1">
      <alignment horizontal="center" vertical="top" wrapText="1"/>
    </xf>
    <xf numFmtId="0" fontId="92" fillId="0" borderId="6" xfId="5" applyFont="1" applyBorder="1"/>
    <xf numFmtId="43" fontId="92" fillId="0" borderId="4" xfId="10" applyNumberFormat="1" applyFont="1" applyBorder="1" applyAlignment="1">
      <alignment horizontal="center"/>
    </xf>
    <xf numFmtId="0" fontId="92" fillId="0" borderId="30" xfId="5" applyFont="1" applyBorder="1"/>
    <xf numFmtId="43" fontId="92" fillId="0" borderId="6" xfId="1" applyFont="1" applyBorder="1"/>
    <xf numFmtId="0" fontId="92" fillId="0" borderId="1" xfId="10" applyNumberFormat="1" applyFont="1" applyBorder="1" applyAlignment="1">
      <alignment horizontal="center"/>
    </xf>
    <xf numFmtId="43" fontId="92" fillId="0" borderId="3" xfId="1" applyFont="1" applyBorder="1" applyAlignment="1"/>
    <xf numFmtId="43" fontId="111" fillId="2" borderId="4" xfId="1" applyFont="1" applyFill="1" applyBorder="1" applyAlignment="1">
      <alignment vertical="center" wrapText="1"/>
    </xf>
    <xf numFmtId="0" fontId="2" fillId="0" borderId="1" xfId="0" applyFont="1" applyBorder="1" applyAlignment="1">
      <alignment horizontal="center" vertical="top" wrapText="1"/>
    </xf>
    <xf numFmtId="43" fontId="111" fillId="2" borderId="7" xfId="1" applyFont="1" applyFill="1" applyBorder="1" applyAlignment="1">
      <alignment horizontal="center" vertical="center" wrapText="1"/>
    </xf>
    <xf numFmtId="43" fontId="109" fillId="0" borderId="4" xfId="1" applyFont="1" applyBorder="1" applyAlignment="1">
      <alignment horizontal="left" vertical="center" wrapText="1"/>
    </xf>
    <xf numFmtId="0" fontId="92" fillId="0" borderId="9" xfId="5" applyFont="1" applyBorder="1"/>
    <xf numFmtId="0" fontId="92" fillId="2" borderId="30" xfId="5" applyFont="1" applyFill="1" applyBorder="1"/>
    <xf numFmtId="0" fontId="92" fillId="0" borderId="6" xfId="1" applyNumberFormat="1" applyFont="1" applyBorder="1"/>
    <xf numFmtId="0" fontId="92" fillId="0" borderId="6" xfId="1" applyNumberFormat="1" applyFont="1" applyBorder="1" applyAlignment="1">
      <alignment horizontal="left"/>
    </xf>
    <xf numFmtId="0" fontId="92" fillId="2" borderId="6" xfId="1" applyNumberFormat="1" applyFont="1" applyFill="1" applyBorder="1" applyAlignment="1">
      <alignment horizontal="left"/>
    </xf>
    <xf numFmtId="0" fontId="92" fillId="0" borderId="3" xfId="10" applyNumberFormat="1" applyFont="1" applyBorder="1" applyAlignment="1">
      <alignment horizontal="center"/>
    </xf>
    <xf numFmtId="43" fontId="109" fillId="0" borderId="3" xfId="1" applyFont="1" applyBorder="1" applyAlignment="1">
      <alignment horizontal="left" vertical="center" wrapText="1"/>
    </xf>
    <xf numFmtId="0" fontId="111" fillId="0" borderId="21" xfId="5" applyFont="1" applyBorder="1" applyAlignment="1">
      <alignment horizontal="center"/>
    </xf>
    <xf numFmtId="0" fontId="109" fillId="0" borderId="3" xfId="2" quotePrefix="1" applyFont="1" applyBorder="1" applyAlignment="1">
      <alignment vertical="center" wrapText="1"/>
    </xf>
    <xf numFmtId="0" fontId="111" fillId="0" borderId="10" xfId="5" applyFont="1" applyBorder="1" applyAlignment="1">
      <alignment horizontal="center"/>
    </xf>
    <xf numFmtId="0" fontId="109" fillId="0" borderId="2" xfId="2" quotePrefix="1" applyFont="1" applyBorder="1" applyAlignment="1">
      <alignment vertical="center" wrapText="1"/>
    </xf>
    <xf numFmtId="17" fontId="109" fillId="0" borderId="2" xfId="2" quotePrefix="1" applyNumberFormat="1" applyFont="1" applyBorder="1" applyAlignment="1">
      <alignment horizontal="center" vertical="center" wrapText="1"/>
    </xf>
    <xf numFmtId="17" fontId="109" fillId="0" borderId="2" xfId="2" applyNumberFormat="1" applyFont="1" applyBorder="1" applyAlignment="1">
      <alignment horizontal="center" vertical="center" wrapText="1"/>
    </xf>
    <xf numFmtId="0" fontId="111" fillId="0" borderId="7" xfId="5" applyFont="1" applyBorder="1" applyAlignment="1">
      <alignment horizontal="center"/>
    </xf>
    <xf numFmtId="0" fontId="111" fillId="0" borderId="1" xfId="5" applyFont="1" applyBorder="1" applyAlignment="1">
      <alignment horizontal="center"/>
    </xf>
    <xf numFmtId="0" fontId="109" fillId="0" borderId="1" xfId="2" quotePrefix="1" applyFont="1" applyBorder="1" applyAlignment="1">
      <alignment vertical="center" wrapText="1"/>
    </xf>
    <xf numFmtId="0" fontId="116" fillId="0" borderId="4" xfId="5" applyFont="1" applyBorder="1"/>
    <xf numFmtId="0" fontId="111" fillId="0" borderId="20" xfId="5" applyFont="1" applyBorder="1" applyAlignment="1">
      <alignment horizontal="center"/>
    </xf>
    <xf numFmtId="0" fontId="111" fillId="0" borderId="4" xfId="5" applyFont="1" applyBorder="1" applyAlignment="1">
      <alignment horizontal="center"/>
    </xf>
    <xf numFmtId="168" fontId="111" fillId="0" borderId="4" xfId="10" applyFont="1" applyBorder="1" applyAlignment="1">
      <alignment horizontal="center" wrapText="1"/>
    </xf>
    <xf numFmtId="3" fontId="111" fillId="0" borderId="20" xfId="5" applyNumberFormat="1" applyFont="1" applyBorder="1" applyAlignment="1">
      <alignment horizontal="center"/>
    </xf>
    <xf numFmtId="0" fontId="111" fillId="0" borderId="0" xfId="5" applyFont="1" applyAlignment="1">
      <alignment horizontal="center"/>
    </xf>
    <xf numFmtId="168" fontId="111" fillId="0" borderId="4" xfId="10" applyFont="1" applyBorder="1"/>
    <xf numFmtId="0" fontId="111" fillId="0" borderId="4" xfId="5" quotePrefix="1" applyFont="1" applyBorder="1"/>
    <xf numFmtId="0" fontId="116" fillId="0" borderId="4" xfId="5" quotePrefix="1" applyFont="1" applyBorder="1"/>
    <xf numFmtId="0" fontId="112" fillId="0" borderId="9" xfId="2" applyFont="1" applyBorder="1" applyAlignment="1">
      <alignment horizontal="center" vertical="top" wrapText="1"/>
    </xf>
    <xf numFmtId="168" fontId="111" fillId="0" borderId="2" xfId="10" applyFont="1" applyBorder="1"/>
    <xf numFmtId="0" fontId="112" fillId="0" borderId="10" xfId="2" applyFont="1" applyBorder="1" applyAlignment="1">
      <alignment horizontal="center" vertical="top" wrapText="1"/>
    </xf>
    <xf numFmtId="168" fontId="111" fillId="0" borderId="32" xfId="10" applyFont="1" applyBorder="1"/>
    <xf numFmtId="0" fontId="112" fillId="0" borderId="30" xfId="2" applyFont="1" applyBorder="1" applyAlignment="1">
      <alignment horizontal="center" vertical="top" wrapText="1"/>
    </xf>
    <xf numFmtId="0" fontId="112" fillId="0" borderId="6" xfId="2" applyFont="1" applyBorder="1" applyAlignment="1">
      <alignment horizontal="center" vertical="top" wrapText="1"/>
    </xf>
    <xf numFmtId="0" fontId="111" fillId="0" borderId="0" xfId="2" applyFont="1" applyAlignment="1">
      <alignment vertical="top"/>
    </xf>
    <xf numFmtId="0" fontId="110" fillId="2" borderId="9" xfId="0" applyFont="1" applyFill="1" applyBorder="1" applyAlignment="1">
      <alignment horizontal="center" vertical="center" wrapText="1"/>
    </xf>
    <xf numFmtId="0" fontId="110" fillId="2" borderId="4" xfId="0" applyFont="1" applyFill="1" applyBorder="1" applyAlignment="1">
      <alignment horizontal="center" vertical="center" wrapText="1"/>
    </xf>
    <xf numFmtId="0" fontId="110" fillId="2" borderId="6" xfId="0" applyFont="1" applyFill="1" applyBorder="1" applyAlignment="1">
      <alignment horizontal="center" vertical="center" wrapText="1"/>
    </xf>
    <xf numFmtId="0" fontId="109" fillId="0" borderId="3" xfId="2" applyFont="1" applyBorder="1" applyAlignment="1">
      <alignment vertical="center" wrapText="1"/>
    </xf>
    <xf numFmtId="0" fontId="110" fillId="2" borderId="5" xfId="0" applyFont="1" applyFill="1" applyBorder="1" applyAlignment="1">
      <alignment horizontal="center" vertical="center" wrapText="1"/>
    </xf>
    <xf numFmtId="0" fontId="110" fillId="2" borderId="3" xfId="0" applyFont="1" applyFill="1" applyBorder="1" applyAlignment="1">
      <alignment horizontal="center" vertical="center" wrapText="1"/>
    </xf>
    <xf numFmtId="168" fontId="111" fillId="0" borderId="3" xfId="10" applyFont="1" applyBorder="1" applyAlignment="1">
      <alignment horizontal="center" wrapText="1"/>
    </xf>
    <xf numFmtId="0" fontId="2" fillId="0" borderId="4" xfId="0" applyFont="1" applyBorder="1" applyAlignment="1">
      <alignment horizontal="center" vertical="center" wrapText="1"/>
    </xf>
    <xf numFmtId="0" fontId="111" fillId="0" borderId="4" xfId="5" applyFont="1" applyBorder="1" applyAlignment="1">
      <alignment horizontal="center" wrapText="1"/>
    </xf>
    <xf numFmtId="0" fontId="92" fillId="0" borderId="1" xfId="5" applyFont="1" applyBorder="1"/>
    <xf numFmtId="0" fontId="109" fillId="0" borderId="3" xfId="0" applyFont="1" applyBorder="1" applyAlignment="1">
      <alignment vertical="center" wrapText="1"/>
    </xf>
    <xf numFmtId="0" fontId="110" fillId="2" borderId="30" xfId="0" applyFont="1" applyFill="1" applyBorder="1" applyAlignment="1">
      <alignment horizontal="center" vertical="center" wrapText="1"/>
    </xf>
    <xf numFmtId="0" fontId="92" fillId="0" borderId="4" xfId="5" applyFont="1" applyBorder="1" applyAlignment="1">
      <alignment horizontal="center"/>
    </xf>
    <xf numFmtId="0" fontId="109" fillId="0" borderId="4" xfId="0" applyFont="1" applyBorder="1" applyAlignment="1">
      <alignment vertical="center" wrapText="1"/>
    </xf>
    <xf numFmtId="0" fontId="109" fillId="0" borderId="1" xfId="0" applyFont="1" applyBorder="1" applyAlignment="1">
      <alignment vertical="center" wrapText="1"/>
    </xf>
    <xf numFmtId="0" fontId="14" fillId="0" borderId="0" xfId="6" applyFont="1"/>
    <xf numFmtId="0" fontId="109" fillId="2" borderId="4" xfId="2" applyFont="1" applyFill="1" applyBorder="1" applyAlignment="1">
      <alignment horizontal="center" vertical="center" wrapText="1"/>
    </xf>
    <xf numFmtId="0" fontId="110" fillId="2" borderId="8" xfId="0" applyFont="1" applyFill="1" applyBorder="1" applyAlignment="1">
      <alignment horizontal="center" vertical="center" wrapText="1"/>
    </xf>
    <xf numFmtId="0" fontId="109" fillId="0" borderId="2" xfId="0" applyFont="1" applyBorder="1" applyAlignment="1">
      <alignment horizontal="center" vertical="center" wrapText="1"/>
    </xf>
    <xf numFmtId="3" fontId="111" fillId="0" borderId="4" xfId="5" applyNumberFormat="1" applyFont="1" applyBorder="1" applyAlignment="1">
      <alignment horizontal="center"/>
    </xf>
    <xf numFmtId="0" fontId="111" fillId="0" borderId="20" xfId="0" applyFont="1" applyBorder="1" applyAlignment="1">
      <alignment horizontal="center"/>
    </xf>
    <xf numFmtId="4" fontId="111" fillId="0" borderId="6" xfId="0" applyNumberFormat="1" applyFont="1" applyBorder="1"/>
    <xf numFmtId="0" fontId="111" fillId="0" borderId="4" xfId="0" applyFont="1" applyBorder="1" applyAlignment="1">
      <alignment horizontal="center"/>
    </xf>
    <xf numFmtId="3" fontId="111" fillId="0" borderId="1" xfId="5" applyNumberFormat="1" applyFont="1" applyBorder="1" applyAlignment="1">
      <alignment horizontal="center"/>
    </xf>
    <xf numFmtId="0" fontId="109" fillId="0" borderId="1" xfId="2" applyFont="1" applyBorder="1" applyAlignment="1">
      <alignment horizontal="left" vertical="top" wrapText="1"/>
    </xf>
    <xf numFmtId="0" fontId="38" fillId="0" borderId="4" xfId="0" applyFont="1" applyBorder="1" applyAlignment="1">
      <alignment horizontal="center" vertical="top" wrapText="1"/>
    </xf>
    <xf numFmtId="0" fontId="111" fillId="0" borderId="4" xfId="5" applyFont="1" applyBorder="1" applyAlignment="1">
      <alignment vertical="center" wrapText="1"/>
    </xf>
    <xf numFmtId="4" fontId="116" fillId="0" borderId="6" xfId="0" applyNumberFormat="1" applyFont="1" applyBorder="1"/>
    <xf numFmtId="4" fontId="111" fillId="0" borderId="6" xfId="5" applyNumberFormat="1" applyFont="1" applyBorder="1"/>
    <xf numFmtId="0" fontId="112" fillId="2" borderId="4" xfId="2" applyFont="1" applyFill="1" applyBorder="1" applyAlignment="1">
      <alignment horizontal="center" vertical="top" wrapText="1"/>
    </xf>
    <xf numFmtId="0" fontId="111" fillId="2" borderId="20" xfId="5" applyFont="1" applyFill="1" applyBorder="1" applyAlignment="1">
      <alignment horizontal="center"/>
    </xf>
    <xf numFmtId="0" fontId="109" fillId="2" borderId="4" xfId="2" applyFont="1" applyFill="1" applyBorder="1" applyAlignment="1">
      <alignment horizontal="left" vertical="center" wrapText="1"/>
    </xf>
    <xf numFmtId="17" fontId="109" fillId="2" borderId="4" xfId="2" applyNumberFormat="1" applyFont="1" applyFill="1" applyBorder="1" applyAlignment="1">
      <alignment horizontal="left" vertical="center" wrapText="1"/>
    </xf>
    <xf numFmtId="4" fontId="111" fillId="2" borderId="6" xfId="5" applyNumberFormat="1" applyFont="1" applyFill="1" applyBorder="1"/>
    <xf numFmtId="0" fontId="109" fillId="2" borderId="4" xfId="2" quotePrefix="1" applyFont="1" applyFill="1" applyBorder="1" applyAlignment="1">
      <alignment vertical="top" wrapText="1"/>
    </xf>
    <xf numFmtId="0" fontId="111" fillId="2" borderId="4" xfId="10" applyNumberFormat="1" applyFont="1" applyFill="1" applyBorder="1" applyAlignment="1">
      <alignment horizontal="center"/>
    </xf>
    <xf numFmtId="4" fontId="111" fillId="2" borderId="6" xfId="0" applyNumberFormat="1" applyFont="1" applyFill="1" applyBorder="1"/>
    <xf numFmtId="0" fontId="109" fillId="2" borderId="4" xfId="2" applyFont="1" applyFill="1" applyBorder="1" applyAlignment="1">
      <alignment horizontal="left" vertical="top" wrapText="1"/>
    </xf>
    <xf numFmtId="0" fontId="2" fillId="2" borderId="4" xfId="0" applyFont="1" applyFill="1" applyBorder="1" applyAlignment="1">
      <alignment horizontal="center" vertical="top" wrapText="1"/>
    </xf>
    <xf numFmtId="0" fontId="109" fillId="2" borderId="1" xfId="0" applyFont="1" applyFill="1" applyBorder="1" applyAlignment="1">
      <alignment vertical="center" wrapText="1"/>
    </xf>
    <xf numFmtId="0" fontId="111" fillId="0" borderId="20" xfId="5" applyFont="1" applyBorder="1" applyAlignment="1">
      <alignment horizontal="center" wrapText="1"/>
    </xf>
    <xf numFmtId="0" fontId="109" fillId="0" borderId="2" xfId="2" applyFont="1" applyBorder="1" applyAlignment="1">
      <alignment horizontal="left" vertical="top" wrapText="1"/>
    </xf>
    <xf numFmtId="0" fontId="14" fillId="2" borderId="21" xfId="0" applyFont="1" applyFill="1" applyBorder="1" applyAlignment="1">
      <alignment horizontal="center" vertical="top" wrapText="1"/>
    </xf>
    <xf numFmtId="0" fontId="118" fillId="0" borderId="4" xfId="10" applyNumberFormat="1" applyFont="1" applyBorder="1" applyAlignment="1">
      <alignment horizontal="center"/>
    </xf>
    <xf numFmtId="168" fontId="111" fillId="0" borderId="32" xfId="10" applyFont="1" applyBorder="1" applyAlignment="1">
      <alignment horizontal="center"/>
    </xf>
    <xf numFmtId="0" fontId="111" fillId="0" borderId="30" xfId="5" applyFont="1" applyBorder="1"/>
    <xf numFmtId="0" fontId="111" fillId="0" borderId="6" xfId="5" applyFont="1" applyBorder="1" applyAlignment="1">
      <alignment horizontal="left"/>
    </xf>
    <xf numFmtId="0" fontId="119" fillId="0" borderId="4" xfId="1" applyNumberFormat="1" applyFont="1" applyBorder="1" applyAlignment="1">
      <alignment horizontal="center"/>
    </xf>
    <xf numFmtId="0" fontId="118" fillId="0" borderId="1" xfId="5" applyFont="1" applyBorder="1" applyAlignment="1">
      <alignment horizontal="center"/>
    </xf>
    <xf numFmtId="0" fontId="118" fillId="0" borderId="4" xfId="5" applyFont="1" applyBorder="1" applyAlignment="1">
      <alignment horizontal="center"/>
    </xf>
    <xf numFmtId="0" fontId="109" fillId="0" borderId="1" xfId="0" applyFont="1" applyBorder="1" applyAlignment="1">
      <alignment horizontal="center" vertical="center" wrapText="1"/>
    </xf>
    <xf numFmtId="168" fontId="111" fillId="0" borderId="4" xfId="10" applyFont="1" applyBorder="1" applyAlignment="1">
      <alignment horizontal="center"/>
    </xf>
    <xf numFmtId="0" fontId="109" fillId="0" borderId="2" xfId="0" applyFont="1" applyBorder="1" applyAlignment="1">
      <alignment vertical="center" wrapText="1"/>
    </xf>
    <xf numFmtId="0" fontId="109" fillId="0" borderId="2" xfId="2" applyFont="1" applyBorder="1" applyAlignment="1">
      <alignment horizontal="center" vertical="top" wrapText="1"/>
    </xf>
    <xf numFmtId="0" fontId="116" fillId="0" borderId="4" xfId="5" applyFont="1" applyBorder="1" applyAlignment="1">
      <alignment horizontal="left" wrapText="1"/>
    </xf>
    <xf numFmtId="0" fontId="111" fillId="0" borderId="4" xfId="5" applyFont="1" applyBorder="1" applyAlignment="1">
      <alignment horizontal="left" wrapText="1"/>
    </xf>
    <xf numFmtId="0" fontId="109" fillId="0" borderId="2" xfId="2" applyFont="1" applyBorder="1" applyAlignment="1">
      <alignment vertical="top" wrapText="1"/>
    </xf>
    <xf numFmtId="0" fontId="110" fillId="0" borderId="4" xfId="2" applyFont="1" applyBorder="1" applyAlignment="1">
      <alignment horizontal="center" vertical="center" wrapText="1"/>
    </xf>
    <xf numFmtId="0" fontId="2" fillId="0" borderId="1" xfId="2" applyBorder="1" applyAlignment="1">
      <alignment vertical="center" wrapText="1"/>
    </xf>
    <xf numFmtId="0" fontId="39" fillId="0" borderId="5" xfId="6" applyFont="1" applyBorder="1"/>
    <xf numFmtId="0" fontId="39" fillId="0" borderId="0" xfId="6" applyFont="1"/>
    <xf numFmtId="43" fontId="25" fillId="0" borderId="25" xfId="1" applyFont="1" applyBorder="1"/>
    <xf numFmtId="0" fontId="2" fillId="0" borderId="3" xfId="2" applyBorder="1" applyAlignment="1">
      <alignment vertical="center" wrapText="1"/>
    </xf>
    <xf numFmtId="0" fontId="109" fillId="0" borderId="4" xfId="2" applyFont="1" applyBorder="1" applyAlignment="1">
      <alignment horizontal="center" wrapText="1"/>
    </xf>
    <xf numFmtId="0" fontId="109" fillId="0" borderId="4" xfId="2" applyFont="1" applyBorder="1" applyAlignment="1">
      <alignment wrapText="1"/>
    </xf>
    <xf numFmtId="0" fontId="43" fillId="2" borderId="3" xfId="11" applyFont="1" applyFill="1" applyBorder="1" applyAlignment="1">
      <alignment vertical="center" wrapText="1"/>
    </xf>
    <xf numFmtId="0" fontId="44" fillId="2" borderId="0" xfId="6" applyFont="1" applyFill="1"/>
    <xf numFmtId="0" fontId="111" fillId="0" borderId="3" xfId="0" applyFont="1" applyBorder="1"/>
    <xf numFmtId="168" fontId="111" fillId="0" borderId="22" xfId="10" applyFont="1" applyBorder="1" applyAlignment="1">
      <alignment horizontal="center"/>
    </xf>
    <xf numFmtId="0" fontId="111" fillId="0" borderId="1" xfId="0" applyFont="1" applyBorder="1"/>
    <xf numFmtId="168" fontId="111" fillId="0" borderId="1" xfId="10" applyFont="1" applyBorder="1" applyAlignment="1">
      <alignment horizontal="center"/>
    </xf>
    <xf numFmtId="0" fontId="44" fillId="0" borderId="3" xfId="6" applyFont="1" applyBorder="1"/>
    <xf numFmtId="0" fontId="44" fillId="0" borderId="3" xfId="8" applyFont="1" applyBorder="1" applyAlignment="1">
      <alignment horizontal="left" vertical="center"/>
    </xf>
    <xf numFmtId="0" fontId="44" fillId="0" borderId="1" xfId="7" applyFont="1" applyBorder="1" applyAlignment="1">
      <alignment horizontal="center" vertical="center" wrapText="1"/>
    </xf>
    <xf numFmtId="0" fontId="44" fillId="0" borderId="20" xfId="8" applyFont="1" applyBorder="1" applyAlignment="1">
      <alignment horizontal="center"/>
    </xf>
    <xf numFmtId="14" fontId="44" fillId="0" borderId="3" xfId="6" applyNumberFormat="1" applyFont="1" applyBorder="1" applyAlignment="1">
      <alignment horizontal="center"/>
    </xf>
    <xf numFmtId="0" fontId="44" fillId="0" borderId="3" xfId="6" applyFont="1" applyBorder="1" applyAlignment="1">
      <alignment horizontal="center"/>
    </xf>
    <xf numFmtId="17" fontId="44" fillId="0" borderId="3" xfId="6" applyNumberFormat="1" applyFont="1" applyBorder="1" applyAlignment="1">
      <alignment horizontal="center"/>
    </xf>
    <xf numFmtId="168" fontId="92" fillId="0" borderId="6" xfId="10" applyFont="1" applyBorder="1" applyAlignment="1">
      <alignment horizontal="left" vertical="center" wrapText="1"/>
    </xf>
    <xf numFmtId="43" fontId="92" fillId="0" borderId="3" xfId="1" applyFont="1" applyBorder="1" applyAlignment="1">
      <alignment vertical="center"/>
    </xf>
    <xf numFmtId="43" fontId="15" fillId="18" borderId="4" xfId="1" applyFont="1" applyFill="1" applyBorder="1" applyAlignment="1">
      <alignment horizontal="center" vertical="center" wrapText="1"/>
    </xf>
    <xf numFmtId="43" fontId="16" fillId="18" borderId="4" xfId="1" applyFont="1" applyFill="1" applyBorder="1" applyAlignment="1">
      <alignment horizontal="center" vertical="center" wrapText="1"/>
    </xf>
    <xf numFmtId="0" fontId="60" fillId="2" borderId="0" xfId="0" applyFont="1" applyFill="1" applyAlignment="1">
      <alignment horizontal="fill"/>
    </xf>
    <xf numFmtId="0" fontId="60" fillId="2" borderId="0" xfId="0" applyFont="1" applyFill="1"/>
    <xf numFmtId="43" fontId="60" fillId="18" borderId="0" xfId="0" applyNumberFormat="1" applyFont="1" applyFill="1"/>
    <xf numFmtId="168" fontId="65" fillId="18" borderId="4" xfId="9" applyFont="1" applyFill="1" applyBorder="1" applyAlignment="1">
      <alignment horizontal="center" vertical="center" wrapText="1"/>
    </xf>
    <xf numFmtId="168" fontId="120" fillId="18" borderId="4" xfId="6" applyNumberFormat="1" applyFont="1" applyFill="1" applyBorder="1" applyAlignment="1">
      <alignment horizontal="center" vertical="center" wrapText="1"/>
    </xf>
    <xf numFmtId="43" fontId="65" fillId="18" borderId="4" xfId="1" applyFont="1" applyFill="1" applyBorder="1"/>
    <xf numFmtId="43" fontId="65" fillId="18" borderId="4" xfId="1" applyFont="1" applyFill="1" applyBorder="1" applyAlignment="1">
      <alignment horizontal="center" vertical="center" wrapText="1"/>
    </xf>
    <xf numFmtId="168" fontId="19" fillId="18" borderId="4" xfId="6" applyNumberFormat="1" applyFont="1" applyFill="1" applyBorder="1" applyAlignment="1">
      <alignment horizontal="center" vertical="center" wrapText="1"/>
    </xf>
    <xf numFmtId="168" fontId="14" fillId="18" borderId="4" xfId="9" applyFont="1" applyFill="1" applyBorder="1" applyAlignment="1">
      <alignment horizontal="center" vertical="center" wrapText="1"/>
    </xf>
    <xf numFmtId="168" fontId="19" fillId="18" borderId="4" xfId="9" applyFont="1" applyFill="1" applyBorder="1" applyAlignment="1">
      <alignment horizontal="center" vertical="center" wrapText="1"/>
    </xf>
    <xf numFmtId="168" fontId="7" fillId="18" borderId="4" xfId="9" applyFont="1" applyFill="1" applyBorder="1" applyAlignment="1">
      <alignment horizontal="left" vertical="center" wrapText="1"/>
    </xf>
    <xf numFmtId="0" fontId="109" fillId="0" borderId="0" xfId="2" quotePrefix="1" applyFont="1" applyAlignment="1">
      <alignment vertical="top" wrapText="1"/>
    </xf>
    <xf numFmtId="0" fontId="112" fillId="0" borderId="0" xfId="2" applyFont="1" applyAlignment="1">
      <alignment horizontal="center" vertical="top" wrapText="1"/>
    </xf>
    <xf numFmtId="168" fontId="18" fillId="18" borderId="4" xfId="9" applyFont="1" applyFill="1" applyBorder="1" applyAlignment="1">
      <alignment horizontal="center" vertical="center" wrapText="1"/>
    </xf>
    <xf numFmtId="168" fontId="122" fillId="18" borderId="4" xfId="9" applyFont="1" applyFill="1" applyBorder="1" applyAlignment="1">
      <alignment horizontal="center" vertical="center" wrapText="1"/>
    </xf>
    <xf numFmtId="168" fontId="123" fillId="18" borderId="32" xfId="10" applyFont="1" applyFill="1" applyBorder="1" applyAlignment="1">
      <alignment horizontal="center"/>
    </xf>
    <xf numFmtId="168" fontId="109" fillId="0" borderId="4" xfId="2" applyNumberFormat="1" applyFont="1" applyBorder="1" applyAlignment="1">
      <alignment horizontal="left" vertical="center" wrapText="1"/>
    </xf>
    <xf numFmtId="43" fontId="7" fillId="18" borderId="4" xfId="1" applyFont="1" applyFill="1" applyBorder="1" applyAlignment="1">
      <alignment horizontal="left" vertical="center" wrapText="1"/>
    </xf>
    <xf numFmtId="0" fontId="104" fillId="0" borderId="3" xfId="0" applyFont="1" applyBorder="1" applyAlignment="1">
      <alignment horizontal="center" vertical="center" wrapText="1"/>
    </xf>
    <xf numFmtId="0" fontId="45" fillId="2" borderId="4" xfId="0" applyFont="1" applyFill="1" applyBorder="1" applyAlignment="1">
      <alignment horizontal="center" vertical="center" wrapText="1"/>
    </xf>
    <xf numFmtId="0" fontId="44" fillId="0" borderId="4" xfId="0" applyFont="1" applyBorder="1" applyAlignment="1">
      <alignment horizontal="center" vertical="center"/>
    </xf>
    <xf numFmtId="0" fontId="43" fillId="2" borderId="4" xfId="0" applyFont="1" applyFill="1" applyBorder="1" applyAlignment="1">
      <alignment horizontal="center" vertical="center" wrapText="1"/>
    </xf>
    <xf numFmtId="0" fontId="44" fillId="0" borderId="4" xfId="0" applyFont="1" applyBorder="1" applyAlignment="1">
      <alignment horizontal="center" vertical="center" wrapText="1"/>
    </xf>
    <xf numFmtId="0" fontId="125" fillId="0" borderId="3" xfId="0" applyFont="1" applyBorder="1" applyAlignment="1">
      <alignment horizontal="center" vertical="center" wrapText="1"/>
    </xf>
    <xf numFmtId="0" fontId="44" fillId="0" borderId="4" xfId="0" applyFont="1" applyBorder="1" applyAlignment="1">
      <alignment vertical="center"/>
    </xf>
    <xf numFmtId="0" fontId="126" fillId="0" borderId="4" xfId="0" applyFont="1" applyBorder="1" applyAlignment="1">
      <alignment horizontal="center" vertical="center"/>
    </xf>
    <xf numFmtId="0" fontId="127" fillId="0" borderId="6" xfId="0" applyFont="1" applyBorder="1" applyAlignment="1">
      <alignment vertical="center"/>
    </xf>
    <xf numFmtId="0" fontId="43" fillId="0" borderId="4" xfId="2" quotePrefix="1" applyFont="1" applyBorder="1" applyAlignment="1">
      <alignment horizontal="center" vertical="center" wrapText="1"/>
    </xf>
    <xf numFmtId="17" fontId="43" fillId="0" borderId="4" xfId="2" quotePrefix="1" applyNumberFormat="1" applyFont="1" applyBorder="1" applyAlignment="1">
      <alignment horizontal="center" vertical="center" wrapText="1"/>
    </xf>
    <xf numFmtId="0" fontId="43" fillId="0" borderId="4" xfId="2" quotePrefix="1" applyFont="1" applyBorder="1" applyAlignment="1">
      <alignment horizontal="center" vertical="center"/>
    </xf>
    <xf numFmtId="0" fontId="126" fillId="0" borderId="4" xfId="0" applyFont="1" applyBorder="1" applyAlignment="1">
      <alignment horizontal="center" vertical="center" wrapText="1"/>
    </xf>
    <xf numFmtId="168" fontId="126" fillId="0" borderId="4" xfId="9" applyFont="1" applyBorder="1" applyAlignment="1">
      <alignment vertical="center"/>
    </xf>
    <xf numFmtId="0" fontId="128" fillId="2" borderId="4" xfId="0" applyFont="1" applyFill="1" applyBorder="1" applyAlignment="1">
      <alignment horizontal="center" vertical="center" wrapText="1"/>
    </xf>
    <xf numFmtId="168" fontId="125" fillId="0" borderId="4" xfId="9" applyFont="1" applyBorder="1" applyAlignment="1">
      <alignment vertical="center"/>
    </xf>
    <xf numFmtId="0" fontId="43" fillId="2" borderId="6" xfId="0" applyFont="1" applyFill="1" applyBorder="1" applyAlignment="1">
      <alignment vertical="center" wrapText="1"/>
    </xf>
    <xf numFmtId="0" fontId="43" fillId="2" borderId="5" xfId="0" applyFont="1" applyFill="1" applyBorder="1" applyAlignment="1">
      <alignment vertical="center" wrapText="1"/>
    </xf>
    <xf numFmtId="0" fontId="44" fillId="0" borderId="6" xfId="0" applyFont="1" applyBorder="1" applyAlignment="1">
      <alignment vertical="center"/>
    </xf>
    <xf numFmtId="0" fontId="44" fillId="0" borderId="5" xfId="0" applyFont="1" applyBorder="1" applyAlignment="1">
      <alignment vertical="center"/>
    </xf>
    <xf numFmtId="0" fontId="125" fillId="0" borderId="2" xfId="0" applyFont="1" applyBorder="1" applyAlignment="1">
      <alignment horizontal="center" vertical="center" wrapText="1"/>
    </xf>
    <xf numFmtId="0" fontId="109" fillId="0" borderId="32" xfId="2" quotePrefix="1" applyFont="1" applyBorder="1" applyAlignment="1">
      <alignment vertical="top" wrapText="1"/>
    </xf>
    <xf numFmtId="43" fontId="111" fillId="18" borderId="4" xfId="1" applyFont="1" applyFill="1" applyBorder="1" applyAlignment="1">
      <alignment horizontal="left" vertical="center" wrapText="1"/>
    </xf>
    <xf numFmtId="0" fontId="129" fillId="0" borderId="4" xfId="0" applyFont="1" applyBorder="1" applyAlignment="1">
      <alignment vertical="center"/>
    </xf>
    <xf numFmtId="0" fontId="89" fillId="0" borderId="4" xfId="0" applyFont="1" applyBorder="1" applyAlignment="1">
      <alignment horizontal="center" vertical="center" wrapText="1"/>
    </xf>
    <xf numFmtId="0" fontId="126" fillId="0" borderId="4" xfId="0" applyFont="1" applyBorder="1" applyAlignment="1">
      <alignment vertical="center"/>
    </xf>
    <xf numFmtId="0" fontId="126" fillId="0" borderId="3" xfId="0" applyFont="1" applyBorder="1" applyAlignment="1">
      <alignment vertical="center"/>
    </xf>
    <xf numFmtId="0" fontId="44" fillId="0" borderId="30" xfId="0" applyFont="1" applyBorder="1" applyAlignment="1">
      <alignment horizontal="center" vertical="center"/>
    </xf>
    <xf numFmtId="0" fontId="44" fillId="0" borderId="20" xfId="0" applyFont="1" applyBorder="1" applyAlignment="1">
      <alignment horizontal="center" vertical="center"/>
    </xf>
    <xf numFmtId="0" fontId="109" fillId="0" borderId="6" xfId="2" applyFont="1" applyBorder="1" applyAlignment="1">
      <alignment horizontal="left" vertical="center" wrapText="1"/>
    </xf>
    <xf numFmtId="43" fontId="130" fillId="18" borderId="4" xfId="1" applyFont="1" applyFill="1" applyBorder="1" applyAlignment="1">
      <alignment horizontal="left" vertical="center" wrapText="1"/>
    </xf>
    <xf numFmtId="0" fontId="126" fillId="0" borderId="6" xfId="0" applyFont="1" applyBorder="1" applyAlignment="1">
      <alignment horizontal="center" vertical="center" wrapText="1"/>
    </xf>
    <xf numFmtId="0" fontId="128" fillId="2" borderId="5" xfId="0" applyFont="1" applyFill="1" applyBorder="1" applyAlignment="1">
      <alignment horizontal="center" vertical="center" wrapText="1"/>
    </xf>
    <xf numFmtId="168" fontId="104" fillId="0" borderId="3" xfId="9" applyFont="1" applyBorder="1" applyAlignment="1">
      <alignment vertical="center"/>
    </xf>
    <xf numFmtId="43" fontId="128" fillId="0" borderId="4" xfId="1" applyFont="1" applyBorder="1" applyAlignment="1">
      <alignment vertical="center"/>
    </xf>
    <xf numFmtId="0" fontId="44" fillId="0" borderId="6" xfId="0" applyFont="1" applyBorder="1" applyAlignment="1">
      <alignment horizontal="center" vertical="center"/>
    </xf>
    <xf numFmtId="0" fontId="44" fillId="0" borderId="5" xfId="0" applyFont="1" applyBorder="1" applyAlignment="1">
      <alignment horizontal="center" vertical="center"/>
    </xf>
    <xf numFmtId="0" fontId="25" fillId="0" borderId="9" xfId="0" applyFont="1" applyBorder="1"/>
    <xf numFmtId="0" fontId="0" fillId="0" borderId="9" xfId="0" applyBorder="1" applyAlignment="1">
      <alignment wrapText="1"/>
    </xf>
    <xf numFmtId="0" fontId="63" fillId="2" borderId="2" xfId="6" applyFont="1" applyFill="1" applyBorder="1" applyAlignment="1">
      <alignment vertical="center" wrapText="1"/>
    </xf>
    <xf numFmtId="0" fontId="109" fillId="0" borderId="2" xfId="2" applyFont="1" applyBorder="1" applyAlignment="1">
      <alignment vertical="center" wrapText="1"/>
    </xf>
    <xf numFmtId="0" fontId="104" fillId="0" borderId="3" xfId="5" applyFont="1" applyBorder="1" applyAlignment="1">
      <alignment horizontal="center" vertical="center" wrapText="1"/>
    </xf>
    <xf numFmtId="0" fontId="45" fillId="2" borderId="4" xfId="5" applyFont="1" applyFill="1" applyBorder="1" applyAlignment="1">
      <alignment horizontal="center" vertical="center" wrapText="1"/>
    </xf>
    <xf numFmtId="0" fontId="125" fillId="0" borderId="3" xfId="5" applyFont="1" applyBorder="1" applyAlignment="1">
      <alignment horizontal="center" vertical="center" wrapText="1"/>
    </xf>
    <xf numFmtId="0" fontId="132" fillId="2" borderId="4" xfId="5" applyFont="1" applyFill="1" applyBorder="1" applyAlignment="1">
      <alignment vertical="center"/>
    </xf>
    <xf numFmtId="0" fontId="132" fillId="2" borderId="4" xfId="5" applyFont="1" applyFill="1" applyBorder="1" applyAlignment="1">
      <alignment horizontal="center" vertical="center"/>
    </xf>
    <xf numFmtId="0" fontId="43" fillId="2" borderId="6" xfId="5" applyFont="1" applyFill="1" applyBorder="1" applyAlignment="1">
      <alignment vertical="center" wrapText="1"/>
    </xf>
    <xf numFmtId="0" fontId="44" fillId="0" borderId="4" xfId="5" applyFont="1" applyBorder="1" applyAlignment="1">
      <alignment horizontal="center" vertical="center"/>
    </xf>
    <xf numFmtId="0" fontId="43" fillId="2" borderId="4" xfId="5" applyFont="1" applyFill="1" applyBorder="1" applyAlignment="1">
      <alignment horizontal="center" vertical="center" wrapText="1"/>
    </xf>
    <xf numFmtId="0" fontId="44" fillId="0" borderId="4" xfId="5" applyFont="1" applyBorder="1" applyAlignment="1">
      <alignment horizontal="center" vertical="center" wrapText="1"/>
    </xf>
    <xf numFmtId="0" fontId="126" fillId="0" borderId="4" xfId="5" applyFont="1" applyBorder="1" applyAlignment="1">
      <alignment horizontal="center" vertical="center"/>
    </xf>
    <xf numFmtId="0" fontId="126" fillId="0" borderId="4" xfId="5" applyFont="1" applyBorder="1" applyAlignment="1">
      <alignment horizontal="center" vertical="center" wrapText="1"/>
    </xf>
    <xf numFmtId="0" fontId="128" fillId="2" borderId="4" xfId="5" applyFont="1" applyFill="1" applyBorder="1" applyAlignment="1">
      <alignment horizontal="center" vertical="center" wrapText="1"/>
    </xf>
    <xf numFmtId="0" fontId="44" fillId="0" borderId="4" xfId="0" applyFont="1" applyBorder="1" applyAlignment="1">
      <alignment vertical="center" wrapText="1"/>
    </xf>
    <xf numFmtId="168" fontId="133" fillId="0" borderId="4" xfId="9" applyFont="1" applyBorder="1" applyAlignment="1">
      <alignment vertical="center"/>
    </xf>
    <xf numFmtId="168" fontId="14" fillId="2" borderId="1" xfId="9" applyFont="1" applyFill="1" applyBorder="1" applyAlignment="1">
      <alignment horizontal="center" vertical="center" wrapText="1"/>
    </xf>
    <xf numFmtId="0" fontId="111" fillId="0" borderId="6" xfId="5" applyFont="1" applyBorder="1" applyAlignment="1">
      <alignment horizontal="center"/>
    </xf>
    <xf numFmtId="0" fontId="44" fillId="0" borderId="6" xfId="0" applyFont="1" applyBorder="1" applyAlignment="1">
      <alignment horizontal="center" vertical="center" wrapText="1"/>
    </xf>
    <xf numFmtId="0" fontId="75" fillId="0" borderId="2" xfId="2" applyFont="1" applyBorder="1" applyAlignment="1">
      <alignment vertical="top" wrapText="1"/>
    </xf>
    <xf numFmtId="0" fontId="75" fillId="0" borderId="2" xfId="5" applyFont="1" applyBorder="1" applyAlignment="1">
      <alignment horizontal="center" vertical="center"/>
    </xf>
    <xf numFmtId="3" fontId="75" fillId="2" borderId="2" xfId="10" applyNumberFormat="1" applyFont="1" applyFill="1" applyBorder="1" applyAlignment="1">
      <alignment horizontal="center"/>
    </xf>
    <xf numFmtId="0" fontId="75" fillId="0" borderId="2" xfId="10" applyNumberFormat="1" applyFont="1" applyBorder="1" applyAlignment="1">
      <alignment horizontal="center"/>
    </xf>
    <xf numFmtId="0" fontId="74" fillId="0" borderId="22" xfId="2" quotePrefix="1" applyFont="1" applyBorder="1" applyAlignment="1">
      <alignment horizontal="center" vertical="center" wrapText="1"/>
    </xf>
    <xf numFmtId="43" fontId="115" fillId="0" borderId="2" xfId="1" applyFont="1" applyBorder="1" applyAlignment="1">
      <alignment horizontal="center" vertical="top" wrapText="1"/>
    </xf>
    <xf numFmtId="0" fontId="74" fillId="0" borderId="2" xfId="2" applyFont="1" applyBorder="1" applyAlignment="1">
      <alignment horizontal="left" vertical="top" wrapText="1"/>
    </xf>
    <xf numFmtId="17" fontId="74" fillId="0" borderId="0" xfId="2" applyNumberFormat="1" applyFont="1" applyAlignment="1">
      <alignment horizontal="left" vertical="top" wrapText="1"/>
    </xf>
    <xf numFmtId="0" fontId="74" fillId="0" borderId="2" xfId="2" quotePrefix="1" applyFont="1" applyBorder="1" applyAlignment="1">
      <alignment vertical="top" wrapText="1"/>
    </xf>
    <xf numFmtId="0" fontId="134" fillId="0" borderId="3" xfId="0" applyFont="1" applyBorder="1" applyAlignment="1">
      <alignment horizontal="center" vertical="center" wrapText="1"/>
    </xf>
    <xf numFmtId="0" fontId="135" fillId="2" borderId="4" xfId="0" applyFont="1" applyFill="1" applyBorder="1" applyAlignment="1">
      <alignment horizontal="center" vertical="center" wrapText="1"/>
    </xf>
    <xf numFmtId="0" fontId="126" fillId="0" borderId="3" xfId="0" applyFont="1" applyBorder="1" applyAlignment="1">
      <alignment horizontal="center" vertical="center" wrapText="1"/>
    </xf>
    <xf numFmtId="0" fontId="124" fillId="0" borderId="4" xfId="0" applyFont="1" applyBorder="1" applyAlignment="1">
      <alignment horizontal="center" vertical="center"/>
    </xf>
    <xf numFmtId="0" fontId="103" fillId="0" borderId="4" xfId="0" applyFont="1" applyBorder="1" applyAlignment="1">
      <alignment vertical="center"/>
    </xf>
    <xf numFmtId="0" fontId="103" fillId="0" borderId="4" xfId="0" applyFont="1" applyBorder="1" applyAlignment="1">
      <alignment horizontal="center" vertical="center"/>
    </xf>
    <xf numFmtId="0" fontId="132" fillId="0" borderId="4" xfId="0" applyFont="1" applyBorder="1" applyAlignment="1">
      <alignment horizontal="center" vertical="center"/>
    </xf>
    <xf numFmtId="0" fontId="136" fillId="2" borderId="4" xfId="0" applyFont="1" applyFill="1" applyBorder="1" applyAlignment="1">
      <alignment horizontal="center" vertical="center" wrapText="1"/>
    </xf>
    <xf numFmtId="0" fontId="124" fillId="0" borderId="4" xfId="0" applyFont="1" applyBorder="1" applyAlignment="1">
      <alignment horizontal="center" vertical="center" wrapText="1"/>
    </xf>
    <xf numFmtId="0" fontId="136" fillId="2" borderId="6" xfId="0" applyFont="1" applyFill="1" applyBorder="1" applyAlignment="1">
      <alignment vertical="center" wrapText="1"/>
    </xf>
    <xf numFmtId="0" fontId="73" fillId="0" borderId="30" xfId="0" applyFont="1" applyBorder="1" applyAlignment="1">
      <alignment horizontal="center" vertical="top" wrapText="1"/>
    </xf>
    <xf numFmtId="0" fontId="25" fillId="0" borderId="6" xfId="0" applyFont="1" applyBorder="1"/>
    <xf numFmtId="0" fontId="24" fillId="0" borderId="6" xfId="0" applyFont="1" applyBorder="1" applyAlignment="1">
      <alignment horizontal="center" vertical="center" wrapText="1"/>
    </xf>
    <xf numFmtId="0" fontId="24" fillId="0" borderId="6" xfId="0" applyFont="1" applyBorder="1"/>
    <xf numFmtId="49" fontId="24" fillId="0" borderId="6" xfId="0" applyNumberFormat="1" applyFont="1" applyBorder="1" applyAlignment="1">
      <alignment horizontal="center" vertical="top" wrapText="1"/>
    </xf>
    <xf numFmtId="0" fontId="9" fillId="0" borderId="6" xfId="2" applyFont="1" applyBorder="1" applyAlignment="1">
      <alignment horizontal="center" vertical="top" wrapText="1"/>
    </xf>
    <xf numFmtId="165" fontId="9" fillId="2" borderId="6" xfId="2" applyNumberFormat="1" applyFont="1" applyFill="1" applyBorder="1" applyAlignment="1">
      <alignment horizontal="center" vertical="top" wrapText="1"/>
    </xf>
    <xf numFmtId="0" fontId="4" fillId="0" borderId="6" xfId="2" applyFont="1" applyBorder="1" applyAlignment="1">
      <alignment vertical="center" wrapText="1"/>
    </xf>
    <xf numFmtId="0" fontId="4" fillId="0" borderId="6" xfId="2" applyFont="1" applyBorder="1" applyAlignment="1">
      <alignment horizontal="center" vertical="center" wrapText="1"/>
    </xf>
    <xf numFmtId="168" fontId="126" fillId="0" borderId="5" xfId="9" applyFont="1" applyBorder="1" applyAlignment="1">
      <alignment vertical="center"/>
    </xf>
    <xf numFmtId="172" fontId="75" fillId="0" borderId="22" xfId="1" applyNumberFormat="1" applyFont="1" applyFill="1" applyBorder="1" applyAlignment="1">
      <alignment horizontal="center" vertical="center"/>
    </xf>
    <xf numFmtId="0" fontId="73" fillId="0" borderId="5" xfId="0" applyFont="1" applyBorder="1" applyAlignment="1">
      <alignment horizontal="center" vertical="top" wrapText="1"/>
    </xf>
    <xf numFmtId="44" fontId="24" fillId="0" borderId="5" xfId="0" applyNumberFormat="1" applyFont="1" applyBorder="1"/>
    <xf numFmtId="0" fontId="24" fillId="0" borderId="5" xfId="0" applyFont="1" applyBorder="1" applyAlignment="1">
      <alignment horizontal="center" vertical="center" wrapText="1"/>
    </xf>
    <xf numFmtId="44" fontId="24" fillId="0" borderId="5" xfId="1" applyNumberFormat="1" applyFont="1" applyFill="1" applyBorder="1" applyAlignment="1">
      <alignment vertical="top"/>
    </xf>
    <xf numFmtId="0" fontId="9" fillId="0" borderId="5" xfId="2" applyFont="1" applyBorder="1" applyAlignment="1">
      <alignment horizontal="center" vertical="top" wrapText="1"/>
    </xf>
    <xf numFmtId="0" fontId="9" fillId="0" borderId="5" xfId="2" applyFont="1" applyBorder="1" applyAlignment="1">
      <alignment vertical="top" wrapText="1"/>
    </xf>
    <xf numFmtId="0" fontId="0" fillId="0" borderId="5" xfId="0" applyBorder="1"/>
    <xf numFmtId="0" fontId="4" fillId="0" borderId="5" xfId="2" applyFont="1" applyBorder="1" applyAlignment="1">
      <alignment vertical="center" wrapText="1"/>
    </xf>
    <xf numFmtId="0" fontId="4" fillId="0" borderId="5" xfId="2" applyFont="1" applyBorder="1" applyAlignment="1">
      <alignment horizontal="center" vertical="center" wrapText="1"/>
    </xf>
    <xf numFmtId="0" fontId="2" fillId="0" borderId="2" xfId="0" applyFont="1" applyBorder="1" applyAlignment="1">
      <alignment horizontal="center" vertical="top" wrapText="1"/>
    </xf>
    <xf numFmtId="0" fontId="92" fillId="0" borderId="10" xfId="5" applyFont="1" applyBorder="1"/>
    <xf numFmtId="0" fontId="92" fillId="0" borderId="2" xfId="10" applyNumberFormat="1" applyFont="1" applyBorder="1" applyAlignment="1">
      <alignment horizontal="center"/>
    </xf>
    <xf numFmtId="0" fontId="109" fillId="0" borderId="22" xfId="2" quotePrefix="1" applyFont="1" applyBorder="1" applyAlignment="1">
      <alignment horizontal="center" vertical="center" wrapText="1"/>
    </xf>
    <xf numFmtId="17" fontId="109" fillId="0" borderId="0" xfId="2" applyNumberFormat="1" applyFont="1" applyAlignment="1">
      <alignment horizontal="left" vertical="center" wrapText="1"/>
    </xf>
    <xf numFmtId="43" fontId="109" fillId="0" borderId="2" xfId="1" applyFont="1" applyBorder="1" applyAlignment="1">
      <alignment horizontal="left" vertical="center" wrapText="1"/>
    </xf>
    <xf numFmtId="172" fontId="111" fillId="0" borderId="2" xfId="1" applyNumberFormat="1" applyFont="1" applyFill="1" applyBorder="1" applyAlignment="1">
      <alignment horizontal="center" vertical="center"/>
    </xf>
    <xf numFmtId="43" fontId="131" fillId="18" borderId="0" xfId="0" applyNumberFormat="1" applyFont="1" applyFill="1"/>
    <xf numFmtId="0" fontId="134" fillId="0" borderId="3" xfId="5" applyFont="1" applyBorder="1" applyAlignment="1">
      <alignment horizontal="center" vertical="center" wrapText="1"/>
    </xf>
    <xf numFmtId="0" fontId="126" fillId="0" borderId="3" xfId="5" applyFont="1" applyBorder="1" applyAlignment="1">
      <alignment horizontal="center" vertical="center" wrapText="1"/>
    </xf>
    <xf numFmtId="0" fontId="132" fillId="2" borderId="4" xfId="5" applyFont="1" applyFill="1" applyBorder="1"/>
    <xf numFmtId="0" fontId="132" fillId="2" borderId="4" xfId="5" applyFont="1" applyFill="1" applyBorder="1" applyAlignment="1">
      <alignment horizontal="center"/>
    </xf>
    <xf numFmtId="0" fontId="137" fillId="2" borderId="4" xfId="5" applyFont="1" applyFill="1" applyBorder="1" applyAlignment="1">
      <alignment horizontal="center"/>
    </xf>
    <xf numFmtId="0" fontId="126" fillId="0" borderId="6" xfId="5" applyFont="1" applyBorder="1" applyAlignment="1">
      <alignment horizontal="center" vertical="center" wrapText="1"/>
    </xf>
    <xf numFmtId="0" fontId="128" fillId="2" borderId="5" xfId="5" applyFont="1" applyFill="1" applyBorder="1" applyAlignment="1">
      <alignment horizontal="center" vertical="center" wrapText="1"/>
    </xf>
    <xf numFmtId="172" fontId="111" fillId="0" borderId="22" xfId="1" applyNumberFormat="1" applyFont="1" applyFill="1" applyBorder="1" applyAlignment="1">
      <alignment horizontal="center" vertical="center"/>
    </xf>
    <xf numFmtId="43" fontId="24" fillId="0" borderId="1" xfId="1" applyFont="1" applyBorder="1"/>
    <xf numFmtId="0" fontId="103" fillId="0" borderId="4" xfId="0" applyFont="1" applyBorder="1" applyAlignment="1">
      <alignment vertical="center" wrapText="1"/>
    </xf>
    <xf numFmtId="17" fontId="109" fillId="0" borderId="6" xfId="2" applyNumberFormat="1" applyFont="1" applyBorder="1" applyAlignment="1">
      <alignment horizontal="left" vertical="center" wrapText="1"/>
    </xf>
    <xf numFmtId="168" fontId="65" fillId="0" borderId="5" xfId="9" applyFont="1" applyBorder="1" applyAlignment="1">
      <alignment horizontal="left" vertical="center" wrapText="1"/>
    </xf>
    <xf numFmtId="0" fontId="125" fillId="0" borderId="4" xfId="0" applyFont="1" applyBorder="1" applyAlignment="1">
      <alignment horizontal="center" vertical="center" wrapText="1"/>
    </xf>
    <xf numFmtId="0" fontId="69" fillId="0" borderId="6" xfId="2" applyFont="1" applyBorder="1" applyAlignment="1">
      <alignment horizontal="center" vertical="top" wrapText="1"/>
    </xf>
    <xf numFmtId="0" fontId="69" fillId="0" borderId="5" xfId="2" applyFont="1" applyBorder="1" applyAlignment="1">
      <alignment horizontal="center" vertical="top" wrapText="1"/>
    </xf>
    <xf numFmtId="0" fontId="2" fillId="0" borderId="0" xfId="0" applyFont="1" applyAlignment="1">
      <alignment horizontal="center" vertical="top" wrapText="1"/>
    </xf>
    <xf numFmtId="0" fontId="92" fillId="0" borderId="0" xfId="5" applyFont="1"/>
    <xf numFmtId="0" fontId="92" fillId="0" borderId="0" xfId="10" applyNumberFormat="1" applyFont="1" applyBorder="1" applyAlignment="1">
      <alignment horizontal="center"/>
    </xf>
    <xf numFmtId="0" fontId="109" fillId="0" borderId="0" xfId="2" quotePrefix="1" applyFont="1" applyAlignment="1">
      <alignment horizontal="center" vertical="center" wrapText="1"/>
    </xf>
    <xf numFmtId="0" fontId="109" fillId="0" borderId="0" xfId="2" applyFont="1" applyAlignment="1">
      <alignment horizontal="left" vertical="center" wrapText="1"/>
    </xf>
    <xf numFmtId="172" fontId="111" fillId="0" borderId="0" xfId="1" applyNumberFormat="1" applyFont="1" applyFill="1" applyBorder="1" applyAlignment="1">
      <alignment horizontal="center" vertical="center"/>
    </xf>
    <xf numFmtId="0" fontId="138" fillId="2" borderId="4" xfId="0" applyFont="1" applyFill="1" applyBorder="1" applyAlignment="1">
      <alignment horizontal="center" vertical="center" wrapText="1"/>
    </xf>
    <xf numFmtId="17" fontId="109" fillId="0" borderId="9" xfId="2" applyNumberFormat="1" applyFont="1" applyBorder="1" applyAlignment="1">
      <alignment horizontal="left" vertical="center" wrapText="1"/>
    </xf>
    <xf numFmtId="43" fontId="124" fillId="20" borderId="4" xfId="1" applyFont="1" applyFill="1" applyBorder="1" applyAlignment="1">
      <alignment horizontal="center" vertical="center"/>
    </xf>
    <xf numFmtId="43" fontId="136" fillId="20" borderId="4" xfId="1" applyFont="1" applyFill="1" applyBorder="1" applyAlignment="1">
      <alignment horizontal="center" vertical="center"/>
    </xf>
    <xf numFmtId="0" fontId="19" fillId="0" borderId="3" xfId="0" applyFont="1" applyBorder="1" applyAlignment="1">
      <alignment horizontal="center" vertical="center" wrapText="1"/>
    </xf>
    <xf numFmtId="0" fontId="6" fillId="0" borderId="4" xfId="2" applyFont="1" applyBorder="1" applyAlignment="1">
      <alignment horizontal="left" vertical="center" wrapText="1"/>
    </xf>
    <xf numFmtId="0" fontId="6" fillId="0" borderId="4" xfId="2" applyFont="1" applyBorder="1" applyAlignment="1">
      <alignment horizontal="center" vertical="center" wrapText="1"/>
    </xf>
    <xf numFmtId="17" fontId="6" fillId="0" borderId="4" xfId="2" applyNumberFormat="1" applyFont="1" applyBorder="1" applyAlignment="1">
      <alignment horizontal="center" vertical="center" wrapText="1"/>
    </xf>
    <xf numFmtId="0" fontId="6" fillId="2" borderId="4" xfId="2" applyFont="1" applyFill="1" applyBorder="1" applyAlignment="1">
      <alignment horizontal="center" vertical="center" wrapText="1"/>
    </xf>
    <xf numFmtId="4" fontId="6" fillId="0" borderId="4" xfId="2" applyNumberFormat="1" applyFont="1" applyBorder="1" applyAlignment="1">
      <alignment horizontal="center" vertical="center" wrapText="1"/>
    </xf>
    <xf numFmtId="0" fontId="139" fillId="0" borderId="4" xfId="2" applyFont="1" applyBorder="1" applyAlignment="1">
      <alignment horizontal="center" vertical="center" wrapText="1"/>
    </xf>
    <xf numFmtId="0" fontId="55" fillId="0" borderId="4" xfId="2" applyFont="1" applyBorder="1" applyAlignment="1">
      <alignment horizontal="center" vertical="center" wrapText="1"/>
    </xf>
    <xf numFmtId="0" fontId="54" fillId="0" borderId="4" xfId="2" applyFont="1" applyBorder="1" applyAlignment="1">
      <alignment horizontal="left" vertical="center" wrapText="1"/>
    </xf>
    <xf numFmtId="0" fontId="54" fillId="0" borderId="4" xfId="2" applyFont="1" applyBorder="1" applyAlignment="1">
      <alignment horizontal="center" vertical="center" wrapText="1"/>
    </xf>
    <xf numFmtId="17" fontId="54" fillId="0" borderId="4" xfId="2" applyNumberFormat="1" applyFont="1" applyBorder="1" applyAlignment="1">
      <alignment horizontal="center" vertical="center" wrapText="1"/>
    </xf>
    <xf numFmtId="0" fontId="54" fillId="2" borderId="4" xfId="2" applyFont="1" applyFill="1" applyBorder="1" applyAlignment="1">
      <alignment horizontal="center" vertical="center" wrapText="1"/>
    </xf>
    <xf numFmtId="4" fontId="54" fillId="0" borderId="4" xfId="2" applyNumberFormat="1" applyFont="1" applyBorder="1" applyAlignment="1">
      <alignment horizontal="center" vertical="center" wrapText="1"/>
    </xf>
    <xf numFmtId="0" fontId="53" fillId="0" borderId="4" xfId="2" applyFont="1" applyBorder="1" applyAlignment="1">
      <alignment horizontal="center" vertical="center" wrapText="1"/>
    </xf>
    <xf numFmtId="0" fontId="52" fillId="0" borderId="4" xfId="2" applyFont="1" applyBorder="1" applyAlignment="1">
      <alignment horizontal="center" vertical="center" wrapText="1"/>
    </xf>
    <xf numFmtId="0" fontId="140" fillId="0" borderId="4" xfId="0" applyFont="1" applyBorder="1" applyAlignment="1">
      <alignment horizontal="center" wrapText="1"/>
    </xf>
    <xf numFmtId="0" fontId="140" fillId="0" borderId="4" xfId="0" applyFont="1" applyBorder="1" applyAlignment="1">
      <alignment vertical="center" wrapText="1"/>
    </xf>
    <xf numFmtId="168" fontId="140" fillId="0" borderId="4" xfId="9" applyFont="1" applyBorder="1" applyAlignment="1">
      <alignment horizontal="center" vertical="center"/>
    </xf>
    <xf numFmtId="17" fontId="141" fillId="0" borderId="4" xfId="2" quotePrefix="1" applyNumberFormat="1" applyFont="1" applyBorder="1" applyAlignment="1">
      <alignment horizontal="center" vertical="center" wrapText="1"/>
    </xf>
    <xf numFmtId="0" fontId="140" fillId="0" borderId="5" xfId="0" applyFont="1" applyBorder="1" applyAlignment="1">
      <alignment horizontal="center" vertical="center"/>
    </xf>
    <xf numFmtId="168" fontId="140" fillId="0" borderId="4" xfId="9" applyFont="1" applyBorder="1" applyAlignment="1">
      <alignment vertical="center"/>
    </xf>
    <xf numFmtId="0" fontId="142" fillId="2" borderId="4" xfId="6" applyFont="1" applyFill="1" applyBorder="1" applyAlignment="1">
      <alignment horizontal="center" vertical="center" wrapText="1"/>
    </xf>
    <xf numFmtId="0" fontId="14" fillId="0" borderId="0" xfId="0" applyFont="1" applyAlignment="1">
      <alignment wrapText="1"/>
    </xf>
    <xf numFmtId="0" fontId="14" fillId="0" borderId="0" xfId="0" applyFont="1" applyAlignment="1">
      <alignment vertical="center" wrapText="1"/>
    </xf>
    <xf numFmtId="0" fontId="14" fillId="0" borderId="0" xfId="0" quotePrefix="1" applyFont="1"/>
    <xf numFmtId="0" fontId="14" fillId="5" borderId="0" xfId="0" applyFont="1" applyFill="1"/>
    <xf numFmtId="0" fontId="14" fillId="0" borderId="25" xfId="0" applyFont="1" applyBorder="1" applyAlignment="1">
      <alignment wrapText="1"/>
    </xf>
    <xf numFmtId="0" fontId="14" fillId="2" borderId="4" xfId="13" applyFont="1" applyFill="1" applyBorder="1" applyAlignment="1">
      <alignment vertical="center" wrapText="1"/>
    </xf>
    <xf numFmtId="0" fontId="19" fillId="0" borderId="4" xfId="0" applyFont="1" applyBorder="1" applyAlignment="1">
      <alignment horizontal="center" vertical="center" wrapText="1"/>
    </xf>
    <xf numFmtId="0" fontId="92" fillId="2" borderId="4" xfId="10" applyNumberFormat="1" applyFont="1" applyFill="1" applyBorder="1" applyAlignment="1">
      <alignment horizontal="center" wrapText="1"/>
    </xf>
    <xf numFmtId="0" fontId="92" fillId="2" borderId="1" xfId="10" applyNumberFormat="1" applyFont="1" applyFill="1" applyBorder="1" applyAlignment="1">
      <alignment horizontal="center" wrapText="1"/>
    </xf>
    <xf numFmtId="0" fontId="91" fillId="2" borderId="4" xfId="10" applyNumberFormat="1" applyFont="1" applyFill="1" applyBorder="1" applyAlignment="1">
      <alignment horizontal="center" wrapText="1"/>
    </xf>
    <xf numFmtId="0" fontId="92" fillId="0" borderId="1" xfId="10" applyNumberFormat="1" applyFont="1" applyBorder="1" applyAlignment="1">
      <alignment horizontal="center" wrapText="1"/>
    </xf>
    <xf numFmtId="0" fontId="92" fillId="0" borderId="4" xfId="0" applyFont="1" applyBorder="1" applyAlignment="1">
      <alignment horizontal="center" wrapText="1"/>
    </xf>
    <xf numFmtId="0" fontId="91" fillId="0" borderId="1" xfId="5" applyFont="1" applyBorder="1" applyAlignment="1">
      <alignment horizontal="center" wrapText="1"/>
    </xf>
    <xf numFmtId="0" fontId="92" fillId="0" borderId="0" xfId="10" applyNumberFormat="1" applyFont="1" applyBorder="1" applyAlignment="1">
      <alignment horizontal="center" wrapText="1"/>
    </xf>
    <xf numFmtId="0" fontId="14" fillId="0" borderId="0" xfId="0" quotePrefix="1" applyFont="1" applyAlignment="1">
      <alignment wrapText="1"/>
    </xf>
    <xf numFmtId="0" fontId="14" fillId="5" borderId="0" xfId="0" applyFont="1" applyFill="1" applyAlignment="1">
      <alignment vertical="center"/>
    </xf>
    <xf numFmtId="0" fontId="63" fillId="0" borderId="3" xfId="0" applyFont="1" applyBorder="1" applyAlignment="1">
      <alignment vertical="center" wrapText="1"/>
    </xf>
    <xf numFmtId="0" fontId="64" fillId="2" borderId="4" xfId="0" applyFont="1" applyFill="1" applyBorder="1" applyAlignment="1">
      <alignment horizontal="center" vertical="center" wrapText="1"/>
    </xf>
    <xf numFmtId="0" fontId="63" fillId="0" borderId="2" xfId="2" quotePrefix="1" applyFont="1" applyBorder="1" applyAlignment="1">
      <alignment horizontal="center" vertical="center" wrapText="1"/>
    </xf>
    <xf numFmtId="17" fontId="63" fillId="0" borderId="2" xfId="2" quotePrefix="1" applyNumberFormat="1" applyFont="1" applyBorder="1" applyAlignment="1">
      <alignment horizontal="center" vertical="center" wrapText="1"/>
    </xf>
    <xf numFmtId="17" fontId="63" fillId="0" borderId="2" xfId="2" applyNumberFormat="1" applyFont="1" applyBorder="1" applyAlignment="1">
      <alignment horizontal="center" vertical="center" wrapText="1"/>
    </xf>
    <xf numFmtId="0" fontId="63" fillId="0" borderId="3" xfId="2" applyFont="1" applyBorder="1" applyAlignment="1">
      <alignment horizontal="center" vertical="center" wrapText="1"/>
    </xf>
    <xf numFmtId="0" fontId="64" fillId="2" borderId="5" xfId="0" applyFont="1" applyFill="1" applyBorder="1" applyAlignment="1">
      <alignment horizontal="center" vertical="center" wrapText="1"/>
    </xf>
    <xf numFmtId="0" fontId="63" fillId="0" borderId="3" xfId="2" quotePrefix="1" applyFont="1" applyBorder="1" applyAlignment="1">
      <alignment horizontal="center" vertical="top" wrapText="1"/>
    </xf>
    <xf numFmtId="0" fontId="22" fillId="2" borderId="4" xfId="10" applyNumberFormat="1" applyFont="1" applyFill="1" applyBorder="1" applyAlignment="1">
      <alignment horizontal="center"/>
    </xf>
    <xf numFmtId="0" fontId="19" fillId="0" borderId="4" xfId="5" applyFont="1" applyBorder="1" applyAlignment="1">
      <alignment horizontal="center"/>
    </xf>
    <xf numFmtId="0" fontId="63" fillId="0" borderId="4" xfId="2" quotePrefix="1" applyFont="1" applyBorder="1" applyAlignment="1">
      <alignment horizontal="center" vertical="center" wrapText="1"/>
    </xf>
    <xf numFmtId="0" fontId="63" fillId="0" borderId="4" xfId="2" applyFont="1" applyBorder="1" applyAlignment="1">
      <alignment horizontal="left" vertical="center" wrapText="1"/>
    </xf>
    <xf numFmtId="17" fontId="63" fillId="0" borderId="4" xfId="2" applyNumberFormat="1" applyFont="1" applyBorder="1" applyAlignment="1">
      <alignment horizontal="left" vertical="center" wrapText="1"/>
    </xf>
    <xf numFmtId="168" fontId="19" fillId="0" borderId="5" xfId="10" applyFont="1" applyBorder="1"/>
    <xf numFmtId="0" fontId="63" fillId="0" borderId="4" xfId="2" quotePrefix="1" applyFont="1" applyBorder="1" applyAlignment="1">
      <alignment vertical="top" wrapText="1"/>
    </xf>
    <xf numFmtId="0" fontId="19" fillId="0" borderId="4" xfId="5" applyFont="1" applyBorder="1"/>
    <xf numFmtId="0" fontId="19" fillId="2" borderId="4" xfId="10" applyNumberFormat="1" applyFont="1" applyFill="1" applyBorder="1" applyAlignment="1">
      <alignment horizontal="center"/>
    </xf>
    <xf numFmtId="168" fontId="19" fillId="0" borderId="8" xfId="10" applyFont="1" applyBorder="1"/>
    <xf numFmtId="0" fontId="63" fillId="0" borderId="1" xfId="0" applyFont="1" applyBorder="1" applyAlignment="1">
      <alignment horizontal="center" vertical="center" wrapText="1"/>
    </xf>
    <xf numFmtId="0" fontId="64" fillId="0" borderId="4" xfId="0" applyFont="1" applyBorder="1" applyAlignment="1">
      <alignment horizontal="center" vertical="center" wrapText="1"/>
    </xf>
    <xf numFmtId="0" fontId="19" fillId="0" borderId="4" xfId="10" applyNumberFormat="1" applyFont="1" applyBorder="1" applyAlignment="1">
      <alignment horizontal="center"/>
    </xf>
    <xf numFmtId="0" fontId="19" fillId="0" borderId="1" xfId="5" applyFont="1" applyBorder="1"/>
    <xf numFmtId="172" fontId="19" fillId="0" borderId="4" xfId="1" applyNumberFormat="1" applyFont="1" applyFill="1" applyBorder="1" applyAlignment="1">
      <alignment horizontal="center" vertical="center"/>
    </xf>
    <xf numFmtId="0" fontId="63" fillId="0" borderId="1" xfId="0" applyFont="1" applyBorder="1" applyAlignment="1">
      <alignment vertical="center" wrapText="1"/>
    </xf>
    <xf numFmtId="0" fontId="19" fillId="0" borderId="20" xfId="5" applyFont="1" applyBorder="1" applyAlignment="1">
      <alignment horizontal="center"/>
    </xf>
    <xf numFmtId="0" fontId="63" fillId="2" borderId="3" xfId="2" applyFont="1" applyFill="1" applyBorder="1" applyAlignment="1">
      <alignment horizontal="center" vertical="center" wrapText="1"/>
    </xf>
    <xf numFmtId="0" fontId="64" fillId="2" borderId="3" xfId="0" applyFont="1" applyFill="1" applyBorder="1" applyAlignment="1">
      <alignment horizontal="center" vertical="center" wrapText="1"/>
    </xf>
    <xf numFmtId="0" fontId="64" fillId="2" borderId="8" xfId="0" applyFont="1" applyFill="1" applyBorder="1" applyAlignment="1">
      <alignment horizontal="center" vertical="center" wrapText="1"/>
    </xf>
    <xf numFmtId="0" fontId="19" fillId="0" borderId="1" xfId="10" applyNumberFormat="1" applyFont="1" applyBorder="1" applyAlignment="1">
      <alignment horizontal="center"/>
    </xf>
    <xf numFmtId="0" fontId="18" fillId="0" borderId="3" xfId="0" applyFont="1" applyBorder="1" applyAlignment="1">
      <alignment horizontal="center" vertical="center" wrapText="1"/>
    </xf>
    <xf numFmtId="0" fontId="63" fillId="2" borderId="6" xfId="0" applyFont="1" applyFill="1" applyBorder="1" applyAlignment="1">
      <alignment vertical="center" wrapText="1"/>
    </xf>
    <xf numFmtId="168" fontId="18" fillId="0" borderId="3" xfId="9" applyFont="1" applyBorder="1" applyAlignment="1">
      <alignment vertical="center"/>
    </xf>
    <xf numFmtId="0" fontId="61" fillId="0" borderId="3" xfId="0" applyFont="1" applyBorder="1" applyAlignment="1">
      <alignment horizontal="center" vertical="center" wrapText="1"/>
    </xf>
    <xf numFmtId="0" fontId="61" fillId="0" borderId="4" xfId="0" applyFont="1" applyBorder="1" applyAlignment="1">
      <alignment horizontal="center" vertical="center"/>
    </xf>
    <xf numFmtId="17" fontId="63" fillId="0" borderId="4" xfId="2" quotePrefix="1" applyNumberFormat="1" applyFont="1" applyBorder="1" applyAlignment="1">
      <alignment horizontal="center" vertical="center" wrapText="1"/>
    </xf>
    <xf numFmtId="0" fontId="63" fillId="0" borderId="4" xfId="2" quotePrefix="1" applyFont="1" applyBorder="1" applyAlignment="1">
      <alignment horizontal="center" vertical="center"/>
    </xf>
    <xf numFmtId="0" fontId="61" fillId="0" borderId="6" xfId="0" applyFont="1" applyBorder="1" applyAlignment="1">
      <alignment horizontal="center" vertical="center" wrapText="1"/>
    </xf>
    <xf numFmtId="43" fontId="143" fillId="0" borderId="4" xfId="1" applyFont="1" applyBorder="1" applyAlignment="1">
      <alignment vertical="center"/>
    </xf>
    <xf numFmtId="0" fontId="143" fillId="2" borderId="5" xfId="0" applyFont="1" applyFill="1" applyBorder="1" applyAlignment="1">
      <alignment horizontal="center" vertical="center" wrapText="1"/>
    </xf>
    <xf numFmtId="0" fontId="61" fillId="0" borderId="4" xfId="0" applyFont="1" applyBorder="1" applyAlignment="1">
      <alignment horizontal="center" vertical="center" wrapText="1"/>
    </xf>
    <xf numFmtId="17" fontId="63" fillId="0" borderId="6" xfId="2" applyNumberFormat="1" applyFont="1" applyBorder="1" applyAlignment="1">
      <alignment horizontal="left" vertical="center" wrapText="1"/>
    </xf>
    <xf numFmtId="0" fontId="144" fillId="0" borderId="4" xfId="2" quotePrefix="1" applyFont="1" applyBorder="1" applyAlignment="1">
      <alignment horizontal="center" vertical="center" wrapText="1"/>
    </xf>
    <xf numFmtId="0" fontId="144" fillId="0" borderId="4" xfId="2" applyFont="1" applyBorder="1" applyAlignment="1">
      <alignment horizontal="left" vertical="center" wrapText="1"/>
    </xf>
    <xf numFmtId="17" fontId="144" fillId="0" borderId="6" xfId="2" applyNumberFormat="1" applyFont="1" applyBorder="1" applyAlignment="1">
      <alignment horizontal="left" vertical="center" wrapText="1"/>
    </xf>
    <xf numFmtId="172" fontId="145" fillId="0" borderId="5" xfId="1" applyNumberFormat="1" applyFont="1" applyFill="1" applyBorder="1" applyAlignment="1">
      <alignment horizontal="center" vertical="center"/>
    </xf>
    <xf numFmtId="0" fontId="144" fillId="0" borderId="4" xfId="2" quotePrefix="1" applyFont="1" applyBorder="1" applyAlignment="1">
      <alignment vertical="top" wrapText="1"/>
    </xf>
    <xf numFmtId="0" fontId="128" fillId="2" borderId="32" xfId="0" applyFont="1" applyFill="1" applyBorder="1" applyAlignment="1">
      <alignment horizontal="center" vertical="center" wrapText="1"/>
    </xf>
    <xf numFmtId="0" fontId="109" fillId="0" borderId="4" xfId="2" quotePrefix="1" applyFont="1" applyBorder="1" applyAlignment="1">
      <alignment horizontal="left" vertical="center" wrapText="1"/>
    </xf>
    <xf numFmtId="0" fontId="111" fillId="0" borderId="4" xfId="5" applyFont="1" applyBorder="1" applyAlignment="1">
      <alignment horizontal="center" vertical="center"/>
    </xf>
    <xf numFmtId="0" fontId="111" fillId="0" borderId="4" xfId="10" applyNumberFormat="1" applyFont="1" applyBorder="1" applyAlignment="1">
      <alignment horizontal="center" vertical="center" wrapText="1"/>
    </xf>
    <xf numFmtId="168" fontId="111" fillId="0" borderId="32" xfId="10" applyFont="1" applyBorder="1" applyAlignment="1">
      <alignment horizontal="center" vertical="center"/>
    </xf>
    <xf numFmtId="0" fontId="109" fillId="0" borderId="0" xfId="2" quotePrefix="1" applyFont="1" applyAlignment="1">
      <alignment vertical="center" wrapText="1"/>
    </xf>
    <xf numFmtId="0" fontId="112" fillId="0" borderId="0" xfId="2" applyFont="1" applyAlignment="1">
      <alignment horizontal="center" vertical="center" wrapText="1"/>
    </xf>
    <xf numFmtId="0" fontId="66" fillId="0" borderId="25" xfId="0" applyFont="1" applyBorder="1"/>
    <xf numFmtId="0" fontId="66" fillId="0" borderId="25" xfId="0" applyFont="1" applyBorder="1" applyAlignment="1">
      <alignment horizontal="center"/>
    </xf>
    <xf numFmtId="0" fontId="146" fillId="0" borderId="25" xfId="0" applyFont="1" applyBorder="1"/>
    <xf numFmtId="0" fontId="66" fillId="0" borderId="25" xfId="0" quotePrefix="1" applyFont="1" applyBorder="1"/>
    <xf numFmtId="17" fontId="66" fillId="0" borderId="25" xfId="0" applyNumberFormat="1" applyFont="1" applyBorder="1"/>
    <xf numFmtId="0" fontId="67" fillId="0" borderId="25" xfId="0" applyFont="1" applyBorder="1" applyAlignment="1">
      <alignment horizontal="center"/>
    </xf>
    <xf numFmtId="43" fontId="66" fillId="0" borderId="25" xfId="1" applyFont="1" applyBorder="1"/>
    <xf numFmtId="0" fontId="67" fillId="0" borderId="25" xfId="0" applyFont="1" applyBorder="1"/>
    <xf numFmtId="0" fontId="147" fillId="0" borderId="25" xfId="0" applyFont="1" applyBorder="1" applyAlignment="1">
      <alignment vertical="center"/>
    </xf>
    <xf numFmtId="0" fontId="66" fillId="0" borderId="25" xfId="0" applyFont="1" applyBorder="1" applyAlignment="1">
      <alignment horizontal="left"/>
    </xf>
    <xf numFmtId="0" fontId="66" fillId="0" borderId="27" xfId="0" applyFont="1" applyBorder="1" applyAlignment="1">
      <alignment horizontal="center"/>
    </xf>
    <xf numFmtId="0" fontId="147" fillId="0" borderId="25" xfId="0" quotePrefix="1" applyFont="1" applyBorder="1" applyAlignment="1">
      <alignment vertical="center"/>
    </xf>
    <xf numFmtId="0" fontId="148" fillId="0" borderId="25" xfId="0" applyFont="1" applyBorder="1" applyAlignment="1">
      <alignment vertical="center"/>
    </xf>
    <xf numFmtId="43" fontId="147" fillId="0" borderId="25" xfId="1" applyFont="1" applyBorder="1" applyAlignment="1">
      <alignment vertical="center"/>
    </xf>
    <xf numFmtId="0" fontId="68" fillId="0" borderId="3" xfId="2" applyFont="1" applyBorder="1" applyAlignment="1">
      <alignment horizontal="center" vertical="top" wrapText="1"/>
    </xf>
    <xf numFmtId="0" fontId="19" fillId="0" borderId="4" xfId="5" applyFont="1" applyBorder="1" applyAlignment="1">
      <alignment wrapText="1"/>
    </xf>
    <xf numFmtId="3" fontId="19" fillId="0" borderId="4" xfId="5" applyNumberFormat="1" applyFont="1" applyBorder="1" applyAlignment="1">
      <alignment horizontal="center"/>
    </xf>
    <xf numFmtId="0" fontId="19" fillId="0" borderId="20" xfId="0" applyFont="1" applyBorder="1" applyAlignment="1">
      <alignment horizontal="center"/>
    </xf>
    <xf numFmtId="4" fontId="19" fillId="0" borderId="6" xfId="0" applyNumberFormat="1" applyFont="1" applyBorder="1"/>
    <xf numFmtId="0" fontId="19" fillId="0" borderId="4" xfId="0" applyFont="1" applyBorder="1" applyAlignment="1">
      <alignment horizontal="center"/>
    </xf>
    <xf numFmtId="168" fontId="19" fillId="0" borderId="21" xfId="10" applyFont="1" applyBorder="1"/>
    <xf numFmtId="168" fontId="19" fillId="0" borderId="20" xfId="10" applyFont="1" applyBorder="1"/>
    <xf numFmtId="0" fontId="19" fillId="0" borderId="5" xfId="5" applyFont="1" applyBorder="1" applyAlignment="1">
      <alignment horizontal="center"/>
    </xf>
    <xf numFmtId="172" fontId="19" fillId="0" borderId="6" xfId="1" applyNumberFormat="1" applyFont="1" applyFill="1" applyBorder="1" applyAlignment="1">
      <alignment horizontal="center" vertical="center"/>
    </xf>
    <xf numFmtId="0" fontId="19" fillId="0" borderId="0" xfId="5" applyFont="1" applyAlignment="1">
      <alignment horizontal="center"/>
    </xf>
    <xf numFmtId="0" fontId="149" fillId="0" borderId="3" xfId="0" applyFont="1" applyBorder="1" applyAlignment="1">
      <alignment horizontal="center" vertical="center" wrapText="1"/>
    </xf>
    <xf numFmtId="0" fontId="61" fillId="0" borderId="6" xfId="0" applyFont="1" applyBorder="1" applyAlignment="1">
      <alignment vertical="center"/>
    </xf>
    <xf numFmtId="0" fontId="63" fillId="0" borderId="6" xfId="2" applyFont="1" applyBorder="1" applyAlignment="1">
      <alignment horizontal="center" vertical="center" wrapText="1"/>
    </xf>
    <xf numFmtId="0" fontId="61" fillId="0" borderId="20" xfId="0" applyFont="1" applyBorder="1" applyAlignment="1">
      <alignment horizontal="center" vertical="center" wrapText="1"/>
    </xf>
    <xf numFmtId="0" fontId="14" fillId="0" borderId="1" xfId="6" applyFont="1" applyBorder="1"/>
    <xf numFmtId="0" fontId="19" fillId="0" borderId="4" xfId="10" applyNumberFormat="1" applyFont="1" applyBorder="1" applyAlignment="1">
      <alignment horizontal="center" vertical="center" wrapText="1"/>
    </xf>
    <xf numFmtId="0" fontId="63" fillId="0" borderId="4" xfId="2" quotePrefix="1" applyFont="1" applyBorder="1" applyAlignment="1">
      <alignment horizontal="left" vertical="center" wrapText="1"/>
    </xf>
    <xf numFmtId="43" fontId="63" fillId="0" borderId="2" xfId="1" applyFont="1" applyBorder="1" applyAlignment="1">
      <alignment horizontal="left" vertical="center" wrapText="1"/>
    </xf>
    <xf numFmtId="168" fontId="19" fillId="0" borderId="32" xfId="10" applyFont="1" applyBorder="1" applyAlignment="1">
      <alignment horizontal="center" vertical="center"/>
    </xf>
    <xf numFmtId="168" fontId="65" fillId="18" borderId="4" xfId="9" applyFont="1" applyFill="1" applyBorder="1" applyAlignment="1">
      <alignment horizontal="left" vertical="center" wrapText="1"/>
    </xf>
    <xf numFmtId="0" fontId="61" fillId="0" borderId="0" xfId="0" applyFont="1" applyAlignment="1">
      <alignment vertical="center"/>
    </xf>
    <xf numFmtId="43" fontId="61" fillId="0" borderId="0" xfId="1" applyFont="1"/>
    <xf numFmtId="0" fontId="65" fillId="0" borderId="4" xfId="0" applyFont="1" applyBorder="1" applyAlignment="1">
      <alignment horizontal="center" vertical="center" wrapText="1"/>
    </xf>
    <xf numFmtId="49" fontId="19" fillId="0" borderId="4" xfId="0" applyNumberFormat="1" applyFont="1" applyBorder="1" applyAlignment="1">
      <alignment vertical="center"/>
    </xf>
    <xf numFmtId="0" fontId="150" fillId="0" borderId="4" xfId="0" applyFont="1" applyBorder="1" applyAlignment="1">
      <alignment horizontal="center" vertical="top" wrapText="1"/>
    </xf>
    <xf numFmtId="43" fontId="65" fillId="0" borderId="4" xfId="1" applyFont="1" applyBorder="1" applyAlignment="1">
      <alignment vertical="center"/>
    </xf>
    <xf numFmtId="0" fontId="65" fillId="0" borderId="4" xfId="0" applyFont="1" applyBorder="1" applyAlignment="1">
      <alignment horizontal="center" vertical="center"/>
    </xf>
    <xf numFmtId="168" fontId="65" fillId="2" borderId="4" xfId="10" applyFont="1" applyFill="1" applyBorder="1" applyAlignment="1">
      <alignment horizontal="left" vertical="center" wrapText="1"/>
    </xf>
    <xf numFmtId="4" fontId="19" fillId="0" borderId="6" xfId="5" applyNumberFormat="1" applyFont="1" applyBorder="1" applyAlignment="1">
      <alignment vertical="center"/>
    </xf>
    <xf numFmtId="4" fontId="19" fillId="0" borderId="6" xfId="5" applyNumberFormat="1" applyFont="1" applyBorder="1"/>
    <xf numFmtId="0" fontId="63" fillId="0" borderId="2" xfId="2" applyFont="1" applyBorder="1" applyAlignment="1">
      <alignment horizontal="center" vertical="center" wrapText="1"/>
    </xf>
    <xf numFmtId="0" fontId="63" fillId="0" borderId="1" xfId="2" applyFont="1" applyBorder="1" applyAlignment="1">
      <alignment horizontal="left" vertical="top" wrapText="1"/>
    </xf>
    <xf numFmtId="0" fontId="63" fillId="0" borderId="4" xfId="2" applyFont="1" applyBorder="1" applyAlignment="1">
      <alignment horizontal="left" vertical="top" wrapText="1"/>
    </xf>
    <xf numFmtId="0" fontId="14" fillId="0" borderId="6" xfId="0" applyFont="1" applyBorder="1" applyAlignment="1">
      <alignment vertical="center"/>
    </xf>
    <xf numFmtId="168" fontId="61" fillId="0" borderId="4" xfId="9" applyFont="1" applyBorder="1" applyAlignment="1">
      <alignment vertical="center"/>
    </xf>
    <xf numFmtId="0" fontId="143" fillId="2" borderId="4" xfId="0" applyFont="1" applyFill="1" applyBorder="1" applyAlignment="1">
      <alignment horizontal="center" vertical="center" wrapText="1"/>
    </xf>
    <xf numFmtId="0" fontId="14" fillId="0" borderId="5" xfId="0" applyFont="1" applyBorder="1" applyAlignment="1">
      <alignment horizontal="center" vertical="center" wrapText="1"/>
    </xf>
    <xf numFmtId="0" fontId="19" fillId="2" borderId="1" xfId="10" applyNumberFormat="1" applyFont="1" applyFill="1" applyBorder="1" applyAlignment="1">
      <alignment horizontal="center"/>
    </xf>
    <xf numFmtId="0" fontId="19" fillId="0" borderId="30" xfId="5" applyFont="1" applyBorder="1" applyAlignment="1">
      <alignment horizontal="left"/>
    </xf>
    <xf numFmtId="4" fontId="19" fillId="0" borderId="6" xfId="5" applyNumberFormat="1" applyFont="1" applyBorder="1" applyAlignment="1">
      <alignment horizontal="center"/>
    </xf>
    <xf numFmtId="0" fontId="19" fillId="0" borderId="6" xfId="5" applyFont="1" applyBorder="1"/>
    <xf numFmtId="0" fontId="65" fillId="2" borderId="4" xfId="10" applyNumberFormat="1" applyFont="1" applyFill="1" applyBorder="1" applyAlignment="1">
      <alignment horizontal="center"/>
    </xf>
    <xf numFmtId="4" fontId="14" fillId="0" borderId="6" xfId="5" applyNumberFormat="1" applyFont="1" applyBorder="1" applyAlignment="1">
      <alignment horizontal="center"/>
    </xf>
    <xf numFmtId="0" fontId="19" fillId="0" borderId="4" xfId="5" applyFont="1" applyBorder="1" applyAlignment="1">
      <alignment horizontal="center" wrapText="1"/>
    </xf>
    <xf numFmtId="0" fontId="19" fillId="0" borderId="1" xfId="5" applyFont="1" applyBorder="1" applyAlignment="1">
      <alignment horizontal="center"/>
    </xf>
    <xf numFmtId="0" fontId="14" fillId="0" borderId="6" xfId="0" applyFont="1" applyBorder="1" applyAlignment="1">
      <alignment horizontal="center" vertical="center"/>
    </xf>
    <xf numFmtId="0" fontId="14" fillId="0" borderId="5" xfId="0" applyFont="1" applyBorder="1" applyAlignment="1">
      <alignment horizontal="center" vertical="center"/>
    </xf>
    <xf numFmtId="0" fontId="14" fillId="0" borderId="3" xfId="0" applyFont="1" applyBorder="1" applyAlignment="1">
      <alignment vertical="center" wrapText="1"/>
    </xf>
    <xf numFmtId="0" fontId="14" fillId="0" borderId="6" xfId="0" applyFont="1" applyBorder="1" applyAlignment="1">
      <alignment horizontal="center" vertical="center" wrapText="1"/>
    </xf>
    <xf numFmtId="43" fontId="63" fillId="0" borderId="4" xfId="1" applyFont="1" applyBorder="1" applyAlignment="1">
      <alignment vertical="center"/>
    </xf>
    <xf numFmtId="0" fontId="63" fillId="2" borderId="5" xfId="0" applyFont="1" applyFill="1" applyBorder="1" applyAlignment="1">
      <alignment horizontal="center" vertical="center" wrapText="1"/>
    </xf>
    <xf numFmtId="43" fontId="64" fillId="0" borderId="4" xfId="1" applyFont="1" applyBorder="1" applyAlignment="1">
      <alignment vertical="center"/>
    </xf>
    <xf numFmtId="0" fontId="19" fillId="0" borderId="4" xfId="2" applyFont="1" applyBorder="1" applyAlignment="1">
      <alignment horizontal="left" vertical="top" wrapText="1"/>
    </xf>
    <xf numFmtId="0" fontId="14" fillId="2" borderId="1" xfId="0" applyFont="1" applyFill="1" applyBorder="1" applyAlignment="1">
      <alignment vertical="center"/>
    </xf>
    <xf numFmtId="0" fontId="0" fillId="0" borderId="4" xfId="0" applyBorder="1" applyAlignment="1">
      <alignment vertical="center"/>
    </xf>
    <xf numFmtId="49" fontId="95" fillId="0" borderId="4" xfId="0" applyNumberFormat="1" applyFont="1" applyBorder="1" applyAlignment="1">
      <alignment vertical="center"/>
    </xf>
    <xf numFmtId="168" fontId="92" fillId="0" borderId="4" xfId="0" applyNumberFormat="1" applyFont="1" applyBorder="1" applyAlignment="1">
      <alignment vertical="center" wrapText="1"/>
    </xf>
    <xf numFmtId="43" fontId="92" fillId="0" borderId="4" xfId="1" applyFont="1" applyBorder="1" applyAlignment="1">
      <alignment vertical="center"/>
    </xf>
    <xf numFmtId="0" fontId="91" fillId="0" borderId="4" xfId="0" applyFont="1" applyBorder="1" applyAlignment="1">
      <alignment horizontal="center" vertical="top" wrapText="1"/>
    </xf>
    <xf numFmtId="0" fontId="92" fillId="0" borderId="4" xfId="0" applyFont="1" applyBorder="1" applyAlignment="1">
      <alignment horizontal="center" vertical="center" wrapText="1"/>
    </xf>
    <xf numFmtId="0" fontId="6" fillId="0" borderId="4" xfId="0" applyFont="1" applyBorder="1" applyAlignment="1">
      <alignment vertical="center"/>
    </xf>
    <xf numFmtId="4" fontId="111" fillId="0" borderId="4" xfId="0" applyNumberFormat="1" applyFont="1" applyBorder="1"/>
    <xf numFmtId="0" fontId="109" fillId="0" borderId="4" xfId="2" quotePrefix="1" applyFont="1" applyBorder="1" applyAlignment="1">
      <alignment horizontal="center" vertical="top" wrapText="1"/>
    </xf>
    <xf numFmtId="0" fontId="92" fillId="0" borderId="4" xfId="0" quotePrefix="1" applyFont="1" applyBorder="1" applyAlignment="1">
      <alignment horizontal="center" vertical="center"/>
    </xf>
    <xf numFmtId="43" fontId="14" fillId="5" borderId="4" xfId="1" applyFont="1" applyFill="1" applyBorder="1" applyAlignment="1">
      <alignment horizontal="fill" vertical="center"/>
    </xf>
    <xf numFmtId="43" fontId="14" fillId="5" borderId="4" xfId="1" applyFont="1" applyFill="1" applyBorder="1" applyAlignment="1">
      <alignment vertical="center"/>
    </xf>
    <xf numFmtId="0" fontId="0" fillId="5" borderId="0" xfId="0" applyFill="1"/>
    <xf numFmtId="49" fontId="19" fillId="0" borderId="4" xfId="0" applyNumberFormat="1" applyFont="1" applyBorder="1" applyAlignment="1">
      <alignment horizontal="center" vertical="center"/>
    </xf>
    <xf numFmtId="168" fontId="19" fillId="0" borderId="4" xfId="0" applyNumberFormat="1" applyFont="1" applyBorder="1" applyAlignment="1">
      <alignment horizontal="center" vertical="center" wrapText="1"/>
    </xf>
    <xf numFmtId="43" fontId="19" fillId="0" borderId="4" xfId="1" applyFont="1" applyBorder="1" applyAlignment="1">
      <alignment horizontal="center" vertical="center"/>
    </xf>
    <xf numFmtId="0" fontId="19" fillId="0" borderId="4" xfId="0" applyFont="1" applyBorder="1" applyAlignment="1">
      <alignment horizontal="left" vertical="center"/>
    </xf>
    <xf numFmtId="49" fontId="19" fillId="0" borderId="4" xfId="0" quotePrefix="1" applyNumberFormat="1" applyFont="1" applyBorder="1" applyAlignment="1">
      <alignment horizontal="center" vertical="center"/>
    </xf>
    <xf numFmtId="168" fontId="19" fillId="0" borderId="4" xfId="0" quotePrefix="1" applyNumberFormat="1" applyFont="1" applyBorder="1" applyAlignment="1">
      <alignment horizontal="center" vertical="center" wrapText="1"/>
    </xf>
    <xf numFmtId="43" fontId="19" fillId="0" borderId="4" xfId="1" applyFont="1" applyBorder="1" applyAlignment="1">
      <alignment vertical="center"/>
    </xf>
    <xf numFmtId="0" fontId="150" fillId="0" borderId="3" xfId="0" applyFont="1" applyBorder="1" applyAlignment="1">
      <alignment horizontal="center" vertical="top" wrapText="1"/>
    </xf>
    <xf numFmtId="43" fontId="19" fillId="0" borderId="3" xfId="1" applyFont="1" applyBorder="1" applyAlignment="1">
      <alignment vertical="center"/>
    </xf>
    <xf numFmtId="0" fontId="65" fillId="0" borderId="3" xfId="0" applyFont="1" applyBorder="1" applyAlignment="1">
      <alignment horizontal="center" vertical="center" wrapText="1"/>
    </xf>
    <xf numFmtId="0" fontId="143" fillId="0" borderId="4" xfId="2" applyFont="1" applyBorder="1" applyAlignment="1">
      <alignment horizontal="center" vertical="center" wrapText="1"/>
    </xf>
    <xf numFmtId="0" fontId="121" fillId="0" borderId="4" xfId="2" applyFont="1" applyBorder="1" applyAlignment="1">
      <alignment horizontal="left" vertical="center" wrapText="1"/>
    </xf>
    <xf numFmtId="0" fontId="121" fillId="0" borderId="4" xfId="2" applyFont="1" applyBorder="1" applyAlignment="1">
      <alignment horizontal="center" vertical="center" wrapText="1"/>
    </xf>
    <xf numFmtId="17" fontId="121" fillId="0" borderId="4" xfId="2" applyNumberFormat="1" applyFont="1" applyBorder="1" applyAlignment="1">
      <alignment horizontal="center" vertical="center" wrapText="1"/>
    </xf>
    <xf numFmtId="0" fontId="121" fillId="2" borderId="4" xfId="2" applyFont="1" applyFill="1" applyBorder="1" applyAlignment="1">
      <alignment horizontal="center" vertical="center" wrapText="1"/>
    </xf>
    <xf numFmtId="0" fontId="152" fillId="0" borderId="4" xfId="2" applyFont="1" applyBorder="1" applyAlignment="1">
      <alignment horizontal="center" vertical="center" wrapText="1"/>
    </xf>
    <xf numFmtId="0" fontId="153" fillId="0" borderId="4" xfId="2" applyFont="1" applyBorder="1" applyAlignment="1">
      <alignment horizontal="center" vertical="center" wrapText="1"/>
    </xf>
    <xf numFmtId="0" fontId="64" fillId="0" borderId="25" xfId="0" applyFont="1" applyBorder="1" applyAlignment="1">
      <alignment vertical="center"/>
    </xf>
    <xf numFmtId="43" fontId="63" fillId="0" borderId="25" xfId="1" applyFont="1" applyBorder="1" applyAlignment="1">
      <alignment vertical="center"/>
    </xf>
    <xf numFmtId="0" fontId="14" fillId="0" borderId="2" xfId="0" applyFont="1" applyBorder="1"/>
    <xf numFmtId="0" fontId="64" fillId="0" borderId="2" xfId="0" applyFont="1" applyBorder="1" applyAlignment="1">
      <alignment vertical="center"/>
    </xf>
    <xf numFmtId="0" fontId="63" fillId="0" borderId="2" xfId="0" applyFont="1" applyBorder="1" applyAlignment="1">
      <alignment vertical="center"/>
    </xf>
    <xf numFmtId="0" fontId="64" fillId="0" borderId="22" xfId="0" applyFont="1" applyBorder="1" applyAlignment="1">
      <alignment vertical="center"/>
    </xf>
    <xf numFmtId="43" fontId="63" fillId="0" borderId="2" xfId="1" applyFont="1" applyBorder="1" applyAlignment="1">
      <alignment vertical="center"/>
    </xf>
    <xf numFmtId="0" fontId="64" fillId="2" borderId="4" xfId="11" applyFont="1" applyFill="1" applyBorder="1" applyAlignment="1">
      <alignment vertical="center" wrapText="1"/>
    </xf>
    <xf numFmtId="43" fontId="65" fillId="0" borderId="4" xfId="1" applyFont="1" applyBorder="1" applyAlignment="1">
      <alignment horizontal="left" vertical="center" wrapText="1"/>
    </xf>
    <xf numFmtId="0" fontId="63" fillId="0" borderId="1" xfId="2" applyFont="1" applyBorder="1" applyAlignment="1">
      <alignment vertical="center" wrapText="1"/>
    </xf>
    <xf numFmtId="0" fontId="14" fillId="0" borderId="5" xfId="6" applyFont="1" applyBorder="1"/>
    <xf numFmtId="3" fontId="19" fillId="0" borderId="1" xfId="5" applyNumberFormat="1" applyFont="1" applyBorder="1" applyAlignment="1">
      <alignment horizontal="center"/>
    </xf>
    <xf numFmtId="0" fontId="63" fillId="0" borderId="2" xfId="0" applyFont="1" applyBorder="1" applyAlignment="1">
      <alignment vertical="center" wrapText="1"/>
    </xf>
    <xf numFmtId="168" fontId="19" fillId="0" borderId="32" xfId="10" applyFont="1" applyBorder="1" applyAlignment="1">
      <alignment horizontal="center"/>
    </xf>
    <xf numFmtId="0" fontId="63" fillId="0" borderId="2" xfId="2" applyFont="1" applyBorder="1" applyAlignment="1">
      <alignment vertical="center" wrapText="1"/>
    </xf>
    <xf numFmtId="0" fontId="63" fillId="0" borderId="2" xfId="2" applyFont="1" applyBorder="1" applyAlignment="1">
      <alignment horizontal="left" vertical="top" wrapText="1"/>
    </xf>
    <xf numFmtId="43" fontId="65" fillId="18" borderId="4" xfId="1" applyFont="1" applyFill="1" applyBorder="1" applyAlignment="1">
      <alignment horizontal="left" vertical="center" wrapText="1"/>
    </xf>
    <xf numFmtId="17" fontId="19" fillId="0" borderId="4" xfId="2" applyNumberFormat="1" applyFont="1" applyBorder="1" applyAlignment="1">
      <alignment horizontal="center" vertical="center" wrapText="1"/>
    </xf>
    <xf numFmtId="164" fontId="19" fillId="0" borderId="4" xfId="2" applyNumberFormat="1" applyFont="1" applyBorder="1" applyAlignment="1">
      <alignment horizontal="center" vertical="center" wrapText="1"/>
    </xf>
    <xf numFmtId="0" fontId="65" fillId="0" borderId="1" xfId="0" applyFont="1" applyBorder="1"/>
    <xf numFmtId="0" fontId="19" fillId="0" borderId="3" xfId="2" applyFont="1" applyBorder="1" applyAlignment="1">
      <alignment horizontal="left" vertical="center" wrapText="1"/>
    </xf>
    <xf numFmtId="168" fontId="19" fillId="0" borderId="4" xfId="9" applyFont="1" applyBorder="1" applyAlignment="1">
      <alignment vertical="center" wrapText="1"/>
    </xf>
    <xf numFmtId="0" fontId="14" fillId="2" borderId="4" xfId="7" applyFont="1" applyFill="1" applyBorder="1" applyAlignment="1">
      <alignment horizontal="center" wrapText="1"/>
    </xf>
    <xf numFmtId="4" fontId="65" fillId="18" borderId="6" xfId="0" applyNumberFormat="1" applyFont="1" applyFill="1" applyBorder="1"/>
    <xf numFmtId="0" fontId="14" fillId="2" borderId="4" xfId="6" quotePrefix="1" applyFont="1" applyFill="1" applyBorder="1"/>
    <xf numFmtId="0" fontId="14" fillId="2" borderId="4" xfId="6" quotePrefix="1" applyFont="1" applyFill="1" applyBorder="1" applyAlignment="1">
      <alignment horizontal="center" vertical="center" wrapText="1"/>
    </xf>
    <xf numFmtId="168" fontId="14" fillId="2" borderId="4" xfId="9" quotePrefix="1" applyFont="1" applyFill="1" applyBorder="1" applyAlignment="1">
      <alignment horizontal="center" vertical="center" wrapText="1"/>
    </xf>
    <xf numFmtId="0" fontId="14" fillId="2" borderId="5" xfId="6" applyFont="1" applyFill="1" applyBorder="1"/>
    <xf numFmtId="0" fontId="44" fillId="2" borderId="5" xfId="6" applyFont="1" applyFill="1" applyBorder="1"/>
    <xf numFmtId="0" fontId="109" fillId="0" borderId="1" xfId="2" applyFont="1" applyBorder="1" applyAlignment="1">
      <alignment vertical="center" wrapText="1"/>
    </xf>
    <xf numFmtId="0" fontId="2" fillId="0" borderId="4" xfId="0" applyFont="1" applyBorder="1" applyAlignment="1">
      <alignment vertical="center"/>
    </xf>
    <xf numFmtId="0" fontId="25" fillId="0" borderId="4" xfId="0" applyFont="1" applyBorder="1" applyAlignment="1">
      <alignment horizontal="left"/>
    </xf>
    <xf numFmtId="0" fontId="25" fillId="0" borderId="4" xfId="0" applyFont="1" applyBorder="1" applyAlignment="1">
      <alignment horizontal="center"/>
    </xf>
    <xf numFmtId="0" fontId="25" fillId="0" borderId="4" xfId="0" quotePrefix="1" applyFont="1" applyBorder="1"/>
    <xf numFmtId="17" fontId="25" fillId="0" borderId="4" xfId="0" applyNumberFormat="1" applyFont="1" applyBorder="1"/>
    <xf numFmtId="43" fontId="2" fillId="0" borderId="4" xfId="1" applyFont="1" applyBorder="1" applyAlignment="1">
      <alignment vertical="center"/>
    </xf>
    <xf numFmtId="0" fontId="84" fillId="0" borderId="4" xfId="0" applyFont="1" applyBorder="1" applyAlignment="1">
      <alignment vertical="center"/>
    </xf>
    <xf numFmtId="0" fontId="38" fillId="0" borderId="4" xfId="0" applyFont="1" applyBorder="1" applyAlignment="1">
      <alignment vertical="center"/>
    </xf>
    <xf numFmtId="0" fontId="83" fillId="0" borderId="4" xfId="0" applyFont="1" applyBorder="1" applyAlignment="1">
      <alignment vertical="center"/>
    </xf>
    <xf numFmtId="0" fontId="63" fillId="2" borderId="4" xfId="0" applyFont="1" applyFill="1" applyBorder="1" applyAlignment="1">
      <alignment vertical="top"/>
    </xf>
    <xf numFmtId="17" fontId="19" fillId="2" borderId="4" xfId="2" quotePrefix="1" applyNumberFormat="1" applyFont="1" applyFill="1" applyBorder="1" applyAlignment="1">
      <alignment horizontal="left" vertical="center" wrapText="1"/>
    </xf>
    <xf numFmtId="0" fontId="19" fillId="0" borderId="4" xfId="0" applyFont="1" applyBorder="1" applyAlignment="1">
      <alignment horizontal="center" wrapText="1"/>
    </xf>
    <xf numFmtId="0" fontId="65" fillId="0" borderId="4" xfId="0" applyFont="1" applyBorder="1"/>
    <xf numFmtId="49" fontId="19" fillId="0" borderId="4" xfId="0" quotePrefix="1" applyNumberFormat="1" applyFont="1" applyBorder="1" applyAlignment="1">
      <alignment vertical="center"/>
    </xf>
    <xf numFmtId="168" fontId="19" fillId="0" borderId="4" xfId="0" quotePrefix="1" applyNumberFormat="1" applyFont="1" applyBorder="1" applyAlignment="1">
      <alignment vertical="center" wrapText="1"/>
    </xf>
    <xf numFmtId="0" fontId="65" fillId="0" borderId="4" xfId="0" applyFont="1" applyBorder="1" applyAlignment="1">
      <alignment horizontal="center"/>
    </xf>
    <xf numFmtId="0" fontId="65" fillId="0" borderId="32" xfId="0" applyFont="1" applyBorder="1"/>
    <xf numFmtId="0" fontId="14" fillId="2" borderId="5" xfId="0" applyFont="1" applyFill="1" applyBorder="1" applyAlignment="1">
      <alignment vertical="center" wrapText="1"/>
    </xf>
    <xf numFmtId="17" fontId="69" fillId="0" borderId="4" xfId="2" quotePrefix="1" applyNumberFormat="1" applyFont="1" applyBorder="1" applyAlignment="1">
      <alignment horizontal="center" vertical="top" wrapText="1"/>
    </xf>
    <xf numFmtId="0" fontId="69" fillId="0" borderId="4" xfId="2" quotePrefix="1" applyFont="1" applyBorder="1" applyAlignment="1">
      <alignment horizontal="center" vertical="top" wrapText="1"/>
    </xf>
    <xf numFmtId="49" fontId="69" fillId="0" borderId="4" xfId="2" quotePrefix="1" applyNumberFormat="1" applyFont="1" applyBorder="1" applyAlignment="1">
      <alignment horizontal="center" vertical="top" wrapText="1"/>
    </xf>
    <xf numFmtId="0" fontId="14" fillId="2" borderId="4" xfId="6" quotePrefix="1" applyFont="1" applyFill="1" applyBorder="1" applyAlignment="1">
      <alignment vertical="center"/>
    </xf>
    <xf numFmtId="0" fontId="14" fillId="0" borderId="4" xfId="6" quotePrefix="1" applyFont="1" applyBorder="1" applyAlignment="1">
      <alignment vertical="center"/>
    </xf>
    <xf numFmtId="0" fontId="14" fillId="0" borderId="5" xfId="6" applyFont="1" applyBorder="1" applyAlignment="1">
      <alignment vertical="center"/>
    </xf>
    <xf numFmtId="43" fontId="30" fillId="0" borderId="0" xfId="0" applyNumberFormat="1" applyFont="1"/>
    <xf numFmtId="0" fontId="154" fillId="21" borderId="0" xfId="0" applyFont="1" applyFill="1"/>
    <xf numFmtId="43" fontId="155" fillId="0" borderId="0" xfId="0" applyNumberFormat="1" applyFont="1"/>
    <xf numFmtId="0" fontId="65" fillId="0" borderId="0" xfId="0" applyFont="1" applyAlignment="1">
      <alignment horizontal="fill"/>
    </xf>
    <xf numFmtId="0" fontId="65" fillId="0" borderId="0" xfId="0" applyFont="1"/>
    <xf numFmtId="43" fontId="65" fillId="0" borderId="0" xfId="1" applyFont="1"/>
    <xf numFmtId="43" fontId="65" fillId="18" borderId="0" xfId="1" applyFont="1" applyFill="1"/>
    <xf numFmtId="43" fontId="156" fillId="18" borderId="4" xfId="1" applyFont="1" applyFill="1" applyBorder="1"/>
    <xf numFmtId="43" fontId="156" fillId="18" borderId="4" xfId="1" applyFont="1" applyFill="1" applyBorder="1" applyAlignment="1">
      <alignment vertical="center"/>
    </xf>
    <xf numFmtId="43" fontId="65" fillId="18" borderId="25" xfId="1" applyFont="1" applyFill="1" applyBorder="1" applyAlignment="1">
      <alignment vertical="center"/>
    </xf>
    <xf numFmtId="43" fontId="157" fillId="18" borderId="0" xfId="0" applyNumberFormat="1" applyFont="1" applyFill="1" applyAlignment="1">
      <alignment vertical="center"/>
    </xf>
    <xf numFmtId="43" fontId="157" fillId="5" borderId="0" xfId="1" applyFont="1" applyFill="1"/>
    <xf numFmtId="43" fontId="30" fillId="18" borderId="0" xfId="1" applyFont="1" applyFill="1"/>
    <xf numFmtId="43" fontId="156" fillId="18" borderId="0" xfId="1" applyFont="1" applyFill="1"/>
    <xf numFmtId="43" fontId="158" fillId="18" borderId="0" xfId="1" applyFont="1" applyFill="1"/>
    <xf numFmtId="43" fontId="65" fillId="18" borderId="4" xfId="1" applyFont="1" applyFill="1" applyBorder="1" applyAlignment="1">
      <alignment vertical="center"/>
    </xf>
    <xf numFmtId="43" fontId="158" fillId="18" borderId="4" xfId="1" applyFont="1" applyFill="1" applyBorder="1" applyAlignment="1">
      <alignment vertical="center"/>
    </xf>
    <xf numFmtId="43" fontId="158" fillId="18" borderId="4" xfId="1" applyFont="1" applyFill="1" applyBorder="1"/>
    <xf numFmtId="43" fontId="159" fillId="18" borderId="25" xfId="1" applyFont="1" applyFill="1" applyBorder="1"/>
    <xf numFmtId="43" fontId="65" fillId="18" borderId="4" xfId="1" applyFont="1" applyFill="1" applyBorder="1" applyAlignment="1">
      <alignment vertical="top"/>
    </xf>
    <xf numFmtId="0" fontId="16" fillId="0" borderId="4" xfId="2" applyFont="1" applyBorder="1" applyAlignment="1">
      <alignment horizontal="center" vertical="center" wrapText="1"/>
    </xf>
    <xf numFmtId="0" fontId="17" fillId="0" borderId="4" xfId="2" applyFont="1" applyBorder="1" applyAlignment="1">
      <alignment horizontal="center" vertical="center" wrapText="1"/>
    </xf>
    <xf numFmtId="0" fontId="17" fillId="2" borderId="4" xfId="2" applyFont="1" applyFill="1" applyBorder="1" applyAlignment="1">
      <alignment horizontal="center" vertical="center" wrapText="1"/>
    </xf>
    <xf numFmtId="0" fontId="15" fillId="0" borderId="4" xfId="0" applyFont="1" applyBorder="1" applyAlignment="1">
      <alignment horizontal="center" vertical="center" wrapText="1"/>
    </xf>
    <xf numFmtId="0" fontId="17" fillId="3" borderId="4" xfId="0" applyFont="1" applyFill="1" applyBorder="1" applyAlignment="1">
      <alignment horizontal="center" vertical="center" wrapText="1"/>
    </xf>
    <xf numFmtId="0" fontId="18" fillId="2" borderId="4" xfId="0" applyFont="1" applyFill="1" applyBorder="1" applyAlignment="1">
      <alignment horizontal="center" vertical="top" wrapText="1"/>
    </xf>
    <xf numFmtId="0" fontId="61" fillId="2" borderId="4" xfId="0" applyFont="1" applyFill="1" applyBorder="1"/>
    <xf numFmtId="0" fontId="18" fillId="2" borderId="4" xfId="0" applyFont="1" applyFill="1" applyBorder="1" applyAlignment="1">
      <alignment horizontal="center" vertical="top"/>
    </xf>
    <xf numFmtId="49" fontId="18" fillId="2" borderId="4" xfId="0" applyNumberFormat="1" applyFont="1" applyFill="1" applyBorder="1" applyAlignment="1">
      <alignment horizontal="center" vertical="top" wrapText="1"/>
    </xf>
    <xf numFmtId="44" fontId="18" fillId="2" borderId="4" xfId="1" applyNumberFormat="1" applyFont="1" applyFill="1" applyBorder="1" applyAlignment="1">
      <alignment vertical="top"/>
    </xf>
    <xf numFmtId="167" fontId="151" fillId="2" borderId="4" xfId="1" applyNumberFormat="1" applyFont="1" applyFill="1" applyBorder="1" applyAlignment="1"/>
    <xf numFmtId="0" fontId="18" fillId="2" borderId="4" xfId="0" applyFont="1" applyFill="1" applyBorder="1" applyAlignment="1">
      <alignment vertical="top" wrapText="1"/>
    </xf>
    <xf numFmtId="0" fontId="18" fillId="2" borderId="4" xfId="0" applyFont="1" applyFill="1" applyBorder="1" applyAlignment="1">
      <alignment wrapText="1"/>
    </xf>
    <xf numFmtId="43" fontId="18" fillId="2" borderId="4" xfId="1" applyFont="1" applyFill="1" applyBorder="1" applyAlignment="1">
      <alignment vertical="top"/>
    </xf>
    <xf numFmtId="0" fontId="64" fillId="0" borderId="1" xfId="0" applyFont="1" applyBorder="1" applyAlignment="1">
      <alignment horizontal="center" vertical="top" wrapText="1"/>
    </xf>
    <xf numFmtId="0" fontId="18" fillId="0" borderId="1" xfId="0" applyFont="1" applyBorder="1" applyAlignment="1">
      <alignment horizontal="center" vertical="top" wrapText="1"/>
    </xf>
    <xf numFmtId="0" fontId="19" fillId="0" borderId="1" xfId="5" applyFont="1" applyBorder="1" applyAlignment="1">
      <alignment horizontal="right" vertical="center" shrinkToFit="1"/>
    </xf>
    <xf numFmtId="3" fontId="19" fillId="0" borderId="30" xfId="5" applyNumberFormat="1" applyFont="1" applyBorder="1" applyAlignment="1">
      <alignment vertical="center"/>
    </xf>
    <xf numFmtId="0" fontId="18" fillId="0" borderId="1" xfId="0" applyFont="1" applyBorder="1" applyAlignment="1">
      <alignment horizontal="center" vertical="top"/>
    </xf>
    <xf numFmtId="49" fontId="18" fillId="0" borderId="1" xfId="0" applyNumberFormat="1" applyFont="1" applyBorder="1" applyAlignment="1">
      <alignment horizontal="center" vertical="top" wrapText="1"/>
    </xf>
    <xf numFmtId="43" fontId="18" fillId="0" borderId="1" xfId="1" applyFont="1" applyFill="1" applyBorder="1" applyAlignment="1">
      <alignment vertical="top"/>
    </xf>
    <xf numFmtId="44" fontId="18" fillId="0" borderId="4" xfId="1" applyNumberFormat="1" applyFont="1" applyFill="1" applyBorder="1" applyAlignment="1">
      <alignment vertical="center"/>
    </xf>
    <xf numFmtId="0" fontId="160" fillId="0" borderId="4" xfId="2" applyFont="1" applyBorder="1" applyAlignment="1">
      <alignment horizontal="left" vertical="top" wrapText="1"/>
    </xf>
    <xf numFmtId="0" fontId="161" fillId="0" borderId="4" xfId="2" applyFont="1" applyBorder="1" applyAlignment="1">
      <alignment horizontal="left" vertical="top" wrapText="1"/>
    </xf>
    <xf numFmtId="0" fontId="161" fillId="0" borderId="4" xfId="2" applyFont="1" applyBorder="1" applyAlignment="1">
      <alignment horizontal="center" vertical="top" wrapText="1"/>
    </xf>
    <xf numFmtId="49" fontId="161" fillId="0" borderId="4" xfId="2" applyNumberFormat="1" applyFont="1" applyBorder="1" applyAlignment="1">
      <alignment horizontal="center" vertical="top" wrapText="1"/>
    </xf>
    <xf numFmtId="165" fontId="161" fillId="2" borderId="4" xfId="2" applyNumberFormat="1" applyFont="1" applyFill="1" applyBorder="1" applyAlignment="1">
      <alignment horizontal="center" vertical="top" wrapText="1"/>
    </xf>
    <xf numFmtId="0" fontId="160" fillId="0" borderId="4" xfId="2" applyFont="1" applyBorder="1" applyAlignment="1">
      <alignment horizontal="center" vertical="top" wrapText="1"/>
    </xf>
    <xf numFmtId="43" fontId="162" fillId="2" borderId="4" xfId="1" applyFont="1" applyFill="1" applyBorder="1" applyAlignment="1">
      <alignment horizontal="center" vertical="top" wrapText="1"/>
    </xf>
    <xf numFmtId="0" fontId="161" fillId="0" borderId="4" xfId="2" applyFont="1" applyBorder="1" applyAlignment="1">
      <alignment vertical="top" wrapText="1"/>
    </xf>
    <xf numFmtId="0" fontId="62" fillId="2" borderId="25" xfId="0" quotePrefix="1" applyFont="1" applyFill="1" applyBorder="1" applyAlignment="1">
      <alignment horizontal="center"/>
    </xf>
    <xf numFmtId="0" fontId="17" fillId="2" borderId="2" xfId="0" applyFont="1" applyFill="1" applyBorder="1" applyAlignment="1">
      <alignment horizontal="center" vertical="center" wrapText="1"/>
    </xf>
    <xf numFmtId="0" fontId="17" fillId="2" borderId="22" xfId="0" applyFont="1" applyFill="1" applyBorder="1" applyAlignment="1">
      <alignment horizontal="center" vertical="center" wrapText="1"/>
    </xf>
    <xf numFmtId="43" fontId="65" fillId="18" borderId="4" xfId="1" applyFont="1" applyFill="1" applyBorder="1" applyAlignment="1">
      <alignment horizontal="center" vertical="top" wrapText="1"/>
    </xf>
    <xf numFmtId="43" fontId="159" fillId="18" borderId="4" xfId="1" applyFont="1" applyFill="1" applyBorder="1" applyAlignment="1">
      <alignment vertical="top"/>
    </xf>
    <xf numFmtId="43" fontId="163" fillId="18" borderId="4" xfId="1" applyFont="1" applyFill="1" applyBorder="1" applyAlignment="1">
      <alignment vertical="top"/>
    </xf>
    <xf numFmtId="43" fontId="164" fillId="18" borderId="4" xfId="1" applyFont="1" applyFill="1" applyBorder="1" applyAlignment="1">
      <alignment vertical="top"/>
    </xf>
    <xf numFmtId="43" fontId="7" fillId="18" borderId="1" xfId="1" applyFont="1" applyFill="1" applyBorder="1" applyAlignment="1">
      <alignment horizontal="center" vertical="center"/>
    </xf>
    <xf numFmtId="43" fontId="19" fillId="18" borderId="2" xfId="1" applyFont="1" applyFill="1" applyBorder="1" applyAlignment="1">
      <alignment horizontal="center" vertical="center"/>
    </xf>
    <xf numFmtId="43" fontId="65" fillId="18" borderId="3" xfId="1" applyFont="1" applyFill="1" applyBorder="1" applyAlignment="1">
      <alignment horizontal="center" vertical="center"/>
    </xf>
    <xf numFmtId="43" fontId="14" fillId="0" borderId="3" xfId="1" applyFont="1" applyBorder="1" applyAlignment="1">
      <alignment horizontal="center" vertical="center"/>
    </xf>
    <xf numFmtId="43" fontId="157" fillId="18" borderId="0" xfId="1" applyFont="1" applyFill="1"/>
    <xf numFmtId="43" fontId="156" fillId="18" borderId="0" xfId="0" applyNumberFormat="1" applyFont="1" applyFill="1"/>
    <xf numFmtId="0" fontId="156" fillId="2" borderId="0" xfId="0" applyFont="1" applyFill="1" applyAlignment="1">
      <alignment horizontal="fill"/>
    </xf>
    <xf numFmtId="0" fontId="156" fillId="2" borderId="0" xfId="0" applyFont="1" applyFill="1"/>
    <xf numFmtId="43" fontId="156" fillId="2" borderId="0" xfId="0" applyNumberFormat="1" applyFont="1" applyFill="1"/>
    <xf numFmtId="0" fontId="112" fillId="0" borderId="5" xfId="2" applyFont="1" applyBorder="1" applyAlignment="1">
      <alignment horizontal="center" vertical="top" wrapText="1"/>
    </xf>
    <xf numFmtId="0" fontId="43" fillId="2" borderId="4" xfId="0" applyFont="1" applyFill="1" applyBorder="1" applyAlignment="1">
      <alignment vertical="center" wrapText="1"/>
    </xf>
    <xf numFmtId="168" fontId="158" fillId="18" borderId="4" xfId="6" applyNumberFormat="1" applyFont="1" applyFill="1" applyBorder="1" applyAlignment="1">
      <alignment horizontal="center" vertical="center" wrapText="1"/>
    </xf>
    <xf numFmtId="43" fontId="122" fillId="18" borderId="0" xfId="1" applyFont="1" applyFill="1"/>
    <xf numFmtId="168" fontId="165" fillId="18" borderId="4" xfId="9" applyFont="1" applyFill="1" applyBorder="1" applyAlignment="1">
      <alignment horizontal="center" vertical="center" wrapText="1"/>
    </xf>
    <xf numFmtId="0" fontId="63" fillId="2" borderId="2" xfId="2" quotePrefix="1" applyFont="1" applyFill="1" applyBorder="1" applyAlignment="1">
      <alignment horizontal="center" vertical="center" wrapText="1"/>
    </xf>
    <xf numFmtId="17" fontId="63" fillId="2" borderId="2" xfId="2" quotePrefix="1" applyNumberFormat="1" applyFont="1" applyFill="1" applyBorder="1" applyAlignment="1">
      <alignment horizontal="center" vertical="center" wrapText="1"/>
    </xf>
    <xf numFmtId="17" fontId="63" fillId="2" borderId="2" xfId="2" applyNumberFormat="1" applyFont="1" applyFill="1" applyBorder="1" applyAlignment="1">
      <alignment horizontal="center" vertical="center" wrapText="1"/>
    </xf>
    <xf numFmtId="0" fontId="63" fillId="2" borderId="3" xfId="2" quotePrefix="1" applyFont="1" applyFill="1" applyBorder="1" applyAlignment="1">
      <alignment horizontal="center" vertical="top" wrapText="1"/>
    </xf>
    <xf numFmtId="0" fontId="19" fillId="2" borderId="4" xfId="5" applyFont="1" applyFill="1" applyBorder="1" applyAlignment="1">
      <alignment wrapText="1"/>
    </xf>
    <xf numFmtId="0" fontId="19" fillId="2" borderId="20" xfId="5" applyFont="1" applyFill="1" applyBorder="1" applyAlignment="1">
      <alignment horizontal="center"/>
    </xf>
    <xf numFmtId="17" fontId="63" fillId="2" borderId="4" xfId="2" applyNumberFormat="1" applyFont="1" applyFill="1" applyBorder="1" applyAlignment="1">
      <alignment horizontal="left" vertical="center" wrapText="1"/>
    </xf>
    <xf numFmtId="4" fontId="19" fillId="2" borderId="6" xfId="5" applyNumberFormat="1" applyFont="1" applyFill="1" applyBorder="1"/>
    <xf numFmtId="0" fontId="63" fillId="2" borderId="4" xfId="2" quotePrefix="1" applyFont="1" applyFill="1" applyBorder="1" applyAlignment="1">
      <alignment vertical="top" wrapText="1"/>
    </xf>
    <xf numFmtId="0" fontId="19" fillId="2" borderId="4" xfId="5" applyFont="1" applyFill="1" applyBorder="1"/>
    <xf numFmtId="4" fontId="19" fillId="2" borderId="6" xfId="0" applyNumberFormat="1" applyFont="1" applyFill="1" applyBorder="1"/>
    <xf numFmtId="0" fontId="63" fillId="2" borderId="4" xfId="2" applyFont="1" applyFill="1" applyBorder="1" applyAlignment="1">
      <alignment horizontal="left" vertical="top" wrapText="1"/>
    </xf>
    <xf numFmtId="0" fontId="63" fillId="2" borderId="4" xfId="0" applyFont="1" applyFill="1" applyBorder="1" applyAlignment="1">
      <alignment horizontal="center" vertical="top" wrapText="1"/>
    </xf>
    <xf numFmtId="0" fontId="19" fillId="0" borderId="4" xfId="5" applyFont="1" applyBorder="1" applyAlignment="1">
      <alignment horizontal="left"/>
    </xf>
    <xf numFmtId="0" fontId="63" fillId="0" borderId="2" xfId="2" applyFont="1" applyBorder="1" applyAlignment="1">
      <alignment horizontal="left" vertical="center" wrapText="1"/>
    </xf>
    <xf numFmtId="0" fontId="63" fillId="0" borderId="5" xfId="2" quotePrefix="1" applyFont="1" applyBorder="1" applyAlignment="1">
      <alignment vertical="top" wrapText="1"/>
    </xf>
    <xf numFmtId="0" fontId="68" fillId="0" borderId="0" xfId="2" applyFont="1" applyAlignment="1">
      <alignment horizontal="center" vertical="top" wrapText="1"/>
    </xf>
    <xf numFmtId="43" fontId="126" fillId="0" borderId="4" xfId="1" applyFont="1" applyBorder="1" applyAlignment="1">
      <alignment vertical="center"/>
    </xf>
    <xf numFmtId="168" fontId="72" fillId="18" borderId="4" xfId="9" applyFont="1" applyFill="1" applyBorder="1" applyAlignment="1">
      <alignment horizontal="center" vertical="center" wrapText="1"/>
    </xf>
    <xf numFmtId="0" fontId="61" fillId="0" borderId="4" xfId="5" applyFont="1" applyBorder="1" applyAlignment="1">
      <alignment horizontal="center" vertical="center"/>
    </xf>
    <xf numFmtId="168" fontId="61" fillId="0" borderId="5" xfId="9" applyFont="1" applyBorder="1" applyAlignment="1">
      <alignment vertical="center"/>
    </xf>
    <xf numFmtId="0" fontId="143" fillId="2" borderId="4" xfId="5" applyFont="1" applyFill="1" applyBorder="1" applyAlignment="1">
      <alignment horizontal="center" vertical="center" wrapText="1"/>
    </xf>
    <xf numFmtId="0" fontId="61" fillId="0" borderId="4" xfId="5" applyFont="1" applyBorder="1" applyAlignment="1">
      <alignment horizontal="center" vertical="center" wrapText="1"/>
    </xf>
    <xf numFmtId="0" fontId="61" fillId="0" borderId="3" xfId="5" applyFont="1" applyBorder="1" applyAlignment="1">
      <alignment horizontal="center" vertical="center" wrapText="1"/>
    </xf>
    <xf numFmtId="0" fontId="61" fillId="2" borderId="4" xfId="0" applyFont="1" applyFill="1" applyBorder="1" applyAlignment="1">
      <alignment horizontal="center" vertical="top" wrapText="1"/>
    </xf>
    <xf numFmtId="0" fontId="61" fillId="2" borderId="0" xfId="0" applyFont="1" applyFill="1" applyAlignment="1">
      <alignment vertical="center"/>
    </xf>
    <xf numFmtId="0" fontId="121" fillId="0" borderId="3" xfId="0" applyFont="1" applyBorder="1" applyAlignment="1">
      <alignment horizontal="center" vertical="center"/>
    </xf>
    <xf numFmtId="49" fontId="121" fillId="0" borderId="3" xfId="0" applyNumberFormat="1" applyFont="1" applyBorder="1" applyAlignment="1">
      <alignment horizontal="center" vertical="center"/>
    </xf>
    <xf numFmtId="168" fontId="121" fillId="0" borderId="3" xfId="0" applyNumberFormat="1" applyFont="1" applyBorder="1" applyAlignment="1">
      <alignment horizontal="center" vertical="center" wrapText="1"/>
    </xf>
    <xf numFmtId="0" fontId="121" fillId="0" borderId="3" xfId="0" applyFont="1" applyBorder="1" applyAlignment="1">
      <alignment horizontal="center" vertical="top" wrapText="1"/>
    </xf>
    <xf numFmtId="168" fontId="121" fillId="0" borderId="3" xfId="0" applyNumberFormat="1" applyFont="1" applyBorder="1"/>
    <xf numFmtId="0" fontId="121" fillId="0" borderId="1" xfId="0" applyFont="1" applyBorder="1" applyAlignment="1">
      <alignment horizontal="center" vertical="center"/>
    </xf>
    <xf numFmtId="49" fontId="121" fillId="0" borderId="1" xfId="0" applyNumberFormat="1" applyFont="1" applyBorder="1" applyAlignment="1">
      <alignment horizontal="center" vertical="center"/>
    </xf>
    <xf numFmtId="168" fontId="121" fillId="0" borderId="1" xfId="0" applyNumberFormat="1" applyFont="1" applyBorder="1" applyAlignment="1">
      <alignment horizontal="center" vertical="center" wrapText="1"/>
    </xf>
    <xf numFmtId="0" fontId="121" fillId="0" borderId="1" xfId="0" applyFont="1" applyBorder="1" applyAlignment="1">
      <alignment horizontal="center" vertical="top" wrapText="1"/>
    </xf>
    <xf numFmtId="168" fontId="121" fillId="0" borderId="1" xfId="0" applyNumberFormat="1" applyFont="1" applyBorder="1"/>
    <xf numFmtId="0" fontId="61" fillId="2" borderId="4" xfId="0" applyFont="1" applyFill="1" applyBorder="1" applyAlignment="1">
      <alignment vertical="center"/>
    </xf>
    <xf numFmtId="0" fontId="143" fillId="2" borderId="4" xfId="2" applyFont="1" applyFill="1" applyBorder="1" applyAlignment="1">
      <alignment vertical="center" wrapText="1"/>
    </xf>
    <xf numFmtId="0" fontId="121" fillId="2" borderId="4" xfId="2" applyFont="1" applyFill="1" applyBorder="1" applyAlignment="1">
      <alignment horizontal="left" vertical="center" wrapText="1"/>
    </xf>
    <xf numFmtId="17" fontId="121" fillId="2" borderId="4" xfId="2" applyNumberFormat="1" applyFont="1" applyFill="1" applyBorder="1" applyAlignment="1">
      <alignment horizontal="left" vertical="center" wrapText="1"/>
    </xf>
    <xf numFmtId="164" fontId="121" fillId="2" borderId="4" xfId="2" applyNumberFormat="1" applyFont="1" applyFill="1" applyBorder="1" applyAlignment="1">
      <alignment horizontal="right" vertical="center" wrapText="1"/>
    </xf>
    <xf numFmtId="0" fontId="121" fillId="2" borderId="4" xfId="2" applyFont="1" applyFill="1" applyBorder="1" applyAlignment="1">
      <alignment vertical="center" wrapText="1"/>
    </xf>
    <xf numFmtId="0" fontId="61" fillId="0" borderId="24" xfId="0" applyFont="1" applyBorder="1"/>
    <xf numFmtId="0" fontId="61" fillId="0" borderId="24" xfId="0" applyFont="1" applyBorder="1" applyAlignment="1">
      <alignment horizontal="left"/>
    </xf>
    <xf numFmtId="0" fontId="61" fillId="0" borderId="25" xfId="0" applyFont="1" applyBorder="1" applyAlignment="1">
      <alignment horizontal="center"/>
    </xf>
    <xf numFmtId="0" fontId="61" fillId="0" borderId="26" xfId="0" applyFont="1" applyBorder="1"/>
    <xf numFmtId="0" fontId="61" fillId="0" borderId="24" xfId="0" quotePrefix="1" applyFont="1" applyBorder="1"/>
    <xf numFmtId="4" fontId="61" fillId="0" borderId="24" xfId="0" applyNumberFormat="1" applyFont="1" applyBorder="1"/>
    <xf numFmtId="0" fontId="61" fillId="0" borderId="24" xfId="0" applyFont="1" applyBorder="1" applyAlignment="1">
      <alignment horizontal="center"/>
    </xf>
    <xf numFmtId="0" fontId="61" fillId="0" borderId="25" xfId="0" applyFont="1" applyBorder="1"/>
    <xf numFmtId="0" fontId="61" fillId="0" borderId="25" xfId="0" applyFont="1" applyBorder="1" applyAlignment="1">
      <alignment horizontal="left"/>
    </xf>
    <xf numFmtId="0" fontId="61" fillId="0" borderId="27" xfId="0" applyFont="1" applyBorder="1" applyAlignment="1">
      <alignment horizontal="center"/>
    </xf>
    <xf numFmtId="0" fontId="61" fillId="0" borderId="25" xfId="0" quotePrefix="1" applyFont="1" applyBorder="1"/>
    <xf numFmtId="17" fontId="61" fillId="0" borderId="25" xfId="0" applyNumberFormat="1" applyFont="1" applyBorder="1"/>
    <xf numFmtId="4" fontId="61" fillId="0" borderId="25" xfId="0" applyNumberFormat="1" applyFont="1" applyBorder="1"/>
    <xf numFmtId="0" fontId="61" fillId="0" borderId="25" xfId="0" quotePrefix="1" applyFont="1" applyBorder="1" applyAlignment="1">
      <alignment horizontal="center"/>
    </xf>
    <xf numFmtId="0" fontId="143" fillId="2" borderId="4" xfId="6" applyFont="1" applyFill="1" applyBorder="1" applyAlignment="1">
      <alignment horizontal="left" vertical="center" wrapText="1"/>
    </xf>
    <xf numFmtId="0" fontId="143" fillId="2" borderId="4" xfId="6" applyFont="1" applyFill="1" applyBorder="1" applyAlignment="1">
      <alignment horizontal="center" vertical="center" wrapText="1"/>
    </xf>
    <xf numFmtId="0" fontId="61" fillId="2" borderId="4" xfId="6" applyFont="1" applyFill="1" applyBorder="1" applyAlignment="1">
      <alignment horizontal="center" vertical="center"/>
    </xf>
    <xf numFmtId="17" fontId="61" fillId="2" borderId="4" xfId="6" quotePrefix="1" applyNumberFormat="1" applyFont="1" applyFill="1" applyBorder="1" applyAlignment="1">
      <alignment horizontal="center" vertical="center" wrapText="1"/>
    </xf>
    <xf numFmtId="0" fontId="61" fillId="2" borderId="4" xfId="6" applyFont="1" applyFill="1" applyBorder="1" applyAlignment="1">
      <alignment horizontal="center" vertical="center" wrapText="1"/>
    </xf>
    <xf numFmtId="168" fontId="61" fillId="2" borderId="4" xfId="9" applyFont="1" applyFill="1" applyBorder="1" applyAlignment="1">
      <alignment horizontal="center" vertical="center" wrapText="1"/>
    </xf>
    <xf numFmtId="0" fontId="61" fillId="2" borderId="21" xfId="0" applyFont="1" applyFill="1" applyBorder="1"/>
    <xf numFmtId="0" fontId="143" fillId="2" borderId="4" xfId="2" applyFont="1" applyFill="1" applyBorder="1" applyAlignment="1">
      <alignment horizontal="center" vertical="center" wrapText="1"/>
    </xf>
    <xf numFmtId="0" fontId="143" fillId="0" borderId="2" xfId="2" quotePrefix="1" applyFont="1" applyBorder="1" applyAlignment="1">
      <alignment horizontal="center" vertical="center" wrapText="1"/>
    </xf>
    <xf numFmtId="17" fontId="143" fillId="0" borderId="2" xfId="2" quotePrefix="1" applyNumberFormat="1" applyFont="1" applyBorder="1" applyAlignment="1">
      <alignment horizontal="center" vertical="center" wrapText="1"/>
    </xf>
    <xf numFmtId="17" fontId="143" fillId="0" borderId="2" xfId="2" applyNumberFormat="1" applyFont="1" applyBorder="1" applyAlignment="1">
      <alignment horizontal="center" vertical="center" wrapText="1"/>
    </xf>
    <xf numFmtId="0" fontId="143" fillId="0" borderId="3" xfId="2" applyFont="1" applyBorder="1" applyAlignment="1">
      <alignment horizontal="center" vertical="center" wrapText="1"/>
    </xf>
    <xf numFmtId="0" fontId="143" fillId="0" borderId="3" xfId="2" quotePrefix="1" applyFont="1" applyBorder="1" applyAlignment="1">
      <alignment horizontal="center" vertical="top" wrapText="1"/>
    </xf>
    <xf numFmtId="0" fontId="153" fillId="0" borderId="3" xfId="2" applyFont="1" applyBorder="1" applyAlignment="1">
      <alignment horizontal="center" vertical="top" wrapText="1"/>
    </xf>
    <xf numFmtId="0" fontId="121" fillId="0" borderId="4" xfId="0" applyFont="1" applyBorder="1"/>
    <xf numFmtId="3" fontId="121" fillId="0" borderId="4" xfId="5" applyNumberFormat="1" applyFont="1" applyBorder="1" applyAlignment="1">
      <alignment horizontal="center"/>
    </xf>
    <xf numFmtId="0" fontId="121" fillId="0" borderId="20" xfId="0" applyFont="1" applyBorder="1" applyAlignment="1">
      <alignment horizontal="center"/>
    </xf>
    <xf numFmtId="0" fontId="143" fillId="0" borderId="4" xfId="2" quotePrefix="1" applyFont="1" applyBorder="1" applyAlignment="1">
      <alignment horizontal="center" vertical="center" wrapText="1"/>
    </xf>
    <xf numFmtId="43" fontId="121" fillId="0" borderId="6" xfId="1" applyFont="1" applyBorder="1"/>
    <xf numFmtId="0" fontId="143" fillId="0" borderId="4" xfId="2" quotePrefix="1" applyFont="1" applyBorder="1" applyAlignment="1">
      <alignment vertical="top" wrapText="1"/>
    </xf>
    <xf numFmtId="0" fontId="143" fillId="0" borderId="4" xfId="2" applyFont="1" applyBorder="1" applyAlignment="1">
      <alignment horizontal="left" vertical="center" wrapText="1"/>
    </xf>
    <xf numFmtId="17" fontId="143" fillId="0" borderId="4" xfId="2" applyNumberFormat="1" applyFont="1" applyBorder="1" applyAlignment="1">
      <alignment horizontal="left" vertical="center" wrapText="1"/>
    </xf>
    <xf numFmtId="0" fontId="121" fillId="0" borderId="20" xfId="5" applyFont="1" applyBorder="1" applyAlignment="1">
      <alignment horizontal="center"/>
    </xf>
    <xf numFmtId="0" fontId="121" fillId="0" borderId="4" xfId="0" applyFont="1" applyBorder="1" applyAlignment="1">
      <alignment horizontal="center"/>
    </xf>
    <xf numFmtId="0" fontId="121" fillId="0" borderId="4" xfId="5" applyFont="1" applyBorder="1" applyAlignment="1">
      <alignment horizontal="center"/>
    </xf>
    <xf numFmtId="0" fontId="121" fillId="0" borderId="4" xfId="10" applyNumberFormat="1" applyFont="1" applyBorder="1" applyAlignment="1">
      <alignment horizontal="center"/>
    </xf>
    <xf numFmtId="168" fontId="121" fillId="0" borderId="5" xfId="10" applyFont="1" applyBorder="1"/>
    <xf numFmtId="0" fontId="143" fillId="0" borderId="1" xfId="0" applyFont="1" applyBorder="1" applyAlignment="1">
      <alignment horizontal="center" vertical="center" wrapText="1"/>
    </xf>
    <xf numFmtId="0" fontId="121" fillId="0" borderId="4" xfId="5" applyFont="1" applyBorder="1"/>
    <xf numFmtId="0" fontId="143" fillId="0" borderId="3" xfId="0" applyFont="1" applyBorder="1" applyAlignment="1">
      <alignment vertical="center" wrapText="1"/>
    </xf>
    <xf numFmtId="3" fontId="121" fillId="0" borderId="1" xfId="5" applyNumberFormat="1" applyFont="1" applyBorder="1" applyAlignment="1">
      <alignment horizontal="center"/>
    </xf>
    <xf numFmtId="0" fontId="143" fillId="0" borderId="1" xfId="2" applyFont="1" applyBorder="1" applyAlignment="1">
      <alignment horizontal="left" vertical="top" wrapText="1"/>
    </xf>
    <xf numFmtId="0" fontId="143" fillId="0" borderId="5" xfId="2" quotePrefix="1" applyFont="1" applyBorder="1" applyAlignment="1">
      <alignment vertical="top" wrapText="1"/>
    </xf>
    <xf numFmtId="0" fontId="143" fillId="2" borderId="6" xfId="5" applyFont="1" applyFill="1" applyBorder="1" applyAlignment="1">
      <alignment vertical="center" wrapText="1"/>
    </xf>
    <xf numFmtId="0" fontId="143" fillId="2" borderId="5" xfId="5" applyFont="1" applyFill="1" applyBorder="1" applyAlignment="1">
      <alignment vertical="center" wrapText="1"/>
    </xf>
    <xf numFmtId="0" fontId="121" fillId="2" borderId="4" xfId="5" applyFont="1" applyFill="1" applyBorder="1" applyAlignment="1">
      <alignment vertical="center"/>
    </xf>
    <xf numFmtId="0" fontId="121" fillId="2" borderId="4" xfId="5" applyFont="1" applyFill="1" applyBorder="1" applyAlignment="1">
      <alignment horizontal="center" vertical="center"/>
    </xf>
    <xf numFmtId="17" fontId="143" fillId="0" borderId="4" xfId="2" quotePrefix="1" applyNumberFormat="1" applyFont="1" applyBorder="1" applyAlignment="1">
      <alignment horizontal="center" vertical="center" wrapText="1"/>
    </xf>
    <xf numFmtId="0" fontId="143" fillId="0" borderId="6" xfId="2" quotePrefix="1" applyFont="1" applyBorder="1" applyAlignment="1">
      <alignment horizontal="center" vertical="center"/>
    </xf>
    <xf numFmtId="0" fontId="143" fillId="0" borderId="6" xfId="2" applyFont="1" applyBorder="1" applyAlignment="1">
      <alignment horizontal="center" vertical="center" wrapText="1"/>
    </xf>
    <xf numFmtId="0" fontId="143" fillId="0" borderId="1" xfId="2" applyFont="1" applyBorder="1" applyAlignment="1">
      <alignment horizontal="left" vertical="center" wrapText="1"/>
    </xf>
    <xf numFmtId="4" fontId="121" fillId="0" borderId="4" xfId="2" applyNumberFormat="1" applyFont="1" applyBorder="1" applyAlignment="1">
      <alignment horizontal="center" vertical="center" wrapText="1"/>
    </xf>
    <xf numFmtId="0" fontId="61" fillId="0" borderId="4" xfId="0" applyFont="1" applyBorder="1" applyAlignment="1">
      <alignment horizontal="center" wrapText="1"/>
    </xf>
    <xf numFmtId="0" fontId="61" fillId="0" borderId="4" xfId="0" applyFont="1" applyBorder="1" applyAlignment="1">
      <alignment vertical="center" wrapText="1"/>
    </xf>
    <xf numFmtId="168" fontId="121" fillId="0" borderId="4" xfId="9" applyFont="1" applyBorder="1" applyAlignment="1">
      <alignment horizontal="center" wrapText="1"/>
    </xf>
    <xf numFmtId="168" fontId="61" fillId="0" borderId="4" xfId="9" applyFont="1" applyBorder="1" applyAlignment="1">
      <alignment horizontal="center" vertical="center"/>
    </xf>
    <xf numFmtId="17" fontId="121" fillId="0" borderId="4" xfId="2" quotePrefix="1" applyNumberFormat="1" applyFont="1" applyBorder="1" applyAlignment="1">
      <alignment horizontal="center" vertical="center" wrapText="1"/>
    </xf>
    <xf numFmtId="0" fontId="61" fillId="0" borderId="5" xfId="0" applyFont="1" applyBorder="1" applyAlignment="1">
      <alignment horizontal="center" vertical="center"/>
    </xf>
    <xf numFmtId="0" fontId="61" fillId="0" borderId="4" xfId="6" applyFont="1" applyBorder="1" applyAlignment="1">
      <alignment horizontal="center" vertical="center" wrapText="1"/>
    </xf>
    <xf numFmtId="43" fontId="121" fillId="0" borderId="3" xfId="1" applyFont="1" applyBorder="1" applyAlignment="1">
      <alignment horizontal="center" vertical="center"/>
    </xf>
    <xf numFmtId="43" fontId="121" fillId="0" borderId="1" xfId="1" applyFont="1" applyBorder="1" applyAlignment="1">
      <alignment horizontal="center" vertical="center"/>
    </xf>
    <xf numFmtId="0" fontId="61" fillId="9" borderId="25" xfId="0" applyFont="1" applyFill="1" applyBorder="1"/>
    <xf numFmtId="0" fontId="143" fillId="2" borderId="8" xfId="0" applyFont="1" applyFill="1" applyBorder="1" applyAlignment="1">
      <alignment horizontal="center" vertical="center" wrapText="1"/>
    </xf>
    <xf numFmtId="168" fontId="158" fillId="18" borderId="4" xfId="9" applyFont="1" applyFill="1" applyBorder="1" applyAlignment="1">
      <alignment horizontal="center" vertical="center" wrapText="1"/>
    </xf>
    <xf numFmtId="43" fontId="91" fillId="18" borderId="4" xfId="1" applyFont="1" applyFill="1" applyBorder="1" applyAlignment="1">
      <alignment horizontal="left" vertical="center" wrapText="1"/>
    </xf>
    <xf numFmtId="43" fontId="122" fillId="2" borderId="4" xfId="1" applyFont="1" applyFill="1" applyBorder="1" applyAlignment="1">
      <alignment vertical="center"/>
    </xf>
    <xf numFmtId="43" fontId="122" fillId="2" borderId="4" xfId="0" applyNumberFormat="1" applyFont="1" applyFill="1" applyBorder="1"/>
    <xf numFmtId="43" fontId="122" fillId="2" borderId="0" xfId="0" applyNumberFormat="1" applyFont="1" applyFill="1"/>
    <xf numFmtId="0" fontId="122" fillId="2" borderId="0" xfId="0" applyFont="1" applyFill="1"/>
    <xf numFmtId="43" fontId="122" fillId="18" borderId="4" xfId="0" applyNumberFormat="1" applyFont="1" applyFill="1" applyBorder="1"/>
    <xf numFmtId="43" fontId="18" fillId="18" borderId="4" xfId="1" applyFont="1" applyFill="1" applyBorder="1" applyAlignment="1">
      <alignment vertical="top"/>
    </xf>
    <xf numFmtId="43" fontId="157" fillId="18" borderId="4" xfId="1" applyFont="1" applyFill="1" applyBorder="1" applyAlignment="1">
      <alignment horizontal="center" vertical="top" wrapText="1"/>
    </xf>
    <xf numFmtId="0" fontId="8" fillId="0" borderId="1" xfId="2" applyFont="1" applyBorder="1" applyAlignment="1">
      <alignment horizontal="left" vertical="top" wrapText="1"/>
    </xf>
    <xf numFmtId="0" fontId="9" fillId="0" borderId="1" xfId="2" applyFont="1" applyBorder="1" applyAlignment="1">
      <alignment horizontal="left" vertical="top" wrapText="1"/>
    </xf>
    <xf numFmtId="0" fontId="9" fillId="0" borderId="1" xfId="2" applyFont="1" applyBorder="1" applyAlignment="1">
      <alignment horizontal="center" vertical="top" wrapText="1"/>
    </xf>
    <xf numFmtId="49" fontId="9" fillId="0" borderId="1" xfId="2" applyNumberFormat="1" applyFont="1" applyBorder="1" applyAlignment="1">
      <alignment horizontal="center" vertical="top" wrapText="1"/>
    </xf>
    <xf numFmtId="0" fontId="14" fillId="0" borderId="4" xfId="13" applyFont="1" applyBorder="1" applyAlignment="1">
      <alignment horizontal="center" vertical="center"/>
    </xf>
    <xf numFmtId="43" fontId="63" fillId="12" borderId="4" xfId="1" applyFont="1" applyFill="1" applyBorder="1" applyAlignment="1">
      <alignment horizontal="right" vertical="center" wrapText="1"/>
    </xf>
    <xf numFmtId="0" fontId="26" fillId="0" borderId="1" xfId="0" applyFont="1" applyBorder="1" applyAlignment="1">
      <alignment vertical="top" wrapText="1"/>
    </xf>
    <xf numFmtId="0" fontId="25" fillId="0" borderId="1" xfId="0" applyFont="1" applyBorder="1"/>
    <xf numFmtId="44" fontId="24" fillId="0" borderId="1" xfId="0" applyNumberFormat="1" applyFont="1" applyBorder="1"/>
    <xf numFmtId="43" fontId="157" fillId="18" borderId="4" xfId="1" applyFont="1" applyFill="1" applyBorder="1"/>
    <xf numFmtId="43" fontId="2" fillId="12" borderId="4" xfId="1" applyFont="1" applyFill="1" applyBorder="1" applyAlignment="1">
      <alignment horizontal="right" vertical="center" wrapText="1"/>
    </xf>
    <xf numFmtId="164" fontId="25" fillId="0" borderId="4" xfId="1" applyNumberFormat="1" applyFont="1" applyFill="1" applyBorder="1" applyAlignment="1">
      <alignment vertical="top"/>
    </xf>
    <xf numFmtId="43" fontId="25" fillId="0" borderId="4" xfId="1" applyFont="1" applyFill="1" applyBorder="1" applyAlignment="1">
      <alignment vertical="top"/>
    </xf>
    <xf numFmtId="43" fontId="72" fillId="18" borderId="2" xfId="1" applyFont="1" applyFill="1" applyBorder="1" applyAlignment="1">
      <alignment horizontal="left" vertical="center" wrapText="1"/>
    </xf>
    <xf numFmtId="165" fontId="158" fillId="18" borderId="4" xfId="1" applyNumberFormat="1" applyFont="1" applyFill="1" applyBorder="1"/>
    <xf numFmtId="43" fontId="158" fillId="18" borderId="2" xfId="1" applyFont="1" applyFill="1" applyBorder="1" applyAlignment="1">
      <alignment horizontal="right" vertical="center" wrapText="1"/>
    </xf>
    <xf numFmtId="43" fontId="65" fillId="18" borderId="1" xfId="1" applyFont="1" applyFill="1" applyBorder="1" applyAlignment="1">
      <alignment vertical="center"/>
    </xf>
    <xf numFmtId="43" fontId="158" fillId="18" borderId="1" xfId="1" applyFont="1" applyFill="1" applyBorder="1" applyAlignment="1">
      <alignment vertical="center"/>
    </xf>
    <xf numFmtId="43" fontId="164" fillId="18" borderId="4" xfId="1" applyFont="1" applyFill="1" applyBorder="1" applyAlignment="1">
      <alignment horizontal="center" vertical="top" wrapText="1"/>
    </xf>
    <xf numFmtId="43" fontId="166" fillId="18" borderId="4" xfId="1" applyFont="1" applyFill="1" applyBorder="1" applyAlignment="1">
      <alignment horizontal="center" vertical="top" wrapText="1"/>
    </xf>
    <xf numFmtId="43" fontId="157" fillId="18" borderId="0" xfId="0" applyNumberFormat="1" applyFont="1" applyFill="1"/>
    <xf numFmtId="0" fontId="14" fillId="0" borderId="3" xfId="0" applyFont="1" applyBorder="1" applyAlignment="1">
      <alignment horizontal="center" vertical="center"/>
    </xf>
    <xf numFmtId="0" fontId="18" fillId="0" borderId="2" xfId="0" applyFont="1" applyBorder="1" applyAlignment="1">
      <alignment horizontal="center" vertical="center" wrapText="1"/>
    </xf>
    <xf numFmtId="0" fontId="14" fillId="0" borderId="0" xfId="0" applyFont="1" applyAlignment="1">
      <alignment horizontal="center" vertical="center" wrapText="1"/>
    </xf>
    <xf numFmtId="0" fontId="112" fillId="0" borderId="2" xfId="2" applyFont="1" applyBorder="1" applyAlignment="1">
      <alignment horizontal="center" wrapText="1"/>
    </xf>
    <xf numFmtId="17" fontId="109" fillId="0" borderId="10" xfId="2" applyNumberFormat="1" applyFont="1" applyBorder="1" applyAlignment="1">
      <alignment horizontal="left" vertical="center" wrapText="1"/>
    </xf>
    <xf numFmtId="0" fontId="63" fillId="0" borderId="3" xfId="2" quotePrefix="1" applyFont="1" applyBorder="1" applyAlignment="1">
      <alignment horizontal="center" vertical="center" wrapText="1"/>
    </xf>
    <xf numFmtId="0" fontId="68" fillId="0" borderId="3" xfId="2" applyFont="1" applyBorder="1" applyAlignment="1">
      <alignment horizontal="center" vertical="center" wrapText="1"/>
    </xf>
    <xf numFmtId="0" fontId="109" fillId="0" borderId="2" xfId="2" applyFont="1" applyBorder="1" applyAlignment="1">
      <alignment horizontal="center" vertical="center" wrapText="1"/>
    </xf>
    <xf numFmtId="0" fontId="63" fillId="2" borderId="3" xfId="6" applyFont="1" applyFill="1" applyBorder="1" applyAlignment="1">
      <alignment horizontal="center" vertical="center" wrapText="1"/>
    </xf>
    <xf numFmtId="0" fontId="63" fillId="2" borderId="2" xfId="6" applyFont="1" applyFill="1" applyBorder="1" applyAlignment="1">
      <alignment horizontal="center" vertical="center" wrapText="1"/>
    </xf>
    <xf numFmtId="0" fontId="63" fillId="2" borderId="1" xfId="6" applyFont="1" applyFill="1" applyBorder="1" applyAlignment="1">
      <alignment horizontal="center" vertical="center" wrapText="1"/>
    </xf>
    <xf numFmtId="0" fontId="19" fillId="0" borderId="4" xfId="2" applyFont="1" applyBorder="1" applyAlignment="1">
      <alignment horizontal="center" vertical="center" wrapText="1"/>
    </xf>
    <xf numFmtId="0" fontId="63" fillId="0" borderId="4" xfId="2" applyFont="1" applyBorder="1" applyAlignment="1">
      <alignment horizontal="center" vertical="center" wrapText="1"/>
    </xf>
    <xf numFmtId="0" fontId="63" fillId="0" borderId="3" xfId="2" applyFont="1" applyBorder="1" applyAlignment="1">
      <alignment horizontal="center" vertical="center" wrapText="1"/>
    </xf>
    <xf numFmtId="0" fontId="63" fillId="0" borderId="2" xfId="2" applyFont="1" applyBorder="1" applyAlignment="1">
      <alignment horizontal="center" vertical="center" wrapText="1"/>
    </xf>
    <xf numFmtId="0" fontId="63" fillId="0" borderId="3" xfId="0" applyFont="1" applyBorder="1" applyAlignment="1">
      <alignment horizontal="center" vertical="center" wrapText="1"/>
    </xf>
    <xf numFmtId="0" fontId="63" fillId="0" borderId="2" xfId="0" applyFont="1" applyBorder="1" applyAlignment="1">
      <alignment horizontal="center" vertical="center" wrapText="1"/>
    </xf>
    <xf numFmtId="0" fontId="63" fillId="0" borderId="1" xfId="0" applyFont="1" applyBorder="1" applyAlignment="1">
      <alignment horizontal="center" vertical="center" wrapText="1"/>
    </xf>
    <xf numFmtId="0" fontId="19" fillId="0" borderId="6" xfId="2" applyFont="1" applyBorder="1" applyAlignment="1">
      <alignment horizontal="center" vertical="center"/>
    </xf>
    <xf numFmtId="0" fontId="19" fillId="0" borderId="20" xfId="2" applyFont="1" applyBorder="1" applyAlignment="1">
      <alignment horizontal="center" vertical="center"/>
    </xf>
    <xf numFmtId="0" fontId="19" fillId="0" borderId="5" xfId="2" applyFont="1" applyBorder="1" applyAlignment="1">
      <alignment horizontal="center" vertical="center"/>
    </xf>
    <xf numFmtId="0" fontId="19" fillId="0" borderId="6" xfId="2" applyFont="1" applyBorder="1" applyAlignment="1">
      <alignment horizontal="center" vertical="center" wrapText="1"/>
    </xf>
    <xf numFmtId="0" fontId="19" fillId="0" borderId="20" xfId="2" applyFont="1" applyBorder="1" applyAlignment="1">
      <alignment horizontal="center" vertical="center" wrapText="1"/>
    </xf>
    <xf numFmtId="0" fontId="19" fillId="0" borderId="5" xfId="2" applyFont="1" applyBorder="1" applyAlignment="1">
      <alignment horizontal="center" vertical="center" wrapText="1"/>
    </xf>
    <xf numFmtId="43" fontId="20" fillId="4" borderId="12" xfId="1" applyFont="1" applyFill="1" applyBorder="1" applyAlignment="1">
      <alignment horizontal="center"/>
    </xf>
    <xf numFmtId="43" fontId="20" fillId="4" borderId="18" xfId="1" applyFont="1" applyFill="1" applyBorder="1" applyAlignment="1">
      <alignment horizontal="center"/>
    </xf>
    <xf numFmtId="43" fontId="20" fillId="4" borderId="13" xfId="1" applyFont="1" applyFill="1" applyBorder="1" applyAlignment="1">
      <alignment horizontal="center"/>
    </xf>
    <xf numFmtId="43" fontId="21" fillId="4" borderId="19" xfId="1" applyFont="1" applyFill="1" applyBorder="1" applyAlignment="1">
      <alignment horizontal="center"/>
    </xf>
    <xf numFmtId="43" fontId="21" fillId="4" borderId="7" xfId="1" applyFont="1" applyFill="1" applyBorder="1" applyAlignment="1">
      <alignment horizontal="center"/>
    </xf>
    <xf numFmtId="43" fontId="21" fillId="4" borderId="11" xfId="1" applyFont="1" applyFill="1" applyBorder="1" applyAlignment="1">
      <alignment horizontal="center"/>
    </xf>
    <xf numFmtId="43" fontId="100" fillId="4" borderId="12" xfId="1" applyFont="1" applyFill="1" applyBorder="1" applyAlignment="1">
      <alignment horizontal="center"/>
    </xf>
    <xf numFmtId="43" fontId="100" fillId="4" borderId="18" xfId="1" applyFont="1" applyFill="1" applyBorder="1" applyAlignment="1">
      <alignment horizontal="center"/>
    </xf>
    <xf numFmtId="43" fontId="100" fillId="4" borderId="13" xfId="1" applyFont="1" applyFill="1" applyBorder="1" applyAlignment="1">
      <alignment horizontal="center"/>
    </xf>
    <xf numFmtId="43" fontId="100" fillId="4" borderId="19" xfId="1" applyFont="1" applyFill="1" applyBorder="1" applyAlignment="1">
      <alignment horizontal="center"/>
    </xf>
    <xf numFmtId="43" fontId="100" fillId="4" borderId="7" xfId="1" applyFont="1" applyFill="1" applyBorder="1" applyAlignment="1">
      <alignment horizontal="center"/>
    </xf>
    <xf numFmtId="43" fontId="100" fillId="4" borderId="11" xfId="1" applyFont="1" applyFill="1" applyBorder="1" applyAlignment="1">
      <alignment horizontal="center"/>
    </xf>
    <xf numFmtId="43" fontId="100" fillId="4" borderId="7" xfId="1" applyFont="1" applyFill="1" applyBorder="1" applyAlignment="1">
      <alignment horizontal="center" vertical="center"/>
    </xf>
    <xf numFmtId="43" fontId="100" fillId="4" borderId="11" xfId="1" applyFont="1" applyFill="1" applyBorder="1" applyAlignment="1">
      <alignment horizontal="center" vertical="center"/>
    </xf>
    <xf numFmtId="43" fontId="18" fillId="0" borderId="12" xfId="1" applyFont="1" applyBorder="1" applyAlignment="1">
      <alignment horizontal="center"/>
    </xf>
    <xf numFmtId="43" fontId="18" fillId="0" borderId="18" xfId="1" applyFont="1" applyBorder="1" applyAlignment="1">
      <alignment horizontal="center"/>
    </xf>
    <xf numFmtId="43" fontId="18" fillId="0" borderId="13" xfId="1" applyFont="1" applyBorder="1" applyAlignment="1">
      <alignment horizontal="center"/>
    </xf>
    <xf numFmtId="0" fontId="11" fillId="0" borderId="6" xfId="2" applyFont="1" applyBorder="1" applyAlignment="1">
      <alignment horizontal="center" vertical="center" wrapText="1"/>
    </xf>
    <xf numFmtId="0" fontId="14" fillId="2" borderId="6" xfId="7" applyFont="1" applyFill="1" applyBorder="1" applyAlignment="1">
      <alignment horizontal="center" vertical="center" wrapText="1"/>
    </xf>
    <xf numFmtId="0" fontId="14" fillId="2" borderId="5" xfId="7" applyFont="1" applyFill="1" applyBorder="1" applyAlignment="1">
      <alignment horizontal="center" vertical="center" wrapText="1"/>
    </xf>
    <xf numFmtId="0" fontId="11" fillId="0" borderId="4" xfId="2" applyFont="1" applyBorder="1" applyAlignment="1">
      <alignment horizontal="center" vertical="center"/>
    </xf>
    <xf numFmtId="0" fontId="11" fillId="0" borderId="4" xfId="2" applyFont="1" applyBorder="1" applyAlignment="1">
      <alignment horizontal="center" vertical="center" wrapText="1"/>
    </xf>
    <xf numFmtId="0" fontId="65" fillId="0" borderId="4" xfId="2" applyFont="1" applyBorder="1" applyAlignment="1">
      <alignment horizontal="center" vertical="center"/>
    </xf>
    <xf numFmtId="0" fontId="65" fillId="0" borderId="4" xfId="2" applyFont="1" applyBorder="1" applyAlignment="1">
      <alignment horizontal="center" vertical="center" wrapText="1"/>
    </xf>
    <xf numFmtId="0" fontId="63" fillId="2" borderId="30" xfId="0" applyFont="1" applyFill="1" applyBorder="1" applyAlignment="1">
      <alignment horizontal="left" vertical="center" wrapText="1"/>
    </xf>
    <xf numFmtId="0" fontId="63" fillId="2" borderId="7" xfId="0" applyFont="1" applyFill="1" applyBorder="1" applyAlignment="1">
      <alignment horizontal="left" vertical="center" wrapText="1"/>
    </xf>
    <xf numFmtId="0" fontId="63" fillId="2" borderId="32" xfId="0" applyFont="1" applyFill="1" applyBorder="1" applyAlignment="1">
      <alignment horizontal="left" vertical="center" wrapText="1"/>
    </xf>
    <xf numFmtId="3" fontId="19" fillId="2" borderId="6" xfId="5" applyNumberFormat="1" applyFont="1" applyFill="1" applyBorder="1" applyAlignment="1">
      <alignment horizontal="center" vertical="center"/>
    </xf>
    <xf numFmtId="3" fontId="19" fillId="2" borderId="5" xfId="5" applyNumberFormat="1" applyFont="1" applyFill="1" applyBorder="1" applyAlignment="1">
      <alignment horizontal="center" vertical="center"/>
    </xf>
    <xf numFmtId="0" fontId="44" fillId="0" borderId="3" xfId="6" applyFont="1" applyBorder="1" applyAlignment="1">
      <alignment horizontal="left" vertical="center" wrapText="1"/>
    </xf>
    <xf numFmtId="0" fontId="44" fillId="0" borderId="1" xfId="6" applyFont="1" applyBorder="1" applyAlignment="1">
      <alignment horizontal="left" vertical="center" wrapText="1"/>
    </xf>
    <xf numFmtId="0" fontId="44" fillId="0" borderId="6" xfId="7" applyFont="1" applyBorder="1" applyAlignment="1">
      <alignment horizontal="center" vertical="center" wrapText="1"/>
    </xf>
    <xf numFmtId="0" fontId="44" fillId="0" borderId="5" xfId="7" applyFont="1" applyBorder="1" applyAlignment="1">
      <alignment horizontal="center" vertical="center" wrapText="1"/>
    </xf>
    <xf numFmtId="0" fontId="14" fillId="0" borderId="3" xfId="6" applyFont="1" applyBorder="1" applyAlignment="1">
      <alignment horizontal="left" vertical="center" wrapText="1"/>
    </xf>
    <xf numFmtId="0" fontId="14" fillId="0" borderId="1" xfId="6" applyFont="1" applyBorder="1" applyAlignment="1">
      <alignment horizontal="left" vertical="center" wrapText="1"/>
    </xf>
    <xf numFmtId="0" fontId="31" fillId="8" borderId="6" xfId="0" applyFont="1" applyFill="1" applyBorder="1" applyAlignment="1">
      <alignment horizontal="left" vertical="center" wrapText="1"/>
    </xf>
    <xf numFmtId="0" fontId="31" fillId="8" borderId="20" xfId="0" applyFont="1" applyFill="1" applyBorder="1" applyAlignment="1">
      <alignment horizontal="left" vertical="center" wrapText="1"/>
    </xf>
    <xf numFmtId="3" fontId="19" fillId="0" borderId="4" xfId="5" applyNumberFormat="1" applyFont="1" applyBorder="1" applyAlignment="1">
      <alignment horizontal="center" vertical="center"/>
    </xf>
    <xf numFmtId="0" fontId="19" fillId="8" borderId="6" xfId="0" applyFont="1" applyFill="1" applyBorder="1" applyAlignment="1">
      <alignment horizontal="left" vertical="center" wrapText="1"/>
    </xf>
    <xf numFmtId="0" fontId="19" fillId="8" borderId="20" xfId="0" applyFont="1" applyFill="1" applyBorder="1" applyAlignment="1">
      <alignment horizontal="left" vertical="center" wrapText="1"/>
    </xf>
    <xf numFmtId="0" fontId="14" fillId="0" borderId="3" xfId="0" applyFont="1" applyBorder="1" applyAlignment="1">
      <alignment horizontal="left" vertical="top" wrapText="1"/>
    </xf>
    <xf numFmtId="0" fontId="14" fillId="0" borderId="2" xfId="0" applyFont="1" applyBorder="1" applyAlignment="1">
      <alignment horizontal="left" vertical="top" wrapText="1"/>
    </xf>
    <xf numFmtId="0" fontId="14" fillId="0" borderId="1" xfId="0" applyFont="1" applyBorder="1" applyAlignment="1">
      <alignment horizontal="left" vertical="top" wrapText="1"/>
    </xf>
    <xf numFmtId="0" fontId="19" fillId="8" borderId="5" xfId="0" applyFont="1" applyFill="1" applyBorder="1" applyAlignment="1">
      <alignment horizontal="left" vertical="center" wrapText="1"/>
    </xf>
    <xf numFmtId="0" fontId="16" fillId="0" borderId="4" xfId="2" applyFont="1" applyBorder="1" applyAlignment="1">
      <alignment horizontal="center" vertical="center"/>
    </xf>
    <xf numFmtId="0" fontId="16" fillId="0" borderId="4" xfId="2" applyFont="1" applyBorder="1" applyAlignment="1">
      <alignment horizontal="center" vertical="center" wrapText="1"/>
    </xf>
    <xf numFmtId="0" fontId="39" fillId="0" borderId="3" xfId="6" applyFont="1" applyBorder="1" applyAlignment="1">
      <alignment horizontal="center" vertical="center" wrapText="1"/>
    </xf>
    <xf numFmtId="0" fontId="39" fillId="0" borderId="2" xfId="6" applyFont="1" applyBorder="1" applyAlignment="1">
      <alignment horizontal="center" vertical="center" wrapText="1"/>
    </xf>
    <xf numFmtId="0" fontId="39" fillId="0" borderId="1" xfId="6" applyFont="1" applyBorder="1" applyAlignment="1">
      <alignment horizontal="center" vertical="center" wrapText="1"/>
    </xf>
    <xf numFmtId="0" fontId="14" fillId="0" borderId="4" xfId="6" applyFont="1" applyBorder="1" applyAlignment="1">
      <alignment horizontal="left" vertical="center" wrapText="1"/>
    </xf>
    <xf numFmtId="0" fontId="14" fillId="0" borderId="3" xfId="6" applyFont="1" applyBorder="1" applyAlignment="1">
      <alignment horizontal="center" vertical="center" wrapText="1"/>
    </xf>
    <xf numFmtId="0" fontId="14" fillId="0" borderId="2" xfId="6" applyFont="1" applyBorder="1" applyAlignment="1">
      <alignment horizontal="center" vertical="center" wrapText="1"/>
    </xf>
    <xf numFmtId="0" fontId="14" fillId="0" borderId="1" xfId="6" applyFont="1" applyBorder="1" applyAlignment="1">
      <alignment horizontal="center" vertical="center" wrapText="1"/>
    </xf>
    <xf numFmtId="3" fontId="19" fillId="0" borderId="6" xfId="5" applyNumberFormat="1" applyFont="1" applyBorder="1" applyAlignment="1">
      <alignment horizontal="center" vertical="center"/>
    </xf>
    <xf numFmtId="3" fontId="19" fillId="0" borderId="5" xfId="5" applyNumberFormat="1" applyFont="1" applyBorder="1" applyAlignment="1">
      <alignment horizontal="center" vertical="center"/>
    </xf>
    <xf numFmtId="0" fontId="19" fillId="0" borderId="6" xfId="0" applyFont="1" applyBorder="1" applyAlignment="1">
      <alignment horizontal="center" vertical="top" wrapText="1"/>
    </xf>
    <xf numFmtId="0" fontId="19" fillId="0" borderId="5" xfId="0" applyFont="1" applyBorder="1" applyAlignment="1">
      <alignment horizontal="center" vertical="top" wrapText="1"/>
    </xf>
    <xf numFmtId="0" fontId="51" fillId="12" borderId="30" xfId="0" applyFont="1" applyFill="1" applyBorder="1" applyAlignment="1">
      <alignment horizontal="left" vertical="center" wrapText="1"/>
    </xf>
    <xf numFmtId="0" fontId="51" fillId="12" borderId="0" xfId="0" applyFont="1" applyFill="1" applyAlignment="1">
      <alignment horizontal="left" vertical="center" wrapText="1"/>
    </xf>
    <xf numFmtId="0" fontId="51" fillId="12" borderId="22" xfId="0" applyFont="1" applyFill="1" applyBorder="1" applyAlignment="1">
      <alignment horizontal="left" vertical="center" wrapText="1"/>
    </xf>
    <xf numFmtId="0" fontId="51" fillId="12" borderId="4" xfId="0" applyFont="1" applyFill="1" applyBorder="1" applyAlignment="1">
      <alignment horizontal="left" vertical="center" wrapText="1"/>
    </xf>
    <xf numFmtId="43" fontId="43" fillId="0" borderId="4" xfId="1" applyFont="1" applyBorder="1" applyAlignment="1">
      <alignment horizontal="center" vertical="top"/>
    </xf>
    <xf numFmtId="0" fontId="19" fillId="0" borderId="4" xfId="2" applyFont="1" applyBorder="1" applyAlignment="1">
      <alignment horizontal="left" vertical="center" wrapText="1"/>
    </xf>
    <xf numFmtId="0" fontId="68" fillId="0" borderId="8" xfId="2" applyFont="1" applyBorder="1" applyAlignment="1">
      <alignment horizontal="left" vertical="center" wrapText="1"/>
    </xf>
    <xf numFmtId="0" fontId="68" fillId="0" borderId="22" xfId="2" applyFont="1" applyBorder="1" applyAlignment="1">
      <alignment horizontal="left" vertical="center" wrapText="1"/>
    </xf>
    <xf numFmtId="0" fontId="68" fillId="0" borderId="32" xfId="2" applyFont="1" applyBorder="1" applyAlignment="1">
      <alignment horizontal="left" vertical="center" wrapText="1"/>
    </xf>
    <xf numFmtId="0" fontId="63" fillId="6" borderId="6" xfId="2" applyFont="1" applyFill="1" applyBorder="1" applyAlignment="1">
      <alignment horizontal="center" vertical="center" wrapText="1"/>
    </xf>
    <xf numFmtId="0" fontId="63" fillId="6" borderId="5" xfId="2" applyFont="1" applyFill="1" applyBorder="1" applyAlignment="1">
      <alignment horizontal="center" vertical="center" wrapText="1"/>
    </xf>
    <xf numFmtId="43" fontId="38" fillId="12" borderId="4" xfId="1" applyFont="1" applyFill="1" applyBorder="1" applyAlignment="1">
      <alignment horizontal="center" vertical="top" wrapText="1"/>
    </xf>
    <xf numFmtId="0" fontId="68" fillId="2" borderId="8" xfId="2" applyFont="1" applyFill="1" applyBorder="1" applyAlignment="1">
      <alignment horizontal="left" vertical="center" wrapText="1"/>
    </xf>
    <xf numFmtId="0" fontId="68" fillId="2" borderId="22" xfId="2" applyFont="1" applyFill="1" applyBorder="1" applyAlignment="1">
      <alignment horizontal="left" vertical="center" wrapText="1"/>
    </xf>
    <xf numFmtId="0" fontId="68" fillId="2" borderId="32" xfId="2" applyFont="1" applyFill="1" applyBorder="1" applyAlignment="1">
      <alignment horizontal="left" vertical="center" wrapText="1"/>
    </xf>
    <xf numFmtId="0" fontId="63" fillId="2" borderId="4" xfId="6" applyFont="1" applyFill="1" applyBorder="1" applyAlignment="1">
      <alignment horizontal="center" vertical="center" wrapText="1"/>
    </xf>
    <xf numFmtId="0" fontId="63" fillId="0" borderId="3" xfId="6" applyFont="1" applyBorder="1" applyAlignment="1">
      <alignment horizontal="center" vertical="center" wrapText="1"/>
    </xf>
    <xf numFmtId="0" fontId="63" fillId="0" borderId="2" xfId="6" applyFont="1" applyBorder="1" applyAlignment="1">
      <alignment horizontal="center" vertical="center" wrapText="1"/>
    </xf>
    <xf numFmtId="0" fontId="63" fillId="0" borderId="1" xfId="6" applyFont="1" applyBorder="1" applyAlignment="1">
      <alignment horizontal="center" vertical="center" wrapText="1"/>
    </xf>
    <xf numFmtId="0" fontId="63" fillId="6" borderId="4" xfId="2" applyFont="1" applyFill="1" applyBorder="1" applyAlignment="1">
      <alignment horizontal="center" vertical="center" wrapText="1"/>
    </xf>
    <xf numFmtId="0" fontId="63" fillId="6" borderId="6" xfId="2" applyFont="1" applyFill="1" applyBorder="1" applyAlignment="1">
      <alignment horizontal="center" vertical="top" wrapText="1"/>
    </xf>
    <xf numFmtId="0" fontId="63" fillId="6" borderId="5" xfId="2" applyFont="1" applyFill="1" applyBorder="1" applyAlignment="1">
      <alignment horizontal="center" vertical="top" wrapText="1"/>
    </xf>
    <xf numFmtId="0" fontId="72" fillId="0" borderId="4" xfId="2" applyFont="1" applyBorder="1" applyAlignment="1">
      <alignment horizontal="left" vertical="center" wrapText="1"/>
    </xf>
    <xf numFmtId="0" fontId="79" fillId="0" borderId="8" xfId="2" applyFont="1" applyBorder="1" applyAlignment="1">
      <alignment horizontal="left" vertical="center" wrapText="1"/>
    </xf>
    <xf numFmtId="0" fontId="79" fillId="0" borderId="22" xfId="2" applyFont="1" applyBorder="1" applyAlignment="1">
      <alignment horizontal="left" vertical="center" wrapText="1"/>
    </xf>
    <xf numFmtId="0" fontId="79" fillId="0" borderId="32" xfId="2" applyFont="1" applyBorder="1" applyAlignment="1">
      <alignment horizontal="left" vertical="center" wrapText="1"/>
    </xf>
    <xf numFmtId="0" fontId="77" fillId="0" borderId="4" xfId="2" applyFont="1" applyBorder="1" applyAlignment="1">
      <alignment horizontal="center" vertical="center" wrapText="1"/>
    </xf>
    <xf numFmtId="0" fontId="80" fillId="0" borderId="3" xfId="2" applyFont="1" applyBorder="1" applyAlignment="1">
      <alignment horizontal="left" vertical="center" wrapText="1"/>
    </xf>
    <xf numFmtId="0" fontId="80" fillId="0" borderId="2" xfId="2" applyFont="1" applyBorder="1" applyAlignment="1">
      <alignment horizontal="left" vertical="center" wrapText="1"/>
    </xf>
    <xf numFmtId="0" fontId="80" fillId="0" borderId="1" xfId="2" applyFont="1" applyBorder="1" applyAlignment="1">
      <alignment horizontal="left" vertical="center" wrapText="1"/>
    </xf>
    <xf numFmtId="0" fontId="74" fillId="6" borderId="4" xfId="2" applyFont="1" applyFill="1" applyBorder="1" applyAlignment="1">
      <alignment horizontal="left" vertical="center" wrapText="1"/>
    </xf>
    <xf numFmtId="0" fontId="74" fillId="0" borderId="6" xfId="2" applyFont="1" applyBorder="1" applyAlignment="1">
      <alignment horizontal="center" vertical="center" wrapText="1"/>
    </xf>
    <xf numFmtId="0" fontId="74" fillId="0" borderId="5" xfId="2" applyFont="1" applyBorder="1" applyAlignment="1">
      <alignment horizontal="center" vertical="center" wrapText="1"/>
    </xf>
    <xf numFmtId="0" fontId="80" fillId="0" borderId="4" xfId="2" applyFont="1" applyBorder="1" applyAlignment="1">
      <alignment horizontal="left" vertical="center" wrapText="1"/>
    </xf>
    <xf numFmtId="0" fontId="74" fillId="6" borderId="3" xfId="2" applyFont="1" applyFill="1" applyBorder="1" applyAlignment="1">
      <alignment horizontal="left" vertical="center" wrapText="1"/>
    </xf>
    <xf numFmtId="0" fontId="74" fillId="6" borderId="2" xfId="2" applyFont="1" applyFill="1" applyBorder="1" applyAlignment="1">
      <alignment horizontal="left" vertical="center" wrapText="1"/>
    </xf>
    <xf numFmtId="0" fontId="74" fillId="6" borderId="1" xfId="2" applyFont="1" applyFill="1" applyBorder="1" applyAlignment="1">
      <alignment horizontal="left" vertical="center" wrapText="1"/>
    </xf>
    <xf numFmtId="0" fontId="74" fillId="0" borderId="3" xfId="2" applyFont="1" applyBorder="1" applyAlignment="1">
      <alignment horizontal="left" vertical="center" wrapText="1"/>
    </xf>
    <xf numFmtId="0" fontId="74" fillId="0" borderId="2" xfId="2" applyFont="1" applyBorder="1" applyAlignment="1">
      <alignment horizontal="left" vertical="center" wrapText="1"/>
    </xf>
    <xf numFmtId="0" fontId="74" fillId="0" borderId="1" xfId="2" applyFont="1" applyBorder="1" applyAlignment="1">
      <alignment horizontal="left" vertical="center" wrapText="1"/>
    </xf>
    <xf numFmtId="0" fontId="75" fillId="0" borderId="3" xfId="2" applyFont="1" applyBorder="1" applyAlignment="1">
      <alignment horizontal="left" vertical="center" wrapText="1"/>
    </xf>
    <xf numFmtId="0" fontId="75" fillId="0" borderId="2" xfId="2" applyFont="1" applyBorder="1" applyAlignment="1">
      <alignment horizontal="left" vertical="center" wrapText="1"/>
    </xf>
    <xf numFmtId="0" fontId="75" fillId="0" borderId="1" xfId="2" applyFont="1" applyBorder="1" applyAlignment="1">
      <alignment horizontal="left" vertical="center" wrapText="1"/>
    </xf>
    <xf numFmtId="0" fontId="75" fillId="6" borderId="3" xfId="2" applyFont="1" applyFill="1" applyBorder="1" applyAlignment="1">
      <alignment horizontal="center" vertical="center" wrapText="1"/>
    </xf>
    <xf numFmtId="0" fontId="75" fillId="6" borderId="2" xfId="2" applyFont="1" applyFill="1" applyBorder="1" applyAlignment="1">
      <alignment horizontal="center" vertical="center" wrapText="1"/>
    </xf>
    <xf numFmtId="0" fontId="75" fillId="6" borderId="1" xfId="2" applyFont="1" applyFill="1" applyBorder="1" applyAlignment="1">
      <alignment horizontal="center" vertical="center" wrapText="1"/>
    </xf>
    <xf numFmtId="0" fontId="75" fillId="6" borderId="3" xfId="2" applyFont="1" applyFill="1" applyBorder="1" applyAlignment="1">
      <alignment horizontal="right" vertical="center" wrapText="1"/>
    </xf>
    <xf numFmtId="0" fontId="75" fillId="6" borderId="2" xfId="2" applyFont="1" applyFill="1" applyBorder="1" applyAlignment="1">
      <alignment horizontal="right" vertical="center" wrapText="1"/>
    </xf>
    <xf numFmtId="0" fontId="75" fillId="6" borderId="1" xfId="2" applyFont="1" applyFill="1" applyBorder="1" applyAlignment="1">
      <alignment horizontal="right" vertical="center" wrapText="1"/>
    </xf>
    <xf numFmtId="0" fontId="74" fillId="6" borderId="3" xfId="2" applyFont="1" applyFill="1" applyBorder="1" applyAlignment="1">
      <alignment horizontal="center" vertical="center" wrapText="1"/>
    </xf>
    <xf numFmtId="0" fontId="74" fillId="6" borderId="2" xfId="2" applyFont="1" applyFill="1" applyBorder="1" applyAlignment="1">
      <alignment horizontal="center" vertical="center" wrapText="1"/>
    </xf>
    <xf numFmtId="0" fontId="74" fillId="6" borderId="1" xfId="2" applyFont="1" applyFill="1" applyBorder="1" applyAlignment="1">
      <alignment horizontal="center" vertical="center" wrapText="1"/>
    </xf>
    <xf numFmtId="0" fontId="69" fillId="6" borderId="3" xfId="2" applyFont="1" applyFill="1" applyBorder="1" applyAlignment="1">
      <alignment horizontal="center" vertical="center" wrapText="1"/>
    </xf>
    <xf numFmtId="0" fontId="69" fillId="6" borderId="2" xfId="2" applyFont="1" applyFill="1" applyBorder="1" applyAlignment="1">
      <alignment horizontal="center" vertical="center" wrapText="1"/>
    </xf>
    <xf numFmtId="0" fontId="69" fillId="6" borderId="1" xfId="2" applyFont="1" applyFill="1" applyBorder="1" applyAlignment="1">
      <alignment horizontal="center" vertical="center" wrapText="1"/>
    </xf>
    <xf numFmtId="0" fontId="68" fillId="6" borderId="3" xfId="2" applyFont="1" applyFill="1" applyBorder="1" applyAlignment="1">
      <alignment horizontal="center" vertical="center" wrapText="1"/>
    </xf>
    <xf numFmtId="0" fontId="68" fillId="6" borderId="2" xfId="2" applyFont="1" applyFill="1" applyBorder="1" applyAlignment="1">
      <alignment horizontal="center" vertical="center" wrapText="1"/>
    </xf>
    <xf numFmtId="0" fontId="68" fillId="6" borderId="1" xfId="2" applyFont="1" applyFill="1" applyBorder="1" applyAlignment="1">
      <alignment horizontal="center" vertical="center" wrapText="1"/>
    </xf>
    <xf numFmtId="17" fontId="19" fillId="6" borderId="3" xfId="2" applyNumberFormat="1" applyFont="1" applyFill="1" applyBorder="1" applyAlignment="1">
      <alignment horizontal="center" vertical="center" wrapText="1"/>
    </xf>
    <xf numFmtId="17" fontId="19" fillId="6" borderId="2" xfId="2" applyNumberFormat="1" applyFont="1" applyFill="1" applyBorder="1" applyAlignment="1">
      <alignment horizontal="center" vertical="center" wrapText="1"/>
    </xf>
    <xf numFmtId="17" fontId="19" fillId="6" borderId="1" xfId="2" applyNumberFormat="1" applyFont="1" applyFill="1" applyBorder="1" applyAlignment="1">
      <alignment horizontal="center" vertical="center" wrapText="1"/>
    </xf>
    <xf numFmtId="0" fontId="19" fillId="6" borderId="3" xfId="2" applyFont="1" applyFill="1" applyBorder="1" applyAlignment="1">
      <alignment horizontal="center" vertical="center" wrapText="1"/>
    </xf>
    <xf numFmtId="0" fontId="19" fillId="6" borderId="2" xfId="2" applyFont="1" applyFill="1" applyBorder="1" applyAlignment="1">
      <alignment horizontal="center" vertical="center" wrapText="1"/>
    </xf>
    <xf numFmtId="0" fontId="19" fillId="6" borderId="1" xfId="2" applyFont="1" applyFill="1" applyBorder="1" applyAlignment="1">
      <alignment horizontal="center" vertical="center" wrapText="1"/>
    </xf>
    <xf numFmtId="164" fontId="19" fillId="6" borderId="3" xfId="2" applyNumberFormat="1" applyFont="1" applyFill="1" applyBorder="1" applyAlignment="1">
      <alignment horizontal="center" vertical="center" wrapText="1"/>
    </xf>
    <xf numFmtId="164" fontId="19" fillId="6" borderId="2" xfId="2" applyNumberFormat="1" applyFont="1" applyFill="1" applyBorder="1" applyAlignment="1">
      <alignment horizontal="center" vertical="center" wrapText="1"/>
    </xf>
    <xf numFmtId="164" fontId="19" fillId="6" borderId="1" xfId="2" applyNumberFormat="1" applyFont="1" applyFill="1" applyBorder="1" applyAlignment="1">
      <alignment horizontal="center" vertical="center" wrapText="1"/>
    </xf>
    <xf numFmtId="0" fontId="63" fillId="6" borderId="3" xfId="2" applyFont="1" applyFill="1" applyBorder="1" applyAlignment="1">
      <alignment horizontal="center" vertical="center" wrapText="1"/>
    </xf>
    <xf numFmtId="0" fontId="63" fillId="6" borderId="2" xfId="2" applyFont="1" applyFill="1" applyBorder="1" applyAlignment="1">
      <alignment horizontal="center" vertical="center" wrapText="1"/>
    </xf>
    <xf numFmtId="0" fontId="63" fillId="6" borderId="1" xfId="2" applyFont="1" applyFill="1" applyBorder="1" applyAlignment="1">
      <alignment horizontal="center" vertical="center" wrapText="1"/>
    </xf>
    <xf numFmtId="0" fontId="63" fillId="6" borderId="9" xfId="2" applyFont="1" applyFill="1" applyBorder="1" applyAlignment="1">
      <alignment horizontal="center" vertical="center" wrapText="1"/>
    </xf>
    <xf numFmtId="0" fontId="63" fillId="6" borderId="8" xfId="2" applyFont="1" applyFill="1" applyBorder="1" applyAlignment="1">
      <alignment horizontal="center" vertical="center" wrapText="1"/>
    </xf>
    <xf numFmtId="0" fontId="63" fillId="6" borderId="10" xfId="2" applyFont="1" applyFill="1" applyBorder="1" applyAlignment="1">
      <alignment horizontal="center" vertical="center" wrapText="1"/>
    </xf>
    <xf numFmtId="0" fontId="63" fillId="6" borderId="22" xfId="2" applyFont="1" applyFill="1" applyBorder="1" applyAlignment="1">
      <alignment horizontal="center" vertical="center" wrapText="1"/>
    </xf>
    <xf numFmtId="0" fontId="63" fillId="6" borderId="30" xfId="2" applyFont="1" applyFill="1" applyBorder="1" applyAlignment="1">
      <alignment horizontal="center" vertical="center" wrapText="1"/>
    </xf>
    <xf numFmtId="0" fontId="63" fillId="6" borderId="32" xfId="2" applyFont="1" applyFill="1" applyBorder="1" applyAlignment="1">
      <alignment horizontal="center" vertical="center" wrapText="1"/>
    </xf>
    <xf numFmtId="0" fontId="69" fillId="0" borderId="4" xfId="2" applyFont="1" applyBorder="1" applyAlignment="1">
      <alignment horizontal="center" vertical="top" wrapText="1"/>
    </xf>
    <xf numFmtId="0" fontId="14" fillId="0" borderId="6" xfId="6" applyFont="1" applyBorder="1" applyAlignment="1">
      <alignment horizontal="center" vertical="center"/>
    </xf>
    <xf numFmtId="0" fontId="14" fillId="0" borderId="5" xfId="6" applyFont="1" applyBorder="1" applyAlignment="1">
      <alignment horizontal="center" vertical="center"/>
    </xf>
    <xf numFmtId="0" fontId="63" fillId="0" borderId="3" xfId="6" applyFont="1" applyBorder="1" applyAlignment="1">
      <alignment horizontal="center" vertical="top" wrapText="1"/>
    </xf>
    <xf numFmtId="0" fontId="63" fillId="0" borderId="2" xfId="6" applyFont="1" applyBorder="1" applyAlignment="1">
      <alignment horizontal="center" vertical="top" wrapText="1"/>
    </xf>
    <xf numFmtId="0" fontId="63" fillId="0" borderId="1" xfId="6" applyFont="1" applyBorder="1" applyAlignment="1">
      <alignment horizontal="center" vertical="top" wrapText="1"/>
    </xf>
    <xf numFmtId="0" fontId="14" fillId="0" borderId="3" xfId="6" applyFont="1" applyBorder="1" applyAlignment="1">
      <alignment horizontal="center" vertical="top" wrapText="1"/>
    </xf>
    <xf numFmtId="0" fontId="14" fillId="0" borderId="2" xfId="6" applyFont="1" applyBorder="1" applyAlignment="1">
      <alignment horizontal="center" vertical="top" wrapText="1"/>
    </xf>
    <xf numFmtId="0" fontId="14" fillId="0" borderId="1" xfId="6" applyFont="1" applyBorder="1" applyAlignment="1">
      <alignment horizontal="center" vertical="top" wrapText="1"/>
    </xf>
    <xf numFmtId="0" fontId="14" fillId="0" borderId="6" xfId="0" applyFont="1" applyBorder="1" applyAlignment="1">
      <alignment horizontal="center" wrapText="1"/>
    </xf>
    <xf numFmtId="0" fontId="14" fillId="0" borderId="5" xfId="0" applyFont="1" applyBorder="1" applyAlignment="1">
      <alignment horizontal="center" wrapText="1"/>
    </xf>
    <xf numFmtId="0" fontId="11" fillId="0" borderId="3" xfId="2" applyFont="1" applyBorder="1" applyAlignment="1">
      <alignment horizontal="center" vertical="center" wrapText="1"/>
    </xf>
    <xf numFmtId="0" fontId="10" fillId="2" borderId="4" xfId="0" applyFont="1" applyFill="1" applyBorder="1" applyAlignment="1">
      <alignment horizontal="center" vertical="center" wrapText="1"/>
    </xf>
    <xf numFmtId="0" fontId="10" fillId="2" borderId="9" xfId="2" applyFont="1" applyFill="1" applyBorder="1" applyAlignment="1">
      <alignment horizontal="center" vertical="center" wrapText="1"/>
    </xf>
    <xf numFmtId="0" fontId="10" fillId="2" borderId="8" xfId="2" applyFont="1" applyFill="1" applyBorder="1" applyAlignment="1">
      <alignment horizontal="center" vertical="center" wrapText="1"/>
    </xf>
    <xf numFmtId="0" fontId="44" fillId="2" borderId="4" xfId="6" applyFont="1" applyFill="1" applyBorder="1" applyAlignment="1">
      <alignment horizontal="left" vertical="center" wrapText="1"/>
    </xf>
    <xf numFmtId="0" fontId="109" fillId="0" borderId="3" xfId="0" applyFont="1" applyBorder="1" applyAlignment="1">
      <alignment horizontal="center" vertical="center" wrapText="1"/>
    </xf>
    <xf numFmtId="0" fontId="109" fillId="0" borderId="2" xfId="0" applyFont="1" applyBorder="1" applyAlignment="1">
      <alignment horizontal="center" vertical="center" wrapText="1"/>
    </xf>
    <xf numFmtId="0" fontId="109" fillId="0" borderId="1" xfId="0" applyFont="1" applyBorder="1" applyAlignment="1">
      <alignment horizontal="center" vertical="center" wrapText="1"/>
    </xf>
    <xf numFmtId="0" fontId="109" fillId="0" borderId="4" xfId="2" applyFont="1" applyBorder="1" applyAlignment="1">
      <alignment horizontal="center" vertical="center" wrapText="1"/>
    </xf>
    <xf numFmtId="0" fontId="63" fillId="0" borderId="4" xfId="0" applyFont="1" applyBorder="1" applyAlignment="1">
      <alignment horizontal="center" vertical="top" wrapText="1"/>
    </xf>
    <xf numFmtId="0" fontId="0" fillId="0" borderId="3" xfId="0" applyBorder="1" applyAlignment="1">
      <alignment horizontal="center" vertical="center"/>
    </xf>
    <xf numFmtId="0" fontId="0" fillId="0" borderId="1" xfId="0" applyBorder="1" applyAlignment="1">
      <alignment horizontal="center" vertical="center"/>
    </xf>
    <xf numFmtId="0" fontId="19" fillId="0" borderId="3" xfId="0" applyFont="1" applyBorder="1" applyAlignment="1">
      <alignment horizontal="center" vertical="center" wrapText="1"/>
    </xf>
    <xf numFmtId="0" fontId="19" fillId="0" borderId="1" xfId="0" applyFont="1" applyBorder="1" applyAlignment="1">
      <alignment horizontal="center" vertical="center" wrapText="1"/>
    </xf>
    <xf numFmtId="0" fontId="14" fillId="0" borderId="3" xfId="0" applyFont="1" applyBorder="1" applyAlignment="1">
      <alignment horizontal="center" vertical="center"/>
    </xf>
    <xf numFmtId="0" fontId="14" fillId="0" borderId="1" xfId="0" applyFont="1" applyBorder="1" applyAlignment="1">
      <alignment horizontal="center" vertical="center"/>
    </xf>
    <xf numFmtId="0" fontId="19" fillId="0" borderId="3" xfId="0" applyFont="1" applyBorder="1" applyAlignment="1">
      <alignment horizontal="center" vertical="center"/>
    </xf>
    <xf numFmtId="0" fontId="19" fillId="0" borderId="1" xfId="0" applyFont="1" applyBorder="1" applyAlignment="1">
      <alignment horizontal="center" vertical="center"/>
    </xf>
    <xf numFmtId="0" fontId="43" fillId="2" borderId="6" xfId="0" applyFont="1" applyFill="1" applyBorder="1" applyAlignment="1">
      <alignment horizontal="center" vertical="center" wrapText="1"/>
    </xf>
    <xf numFmtId="0" fontId="43" fillId="2" borderId="5" xfId="0" applyFont="1" applyFill="1" applyBorder="1" applyAlignment="1">
      <alignment horizontal="center" vertical="center" wrapText="1"/>
    </xf>
    <xf numFmtId="0" fontId="63" fillId="2" borderId="3" xfId="0" applyFont="1" applyFill="1" applyBorder="1" applyAlignment="1">
      <alignment horizontal="center" vertical="center" wrapText="1"/>
    </xf>
    <xf numFmtId="0" fontId="63" fillId="2" borderId="2" xfId="0" applyFont="1" applyFill="1" applyBorder="1" applyAlignment="1">
      <alignment horizontal="center" vertical="center" wrapText="1"/>
    </xf>
    <xf numFmtId="0" fontId="63" fillId="2" borderId="1" xfId="0" applyFont="1" applyFill="1" applyBorder="1" applyAlignment="1">
      <alignment horizontal="center" vertical="center" wrapText="1"/>
    </xf>
    <xf numFmtId="0" fontId="109" fillId="0" borderId="4" xfId="2" applyFont="1" applyBorder="1" applyAlignment="1">
      <alignment horizontal="center" wrapText="1"/>
    </xf>
    <xf numFmtId="0" fontId="121" fillId="0" borderId="3" xfId="0" applyFont="1" applyBorder="1" applyAlignment="1">
      <alignment horizontal="center" vertical="center"/>
    </xf>
    <xf numFmtId="0" fontId="121" fillId="0" borderId="1" xfId="0" applyFont="1" applyBorder="1" applyAlignment="1">
      <alignment horizontal="center" vertical="center"/>
    </xf>
    <xf numFmtId="0" fontId="121" fillId="0" borderId="3" xfId="0" applyFont="1" applyBorder="1" applyAlignment="1">
      <alignment horizontal="center" vertical="center" wrapText="1"/>
    </xf>
    <xf numFmtId="0" fontId="121" fillId="0" borderId="1" xfId="0" applyFont="1" applyBorder="1" applyAlignment="1">
      <alignment horizontal="center" vertical="center" wrapText="1"/>
    </xf>
    <xf numFmtId="49" fontId="121" fillId="0" borderId="3" xfId="0" applyNumberFormat="1" applyFont="1" applyBorder="1" applyAlignment="1">
      <alignment horizontal="center" vertical="center"/>
    </xf>
    <xf numFmtId="49" fontId="121" fillId="0" borderId="1" xfId="0" applyNumberFormat="1" applyFont="1" applyBorder="1" applyAlignment="1">
      <alignment horizontal="center" vertical="center"/>
    </xf>
    <xf numFmtId="0" fontId="143" fillId="0" borderId="3" xfId="0" applyFont="1" applyBorder="1" applyAlignment="1">
      <alignment horizontal="center" vertical="center" wrapText="1"/>
    </xf>
    <xf numFmtId="0" fontId="143" fillId="0" borderId="2" xfId="0" applyFont="1" applyBorder="1" applyAlignment="1">
      <alignment horizontal="center" vertical="center" wrapText="1"/>
    </xf>
    <xf numFmtId="0" fontId="143" fillId="0" borderId="1" xfId="0" applyFont="1" applyBorder="1" applyAlignment="1">
      <alignment horizontal="center" vertical="center" wrapText="1"/>
    </xf>
    <xf numFmtId="0" fontId="41" fillId="0" borderId="3" xfId="0" applyFont="1" applyBorder="1" applyAlignment="1">
      <alignment horizontal="center" vertical="center"/>
    </xf>
    <xf numFmtId="0" fontId="41" fillId="0" borderId="1" xfId="0" applyFont="1" applyBorder="1" applyAlignment="1">
      <alignment horizontal="center" vertical="center"/>
    </xf>
    <xf numFmtId="0" fontId="64" fillId="0" borderId="3" xfId="2" applyFont="1" applyBorder="1" applyAlignment="1">
      <alignment horizontal="center" vertical="center" wrapText="1"/>
    </xf>
    <xf numFmtId="0" fontId="64" fillId="0" borderId="2" xfId="2" applyFont="1" applyBorder="1" applyAlignment="1">
      <alignment horizontal="center" vertical="center" wrapText="1"/>
    </xf>
    <xf numFmtId="0" fontId="64" fillId="0" borderId="1" xfId="2" applyFont="1" applyBorder="1" applyAlignment="1">
      <alignment horizontal="center" vertical="center" wrapText="1"/>
    </xf>
    <xf numFmtId="0" fontId="109" fillId="0" borderId="3" xfId="2" quotePrefix="1" applyFont="1" applyBorder="1" applyAlignment="1">
      <alignment horizontal="center" vertical="top" wrapText="1"/>
    </xf>
    <xf numFmtId="0" fontId="109" fillId="0" borderId="2" xfId="2" quotePrefix="1" applyFont="1" applyBorder="1" applyAlignment="1">
      <alignment horizontal="center" vertical="top" wrapText="1"/>
    </xf>
    <xf numFmtId="0" fontId="74" fillId="0" borderId="3" xfId="0" applyFont="1" applyBorder="1" applyAlignment="1">
      <alignment horizontal="center" vertical="center" wrapText="1"/>
    </xf>
    <xf numFmtId="0" fontId="74" fillId="0" borderId="2" xfId="0" applyFont="1" applyBorder="1" applyAlignment="1">
      <alignment horizontal="center" vertical="center" wrapText="1"/>
    </xf>
    <xf numFmtId="0" fontId="74" fillId="0" borderId="3" xfId="2" quotePrefix="1" applyFont="1" applyBorder="1" applyAlignment="1">
      <alignment horizontal="center" vertical="top" wrapText="1"/>
    </xf>
    <xf numFmtId="0" fontId="74" fillId="0" borderId="2" xfId="2" quotePrefix="1" applyFont="1" applyBorder="1" applyAlignment="1">
      <alignment horizontal="center" vertical="top" wrapText="1"/>
    </xf>
    <xf numFmtId="0" fontId="74" fillId="0" borderId="1" xfId="0" applyFont="1" applyBorder="1" applyAlignment="1">
      <alignment horizontal="center" vertical="center" wrapText="1"/>
    </xf>
    <xf numFmtId="0" fontId="63" fillId="2" borderId="3" xfId="2" applyFont="1" applyFill="1" applyBorder="1" applyAlignment="1">
      <alignment horizontal="center" vertical="center" wrapText="1"/>
    </xf>
    <xf numFmtId="0" fontId="63" fillId="2" borderId="1" xfId="2" applyFont="1" applyFill="1" applyBorder="1" applyAlignment="1">
      <alignment horizontal="center" vertical="center" wrapText="1"/>
    </xf>
    <xf numFmtId="0" fontId="19" fillId="0" borderId="4" xfId="0" applyFont="1" applyBorder="1" applyAlignment="1">
      <alignment horizontal="left" vertical="center" wrapText="1"/>
    </xf>
    <xf numFmtId="0" fontId="63" fillId="0" borderId="3" xfId="2" applyFont="1" applyBorder="1" applyAlignment="1">
      <alignment vertical="center" wrapText="1"/>
    </xf>
    <xf numFmtId="0" fontId="126" fillId="0" borderId="0" xfId="0" applyFont="1" applyBorder="1" applyAlignment="1">
      <alignment horizontal="center" vertical="center" wrapText="1"/>
    </xf>
    <xf numFmtId="0" fontId="103" fillId="0" borderId="0" xfId="0" applyFont="1" applyBorder="1" applyAlignment="1">
      <alignment vertical="center"/>
    </xf>
    <xf numFmtId="0" fontId="103" fillId="0" borderId="0" xfId="0" applyFont="1" applyBorder="1" applyAlignment="1">
      <alignment horizontal="center" vertical="center"/>
    </xf>
    <xf numFmtId="0" fontId="124" fillId="0" borderId="0" xfId="0" applyFont="1" applyBorder="1" applyAlignment="1">
      <alignment horizontal="center" vertical="center"/>
    </xf>
    <xf numFmtId="0" fontId="0" fillId="0" borderId="0" xfId="0" applyBorder="1"/>
    <xf numFmtId="43" fontId="128" fillId="0" borderId="0" xfId="1" applyFont="1" applyBorder="1" applyAlignment="1">
      <alignment vertical="center"/>
    </xf>
    <xf numFmtId="0" fontId="109" fillId="0" borderId="13" xfId="0" applyFont="1" applyBorder="1" applyAlignment="1">
      <alignment horizontal="center" vertical="center" wrapText="1"/>
    </xf>
    <xf numFmtId="0" fontId="112" fillId="0" borderId="13" xfId="0" applyFont="1" applyBorder="1" applyAlignment="1">
      <alignment horizontal="center" vertical="center" wrapText="1"/>
    </xf>
    <xf numFmtId="0" fontId="109" fillId="0" borderId="38" xfId="0" applyFont="1" applyBorder="1" applyAlignment="1">
      <alignment horizontal="center" vertical="center" wrapText="1"/>
    </xf>
    <xf numFmtId="0" fontId="109" fillId="0" borderId="39" xfId="0" applyFont="1" applyBorder="1" applyAlignment="1">
      <alignment horizontal="center" vertical="center" wrapText="1"/>
    </xf>
    <xf numFmtId="0" fontId="112" fillId="0" borderId="39" xfId="0" applyFont="1" applyBorder="1" applyAlignment="1">
      <alignment horizontal="center" vertical="center" wrapText="1"/>
    </xf>
    <xf numFmtId="0" fontId="109" fillId="0" borderId="38" xfId="0" applyFont="1" applyBorder="1" applyAlignment="1">
      <alignment vertical="center" wrapText="1"/>
    </xf>
    <xf numFmtId="0" fontId="112" fillId="0" borderId="38" xfId="0" applyFont="1" applyBorder="1" applyAlignment="1">
      <alignment horizontal="center" vertical="center" wrapText="1"/>
    </xf>
    <xf numFmtId="0" fontId="109" fillId="0" borderId="38" xfId="0" applyFont="1" applyBorder="1" applyAlignment="1">
      <alignment horizontal="center" vertical="center" wrapText="1"/>
    </xf>
    <xf numFmtId="0" fontId="14" fillId="2" borderId="3" xfId="0" applyFont="1" applyFill="1" applyBorder="1" applyAlignment="1">
      <alignment vertical="center"/>
    </xf>
    <xf numFmtId="0" fontId="14" fillId="0" borderId="3" xfId="0" applyFont="1" applyBorder="1" applyAlignment="1">
      <alignment vertical="center"/>
    </xf>
    <xf numFmtId="0" fontId="14" fillId="0" borderId="9" xfId="0" applyFont="1" applyBorder="1" applyAlignment="1">
      <alignment vertical="center"/>
    </xf>
    <xf numFmtId="0" fontId="14" fillId="0" borderId="3" xfId="0" applyFont="1" applyBorder="1" applyAlignment="1">
      <alignment horizontal="center" vertical="center" wrapText="1"/>
    </xf>
    <xf numFmtId="0" fontId="19" fillId="0" borderId="4" xfId="2" applyFont="1" applyBorder="1" applyAlignment="1">
      <alignment horizontal="center" vertical="center"/>
    </xf>
    <xf numFmtId="3" fontId="14" fillId="0" borderId="4" xfId="1" applyNumberFormat="1" applyFont="1" applyBorder="1" applyAlignment="1">
      <alignment vertical="center"/>
    </xf>
    <xf numFmtId="0" fontId="14" fillId="0" borderId="4" xfId="1" applyNumberFormat="1" applyFont="1" applyBorder="1" applyAlignment="1">
      <alignment vertical="center"/>
    </xf>
    <xf numFmtId="168" fontId="61" fillId="0" borderId="4" xfId="0" applyNumberFormat="1" applyFont="1" applyBorder="1" applyAlignment="1">
      <alignment vertical="top"/>
    </xf>
    <xf numFmtId="0" fontId="171" fillId="2" borderId="8" xfId="0" applyFont="1" applyFill="1" applyBorder="1" applyAlignment="1">
      <alignment horizontal="center" vertical="center" wrapText="1"/>
    </xf>
    <xf numFmtId="168" fontId="121" fillId="0" borderId="32" xfId="10" applyFont="1" applyBorder="1" applyAlignment="1">
      <alignment horizontal="center"/>
    </xf>
    <xf numFmtId="168" fontId="149" fillId="0" borderId="4" xfId="9" applyFont="1" applyBorder="1" applyAlignment="1">
      <alignment vertical="center"/>
    </xf>
    <xf numFmtId="168" fontId="149" fillId="0" borderId="3" xfId="9" applyFont="1" applyBorder="1" applyAlignment="1">
      <alignment vertical="center"/>
    </xf>
    <xf numFmtId="0" fontId="109" fillId="0" borderId="37" xfId="0" applyFont="1" applyBorder="1" applyAlignment="1">
      <alignment horizontal="center" vertical="center" wrapText="1"/>
    </xf>
    <xf numFmtId="0" fontId="109" fillId="0" borderId="37" xfId="0" applyFont="1" applyBorder="1" applyAlignment="1">
      <alignment vertical="center" wrapText="1"/>
    </xf>
    <xf numFmtId="0" fontId="103" fillId="0" borderId="4" xfId="0" applyFont="1" applyFill="1" applyBorder="1" applyAlignment="1">
      <alignment vertical="center"/>
    </xf>
    <xf numFmtId="0" fontId="109" fillId="0" borderId="4" xfId="0" applyFont="1" applyBorder="1" applyAlignment="1">
      <alignment horizontal="center" vertical="center" wrapText="1"/>
    </xf>
    <xf numFmtId="17" fontId="109" fillId="0" borderId="4" xfId="0" applyNumberFormat="1" applyFont="1" applyBorder="1" applyAlignment="1">
      <alignment horizontal="center" vertical="center" wrapText="1"/>
    </xf>
    <xf numFmtId="0" fontId="117" fillId="20" borderId="4" xfId="0" applyFont="1" applyFill="1" applyBorder="1" applyAlignment="1">
      <alignment vertical="center" wrapText="1"/>
    </xf>
    <xf numFmtId="0" fontId="117" fillId="20" borderId="4" xfId="0" applyFont="1" applyFill="1" applyBorder="1" applyAlignment="1">
      <alignment horizontal="center" vertical="center"/>
    </xf>
    <xf numFmtId="43" fontId="117" fillId="20" borderId="4" xfId="1" applyFont="1" applyFill="1" applyBorder="1" applyAlignment="1">
      <alignment horizontal="center" vertical="center"/>
    </xf>
    <xf numFmtId="0" fontId="117" fillId="20" borderId="4" xfId="0" applyFont="1" applyFill="1" applyBorder="1" applyAlignment="1">
      <alignment horizontal="center" vertical="center" wrapText="1"/>
    </xf>
    <xf numFmtId="0" fontId="109" fillId="0" borderId="4" xfId="0" applyFont="1" applyBorder="1" applyAlignment="1">
      <alignment vertical="center" wrapText="1"/>
    </xf>
    <xf numFmtId="0" fontId="117" fillId="20" borderId="4" xfId="0" applyFont="1" applyFill="1" applyBorder="1" applyAlignment="1">
      <alignment horizontal="center" vertical="center"/>
    </xf>
    <xf numFmtId="0" fontId="109" fillId="0" borderId="4" xfId="0" applyFont="1" applyBorder="1" applyAlignment="1">
      <alignment horizontal="center" vertical="center" wrapText="1"/>
    </xf>
    <xf numFmtId="43" fontId="117" fillId="20" borderId="4" xfId="1" applyFont="1" applyFill="1" applyBorder="1" applyAlignment="1">
      <alignment horizontal="center" vertical="center"/>
    </xf>
    <xf numFmtId="0" fontId="109" fillId="0" borderId="4" xfId="0" applyFont="1" applyBorder="1" applyAlignment="1">
      <alignment horizontal="center" vertical="center"/>
    </xf>
    <xf numFmtId="43" fontId="109" fillId="0" borderId="4" xfId="1" applyFont="1" applyBorder="1" applyAlignment="1">
      <alignment vertical="center"/>
    </xf>
    <xf numFmtId="0" fontId="109" fillId="20" borderId="4" xfId="0" applyFont="1" applyFill="1" applyBorder="1" applyAlignment="1">
      <alignment vertical="center" wrapText="1"/>
    </xf>
    <xf numFmtId="0" fontId="109" fillId="20" borderId="4" xfId="0" applyFont="1" applyFill="1" applyBorder="1" applyAlignment="1">
      <alignment vertical="center"/>
    </xf>
    <xf numFmtId="0" fontId="170" fillId="20" borderId="4" xfId="0" applyFont="1" applyFill="1" applyBorder="1" applyAlignment="1">
      <alignment vertical="center"/>
    </xf>
    <xf numFmtId="43" fontId="170" fillId="20" borderId="4" xfId="1" applyFont="1" applyFill="1" applyBorder="1" applyAlignment="1">
      <alignment vertical="center"/>
    </xf>
    <xf numFmtId="0" fontId="109" fillId="0" borderId="41" xfId="0" applyFont="1" applyBorder="1" applyAlignment="1">
      <alignment horizontal="center" vertical="center" wrapText="1"/>
    </xf>
    <xf numFmtId="0" fontId="109" fillId="0" borderId="39" xfId="0" applyFont="1" applyBorder="1" applyAlignment="1">
      <alignment vertical="center" wrapText="1"/>
    </xf>
    <xf numFmtId="0" fontId="109" fillId="0" borderId="42" xfId="0" applyFont="1" applyBorder="1" applyAlignment="1">
      <alignment vertical="center" wrapText="1"/>
    </xf>
    <xf numFmtId="0" fontId="109" fillId="0" borderId="44" xfId="0" applyFont="1" applyBorder="1" applyAlignment="1">
      <alignment horizontal="center" vertical="center" wrapText="1"/>
    </xf>
    <xf numFmtId="0" fontId="167" fillId="0" borderId="37" xfId="0" applyFont="1" applyBorder="1" applyAlignment="1">
      <alignment horizontal="center" vertical="center" wrapText="1"/>
    </xf>
    <xf numFmtId="0" fontId="167" fillId="0" borderId="38" xfId="0" applyFont="1" applyBorder="1" applyAlignment="1">
      <alignment horizontal="center" vertical="center" wrapText="1"/>
    </xf>
    <xf numFmtId="0" fontId="167" fillId="0" borderId="40" xfId="0" applyFont="1" applyBorder="1" applyAlignment="1">
      <alignment horizontal="center" vertical="center"/>
    </xf>
    <xf numFmtId="0" fontId="109" fillId="0" borderId="40" xfId="0" applyFont="1" applyBorder="1" applyAlignment="1">
      <alignment vertical="center" wrapText="1"/>
    </xf>
    <xf numFmtId="0" fontId="109" fillId="0" borderId="44" xfId="0" applyFont="1" applyBorder="1" applyAlignment="1">
      <alignment vertical="center" wrapText="1"/>
    </xf>
    <xf numFmtId="0" fontId="109" fillId="0" borderId="40" xfId="0" applyFont="1" applyBorder="1" applyAlignment="1">
      <alignment horizontal="center" vertical="center" wrapText="1"/>
    </xf>
    <xf numFmtId="0" fontId="63" fillId="2" borderId="1" xfId="6" applyFont="1" applyFill="1" applyBorder="1" applyAlignment="1">
      <alignment horizontal="left" vertical="center" wrapText="1"/>
    </xf>
    <xf numFmtId="0" fontId="14" fillId="2" borderId="1" xfId="6" applyFont="1" applyFill="1" applyBorder="1" applyAlignment="1">
      <alignment horizontal="center" vertical="center"/>
    </xf>
    <xf numFmtId="17" fontId="14" fillId="2" borderId="1" xfId="6" quotePrefix="1" applyNumberFormat="1" applyFont="1" applyFill="1" applyBorder="1" applyAlignment="1">
      <alignment horizontal="center" vertical="center" wrapText="1"/>
    </xf>
    <xf numFmtId="4" fontId="63" fillId="2" borderId="1" xfId="6" applyNumberFormat="1" applyFont="1" applyFill="1" applyBorder="1" applyAlignment="1">
      <alignment horizontal="center" vertical="center" wrapText="1"/>
    </xf>
    <xf numFmtId="0" fontId="167" fillId="0" borderId="4" xfId="0" applyFont="1" applyBorder="1" applyAlignment="1">
      <alignment horizontal="center" vertical="center" wrapText="1"/>
    </xf>
    <xf numFmtId="3" fontId="109" fillId="0" borderId="4" xfId="0" applyNumberFormat="1" applyFont="1" applyBorder="1" applyAlignment="1">
      <alignment horizontal="center" vertical="center"/>
    </xf>
    <xf numFmtId="4" fontId="109" fillId="0" borderId="4" xfId="0" applyNumberFormat="1" applyFont="1" applyBorder="1" applyAlignment="1">
      <alignment horizontal="right" vertical="center"/>
    </xf>
    <xf numFmtId="0" fontId="167" fillId="0" borderId="4" xfId="0" applyFont="1" applyBorder="1" applyAlignment="1">
      <alignment horizontal="center" vertical="center"/>
    </xf>
    <xf numFmtId="0" fontId="109" fillId="0" borderId="4" xfId="0" applyFont="1" applyBorder="1" applyAlignment="1">
      <alignment vertical="center"/>
    </xf>
    <xf numFmtId="0" fontId="167" fillId="0" borderId="4" xfId="0" applyFont="1" applyBorder="1" applyAlignment="1">
      <alignment horizontal="center" vertical="center" wrapText="1"/>
    </xf>
    <xf numFmtId="0" fontId="73" fillId="0" borderId="3" xfId="0" applyFont="1" applyBorder="1" applyAlignment="1">
      <alignment horizontal="center" vertical="top" wrapText="1"/>
    </xf>
    <xf numFmtId="0" fontId="75" fillId="0" borderId="3" xfId="5" applyFont="1" applyBorder="1" applyAlignment="1">
      <alignment horizontal="right" vertical="center" shrinkToFit="1"/>
    </xf>
    <xf numFmtId="3" fontId="75" fillId="0" borderId="9" xfId="5" applyNumberFormat="1" applyFont="1" applyBorder="1" applyAlignment="1">
      <alignment vertical="center"/>
    </xf>
    <xf numFmtId="0" fontId="73" fillId="0" borderId="3" xfId="0" applyFont="1" applyBorder="1" applyAlignment="1">
      <alignment horizontal="center" vertical="top"/>
    </xf>
    <xf numFmtId="49" fontId="73" fillId="0" borderId="3" xfId="0" applyNumberFormat="1" applyFont="1" applyBorder="1" applyAlignment="1">
      <alignment horizontal="center" vertical="top" wrapText="1"/>
    </xf>
    <xf numFmtId="0" fontId="73" fillId="0" borderId="3" xfId="0" applyFont="1" applyBorder="1"/>
    <xf numFmtId="43" fontId="109" fillId="0" borderId="4" xfId="1" applyFont="1" applyBorder="1" applyAlignment="1">
      <alignment vertical="center" wrapText="1"/>
    </xf>
    <xf numFmtId="0" fontId="112" fillId="0" borderId="4" xfId="0" applyFont="1" applyBorder="1" applyAlignment="1">
      <alignment horizontal="center" vertical="center" wrapText="1"/>
    </xf>
    <xf numFmtId="0" fontId="167" fillId="0" borderId="4" xfId="0" applyFont="1" applyBorder="1" applyAlignment="1">
      <alignment vertical="center" wrapText="1"/>
    </xf>
    <xf numFmtId="0" fontId="170" fillId="20" borderId="4" xfId="0" applyFont="1" applyFill="1" applyBorder="1" applyAlignment="1">
      <alignment vertical="center" wrapText="1"/>
    </xf>
    <xf numFmtId="0" fontId="117" fillId="0" borderId="4" xfId="0" applyFont="1" applyBorder="1" applyAlignment="1">
      <alignment vertical="center" wrapText="1"/>
    </xf>
    <xf numFmtId="0" fontId="117" fillId="20" borderId="4" xfId="0" applyFont="1" applyFill="1" applyBorder="1" applyAlignment="1">
      <alignment vertical="center"/>
    </xf>
    <xf numFmtId="0" fontId="109" fillId="20" borderId="4" xfId="0" applyFont="1" applyFill="1" applyBorder="1" applyAlignment="1">
      <alignment horizontal="center" vertical="center"/>
    </xf>
    <xf numFmtId="0" fontId="167" fillId="0" borderId="3" xfId="0" applyFont="1" applyBorder="1" applyAlignment="1">
      <alignment horizontal="center" vertical="top" wrapText="1"/>
    </xf>
    <xf numFmtId="0" fontId="173" fillId="0" borderId="3" xfId="0" applyFont="1" applyBorder="1" applyAlignment="1">
      <alignment horizontal="center" vertical="top" wrapText="1"/>
    </xf>
    <xf numFmtId="0" fontId="174" fillId="0" borderId="3" xfId="2" applyFont="1" applyBorder="1" applyAlignment="1">
      <alignment horizontal="center" vertical="center" wrapText="1"/>
    </xf>
    <xf numFmtId="0" fontId="175" fillId="0" borderId="3" xfId="0" applyFont="1" applyBorder="1" applyAlignment="1">
      <alignment horizontal="center" vertical="center" wrapText="1"/>
    </xf>
    <xf numFmtId="0" fontId="175" fillId="0" borderId="3" xfId="0" applyFont="1" applyBorder="1" applyAlignment="1">
      <alignment vertical="center"/>
    </xf>
    <xf numFmtId="0" fontId="174" fillId="0" borderId="3" xfId="2" quotePrefix="1" applyFont="1" applyBorder="1" applyAlignment="1">
      <alignment horizontal="center" vertical="center" wrapText="1"/>
    </xf>
    <xf numFmtId="168" fontId="169" fillId="0" borderId="3" xfId="0" applyNumberFormat="1" applyFont="1" applyBorder="1" applyAlignment="1">
      <alignment vertical="center"/>
    </xf>
    <xf numFmtId="0" fontId="174" fillId="0" borderId="8" xfId="2" quotePrefix="1" applyFont="1" applyBorder="1" applyAlignment="1">
      <alignment horizontal="center" vertical="top" wrapText="1"/>
    </xf>
    <xf numFmtId="0" fontId="176" fillId="0" borderId="3" xfId="2" applyFont="1" applyBorder="1" applyAlignment="1">
      <alignment horizontal="center" vertical="top" wrapText="1"/>
    </xf>
    <xf numFmtId="0" fontId="173" fillId="0" borderId="1" xfId="0" applyFont="1" applyBorder="1" applyAlignment="1">
      <alignment horizontal="center" vertical="top" wrapText="1"/>
    </xf>
    <xf numFmtId="0" fontId="174" fillId="0" borderId="2" xfId="2" applyFont="1" applyBorder="1" applyAlignment="1">
      <alignment vertical="center" wrapText="1"/>
    </xf>
    <xf numFmtId="0" fontId="175" fillId="0" borderId="1" xfId="0" applyFont="1" applyBorder="1" applyAlignment="1">
      <alignment vertical="center" wrapText="1"/>
    </xf>
    <xf numFmtId="0" fontId="174" fillId="0" borderId="2" xfId="2" quotePrefix="1" applyFont="1" applyBorder="1" applyAlignment="1">
      <alignment horizontal="center" vertical="center" wrapText="1"/>
    </xf>
    <xf numFmtId="0" fontId="174" fillId="0" borderId="2" xfId="2" applyFont="1" applyBorder="1" applyAlignment="1">
      <alignment horizontal="center" vertical="center" wrapText="1"/>
    </xf>
    <xf numFmtId="0" fontId="174" fillId="0" borderId="2" xfId="2" applyFont="1" applyBorder="1" applyAlignment="1">
      <alignment horizontal="center" vertical="top" wrapText="1"/>
    </xf>
    <xf numFmtId="0" fontId="174" fillId="0" borderId="1" xfId="2" applyFont="1" applyBorder="1" applyAlignment="1">
      <alignment vertical="center" wrapText="1"/>
    </xf>
    <xf numFmtId="168" fontId="169" fillId="0" borderId="1" xfId="0" applyNumberFormat="1" applyFont="1" applyBorder="1" applyAlignment="1">
      <alignment vertical="center"/>
    </xf>
    <xf numFmtId="0" fontId="174" fillId="0" borderId="22" xfId="2" quotePrefix="1" applyFont="1" applyBorder="1" applyAlignment="1">
      <alignment horizontal="center" vertical="top" wrapText="1"/>
    </xf>
    <xf numFmtId="0" fontId="176" fillId="0" borderId="2" xfId="2" applyFont="1" applyBorder="1" applyAlignment="1">
      <alignment horizontal="center" vertical="top" wrapText="1"/>
    </xf>
    <xf numFmtId="0" fontId="2" fillId="0" borderId="0" xfId="0" applyFont="1" applyAlignment="1">
      <alignment horizontal="center" vertical="center" wrapText="1"/>
    </xf>
    <xf numFmtId="0" fontId="167" fillId="0" borderId="0" xfId="0" applyFont="1" applyAlignment="1">
      <alignment horizontal="center" vertical="center"/>
    </xf>
    <xf numFmtId="0" fontId="167" fillId="0" borderId="13" xfId="0" applyFont="1" applyBorder="1" applyAlignment="1">
      <alignment horizontal="center" vertical="center"/>
    </xf>
    <xf numFmtId="0" fontId="167" fillId="0" borderId="40" xfId="0" applyFont="1" applyBorder="1" applyAlignment="1">
      <alignment vertical="center" wrapText="1"/>
    </xf>
    <xf numFmtId="0" fontId="168" fillId="0" borderId="40" xfId="0" applyFont="1" applyBorder="1" applyAlignment="1">
      <alignment vertical="center" wrapText="1"/>
    </xf>
    <xf numFmtId="0" fontId="2" fillId="0" borderId="38" xfId="0" applyFont="1" applyBorder="1" applyAlignment="1">
      <alignment horizontal="center" vertical="center" wrapText="1"/>
    </xf>
    <xf numFmtId="0" fontId="167" fillId="0" borderId="41" xfId="0" applyFont="1" applyBorder="1" applyAlignment="1">
      <alignment horizontal="center" vertical="center"/>
    </xf>
    <xf numFmtId="0" fontId="109" fillId="0" borderId="13" xfId="0" applyFont="1" applyBorder="1" applyAlignment="1">
      <alignment horizontal="center" vertical="center" wrapText="1"/>
    </xf>
    <xf numFmtId="0" fontId="167" fillId="0" borderId="37" xfId="0" applyFont="1" applyBorder="1" applyAlignment="1">
      <alignment horizontal="center" vertical="center"/>
    </xf>
    <xf numFmtId="0" fontId="167" fillId="0" borderId="44" xfId="0" applyFont="1" applyBorder="1" applyAlignment="1">
      <alignment horizontal="center" vertical="center"/>
    </xf>
    <xf numFmtId="17" fontId="109" fillId="0" borderId="38" xfId="0" applyNumberFormat="1" applyFont="1" applyBorder="1" applyAlignment="1">
      <alignment horizontal="center" vertical="center" wrapText="1"/>
    </xf>
    <xf numFmtId="0" fontId="112" fillId="0" borderId="37" xfId="0" applyFont="1" applyBorder="1" applyAlignment="1">
      <alignment horizontal="center" vertical="center" wrapText="1"/>
    </xf>
    <xf numFmtId="0" fontId="109" fillId="0" borderId="39" xfId="0" applyFont="1" applyBorder="1" applyAlignment="1">
      <alignment horizontal="center" vertical="center" wrapText="1"/>
    </xf>
    <xf numFmtId="17" fontId="109" fillId="0" borderId="4" xfId="0" applyNumberFormat="1" applyFont="1" applyBorder="1" applyAlignment="1">
      <alignment vertical="center" wrapText="1"/>
    </xf>
    <xf numFmtId="0" fontId="2" fillId="0" borderId="4" xfId="0" applyFont="1" applyBorder="1" applyAlignment="1">
      <alignment horizontal="center" vertical="center" wrapText="1"/>
    </xf>
    <xf numFmtId="0" fontId="167" fillId="0" borderId="4" xfId="0" applyFont="1" applyBorder="1" applyAlignment="1">
      <alignment vertical="center" wrapText="1"/>
    </xf>
    <xf numFmtId="0" fontId="167" fillId="0" borderId="4" xfId="0" applyFont="1" applyBorder="1" applyAlignment="1">
      <alignment horizontal="center" vertical="center"/>
    </xf>
    <xf numFmtId="43" fontId="109" fillId="0" borderId="4" xfId="1" applyFont="1" applyBorder="1" applyAlignment="1">
      <alignment vertical="center"/>
    </xf>
    <xf numFmtId="0" fontId="168" fillId="0" borderId="4" xfId="0" applyFont="1" applyBorder="1" applyAlignment="1">
      <alignment vertical="center" wrapText="1"/>
    </xf>
    <xf numFmtId="0" fontId="167" fillId="20" borderId="4" xfId="0" applyFont="1" applyFill="1" applyBorder="1" applyAlignment="1">
      <alignment vertical="center" wrapText="1"/>
    </xf>
    <xf numFmtId="0" fontId="168" fillId="20" borderId="4" xfId="0" applyFont="1" applyFill="1" applyBorder="1" applyAlignment="1">
      <alignment vertical="center" wrapText="1"/>
    </xf>
    <xf numFmtId="0" fontId="177" fillId="0" borderId="4" xfId="0" applyFont="1" applyBorder="1" applyAlignment="1">
      <alignment vertical="center" wrapText="1"/>
    </xf>
    <xf numFmtId="0" fontId="109" fillId="0" borderId="7" xfId="2" applyFont="1" applyBorder="1" applyAlignment="1">
      <alignment vertical="center"/>
    </xf>
    <xf numFmtId="0" fontId="167" fillId="0" borderId="8" xfId="0" applyFont="1" applyBorder="1" applyAlignment="1">
      <alignment horizontal="center" vertical="top" wrapText="1"/>
    </xf>
    <xf numFmtId="0" fontId="168" fillId="0" borderId="4" xfId="0" applyFont="1" applyBorder="1" applyAlignment="1">
      <alignment horizontal="center" vertical="center"/>
    </xf>
    <xf numFmtId="0" fontId="109" fillId="0" borderId="9" xfId="2" quotePrefix="1" applyFont="1" applyBorder="1" applyAlignment="1">
      <alignment horizontal="center" vertical="center" wrapText="1"/>
    </xf>
    <xf numFmtId="43" fontId="2" fillId="2" borderId="4" xfId="1" applyFont="1" applyFill="1" applyBorder="1"/>
    <xf numFmtId="0" fontId="167" fillId="0" borderId="22" xfId="0" applyFont="1" applyBorder="1" applyAlignment="1">
      <alignment horizontal="center" vertical="top" wrapText="1"/>
    </xf>
    <xf numFmtId="0" fontId="168" fillId="0" borderId="4" xfId="0" applyFont="1" applyBorder="1" applyAlignment="1">
      <alignment horizontal="left" vertical="center" wrapText="1"/>
    </xf>
    <xf numFmtId="0" fontId="109" fillId="0" borderId="10" xfId="2" quotePrefix="1" applyFont="1" applyBorder="1" applyAlignment="1">
      <alignment horizontal="center" vertical="center" wrapText="1"/>
    </xf>
    <xf numFmtId="0" fontId="168" fillId="0" borderId="7" xfId="0" applyFont="1" applyBorder="1" applyAlignment="1">
      <alignment horizontal="center" vertical="center"/>
    </xf>
    <xf numFmtId="0" fontId="168" fillId="0" borderId="7" xfId="0" applyFont="1" applyBorder="1" applyAlignment="1">
      <alignment horizontal="left" vertical="center" wrapText="1"/>
    </xf>
    <xf numFmtId="43" fontId="2" fillId="0" borderId="4" xfId="1" applyFont="1" applyBorder="1"/>
    <xf numFmtId="0" fontId="109" fillId="0" borderId="20" xfId="2" applyFont="1" applyBorder="1" applyAlignment="1">
      <alignment horizontal="left" vertical="center"/>
    </xf>
    <xf numFmtId="0" fontId="111" fillId="0" borderId="20" xfId="2" applyFont="1" applyBorder="1" applyAlignment="1">
      <alignment vertical="center" wrapText="1"/>
    </xf>
    <xf numFmtId="0" fontId="111" fillId="0" borderId="20" xfId="2" applyFont="1" applyBorder="1"/>
    <xf numFmtId="0" fontId="109" fillId="0" borderId="20" xfId="2" applyFont="1" applyBorder="1"/>
    <xf numFmtId="43" fontId="116" fillId="0" borderId="4" xfId="1" applyFont="1" applyBorder="1" applyAlignment="1">
      <alignment vertical="center"/>
    </xf>
    <xf numFmtId="0" fontId="111" fillId="0" borderId="20" xfId="2" applyFont="1" applyBorder="1" applyAlignment="1">
      <alignment horizontal="center"/>
    </xf>
    <xf numFmtId="0" fontId="117" fillId="0" borderId="5" xfId="2" applyFont="1" applyBorder="1" applyAlignment="1">
      <alignment vertical="center" wrapText="1"/>
    </xf>
    <xf numFmtId="0" fontId="63" fillId="3" borderId="8" xfId="0" applyFont="1" applyFill="1" applyBorder="1" applyAlignment="1">
      <alignment horizontal="center" vertical="center" wrapText="1"/>
    </xf>
    <xf numFmtId="43" fontId="63" fillId="3" borderId="9" xfId="1" applyFont="1" applyFill="1" applyBorder="1" applyAlignment="1">
      <alignment horizontal="center" vertical="center" wrapText="1"/>
    </xf>
    <xf numFmtId="0" fontId="109" fillId="0" borderId="3" xfId="2" applyFont="1" applyBorder="1" applyAlignment="1">
      <alignment horizontal="center" vertical="top" wrapText="1"/>
    </xf>
    <xf numFmtId="0" fontId="109" fillId="0" borderId="1" xfId="2" applyFont="1" applyBorder="1" applyAlignment="1">
      <alignment horizontal="center" vertical="top" wrapText="1"/>
    </xf>
    <xf numFmtId="3" fontId="168" fillId="0" borderId="3" xfId="1" applyNumberFormat="1" applyFont="1" applyBorder="1" applyAlignment="1">
      <alignment horizontal="center" vertical="center"/>
    </xf>
    <xf numFmtId="0" fontId="117" fillId="0" borderId="46" xfId="0" applyFont="1" applyBorder="1" applyAlignment="1">
      <alignment horizontal="left" vertical="center"/>
    </xf>
    <xf numFmtId="0" fontId="109" fillId="0" borderId="21" xfId="2" quotePrefix="1" applyFont="1" applyBorder="1" applyAlignment="1">
      <alignment horizontal="center" vertical="center" wrapText="1"/>
    </xf>
    <xf numFmtId="0" fontId="109" fillId="0" borderId="10" xfId="2" quotePrefix="1" applyFont="1" applyBorder="1" applyAlignment="1">
      <alignment horizontal="center" wrapText="1"/>
    </xf>
    <xf numFmtId="0" fontId="112" fillId="0" borderId="3" xfId="2" applyFont="1" applyBorder="1" applyAlignment="1">
      <alignment horizontal="center" wrapText="1"/>
    </xf>
    <xf numFmtId="0" fontId="167" fillId="0" borderId="2" xfId="0" applyFont="1" applyBorder="1" applyAlignment="1">
      <alignment horizontal="center" vertical="top" wrapText="1"/>
    </xf>
    <xf numFmtId="3" fontId="168" fillId="0" borderId="2" xfId="1" applyNumberFormat="1" applyFont="1" applyBorder="1" applyAlignment="1">
      <alignment horizontal="center" vertical="center"/>
    </xf>
    <xf numFmtId="0" fontId="111" fillId="0" borderId="35" xfId="0" applyFont="1" applyBorder="1" applyAlignment="1">
      <alignment vertical="center" wrapText="1"/>
    </xf>
    <xf numFmtId="0" fontId="109" fillId="0" borderId="10" xfId="2" quotePrefix="1" applyFont="1" applyBorder="1" applyAlignment="1">
      <alignment wrapText="1"/>
    </xf>
    <xf numFmtId="3" fontId="168" fillId="0" borderId="1" xfId="1" applyNumberFormat="1" applyFont="1" applyBorder="1" applyAlignment="1">
      <alignment horizontal="center" vertical="center"/>
    </xf>
    <xf numFmtId="0" fontId="117" fillId="0" borderId="35" xfId="0" applyFont="1" applyBorder="1" applyAlignment="1">
      <alignment horizontal="left" vertical="center"/>
    </xf>
    <xf numFmtId="3" fontId="168" fillId="0" borderId="4" xfId="1" applyNumberFormat="1" applyFont="1" applyBorder="1" applyAlignment="1">
      <alignment horizontal="center" vertical="center"/>
    </xf>
    <xf numFmtId="17" fontId="109" fillId="0" borderId="0" xfId="2" applyNumberFormat="1" applyFont="1" applyAlignment="1">
      <alignment horizontal="center" vertical="center" wrapText="1"/>
    </xf>
    <xf numFmtId="168" fontId="168" fillId="0" borderId="4" xfId="0" applyNumberFormat="1" applyFont="1" applyBorder="1" applyAlignment="1">
      <alignment horizontal="center" vertical="center"/>
    </xf>
    <xf numFmtId="0" fontId="109" fillId="0" borderId="0" xfId="2" quotePrefix="1" applyFont="1" applyAlignment="1">
      <alignment wrapText="1"/>
    </xf>
    <xf numFmtId="0" fontId="167" fillId="0" borderId="40" xfId="0" applyFont="1" applyBorder="1" applyAlignment="1">
      <alignment vertical="center"/>
    </xf>
    <xf numFmtId="0" fontId="168" fillId="20" borderId="40" xfId="0" applyFont="1" applyFill="1" applyBorder="1" applyAlignment="1">
      <alignment vertical="center"/>
    </xf>
    <xf numFmtId="0" fontId="63" fillId="2" borderId="3" xfId="6" applyFont="1" applyFill="1" applyBorder="1" applyAlignment="1">
      <alignment horizontal="left" vertical="center" wrapText="1"/>
    </xf>
    <xf numFmtId="0" fontId="14" fillId="0" borderId="3" xfId="7" applyFont="1" applyBorder="1" applyAlignment="1">
      <alignment horizontal="center" vertical="center" wrapText="1"/>
    </xf>
    <xf numFmtId="0" fontId="14" fillId="0" borderId="3" xfId="0" quotePrefix="1" applyFont="1" applyBorder="1" applyAlignment="1">
      <alignment vertical="center"/>
    </xf>
    <xf numFmtId="43" fontId="14" fillId="0" borderId="3" xfId="1" applyFont="1" applyBorder="1"/>
    <xf numFmtId="0" fontId="14" fillId="0" borderId="3" xfId="6" applyFont="1" applyBorder="1"/>
    <xf numFmtId="0" fontId="63" fillId="0" borderId="1" xfId="2" applyFont="1" applyBorder="1" applyAlignment="1">
      <alignment horizontal="center" vertical="center" wrapText="1"/>
    </xf>
    <xf numFmtId="0" fontId="14" fillId="0" borderId="1" xfId="7" applyFont="1" applyBorder="1" applyAlignment="1">
      <alignment horizontal="center" vertical="center" wrapText="1"/>
    </xf>
    <xf numFmtId="168" fontId="65" fillId="0" borderId="1" xfId="9" applyFont="1" applyBorder="1" applyAlignment="1">
      <alignment horizontal="left" vertical="center" wrapText="1"/>
    </xf>
    <xf numFmtId="4" fontId="167" fillId="0" borderId="4" xfId="0" applyNumberFormat="1" applyFont="1" applyBorder="1" applyAlignment="1">
      <alignment horizontal="right" vertical="center"/>
    </xf>
    <xf numFmtId="0" fontId="167" fillId="0" borderId="4" xfId="0" applyFont="1" applyBorder="1" applyAlignment="1">
      <alignment horizontal="right" vertical="center"/>
    </xf>
    <xf numFmtId="0" fontId="168" fillId="20" borderId="4" xfId="0" applyFont="1" applyFill="1" applyBorder="1" applyAlignment="1">
      <alignment horizontal="center" vertical="center"/>
    </xf>
    <xf numFmtId="0" fontId="167" fillId="0" borderId="4" xfId="0" applyFont="1" applyBorder="1" applyAlignment="1">
      <alignment vertical="center"/>
    </xf>
    <xf numFmtId="0" fontId="167" fillId="5" borderId="4" xfId="0" applyFont="1" applyFill="1" applyBorder="1" applyAlignment="1">
      <alignment horizontal="center" vertical="center"/>
    </xf>
    <xf numFmtId="0" fontId="167" fillId="20" borderId="4" xfId="0" applyFont="1" applyFill="1" applyBorder="1" applyAlignment="1">
      <alignment horizontal="center" vertical="center"/>
    </xf>
    <xf numFmtId="0" fontId="168" fillId="20" borderId="4" xfId="0" applyFont="1" applyFill="1" applyBorder="1" applyAlignment="1">
      <alignment vertical="center"/>
    </xf>
    <xf numFmtId="0" fontId="167" fillId="20" borderId="4" xfId="0" applyFont="1" applyFill="1" applyBorder="1" applyAlignment="1">
      <alignment vertical="center"/>
    </xf>
    <xf numFmtId="43" fontId="72" fillId="18" borderId="4" xfId="1" applyFont="1" applyFill="1" applyBorder="1"/>
    <xf numFmtId="0" fontId="172" fillId="0" borderId="4" xfId="0" applyFont="1" applyBorder="1" applyAlignment="1">
      <alignment horizontal="left" vertical="center" wrapText="1"/>
    </xf>
    <xf numFmtId="0" fontId="109" fillId="0" borderId="21" xfId="2" applyFont="1" applyBorder="1" applyAlignment="1">
      <alignment horizontal="center" vertical="center" wrapText="1"/>
    </xf>
    <xf numFmtId="0" fontId="172" fillId="0" borderId="2" xfId="0" applyFont="1" applyBorder="1" applyAlignment="1">
      <alignment horizontal="center" vertical="center"/>
    </xf>
    <xf numFmtId="17" fontId="109" fillId="0" borderId="2" xfId="2" applyNumberFormat="1" applyFont="1" applyBorder="1" applyAlignment="1">
      <alignment horizontal="center" vertical="top" wrapText="1"/>
    </xf>
    <xf numFmtId="0" fontId="172" fillId="0" borderId="1" xfId="0" applyFont="1" applyBorder="1" applyAlignment="1">
      <alignment horizontal="center" vertical="center"/>
    </xf>
    <xf numFmtId="0" fontId="109" fillId="0" borderId="21" xfId="2" applyFont="1" applyBorder="1" applyAlignment="1">
      <alignment horizontal="center" wrapText="1"/>
    </xf>
    <xf numFmtId="0" fontId="112" fillId="0" borderId="38" xfId="0" applyFont="1" applyBorder="1" applyAlignment="1">
      <alignment horizontal="center" vertical="center" wrapText="1"/>
    </xf>
    <xf numFmtId="0" fontId="14" fillId="2" borderId="3" xfId="6" applyFont="1" applyFill="1" applyBorder="1" applyAlignment="1">
      <alignment horizontal="center" vertical="center"/>
    </xf>
    <xf numFmtId="17" fontId="14" fillId="2" borderId="3" xfId="6" quotePrefix="1" applyNumberFormat="1" applyFont="1" applyFill="1" applyBorder="1" applyAlignment="1">
      <alignment horizontal="center" vertical="center" wrapText="1"/>
    </xf>
    <xf numFmtId="4" fontId="63" fillId="2" borderId="3" xfId="6" applyNumberFormat="1" applyFont="1" applyFill="1" applyBorder="1" applyAlignment="1">
      <alignment horizontal="center" vertical="center" wrapText="1"/>
    </xf>
    <xf numFmtId="0" fontId="14" fillId="2" borderId="3" xfId="6" applyFont="1" applyFill="1" applyBorder="1" applyAlignment="1">
      <alignment horizontal="center" vertical="center" wrapText="1"/>
    </xf>
    <xf numFmtId="0" fontId="14" fillId="2" borderId="3" xfId="0" applyFont="1" applyFill="1" applyBorder="1" applyAlignment="1">
      <alignment vertical="top"/>
    </xf>
    <xf numFmtId="43" fontId="14" fillId="2" borderId="1" xfId="1" applyFont="1" applyFill="1" applyBorder="1" applyAlignment="1">
      <alignment horizontal="center" vertical="top" wrapText="1"/>
    </xf>
    <xf numFmtId="44" fontId="14" fillId="2" borderId="1" xfId="1" applyNumberFormat="1" applyFont="1" applyFill="1" applyBorder="1" applyAlignment="1">
      <alignment vertical="top"/>
    </xf>
    <xf numFmtId="0" fontId="167" fillId="0" borderId="9" xfId="0" applyFont="1" applyBorder="1" applyAlignment="1">
      <alignment horizontal="center" vertical="top" wrapText="1"/>
    </xf>
    <xf numFmtId="0" fontId="172" fillId="0" borderId="48" xfId="0" applyFont="1" applyBorder="1" applyAlignment="1">
      <alignment horizontal="left" vertical="center" wrapText="1"/>
    </xf>
    <xf numFmtId="0" fontId="172" fillId="0" borderId="49" xfId="0" applyFont="1" applyBorder="1" applyAlignment="1">
      <alignment horizontal="center" vertical="center" wrapText="1"/>
    </xf>
    <xf numFmtId="0" fontId="109" fillId="0" borderId="47" xfId="0" applyFont="1" applyBorder="1" applyAlignment="1">
      <alignment horizontal="center" vertical="center" wrapText="1"/>
    </xf>
    <xf numFmtId="0" fontId="167" fillId="0" borderId="10" xfId="0" applyFont="1" applyBorder="1" applyAlignment="1">
      <alignment horizontal="center" vertical="top" wrapText="1"/>
    </xf>
    <xf numFmtId="0" fontId="172" fillId="0" borderId="12" xfId="0" applyFont="1" applyBorder="1" applyAlignment="1">
      <alignment horizontal="left" vertical="center" wrapText="1"/>
    </xf>
    <xf numFmtId="0" fontId="172" fillId="0" borderId="50" xfId="0" applyFont="1" applyBorder="1" applyAlignment="1">
      <alignment horizontal="center" vertical="center"/>
    </xf>
    <xf numFmtId="0" fontId="172" fillId="0" borderId="51" xfId="0" applyFont="1" applyBorder="1" applyAlignment="1">
      <alignment horizontal="left" vertical="center" wrapText="1"/>
    </xf>
    <xf numFmtId="0" fontId="109" fillId="0" borderId="0" xfId="0" applyFont="1" applyBorder="1" applyAlignment="1">
      <alignment vertical="center" wrapText="1"/>
    </xf>
    <xf numFmtId="0" fontId="172" fillId="0" borderId="43" xfId="0" applyFont="1" applyBorder="1" applyAlignment="1">
      <alignment horizontal="left" vertical="center" wrapText="1"/>
    </xf>
    <xf numFmtId="0" fontId="172" fillId="0" borderId="52" xfId="0" applyFont="1" applyBorder="1" applyAlignment="1">
      <alignment horizontal="center" vertical="center"/>
    </xf>
    <xf numFmtId="0" fontId="167" fillId="0" borderId="10" xfId="0" applyFont="1" applyBorder="1" applyAlignment="1">
      <alignment vertical="top" wrapText="1"/>
    </xf>
    <xf numFmtId="0" fontId="19" fillId="2" borderId="1" xfId="5" applyFont="1" applyFill="1" applyBorder="1" applyAlignment="1">
      <alignment horizontal="right" vertical="center" shrinkToFit="1"/>
    </xf>
    <xf numFmtId="3" fontId="19" fillId="2" borderId="30" xfId="5" applyNumberFormat="1" applyFont="1" applyFill="1" applyBorder="1" applyAlignment="1">
      <alignment vertical="center"/>
    </xf>
    <xf numFmtId="3" fontId="19" fillId="2" borderId="32" xfId="5" applyNumberFormat="1" applyFont="1" applyFill="1" applyBorder="1" applyAlignment="1">
      <alignment vertical="center"/>
    </xf>
    <xf numFmtId="0" fontId="172" fillId="0" borderId="12" xfId="0" applyFont="1" applyBorder="1" applyAlignment="1">
      <alignment vertical="center" wrapText="1"/>
    </xf>
    <xf numFmtId="0" fontId="109" fillId="0" borderId="18" xfId="0" applyFont="1" applyBorder="1" applyAlignment="1">
      <alignment vertical="center" wrapText="1"/>
    </xf>
    <xf numFmtId="0" fontId="172" fillId="0" borderId="51" xfId="0" quotePrefix="1" applyFont="1" applyBorder="1" applyAlignment="1">
      <alignment horizontal="left" vertical="center" wrapText="1"/>
    </xf>
    <xf numFmtId="0" fontId="172" fillId="0" borderId="19" xfId="0" quotePrefix="1" applyFont="1" applyBorder="1" applyAlignment="1">
      <alignment horizontal="left" vertical="center" wrapText="1"/>
    </xf>
    <xf numFmtId="0" fontId="63" fillId="2" borderId="16" xfId="6" applyFont="1" applyFill="1" applyBorder="1" applyAlignment="1">
      <alignment horizontal="center" vertical="center" wrapText="1"/>
    </xf>
    <xf numFmtId="0" fontId="63" fillId="2" borderId="34" xfId="6" applyFont="1" applyFill="1" applyBorder="1" applyAlignment="1">
      <alignment horizontal="center" vertical="center" wrapText="1"/>
    </xf>
    <xf numFmtId="43" fontId="167" fillId="0" borderId="47" xfId="1" applyFont="1" applyBorder="1" applyAlignment="1">
      <alignment vertical="center"/>
    </xf>
    <xf numFmtId="43" fontId="167" fillId="0" borderId="37" xfId="1" applyFont="1" applyBorder="1" applyAlignment="1">
      <alignment horizontal="center" vertical="center"/>
    </xf>
    <xf numFmtId="43" fontId="167" fillId="0" borderId="44" xfId="1" applyFont="1" applyBorder="1" applyAlignment="1">
      <alignment horizontal="center" vertical="center"/>
    </xf>
    <xf numFmtId="43" fontId="167" fillId="0" borderId="37" xfId="1" applyFont="1" applyBorder="1" applyAlignment="1">
      <alignment horizontal="center" vertical="center"/>
    </xf>
    <xf numFmtId="43" fontId="167" fillId="0" borderId="38" xfId="1" applyFont="1" applyBorder="1" applyAlignment="1">
      <alignment horizontal="center" vertical="center"/>
    </xf>
    <xf numFmtId="43" fontId="167" fillId="0" borderId="44" xfId="1" applyFont="1" applyBorder="1" applyAlignment="1">
      <alignment horizontal="center" vertical="center"/>
    </xf>
    <xf numFmtId="0" fontId="178" fillId="0" borderId="39" xfId="0" applyFont="1" applyBorder="1" applyAlignment="1">
      <alignment horizontal="center" vertical="center" wrapText="1"/>
    </xf>
    <xf numFmtId="0" fontId="178" fillId="0" borderId="38" xfId="0" applyFont="1" applyBorder="1" applyAlignment="1">
      <alignment horizontal="center" vertical="center" wrapText="1"/>
    </xf>
    <xf numFmtId="0" fontId="181" fillId="20" borderId="42" xfId="0" applyFont="1" applyFill="1" applyBorder="1" applyAlignment="1">
      <alignment vertical="center"/>
    </xf>
    <xf numFmtId="0" fontId="181" fillId="20" borderId="40" xfId="0" applyFont="1" applyFill="1" applyBorder="1" applyAlignment="1">
      <alignment vertical="center"/>
    </xf>
    <xf numFmtId="0" fontId="178" fillId="0" borderId="37" xfId="0" applyFont="1" applyBorder="1" applyAlignment="1">
      <alignment horizontal="center" vertical="center" wrapText="1"/>
    </xf>
    <xf numFmtId="0" fontId="178" fillId="0" borderId="38" xfId="0" applyFont="1" applyBorder="1" applyAlignment="1">
      <alignment horizontal="center" vertical="center" wrapText="1"/>
    </xf>
    <xf numFmtId="0" fontId="33" fillId="0" borderId="6" xfId="0" applyFont="1" applyBorder="1" applyAlignment="1">
      <alignment horizontal="center" vertical="top" wrapText="1"/>
    </xf>
    <xf numFmtId="0" fontId="24" fillId="0" borderId="3" xfId="0" applyFont="1" applyBorder="1" applyAlignment="1">
      <alignment horizontal="center" vertical="top" wrapText="1"/>
    </xf>
    <xf numFmtId="0" fontId="26" fillId="0" borderId="3" xfId="0" applyFont="1" applyBorder="1" applyAlignment="1">
      <alignment vertical="top" wrapText="1"/>
    </xf>
    <xf numFmtId="0" fontId="26" fillId="0" borderId="9" xfId="0" applyFont="1" applyBorder="1" applyAlignment="1">
      <alignment vertical="top" wrapText="1"/>
    </xf>
    <xf numFmtId="0" fontId="25" fillId="0" borderId="3" xfId="0" applyFont="1" applyBorder="1"/>
    <xf numFmtId="43" fontId="24" fillId="0" borderId="2" xfId="1" applyFont="1" applyBorder="1"/>
    <xf numFmtId="44" fontId="24" fillId="0" borderId="3" xfId="0" applyNumberFormat="1" applyFont="1" applyBorder="1"/>
    <xf numFmtId="165" fontId="9" fillId="2" borderId="1" xfId="2" applyNumberFormat="1" applyFont="1" applyFill="1" applyBorder="1" applyAlignment="1">
      <alignment horizontal="center" vertical="top" wrapText="1"/>
    </xf>
    <xf numFmtId="0" fontId="73" fillId="0" borderId="4" xfId="0" applyFont="1" applyFill="1" applyBorder="1" applyAlignment="1">
      <alignment vertical="center"/>
    </xf>
    <xf numFmtId="0" fontId="178" fillId="0" borderId="4" xfId="0" applyFont="1" applyBorder="1" applyAlignment="1">
      <alignment vertical="center" wrapText="1"/>
    </xf>
    <xf numFmtId="17" fontId="178" fillId="0" borderId="4" xfId="0" applyNumberFormat="1" applyFont="1" applyBorder="1" applyAlignment="1">
      <alignment vertical="center" wrapText="1"/>
    </xf>
    <xf numFmtId="0" fontId="178" fillId="0" borderId="4" xfId="0" applyFont="1" applyBorder="1" applyAlignment="1">
      <alignment horizontal="center" vertical="center" wrapText="1"/>
    </xf>
    <xf numFmtId="0" fontId="178" fillId="0" borderId="4" xfId="0" applyFont="1" applyBorder="1" applyAlignment="1">
      <alignment horizontal="center" vertical="center" wrapText="1"/>
    </xf>
    <xf numFmtId="0" fontId="179" fillId="20" borderId="4" xfId="0" applyFont="1" applyFill="1" applyBorder="1" applyAlignment="1">
      <alignment vertical="center" wrapText="1"/>
    </xf>
    <xf numFmtId="0" fontId="167" fillId="20" borderId="4" xfId="0" applyFont="1" applyFill="1" applyBorder="1" applyAlignment="1">
      <alignment horizontal="center" vertical="center"/>
    </xf>
    <xf numFmtId="0" fontId="168" fillId="20" borderId="4" xfId="0" applyFont="1" applyFill="1" applyBorder="1" applyAlignment="1">
      <alignment horizontal="center" vertical="center"/>
    </xf>
    <xf numFmtId="43" fontId="167" fillId="20" borderId="4" xfId="1" applyFont="1" applyFill="1" applyBorder="1" applyAlignment="1">
      <alignment vertical="center"/>
    </xf>
    <xf numFmtId="0" fontId="179" fillId="0" borderId="4" xfId="0" applyFont="1" applyBorder="1" applyAlignment="1">
      <alignment vertical="center" wrapText="1"/>
    </xf>
    <xf numFmtId="43" fontId="167" fillId="20" borderId="4" xfId="1" applyFont="1" applyFill="1" applyBorder="1" applyAlignment="1">
      <alignment vertical="center"/>
    </xf>
    <xf numFmtId="0" fontId="179" fillId="20" borderId="4" xfId="0" applyFont="1" applyFill="1" applyBorder="1" applyAlignment="1">
      <alignment vertical="center" wrapText="1"/>
    </xf>
    <xf numFmtId="43" fontId="180" fillId="20" borderId="4" xfId="1" applyFont="1" applyFill="1" applyBorder="1" applyAlignment="1">
      <alignment vertical="center"/>
    </xf>
    <xf numFmtId="3" fontId="167" fillId="20" borderId="4" xfId="0" applyNumberFormat="1" applyFont="1" applyFill="1" applyBorder="1" applyAlignment="1">
      <alignment horizontal="center" vertical="center"/>
    </xf>
    <xf numFmtId="0" fontId="181" fillId="20" borderId="4" xfId="0" applyFont="1" applyFill="1" applyBorder="1" applyAlignment="1">
      <alignment vertical="center"/>
    </xf>
    <xf numFmtId="0" fontId="168" fillId="20" borderId="4" xfId="0" applyFont="1" applyFill="1" applyBorder="1" applyAlignment="1">
      <alignment horizontal="right" vertical="center" wrapText="1"/>
    </xf>
    <xf numFmtId="43" fontId="182" fillId="20" borderId="4" xfId="1" applyFont="1" applyFill="1" applyBorder="1" applyAlignment="1">
      <alignment vertical="center"/>
    </xf>
    <xf numFmtId="0" fontId="168" fillId="20" borderId="4" xfId="0" applyFont="1" applyFill="1" applyBorder="1" applyAlignment="1">
      <alignment horizontal="center" vertical="center" wrapText="1"/>
    </xf>
    <xf numFmtId="43" fontId="182" fillId="20" borderId="4" xfId="1" applyFont="1" applyFill="1" applyBorder="1" applyAlignment="1">
      <alignment horizontal="center" vertical="center" wrapText="1"/>
    </xf>
    <xf numFmtId="0" fontId="167" fillId="22" borderId="4" xfId="0" applyFont="1" applyFill="1" applyBorder="1" applyAlignment="1">
      <alignment vertical="center" wrapText="1"/>
    </xf>
    <xf numFmtId="0" fontId="178" fillId="0" borderId="4" xfId="0" applyFont="1" applyBorder="1" applyAlignment="1">
      <alignment horizontal="center" vertical="center"/>
    </xf>
    <xf numFmtId="0" fontId="178" fillId="0" borderId="4" xfId="0" applyFont="1" applyBorder="1" applyAlignment="1">
      <alignment vertical="center" wrapText="1"/>
    </xf>
    <xf numFmtId="0" fontId="184" fillId="20" borderId="4" xfId="0" applyFont="1" applyFill="1" applyBorder="1" applyAlignment="1">
      <alignment horizontal="center" vertical="center"/>
    </xf>
    <xf numFmtId="0" fontId="184" fillId="20" borderId="4" xfId="0" applyFont="1" applyFill="1" applyBorder="1" applyAlignment="1">
      <alignment horizontal="center" vertical="center" wrapText="1"/>
    </xf>
    <xf numFmtId="0" fontId="167" fillId="20" borderId="4" xfId="0" applyFont="1" applyFill="1" applyBorder="1" applyAlignment="1">
      <alignment horizontal="center" vertical="center" wrapText="1"/>
    </xf>
    <xf numFmtId="0" fontId="179" fillId="0" borderId="4" xfId="0" applyFont="1" applyBorder="1" applyAlignment="1">
      <alignment horizontal="center" vertical="center"/>
    </xf>
    <xf numFmtId="43" fontId="11" fillId="18" borderId="4" xfId="1" applyFont="1" applyFill="1" applyBorder="1" applyAlignment="1">
      <alignment horizontal="center" vertical="top" wrapText="1"/>
    </xf>
    <xf numFmtId="0" fontId="117" fillId="0" borderId="4" xfId="0" applyFont="1" applyBorder="1" applyAlignment="1">
      <alignment horizontal="center" vertical="center"/>
    </xf>
    <xf numFmtId="0" fontId="109" fillId="0" borderId="9" xfId="2" applyFont="1" applyBorder="1" applyAlignment="1">
      <alignment horizontal="center" vertical="center" wrapText="1"/>
    </xf>
    <xf numFmtId="0" fontId="109" fillId="0" borderId="8" xfId="2" quotePrefix="1" applyFont="1" applyBorder="1" applyAlignment="1">
      <alignment horizontal="center" vertical="center" wrapText="1"/>
    </xf>
    <xf numFmtId="0" fontId="109" fillId="0" borderId="8" xfId="2" applyFont="1" applyBorder="1" applyAlignment="1">
      <alignment horizontal="center" vertical="top" wrapText="1"/>
    </xf>
    <xf numFmtId="168" fontId="117" fillId="0" borderId="6" xfId="0" applyNumberFormat="1" applyFont="1" applyBorder="1" applyAlignment="1">
      <alignment horizontal="right" vertical="center"/>
    </xf>
    <xf numFmtId="0" fontId="112" fillId="0" borderId="8" xfId="2" applyFont="1" applyBorder="1" applyAlignment="1">
      <alignment horizontal="center" vertical="top" wrapText="1"/>
    </xf>
    <xf numFmtId="0" fontId="111" fillId="0" borderId="4" xfId="0" applyFont="1" applyBorder="1" applyAlignment="1">
      <alignment vertical="center" wrapText="1"/>
    </xf>
    <xf numFmtId="0" fontId="109" fillId="0" borderId="10" xfId="2" applyFont="1" applyBorder="1" applyAlignment="1">
      <alignment horizontal="center" vertical="center" wrapText="1"/>
    </xf>
    <xf numFmtId="0" fontId="109" fillId="0" borderId="22" xfId="2" applyFont="1" applyBorder="1" applyAlignment="1">
      <alignment vertical="top" wrapText="1"/>
    </xf>
    <xf numFmtId="0" fontId="112" fillId="0" borderId="22" xfId="2" applyFont="1" applyBorder="1" applyAlignment="1">
      <alignment horizontal="center" vertical="top" wrapText="1"/>
    </xf>
    <xf numFmtId="0" fontId="117" fillId="0" borderId="4" xfId="0" applyFont="1" applyBorder="1" applyAlignment="1">
      <alignment horizontal="center" vertical="center" wrapText="1"/>
    </xf>
    <xf numFmtId="168" fontId="117" fillId="0" borderId="20" xfId="0" applyNumberFormat="1" applyFont="1" applyBorder="1" applyAlignment="1">
      <alignment horizontal="right" vertical="center"/>
    </xf>
    <xf numFmtId="0" fontId="168" fillId="0" borderId="40" xfId="0" applyFont="1" applyBorder="1" applyAlignment="1">
      <alignment vertical="center"/>
    </xf>
    <xf numFmtId="0" fontId="68" fillId="0" borderId="3" xfId="2" applyFont="1" applyBorder="1" applyAlignment="1">
      <alignment horizontal="left" vertical="top" wrapText="1"/>
    </xf>
    <xf numFmtId="0" fontId="69" fillId="0" borderId="3" xfId="2" applyFont="1" applyBorder="1" applyAlignment="1">
      <alignment horizontal="left" vertical="top" wrapText="1"/>
    </xf>
    <xf numFmtId="43" fontId="69" fillId="2" borderId="3" xfId="1" applyFont="1" applyFill="1" applyBorder="1" applyAlignment="1">
      <alignment horizontal="center" vertical="top" wrapText="1"/>
    </xf>
    <xf numFmtId="0" fontId="68" fillId="2" borderId="1" xfId="2" applyFont="1" applyFill="1" applyBorder="1" applyAlignment="1">
      <alignment vertical="center" wrapText="1"/>
    </xf>
    <xf numFmtId="0" fontId="68" fillId="0" borderId="1" xfId="2" applyFont="1" applyBorder="1" applyAlignment="1">
      <alignment vertical="center" wrapText="1"/>
    </xf>
    <xf numFmtId="0" fontId="19" fillId="0" borderId="1" xfId="2" applyFont="1" applyBorder="1" applyAlignment="1">
      <alignment horizontal="center" vertical="center" wrapText="1"/>
    </xf>
    <xf numFmtId="0" fontId="69" fillId="0" borderId="1" xfId="2" applyFont="1" applyBorder="1" applyAlignment="1">
      <alignment vertical="center" wrapText="1"/>
    </xf>
    <xf numFmtId="49" fontId="69" fillId="0" borderId="1" xfId="2" applyNumberFormat="1" applyFont="1" applyBorder="1" applyAlignment="1">
      <alignment vertical="center" wrapText="1"/>
    </xf>
    <xf numFmtId="0" fontId="168" fillId="0" borderId="4" xfId="0" applyFont="1" applyBorder="1" applyAlignment="1">
      <alignment vertical="center"/>
    </xf>
    <xf numFmtId="43" fontId="167" fillId="0" borderId="4" xfId="1" applyFont="1" applyBorder="1" applyAlignment="1">
      <alignment horizontal="center" vertical="center" wrapText="1"/>
    </xf>
    <xf numFmtId="0" fontId="167" fillId="0" borderId="8" xfId="0" applyFont="1" applyBorder="1" applyAlignment="1">
      <alignment horizontal="center" vertical="center" wrapText="1"/>
    </xf>
    <xf numFmtId="1" fontId="117" fillId="0" borderId="9" xfId="0" quotePrefix="1" applyNumberFormat="1" applyFont="1" applyBorder="1" applyAlignment="1">
      <alignment horizontal="center" vertical="center"/>
    </xf>
    <xf numFmtId="0" fontId="185" fillId="0" borderId="24" xfId="0" applyFont="1" applyBorder="1" applyAlignment="1">
      <alignment vertical="center"/>
    </xf>
    <xf numFmtId="17" fontId="109" fillId="0" borderId="9" xfId="2" quotePrefix="1" applyNumberFormat="1" applyFont="1" applyBorder="1" applyAlignment="1">
      <alignment horizontal="center" vertical="center" wrapText="1"/>
    </xf>
    <xf numFmtId="43" fontId="117" fillId="0" borderId="3" xfId="1" applyFont="1" applyBorder="1" applyAlignment="1">
      <alignment horizontal="right" vertical="center"/>
    </xf>
    <xf numFmtId="0" fontId="109" fillId="0" borderId="8" xfId="2" quotePrefix="1" applyFont="1" applyBorder="1" applyAlignment="1">
      <alignment horizontal="center" vertical="center" wrapText="1"/>
    </xf>
    <xf numFmtId="0" fontId="112" fillId="0" borderId="8" xfId="2" applyFont="1" applyBorder="1" applyAlignment="1">
      <alignment horizontal="center" vertical="center" wrapText="1"/>
    </xf>
    <xf numFmtId="0" fontId="167" fillId="0" borderId="22" xfId="0" applyFont="1" applyBorder="1" applyAlignment="1">
      <alignment horizontal="center" vertical="center" wrapText="1"/>
    </xf>
    <xf numFmtId="1" fontId="117" fillId="0" borderId="30" xfId="0" quotePrefix="1" applyNumberFormat="1" applyFont="1" applyBorder="1" applyAlignment="1">
      <alignment horizontal="center" vertical="center"/>
    </xf>
    <xf numFmtId="0" fontId="185" fillId="0" borderId="31" xfId="0" applyFont="1" applyBorder="1" applyAlignment="1">
      <alignment vertical="center"/>
    </xf>
    <xf numFmtId="43" fontId="117" fillId="0" borderId="2" xfId="1" applyFont="1" applyBorder="1" applyAlignment="1">
      <alignment horizontal="right" vertical="center"/>
    </xf>
    <xf numFmtId="0" fontId="109" fillId="0" borderId="22" xfId="2" quotePrefix="1" applyFont="1" applyBorder="1" applyAlignment="1">
      <alignment horizontal="center" vertical="center" wrapText="1"/>
    </xf>
    <xf numFmtId="0" fontId="112" fillId="0" borderId="22" xfId="2" applyFont="1" applyBorder="1" applyAlignment="1">
      <alignment horizontal="center" vertical="center" wrapText="1"/>
    </xf>
    <xf numFmtId="0" fontId="185" fillId="0" borderId="32" xfId="0" applyFont="1" applyBorder="1" applyAlignment="1">
      <alignment horizontal="center" vertical="center"/>
    </xf>
    <xf numFmtId="0" fontId="185" fillId="0" borderId="2" xfId="0" applyFont="1" applyBorder="1" applyAlignment="1">
      <alignment horizontal="left" vertical="center"/>
    </xf>
    <xf numFmtId="0" fontId="109" fillId="0" borderId="10" xfId="2" applyFont="1" applyBorder="1" applyAlignment="1">
      <alignment horizontal="left" vertical="center" wrapText="1"/>
    </xf>
    <xf numFmtId="43" fontId="168" fillId="0" borderId="4" xfId="1" applyFont="1" applyBorder="1" applyAlignment="1">
      <alignment vertical="center"/>
    </xf>
    <xf numFmtId="0" fontId="111" fillId="0" borderId="4" xfId="0" applyFont="1" applyBorder="1" applyAlignment="1">
      <alignment horizontal="left" vertical="center" wrapText="1"/>
    </xf>
    <xf numFmtId="0" fontId="111" fillId="0" borderId="3" xfId="0" applyFont="1" applyBorder="1" applyAlignment="1">
      <alignment horizontal="left" vertical="center" wrapText="1"/>
    </xf>
    <xf numFmtId="43" fontId="168" fillId="0" borderId="2" xfId="1" applyFont="1" applyBorder="1" applyAlignment="1">
      <alignment vertical="center"/>
    </xf>
    <xf numFmtId="0" fontId="117" fillId="0" borderId="2" xfId="0" applyFont="1" applyBorder="1" applyAlignment="1">
      <alignment horizontal="left" vertical="center"/>
    </xf>
    <xf numFmtId="0" fontId="117" fillId="0" borderId="1" xfId="0" applyFont="1" applyBorder="1" applyAlignment="1">
      <alignment horizontal="left" vertical="center"/>
    </xf>
    <xf numFmtId="0" fontId="2" fillId="0" borderId="10" xfId="0" applyFont="1" applyBorder="1" applyAlignment="1">
      <alignment horizontal="center" vertical="center" wrapText="1"/>
    </xf>
    <xf numFmtId="17" fontId="109" fillId="0" borderId="30" xfId="2" applyNumberFormat="1" applyFont="1" applyBorder="1" applyAlignment="1">
      <alignment horizontal="left" vertical="center" wrapText="1"/>
    </xf>
    <xf numFmtId="0" fontId="109" fillId="0" borderId="9" xfId="2" applyFont="1" applyBorder="1" applyAlignment="1">
      <alignment vertical="center" wrapText="1"/>
    </xf>
    <xf numFmtId="0" fontId="109" fillId="0" borderId="22" xfId="0" applyFont="1" applyBorder="1" applyAlignment="1">
      <alignment vertical="center" wrapText="1"/>
    </xf>
    <xf numFmtId="0" fontId="118" fillId="0" borderId="9" xfId="5" applyFont="1" applyBorder="1" applyAlignment="1">
      <alignment horizontal="center"/>
    </xf>
    <xf numFmtId="0" fontId="111" fillId="0" borderId="8" xfId="5" applyFont="1" applyBorder="1" applyAlignment="1">
      <alignment horizontal="center" wrapText="1"/>
    </xf>
    <xf numFmtId="0" fontId="109" fillId="0" borderId="3" xfId="2" quotePrefix="1" applyFont="1" applyBorder="1" applyAlignment="1">
      <alignment horizontal="left" vertical="center" wrapText="1"/>
    </xf>
    <xf numFmtId="0" fontId="109" fillId="0" borderId="9" xfId="2" quotePrefix="1" applyFont="1" applyBorder="1" applyAlignment="1">
      <alignment horizontal="left" vertical="center" wrapText="1"/>
    </xf>
    <xf numFmtId="172" fontId="111" fillId="0" borderId="9" xfId="1" applyNumberFormat="1" applyFont="1" applyFill="1" applyBorder="1" applyAlignment="1">
      <alignment horizontal="center" vertical="center"/>
    </xf>
    <xf numFmtId="1" fontId="117" fillId="0" borderId="10" xfId="0" quotePrefix="1" applyNumberFormat="1" applyFont="1" applyBorder="1" applyAlignment="1">
      <alignment horizontal="center" vertical="center"/>
    </xf>
    <xf numFmtId="0" fontId="186" fillId="0" borderId="8" xfId="0" applyFont="1" applyBorder="1" applyAlignment="1">
      <alignment horizontal="center" vertical="top" wrapText="1"/>
    </xf>
    <xf numFmtId="1" fontId="168" fillId="0" borderId="4" xfId="1" applyNumberFormat="1" applyFont="1" applyBorder="1" applyAlignment="1">
      <alignment horizontal="center" vertical="center"/>
    </xf>
    <xf numFmtId="0" fontId="109" fillId="0" borderId="8" xfId="2" quotePrefix="1" applyFont="1" applyBorder="1" applyAlignment="1">
      <alignment horizontal="center" wrapText="1"/>
    </xf>
    <xf numFmtId="0" fontId="112" fillId="0" borderId="8" xfId="2" applyFont="1" applyBorder="1" applyAlignment="1">
      <alignment horizontal="center" wrapText="1"/>
    </xf>
    <xf numFmtId="0" fontId="186" fillId="0" borderId="22" xfId="0" applyFont="1" applyBorder="1" applyAlignment="1">
      <alignment horizontal="center" vertical="top" wrapText="1"/>
    </xf>
    <xf numFmtId="0" fontId="109" fillId="0" borderId="22" xfId="2" quotePrefix="1" applyFont="1" applyBorder="1" applyAlignment="1">
      <alignment wrapText="1"/>
    </xf>
    <xf numFmtId="0" fontId="112" fillId="0" borderId="22" xfId="2" applyFont="1" applyBorder="1" applyAlignment="1">
      <alignment horizontal="center" wrapText="1"/>
    </xf>
    <xf numFmtId="1" fontId="117" fillId="0" borderId="4" xfId="0" applyNumberFormat="1" applyFont="1" applyBorder="1" applyAlignment="1">
      <alignment horizontal="center" vertical="center"/>
    </xf>
    <xf numFmtId="0" fontId="109" fillId="0" borderId="0" xfId="2" applyFont="1" applyBorder="1" applyAlignment="1">
      <alignment horizontal="center" vertical="center" wrapText="1"/>
    </xf>
    <xf numFmtId="17" fontId="109" fillId="0" borderId="0" xfId="2" applyNumberFormat="1" applyFont="1" applyBorder="1" applyAlignment="1">
      <alignment horizontal="left" vertical="center" wrapText="1"/>
    </xf>
    <xf numFmtId="0" fontId="109" fillId="2" borderId="1" xfId="2" applyFont="1" applyFill="1" applyBorder="1" applyAlignment="1">
      <alignment horizontal="left" vertical="center" wrapText="1"/>
    </xf>
    <xf numFmtId="43" fontId="167" fillId="0" borderId="4" xfId="1" applyFont="1" applyBorder="1" applyAlignment="1">
      <alignment horizontal="center" vertical="center"/>
    </xf>
    <xf numFmtId="43" fontId="187" fillId="18" borderId="4" xfId="2" applyNumberFormat="1" applyFont="1" applyFill="1" applyBorder="1" applyAlignment="1">
      <alignment horizontal="left" vertical="center" wrapText="1"/>
    </xf>
    <xf numFmtId="0" fontId="181" fillId="20" borderId="45" xfId="0" applyFont="1" applyFill="1" applyBorder="1" applyAlignment="1">
      <alignment vertical="center" wrapText="1"/>
    </xf>
    <xf numFmtId="0" fontId="109" fillId="0" borderId="13" xfId="0" applyFont="1" applyBorder="1" applyAlignment="1">
      <alignment vertical="center" wrapText="1"/>
    </xf>
    <xf numFmtId="0" fontId="167" fillId="0" borderId="39" xfId="0" applyFont="1" applyBorder="1" applyAlignment="1">
      <alignment horizontal="center" vertical="center"/>
    </xf>
    <xf numFmtId="0" fontId="168" fillId="0" borderId="0" xfId="0" applyFont="1" applyAlignment="1">
      <alignment vertical="center"/>
    </xf>
    <xf numFmtId="0" fontId="168" fillId="0" borderId="44" xfId="0" applyFont="1" applyBorder="1" applyAlignment="1">
      <alignment vertical="center"/>
    </xf>
    <xf numFmtId="0" fontId="168" fillId="0" borderId="40" xfId="0" applyFont="1" applyBorder="1" applyAlignment="1">
      <alignment horizontal="center" vertical="center" wrapText="1"/>
    </xf>
    <xf numFmtId="0" fontId="168" fillId="0" borderId="18" xfId="0" applyFont="1" applyBorder="1" applyAlignment="1">
      <alignment vertical="center"/>
    </xf>
    <xf numFmtId="0" fontId="109" fillId="0" borderId="39" xfId="0" applyFont="1" applyBorder="1" applyAlignment="1">
      <alignment vertical="center"/>
    </xf>
    <xf numFmtId="0" fontId="177" fillId="0" borderId="39" xfId="0" applyFont="1" applyBorder="1" applyAlignment="1">
      <alignment vertical="center"/>
    </xf>
    <xf numFmtId="0" fontId="168" fillId="0" borderId="37" xfId="0" applyFont="1" applyBorder="1" applyAlignment="1">
      <alignment vertical="center"/>
    </xf>
    <xf numFmtId="0" fontId="168" fillId="0" borderId="44" xfId="0" applyFont="1" applyBorder="1" applyAlignment="1">
      <alignment vertical="center"/>
    </xf>
    <xf numFmtId="43" fontId="167" fillId="0" borderId="40" xfId="1" applyFont="1" applyBorder="1" applyAlignment="1">
      <alignment horizontal="center" vertical="center"/>
    </xf>
    <xf numFmtId="43" fontId="167" fillId="0" borderId="42" xfId="1" applyFont="1" applyBorder="1" applyAlignment="1">
      <alignment horizontal="center" vertical="center"/>
    </xf>
    <xf numFmtId="43" fontId="167" fillId="0" borderId="0" xfId="1" applyFont="1" applyAlignment="1">
      <alignment horizontal="center" vertical="center"/>
    </xf>
    <xf numFmtId="43" fontId="167" fillId="0" borderId="18" xfId="1" applyFont="1" applyBorder="1" applyAlignment="1">
      <alignment horizontal="center" vertical="center"/>
    </xf>
  </cellXfs>
  <cellStyles count="16">
    <cellStyle name="Comma" xfId="1" builtinId="3"/>
    <cellStyle name="Comma 2" xfId="10" xr:uid="{F85B7EA3-E216-4CCF-AB92-EA7BA1695F93}"/>
    <cellStyle name="Comma 2 2" xfId="9" xr:uid="{4DBF5299-2BE9-410F-91AB-C130500A41F4}"/>
    <cellStyle name="Comma 3 4 2 2 3 3 2" xfId="4" xr:uid="{2F96D40F-219D-484C-82FA-F2240F380048}"/>
    <cellStyle name="Normal" xfId="0" builtinId="0"/>
    <cellStyle name="Normal 2" xfId="5" xr:uid="{C95C9EC3-777F-4DB9-9B02-E77399CD80C0}"/>
    <cellStyle name="Normal 2 2" xfId="12" xr:uid="{EA4DA85B-08FD-4C0F-B2E7-72848D7E1115}"/>
    <cellStyle name="Normal 3" xfId="13" xr:uid="{AEDF45FF-72BE-4F3B-9EBF-DD850DEAA72C}"/>
    <cellStyle name="Normal 4" xfId="11" xr:uid="{94A04BCD-A42F-4BE3-885E-093B33EE7789}"/>
    <cellStyle name="Normal 4 2" xfId="2" xr:uid="{FDED0426-D2A0-4542-A02F-18FB18D07D4A}"/>
    <cellStyle name="Normal 4 2 2" xfId="3" xr:uid="{B5CE1943-8DDE-4CE8-9322-C0CC73BF7184}"/>
    <cellStyle name="Normal 5" xfId="7" xr:uid="{162CDE36-84C1-404D-A371-5E6BE49BAB8F}"/>
    <cellStyle name="Normal 6" xfId="6" xr:uid="{3708B034-3788-49CC-84BE-11D996342094}"/>
    <cellStyle name="Normal 7" xfId="8" xr:uid="{3AD5ED6B-B49D-4CA2-8CA7-6FD5ECC62C83}"/>
    <cellStyle name="Normal 8" xfId="14" xr:uid="{288B394A-479C-4B22-8680-30AA0B1F10A6}"/>
    <cellStyle name="Percent 2" xfId="15" xr:uid="{C3A6FE03-9456-4268-9F4A-7326158B3B5A}"/>
  </cellStyles>
  <dxfs count="0"/>
  <tableStyles count="0" defaultTableStyle="TableStyleMedium2" defaultPivotStyle="PivotStyleLight16"/>
  <colors>
    <mruColors>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2C850-F256-4CC7-82BF-D7351753B688}">
  <dimension ref="A2:C7"/>
  <sheetViews>
    <sheetView workbookViewId="0">
      <selection activeCell="C6" sqref="C6"/>
    </sheetView>
  </sheetViews>
  <sheetFormatPr defaultRowHeight="15"/>
  <cols>
    <col min="2" max="2" width="11.7109375" customWidth="1"/>
    <col min="3" max="3" width="15.28515625" bestFit="1" customWidth="1"/>
  </cols>
  <sheetData>
    <row r="2" spans="1:3">
      <c r="A2" s="1670" t="s">
        <v>1761</v>
      </c>
      <c r="B2" s="1666" t="s">
        <v>1762</v>
      </c>
    </row>
    <row r="3" spans="1:3">
      <c r="B3" s="1667" t="s">
        <v>1758</v>
      </c>
      <c r="C3" s="121">
        <f>+'OLF  - summary'!AX29</f>
        <v>83974598.770000011</v>
      </c>
    </row>
    <row r="4" spans="1:3">
      <c r="B4" s="1668" t="s">
        <v>1759</v>
      </c>
      <c r="C4" s="121">
        <f>+'GAD FUND - summary'!AF20</f>
        <v>16054806.890000001</v>
      </c>
    </row>
    <row r="5" spans="1:3">
      <c r="B5" s="1669" t="s">
        <v>1760</v>
      </c>
      <c r="C5" s="121">
        <f>+'GEN FUND - summary'!BA19</f>
        <v>165931859.80999997</v>
      </c>
    </row>
    <row r="6" spans="1:3" ht="17.25">
      <c r="B6" s="2374" t="s">
        <v>3908</v>
      </c>
      <c r="C6" s="2375">
        <f>+'SPF - summary'!AZ17</f>
        <v>17300000</v>
      </c>
    </row>
    <row r="7" spans="1:3">
      <c r="C7" s="2373">
        <f>SUM(C3:C6)</f>
        <v>283261265.46999997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0AE53-68B8-492C-B564-97410085F56C}">
  <sheetPr>
    <tabColor rgb="FFFF0000"/>
  </sheetPr>
  <dimension ref="A1:BB19"/>
  <sheetViews>
    <sheetView tabSelected="1" zoomScale="107" zoomScaleNormal="100" workbookViewId="0">
      <pane xSplit="2" ySplit="2" topLeftCell="AQ3" activePane="bottomRight" state="frozen"/>
      <selection activeCell="AG21" sqref="AG21"/>
      <selection pane="topRight" activeCell="AG21" sqref="AG21"/>
      <selection pane="bottomLeft" activeCell="AG21" sqref="AG21"/>
      <selection pane="bottomRight" activeCell="AR15" sqref="AR15"/>
    </sheetView>
  </sheetViews>
  <sheetFormatPr defaultRowHeight="15"/>
  <cols>
    <col min="1" max="1" width="11.42578125" style="153" customWidth="1"/>
    <col min="2" max="2" width="12.28515625" customWidth="1"/>
    <col min="3" max="5" width="14.140625" customWidth="1"/>
    <col min="6" max="6" width="14.5703125" hidden="1" customWidth="1"/>
    <col min="7" max="7" width="14.140625" hidden="1" customWidth="1"/>
    <col min="8" max="8" width="11.7109375" bestFit="1" customWidth="1"/>
    <col min="9" max="9" width="13.7109375" customWidth="1"/>
    <col min="10" max="10" width="13.7109375" hidden="1" customWidth="1"/>
    <col min="11" max="11" width="14.140625" customWidth="1"/>
    <col min="12" max="12" width="15.42578125" customWidth="1"/>
    <col min="13" max="13" width="15.7109375" customWidth="1"/>
    <col min="14" max="14" width="14" customWidth="1"/>
    <col min="15" max="15" width="12.85546875" customWidth="1"/>
    <col min="16" max="17" width="13.85546875" customWidth="1"/>
    <col min="18" max="18" width="14.5703125" customWidth="1"/>
    <col min="19" max="19" width="15.28515625" customWidth="1"/>
    <col min="20" max="21" width="14.7109375" customWidth="1"/>
    <col min="22" max="22" width="16.85546875" customWidth="1"/>
    <col min="23" max="23" width="13" customWidth="1"/>
    <col min="24" max="24" width="15.85546875" customWidth="1"/>
    <col min="25" max="25" width="14" customWidth="1"/>
    <col min="26" max="26" width="13" hidden="1" customWidth="1"/>
    <col min="27" max="27" width="14.7109375" bestFit="1" customWidth="1"/>
    <col min="28" max="28" width="11.28515625" hidden="1" customWidth="1"/>
    <col min="29" max="29" width="14.42578125" customWidth="1"/>
    <col min="30" max="30" width="15" customWidth="1"/>
    <col min="31" max="31" width="20.85546875" customWidth="1"/>
    <col min="32" max="32" width="10" bestFit="1" customWidth="1"/>
    <col min="33" max="33" width="0" hidden="1" customWidth="1"/>
    <col min="34" max="35" width="16.42578125" customWidth="1"/>
    <col min="36" max="36" width="13.140625" hidden="1" customWidth="1"/>
    <col min="37" max="37" width="15.5703125" hidden="1" customWidth="1"/>
    <col min="38" max="38" width="13.5703125" customWidth="1"/>
    <col min="39" max="39" width="0" hidden="1" customWidth="1"/>
    <col min="40" max="40" width="11" bestFit="1" customWidth="1"/>
    <col min="41" max="41" width="12.140625" bestFit="1" customWidth="1"/>
    <col min="42" max="42" width="13.42578125" bestFit="1" customWidth="1"/>
    <col min="43" max="43" width="14.140625" customWidth="1"/>
    <col min="44" max="44" width="12.5703125" customWidth="1"/>
    <col min="45" max="45" width="11.5703125" bestFit="1" customWidth="1"/>
    <col min="46" max="46" width="12.5703125" customWidth="1"/>
    <col min="47" max="47" width="15.140625" customWidth="1"/>
    <col min="48" max="48" width="13.42578125" bestFit="1" customWidth="1"/>
    <col min="49" max="49" width="15.85546875" customWidth="1"/>
    <col min="50" max="50" width="18.5703125" customWidth="1"/>
    <col min="51" max="51" width="10.42578125" hidden="1" customWidth="1"/>
    <col min="52" max="52" width="14.140625" bestFit="1" customWidth="1"/>
    <col min="53" max="53" width="16.42578125" customWidth="1"/>
    <col min="54" max="54" width="15.85546875" customWidth="1"/>
  </cols>
  <sheetData>
    <row r="1" spans="1:53" ht="18">
      <c r="A1" s="147"/>
      <c r="B1" s="32"/>
      <c r="C1" s="2607" t="s">
        <v>60</v>
      </c>
      <c r="D1" s="2608"/>
      <c r="E1" s="2608"/>
      <c r="F1" s="2608"/>
      <c r="G1" s="2608"/>
      <c r="H1" s="2609"/>
      <c r="I1" s="2610" t="s">
        <v>31</v>
      </c>
      <c r="J1" s="2611"/>
      <c r="K1" s="2611"/>
      <c r="L1" s="2611"/>
      <c r="M1" s="2611"/>
      <c r="N1" s="2611"/>
      <c r="O1" s="2611"/>
      <c r="P1" s="2611"/>
      <c r="Q1" s="2611"/>
      <c r="R1" s="2611"/>
      <c r="S1" s="2611"/>
      <c r="T1" s="2611"/>
      <c r="U1" s="2611"/>
      <c r="V1" s="2611"/>
      <c r="W1" s="2611"/>
      <c r="X1" s="2611"/>
      <c r="Y1" s="2611"/>
      <c r="Z1" s="2611"/>
      <c r="AA1" s="2611"/>
      <c r="AB1" s="2611"/>
      <c r="AC1" s="2611"/>
      <c r="AD1" s="2611"/>
      <c r="AE1" s="2611"/>
      <c r="AF1" s="2611"/>
      <c r="AG1" s="2611"/>
      <c r="AH1" s="2611"/>
      <c r="AI1" s="2611"/>
      <c r="AJ1" s="2611"/>
      <c r="AK1" s="2611"/>
      <c r="AL1" s="2611"/>
      <c r="AM1" s="2611"/>
      <c r="AN1" s="2611"/>
      <c r="AO1" s="2611"/>
      <c r="AP1" s="2611"/>
      <c r="AQ1" s="2611"/>
      <c r="AR1" s="2612"/>
      <c r="AS1" s="2607" t="s">
        <v>32</v>
      </c>
      <c r="AT1" s="2608"/>
      <c r="AU1" s="2608"/>
      <c r="AV1" s="2608"/>
      <c r="AW1" s="2608"/>
      <c r="AX1" s="2608"/>
      <c r="AY1" s="2608"/>
      <c r="AZ1" s="2609"/>
      <c r="BA1" s="32"/>
    </row>
    <row r="2" spans="1:53" s="14" customFormat="1" ht="81">
      <c r="A2" s="148" t="s">
        <v>33</v>
      </c>
      <c r="B2" s="1979" t="s">
        <v>34</v>
      </c>
      <c r="C2" s="66" t="s">
        <v>61</v>
      </c>
      <c r="D2" s="70" t="s">
        <v>4709</v>
      </c>
      <c r="E2" s="70" t="s">
        <v>3907</v>
      </c>
      <c r="F2" s="65" t="s">
        <v>62</v>
      </c>
      <c r="G2" s="65" t="s">
        <v>63</v>
      </c>
      <c r="H2" s="67" t="s">
        <v>44</v>
      </c>
      <c r="I2" s="68" t="s">
        <v>635</v>
      </c>
      <c r="J2" s="68" t="s">
        <v>640</v>
      </c>
      <c r="K2" s="68" t="s">
        <v>657</v>
      </c>
      <c r="L2" s="65" t="s">
        <v>35</v>
      </c>
      <c r="M2" s="68" t="s">
        <v>64</v>
      </c>
      <c r="N2" s="69" t="s">
        <v>65</v>
      </c>
      <c r="O2" s="70" t="s">
        <v>66</v>
      </c>
      <c r="P2" s="65" t="s">
        <v>67</v>
      </c>
      <c r="Q2" s="65" t="s">
        <v>1611</v>
      </c>
      <c r="R2" s="69" t="s">
        <v>2971</v>
      </c>
      <c r="S2" s="69" t="s">
        <v>69</v>
      </c>
      <c r="T2" s="69" t="s">
        <v>39</v>
      </c>
      <c r="U2" s="71" t="s">
        <v>40</v>
      </c>
      <c r="V2" s="71" t="s">
        <v>70</v>
      </c>
      <c r="W2" s="71" t="s">
        <v>42</v>
      </c>
      <c r="X2" s="65" t="s">
        <v>71</v>
      </c>
      <c r="Y2" s="65" t="s">
        <v>72</v>
      </c>
      <c r="Z2" s="65" t="s">
        <v>46</v>
      </c>
      <c r="AA2" s="1979" t="s">
        <v>73</v>
      </c>
      <c r="AB2" s="65" t="s">
        <v>49</v>
      </c>
      <c r="AC2" s="65" t="s">
        <v>74</v>
      </c>
      <c r="AD2" s="65" t="s">
        <v>75</v>
      </c>
      <c r="AE2" s="75" t="s">
        <v>52</v>
      </c>
      <c r="AF2" s="72" t="s">
        <v>53</v>
      </c>
      <c r="AG2" s="69" t="s">
        <v>76</v>
      </c>
      <c r="AH2" s="69" t="s">
        <v>77</v>
      </c>
      <c r="AI2" s="69" t="s">
        <v>1685</v>
      </c>
      <c r="AJ2" s="241" t="s">
        <v>87</v>
      </c>
      <c r="AK2" s="69" t="s">
        <v>78</v>
      </c>
      <c r="AL2" s="69" t="s">
        <v>79</v>
      </c>
      <c r="AM2" s="71" t="s">
        <v>80</v>
      </c>
      <c r="AN2" s="71" t="s">
        <v>81</v>
      </c>
      <c r="AO2" s="71" t="s">
        <v>82</v>
      </c>
      <c r="AP2" s="69" t="s">
        <v>83</v>
      </c>
      <c r="AQ2" s="71" t="s">
        <v>57</v>
      </c>
      <c r="AR2" s="65" t="s">
        <v>84</v>
      </c>
      <c r="AS2" s="73" t="s">
        <v>58</v>
      </c>
      <c r="AT2" s="69" t="s">
        <v>85</v>
      </c>
      <c r="AU2" s="1980" t="s">
        <v>86</v>
      </c>
      <c r="AV2" s="241" t="s">
        <v>87</v>
      </c>
      <c r="AW2" s="1980" t="s">
        <v>88</v>
      </c>
      <c r="AX2" s="75" t="s">
        <v>89</v>
      </c>
      <c r="AY2" s="69" t="s">
        <v>90</v>
      </c>
      <c r="AZ2" s="74" t="s">
        <v>91</v>
      </c>
      <c r="BA2" s="65" t="s">
        <v>92</v>
      </c>
    </row>
    <row r="3" spans="1:53" s="14" customFormat="1">
      <c r="A3" s="149"/>
      <c r="B3" t="s">
        <v>1549</v>
      </c>
      <c r="C3" s="40">
        <v>40000</v>
      </c>
      <c r="D3" s="40"/>
      <c r="E3" s="40"/>
      <c r="F3" s="40"/>
      <c r="G3" s="40"/>
      <c r="H3" s="40"/>
      <c r="I3" s="40"/>
      <c r="J3" s="40"/>
      <c r="K3" s="40"/>
      <c r="L3" s="40"/>
      <c r="M3" s="40"/>
      <c r="N3" s="40"/>
      <c r="O3" s="40"/>
      <c r="P3" s="40"/>
      <c r="Q3" s="40"/>
      <c r="R3" s="40"/>
      <c r="S3" s="40"/>
      <c r="T3" s="40"/>
      <c r="U3" s="40"/>
      <c r="V3" s="40"/>
      <c r="W3" s="40"/>
      <c r="X3" s="40">
        <v>10000</v>
      </c>
      <c r="Y3" s="40"/>
      <c r="Z3" s="40"/>
      <c r="AA3" s="40"/>
      <c r="AB3" s="40"/>
      <c r="AC3" s="40"/>
      <c r="AD3" s="40"/>
      <c r="AE3" s="40">
        <v>2000</v>
      </c>
      <c r="AF3" s="40"/>
      <c r="AG3" s="40"/>
      <c r="AH3" s="40"/>
      <c r="AI3" s="40"/>
      <c r="AJ3" s="40"/>
      <c r="AK3" s="40"/>
      <c r="AL3" s="40"/>
      <c r="AM3" s="40"/>
      <c r="AN3" s="40"/>
      <c r="AO3" s="40"/>
      <c r="AP3" s="40">
        <v>100000</v>
      </c>
      <c r="AQ3" s="40"/>
      <c r="AR3" s="40">
        <v>5000</v>
      </c>
      <c r="AS3" s="40"/>
      <c r="AT3" s="40">
        <v>2500</v>
      </c>
      <c r="AU3" s="40"/>
      <c r="AV3" s="40"/>
      <c r="AW3" s="40"/>
      <c r="AX3" s="40"/>
      <c r="AY3" s="40"/>
      <c r="AZ3" s="40">
        <v>2500</v>
      </c>
      <c r="BA3" s="55">
        <f>SUM(C3:AZ3)</f>
        <v>162000</v>
      </c>
    </row>
    <row r="4" spans="1:53" s="14" customFormat="1">
      <c r="A4" s="150"/>
      <c r="B4" s="40" t="s">
        <v>589</v>
      </c>
      <c r="C4" s="40"/>
      <c r="D4" s="40"/>
      <c r="E4" s="40"/>
      <c r="F4" s="40"/>
      <c r="G4" s="40"/>
      <c r="H4" s="40"/>
      <c r="I4" s="40">
        <v>20000</v>
      </c>
      <c r="J4" s="40"/>
      <c r="K4" s="40"/>
      <c r="L4" s="40">
        <v>15000</v>
      </c>
      <c r="M4" s="40"/>
      <c r="N4" s="40"/>
      <c r="O4" s="40"/>
      <c r="P4" s="40"/>
      <c r="Q4" s="40">
        <v>30000</v>
      </c>
      <c r="R4" s="40"/>
      <c r="S4" s="40"/>
      <c r="T4" s="40"/>
      <c r="U4" s="40"/>
      <c r="V4" s="40"/>
      <c r="W4" s="40"/>
      <c r="X4" s="40">
        <v>100000</v>
      </c>
      <c r="Y4" s="40"/>
      <c r="Z4" s="40"/>
      <c r="AA4" s="40"/>
      <c r="AB4" s="40"/>
      <c r="AC4" s="40">
        <v>80000</v>
      </c>
      <c r="AD4" s="40">
        <v>30000</v>
      </c>
      <c r="AE4" s="40">
        <v>96000</v>
      </c>
      <c r="AF4" s="40"/>
      <c r="AG4" s="40"/>
      <c r="AH4" s="40"/>
      <c r="AI4" s="40"/>
      <c r="AJ4" s="40"/>
      <c r="AK4" s="40"/>
      <c r="AL4" s="40"/>
      <c r="AM4" s="40"/>
      <c r="AN4" s="40"/>
      <c r="AO4" s="40"/>
      <c r="AP4" s="40">
        <v>80000</v>
      </c>
      <c r="AQ4" s="40"/>
      <c r="AR4" s="40">
        <v>15000</v>
      </c>
      <c r="AS4" s="40"/>
      <c r="AT4" s="40"/>
      <c r="AU4" s="40"/>
      <c r="AV4" s="40"/>
      <c r="AW4" s="40"/>
      <c r="AX4" s="40">
        <v>20000</v>
      </c>
      <c r="AY4" s="40"/>
      <c r="AZ4" s="40">
        <v>40000</v>
      </c>
      <c r="BA4" s="55">
        <f>SUM(C4:AZ4)</f>
        <v>526000</v>
      </c>
    </row>
    <row r="5" spans="1:53" s="14" customFormat="1">
      <c r="A5" s="150"/>
      <c r="B5" s="40" t="s">
        <v>1668</v>
      </c>
      <c r="C5" s="40">
        <v>100000</v>
      </c>
      <c r="D5" s="40"/>
      <c r="E5" s="40"/>
      <c r="F5" s="40"/>
      <c r="G5" s="40"/>
      <c r="H5" s="40"/>
      <c r="I5" s="40"/>
      <c r="J5" s="40"/>
      <c r="K5" s="40"/>
      <c r="L5" s="40"/>
      <c r="M5" s="40"/>
      <c r="N5" s="40"/>
      <c r="O5" s="40"/>
      <c r="P5" s="40"/>
      <c r="Q5" s="40"/>
      <c r="R5" s="40"/>
      <c r="S5" s="40"/>
      <c r="T5" s="40"/>
      <c r="U5" s="40"/>
      <c r="V5" s="40"/>
      <c r="W5" s="40"/>
      <c r="X5" s="40"/>
      <c r="Y5" s="40"/>
      <c r="Z5" s="40"/>
      <c r="AA5" s="40"/>
      <c r="AB5" s="40"/>
      <c r="AC5" s="40">
        <v>169669</v>
      </c>
      <c r="AD5" s="40"/>
      <c r="AE5" s="40">
        <v>56400</v>
      </c>
      <c r="AF5" s="40"/>
      <c r="AG5" s="40"/>
      <c r="AH5" s="40">
        <v>140000</v>
      </c>
      <c r="AI5" s="40"/>
      <c r="AJ5" s="40"/>
      <c r="AK5" s="40"/>
      <c r="AL5" s="40"/>
      <c r="AM5" s="40"/>
      <c r="AN5" s="40"/>
      <c r="AO5" s="40">
        <v>54000</v>
      </c>
      <c r="AP5" s="40">
        <v>45000</v>
      </c>
      <c r="AQ5" s="40">
        <v>580000</v>
      </c>
      <c r="AR5" s="40"/>
      <c r="AS5" s="40"/>
      <c r="AT5" s="40">
        <v>43960</v>
      </c>
      <c r="AU5" s="40"/>
      <c r="AV5" s="40"/>
      <c r="AW5" s="40"/>
      <c r="AX5" s="40"/>
      <c r="AY5" s="40"/>
      <c r="AZ5" s="40"/>
      <c r="BA5" s="55">
        <f>SUM(C5:AZ5)</f>
        <v>1189029</v>
      </c>
    </row>
    <row r="6" spans="1:53" s="14" customFormat="1">
      <c r="A6" s="150"/>
      <c r="B6" s="40" t="s">
        <v>1673</v>
      </c>
      <c r="C6" s="40"/>
      <c r="D6" s="40"/>
      <c r="E6" s="40"/>
      <c r="F6" s="40"/>
      <c r="G6" s="40"/>
      <c r="H6" s="40"/>
      <c r="I6" s="40"/>
      <c r="J6" s="40"/>
      <c r="K6" s="40"/>
      <c r="L6" s="40"/>
      <c r="M6" s="40"/>
      <c r="N6" s="40"/>
      <c r="O6" s="40"/>
      <c r="P6" s="40"/>
      <c r="Q6" s="40"/>
      <c r="R6" s="40"/>
      <c r="S6" s="40"/>
      <c r="T6" s="40"/>
      <c r="U6" s="40"/>
      <c r="V6" s="40">
        <v>50000</v>
      </c>
      <c r="W6" s="40"/>
      <c r="X6" s="40"/>
      <c r="Y6" s="40">
        <v>45600</v>
      </c>
      <c r="Z6" s="40"/>
      <c r="AA6" s="40"/>
      <c r="AB6" s="40"/>
      <c r="AC6" s="40">
        <v>169849.5</v>
      </c>
      <c r="AD6" s="40"/>
      <c r="AE6" s="40">
        <v>100000</v>
      </c>
      <c r="AF6" s="40"/>
      <c r="AG6" s="40"/>
      <c r="AH6" s="40">
        <v>170000</v>
      </c>
      <c r="AI6" s="40">
        <v>100000</v>
      </c>
      <c r="AJ6" s="40"/>
      <c r="AK6" s="40"/>
      <c r="AL6" s="40"/>
      <c r="AM6" s="40"/>
      <c r="AN6" s="40">
        <v>20000</v>
      </c>
      <c r="AO6" s="40">
        <v>108000</v>
      </c>
      <c r="AP6" s="40">
        <v>50000</v>
      </c>
      <c r="AQ6" s="40">
        <v>650000</v>
      </c>
      <c r="AR6" s="40">
        <v>50000</v>
      </c>
      <c r="AS6" s="40"/>
      <c r="AT6" s="40">
        <v>50000</v>
      </c>
      <c r="AU6" s="40"/>
      <c r="AV6" s="40"/>
      <c r="AW6" s="40"/>
      <c r="AX6" s="40"/>
      <c r="AY6" s="40"/>
      <c r="AZ6" s="40"/>
      <c r="BA6" s="55">
        <f>SUM(C6:AZ6)</f>
        <v>1563449.5</v>
      </c>
    </row>
    <row r="7" spans="1:53" s="14" customFormat="1">
      <c r="A7" s="150"/>
      <c r="B7" s="40" t="s">
        <v>1724</v>
      </c>
      <c r="C7" s="40"/>
      <c r="D7" s="40"/>
      <c r="E7" s="40"/>
      <c r="F7" s="40"/>
      <c r="G7" s="40"/>
      <c r="H7" s="40"/>
      <c r="I7" s="40"/>
      <c r="J7" s="40"/>
      <c r="K7" s="40"/>
      <c r="L7" s="40"/>
      <c r="M7" s="40"/>
      <c r="N7" s="40"/>
      <c r="O7" s="40"/>
      <c r="P7" s="40"/>
      <c r="Q7" s="40"/>
      <c r="R7" s="40"/>
      <c r="S7" s="40"/>
      <c r="T7" s="40"/>
      <c r="U7" s="40"/>
      <c r="V7" s="40"/>
      <c r="W7" s="40"/>
      <c r="X7" s="40"/>
      <c r="Y7" s="40">
        <v>21000</v>
      </c>
      <c r="Z7" s="40"/>
      <c r="AA7" s="40"/>
      <c r="AB7" s="40"/>
      <c r="AC7" s="40">
        <v>279500</v>
      </c>
      <c r="AD7" s="40">
        <v>54000</v>
      </c>
      <c r="AE7" s="40">
        <v>120586.8</v>
      </c>
      <c r="AF7" s="40"/>
      <c r="AG7" s="40"/>
      <c r="AH7" s="40">
        <v>67500</v>
      </c>
      <c r="AI7" s="40"/>
      <c r="AJ7" s="40"/>
      <c r="AK7" s="40"/>
      <c r="AL7" s="40"/>
      <c r="AM7" s="40"/>
      <c r="AN7" s="40">
        <v>27000</v>
      </c>
      <c r="AO7" s="40"/>
      <c r="AP7" s="40">
        <v>22500</v>
      </c>
      <c r="AQ7" s="40">
        <v>287500</v>
      </c>
      <c r="AR7" s="40">
        <v>25000</v>
      </c>
      <c r="AS7" s="40"/>
      <c r="AT7" s="40">
        <v>22500</v>
      </c>
      <c r="AU7" s="40"/>
      <c r="AV7" s="40"/>
      <c r="AW7" s="40"/>
      <c r="AX7" s="40">
        <v>217000</v>
      </c>
      <c r="AY7" s="40"/>
      <c r="AZ7" s="40"/>
      <c r="BA7" s="55">
        <f>SUM(C7:AZ7)</f>
        <v>1144086.8</v>
      </c>
    </row>
    <row r="8" spans="1:53" s="14" customFormat="1" ht="27">
      <c r="A8" s="150"/>
      <c r="B8" s="44" t="s">
        <v>2699</v>
      </c>
      <c r="C8" s="40">
        <v>650000</v>
      </c>
      <c r="D8" s="40"/>
      <c r="E8" s="40"/>
      <c r="F8" s="40"/>
      <c r="G8" s="40"/>
      <c r="H8" s="40"/>
      <c r="I8" s="40"/>
      <c r="J8" s="40"/>
      <c r="K8" s="40"/>
      <c r="L8" s="40">
        <v>100000</v>
      </c>
      <c r="M8" s="40"/>
      <c r="N8" s="40"/>
      <c r="O8" s="40"/>
      <c r="P8" s="40">
        <v>500000</v>
      </c>
      <c r="Q8" s="40"/>
      <c r="R8" s="40"/>
      <c r="S8" s="40">
        <v>1250000</v>
      </c>
      <c r="T8" s="40">
        <v>9750000</v>
      </c>
      <c r="U8" s="40">
        <v>1600000</v>
      </c>
      <c r="V8" s="40"/>
      <c r="W8" s="40">
        <v>22500</v>
      </c>
      <c r="X8" s="40">
        <v>425000</v>
      </c>
      <c r="Y8" s="40">
        <v>50000</v>
      </c>
      <c r="Z8" s="40"/>
      <c r="AA8" s="40">
        <v>4100000</v>
      </c>
      <c r="AB8" s="40"/>
      <c r="AC8" s="40">
        <v>350000</v>
      </c>
      <c r="AD8" s="40">
        <v>400000</v>
      </c>
      <c r="AE8" s="40">
        <v>600000</v>
      </c>
      <c r="AF8" s="40">
        <v>2500</v>
      </c>
      <c r="AG8" s="40"/>
      <c r="AH8" s="40"/>
      <c r="AI8" s="40"/>
      <c r="AJ8" s="40"/>
      <c r="AK8" s="40"/>
      <c r="AL8" s="40"/>
      <c r="AM8" s="40"/>
      <c r="AN8" s="40">
        <v>4000</v>
      </c>
      <c r="AO8" s="40">
        <v>24000</v>
      </c>
      <c r="AP8" s="40">
        <v>450000</v>
      </c>
      <c r="AQ8" s="40">
        <v>300000</v>
      </c>
      <c r="AR8" s="40">
        <v>300000</v>
      </c>
      <c r="AS8" s="40">
        <v>37500</v>
      </c>
      <c r="AT8" s="40">
        <v>37500</v>
      </c>
      <c r="AU8" s="40">
        <v>37500</v>
      </c>
      <c r="AV8" s="40"/>
      <c r="AW8" s="40">
        <v>37500</v>
      </c>
      <c r="AX8" s="40">
        <v>200000</v>
      </c>
      <c r="AY8" s="40"/>
      <c r="AZ8" s="40">
        <v>100000</v>
      </c>
      <c r="BA8" s="55">
        <f>SUM(C8:AZ8)</f>
        <v>21328000</v>
      </c>
    </row>
    <row r="9" spans="1:53" s="14" customFormat="1" ht="14.25" customHeight="1">
      <c r="A9" s="150"/>
      <c r="B9" s="40" t="s">
        <v>2929</v>
      </c>
      <c r="C9" s="40">
        <v>120000</v>
      </c>
      <c r="D9" s="40"/>
      <c r="E9" s="40"/>
      <c r="F9" s="40"/>
      <c r="G9" s="40"/>
      <c r="H9" s="40"/>
      <c r="I9" s="40"/>
      <c r="J9" s="40"/>
      <c r="K9" s="40"/>
      <c r="L9" s="40">
        <v>57640</v>
      </c>
      <c r="M9" s="40">
        <v>2100</v>
      </c>
      <c r="N9" s="40"/>
      <c r="O9" s="40">
        <v>39000</v>
      </c>
      <c r="P9" s="40">
        <v>132000</v>
      </c>
      <c r="Q9" s="40"/>
      <c r="R9" s="40">
        <v>2500000</v>
      </c>
      <c r="S9" s="40">
        <v>544598.28</v>
      </c>
      <c r="T9" s="40">
        <v>1847905.85</v>
      </c>
      <c r="U9" s="40">
        <v>660000</v>
      </c>
      <c r="V9" s="40"/>
      <c r="W9" s="40">
        <v>22000</v>
      </c>
      <c r="X9" s="40">
        <v>371195</v>
      </c>
      <c r="Y9" s="40">
        <v>18000</v>
      </c>
      <c r="Z9" s="40"/>
      <c r="AA9" s="40">
        <v>2451346.5</v>
      </c>
      <c r="AB9" s="40"/>
      <c r="AC9" s="40">
        <v>250464.36</v>
      </c>
      <c r="AD9" s="40">
        <v>150882.5</v>
      </c>
      <c r="AE9" s="40">
        <v>1003257.66</v>
      </c>
      <c r="AF9" s="40">
        <v>6000</v>
      </c>
      <c r="AG9" s="40"/>
      <c r="AH9" s="40"/>
      <c r="AI9" s="40"/>
      <c r="AJ9" s="40"/>
      <c r="AK9" s="40"/>
      <c r="AL9" s="40"/>
      <c r="AM9" s="40"/>
      <c r="AN9" s="40"/>
      <c r="AO9" s="40">
        <v>36000</v>
      </c>
      <c r="AP9" s="40"/>
      <c r="AQ9" s="40"/>
      <c r="AR9" s="40">
        <v>40000</v>
      </c>
      <c r="AS9" s="40">
        <v>30000</v>
      </c>
      <c r="AT9" s="40">
        <v>34000</v>
      </c>
      <c r="AU9" s="40">
        <v>32000</v>
      </c>
      <c r="AV9" s="40"/>
      <c r="AW9" s="40">
        <v>102210</v>
      </c>
      <c r="AX9" s="40">
        <v>70000</v>
      </c>
      <c r="AY9" s="40"/>
      <c r="AZ9" s="40">
        <v>109690</v>
      </c>
      <c r="BA9" s="55">
        <f>SUM(C9:AZ9)</f>
        <v>10630290.15</v>
      </c>
    </row>
    <row r="10" spans="1:53" s="14" customFormat="1">
      <c r="A10" s="151"/>
      <c r="B10" s="40" t="s">
        <v>3565</v>
      </c>
      <c r="C10" s="40"/>
      <c r="D10" s="40"/>
      <c r="E10" s="40"/>
      <c r="F10" s="40"/>
      <c r="G10" s="40"/>
      <c r="H10" s="40"/>
      <c r="I10" s="40"/>
      <c r="J10" s="40"/>
      <c r="K10" s="40"/>
      <c r="L10" s="40"/>
      <c r="M10" s="40"/>
      <c r="N10" s="40">
        <v>749410</v>
      </c>
      <c r="O10" s="40"/>
      <c r="P10" s="40"/>
      <c r="Q10" s="40"/>
      <c r="R10" s="40"/>
      <c r="S10" s="40"/>
      <c r="T10" s="40"/>
      <c r="U10" s="40"/>
      <c r="V10" s="40"/>
      <c r="W10" s="40"/>
      <c r="X10" s="40">
        <v>69560</v>
      </c>
      <c r="Y10" s="40"/>
      <c r="Z10" s="40"/>
      <c r="AA10" s="40"/>
      <c r="AB10" s="40"/>
      <c r="AC10" s="40"/>
      <c r="AD10" s="40"/>
      <c r="AE10" s="40"/>
      <c r="AF10" s="40"/>
      <c r="AG10" s="40"/>
      <c r="AH10" s="40"/>
      <c r="AI10" s="40"/>
      <c r="AJ10" s="40"/>
      <c r="AK10" s="40"/>
      <c r="AL10" s="40">
        <v>200000</v>
      </c>
      <c r="AM10" s="40"/>
      <c r="AN10" s="40"/>
      <c r="AO10" s="40"/>
      <c r="AP10" s="40"/>
      <c r="AQ10" s="40">
        <v>200000</v>
      </c>
      <c r="AR10" s="40"/>
      <c r="AS10" s="40"/>
      <c r="AT10" s="40"/>
      <c r="AU10" s="40"/>
      <c r="AV10" s="40"/>
      <c r="AW10" s="40"/>
      <c r="AX10" s="40"/>
      <c r="AY10" s="40"/>
      <c r="AZ10" s="40">
        <v>122000</v>
      </c>
      <c r="BA10" s="55">
        <f>SUM(C10:AZ10)</f>
        <v>1340970</v>
      </c>
    </row>
    <row r="11" spans="1:53" s="14" customFormat="1">
      <c r="A11" s="151"/>
      <c r="B11" s="40" t="s">
        <v>3582</v>
      </c>
      <c r="C11" s="40"/>
      <c r="D11" s="40"/>
      <c r="E11" s="40"/>
      <c r="F11" s="40"/>
      <c r="G11" s="40"/>
      <c r="H11" s="40"/>
      <c r="I11" s="40"/>
      <c r="J11" s="40"/>
      <c r="K11" s="40"/>
      <c r="L11" s="40"/>
      <c r="M11" s="40"/>
      <c r="N11" s="40">
        <v>355600</v>
      </c>
      <c r="O11" s="40"/>
      <c r="P11" s="40"/>
      <c r="Q11" s="40"/>
      <c r="R11" s="40"/>
      <c r="S11" s="40"/>
      <c r="T11" s="40"/>
      <c r="U11" s="40"/>
      <c r="V11" s="40"/>
      <c r="W11" s="40"/>
      <c r="X11" s="40">
        <v>100000</v>
      </c>
      <c r="Y11" s="40"/>
      <c r="Z11" s="40"/>
      <c r="AA11" s="40"/>
      <c r="AB11" s="40"/>
      <c r="AC11" s="40"/>
      <c r="AD11" s="40"/>
      <c r="AE11" s="40"/>
      <c r="AF11" s="40"/>
      <c r="AG11" s="40"/>
      <c r="AH11" s="40"/>
      <c r="AI11" s="40"/>
      <c r="AJ11" s="40"/>
      <c r="AK11" s="40"/>
      <c r="AL11" s="40"/>
      <c r="AM11" s="40"/>
      <c r="AN11" s="40"/>
      <c r="AO11" s="40"/>
      <c r="AP11" s="40"/>
      <c r="AQ11" s="40">
        <v>100000</v>
      </c>
      <c r="AR11" s="40"/>
      <c r="AS11" s="40"/>
      <c r="AT11" s="40"/>
      <c r="AU11" s="40"/>
      <c r="AV11" s="40"/>
      <c r="AW11" s="40"/>
      <c r="AX11" s="40"/>
      <c r="AY11" s="40"/>
      <c r="AZ11" s="40"/>
      <c r="BA11" s="55">
        <f>SUM(C11:AZ11)</f>
        <v>555600</v>
      </c>
    </row>
    <row r="12" spans="1:53" s="14" customFormat="1">
      <c r="A12" s="151"/>
      <c r="B12" s="40" t="s">
        <v>3584</v>
      </c>
      <c r="C12" s="40">
        <v>50000</v>
      </c>
      <c r="D12" s="40"/>
      <c r="E12" s="40">
        <v>50000</v>
      </c>
      <c r="F12" s="40"/>
      <c r="G12" s="40"/>
      <c r="H12" s="40"/>
      <c r="I12" s="40"/>
      <c r="J12" s="40"/>
      <c r="K12" s="40"/>
      <c r="L12" s="40"/>
      <c r="M12" s="40"/>
      <c r="N12" s="40"/>
      <c r="O12" s="40"/>
      <c r="P12" s="40"/>
      <c r="Q12" s="40"/>
      <c r="R12" s="40"/>
      <c r="S12" s="40"/>
      <c r="T12" s="40"/>
      <c r="U12" s="40"/>
      <c r="V12" s="40"/>
      <c r="W12" s="40"/>
      <c r="X12" s="40"/>
      <c r="Y12" s="40">
        <v>40000</v>
      </c>
      <c r="Z12" s="40"/>
      <c r="AA12" s="40"/>
      <c r="AB12" s="40"/>
      <c r="AC12" s="40">
        <v>360000</v>
      </c>
      <c r="AD12" s="40">
        <v>45000</v>
      </c>
      <c r="AE12" s="40">
        <v>45000</v>
      </c>
      <c r="AF12" s="40"/>
      <c r="AG12" s="40"/>
      <c r="AH12" s="40">
        <v>45000</v>
      </c>
      <c r="AI12" s="40"/>
      <c r="AJ12" s="40"/>
      <c r="AK12" s="40"/>
      <c r="AL12" s="40"/>
      <c r="AM12" s="40"/>
      <c r="AN12" s="40">
        <v>20000</v>
      </c>
      <c r="AO12" s="40">
        <v>120000</v>
      </c>
      <c r="AP12" s="40"/>
      <c r="AQ12" s="40"/>
      <c r="AR12" s="40">
        <v>28000</v>
      </c>
      <c r="AS12" s="40"/>
      <c r="AT12" s="40">
        <v>50000</v>
      </c>
      <c r="AU12" s="40"/>
      <c r="AV12" s="40"/>
      <c r="AW12" s="40"/>
      <c r="AX12" s="40">
        <v>38000</v>
      </c>
      <c r="AY12" s="40"/>
      <c r="AZ12" s="40"/>
      <c r="BA12" s="55">
        <f>SUM(C12:AZ12)</f>
        <v>891000</v>
      </c>
    </row>
    <row r="13" spans="1:53" s="14" customFormat="1">
      <c r="A13" s="151"/>
      <c r="B13" s="40" t="s">
        <v>3943</v>
      </c>
      <c r="C13" s="40"/>
      <c r="D13" s="40"/>
      <c r="E13" s="40"/>
      <c r="F13" s="40"/>
      <c r="G13" s="40"/>
      <c r="H13" s="40"/>
      <c r="I13" s="40"/>
      <c r="J13" s="40"/>
      <c r="K13" s="40"/>
      <c r="L13" s="40"/>
      <c r="M13" s="40"/>
      <c r="N13" s="40">
        <v>454850</v>
      </c>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55">
        <f>SUM(C13:AZ13)</f>
        <v>454850</v>
      </c>
    </row>
    <row r="14" spans="1:53" s="14" customFormat="1">
      <c r="A14" s="39" t="s">
        <v>3998</v>
      </c>
      <c r="B14" s="40" t="s">
        <v>3955</v>
      </c>
      <c r="C14" s="40"/>
      <c r="D14" s="40"/>
      <c r="E14" s="40"/>
      <c r="F14" s="40"/>
      <c r="G14" s="40"/>
      <c r="H14" s="40"/>
      <c r="I14" s="40"/>
      <c r="J14" s="40"/>
      <c r="K14" s="40">
        <v>216000</v>
      </c>
      <c r="L14" s="40"/>
      <c r="M14" s="40"/>
      <c r="N14" s="40">
        <v>600000</v>
      </c>
      <c r="O14" s="40"/>
      <c r="P14" s="40"/>
      <c r="Q14" s="40"/>
      <c r="R14" s="40"/>
      <c r="S14" s="40"/>
      <c r="T14" s="40"/>
      <c r="U14" s="40"/>
      <c r="V14" s="40"/>
      <c r="W14" s="40"/>
      <c r="X14" s="40"/>
      <c r="Y14" s="40"/>
      <c r="Z14" s="40"/>
      <c r="AA14" s="40"/>
      <c r="AB14" s="40"/>
      <c r="AC14" s="40"/>
      <c r="AD14" s="40"/>
      <c r="AE14" s="40">
        <v>100000</v>
      </c>
      <c r="AF14" s="40"/>
      <c r="AG14" s="40"/>
      <c r="AH14" s="40"/>
      <c r="AI14" s="40"/>
      <c r="AJ14" s="40"/>
      <c r="AK14" s="40"/>
      <c r="AL14" s="40"/>
      <c r="AM14" s="40"/>
      <c r="AN14" s="40"/>
      <c r="AO14" s="40">
        <v>84000</v>
      </c>
      <c r="AP14" s="40"/>
      <c r="AQ14" s="40"/>
      <c r="AR14" s="40"/>
      <c r="AS14" s="40"/>
      <c r="AT14" s="40"/>
      <c r="AU14" s="40"/>
      <c r="AV14" s="40"/>
      <c r="AW14" s="40"/>
      <c r="AX14" s="40"/>
      <c r="AY14" s="40"/>
      <c r="AZ14" s="40">
        <v>150000</v>
      </c>
      <c r="BA14" s="55">
        <f>SUM(C14:AZ14)</f>
        <v>1150000</v>
      </c>
    </row>
    <row r="15" spans="1:53" s="14" customFormat="1">
      <c r="A15" s="39" t="s">
        <v>3999</v>
      </c>
      <c r="B15" s="40" t="s">
        <v>3955</v>
      </c>
      <c r="C15" s="40"/>
      <c r="D15" s="40"/>
      <c r="E15" s="40"/>
      <c r="F15" s="40"/>
      <c r="G15" s="40"/>
      <c r="H15" s="40"/>
      <c r="I15" s="40"/>
      <c r="J15" s="40"/>
      <c r="K15" s="40"/>
      <c r="L15" s="40"/>
      <c r="M15" s="40"/>
      <c r="N15" s="40">
        <v>900000</v>
      </c>
      <c r="O15" s="40"/>
      <c r="P15" s="40"/>
      <c r="Q15" s="40"/>
      <c r="R15" s="40"/>
      <c r="S15" s="40"/>
      <c r="T15" s="40"/>
      <c r="U15" s="40"/>
      <c r="V15" s="40"/>
      <c r="W15" s="40"/>
      <c r="X15" s="40"/>
      <c r="Y15" s="40"/>
      <c r="Z15" s="40"/>
      <c r="AA15" s="40"/>
      <c r="AB15" s="40"/>
      <c r="AC15" s="40">
        <v>90000</v>
      </c>
      <c r="AD15" s="40"/>
      <c r="AE15" s="40">
        <v>100000</v>
      </c>
      <c r="AF15" s="40"/>
      <c r="AG15" s="40"/>
      <c r="AH15" s="40"/>
      <c r="AI15" s="40"/>
      <c r="AJ15" s="40"/>
      <c r="AK15" s="40"/>
      <c r="AL15" s="40"/>
      <c r="AM15" s="40"/>
      <c r="AN15" s="40"/>
      <c r="AO15" s="40"/>
      <c r="AP15" s="40"/>
      <c r="AQ15" s="40"/>
      <c r="AR15" s="40"/>
      <c r="AS15" s="40"/>
      <c r="AT15" s="40"/>
      <c r="AU15" s="40"/>
      <c r="AV15" s="40"/>
      <c r="AW15" s="40"/>
      <c r="AX15" s="40"/>
      <c r="AY15" s="40"/>
      <c r="AZ15" s="40"/>
      <c r="BA15" s="55">
        <f>SUM(C15:AZ15)</f>
        <v>1090000</v>
      </c>
    </row>
    <row r="16" spans="1:53" s="2301" customFormat="1">
      <c r="A16" s="2299"/>
      <c r="B16" s="2300" t="s">
        <v>4006</v>
      </c>
      <c r="C16" s="2300">
        <v>4182433.2</v>
      </c>
      <c r="D16" s="2300">
        <v>1347400</v>
      </c>
      <c r="E16" s="2300">
        <v>963527</v>
      </c>
      <c r="F16" s="2300"/>
      <c r="G16" s="2300"/>
      <c r="H16" s="2300">
        <v>776250</v>
      </c>
      <c r="I16" s="2300"/>
      <c r="J16" s="2300"/>
      <c r="K16" s="2300"/>
      <c r="L16" s="2300">
        <v>100000</v>
      </c>
      <c r="M16" s="2300"/>
      <c r="N16" s="2300"/>
      <c r="O16" s="2300"/>
      <c r="P16" s="2300"/>
      <c r="Q16" s="2300"/>
      <c r="R16" s="2300"/>
      <c r="S16" s="2300">
        <v>10181476.6</v>
      </c>
      <c r="T16" s="2300">
        <v>43790710.600000001</v>
      </c>
      <c r="U16" s="2300"/>
      <c r="V16" s="2300"/>
      <c r="W16" s="2300"/>
      <c r="X16" s="2300">
        <v>3099625</v>
      </c>
      <c r="Y16" s="2300"/>
      <c r="Z16" s="2300"/>
      <c r="AA16" s="2300">
        <v>46931733.479999997</v>
      </c>
      <c r="AB16" s="2300"/>
      <c r="AC16" s="2300">
        <v>2607391.06</v>
      </c>
      <c r="AD16" s="2300">
        <v>2809711.3</v>
      </c>
      <c r="AE16" s="2300">
        <v>1833065.42</v>
      </c>
      <c r="AF16" s="2300"/>
      <c r="AG16" s="2300"/>
      <c r="AH16" s="2300"/>
      <c r="AI16" s="2300"/>
      <c r="AJ16" s="2300"/>
      <c r="AK16" s="2300"/>
      <c r="AL16" s="2300"/>
      <c r="AM16" s="2300"/>
      <c r="AN16" s="2300"/>
      <c r="AO16" s="2300"/>
      <c r="AP16" s="2300">
        <v>2393622</v>
      </c>
      <c r="AQ16" s="2300"/>
      <c r="AR16" s="2300"/>
      <c r="AS16" s="2300"/>
      <c r="AT16" s="2300"/>
      <c r="AU16" s="2300"/>
      <c r="AV16" s="2300">
        <v>1593635.2</v>
      </c>
      <c r="AW16" s="2300"/>
      <c r="AX16" s="2300">
        <v>945136.5</v>
      </c>
      <c r="AY16" s="2300"/>
      <c r="AZ16" s="2300">
        <v>350867</v>
      </c>
      <c r="BA16" s="55">
        <f>SUM(C16:AZ16)</f>
        <v>123906584.36</v>
      </c>
    </row>
    <row r="17" spans="1:54" s="14" customFormat="1">
      <c r="A17" s="152"/>
      <c r="B17" s="52"/>
      <c r="C17" s="52"/>
      <c r="D17" s="52"/>
      <c r="E17" s="52"/>
      <c r="F17" s="52" t="s">
        <v>111</v>
      </c>
      <c r="G17" s="52"/>
      <c r="H17" s="52"/>
      <c r="I17" s="52"/>
      <c r="J17" s="52"/>
      <c r="K17" s="52"/>
      <c r="L17" s="52"/>
      <c r="M17" s="52"/>
      <c r="N17" s="5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5">
        <f>SUM(C17:AZ17)</f>
        <v>0</v>
      </c>
    </row>
    <row r="18" spans="1:54" s="14" customFormat="1">
      <c r="A18" s="152"/>
      <c r="B18" s="52"/>
      <c r="C18" s="52"/>
      <c r="D18" s="52"/>
      <c r="E18" s="52"/>
      <c r="F18" s="52"/>
      <c r="G18" s="52"/>
      <c r="H18" s="52"/>
      <c r="I18" s="52"/>
      <c r="J18" s="52"/>
      <c r="K18" s="52"/>
      <c r="L18" s="52"/>
      <c r="M18" s="52"/>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52"/>
      <c r="AZ18" s="52"/>
      <c r="BA18" s="55">
        <f>SUM(C18:AZ18)</f>
        <v>0</v>
      </c>
    </row>
    <row r="19" spans="1:54" s="2437" customFormat="1">
      <c r="A19" s="2436"/>
      <c r="C19" s="2435">
        <f t="shared" ref="C19:AZ19" si="0">SUM(C3:C18)</f>
        <v>5142433.2</v>
      </c>
      <c r="D19" s="2435">
        <f t="shared" si="0"/>
        <v>1347400</v>
      </c>
      <c r="E19" s="2435">
        <f t="shared" si="0"/>
        <v>1013527</v>
      </c>
      <c r="F19" s="2438">
        <f t="shared" si="0"/>
        <v>0</v>
      </c>
      <c r="G19" s="2438">
        <f t="shared" si="0"/>
        <v>0</v>
      </c>
      <c r="H19" s="2438">
        <f t="shared" si="0"/>
        <v>776250</v>
      </c>
      <c r="I19" s="2435">
        <f t="shared" si="0"/>
        <v>20000</v>
      </c>
      <c r="J19" s="2438">
        <f t="shared" si="0"/>
        <v>0</v>
      </c>
      <c r="K19" s="2435">
        <f t="shared" si="0"/>
        <v>216000</v>
      </c>
      <c r="L19" s="2435">
        <f t="shared" si="0"/>
        <v>272640</v>
      </c>
      <c r="M19" s="2435">
        <f t="shared" si="0"/>
        <v>2100</v>
      </c>
      <c r="N19" s="2435">
        <f t="shared" si="0"/>
        <v>3059860</v>
      </c>
      <c r="O19" s="2435">
        <f t="shared" si="0"/>
        <v>39000</v>
      </c>
      <c r="P19" s="2435">
        <f t="shared" si="0"/>
        <v>632000</v>
      </c>
      <c r="Q19" s="2435">
        <f t="shared" si="0"/>
        <v>30000</v>
      </c>
      <c r="R19" s="2435">
        <f t="shared" si="0"/>
        <v>2500000</v>
      </c>
      <c r="S19" s="2435">
        <f t="shared" si="0"/>
        <v>11976074.879999999</v>
      </c>
      <c r="T19" s="2435">
        <f t="shared" si="0"/>
        <v>55388616.450000003</v>
      </c>
      <c r="U19" s="2435">
        <f t="shared" si="0"/>
        <v>2260000</v>
      </c>
      <c r="V19" s="2435">
        <f t="shared" si="0"/>
        <v>50000</v>
      </c>
      <c r="W19" s="2435">
        <f t="shared" si="0"/>
        <v>44500</v>
      </c>
      <c r="X19" s="2435">
        <f t="shared" si="0"/>
        <v>4175380</v>
      </c>
      <c r="Y19" s="2435">
        <f t="shared" si="0"/>
        <v>174600</v>
      </c>
      <c r="Z19" s="2438">
        <f t="shared" si="0"/>
        <v>0</v>
      </c>
      <c r="AA19" s="2435">
        <f t="shared" si="0"/>
        <v>53483079.979999997</v>
      </c>
      <c r="AB19" s="2438">
        <f t="shared" si="0"/>
        <v>0</v>
      </c>
      <c r="AC19" s="2435">
        <f t="shared" si="0"/>
        <v>4356873.92</v>
      </c>
      <c r="AD19" s="2435">
        <f t="shared" si="0"/>
        <v>3489593.8</v>
      </c>
      <c r="AE19" s="2435">
        <f t="shared" si="0"/>
        <v>4056309.88</v>
      </c>
      <c r="AF19" s="2435">
        <f t="shared" si="0"/>
        <v>8500</v>
      </c>
      <c r="AG19" s="2438">
        <f t="shared" si="0"/>
        <v>0</v>
      </c>
      <c r="AH19" s="2435">
        <f t="shared" si="0"/>
        <v>422500</v>
      </c>
      <c r="AI19" s="2435">
        <f t="shared" si="0"/>
        <v>100000</v>
      </c>
      <c r="AJ19" s="2438">
        <f t="shared" si="0"/>
        <v>0</v>
      </c>
      <c r="AK19" s="2438">
        <f t="shared" si="0"/>
        <v>0</v>
      </c>
      <c r="AL19" s="2435">
        <f t="shared" si="0"/>
        <v>200000</v>
      </c>
      <c r="AM19" s="2438">
        <f t="shared" si="0"/>
        <v>0</v>
      </c>
      <c r="AN19" s="2435">
        <f t="shared" si="0"/>
        <v>71000</v>
      </c>
      <c r="AO19" s="2435">
        <f t="shared" si="0"/>
        <v>426000</v>
      </c>
      <c r="AP19" s="2435">
        <f t="shared" si="0"/>
        <v>3141122</v>
      </c>
      <c r="AQ19" s="2435">
        <f t="shared" si="0"/>
        <v>2117500</v>
      </c>
      <c r="AR19" s="2435">
        <f t="shared" si="0"/>
        <v>463000</v>
      </c>
      <c r="AS19" s="2435">
        <f t="shared" si="0"/>
        <v>67500</v>
      </c>
      <c r="AT19" s="2435">
        <f t="shared" si="0"/>
        <v>240460</v>
      </c>
      <c r="AU19" s="2435">
        <f t="shared" si="0"/>
        <v>69500</v>
      </c>
      <c r="AV19" s="2438">
        <f t="shared" si="0"/>
        <v>1593635.2</v>
      </c>
      <c r="AW19" s="2435">
        <f t="shared" si="0"/>
        <v>139710</v>
      </c>
      <c r="AX19" s="2435">
        <f t="shared" si="0"/>
        <v>1490136.5</v>
      </c>
      <c r="AY19" s="2438">
        <f t="shared" si="0"/>
        <v>0</v>
      </c>
      <c r="AZ19" s="2435">
        <f t="shared" si="0"/>
        <v>875057</v>
      </c>
      <c r="BA19" s="2438">
        <f>SUM(C19:AZ19)</f>
        <v>165931859.80999997</v>
      </c>
      <c r="BB19" s="2438">
        <f>SUM(BA3:BA18)</f>
        <v>165931859.81</v>
      </c>
    </row>
  </sheetData>
  <mergeCells count="3">
    <mergeCell ref="C1:H1"/>
    <mergeCell ref="I1:AR1"/>
    <mergeCell ref="AS1:AZ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E38C-8113-450E-A99A-B9DA50ADA3F6}">
  <sheetPr>
    <tabColor rgb="FFFF0000"/>
  </sheetPr>
  <dimension ref="A1:BA17"/>
  <sheetViews>
    <sheetView zoomScale="107" zoomScaleNormal="100" workbookViewId="0">
      <pane xSplit="2" ySplit="2" topLeftCell="C6" activePane="bottomRight" state="frozen"/>
      <selection activeCell="AG21" sqref="AG21"/>
      <selection pane="topRight" activeCell="AG21" sqref="AG21"/>
      <selection pane="bottomLeft" activeCell="AG21" sqref="AG21"/>
      <selection pane="bottomRight" activeCell="AD24" sqref="AD24"/>
    </sheetView>
  </sheetViews>
  <sheetFormatPr defaultRowHeight="15"/>
  <cols>
    <col min="1" max="1" width="9.140625" style="153"/>
    <col min="3" max="3" width="14.140625" customWidth="1"/>
    <col min="4" max="4" width="14.140625" hidden="1" customWidth="1"/>
    <col min="5" max="5" width="14.5703125" hidden="1" customWidth="1"/>
    <col min="6" max="6" width="14.140625" hidden="1" customWidth="1"/>
    <col min="7" max="9" width="13.7109375" hidden="1" customWidth="1"/>
    <col min="10" max="10" width="14.140625" hidden="1" customWidth="1"/>
    <col min="11" max="11" width="15.42578125" hidden="1" customWidth="1"/>
    <col min="12" max="12" width="15.7109375" hidden="1" customWidth="1"/>
    <col min="13" max="13" width="12" hidden="1" customWidth="1"/>
    <col min="14" max="14" width="12.85546875" hidden="1" customWidth="1"/>
    <col min="15" max="16" width="13.85546875" hidden="1" customWidth="1"/>
    <col min="17" max="17" width="14.5703125" hidden="1" customWidth="1"/>
    <col min="18" max="18" width="15.28515625" hidden="1" customWidth="1"/>
    <col min="19" max="20" width="14.7109375" hidden="1" customWidth="1"/>
    <col min="21" max="21" width="16.85546875" hidden="1" customWidth="1"/>
    <col min="22" max="22" width="13" hidden="1" customWidth="1"/>
    <col min="23" max="23" width="15.85546875" hidden="1" customWidth="1"/>
    <col min="24" max="24" width="14" hidden="1" customWidth="1"/>
    <col min="25" max="25" width="13" hidden="1" customWidth="1"/>
    <col min="26" max="26" width="13.7109375" hidden="1" customWidth="1"/>
    <col min="27" max="27" width="11.28515625" hidden="1" customWidth="1"/>
    <col min="28" max="28" width="14.42578125" hidden="1" customWidth="1"/>
    <col min="29" max="29" width="15" hidden="1" customWidth="1"/>
    <col min="30" max="30" width="20.85546875" customWidth="1"/>
    <col min="31" max="31" width="10" hidden="1" customWidth="1"/>
    <col min="32" max="32" width="0" hidden="1" customWidth="1"/>
    <col min="33" max="34" width="16.42578125" hidden="1" customWidth="1"/>
    <col min="35" max="35" width="13.140625" hidden="1" customWidth="1"/>
    <col min="36" max="36" width="15.5703125" hidden="1" customWidth="1"/>
    <col min="37" max="37" width="13.5703125" hidden="1" customWidth="1"/>
    <col min="38" max="38" width="0" hidden="1" customWidth="1"/>
    <col min="39" max="39" width="11" hidden="1" customWidth="1"/>
    <col min="40" max="41" width="12.140625" hidden="1" customWidth="1"/>
    <col min="42" max="42" width="14.140625" hidden="1" customWidth="1"/>
    <col min="43" max="43" width="12.5703125" hidden="1" customWidth="1"/>
    <col min="44" max="44" width="11.5703125" hidden="1" customWidth="1"/>
    <col min="45" max="45" width="12.5703125" hidden="1" customWidth="1"/>
    <col min="46" max="46" width="15.140625" hidden="1" customWidth="1"/>
    <col min="47" max="47" width="13.140625" hidden="1" customWidth="1"/>
    <col min="48" max="48" width="15.85546875" hidden="1" customWidth="1"/>
    <col min="49" max="49" width="18.5703125" hidden="1" customWidth="1"/>
    <col min="50" max="50" width="10.42578125" hidden="1" customWidth="1"/>
    <col min="51" max="51" width="14.140625" hidden="1" customWidth="1"/>
    <col min="52" max="52" width="16.42578125" customWidth="1"/>
    <col min="53" max="53" width="14.28515625" bestFit="1" customWidth="1"/>
  </cols>
  <sheetData>
    <row r="1" spans="1:52" ht="18">
      <c r="A1" s="147"/>
      <c r="B1" s="32"/>
      <c r="C1" s="2607" t="s">
        <v>60</v>
      </c>
      <c r="D1" s="2608"/>
      <c r="E1" s="2608"/>
      <c r="F1" s="2608"/>
      <c r="G1" s="2609"/>
      <c r="H1" s="2610" t="s">
        <v>31</v>
      </c>
      <c r="I1" s="2611"/>
      <c r="J1" s="2611"/>
      <c r="K1" s="2611"/>
      <c r="L1" s="2611"/>
      <c r="M1" s="2611"/>
      <c r="N1" s="2611"/>
      <c r="O1" s="2611"/>
      <c r="P1" s="2611"/>
      <c r="Q1" s="2611"/>
      <c r="R1" s="2611"/>
      <c r="S1" s="2611"/>
      <c r="T1" s="2611"/>
      <c r="U1" s="2611"/>
      <c r="V1" s="2611"/>
      <c r="W1" s="2611"/>
      <c r="X1" s="2611"/>
      <c r="Y1" s="2611"/>
      <c r="Z1" s="2611"/>
      <c r="AA1" s="2611"/>
      <c r="AB1" s="2611"/>
      <c r="AC1" s="2611"/>
      <c r="AD1" s="2611"/>
      <c r="AE1" s="2611"/>
      <c r="AF1" s="2611"/>
      <c r="AG1" s="2611"/>
      <c r="AH1" s="2611"/>
      <c r="AI1" s="2611"/>
      <c r="AJ1" s="2611"/>
      <c r="AK1" s="2611"/>
      <c r="AL1" s="2611"/>
      <c r="AM1" s="2611"/>
      <c r="AN1" s="2611"/>
      <c r="AO1" s="2611"/>
      <c r="AP1" s="2611"/>
      <c r="AQ1" s="2612"/>
      <c r="AR1" s="2607" t="s">
        <v>32</v>
      </c>
      <c r="AS1" s="2608"/>
      <c r="AT1" s="2608"/>
      <c r="AU1" s="2608"/>
      <c r="AV1" s="2608"/>
      <c r="AW1" s="2608"/>
      <c r="AX1" s="2608"/>
      <c r="AY1" s="2609"/>
      <c r="AZ1" s="32"/>
    </row>
    <row r="2" spans="1:52" s="14" customFormat="1" ht="81">
      <c r="A2" s="148" t="s">
        <v>33</v>
      </c>
      <c r="B2" s="1979" t="s">
        <v>34</v>
      </c>
      <c r="C2" s="66" t="s">
        <v>3942</v>
      </c>
      <c r="D2" s="70" t="s">
        <v>3907</v>
      </c>
      <c r="E2" s="65" t="s">
        <v>62</v>
      </c>
      <c r="F2" s="65" t="s">
        <v>63</v>
      </c>
      <c r="G2" s="67" t="s">
        <v>44</v>
      </c>
      <c r="H2" s="68" t="s">
        <v>635</v>
      </c>
      <c r="I2" s="68" t="s">
        <v>640</v>
      </c>
      <c r="J2" s="68" t="s">
        <v>657</v>
      </c>
      <c r="K2" s="65" t="s">
        <v>35</v>
      </c>
      <c r="L2" s="68" t="s">
        <v>64</v>
      </c>
      <c r="M2" s="69" t="s">
        <v>65</v>
      </c>
      <c r="N2" s="70" t="s">
        <v>66</v>
      </c>
      <c r="O2" s="65" t="s">
        <v>67</v>
      </c>
      <c r="P2" s="65" t="s">
        <v>1611</v>
      </c>
      <c r="Q2" s="69" t="s">
        <v>2971</v>
      </c>
      <c r="R2" s="69" t="s">
        <v>69</v>
      </c>
      <c r="S2" s="69" t="s">
        <v>39</v>
      </c>
      <c r="T2" s="71" t="s">
        <v>40</v>
      </c>
      <c r="U2" s="71" t="s">
        <v>70</v>
      </c>
      <c r="V2" s="71" t="s">
        <v>42</v>
      </c>
      <c r="W2" s="65" t="s">
        <v>71</v>
      </c>
      <c r="X2" s="65" t="s">
        <v>72</v>
      </c>
      <c r="Y2" s="65" t="s">
        <v>46</v>
      </c>
      <c r="Z2" s="1979" t="s">
        <v>73</v>
      </c>
      <c r="AA2" s="65" t="s">
        <v>49</v>
      </c>
      <c r="AB2" s="65" t="s">
        <v>74</v>
      </c>
      <c r="AC2" s="65" t="s">
        <v>75</v>
      </c>
      <c r="AD2" s="75" t="s">
        <v>52</v>
      </c>
      <c r="AE2" s="72" t="s">
        <v>53</v>
      </c>
      <c r="AF2" s="69" t="s">
        <v>76</v>
      </c>
      <c r="AG2" s="69" t="s">
        <v>77</v>
      </c>
      <c r="AH2" s="69" t="s">
        <v>1685</v>
      </c>
      <c r="AI2" s="241" t="s">
        <v>87</v>
      </c>
      <c r="AJ2" s="69" t="s">
        <v>78</v>
      </c>
      <c r="AK2" s="69" t="s">
        <v>79</v>
      </c>
      <c r="AL2" s="71" t="s">
        <v>80</v>
      </c>
      <c r="AM2" s="71" t="s">
        <v>81</v>
      </c>
      <c r="AN2" s="71" t="s">
        <v>82</v>
      </c>
      <c r="AO2" s="69" t="s">
        <v>83</v>
      </c>
      <c r="AP2" s="71" t="s">
        <v>57</v>
      </c>
      <c r="AQ2" s="65" t="s">
        <v>84</v>
      </c>
      <c r="AR2" s="73" t="s">
        <v>58</v>
      </c>
      <c r="AS2" s="69" t="s">
        <v>85</v>
      </c>
      <c r="AT2" s="1980" t="s">
        <v>86</v>
      </c>
      <c r="AU2" s="241" t="s">
        <v>87</v>
      </c>
      <c r="AV2" s="1980" t="s">
        <v>88</v>
      </c>
      <c r="AW2" s="75" t="s">
        <v>89</v>
      </c>
      <c r="AX2" s="69" t="s">
        <v>90</v>
      </c>
      <c r="AY2" s="74" t="s">
        <v>91</v>
      </c>
      <c r="AZ2" s="65" t="s">
        <v>92</v>
      </c>
    </row>
    <row r="3" spans="1:52" s="14" customFormat="1">
      <c r="A3" s="149"/>
      <c r="B3" t="s">
        <v>102</v>
      </c>
      <c r="C3" s="40">
        <v>1500000</v>
      </c>
      <c r="D3" s="40"/>
      <c r="E3" s="40"/>
      <c r="F3" s="40"/>
      <c r="G3" s="40"/>
      <c r="H3" s="40"/>
      <c r="I3" s="40"/>
      <c r="J3" s="40"/>
      <c r="K3" s="40"/>
      <c r="L3" s="40"/>
      <c r="M3" s="40"/>
      <c r="N3" s="40"/>
      <c r="O3" s="40"/>
      <c r="P3" s="40"/>
      <c r="Q3" s="40"/>
      <c r="R3" s="40"/>
      <c r="S3" s="40"/>
      <c r="T3" s="40"/>
      <c r="U3" s="40"/>
      <c r="V3" s="40"/>
      <c r="W3" s="40"/>
      <c r="X3" s="40"/>
      <c r="Y3" s="40"/>
      <c r="Z3" s="40"/>
      <c r="AA3" s="40"/>
      <c r="AB3" s="40"/>
      <c r="AC3" s="40"/>
      <c r="AD3" s="40">
        <v>15800000</v>
      </c>
      <c r="AE3" s="40"/>
      <c r="AF3" s="40"/>
      <c r="AG3" s="40"/>
      <c r="AH3" s="40"/>
      <c r="AI3" s="40"/>
      <c r="AJ3" s="40"/>
      <c r="AK3" s="40"/>
      <c r="AL3" s="40"/>
      <c r="AM3" s="40"/>
      <c r="AN3" s="40"/>
      <c r="AO3" s="40"/>
      <c r="AP3" s="40"/>
      <c r="AQ3" s="40"/>
      <c r="AR3" s="40"/>
      <c r="AS3" s="40"/>
      <c r="AT3" s="40"/>
      <c r="AU3" s="40"/>
      <c r="AV3" s="40"/>
      <c r="AW3" s="40"/>
      <c r="AX3" s="40"/>
      <c r="AY3" s="40"/>
      <c r="AZ3" s="55">
        <f t="shared" ref="AZ3:AZ12" si="0">SUM(C3:AY3)</f>
        <v>17300000</v>
      </c>
    </row>
    <row r="4" spans="1:52" s="14" customFormat="1">
      <c r="A4" s="150"/>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55">
        <f t="shared" si="0"/>
        <v>0</v>
      </c>
    </row>
    <row r="5" spans="1:52" s="14" customFormat="1">
      <c r="A5" s="150"/>
      <c r="B5" s="40"/>
      <c r="C5" s="40"/>
      <c r="D5" s="40"/>
      <c r="E5" s="40"/>
      <c r="F5" s="40"/>
      <c r="G5" s="40"/>
      <c r="H5" s="40"/>
      <c r="I5" s="40"/>
      <c r="J5" s="40"/>
      <c r="K5" s="40"/>
      <c r="L5" s="40"/>
      <c r="M5" s="40"/>
      <c r="N5" s="40"/>
      <c r="O5" s="40"/>
      <c r="P5" s="40"/>
      <c r="Q5" s="40"/>
      <c r="R5" s="40"/>
      <c r="S5" s="40"/>
      <c r="T5" s="40"/>
      <c r="U5" s="40"/>
      <c r="V5" s="40"/>
      <c r="W5" s="40"/>
      <c r="X5" s="40"/>
      <c r="Y5" s="40"/>
      <c r="Z5" s="40"/>
      <c r="AA5" s="40"/>
      <c r="AB5" s="40"/>
      <c r="AC5" s="40"/>
      <c r="AD5" s="40"/>
      <c r="AE5" s="40"/>
      <c r="AF5" s="40"/>
      <c r="AG5" s="40"/>
      <c r="AH5" s="40"/>
      <c r="AI5" s="40"/>
      <c r="AJ5" s="40"/>
      <c r="AK5" s="40"/>
      <c r="AL5" s="40"/>
      <c r="AM5" s="40"/>
      <c r="AN5" s="40"/>
      <c r="AO5" s="40"/>
      <c r="AP5" s="40"/>
      <c r="AQ5" s="40"/>
      <c r="AR5" s="40"/>
      <c r="AS5" s="40"/>
      <c r="AT5" s="40"/>
      <c r="AU5" s="40"/>
      <c r="AV5" s="40"/>
      <c r="AW5" s="40"/>
      <c r="AX5" s="40"/>
      <c r="AY5" s="40"/>
      <c r="AZ5" s="55">
        <f t="shared" si="0"/>
        <v>0</v>
      </c>
    </row>
    <row r="6" spans="1:52" s="14" customFormat="1">
      <c r="A6" s="15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55">
        <f t="shared" si="0"/>
        <v>0</v>
      </c>
    </row>
    <row r="7" spans="1:52" s="14" customFormat="1">
      <c r="A7" s="150"/>
      <c r="B7" s="40"/>
      <c r="C7" s="40"/>
      <c r="D7" s="40"/>
      <c r="E7" s="40"/>
      <c r="F7" s="40"/>
      <c r="G7" s="40"/>
      <c r="H7" s="40"/>
      <c r="I7" s="40"/>
      <c r="J7" s="40"/>
      <c r="K7" s="40"/>
      <c r="L7" s="40"/>
      <c r="M7" s="40"/>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40"/>
      <c r="AV7" s="40"/>
      <c r="AW7" s="40"/>
      <c r="AX7" s="40"/>
      <c r="AY7" s="40"/>
      <c r="AZ7" s="55">
        <f t="shared" si="0"/>
        <v>0</v>
      </c>
    </row>
    <row r="8" spans="1:52" s="14" customFormat="1">
      <c r="A8" s="150"/>
      <c r="B8" s="44"/>
      <c r="C8" s="40"/>
      <c r="D8" s="40"/>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55">
        <f t="shared" si="0"/>
        <v>0</v>
      </c>
    </row>
    <row r="9" spans="1:52" s="14" customFormat="1" ht="14.25" customHeight="1">
      <c r="A9" s="150"/>
      <c r="B9" s="40"/>
      <c r="C9" s="40"/>
      <c r="D9" s="40"/>
      <c r="E9" s="40"/>
      <c r="F9" s="40"/>
      <c r="G9" s="40"/>
      <c r="H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c r="AY9" s="40"/>
      <c r="AZ9" s="55">
        <f t="shared" si="0"/>
        <v>0</v>
      </c>
    </row>
    <row r="10" spans="1:52" s="14" customFormat="1">
      <c r="A10" s="151"/>
      <c r="B10" s="40"/>
      <c r="C10" s="40"/>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40"/>
      <c r="AW10" s="40"/>
      <c r="AX10" s="40"/>
      <c r="AY10" s="40"/>
      <c r="AZ10" s="55">
        <f t="shared" si="0"/>
        <v>0</v>
      </c>
    </row>
    <row r="11" spans="1:52" s="14" customFormat="1">
      <c r="A11" s="151"/>
      <c r="B11" s="40"/>
      <c r="C11" s="40"/>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55">
        <f t="shared" si="0"/>
        <v>0</v>
      </c>
    </row>
    <row r="12" spans="1:52" s="2301" customFormat="1">
      <c r="A12" s="2299"/>
      <c r="B12" s="2300"/>
      <c r="C12" s="2300"/>
      <c r="D12" s="2300"/>
      <c r="E12" s="2300"/>
      <c r="F12" s="2300"/>
      <c r="G12" s="2300"/>
      <c r="H12" s="2300"/>
      <c r="I12" s="2300"/>
      <c r="J12" s="2300"/>
      <c r="K12" s="2300"/>
      <c r="L12" s="2300"/>
      <c r="M12" s="2300"/>
      <c r="N12" s="2300"/>
      <c r="O12" s="2300"/>
      <c r="P12" s="2300"/>
      <c r="Q12" s="2300"/>
      <c r="R12" s="2300"/>
      <c r="S12" s="2300"/>
      <c r="T12" s="2300"/>
      <c r="U12" s="2300"/>
      <c r="V12" s="2300"/>
      <c r="W12" s="2300"/>
      <c r="X12" s="2300"/>
      <c r="Y12" s="2300"/>
      <c r="Z12" s="2300"/>
      <c r="AA12" s="2300"/>
      <c r="AB12" s="2300"/>
      <c r="AC12" s="2300"/>
      <c r="AD12" s="2300"/>
      <c r="AE12" s="2300"/>
      <c r="AF12" s="2300"/>
      <c r="AG12" s="2300"/>
      <c r="AH12" s="2300"/>
      <c r="AI12" s="2300"/>
      <c r="AJ12" s="2300"/>
      <c r="AK12" s="2300"/>
      <c r="AL12" s="2300"/>
      <c r="AM12" s="2300"/>
      <c r="AN12" s="2300"/>
      <c r="AO12" s="2300"/>
      <c r="AP12" s="2300"/>
      <c r="AQ12" s="2300"/>
      <c r="AR12" s="2300"/>
      <c r="AS12" s="2300"/>
      <c r="AT12" s="2300"/>
      <c r="AU12" s="2300"/>
      <c r="AV12" s="2300"/>
      <c r="AW12" s="2300"/>
      <c r="AX12" s="2300"/>
      <c r="AY12" s="2300"/>
      <c r="AZ12" s="55">
        <f t="shared" si="0"/>
        <v>0</v>
      </c>
    </row>
    <row r="13" spans="1:52" s="14" customFormat="1">
      <c r="A13" s="151"/>
      <c r="B13" s="40"/>
      <c r="C13" s="40"/>
      <c r="D13" s="40"/>
      <c r="E13" s="40"/>
      <c r="F13" s="40"/>
      <c r="G13" s="40"/>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55"/>
    </row>
    <row r="14" spans="1:52" s="14" customFormat="1">
      <c r="A14" s="151"/>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55"/>
    </row>
    <row r="15" spans="1:52" s="14" customFormat="1">
      <c r="A15" s="152"/>
      <c r="B15" s="52"/>
      <c r="C15" s="52"/>
      <c r="D15" s="52"/>
      <c r="E15" s="52" t="s">
        <v>111</v>
      </c>
      <c r="F15" s="52"/>
      <c r="G15" s="52"/>
      <c r="H15" s="52"/>
      <c r="I15" s="52"/>
      <c r="J15" s="52"/>
      <c r="K15" s="52"/>
      <c r="L15" s="52"/>
      <c r="M15" s="52"/>
      <c r="N15" s="52"/>
      <c r="O15" s="52"/>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5">
        <f>SUM(C15:AY15)</f>
        <v>0</v>
      </c>
    </row>
    <row r="16" spans="1:52" s="14" customFormat="1">
      <c r="A16" s="152"/>
      <c r="B16" s="52"/>
      <c r="C16" s="52"/>
      <c r="D16" s="52"/>
      <c r="E16" s="52"/>
      <c r="F16" s="52"/>
      <c r="G16" s="52"/>
      <c r="H16" s="52"/>
      <c r="I16" s="52"/>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5">
        <f>SUM(C16:AY16)</f>
        <v>0</v>
      </c>
    </row>
    <row r="17" spans="1:53" s="1982" customFormat="1">
      <c r="A17" s="1981"/>
      <c r="C17" s="1983">
        <f t="shared" ref="C17:AY17" si="1">SUM(C3:C16)</f>
        <v>1500000</v>
      </c>
      <c r="D17" s="1983"/>
      <c r="E17" s="1599">
        <f t="shared" si="1"/>
        <v>0</v>
      </c>
      <c r="F17" s="1599">
        <f t="shared" si="1"/>
        <v>0</v>
      </c>
      <c r="G17" s="1599">
        <f t="shared" si="1"/>
        <v>0</v>
      </c>
      <c r="H17" s="1983">
        <f t="shared" si="1"/>
        <v>0</v>
      </c>
      <c r="I17" s="1599">
        <f t="shared" si="1"/>
        <v>0</v>
      </c>
      <c r="J17" s="1599">
        <f t="shared" si="1"/>
        <v>0</v>
      </c>
      <c r="K17" s="1983">
        <f t="shared" si="1"/>
        <v>0</v>
      </c>
      <c r="L17" s="1599">
        <f t="shared" si="1"/>
        <v>0</v>
      </c>
      <c r="M17" s="1599">
        <f t="shared" si="1"/>
        <v>0</v>
      </c>
      <c r="N17" s="1599">
        <f t="shared" si="1"/>
        <v>0</v>
      </c>
      <c r="O17" s="1983">
        <f t="shared" si="1"/>
        <v>0</v>
      </c>
      <c r="P17" s="1983">
        <f t="shared" si="1"/>
        <v>0</v>
      </c>
      <c r="Q17" s="1599">
        <f t="shared" si="1"/>
        <v>0</v>
      </c>
      <c r="R17" s="1983">
        <f t="shared" si="1"/>
        <v>0</v>
      </c>
      <c r="S17" s="1983">
        <f t="shared" si="1"/>
        <v>0</v>
      </c>
      <c r="T17" s="1983">
        <f t="shared" si="1"/>
        <v>0</v>
      </c>
      <c r="U17" s="1983">
        <f t="shared" si="1"/>
        <v>0</v>
      </c>
      <c r="V17" s="1983">
        <f t="shared" si="1"/>
        <v>0</v>
      </c>
      <c r="W17" s="1983">
        <f t="shared" si="1"/>
        <v>0</v>
      </c>
      <c r="X17" s="1983">
        <f t="shared" si="1"/>
        <v>0</v>
      </c>
      <c r="Y17" s="1599">
        <f t="shared" si="1"/>
        <v>0</v>
      </c>
      <c r="Z17" s="1983">
        <f t="shared" si="1"/>
        <v>0</v>
      </c>
      <c r="AA17" s="1599">
        <f t="shared" si="1"/>
        <v>0</v>
      </c>
      <c r="AB17" s="1983">
        <f t="shared" si="1"/>
        <v>0</v>
      </c>
      <c r="AC17" s="1983">
        <f t="shared" si="1"/>
        <v>0</v>
      </c>
      <c r="AD17" s="1983">
        <f t="shared" si="1"/>
        <v>15800000</v>
      </c>
      <c r="AE17" s="1983">
        <f t="shared" si="1"/>
        <v>0</v>
      </c>
      <c r="AF17" s="1599">
        <f t="shared" si="1"/>
        <v>0</v>
      </c>
      <c r="AG17" s="1983">
        <f t="shared" si="1"/>
        <v>0</v>
      </c>
      <c r="AH17" s="1983">
        <f t="shared" si="1"/>
        <v>0</v>
      </c>
      <c r="AI17" s="1599">
        <f t="shared" si="1"/>
        <v>0</v>
      </c>
      <c r="AJ17" s="1599">
        <f t="shared" si="1"/>
        <v>0</v>
      </c>
      <c r="AK17" s="1599">
        <f t="shared" si="1"/>
        <v>0</v>
      </c>
      <c r="AL17" s="1599">
        <f t="shared" si="1"/>
        <v>0</v>
      </c>
      <c r="AM17" s="1983">
        <f t="shared" si="1"/>
        <v>0</v>
      </c>
      <c r="AN17" s="1983">
        <f t="shared" si="1"/>
        <v>0</v>
      </c>
      <c r="AO17" s="1983">
        <f t="shared" si="1"/>
        <v>0</v>
      </c>
      <c r="AP17" s="1983">
        <f t="shared" si="1"/>
        <v>0</v>
      </c>
      <c r="AQ17" s="1983">
        <f t="shared" si="1"/>
        <v>0</v>
      </c>
      <c r="AR17" s="1983">
        <f t="shared" si="1"/>
        <v>0</v>
      </c>
      <c r="AS17" s="1983">
        <f t="shared" si="1"/>
        <v>0</v>
      </c>
      <c r="AT17" s="1983">
        <f t="shared" si="1"/>
        <v>0</v>
      </c>
      <c r="AU17" s="1599">
        <f t="shared" si="1"/>
        <v>0</v>
      </c>
      <c r="AV17" s="1983">
        <f t="shared" si="1"/>
        <v>0</v>
      </c>
      <c r="AW17" s="1983">
        <f t="shared" si="1"/>
        <v>0</v>
      </c>
      <c r="AX17" s="1599">
        <f t="shared" si="1"/>
        <v>0</v>
      </c>
      <c r="AY17" s="1983">
        <f t="shared" si="1"/>
        <v>0</v>
      </c>
      <c r="AZ17" s="1599">
        <f>SUM(C17:AY17)</f>
        <v>17300000</v>
      </c>
      <c r="BA17" s="1599">
        <f>SUM(AZ3:AZ16)</f>
        <v>17300000</v>
      </c>
    </row>
  </sheetData>
  <mergeCells count="3">
    <mergeCell ref="C1:G1"/>
    <mergeCell ref="H1:AQ1"/>
    <mergeCell ref="AR1:AY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506E-A9E3-43BC-B06E-EC14A2A5C4D2}">
  <sheetPr>
    <tabColor rgb="FFFF0000"/>
  </sheetPr>
  <dimension ref="A1:AY29"/>
  <sheetViews>
    <sheetView zoomScaleNormal="100" workbookViewId="0">
      <pane xSplit="2" ySplit="2" topLeftCell="AN15" activePane="bottomRight" state="frozen"/>
      <selection activeCell="AG21" sqref="AG21"/>
      <selection pane="topRight" activeCell="AG21" sqref="AG21"/>
      <selection pane="bottomLeft" activeCell="AG21" sqref="AG21"/>
      <selection pane="bottomRight" activeCell="AV22" sqref="AV22"/>
    </sheetView>
  </sheetViews>
  <sheetFormatPr defaultColWidth="9.140625" defaultRowHeight="13.5"/>
  <cols>
    <col min="1" max="1" width="9.140625" style="1457"/>
    <col min="2" max="2" width="25.42578125" style="355" customWidth="1"/>
    <col min="3" max="3" width="14.140625" style="355" customWidth="1"/>
    <col min="4" max="4" width="14.5703125" style="355" hidden="1" customWidth="1"/>
    <col min="5" max="5" width="14.140625" style="355" hidden="1" customWidth="1"/>
    <col min="6" max="6" width="13.7109375" style="355" hidden="1" customWidth="1"/>
    <col min="7" max="9" width="13.7109375" style="355" customWidth="1"/>
    <col min="10" max="10" width="14.140625" style="355" customWidth="1"/>
    <col min="11" max="11" width="15.42578125" style="355" hidden="1" customWidth="1"/>
    <col min="12" max="12" width="15.7109375" style="355" hidden="1" customWidth="1"/>
    <col min="13" max="13" width="12" style="355" customWidth="1"/>
    <col min="14" max="14" width="12.85546875" style="355" hidden="1" customWidth="1"/>
    <col min="15" max="15" width="13.85546875" style="355" hidden="1" customWidth="1"/>
    <col min="16" max="16" width="14.5703125" style="355" hidden="1" customWidth="1"/>
    <col min="17" max="17" width="13" style="355" customWidth="1"/>
    <col min="18" max="18" width="13.28515625" style="355" customWidth="1"/>
    <col min="19" max="19" width="11.42578125" style="355" hidden="1" customWidth="1"/>
    <col min="20" max="20" width="16.85546875" style="355" customWidth="1"/>
    <col min="21" max="21" width="13" style="355" hidden="1" customWidth="1"/>
    <col min="22" max="22" width="15.85546875" style="355" customWidth="1"/>
    <col min="23" max="23" width="14" style="355" customWidth="1"/>
    <col min="24" max="24" width="13" style="355" hidden="1" customWidth="1"/>
    <col min="25" max="25" width="9.42578125" style="355" hidden="1" customWidth="1"/>
    <col min="26" max="26" width="11.28515625" style="355" hidden="1" customWidth="1"/>
    <col min="27" max="27" width="14.42578125" style="355" customWidth="1"/>
    <col min="28" max="28" width="13.42578125" style="355" customWidth="1"/>
    <col min="29" max="29" width="20.85546875" style="355" customWidth="1"/>
    <col min="30" max="31" width="9.42578125" style="355" hidden="1" customWidth="1"/>
    <col min="32" max="32" width="16.42578125" style="355" customWidth="1"/>
    <col min="33" max="33" width="14.85546875" style="355" bestFit="1" customWidth="1"/>
    <col min="34" max="34" width="15.5703125" style="355" hidden="1" customWidth="1"/>
    <col min="35" max="35" width="13.140625" style="355" bestFit="1" customWidth="1"/>
    <col min="36" max="36" width="9.42578125" style="355" hidden="1" customWidth="1"/>
    <col min="37" max="37" width="10.7109375" style="355" bestFit="1" customWidth="1"/>
    <col min="38" max="38" width="9.42578125" style="355" hidden="1" customWidth="1"/>
    <col min="39" max="39" width="13.42578125" style="355" customWidth="1"/>
    <col min="40" max="40" width="14.140625" style="355" customWidth="1"/>
    <col min="41" max="41" width="11.85546875" style="355" bestFit="1" customWidth="1"/>
    <col min="42" max="42" width="13.140625" style="355" bestFit="1" customWidth="1"/>
    <col min="43" max="43" width="11.85546875" style="355" bestFit="1" customWidth="1"/>
    <col min="44" max="44" width="9.42578125" style="355" hidden="1" customWidth="1"/>
    <col min="45" max="45" width="13.42578125" style="355" hidden="1" customWidth="1"/>
    <col min="46" max="46" width="9.42578125" style="355" hidden="1" customWidth="1"/>
    <col min="47" max="47" width="18.5703125" style="355" customWidth="1"/>
    <col min="48" max="48" width="11.85546875" style="355" bestFit="1" customWidth="1"/>
    <col min="49" max="49" width="16" style="355" bestFit="1" customWidth="1"/>
    <col min="50" max="50" width="14.5703125" style="355" customWidth="1"/>
    <col min="51" max="51" width="16" style="355" bestFit="1" customWidth="1"/>
    <col min="52" max="16384" width="9.140625" style="355"/>
  </cols>
  <sheetData>
    <row r="1" spans="1:51">
      <c r="A1" s="147"/>
      <c r="B1" s="32"/>
      <c r="C1" s="2613" t="s">
        <v>60</v>
      </c>
      <c r="D1" s="2614"/>
      <c r="E1" s="2614"/>
      <c r="F1" s="2615"/>
      <c r="G1" s="2616" t="s">
        <v>31</v>
      </c>
      <c r="H1" s="2617"/>
      <c r="I1" s="2617"/>
      <c r="J1" s="2617"/>
      <c r="K1" s="2617"/>
      <c r="L1" s="2617"/>
      <c r="M1" s="2617"/>
      <c r="N1" s="2617"/>
      <c r="O1" s="2617"/>
      <c r="P1" s="2617"/>
      <c r="Q1" s="2617"/>
      <c r="R1" s="2617"/>
      <c r="S1" s="2617"/>
      <c r="T1" s="2617"/>
      <c r="U1" s="2617"/>
      <c r="V1" s="2617"/>
      <c r="W1" s="2617"/>
      <c r="X1" s="2617"/>
      <c r="Y1" s="2617"/>
      <c r="Z1" s="2617"/>
      <c r="AA1" s="2617"/>
      <c r="AB1" s="2617"/>
      <c r="AC1" s="2617"/>
      <c r="AD1" s="2617"/>
      <c r="AE1" s="2617"/>
      <c r="AF1" s="2617"/>
      <c r="AG1" s="2617"/>
      <c r="AH1" s="2617"/>
      <c r="AI1" s="2617"/>
      <c r="AJ1" s="2617"/>
      <c r="AK1" s="2617"/>
      <c r="AL1" s="2617"/>
      <c r="AM1" s="2617"/>
      <c r="AN1" s="2617"/>
      <c r="AO1" s="2618"/>
      <c r="AP1" s="2613" t="s">
        <v>32</v>
      </c>
      <c r="AQ1" s="2614"/>
      <c r="AR1" s="2614"/>
      <c r="AS1" s="2614"/>
      <c r="AT1" s="2614"/>
      <c r="AU1" s="2614"/>
      <c r="AV1" s="2614"/>
      <c r="AW1" s="2615"/>
      <c r="AX1" s="32"/>
    </row>
    <row r="2" spans="1:51" s="455" customFormat="1" ht="127.5">
      <c r="A2" s="1445" t="s">
        <v>33</v>
      </c>
      <c r="B2" s="1430" t="s">
        <v>34</v>
      </c>
      <c r="C2" s="1446" t="s">
        <v>61</v>
      </c>
      <c r="D2" s="1430" t="s">
        <v>62</v>
      </c>
      <c r="E2" s="1430" t="s">
        <v>63</v>
      </c>
      <c r="F2" s="1447" t="s">
        <v>44</v>
      </c>
      <c r="G2" s="1448" t="s">
        <v>635</v>
      </c>
      <c r="H2" s="1448" t="s">
        <v>640</v>
      </c>
      <c r="I2" s="1448" t="s">
        <v>1553</v>
      </c>
      <c r="J2" s="1448" t="s">
        <v>657</v>
      </c>
      <c r="K2" s="1430" t="s">
        <v>35</v>
      </c>
      <c r="L2" s="1448" t="s">
        <v>64</v>
      </c>
      <c r="M2" s="1449" t="s">
        <v>65</v>
      </c>
      <c r="N2" s="1450" t="s">
        <v>66</v>
      </c>
      <c r="O2" s="1430" t="s">
        <v>67</v>
      </c>
      <c r="P2" s="1449" t="s">
        <v>68</v>
      </c>
      <c r="Q2" s="1449" t="s">
        <v>69</v>
      </c>
      <c r="R2" s="1449" t="s">
        <v>39</v>
      </c>
      <c r="S2" s="1451" t="s">
        <v>40</v>
      </c>
      <c r="T2" s="1451" t="s">
        <v>70</v>
      </c>
      <c r="U2" s="1451" t="s">
        <v>42</v>
      </c>
      <c r="V2" s="1430" t="s">
        <v>71</v>
      </c>
      <c r="W2" s="1430" t="s">
        <v>72</v>
      </c>
      <c r="X2" s="1430" t="s">
        <v>46</v>
      </c>
      <c r="Y2" s="1430" t="s">
        <v>73</v>
      </c>
      <c r="Z2" s="1430" t="s">
        <v>49</v>
      </c>
      <c r="AA2" s="1430" t="s">
        <v>74</v>
      </c>
      <c r="AB2" s="1430" t="s">
        <v>75</v>
      </c>
      <c r="AC2" s="1452" t="s">
        <v>52</v>
      </c>
      <c r="AD2" s="1453" t="s">
        <v>53</v>
      </c>
      <c r="AE2" s="1449" t="s">
        <v>76</v>
      </c>
      <c r="AF2" s="1449" t="s">
        <v>77</v>
      </c>
      <c r="AG2" s="1431" t="s">
        <v>87</v>
      </c>
      <c r="AH2" s="1449" t="s">
        <v>78</v>
      </c>
      <c r="AI2" s="1449" t="s">
        <v>79</v>
      </c>
      <c r="AJ2" s="1451" t="s">
        <v>80</v>
      </c>
      <c r="AK2" s="1451" t="s">
        <v>81</v>
      </c>
      <c r="AL2" s="1451" t="s">
        <v>82</v>
      </c>
      <c r="AM2" s="1449" t="s">
        <v>83</v>
      </c>
      <c r="AN2" s="1451" t="s">
        <v>57</v>
      </c>
      <c r="AO2" s="1430" t="s">
        <v>84</v>
      </c>
      <c r="AP2" s="1454" t="s">
        <v>58</v>
      </c>
      <c r="AQ2" s="1449" t="s">
        <v>85</v>
      </c>
      <c r="AR2" s="1449" t="s">
        <v>86</v>
      </c>
      <c r="AS2" s="1431" t="s">
        <v>87</v>
      </c>
      <c r="AT2" s="1449" t="s">
        <v>88</v>
      </c>
      <c r="AU2" s="1449" t="s">
        <v>89</v>
      </c>
      <c r="AV2" s="1449" t="s">
        <v>90</v>
      </c>
      <c r="AW2" s="1455" t="s">
        <v>91</v>
      </c>
      <c r="AX2" s="1430" t="s">
        <v>92</v>
      </c>
    </row>
    <row r="3" spans="1:51" s="455" customFormat="1">
      <c r="A3" s="1456" t="s">
        <v>121</v>
      </c>
      <c r="B3" s="355" t="s">
        <v>102</v>
      </c>
      <c r="C3" s="40"/>
      <c r="D3" s="40"/>
      <c r="E3" s="40"/>
      <c r="F3" s="40"/>
      <c r="G3" s="40"/>
      <c r="H3" s="40"/>
      <c r="I3" s="40"/>
      <c r="J3" s="40"/>
      <c r="K3" s="40"/>
      <c r="L3" s="40"/>
      <c r="M3" s="40">
        <v>315000</v>
      </c>
      <c r="N3" s="40"/>
      <c r="O3" s="40"/>
      <c r="P3" s="40"/>
      <c r="Q3" s="40">
        <v>1001216</v>
      </c>
      <c r="R3" s="40"/>
      <c r="S3" s="40"/>
      <c r="T3" s="40">
        <v>1018830</v>
      </c>
      <c r="U3" s="40"/>
      <c r="V3" s="40"/>
      <c r="W3" s="40"/>
      <c r="X3" s="40"/>
      <c r="Y3" s="40"/>
      <c r="Z3" s="40"/>
      <c r="AA3" s="1711">
        <v>116026.7</v>
      </c>
      <c r="AB3" s="40"/>
      <c r="AC3" s="40">
        <v>592160</v>
      </c>
      <c r="AD3" s="40"/>
      <c r="AE3" s="40"/>
      <c r="AF3" s="40"/>
      <c r="AG3" s="40"/>
      <c r="AH3" s="40"/>
      <c r="AI3" s="40"/>
      <c r="AJ3" s="40"/>
      <c r="AK3" s="40"/>
      <c r="AL3" s="40"/>
      <c r="AM3" s="40"/>
      <c r="AN3" s="40"/>
      <c r="AO3" s="40"/>
      <c r="AP3" s="40"/>
      <c r="AQ3" s="40"/>
      <c r="AR3" s="40"/>
      <c r="AS3" s="40"/>
      <c r="AT3" s="40"/>
      <c r="AU3" s="40"/>
      <c r="AV3" s="40"/>
      <c r="AW3" s="40"/>
      <c r="AX3" s="55">
        <f t="shared" ref="AX3:AX28" si="0">SUM(C3:AW3)</f>
        <v>3043232.7</v>
      </c>
      <c r="AY3" s="481"/>
    </row>
    <row r="4" spans="1:51" s="455" customFormat="1">
      <c r="A4" s="150" t="s">
        <v>129</v>
      </c>
      <c r="B4" s="40" t="s">
        <v>102</v>
      </c>
      <c r="C4" s="40"/>
      <c r="D4" s="40"/>
      <c r="E4" s="40"/>
      <c r="F4" s="40"/>
      <c r="G4" s="40"/>
      <c r="H4" s="40"/>
      <c r="I4" s="40"/>
      <c r="J4" s="40"/>
      <c r="K4" s="40"/>
      <c r="L4" s="40"/>
      <c r="M4" s="40"/>
      <c r="N4" s="40"/>
      <c r="O4" s="40"/>
      <c r="P4" s="40"/>
      <c r="Q4" s="40"/>
      <c r="R4" s="40"/>
      <c r="S4" s="40"/>
      <c r="T4" s="40"/>
      <c r="U4" s="40"/>
      <c r="V4" s="40"/>
      <c r="W4" s="40"/>
      <c r="X4" s="40"/>
      <c r="Y4" s="40"/>
      <c r="Z4" s="40"/>
      <c r="AA4" s="1711">
        <v>6750</v>
      </c>
      <c r="AB4" s="40"/>
      <c r="AC4" s="40"/>
      <c r="AD4" s="40"/>
      <c r="AE4" s="40"/>
      <c r="AF4" s="40"/>
      <c r="AG4" s="40"/>
      <c r="AH4" s="40"/>
      <c r="AI4" s="40"/>
      <c r="AJ4" s="40"/>
      <c r="AK4" s="40"/>
      <c r="AL4" s="40"/>
      <c r="AM4" s="40"/>
      <c r="AN4" s="40"/>
      <c r="AO4" s="40"/>
      <c r="AP4" s="40"/>
      <c r="AQ4" s="40"/>
      <c r="AR4" s="40"/>
      <c r="AS4" s="40"/>
      <c r="AT4" s="40"/>
      <c r="AU4" s="40">
        <v>108046</v>
      </c>
      <c r="AV4" s="40"/>
      <c r="AW4" s="40"/>
      <c r="AX4" s="55">
        <f t="shared" si="0"/>
        <v>114796</v>
      </c>
      <c r="AY4" s="481"/>
    </row>
    <row r="5" spans="1:51" s="455" customFormat="1">
      <c r="A5" s="150" t="s">
        <v>273</v>
      </c>
      <c r="B5" s="40" t="s">
        <v>102</v>
      </c>
      <c r="C5" s="40"/>
      <c r="D5" s="40"/>
      <c r="E5" s="40"/>
      <c r="F5" s="40"/>
      <c r="G5" s="40"/>
      <c r="H5" s="40"/>
      <c r="I5" s="40"/>
      <c r="J5" s="40"/>
      <c r="K5" s="40"/>
      <c r="L5" s="40"/>
      <c r="M5" s="40">
        <v>154940</v>
      </c>
      <c r="N5" s="40"/>
      <c r="O5" s="40"/>
      <c r="P5" s="40"/>
      <c r="Q5" s="40"/>
      <c r="R5" s="40"/>
      <c r="S5" s="40"/>
      <c r="T5" s="40"/>
      <c r="U5" s="40"/>
      <c r="V5" s="40"/>
      <c r="W5" s="40"/>
      <c r="X5" s="40"/>
      <c r="Y5" s="40"/>
      <c r="Z5" s="40"/>
      <c r="AA5" s="40"/>
      <c r="AB5" s="40"/>
      <c r="AC5" s="40">
        <v>1100000</v>
      </c>
      <c r="AD5" s="40"/>
      <c r="AE5" s="40"/>
      <c r="AF5" s="40"/>
      <c r="AG5" s="40"/>
      <c r="AH5" s="40"/>
      <c r="AI5" s="40"/>
      <c r="AJ5" s="40"/>
      <c r="AK5" s="40"/>
      <c r="AL5" s="40"/>
      <c r="AM5" s="40"/>
      <c r="AN5" s="40"/>
      <c r="AO5" s="40"/>
      <c r="AP5" s="40"/>
      <c r="AQ5" s="40"/>
      <c r="AR5" s="40"/>
      <c r="AS5" s="40"/>
      <c r="AT5" s="40"/>
      <c r="AU5" s="40"/>
      <c r="AV5" s="40"/>
      <c r="AW5" s="40"/>
      <c r="AX5" s="55">
        <f t="shared" si="0"/>
        <v>1254940</v>
      </c>
      <c r="AY5" s="481"/>
    </row>
    <row r="6" spans="1:51" s="455" customFormat="1">
      <c r="A6" s="1444" t="s">
        <v>388</v>
      </c>
      <c r="B6" s="302" t="s">
        <v>102</v>
      </c>
      <c r="C6" s="52"/>
      <c r="D6" s="52"/>
      <c r="E6" s="52"/>
      <c r="F6" s="52"/>
      <c r="G6" s="52"/>
      <c r="H6" s="52"/>
      <c r="I6" s="52"/>
      <c r="J6" s="52"/>
      <c r="K6" s="40"/>
      <c r="L6" s="40"/>
      <c r="M6" s="40">
        <v>11640</v>
      </c>
      <c r="N6" s="40"/>
      <c r="O6" s="40"/>
      <c r="P6" s="40"/>
      <c r="Q6" s="40">
        <v>1000000</v>
      </c>
      <c r="R6" s="40"/>
      <c r="S6" s="40"/>
      <c r="T6" s="40">
        <v>900000</v>
      </c>
      <c r="U6" s="40"/>
      <c r="V6" s="40"/>
      <c r="W6" s="40"/>
      <c r="X6" s="40"/>
      <c r="Y6" s="40"/>
      <c r="Z6" s="40"/>
      <c r="AA6" s="40"/>
      <c r="AB6" s="40"/>
      <c r="AC6" s="40">
        <v>715000</v>
      </c>
      <c r="AD6" s="40"/>
      <c r="AE6" s="40"/>
      <c r="AF6" s="40"/>
      <c r="AG6" s="40"/>
      <c r="AH6" s="40"/>
      <c r="AI6" s="40">
        <v>349999</v>
      </c>
      <c r="AJ6" s="40"/>
      <c r="AK6" s="40"/>
      <c r="AL6" s="40"/>
      <c r="AM6" s="40"/>
      <c r="AN6" s="40"/>
      <c r="AO6" s="40"/>
      <c r="AP6" s="40"/>
      <c r="AQ6" s="40"/>
      <c r="AR6" s="40"/>
      <c r="AS6" s="40"/>
      <c r="AT6" s="40"/>
      <c r="AU6" s="40"/>
      <c r="AV6" s="40"/>
      <c r="AW6" s="40"/>
      <c r="AX6" s="55">
        <f t="shared" si="0"/>
        <v>2976639</v>
      </c>
      <c r="AY6" s="481"/>
    </row>
    <row r="7" spans="1:51" s="455" customFormat="1">
      <c r="A7" s="150" t="s">
        <v>417</v>
      </c>
      <c r="B7" s="44"/>
      <c r="C7" s="40"/>
      <c r="D7" s="40"/>
      <c r="E7" s="40"/>
      <c r="F7" s="40"/>
      <c r="G7" s="40"/>
      <c r="H7" s="40"/>
      <c r="I7" s="40"/>
      <c r="J7" s="40"/>
      <c r="K7" s="40"/>
      <c r="L7" s="40"/>
      <c r="M7" s="40"/>
      <c r="N7" s="40"/>
      <c r="O7" s="40"/>
      <c r="P7" s="40"/>
      <c r="Q7" s="40">
        <v>1501050</v>
      </c>
      <c r="R7" s="40"/>
      <c r="S7" s="40"/>
      <c r="T7" s="40"/>
      <c r="U7" s="40"/>
      <c r="V7" s="40"/>
      <c r="W7" s="40"/>
      <c r="X7" s="40"/>
      <c r="Y7" s="40"/>
      <c r="Z7" s="40"/>
      <c r="AA7" s="40"/>
      <c r="AB7" s="40"/>
      <c r="AC7" s="40">
        <v>300000</v>
      </c>
      <c r="AD7" s="40"/>
      <c r="AE7" s="40"/>
      <c r="AF7" s="40"/>
      <c r="AG7" s="40"/>
      <c r="AH7" s="40"/>
      <c r="AI7" s="40"/>
      <c r="AJ7" s="40"/>
      <c r="AK7" s="40"/>
      <c r="AL7" s="40"/>
      <c r="AM7" s="40"/>
      <c r="AN7" s="40"/>
      <c r="AO7" s="40"/>
      <c r="AP7" s="40"/>
      <c r="AQ7" s="40"/>
      <c r="AR7" s="40"/>
      <c r="AS7" s="40"/>
      <c r="AT7" s="40"/>
      <c r="AU7" s="40"/>
      <c r="AV7" s="40"/>
      <c r="AW7" s="40"/>
      <c r="AX7" s="55">
        <f t="shared" si="0"/>
        <v>1801050</v>
      </c>
      <c r="AY7" s="481"/>
    </row>
    <row r="8" spans="1:51" s="455" customFormat="1" ht="14.25" customHeight="1">
      <c r="A8" s="150" t="s">
        <v>426</v>
      </c>
      <c r="B8" s="40"/>
      <c r="C8" s="40"/>
      <c r="D8" s="40"/>
      <c r="E8" s="40"/>
      <c r="F8" s="40"/>
      <c r="G8" s="40"/>
      <c r="H8" s="40"/>
      <c r="I8" s="40"/>
      <c r="J8" s="40"/>
      <c r="K8" s="40"/>
      <c r="L8" s="40"/>
      <c r="M8" s="40"/>
      <c r="N8" s="40"/>
      <c r="O8" s="40"/>
      <c r="P8" s="40"/>
      <c r="Q8" s="40"/>
      <c r="R8" s="40"/>
      <c r="S8" s="40"/>
      <c r="T8" s="40">
        <v>9900</v>
      </c>
      <c r="U8" s="40"/>
      <c r="V8" s="40"/>
      <c r="W8" s="40"/>
      <c r="X8" s="40"/>
      <c r="Y8" s="40"/>
      <c r="Z8" s="40"/>
      <c r="AA8" s="40"/>
      <c r="AB8" s="40"/>
      <c r="AC8" s="40">
        <v>560025</v>
      </c>
      <c r="AD8" s="40"/>
      <c r="AE8" s="40"/>
      <c r="AF8" s="40"/>
      <c r="AG8" s="40"/>
      <c r="AH8" s="40"/>
      <c r="AI8" s="40"/>
      <c r="AJ8" s="40"/>
      <c r="AK8" s="40"/>
      <c r="AL8" s="40"/>
      <c r="AM8" s="40"/>
      <c r="AN8" s="40"/>
      <c r="AO8" s="40"/>
      <c r="AP8" s="40"/>
      <c r="AQ8" s="40"/>
      <c r="AR8" s="40"/>
      <c r="AS8" s="40"/>
      <c r="AT8" s="40"/>
      <c r="AU8" s="40"/>
      <c r="AV8" s="40"/>
      <c r="AW8" s="40"/>
      <c r="AX8" s="55">
        <f t="shared" si="0"/>
        <v>569925</v>
      </c>
      <c r="AY8" s="481"/>
    </row>
    <row r="9" spans="1:51" s="455" customFormat="1">
      <c r="A9" s="151" t="s">
        <v>438</v>
      </c>
      <c r="B9" s="40"/>
      <c r="C9" s="40"/>
      <c r="D9" s="40"/>
      <c r="E9" s="40"/>
      <c r="F9" s="40"/>
      <c r="G9" s="40"/>
      <c r="H9" s="40"/>
      <c r="I9" s="40"/>
      <c r="J9" s="40"/>
      <c r="K9" s="40"/>
      <c r="L9" s="40"/>
      <c r="M9" s="40"/>
      <c r="N9" s="40"/>
      <c r="O9" s="40"/>
      <c r="P9" s="40"/>
      <c r="Q9" s="40">
        <v>1000000</v>
      </c>
      <c r="R9" s="40"/>
      <c r="S9" s="40"/>
      <c r="T9" s="40">
        <v>250000</v>
      </c>
      <c r="U9" s="40"/>
      <c r="V9" s="40"/>
      <c r="W9" s="40"/>
      <c r="X9" s="40"/>
      <c r="Y9" s="40"/>
      <c r="Z9" s="40"/>
      <c r="AA9" s="40"/>
      <c r="AB9" s="40"/>
      <c r="AC9" s="40">
        <v>210000</v>
      </c>
      <c r="AD9" s="40"/>
      <c r="AE9" s="40"/>
      <c r="AF9" s="40"/>
      <c r="AG9" s="40"/>
      <c r="AH9" s="40"/>
      <c r="AI9" s="40"/>
      <c r="AJ9" s="40"/>
      <c r="AK9" s="40"/>
      <c r="AL9" s="40"/>
      <c r="AM9" s="40">
        <v>210000</v>
      </c>
      <c r="AN9" s="40"/>
      <c r="AO9" s="40"/>
      <c r="AP9" s="40"/>
      <c r="AQ9" s="40"/>
      <c r="AR9" s="40"/>
      <c r="AS9" s="40"/>
      <c r="AT9" s="40"/>
      <c r="AU9" s="40"/>
      <c r="AV9" s="40"/>
      <c r="AW9" s="40"/>
      <c r="AX9" s="55">
        <f t="shared" si="0"/>
        <v>1670000</v>
      </c>
      <c r="AY9" s="481"/>
    </row>
    <row r="10" spans="1:51" s="455" customFormat="1">
      <c r="A10" s="150" t="s">
        <v>452</v>
      </c>
      <c r="B10" s="40"/>
      <c r="C10" s="40"/>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40">
        <v>69012.399999999994</v>
      </c>
      <c r="AD10" s="40"/>
      <c r="AE10" s="40"/>
      <c r="AF10" s="40"/>
      <c r="AG10" s="40"/>
      <c r="AH10" s="40"/>
      <c r="AI10" s="40"/>
      <c r="AJ10" s="40"/>
      <c r="AK10" s="40"/>
      <c r="AL10" s="40"/>
      <c r="AM10" s="40"/>
      <c r="AN10" s="40"/>
      <c r="AO10" s="40"/>
      <c r="AP10" s="40"/>
      <c r="AQ10" s="40"/>
      <c r="AR10" s="40"/>
      <c r="AS10" s="40"/>
      <c r="AT10" s="40"/>
      <c r="AU10" s="40"/>
      <c r="AV10" s="40"/>
      <c r="AW10" s="40"/>
      <c r="AX10" s="55">
        <f t="shared" si="0"/>
        <v>69012.399999999994</v>
      </c>
      <c r="AY10" s="481"/>
    </row>
    <row r="11" spans="1:51" s="455" customFormat="1">
      <c r="A11" s="438" t="s">
        <v>461</v>
      </c>
      <c r="B11" s="40"/>
      <c r="C11" s="40"/>
      <c r="D11" s="40"/>
      <c r="E11" s="40"/>
      <c r="F11" s="40"/>
      <c r="G11" s="40"/>
      <c r="H11" s="40"/>
      <c r="I11" s="40"/>
      <c r="J11" s="40"/>
      <c r="K11" s="40"/>
      <c r="L11" s="40"/>
      <c r="M11" s="40"/>
      <c r="N11" s="40"/>
      <c r="O11" s="40"/>
      <c r="P11" s="40"/>
      <c r="Q11" s="40">
        <v>3001050</v>
      </c>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55">
        <f t="shared" si="0"/>
        <v>3001050</v>
      </c>
      <c r="AY11" s="481"/>
    </row>
    <row r="12" spans="1:51" s="455" customFormat="1">
      <c r="A12" s="151" t="s">
        <v>462</v>
      </c>
      <c r="B12" s="40" t="s">
        <v>463</v>
      </c>
      <c r="C12" s="40"/>
      <c r="D12" s="40"/>
      <c r="E12" s="40"/>
      <c r="F12" s="40"/>
      <c r="G12" s="40"/>
      <c r="H12" s="40"/>
      <c r="I12" s="40"/>
      <c r="J12" s="40"/>
      <c r="K12" s="40"/>
      <c r="L12" s="40"/>
      <c r="M12" s="40"/>
      <c r="N12" s="40"/>
      <c r="O12" s="40"/>
      <c r="P12" s="40"/>
      <c r="Q12" s="40"/>
      <c r="R12" s="40"/>
      <c r="S12" s="40"/>
      <c r="T12" s="40"/>
      <c r="U12" s="40"/>
      <c r="V12" s="40"/>
      <c r="W12" s="40"/>
      <c r="X12" s="40"/>
      <c r="Y12" s="40"/>
      <c r="Z12" s="40"/>
      <c r="AA12" s="1711">
        <v>24495</v>
      </c>
      <c r="AB12" s="40"/>
      <c r="AC12" s="40">
        <v>24211</v>
      </c>
      <c r="AD12" s="40"/>
      <c r="AE12" s="40"/>
      <c r="AF12" s="40"/>
      <c r="AG12" s="40"/>
      <c r="AH12" s="40"/>
      <c r="AI12" s="40"/>
      <c r="AJ12" s="40"/>
      <c r="AK12" s="40"/>
      <c r="AL12" s="40"/>
      <c r="AM12" s="40"/>
      <c r="AN12" s="40"/>
      <c r="AO12" s="40"/>
      <c r="AP12" s="40"/>
      <c r="AQ12" s="40"/>
      <c r="AR12" s="40"/>
      <c r="AS12" s="40"/>
      <c r="AT12" s="40"/>
      <c r="AU12" s="40"/>
      <c r="AV12" s="40"/>
      <c r="AW12" s="40"/>
      <c r="AX12" s="55">
        <f t="shared" si="0"/>
        <v>48706</v>
      </c>
      <c r="AY12" s="481"/>
    </row>
    <row r="13" spans="1:51" s="455" customFormat="1">
      <c r="A13" s="301" t="s">
        <v>590</v>
      </c>
      <c r="B13" s="302" t="s">
        <v>589</v>
      </c>
      <c r="C13" s="40"/>
      <c r="D13" s="40"/>
      <c r="E13" s="40"/>
      <c r="F13" s="40"/>
      <c r="G13" s="40">
        <v>30000</v>
      </c>
      <c r="H13" s="40">
        <v>1400000</v>
      </c>
      <c r="I13" s="40"/>
      <c r="J13" s="40"/>
      <c r="K13" s="40"/>
      <c r="L13" s="40"/>
      <c r="M13" s="40"/>
      <c r="N13" s="40"/>
      <c r="O13" s="40"/>
      <c r="P13" s="40"/>
      <c r="Q13" s="40"/>
      <c r="R13" s="40">
        <v>2340000</v>
      </c>
      <c r="S13" s="40"/>
      <c r="T13" s="40"/>
      <c r="U13" s="40"/>
      <c r="V13" s="40">
        <v>250000</v>
      </c>
      <c r="W13" s="40"/>
      <c r="X13" s="40"/>
      <c r="Y13" s="40"/>
      <c r="Z13" s="40"/>
      <c r="AA13" s="1711">
        <v>50000</v>
      </c>
      <c r="AB13" s="40">
        <v>30000</v>
      </c>
      <c r="AC13" s="40">
        <v>480000</v>
      </c>
      <c r="AD13" s="40"/>
      <c r="AE13" s="40"/>
      <c r="AF13" s="40"/>
      <c r="AG13" s="40"/>
      <c r="AH13" s="40"/>
      <c r="AI13" s="40"/>
      <c r="AJ13" s="40"/>
      <c r="AK13" s="40"/>
      <c r="AL13" s="40"/>
      <c r="AM13" s="40">
        <v>80000</v>
      </c>
      <c r="AN13" s="40"/>
      <c r="AO13" s="40">
        <v>30000</v>
      </c>
      <c r="AP13" s="40"/>
      <c r="AQ13" s="40"/>
      <c r="AR13" s="40"/>
      <c r="AS13" s="40"/>
      <c r="AT13" s="40"/>
      <c r="AU13" s="40">
        <v>50000</v>
      </c>
      <c r="AV13" s="40"/>
      <c r="AW13" s="40">
        <v>100000</v>
      </c>
      <c r="AX13" s="55">
        <f t="shared" si="0"/>
        <v>4840000</v>
      </c>
      <c r="AY13" s="481"/>
    </row>
    <row r="14" spans="1:51" s="455" customFormat="1">
      <c r="A14" s="151" t="s">
        <v>649</v>
      </c>
      <c r="B14" s="40" t="s">
        <v>650</v>
      </c>
      <c r="C14" s="40">
        <v>2000000</v>
      </c>
      <c r="D14" s="40"/>
      <c r="E14" s="481"/>
      <c r="F14" s="40"/>
      <c r="G14" s="40"/>
      <c r="H14" s="40"/>
      <c r="I14" s="40"/>
      <c r="J14" s="40">
        <v>16200000</v>
      </c>
      <c r="K14" s="40"/>
      <c r="L14" s="40"/>
      <c r="M14" s="40"/>
      <c r="N14" s="40"/>
      <c r="O14" s="40"/>
      <c r="P14" s="40"/>
      <c r="Q14" s="40"/>
      <c r="R14" s="40"/>
      <c r="S14" s="40"/>
      <c r="T14" s="40"/>
      <c r="U14" s="40"/>
      <c r="V14" s="40">
        <v>12000000</v>
      </c>
      <c r="W14" s="40"/>
      <c r="X14" s="40"/>
      <c r="Y14" s="40"/>
      <c r="Z14" s="40"/>
      <c r="AA14" s="1711">
        <v>250000</v>
      </c>
      <c r="AB14" s="40"/>
      <c r="AC14" s="40">
        <v>2000000</v>
      </c>
      <c r="AD14" s="40"/>
      <c r="AE14" s="40"/>
      <c r="AF14" s="40"/>
      <c r="AG14" s="40">
        <v>1000000</v>
      </c>
      <c r="AH14" s="40"/>
      <c r="AI14" s="40"/>
      <c r="AJ14" s="40"/>
      <c r="AK14" s="40"/>
      <c r="AL14" s="40"/>
      <c r="AM14" s="40"/>
      <c r="AN14" s="40">
        <v>900000</v>
      </c>
      <c r="AO14" s="40"/>
      <c r="AP14" s="40">
        <v>100000</v>
      </c>
      <c r="AQ14" s="40"/>
      <c r="AR14" s="40"/>
      <c r="AS14" s="481"/>
      <c r="AT14" s="40"/>
      <c r="AU14" s="40"/>
      <c r="AV14" s="40"/>
      <c r="AW14" s="40">
        <v>13500000</v>
      </c>
      <c r="AX14" s="55">
        <f t="shared" si="0"/>
        <v>47950000</v>
      </c>
      <c r="AY14" s="481"/>
    </row>
    <row r="15" spans="1:51" s="481" customFormat="1">
      <c r="A15" s="481" t="s">
        <v>1023</v>
      </c>
      <c r="B15" s="481" t="s">
        <v>1024</v>
      </c>
      <c r="C15" s="481">
        <v>120000</v>
      </c>
      <c r="D15" s="40"/>
      <c r="E15" s="40"/>
      <c r="F15" s="40"/>
      <c r="G15" s="40"/>
      <c r="H15" s="40"/>
      <c r="I15" s="40"/>
      <c r="J15" s="40"/>
      <c r="K15" s="40"/>
      <c r="L15" s="40"/>
      <c r="M15" s="40"/>
      <c r="N15" s="40"/>
      <c r="O15" s="40"/>
      <c r="P15" s="40"/>
      <c r="Q15" s="40"/>
      <c r="R15" s="40"/>
      <c r="S15" s="40"/>
      <c r="T15" s="40"/>
      <c r="U15" s="40"/>
      <c r="V15" s="40"/>
      <c r="W15" s="40">
        <v>22500</v>
      </c>
      <c r="X15" s="40"/>
      <c r="Y15" s="40"/>
      <c r="Z15" s="40"/>
      <c r="AA15" s="40">
        <v>218632</v>
      </c>
      <c r="AB15" s="40">
        <v>45000</v>
      </c>
      <c r="AC15" s="481">
        <v>200000</v>
      </c>
      <c r="AD15" s="40"/>
      <c r="AE15" s="40"/>
      <c r="AF15" s="40"/>
      <c r="AG15" s="40"/>
      <c r="AH15" s="40"/>
      <c r="AI15" s="40"/>
      <c r="AJ15" s="40"/>
      <c r="AK15" s="40">
        <v>5000</v>
      </c>
      <c r="AL15" s="40"/>
      <c r="AM15" s="40">
        <v>180000</v>
      </c>
      <c r="AN15" s="40">
        <v>225000</v>
      </c>
      <c r="AO15" s="40">
        <v>6750</v>
      </c>
      <c r="AP15" s="40"/>
      <c r="AQ15" s="40">
        <v>25000</v>
      </c>
      <c r="AR15" s="40"/>
      <c r="AS15" s="40"/>
      <c r="AT15" s="40"/>
      <c r="AU15" s="40"/>
      <c r="AV15" s="40">
        <v>24500</v>
      </c>
      <c r="AW15" s="40"/>
      <c r="AX15" s="55">
        <f t="shared" si="0"/>
        <v>1072382</v>
      </c>
    </row>
    <row r="16" spans="1:51" s="455" customFormat="1">
      <c r="A16" s="151" t="s">
        <v>1086</v>
      </c>
      <c r="B16" s="40" t="s">
        <v>1087</v>
      </c>
      <c r="C16" s="40"/>
      <c r="D16" s="40"/>
      <c r="E16" s="40"/>
      <c r="F16" s="40"/>
      <c r="G16" s="40"/>
      <c r="H16" s="40"/>
      <c r="I16" s="40"/>
      <c r="J16" s="40"/>
      <c r="K16" s="40"/>
      <c r="L16" s="40"/>
      <c r="M16" s="40"/>
      <c r="N16" s="40"/>
      <c r="O16" s="40"/>
      <c r="P16" s="40"/>
      <c r="Q16" s="40"/>
      <c r="R16" s="40"/>
      <c r="S16" s="40"/>
      <c r="T16" s="40">
        <v>90000</v>
      </c>
      <c r="U16" s="40"/>
      <c r="V16" s="40">
        <v>60000</v>
      </c>
      <c r="W16" s="40"/>
      <c r="X16" s="40"/>
      <c r="Y16" s="40"/>
      <c r="Z16" s="40"/>
      <c r="AA16" s="40">
        <v>47500</v>
      </c>
      <c r="AB16" s="40">
        <v>6500</v>
      </c>
      <c r="AC16" s="40"/>
      <c r="AD16" s="40"/>
      <c r="AE16" s="40"/>
      <c r="AF16" s="40">
        <v>63000</v>
      </c>
      <c r="AG16" s="40"/>
      <c r="AH16" s="40"/>
      <c r="AI16" s="40"/>
      <c r="AJ16" s="40"/>
      <c r="AK16" s="40"/>
      <c r="AL16" s="40"/>
      <c r="AM16" s="40"/>
      <c r="AN16" s="40"/>
      <c r="AO16" s="40"/>
      <c r="AP16" s="40">
        <v>8000</v>
      </c>
      <c r="AQ16" s="40"/>
      <c r="AR16" s="40"/>
      <c r="AS16" s="40"/>
      <c r="AT16" s="40"/>
      <c r="AU16" s="40"/>
      <c r="AV16" s="40"/>
      <c r="AW16" s="40"/>
      <c r="AX16" s="55">
        <f t="shared" si="0"/>
        <v>275000</v>
      </c>
      <c r="AY16" s="481"/>
    </row>
    <row r="17" spans="1:51" s="455" customFormat="1">
      <c r="A17" s="352" t="s">
        <v>1853</v>
      </c>
      <c r="B17" s="40" t="s">
        <v>2203</v>
      </c>
      <c r="C17" s="40"/>
      <c r="D17" s="40"/>
      <c r="E17" s="40"/>
      <c r="F17" s="40"/>
      <c r="G17" s="40"/>
      <c r="H17" s="40"/>
      <c r="I17" s="40"/>
      <c r="J17" s="40"/>
      <c r="K17" s="40"/>
      <c r="L17" s="40"/>
      <c r="M17" s="40"/>
      <c r="N17" s="40"/>
      <c r="O17" s="40"/>
      <c r="P17" s="40"/>
      <c r="Q17" s="40"/>
      <c r="R17" s="40"/>
      <c r="S17" s="40"/>
      <c r="T17" s="40"/>
      <c r="U17" s="40"/>
      <c r="V17" s="40"/>
      <c r="W17" s="40"/>
      <c r="X17" s="40"/>
      <c r="Y17" s="40"/>
      <c r="Z17" s="40"/>
      <c r="AA17" s="40">
        <v>93000</v>
      </c>
      <c r="AB17" s="40">
        <v>420000</v>
      </c>
      <c r="AC17" s="40"/>
      <c r="AD17" s="40"/>
      <c r="AE17" s="40"/>
      <c r="AF17" s="40"/>
      <c r="AG17" s="40"/>
      <c r="AH17" s="40"/>
      <c r="AI17" s="40"/>
      <c r="AJ17" s="40"/>
      <c r="AK17" s="40"/>
      <c r="AL17" s="40"/>
      <c r="AM17" s="40"/>
      <c r="AN17" s="40"/>
      <c r="AO17" s="40"/>
      <c r="AP17" s="40"/>
      <c r="AQ17" s="40"/>
      <c r="AR17" s="40"/>
      <c r="AS17" s="40"/>
      <c r="AT17" s="40"/>
      <c r="AU17" s="40"/>
      <c r="AV17" s="40"/>
      <c r="AW17" s="40"/>
      <c r="AX17" s="55">
        <f t="shared" si="0"/>
        <v>513000</v>
      </c>
      <c r="AY17" s="481"/>
    </row>
    <row r="18" spans="1:51" s="455" customFormat="1">
      <c r="A18" s="352" t="s">
        <v>2012</v>
      </c>
      <c r="B18" s="40" t="s">
        <v>2204</v>
      </c>
      <c r="C18" s="40"/>
      <c r="D18" s="40"/>
      <c r="E18" s="40"/>
      <c r="F18" s="40"/>
      <c r="G18" s="40"/>
      <c r="H18" s="40"/>
      <c r="I18" s="40"/>
      <c r="J18" s="40"/>
      <c r="K18" s="40"/>
      <c r="L18" s="40"/>
      <c r="M18" s="40"/>
      <c r="N18" s="40"/>
      <c r="O18" s="40"/>
      <c r="P18" s="40"/>
      <c r="Q18" s="40"/>
      <c r="R18" s="40"/>
      <c r="S18" s="40"/>
      <c r="T18" s="40"/>
      <c r="U18" s="40"/>
      <c r="V18" s="40"/>
      <c r="W18" s="40"/>
      <c r="X18" s="40"/>
      <c r="Y18" s="40"/>
      <c r="Z18" s="40"/>
      <c r="AA18" s="40">
        <v>93750</v>
      </c>
      <c r="AB18" s="40">
        <v>75000</v>
      </c>
      <c r="AC18" s="40"/>
      <c r="AD18" s="40"/>
      <c r="AE18" s="40"/>
      <c r="AF18" s="40"/>
      <c r="AG18" s="40"/>
      <c r="AH18" s="40"/>
      <c r="AI18" s="40"/>
      <c r="AJ18" s="40"/>
      <c r="AK18" s="40"/>
      <c r="AL18" s="40"/>
      <c r="AM18" s="40"/>
      <c r="AN18" s="40"/>
      <c r="AO18" s="40"/>
      <c r="AP18" s="40"/>
      <c r="AQ18" s="40"/>
      <c r="AR18" s="40"/>
      <c r="AS18" s="40"/>
      <c r="AT18" s="40"/>
      <c r="AU18" s="40"/>
      <c r="AV18" s="40"/>
      <c r="AW18" s="40"/>
      <c r="AX18" s="55">
        <f t="shared" si="0"/>
        <v>168750</v>
      </c>
      <c r="AY18" s="481"/>
    </row>
    <row r="19" spans="1:51" s="455" customFormat="1">
      <c r="A19" s="352" t="s">
        <v>2205</v>
      </c>
      <c r="B19" s="40" t="s">
        <v>2206</v>
      </c>
      <c r="C19" s="40"/>
      <c r="D19" s="40"/>
      <c r="E19" s="40"/>
      <c r="F19" s="40"/>
      <c r="G19" s="40"/>
      <c r="H19" s="40"/>
      <c r="I19" s="40"/>
      <c r="J19" s="40"/>
      <c r="K19" s="40"/>
      <c r="L19" s="40"/>
      <c r="M19" s="40"/>
      <c r="N19" s="40"/>
      <c r="O19" s="40"/>
      <c r="P19" s="40"/>
      <c r="Q19" s="40"/>
      <c r="R19" s="40"/>
      <c r="S19" s="40"/>
      <c r="T19" s="40"/>
      <c r="U19" s="40"/>
      <c r="V19" s="40"/>
      <c r="W19" s="40"/>
      <c r="X19" s="40"/>
      <c r="Y19" s="40"/>
      <c r="Z19" s="40"/>
      <c r="AA19" s="40">
        <v>35000</v>
      </c>
      <c r="AB19" s="40">
        <v>35000</v>
      </c>
      <c r="AC19" s="40"/>
      <c r="AD19" s="40"/>
      <c r="AE19" s="40"/>
      <c r="AF19" s="40"/>
      <c r="AG19" s="40"/>
      <c r="AH19" s="40"/>
      <c r="AI19" s="40"/>
      <c r="AJ19" s="40"/>
      <c r="AK19" s="40"/>
      <c r="AL19" s="40"/>
      <c r="AM19" s="40"/>
      <c r="AN19" s="40"/>
      <c r="AO19" s="40"/>
      <c r="AP19" s="40"/>
      <c r="AQ19" s="40"/>
      <c r="AR19" s="40"/>
      <c r="AS19" s="40"/>
      <c r="AT19" s="40"/>
      <c r="AU19" s="40"/>
      <c r="AV19" s="40"/>
      <c r="AW19" s="40"/>
      <c r="AX19" s="55">
        <f t="shared" si="0"/>
        <v>70000</v>
      </c>
      <c r="AY19" s="481"/>
    </row>
    <row r="20" spans="1:51" s="455" customFormat="1">
      <c r="A20" s="352" t="s">
        <v>2208</v>
      </c>
      <c r="B20" s="40" t="s">
        <v>2209</v>
      </c>
      <c r="C20" s="40"/>
      <c r="D20" s="40"/>
      <c r="E20" s="40"/>
      <c r="F20" s="40"/>
      <c r="G20" s="40"/>
      <c r="H20" s="40"/>
      <c r="I20" s="40"/>
      <c r="J20" s="40"/>
      <c r="K20" s="40"/>
      <c r="L20" s="40"/>
      <c r="M20" s="40"/>
      <c r="N20" s="40"/>
      <c r="O20" s="40"/>
      <c r="P20" s="40"/>
      <c r="Q20" s="40"/>
      <c r="R20" s="40"/>
      <c r="S20" s="40"/>
      <c r="T20" s="40"/>
      <c r="U20" s="40"/>
      <c r="V20" s="40"/>
      <c r="W20" s="40"/>
      <c r="X20" s="40"/>
      <c r="Y20" s="40"/>
      <c r="Z20" s="40"/>
      <c r="AA20" s="40">
        <v>22500</v>
      </c>
      <c r="AB20" s="40"/>
      <c r="AC20" s="40"/>
      <c r="AD20" s="40"/>
      <c r="AE20" s="40"/>
      <c r="AF20" s="40"/>
      <c r="AG20" s="40"/>
      <c r="AH20" s="40"/>
      <c r="AI20" s="40"/>
      <c r="AJ20" s="40"/>
      <c r="AK20" s="40"/>
      <c r="AL20" s="40"/>
      <c r="AM20" s="40"/>
      <c r="AN20" s="40"/>
      <c r="AO20" s="40"/>
      <c r="AP20" s="40"/>
      <c r="AQ20" s="40"/>
      <c r="AR20" s="40"/>
      <c r="AS20" s="40"/>
      <c r="AT20" s="40"/>
      <c r="AU20" s="40"/>
      <c r="AV20" s="40"/>
      <c r="AW20" s="40"/>
      <c r="AX20" s="55">
        <f t="shared" si="0"/>
        <v>22500</v>
      </c>
      <c r="AY20" s="481"/>
    </row>
    <row r="21" spans="1:51" s="455" customFormat="1">
      <c r="A21" s="352" t="s">
        <v>2210</v>
      </c>
      <c r="B21" s="40" t="s">
        <v>2211</v>
      </c>
      <c r="C21" s="40"/>
      <c r="D21" s="40"/>
      <c r="E21" s="40"/>
      <c r="F21" s="40"/>
      <c r="G21" s="40"/>
      <c r="H21" s="40"/>
      <c r="I21" s="40"/>
      <c r="J21" s="40"/>
      <c r="K21" s="40"/>
      <c r="L21" s="40"/>
      <c r="M21" s="40"/>
      <c r="N21" s="40"/>
      <c r="O21" s="40"/>
      <c r="P21" s="40"/>
      <c r="Q21" s="40"/>
      <c r="R21" s="40"/>
      <c r="S21" s="40"/>
      <c r="T21" s="40"/>
      <c r="U21" s="40"/>
      <c r="V21" s="40"/>
      <c r="W21" s="40"/>
      <c r="X21" s="40"/>
      <c r="Y21" s="40"/>
      <c r="Z21" s="40"/>
      <c r="AA21" s="40">
        <v>4000</v>
      </c>
      <c r="AB21" s="40"/>
      <c r="AC21" s="40"/>
      <c r="AD21" s="40"/>
      <c r="AE21" s="40"/>
      <c r="AF21" s="40"/>
      <c r="AG21" s="40"/>
      <c r="AH21" s="40"/>
      <c r="AI21" s="40"/>
      <c r="AJ21" s="40"/>
      <c r="AK21" s="40"/>
      <c r="AL21" s="40"/>
      <c r="AM21" s="40"/>
      <c r="AN21" s="40"/>
      <c r="AO21" s="40"/>
      <c r="AP21" s="40"/>
      <c r="AQ21" s="40"/>
      <c r="AR21" s="40"/>
      <c r="AS21" s="40"/>
      <c r="AT21" s="40"/>
      <c r="AU21" s="40"/>
      <c r="AV21" s="40"/>
      <c r="AW21" s="40"/>
      <c r="AX21" s="55">
        <f t="shared" si="0"/>
        <v>4000</v>
      </c>
      <c r="AY21" s="481"/>
    </row>
    <row r="22" spans="1:51" s="455" customFormat="1">
      <c r="A22" s="352" t="s">
        <v>2207</v>
      </c>
      <c r="B22" s="40" t="s">
        <v>2212</v>
      </c>
      <c r="C22" s="40"/>
      <c r="D22" s="40"/>
      <c r="E22" s="40"/>
      <c r="F22" s="40"/>
      <c r="G22" s="40"/>
      <c r="H22" s="40"/>
      <c r="I22" s="40"/>
      <c r="J22" s="40"/>
      <c r="K22" s="40"/>
      <c r="L22" s="40"/>
      <c r="M22" s="40"/>
      <c r="N22" s="40"/>
      <c r="O22" s="40"/>
      <c r="P22" s="40"/>
      <c r="Q22" s="40"/>
      <c r="R22" s="40"/>
      <c r="S22" s="40"/>
      <c r="T22" s="40"/>
      <c r="U22" s="40"/>
      <c r="V22" s="40"/>
      <c r="W22" s="40"/>
      <c r="X22" s="40"/>
      <c r="Y22" s="40"/>
      <c r="Z22" s="40"/>
      <c r="AA22" s="40">
        <v>50000</v>
      </c>
      <c r="AB22" s="40"/>
      <c r="AC22" s="40"/>
      <c r="AD22" s="40"/>
      <c r="AE22" s="40"/>
      <c r="AF22" s="40"/>
      <c r="AG22" s="40"/>
      <c r="AH22" s="40"/>
      <c r="AI22" s="40"/>
      <c r="AJ22" s="40"/>
      <c r="AK22" s="40"/>
      <c r="AL22" s="40"/>
      <c r="AM22" s="40"/>
      <c r="AN22" s="40"/>
      <c r="AO22" s="40"/>
      <c r="AP22" s="40"/>
      <c r="AQ22" s="40"/>
      <c r="AR22" s="40"/>
      <c r="AS22" s="40"/>
      <c r="AT22" s="40"/>
      <c r="AU22" s="40"/>
      <c r="AV22" s="40"/>
      <c r="AW22" s="40"/>
      <c r="AX22" s="55">
        <f t="shared" si="0"/>
        <v>50000</v>
      </c>
      <c r="AY22" s="481"/>
    </row>
    <row r="23" spans="1:51" s="1438" customFormat="1">
      <c r="A23" s="1421"/>
      <c r="B23" s="1422"/>
      <c r="C23" s="1422"/>
      <c r="D23" s="1422"/>
      <c r="E23" s="1422"/>
      <c r="F23" s="1422"/>
      <c r="G23" s="1422"/>
      <c r="H23" s="1422"/>
      <c r="I23" s="1422"/>
      <c r="J23" s="1422"/>
      <c r="K23" s="1422"/>
      <c r="L23" s="1422"/>
      <c r="M23" s="1422"/>
      <c r="N23" s="1422"/>
      <c r="O23" s="1422"/>
      <c r="P23" s="1422"/>
      <c r="Q23" s="1422"/>
      <c r="R23" s="1422"/>
      <c r="S23" s="1422"/>
      <c r="T23" s="1422"/>
      <c r="U23" s="1422"/>
      <c r="V23" s="1422"/>
      <c r="W23" s="1422"/>
      <c r="X23" s="1422"/>
      <c r="Y23" s="1422"/>
      <c r="Z23" s="1422"/>
      <c r="AA23" s="1422"/>
      <c r="AB23" s="1422"/>
      <c r="AC23" s="1422"/>
      <c r="AD23" s="1422"/>
      <c r="AE23" s="1422"/>
      <c r="AF23" s="1422"/>
      <c r="AG23" s="1422"/>
      <c r="AH23" s="1422"/>
      <c r="AI23" s="1422"/>
      <c r="AJ23" s="1422"/>
      <c r="AK23" s="1422"/>
      <c r="AL23" s="1422"/>
      <c r="AM23" s="1422"/>
      <c r="AN23" s="1422"/>
      <c r="AO23" s="1422"/>
      <c r="AP23" s="1422"/>
      <c r="AQ23" s="1422"/>
      <c r="AR23" s="1422"/>
      <c r="AS23" s="1422"/>
      <c r="AT23" s="1422"/>
      <c r="AU23" s="1422"/>
      <c r="AV23" s="1422"/>
      <c r="AW23" s="1422"/>
      <c r="AX23" s="55">
        <f t="shared" si="0"/>
        <v>0</v>
      </c>
      <c r="AY23" s="1459"/>
    </row>
    <row r="24" spans="1:51" s="455" customFormat="1">
      <c r="A24" s="352" t="s">
        <v>1550</v>
      </c>
      <c r="B24" s="40"/>
      <c r="C24" s="409">
        <v>305000</v>
      </c>
      <c r="D24" s="40"/>
      <c r="E24" s="40"/>
      <c r="F24" s="40"/>
      <c r="G24" s="40"/>
      <c r="H24" s="409">
        <v>4671200</v>
      </c>
      <c r="I24" s="1460">
        <v>50000</v>
      </c>
      <c r="J24" s="40"/>
      <c r="K24" s="40"/>
      <c r="L24" s="40"/>
      <c r="M24" s="40"/>
      <c r="N24" s="40"/>
      <c r="O24" s="40"/>
      <c r="P24" s="40"/>
      <c r="Q24" s="40"/>
      <c r="R24" s="40"/>
      <c r="S24" s="40"/>
      <c r="T24" s="409"/>
      <c r="U24" s="40"/>
      <c r="V24" s="409">
        <v>282673.67</v>
      </c>
      <c r="W24" s="40"/>
      <c r="X24" s="40"/>
      <c r="Y24" s="40"/>
      <c r="Z24" s="40"/>
      <c r="AA24" s="404">
        <v>133327</v>
      </c>
      <c r="AB24" s="409"/>
      <c r="AC24" s="409">
        <v>5828630</v>
      </c>
      <c r="AD24" s="40"/>
      <c r="AE24" s="40"/>
      <c r="AF24" s="1461"/>
      <c r="AG24" s="40"/>
      <c r="AH24" s="40"/>
      <c r="AI24" s="40"/>
      <c r="AJ24" s="40"/>
      <c r="AK24" s="40"/>
      <c r="AL24" s="40"/>
      <c r="AM24" s="409">
        <v>489815</v>
      </c>
      <c r="AN24" s="40"/>
      <c r="AO24" s="40"/>
      <c r="AP24" s="409"/>
      <c r="AQ24" s="40"/>
      <c r="AR24" s="40"/>
      <c r="AS24" s="40"/>
      <c r="AT24" s="40"/>
      <c r="AU24" s="40"/>
      <c r="AV24" s="40"/>
      <c r="AW24" s="409">
        <v>324370</v>
      </c>
      <c r="AX24" s="55">
        <f t="shared" si="0"/>
        <v>12085015.67</v>
      </c>
      <c r="AY24" s="481"/>
    </row>
    <row r="25" spans="1:51" s="455" customFormat="1">
      <c r="A25" s="352" t="s">
        <v>1551</v>
      </c>
      <c r="B25" s="40"/>
      <c r="C25" s="409">
        <v>300000</v>
      </c>
      <c r="D25" s="40"/>
      <c r="E25" s="40"/>
      <c r="F25" s="40"/>
      <c r="G25" s="40"/>
      <c r="H25" s="40"/>
      <c r="I25" s="40"/>
      <c r="J25" s="40"/>
      <c r="K25" s="40"/>
      <c r="L25" s="40"/>
      <c r="M25" s="40"/>
      <c r="N25" s="40"/>
      <c r="O25" s="40"/>
      <c r="P25" s="40"/>
      <c r="Q25" s="40"/>
      <c r="R25" s="40"/>
      <c r="S25" s="40"/>
      <c r="T25" s="605">
        <v>180000</v>
      </c>
      <c r="U25" s="40"/>
      <c r="V25" s="409">
        <v>275000</v>
      </c>
      <c r="W25" s="40"/>
      <c r="X25" s="40"/>
      <c r="Y25" s="40"/>
      <c r="Z25" s="40"/>
      <c r="AA25" s="404">
        <v>150000</v>
      </c>
      <c r="AB25" s="409"/>
      <c r="AC25" s="51">
        <v>210000</v>
      </c>
      <c r="AD25" s="40"/>
      <c r="AE25" s="40"/>
      <c r="AF25" s="409">
        <v>95000</v>
      </c>
      <c r="AG25" s="40"/>
      <c r="AH25" s="40"/>
      <c r="AI25" s="40"/>
      <c r="AJ25" s="40"/>
      <c r="AK25" s="40"/>
      <c r="AL25" s="40"/>
      <c r="AM25" s="409">
        <v>306000</v>
      </c>
      <c r="AN25" s="40"/>
      <c r="AO25" s="40"/>
      <c r="AP25" s="409"/>
      <c r="AQ25" s="40"/>
      <c r="AR25" s="40"/>
      <c r="AS25" s="40"/>
      <c r="AT25" s="40"/>
      <c r="AU25" s="40"/>
      <c r="AV25" s="40"/>
      <c r="AW25" s="409">
        <v>100000</v>
      </c>
      <c r="AX25" s="55">
        <f t="shared" si="0"/>
        <v>1616000</v>
      </c>
      <c r="AY25" s="481"/>
    </row>
    <row r="26" spans="1:51" s="455" customFormat="1">
      <c r="A26" s="352" t="s">
        <v>1552</v>
      </c>
      <c r="B26" s="40"/>
      <c r="C26" s="409"/>
      <c r="D26" s="40"/>
      <c r="E26" s="40"/>
      <c r="F26" s="40"/>
      <c r="G26" s="40"/>
      <c r="H26" s="40"/>
      <c r="I26" s="40"/>
      <c r="J26" s="40"/>
      <c r="K26" s="40"/>
      <c r="L26" s="40"/>
      <c r="M26" s="40"/>
      <c r="N26" s="40"/>
      <c r="O26" s="40"/>
      <c r="P26" s="40"/>
      <c r="Q26" s="40"/>
      <c r="R26" s="40"/>
      <c r="S26" s="40"/>
      <c r="T26" s="409"/>
      <c r="U26" s="40"/>
      <c r="V26" s="409">
        <v>350000</v>
      </c>
      <c r="W26" s="40"/>
      <c r="X26" s="40"/>
      <c r="Y26" s="40"/>
      <c r="Z26" s="40"/>
      <c r="AA26" s="409"/>
      <c r="AB26" s="404">
        <v>50000</v>
      </c>
      <c r="AC26" s="51">
        <v>28100</v>
      </c>
      <c r="AD26" s="40"/>
      <c r="AE26" s="40"/>
      <c r="AF26" s="481"/>
      <c r="AG26" s="40"/>
      <c r="AH26" s="40"/>
      <c r="AI26" s="40"/>
      <c r="AJ26" s="40"/>
      <c r="AK26" s="40"/>
      <c r="AL26" s="40"/>
      <c r="AM26" s="409">
        <v>312500</v>
      </c>
      <c r="AN26" s="40"/>
      <c r="AO26" s="40"/>
      <c r="AP26" s="378">
        <v>18000</v>
      </c>
      <c r="AQ26" s="40"/>
      <c r="AR26" s="40"/>
      <c r="AS26" s="40"/>
      <c r="AT26" s="40"/>
      <c r="AU26" s="40"/>
      <c r="AV26" s="40"/>
      <c r="AW26" s="409"/>
      <c r="AX26" s="55">
        <f t="shared" si="0"/>
        <v>758600</v>
      </c>
      <c r="AY26" s="481"/>
    </row>
    <row r="27" spans="1:51" s="455" customFormat="1">
      <c r="A27" s="152"/>
      <c r="B27" s="52"/>
      <c r="C27" s="52"/>
      <c r="D27" s="52" t="s">
        <v>111</v>
      </c>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409"/>
      <c r="AG27" s="52"/>
      <c r="AH27" s="52"/>
      <c r="AI27" s="52"/>
      <c r="AJ27" s="52"/>
      <c r="AK27" s="52"/>
      <c r="AL27" s="52"/>
      <c r="AM27" s="52"/>
      <c r="AN27" s="52"/>
      <c r="AO27" s="52"/>
      <c r="AP27" s="52"/>
      <c r="AQ27" s="52"/>
      <c r="AR27" s="52"/>
      <c r="AS27" s="52"/>
      <c r="AT27" s="52"/>
      <c r="AU27" s="52"/>
      <c r="AV27" s="52"/>
      <c r="AW27" s="52"/>
      <c r="AX27" s="55">
        <f t="shared" si="0"/>
        <v>0</v>
      </c>
      <c r="AY27" s="481"/>
    </row>
    <row r="28" spans="1:51" s="455" customFormat="1">
      <c r="A28" s="152"/>
      <c r="B28" s="52"/>
      <c r="C28" s="52"/>
      <c r="D28" s="5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5">
        <f t="shared" si="0"/>
        <v>0</v>
      </c>
      <c r="AY28" s="481"/>
    </row>
    <row r="29" spans="1:51" s="2377" customFormat="1" ht="12.75">
      <c r="A29" s="2376"/>
      <c r="C29" s="2379">
        <f t="shared" ref="C29:AW29" si="1">SUM(C3:C28)</f>
        <v>2725000</v>
      </c>
      <c r="D29" s="2378">
        <f t="shared" si="1"/>
        <v>0</v>
      </c>
      <c r="E29" s="2378">
        <f t="shared" si="1"/>
        <v>0</v>
      </c>
      <c r="F29" s="2378">
        <f t="shared" si="1"/>
        <v>0</v>
      </c>
      <c r="G29" s="2379">
        <f t="shared" si="1"/>
        <v>30000</v>
      </c>
      <c r="H29" s="2379">
        <f t="shared" si="1"/>
        <v>6071200</v>
      </c>
      <c r="I29" s="2379">
        <f t="shared" si="1"/>
        <v>50000</v>
      </c>
      <c r="J29" s="2379">
        <f t="shared" si="1"/>
        <v>16200000</v>
      </c>
      <c r="K29" s="2378">
        <f t="shared" si="1"/>
        <v>0</v>
      </c>
      <c r="L29" s="2378">
        <f t="shared" si="1"/>
        <v>0</v>
      </c>
      <c r="M29" s="2379">
        <f t="shared" si="1"/>
        <v>481580</v>
      </c>
      <c r="N29" s="2378">
        <f t="shared" si="1"/>
        <v>0</v>
      </c>
      <c r="O29" s="2378">
        <f t="shared" si="1"/>
        <v>0</v>
      </c>
      <c r="P29" s="2378">
        <f t="shared" si="1"/>
        <v>0</v>
      </c>
      <c r="Q29" s="2379">
        <f t="shared" si="1"/>
        <v>7503316</v>
      </c>
      <c r="R29" s="2379">
        <f t="shared" si="1"/>
        <v>2340000</v>
      </c>
      <c r="S29" s="2378">
        <f t="shared" si="1"/>
        <v>0</v>
      </c>
      <c r="T29" s="2379">
        <f t="shared" si="1"/>
        <v>2448730</v>
      </c>
      <c r="U29" s="2378">
        <f t="shared" si="1"/>
        <v>0</v>
      </c>
      <c r="V29" s="2379">
        <f t="shared" si="1"/>
        <v>13217673.67</v>
      </c>
      <c r="W29" s="2379">
        <f t="shared" si="1"/>
        <v>22500</v>
      </c>
      <c r="X29" s="2378">
        <f t="shared" si="1"/>
        <v>0</v>
      </c>
      <c r="Y29" s="2378">
        <f t="shared" si="1"/>
        <v>0</v>
      </c>
      <c r="Z29" s="2378">
        <f t="shared" si="1"/>
        <v>0</v>
      </c>
      <c r="AA29" s="2379">
        <f t="shared" si="1"/>
        <v>1294980.7</v>
      </c>
      <c r="AB29" s="2379">
        <f t="shared" si="1"/>
        <v>661500</v>
      </c>
      <c r="AC29" s="2379">
        <f t="shared" si="1"/>
        <v>12317138.4</v>
      </c>
      <c r="AD29" s="2378">
        <f t="shared" si="1"/>
        <v>0</v>
      </c>
      <c r="AE29" s="2378">
        <f t="shared" si="1"/>
        <v>0</v>
      </c>
      <c r="AF29" s="2379">
        <f t="shared" si="1"/>
        <v>158000</v>
      </c>
      <c r="AG29" s="2379">
        <f t="shared" si="1"/>
        <v>1000000</v>
      </c>
      <c r="AH29" s="2378">
        <f t="shared" si="1"/>
        <v>0</v>
      </c>
      <c r="AI29" s="2379">
        <f t="shared" si="1"/>
        <v>349999</v>
      </c>
      <c r="AJ29" s="2378">
        <f t="shared" si="1"/>
        <v>0</v>
      </c>
      <c r="AK29" s="2379">
        <f t="shared" si="1"/>
        <v>5000</v>
      </c>
      <c r="AL29" s="2378">
        <f t="shared" si="1"/>
        <v>0</v>
      </c>
      <c r="AM29" s="2379">
        <f t="shared" si="1"/>
        <v>1578315</v>
      </c>
      <c r="AN29" s="2379">
        <f t="shared" si="1"/>
        <v>1125000</v>
      </c>
      <c r="AO29" s="2379">
        <f t="shared" si="1"/>
        <v>36750</v>
      </c>
      <c r="AP29" s="2379">
        <f t="shared" si="1"/>
        <v>126000</v>
      </c>
      <c r="AQ29" s="2379">
        <f t="shared" si="1"/>
        <v>25000</v>
      </c>
      <c r="AR29" s="2378">
        <f t="shared" si="1"/>
        <v>0</v>
      </c>
      <c r="AS29" s="2378">
        <f t="shared" si="1"/>
        <v>0</v>
      </c>
      <c r="AT29" s="2378">
        <f t="shared" si="1"/>
        <v>0</v>
      </c>
      <c r="AU29" s="2379">
        <f t="shared" si="1"/>
        <v>158046</v>
      </c>
      <c r="AV29" s="2379">
        <f t="shared" si="1"/>
        <v>24500</v>
      </c>
      <c r="AW29" s="2379">
        <f t="shared" si="1"/>
        <v>14024370</v>
      </c>
      <c r="AX29" s="2378">
        <f>SUM(C29:AW29)</f>
        <v>83974598.770000011</v>
      </c>
      <c r="AY29" s="2378">
        <f>SUM(AX3:AX28)</f>
        <v>83974598.769999996</v>
      </c>
    </row>
  </sheetData>
  <mergeCells count="3">
    <mergeCell ref="C1:F1"/>
    <mergeCell ref="AP1:AW1"/>
    <mergeCell ref="G1:AO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8AB32-0F3B-4680-86F7-C8529F923B3A}">
  <sheetPr>
    <tabColor rgb="FFFF0000"/>
  </sheetPr>
  <dimension ref="A1:AG20"/>
  <sheetViews>
    <sheetView zoomScale="85" zoomScaleNormal="85" workbookViewId="0">
      <pane xSplit="2" ySplit="2" topLeftCell="C3" activePane="bottomRight" state="frozen"/>
      <selection activeCell="AG21" sqref="AG21"/>
      <selection pane="topRight" activeCell="AG21" sqref="AG21"/>
      <selection pane="bottomLeft" activeCell="AG21" sqref="AG21"/>
      <selection pane="bottomRight" activeCell="A20" sqref="A20"/>
    </sheetView>
  </sheetViews>
  <sheetFormatPr defaultColWidth="9.140625" defaultRowHeight="13.5"/>
  <cols>
    <col min="1" max="1" width="16" style="355" customWidth="1"/>
    <col min="2" max="2" width="15.85546875" style="355" customWidth="1"/>
    <col min="3" max="3" width="29.140625" style="355" customWidth="1"/>
    <col min="4" max="4" width="13.42578125" style="355" hidden="1" customWidth="1"/>
    <col min="5" max="5" width="14.42578125" style="355" hidden="1" customWidth="1"/>
    <col min="6" max="6" width="12.85546875" style="355" customWidth="1"/>
    <col min="7" max="7" width="15.85546875" style="355" customWidth="1"/>
    <col min="8" max="8" width="15.140625" style="355" customWidth="1"/>
    <col min="9" max="9" width="13.140625" style="355" hidden="1" customWidth="1"/>
    <col min="10" max="10" width="15.5703125" style="355" customWidth="1"/>
    <col min="11" max="11" width="12.5703125" style="355" hidden="1" customWidth="1"/>
    <col min="12" max="12" width="13.85546875" style="355" customWidth="1"/>
    <col min="13" max="13" width="13.28515625" style="355" hidden="1" customWidth="1"/>
    <col min="14" max="14" width="13.28515625" style="355" customWidth="1"/>
    <col min="15" max="15" width="13.7109375" style="355" customWidth="1"/>
    <col min="16" max="16" width="13" style="355" hidden="1" customWidth="1"/>
    <col min="17" max="17" width="16.5703125" style="355" hidden="1" customWidth="1"/>
    <col min="18" max="18" width="12.85546875" style="355" hidden="1" customWidth="1"/>
    <col min="19" max="19" width="11.5703125" style="355" hidden="1" customWidth="1"/>
    <col min="20" max="20" width="14.5703125" style="355" customWidth="1"/>
    <col min="21" max="21" width="16" style="355" customWidth="1"/>
    <col min="22" max="22" width="19" style="355" customWidth="1"/>
    <col min="23" max="23" width="16.5703125" style="355" hidden="1" customWidth="1"/>
    <col min="24" max="24" width="15.7109375" style="355" customWidth="1"/>
    <col min="25" max="25" width="15.85546875" style="355" hidden="1" customWidth="1"/>
    <col min="26" max="26" width="18.7109375" style="355" customWidth="1"/>
    <col min="27" max="28" width="15" style="355" customWidth="1"/>
    <col min="29" max="30" width="16" style="355" customWidth="1"/>
    <col min="31" max="31" width="20" style="355" hidden="1" customWidth="1"/>
    <col min="32" max="32" width="20.28515625" style="355" customWidth="1"/>
    <col min="33" max="33" width="18.5703125" style="355" customWidth="1"/>
    <col min="34" max="16384" width="9.140625" style="355"/>
  </cols>
  <sheetData>
    <row r="1" spans="1:32">
      <c r="A1" s="32"/>
      <c r="B1" s="32"/>
      <c r="C1" s="32" t="s">
        <v>60</v>
      </c>
      <c r="D1" s="2619" t="s">
        <v>31</v>
      </c>
      <c r="E1" s="2619"/>
      <c r="F1" s="2619"/>
      <c r="G1" s="2619"/>
      <c r="H1" s="2619"/>
      <c r="I1" s="2619"/>
      <c r="J1" s="2619"/>
      <c r="K1" s="2619"/>
      <c r="L1" s="2619"/>
      <c r="M1" s="2619"/>
      <c r="N1" s="2619"/>
      <c r="O1" s="2619"/>
      <c r="P1" s="2619"/>
      <c r="Q1" s="2619"/>
      <c r="R1" s="2619"/>
      <c r="S1" s="2619"/>
      <c r="T1" s="2619"/>
      <c r="U1" s="2619"/>
      <c r="V1" s="2619"/>
      <c r="W1" s="2619"/>
      <c r="X1" s="2619"/>
      <c r="Y1" s="2619"/>
      <c r="Z1" s="2619"/>
      <c r="AA1" s="2620"/>
      <c r="AB1" s="1428"/>
      <c r="AC1" s="2621" t="s">
        <v>32</v>
      </c>
      <c r="AD1" s="2622"/>
      <c r="AE1" s="2623"/>
      <c r="AF1" s="32"/>
    </row>
    <row r="2" spans="1:32" ht="71.25" customHeight="1">
      <c r="A2" s="1429" t="s">
        <v>33</v>
      </c>
      <c r="B2" s="1429" t="s">
        <v>34</v>
      </c>
      <c r="C2" s="1430" t="s">
        <v>63</v>
      </c>
      <c r="D2" s="1429" t="s">
        <v>35</v>
      </c>
      <c r="E2" s="1431" t="s">
        <v>36</v>
      </c>
      <c r="F2" s="1431" t="s">
        <v>37</v>
      </c>
      <c r="G2" s="1431" t="s">
        <v>38</v>
      </c>
      <c r="H2" s="1431" t="s">
        <v>39</v>
      </c>
      <c r="I2" s="1432" t="s">
        <v>40</v>
      </c>
      <c r="J2" s="1432" t="s">
        <v>41</v>
      </c>
      <c r="K2" s="1432" t="s">
        <v>42</v>
      </c>
      <c r="L2" s="1429" t="s">
        <v>43</v>
      </c>
      <c r="M2" s="1429" t="s">
        <v>44</v>
      </c>
      <c r="N2" s="1429" t="s">
        <v>814</v>
      </c>
      <c r="O2" s="1429" t="s">
        <v>45</v>
      </c>
      <c r="P2" s="1429" t="s">
        <v>46</v>
      </c>
      <c r="Q2" s="1429" t="s">
        <v>47</v>
      </c>
      <c r="R2" s="1429" t="s">
        <v>48</v>
      </c>
      <c r="S2" s="1429" t="s">
        <v>49</v>
      </c>
      <c r="T2" s="1429" t="s">
        <v>50</v>
      </c>
      <c r="U2" s="1429" t="s">
        <v>51</v>
      </c>
      <c r="V2" s="1431" t="s">
        <v>52</v>
      </c>
      <c r="W2" s="1433" t="s">
        <v>53</v>
      </c>
      <c r="X2" s="1431" t="s">
        <v>54</v>
      </c>
      <c r="Y2" s="1431" t="s">
        <v>55</v>
      </c>
      <c r="Z2" s="1431" t="s">
        <v>56</v>
      </c>
      <c r="AA2" s="1432" t="s">
        <v>57</v>
      </c>
      <c r="AB2" s="1434" t="s">
        <v>803</v>
      </c>
      <c r="AC2" s="1435" t="s">
        <v>58</v>
      </c>
      <c r="AD2" s="1436" t="s">
        <v>91</v>
      </c>
      <c r="AE2" s="1437" t="s">
        <v>93</v>
      </c>
      <c r="AF2" s="1429" t="s">
        <v>59</v>
      </c>
    </row>
    <row r="3" spans="1:32">
      <c r="A3" s="33" t="s">
        <v>101</v>
      </c>
      <c r="B3" s="34" t="s">
        <v>102</v>
      </c>
      <c r="C3" s="34"/>
      <c r="D3" s="34"/>
      <c r="E3" s="34"/>
      <c r="F3" s="34"/>
      <c r="G3" s="34">
        <v>115500</v>
      </c>
      <c r="H3" s="34"/>
      <c r="I3" s="34"/>
      <c r="J3" s="56"/>
      <c r="K3" s="34"/>
      <c r="L3" s="34"/>
      <c r="M3" s="34"/>
      <c r="N3" s="34"/>
      <c r="O3" s="34"/>
      <c r="P3" s="34"/>
      <c r="Q3" s="34"/>
      <c r="R3" s="34"/>
      <c r="S3" s="34"/>
      <c r="T3" s="34"/>
      <c r="U3" s="34"/>
      <c r="V3" s="34">
        <v>400000</v>
      </c>
      <c r="W3" s="35"/>
      <c r="X3" s="34"/>
      <c r="Y3" s="34"/>
      <c r="Z3" s="34"/>
      <c r="AA3" s="34"/>
      <c r="AB3" s="269"/>
      <c r="AC3" s="36"/>
      <c r="AD3" s="1348"/>
      <c r="AE3" s="37"/>
      <c r="AF3" s="38">
        <f>SUM(C3:AE3)</f>
        <v>515500</v>
      </c>
    </row>
    <row r="4" spans="1:32">
      <c r="A4" s="39" t="s">
        <v>381</v>
      </c>
      <c r="B4" s="355" t="s">
        <v>102</v>
      </c>
      <c r="C4" s="40"/>
      <c r="D4" s="40"/>
      <c r="E4" s="40"/>
      <c r="F4" s="40"/>
      <c r="G4" s="40"/>
      <c r="H4" s="40"/>
      <c r="I4" s="40"/>
      <c r="J4" s="40"/>
      <c r="K4" s="40"/>
      <c r="L4" s="40"/>
      <c r="M4" s="40"/>
      <c r="N4" s="40"/>
      <c r="O4" s="40"/>
      <c r="P4" s="40"/>
      <c r="Q4" s="40"/>
      <c r="R4" s="40"/>
      <c r="S4" s="40"/>
      <c r="T4" s="40"/>
      <c r="U4" s="40">
        <v>30300</v>
      </c>
      <c r="V4" s="40"/>
      <c r="W4" s="41"/>
      <c r="X4" s="40"/>
      <c r="Y4" s="40"/>
      <c r="Z4" s="40"/>
      <c r="AA4" s="40"/>
      <c r="AB4" s="270"/>
      <c r="AC4" s="42"/>
      <c r="AD4" s="1349"/>
      <c r="AE4" s="43"/>
      <c r="AF4" s="38">
        <f t="shared" ref="AF4:AF19" si="0">SUM(C4:AE4)</f>
        <v>30300</v>
      </c>
    </row>
    <row r="5" spans="1:32" s="302" customFormat="1" ht="38.25" customHeight="1">
      <c r="A5" s="1425" t="s">
        <v>743</v>
      </c>
      <c r="B5" s="1041" t="s">
        <v>744</v>
      </c>
      <c r="C5" s="1426">
        <v>110000</v>
      </c>
      <c r="D5" s="40"/>
      <c r="E5" s="40"/>
      <c r="F5" s="40"/>
      <c r="G5" s="40">
        <v>530000</v>
      </c>
      <c r="H5" s="40"/>
      <c r="I5" s="40"/>
      <c r="J5" s="40">
        <v>174000</v>
      </c>
      <c r="K5" s="40"/>
      <c r="L5" s="40">
        <v>106000</v>
      </c>
      <c r="M5" s="40"/>
      <c r="N5" s="40">
        <v>500000</v>
      </c>
      <c r="O5" s="40">
        <v>25000</v>
      </c>
      <c r="P5" s="40"/>
      <c r="Q5" s="40"/>
      <c r="R5" s="40"/>
      <c r="S5" s="40"/>
      <c r="T5" s="40">
        <v>50000</v>
      </c>
      <c r="U5" s="40"/>
      <c r="V5" s="40">
        <v>1600000</v>
      </c>
      <c r="W5" s="41"/>
      <c r="X5" s="40"/>
      <c r="Y5" s="40"/>
      <c r="Z5" s="40">
        <v>250000</v>
      </c>
      <c r="AA5" s="40">
        <v>190000</v>
      </c>
      <c r="AB5" s="270">
        <v>10000</v>
      </c>
      <c r="AC5" s="42">
        <v>10000</v>
      </c>
      <c r="AD5" s="1349"/>
      <c r="AE5" s="43"/>
      <c r="AF5" s="38">
        <f t="shared" si="0"/>
        <v>3555000</v>
      </c>
    </row>
    <row r="6" spans="1:32" ht="52.5" customHeight="1">
      <c r="A6" s="40" t="s">
        <v>859</v>
      </c>
      <c r="B6" s="44" t="s">
        <v>860</v>
      </c>
      <c r="C6" s="44"/>
      <c r="D6" s="40"/>
      <c r="E6" s="40"/>
      <c r="F6" s="40"/>
      <c r="G6" s="40"/>
      <c r="H6" s="40">
        <v>1000000</v>
      </c>
      <c r="I6" s="40"/>
      <c r="J6" s="40"/>
      <c r="K6" s="40"/>
      <c r="L6" s="40"/>
      <c r="M6" s="40"/>
      <c r="N6" s="40"/>
      <c r="O6" s="40"/>
      <c r="P6" s="40"/>
      <c r="Q6" s="40"/>
      <c r="R6" s="40"/>
      <c r="S6" s="40"/>
      <c r="T6" s="40"/>
      <c r="U6" s="40"/>
      <c r="V6" s="40">
        <v>615000</v>
      </c>
      <c r="W6" s="41"/>
      <c r="X6" s="40"/>
      <c r="Y6" s="40"/>
      <c r="Z6" s="40">
        <v>1385000</v>
      </c>
      <c r="AA6" s="40"/>
      <c r="AB6" s="270"/>
      <c r="AC6" s="42"/>
      <c r="AD6" s="1349"/>
      <c r="AE6" s="43"/>
      <c r="AF6" s="38">
        <f t="shared" si="0"/>
        <v>3000000</v>
      </c>
    </row>
    <row r="7" spans="1:32">
      <c r="A7" s="40" t="s">
        <v>886</v>
      </c>
      <c r="B7" s="44" t="s">
        <v>860</v>
      </c>
      <c r="C7" s="45"/>
      <c r="D7" s="40"/>
      <c r="E7" s="40"/>
      <c r="F7" s="40"/>
      <c r="G7" s="40"/>
      <c r="H7" s="40"/>
      <c r="I7" s="40"/>
      <c r="J7" s="40"/>
      <c r="K7" s="40"/>
      <c r="L7" s="40"/>
      <c r="M7" s="40"/>
      <c r="N7" s="40"/>
      <c r="O7" s="40"/>
      <c r="P7" s="40"/>
      <c r="Q7" s="40"/>
      <c r="R7" s="40"/>
      <c r="S7" s="40"/>
      <c r="T7" s="40"/>
      <c r="U7" s="40"/>
      <c r="V7" s="40">
        <v>930400</v>
      </c>
      <c r="W7" s="41"/>
      <c r="X7" s="40"/>
      <c r="Y7" s="40"/>
      <c r="Z7" s="40">
        <v>1500000</v>
      </c>
      <c r="AA7" s="40"/>
      <c r="AB7" s="270"/>
      <c r="AC7" s="42"/>
      <c r="AD7" s="1349"/>
      <c r="AE7" s="43"/>
      <c r="AF7" s="38">
        <f t="shared" si="0"/>
        <v>2430400</v>
      </c>
    </row>
    <row r="8" spans="1:32" ht="14.25" thickBot="1">
      <c r="A8" s="40" t="s">
        <v>1120</v>
      </c>
      <c r="B8" s="44" t="s">
        <v>1087</v>
      </c>
      <c r="C8" s="46"/>
      <c r="D8" s="46"/>
      <c r="E8" s="47"/>
      <c r="F8" s="47"/>
      <c r="G8" s="47"/>
      <c r="H8" s="47"/>
      <c r="I8" s="47"/>
      <c r="J8" s="47">
        <v>35000</v>
      </c>
      <c r="K8" s="47"/>
      <c r="L8" s="47"/>
      <c r="M8" s="47"/>
      <c r="N8" s="47"/>
      <c r="O8" s="47"/>
      <c r="P8" s="47"/>
      <c r="Q8" s="47"/>
      <c r="R8" s="47"/>
      <c r="S8" s="47"/>
      <c r="T8" s="47"/>
      <c r="U8" s="47"/>
      <c r="V8" s="47"/>
      <c r="W8" s="48"/>
      <c r="X8" s="47"/>
      <c r="Y8" s="47"/>
      <c r="Z8" s="47">
        <v>28000</v>
      </c>
      <c r="AA8" s="47"/>
      <c r="AB8" s="271"/>
      <c r="AC8" s="49"/>
      <c r="AD8" s="1350"/>
      <c r="AE8" s="50"/>
      <c r="AF8" s="38">
        <f t="shared" si="0"/>
        <v>63000</v>
      </c>
    </row>
    <row r="9" spans="1:32">
      <c r="A9" s="34" t="s">
        <v>1131</v>
      </c>
      <c r="B9" s="44" t="s">
        <v>1087</v>
      </c>
      <c r="C9" s="51"/>
      <c r="D9" s="34"/>
      <c r="E9" s="34"/>
      <c r="F9" s="34"/>
      <c r="G9" s="34"/>
      <c r="H9" s="34"/>
      <c r="I9" s="34"/>
      <c r="J9" s="34">
        <v>34000</v>
      </c>
      <c r="K9" s="34"/>
      <c r="L9" s="34"/>
      <c r="M9" s="34"/>
      <c r="N9" s="34"/>
      <c r="O9" s="34"/>
      <c r="P9" s="34"/>
      <c r="Q9" s="34"/>
      <c r="R9" s="34"/>
      <c r="S9" s="34"/>
      <c r="T9" s="34"/>
      <c r="U9" s="34"/>
      <c r="V9" s="34"/>
      <c r="W9" s="35"/>
      <c r="X9" s="34"/>
      <c r="Y9" s="34"/>
      <c r="Z9" s="34">
        <v>28500</v>
      </c>
      <c r="AA9" s="34"/>
      <c r="AB9" s="34"/>
      <c r="AC9" s="34"/>
      <c r="AD9" s="34"/>
      <c r="AE9" s="34"/>
      <c r="AF9" s="38">
        <f t="shared" si="0"/>
        <v>62500</v>
      </c>
    </row>
    <row r="10" spans="1:32" s="455" customFormat="1" ht="13.5" customHeight="1">
      <c r="A10" s="52" t="s">
        <v>1137</v>
      </c>
      <c r="B10" s="44" t="s">
        <v>1087</v>
      </c>
      <c r="C10" s="52"/>
      <c r="D10" s="52"/>
      <c r="E10" s="52"/>
      <c r="F10" s="52"/>
      <c r="G10" s="52"/>
      <c r="H10" s="52"/>
      <c r="I10" s="52"/>
      <c r="J10" s="52"/>
      <c r="K10" s="52"/>
      <c r="L10" s="52">
        <v>21750</v>
      </c>
      <c r="M10" s="52"/>
      <c r="N10" s="52"/>
      <c r="O10" s="52"/>
      <c r="P10" s="52"/>
      <c r="Q10" s="52"/>
      <c r="R10" s="52"/>
      <c r="S10" s="52"/>
      <c r="T10" s="52"/>
      <c r="U10" s="52"/>
      <c r="V10" s="52">
        <v>65466.67</v>
      </c>
      <c r="W10" s="53"/>
      <c r="X10" s="52"/>
      <c r="Y10" s="52"/>
      <c r="Z10" s="52">
        <v>198250</v>
      </c>
      <c r="AA10" s="52"/>
      <c r="AB10" s="52"/>
      <c r="AC10" s="52"/>
      <c r="AD10" s="52"/>
      <c r="AE10" s="52"/>
      <c r="AF10" s="38">
        <f t="shared" si="0"/>
        <v>285466.67</v>
      </c>
    </row>
    <row r="11" spans="1:32" s="455" customFormat="1">
      <c r="A11" s="52" t="s">
        <v>1150</v>
      </c>
      <c r="B11" s="52" t="s">
        <v>1327</v>
      </c>
      <c r="C11" s="52"/>
      <c r="D11" s="52"/>
      <c r="E11" s="52"/>
      <c r="F11" s="52"/>
      <c r="G11" s="52">
        <v>310000</v>
      </c>
      <c r="H11" s="52"/>
      <c r="I11" s="52"/>
      <c r="J11" s="52">
        <v>92000</v>
      </c>
      <c r="K11" s="52"/>
      <c r="L11" s="52">
        <v>80000</v>
      </c>
      <c r="M11" s="52"/>
      <c r="N11" s="52"/>
      <c r="O11" s="52"/>
      <c r="P11" s="52"/>
      <c r="Q11" s="52"/>
      <c r="R11" s="52"/>
      <c r="S11" s="52"/>
      <c r="T11" s="52">
        <v>24500</v>
      </c>
      <c r="U11" s="52"/>
      <c r="V11" s="52">
        <v>66000</v>
      </c>
      <c r="W11" s="53"/>
      <c r="X11" s="52">
        <v>60000</v>
      </c>
      <c r="Y11" s="52"/>
      <c r="Z11" s="52"/>
      <c r="AA11" s="52"/>
      <c r="AB11" s="52"/>
      <c r="AC11" s="52"/>
      <c r="AD11" s="52">
        <v>44000</v>
      </c>
      <c r="AE11" s="52"/>
      <c r="AF11" s="38">
        <f t="shared" si="0"/>
        <v>676500</v>
      </c>
    </row>
    <row r="12" spans="1:32" s="455" customFormat="1">
      <c r="A12" s="39"/>
      <c r="B12" s="54" t="s">
        <v>1329</v>
      </c>
      <c r="C12" s="54"/>
      <c r="D12" s="52"/>
      <c r="E12" s="52"/>
      <c r="F12" s="52"/>
      <c r="G12" s="52"/>
      <c r="H12" s="40"/>
      <c r="I12" s="52"/>
      <c r="J12" s="52">
        <v>260000</v>
      </c>
      <c r="K12" s="52"/>
      <c r="L12" s="52">
        <v>22500</v>
      </c>
      <c r="M12" s="52"/>
      <c r="N12" s="52"/>
      <c r="O12" s="52"/>
      <c r="P12" s="52"/>
      <c r="Q12" s="52"/>
      <c r="R12" s="52"/>
      <c r="S12" s="52"/>
      <c r="T12" s="40">
        <v>12634</v>
      </c>
      <c r="U12" s="40"/>
      <c r="V12" s="40">
        <v>10006.219999999999</v>
      </c>
      <c r="W12" s="52"/>
      <c r="X12" s="52"/>
      <c r="Y12" s="52"/>
      <c r="Z12" s="40"/>
      <c r="AA12" s="40"/>
      <c r="AB12" s="40"/>
      <c r="AC12" s="52"/>
      <c r="AD12" s="52"/>
      <c r="AE12" s="52"/>
      <c r="AF12" s="38">
        <f t="shared" si="0"/>
        <v>305140.21999999997</v>
      </c>
    </row>
    <row r="13" spans="1:32" s="455" customFormat="1">
      <c r="A13" s="39"/>
      <c r="B13" s="40" t="s">
        <v>1548</v>
      </c>
      <c r="C13" s="40"/>
      <c r="D13" s="52"/>
      <c r="E13" s="52"/>
      <c r="F13" s="52">
        <v>187000</v>
      </c>
      <c r="G13" s="52"/>
      <c r="H13" s="52">
        <v>4500</v>
      </c>
      <c r="I13" s="52"/>
      <c r="J13" s="52"/>
      <c r="K13" s="52"/>
      <c r="L13" s="52">
        <v>36000</v>
      </c>
      <c r="M13" s="52"/>
      <c r="N13" s="52"/>
      <c r="O13" s="52"/>
      <c r="P13" s="52"/>
      <c r="Q13" s="52"/>
      <c r="R13" s="52"/>
      <c r="S13" s="52"/>
      <c r="T13" s="40">
        <v>9000</v>
      </c>
      <c r="U13" s="52">
        <v>66656.25</v>
      </c>
      <c r="V13" s="40">
        <v>39343.75</v>
      </c>
      <c r="W13" s="52"/>
      <c r="X13" s="52"/>
      <c r="Y13" s="52"/>
      <c r="Z13" s="40"/>
      <c r="AA13" s="52"/>
      <c r="AB13" s="52"/>
      <c r="AC13" s="52"/>
      <c r="AD13" s="52"/>
      <c r="AE13" s="52"/>
      <c r="AF13" s="38">
        <f t="shared" si="0"/>
        <v>342500</v>
      </c>
    </row>
    <row r="14" spans="1:32" s="1438" customFormat="1">
      <c r="A14" s="1423"/>
      <c r="B14" s="1422"/>
      <c r="C14" s="1422"/>
      <c r="D14" s="1424"/>
      <c r="E14" s="1424"/>
      <c r="F14" s="1424"/>
      <c r="G14" s="1424"/>
      <c r="H14" s="1424"/>
      <c r="I14" s="1424"/>
      <c r="J14" s="1424"/>
      <c r="K14" s="1424"/>
      <c r="L14" s="1424"/>
      <c r="M14" s="1424"/>
      <c r="N14" s="1424"/>
      <c r="O14" s="1424"/>
      <c r="P14" s="1424"/>
      <c r="Q14" s="1424"/>
      <c r="R14" s="1424"/>
      <c r="S14" s="1424"/>
      <c r="T14" s="1422"/>
      <c r="U14" s="1424"/>
      <c r="V14" s="1422"/>
      <c r="W14" s="1424"/>
      <c r="X14" s="1424"/>
      <c r="Y14" s="1424"/>
      <c r="Z14" s="1422"/>
      <c r="AA14" s="1424"/>
      <c r="AB14" s="1424"/>
      <c r="AC14" s="1424"/>
      <c r="AD14" s="1424"/>
      <c r="AE14" s="1424"/>
      <c r="AF14" s="38">
        <f t="shared" si="0"/>
        <v>0</v>
      </c>
    </row>
    <row r="15" spans="1:32" s="455" customFormat="1">
      <c r="B15" s="352" t="s">
        <v>1554</v>
      </c>
      <c r="C15" s="1439"/>
      <c r="D15" s="52"/>
      <c r="E15" s="52"/>
      <c r="F15" s="52"/>
      <c r="G15" s="1439">
        <v>63000</v>
      </c>
      <c r="H15" s="52"/>
      <c r="I15" s="52"/>
      <c r="J15" s="1439">
        <v>17000</v>
      </c>
      <c r="K15" s="52"/>
      <c r="L15" s="1439">
        <v>22500</v>
      </c>
      <c r="M15" s="52"/>
      <c r="N15" s="52"/>
      <c r="O15" s="52"/>
      <c r="P15" s="52"/>
      <c r="Q15" s="52"/>
      <c r="R15" s="52"/>
      <c r="S15" s="52"/>
      <c r="T15" s="1440">
        <v>13500</v>
      </c>
      <c r="U15" s="52"/>
      <c r="V15" s="1439"/>
      <c r="W15" s="52"/>
      <c r="X15" s="52"/>
      <c r="Y15" s="52"/>
      <c r="Z15" s="1442">
        <v>35500</v>
      </c>
      <c r="AA15" s="1439">
        <v>63000</v>
      </c>
      <c r="AB15" s="52"/>
      <c r="AC15" s="52"/>
      <c r="AD15" s="52"/>
      <c r="AE15" s="52"/>
      <c r="AF15" s="38">
        <f t="shared" si="0"/>
        <v>214500</v>
      </c>
    </row>
    <row r="16" spans="1:32" s="455" customFormat="1">
      <c r="B16" s="1441" t="s">
        <v>1555</v>
      </c>
      <c r="C16" s="1439">
        <v>80000</v>
      </c>
      <c r="D16" s="52"/>
      <c r="E16" s="52"/>
      <c r="F16" s="52"/>
      <c r="G16" s="352"/>
      <c r="H16" s="52"/>
      <c r="I16" s="52"/>
      <c r="J16" s="1439"/>
      <c r="K16" s="52"/>
      <c r="L16" s="1439"/>
      <c r="M16" s="52"/>
      <c r="N16" s="52"/>
      <c r="O16" s="52"/>
      <c r="P16" s="52"/>
      <c r="Q16" s="52"/>
      <c r="R16" s="52"/>
      <c r="S16" s="52"/>
      <c r="T16" s="40"/>
      <c r="U16" s="52"/>
      <c r="V16" s="1443">
        <v>45000</v>
      </c>
      <c r="W16" s="52"/>
      <c r="X16" s="52"/>
      <c r="Y16" s="52"/>
      <c r="Z16" s="1439"/>
      <c r="AA16" s="352"/>
      <c r="AB16" s="52"/>
      <c r="AC16" s="52"/>
      <c r="AD16" s="52"/>
      <c r="AE16" s="52"/>
      <c r="AF16" s="38">
        <f t="shared" si="0"/>
        <v>125000</v>
      </c>
    </row>
    <row r="17" spans="1:33" s="455" customFormat="1">
      <c r="B17" s="420" t="s">
        <v>1556</v>
      </c>
      <c r="C17" s="1439"/>
      <c r="D17" s="52"/>
      <c r="E17" s="52"/>
      <c r="F17" s="52"/>
      <c r="G17" s="1427">
        <v>4353000</v>
      </c>
      <c r="H17" s="52"/>
      <c r="I17" s="52"/>
      <c r="J17" s="1439"/>
      <c r="K17" s="52"/>
      <c r="L17" s="1439"/>
      <c r="M17" s="52"/>
      <c r="N17" s="52"/>
      <c r="O17" s="52"/>
      <c r="P17" s="52"/>
      <c r="Q17" s="52"/>
      <c r="R17" s="52"/>
      <c r="S17" s="52"/>
      <c r="T17" s="40"/>
      <c r="U17" s="52"/>
      <c r="V17" s="411">
        <v>96000</v>
      </c>
      <c r="W17" s="52"/>
      <c r="X17" s="52"/>
      <c r="Y17" s="52"/>
      <c r="Z17" s="1439"/>
      <c r="AA17" s="352"/>
      <c r="AB17" s="52"/>
      <c r="AC17" s="52"/>
      <c r="AD17" s="52"/>
      <c r="AE17" s="52"/>
      <c r="AF17" s="38">
        <f t="shared" si="0"/>
        <v>4449000</v>
      </c>
    </row>
    <row r="18" spans="1:33" s="455" customFormat="1">
      <c r="A18" s="39"/>
      <c r="B18" s="40"/>
      <c r="C18" s="40"/>
      <c r="D18" s="52"/>
      <c r="E18" s="52"/>
      <c r="F18" s="40"/>
      <c r="G18" s="52"/>
      <c r="H18" s="52"/>
      <c r="I18" s="52"/>
      <c r="J18" s="52"/>
      <c r="K18" s="52"/>
      <c r="L18" s="52"/>
      <c r="M18" s="52"/>
      <c r="N18" s="52"/>
      <c r="O18" s="52"/>
      <c r="P18" s="52"/>
      <c r="Q18" s="52"/>
      <c r="R18" s="52"/>
      <c r="S18" s="52"/>
      <c r="T18" s="40"/>
      <c r="U18" s="52"/>
      <c r="V18" s="40"/>
      <c r="W18" s="52"/>
      <c r="X18" s="40"/>
      <c r="Y18" s="40"/>
      <c r="Z18" s="40"/>
      <c r="AA18" s="40"/>
      <c r="AB18" s="40"/>
      <c r="AC18" s="52"/>
      <c r="AD18" s="52"/>
      <c r="AE18" s="52"/>
      <c r="AF18" s="38">
        <f t="shared" si="0"/>
        <v>0</v>
      </c>
    </row>
    <row r="19" spans="1:33" s="455" customFormat="1" ht="35.25" customHeight="1">
      <c r="A19" s="40"/>
      <c r="B19" s="44"/>
      <c r="C19" s="44"/>
      <c r="D19" s="52"/>
      <c r="E19" s="52"/>
      <c r="F19" s="52"/>
      <c r="G19" s="40"/>
      <c r="H19" s="52"/>
      <c r="I19" s="52"/>
      <c r="J19" s="40"/>
      <c r="K19" s="52"/>
      <c r="L19" s="40"/>
      <c r="M19" s="52"/>
      <c r="N19" s="52"/>
      <c r="O19" s="52"/>
      <c r="P19" s="52"/>
      <c r="Q19" s="52"/>
      <c r="R19" s="52"/>
      <c r="S19" s="52"/>
      <c r="T19" s="40"/>
      <c r="U19" s="52"/>
      <c r="V19" s="52"/>
      <c r="W19" s="52"/>
      <c r="X19" s="52"/>
      <c r="Y19" s="52"/>
      <c r="Z19" s="40"/>
      <c r="AA19" s="52"/>
      <c r="AB19" s="52"/>
      <c r="AC19" s="52"/>
      <c r="AD19" s="52"/>
      <c r="AE19" s="52"/>
      <c r="AF19" s="38">
        <f t="shared" si="0"/>
        <v>0</v>
      </c>
    </row>
    <row r="20" spans="1:33" s="2558" customFormat="1" ht="14.25">
      <c r="A20" s="2555"/>
      <c r="B20" s="2555"/>
      <c r="C20" s="2559">
        <f t="shared" ref="C20:AE20" si="1">SUM(C3:C19)</f>
        <v>190000</v>
      </c>
      <c r="D20" s="2556">
        <f t="shared" si="1"/>
        <v>0</v>
      </c>
      <c r="E20" s="2556">
        <f t="shared" si="1"/>
        <v>0</v>
      </c>
      <c r="F20" s="2559">
        <f t="shared" si="1"/>
        <v>187000</v>
      </c>
      <c r="G20" s="2559">
        <f t="shared" si="1"/>
        <v>5371500</v>
      </c>
      <c r="H20" s="2559">
        <f t="shared" si="1"/>
        <v>1004500</v>
      </c>
      <c r="I20" s="2556">
        <f t="shared" si="1"/>
        <v>0</v>
      </c>
      <c r="J20" s="2559">
        <f t="shared" si="1"/>
        <v>612000</v>
      </c>
      <c r="K20" s="2556">
        <f t="shared" si="1"/>
        <v>0</v>
      </c>
      <c r="L20" s="2559">
        <f t="shared" si="1"/>
        <v>288750</v>
      </c>
      <c r="M20" s="2556">
        <f t="shared" si="1"/>
        <v>0</v>
      </c>
      <c r="N20" s="2559">
        <f t="shared" si="1"/>
        <v>500000</v>
      </c>
      <c r="O20" s="2559">
        <f t="shared" si="1"/>
        <v>25000</v>
      </c>
      <c r="P20" s="2556">
        <f t="shared" si="1"/>
        <v>0</v>
      </c>
      <c r="Q20" s="2556">
        <f t="shared" si="1"/>
        <v>0</v>
      </c>
      <c r="R20" s="2556">
        <f t="shared" si="1"/>
        <v>0</v>
      </c>
      <c r="S20" s="2556">
        <f t="shared" si="1"/>
        <v>0</v>
      </c>
      <c r="T20" s="2559">
        <f t="shared" si="1"/>
        <v>109634</v>
      </c>
      <c r="U20" s="2559">
        <f t="shared" si="1"/>
        <v>96956.25</v>
      </c>
      <c r="V20" s="2559">
        <f t="shared" si="1"/>
        <v>3867216.64</v>
      </c>
      <c r="W20" s="2556">
        <f t="shared" si="1"/>
        <v>0</v>
      </c>
      <c r="X20" s="2559">
        <f t="shared" si="1"/>
        <v>60000</v>
      </c>
      <c r="Y20" s="2556">
        <f t="shared" si="1"/>
        <v>0</v>
      </c>
      <c r="Z20" s="2559">
        <f t="shared" si="1"/>
        <v>3425250</v>
      </c>
      <c r="AA20" s="2559">
        <f t="shared" si="1"/>
        <v>253000</v>
      </c>
      <c r="AB20" s="2559">
        <f t="shared" si="1"/>
        <v>10000</v>
      </c>
      <c r="AC20" s="2559">
        <f t="shared" si="1"/>
        <v>10000</v>
      </c>
      <c r="AD20" s="2559">
        <f t="shared" si="1"/>
        <v>44000</v>
      </c>
      <c r="AE20" s="2556">
        <f t="shared" si="1"/>
        <v>0</v>
      </c>
      <c r="AF20" s="2555">
        <f>SUM(C20:AE20)</f>
        <v>16054806.890000001</v>
      </c>
      <c r="AG20" s="2557">
        <f>SUM(AF3:AF19)</f>
        <v>16054806.890000001</v>
      </c>
    </row>
  </sheetData>
  <mergeCells count="2">
    <mergeCell ref="D1:AA1"/>
    <mergeCell ref="AC1:A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6BD64-ED6F-4E04-B5EF-6AAE3A0E5881}">
  <sheetPr>
    <tabColor rgb="FFFFC000"/>
  </sheetPr>
  <dimension ref="A2:O242"/>
  <sheetViews>
    <sheetView zoomScale="70" zoomScaleNormal="70" workbookViewId="0">
      <pane ySplit="4" topLeftCell="A227" activePane="bottomLeft" state="frozen"/>
      <selection activeCell="D1" sqref="D1"/>
      <selection pane="bottomLeft" activeCell="L242" sqref="L242"/>
    </sheetView>
  </sheetViews>
  <sheetFormatPr defaultRowHeight="15"/>
  <cols>
    <col min="2" max="2" width="7.5703125" customWidth="1"/>
    <col min="3" max="3" width="37" customWidth="1"/>
    <col min="4" max="4" width="46.42578125" customWidth="1"/>
    <col min="5" max="5" width="39.42578125" style="588" customWidth="1"/>
    <col min="6" max="6" width="16.7109375" customWidth="1"/>
    <col min="7" max="7" width="11.7109375" customWidth="1"/>
    <col min="8" max="8" width="13.7109375" customWidth="1"/>
    <col min="10" max="10" width="12.5703125" customWidth="1"/>
    <col min="11" max="11" width="25.42578125" customWidth="1"/>
    <col min="12" max="12" width="20" style="99" customWidth="1"/>
    <col min="13" max="13" width="24.85546875" customWidth="1"/>
  </cols>
  <sheetData>
    <row r="2" spans="1:14">
      <c r="C2" s="2627" t="s">
        <v>30</v>
      </c>
      <c r="D2" s="2627"/>
      <c r="E2" s="2627"/>
      <c r="F2" s="2627"/>
      <c r="G2" s="2627"/>
      <c r="H2" s="2628" t="s">
        <v>29</v>
      </c>
      <c r="I2" s="2628"/>
      <c r="J2" s="2628"/>
      <c r="K2" s="2627" t="s">
        <v>28</v>
      </c>
      <c r="L2" s="2627"/>
      <c r="M2" s="2628" t="s">
        <v>27</v>
      </c>
      <c r="N2" s="2624" t="s">
        <v>26</v>
      </c>
    </row>
    <row r="3" spans="1:14" ht="60">
      <c r="C3" s="10" t="s">
        <v>25</v>
      </c>
      <c r="D3" s="13" t="s">
        <v>24</v>
      </c>
      <c r="E3" s="12" t="s">
        <v>23</v>
      </c>
      <c r="F3" s="10" t="s">
        <v>22</v>
      </c>
      <c r="G3" s="11" t="s">
        <v>21</v>
      </c>
      <c r="H3" s="11" t="s">
        <v>20</v>
      </c>
      <c r="I3" s="11" t="s">
        <v>19</v>
      </c>
      <c r="J3" s="11" t="s">
        <v>18</v>
      </c>
      <c r="K3" s="10" t="s">
        <v>17</v>
      </c>
      <c r="L3" s="159" t="s">
        <v>16</v>
      </c>
      <c r="M3" s="2628"/>
      <c r="N3" s="2624"/>
    </row>
    <row r="4" spans="1:14" ht="24">
      <c r="C4" s="9" t="s">
        <v>15</v>
      </c>
      <c r="D4" s="9" t="s">
        <v>14</v>
      </c>
      <c r="E4" s="9" t="s">
        <v>13</v>
      </c>
      <c r="F4" s="9" t="s">
        <v>12</v>
      </c>
      <c r="G4" s="9" t="s">
        <v>11</v>
      </c>
      <c r="H4" s="9" t="s">
        <v>10</v>
      </c>
      <c r="I4" s="9" t="s">
        <v>9</v>
      </c>
      <c r="J4" s="9" t="s">
        <v>8</v>
      </c>
      <c r="K4" s="9" t="s">
        <v>7</v>
      </c>
      <c r="L4" s="160" t="s">
        <v>6</v>
      </c>
      <c r="M4" s="9" t="s">
        <v>5</v>
      </c>
      <c r="N4" s="83" t="s">
        <v>4</v>
      </c>
    </row>
    <row r="5" spans="1:14" s="412" customFormat="1" ht="14.25" customHeight="1">
      <c r="C5" s="300" t="s">
        <v>120</v>
      </c>
      <c r="D5" s="413"/>
      <c r="E5" s="414"/>
      <c r="F5" s="414"/>
      <c r="G5" s="414"/>
      <c r="H5" s="415"/>
      <c r="I5" s="415"/>
      <c r="J5" s="415"/>
      <c r="K5" s="416"/>
      <c r="L5" s="417"/>
      <c r="M5" s="416"/>
      <c r="N5" s="547"/>
    </row>
    <row r="6" spans="1:14" s="355" customFormat="1" ht="14.25" customHeight="1">
      <c r="A6" s="355" t="s">
        <v>121</v>
      </c>
      <c r="B6" s="355" t="s">
        <v>102</v>
      </c>
      <c r="C6" s="444" t="s">
        <v>115</v>
      </c>
      <c r="D6" s="438" t="s">
        <v>2</v>
      </c>
      <c r="E6" s="539" t="s">
        <v>94</v>
      </c>
      <c r="F6" s="438" t="s">
        <v>116</v>
      </c>
      <c r="G6" s="441" t="s">
        <v>1</v>
      </c>
      <c r="H6" s="504" t="s">
        <v>117</v>
      </c>
      <c r="I6" s="504" t="s">
        <v>118</v>
      </c>
      <c r="J6" s="504" t="s">
        <v>119</v>
      </c>
      <c r="K6" s="438" t="s">
        <v>98</v>
      </c>
      <c r="L6" s="505">
        <v>352165</v>
      </c>
      <c r="M6" s="438" t="s">
        <v>0</v>
      </c>
      <c r="N6" s="548"/>
    </row>
    <row r="7" spans="1:14" s="355" customFormat="1" ht="14.25" customHeight="1">
      <c r="A7" s="355" t="s">
        <v>121</v>
      </c>
      <c r="B7" s="355" t="s">
        <v>102</v>
      </c>
      <c r="C7" s="506" t="s">
        <v>122</v>
      </c>
      <c r="D7" s="349" t="s">
        <v>274</v>
      </c>
      <c r="E7" s="540" t="s">
        <v>275</v>
      </c>
      <c r="F7" s="358"/>
      <c r="G7" s="438"/>
      <c r="H7" s="441"/>
      <c r="I7" s="504"/>
      <c r="J7" s="504"/>
      <c r="K7" s="438" t="s">
        <v>104</v>
      </c>
      <c r="L7" s="32"/>
      <c r="M7" s="507"/>
      <c r="N7" s="549"/>
    </row>
    <row r="8" spans="1:14" s="355" customFormat="1" ht="14.25" customHeight="1">
      <c r="A8" s="355" t="s">
        <v>121</v>
      </c>
      <c r="B8" s="355" t="s">
        <v>102</v>
      </c>
      <c r="C8" s="506"/>
      <c r="D8" s="418" t="s">
        <v>276</v>
      </c>
      <c r="E8" s="540" t="s">
        <v>275</v>
      </c>
      <c r="F8" s="352"/>
      <c r="G8" s="438"/>
      <c r="H8" s="441"/>
      <c r="I8" s="504"/>
      <c r="J8" s="504"/>
      <c r="K8" s="504"/>
      <c r="L8" s="409"/>
      <c r="M8" s="507"/>
      <c r="N8" s="549"/>
    </row>
    <row r="9" spans="1:14" s="355" customFormat="1" ht="14.25" customHeight="1">
      <c r="A9" s="355" t="s">
        <v>121</v>
      </c>
      <c r="B9" s="355" t="s">
        <v>102</v>
      </c>
      <c r="C9" s="438"/>
      <c r="D9" s="349" t="s">
        <v>277</v>
      </c>
      <c r="E9" s="540" t="s">
        <v>275</v>
      </c>
      <c r="F9" s="358"/>
      <c r="G9" s="438"/>
      <c r="H9" s="441"/>
      <c r="I9" s="504"/>
      <c r="J9" s="504"/>
      <c r="K9" s="504"/>
      <c r="L9" s="409"/>
      <c r="M9" s="507"/>
      <c r="N9" s="549"/>
    </row>
    <row r="10" spans="1:14" s="355" customFormat="1" ht="14.25" customHeight="1">
      <c r="A10" s="355" t="s">
        <v>121</v>
      </c>
      <c r="B10" s="355" t="s">
        <v>102</v>
      </c>
      <c r="C10" s="438"/>
      <c r="D10" s="349" t="s">
        <v>278</v>
      </c>
      <c r="E10" s="540" t="s">
        <v>279</v>
      </c>
      <c r="F10" s="358"/>
      <c r="G10" s="438"/>
      <c r="H10" s="441"/>
      <c r="I10" s="504"/>
      <c r="J10" s="504"/>
      <c r="K10" s="504"/>
      <c r="L10" s="409"/>
      <c r="M10" s="507"/>
      <c r="N10" s="549"/>
    </row>
    <row r="11" spans="1:14" s="355" customFormat="1" ht="14.25" customHeight="1">
      <c r="A11" s="355" t="s">
        <v>121</v>
      </c>
      <c r="B11" s="355" t="s">
        <v>102</v>
      </c>
      <c r="C11" s="352"/>
      <c r="D11" s="419" t="s">
        <v>281</v>
      </c>
      <c r="E11" s="540" t="s">
        <v>280</v>
      </c>
      <c r="F11" s="420"/>
      <c r="G11" s="438"/>
      <c r="H11" s="441"/>
      <c r="I11" s="504"/>
      <c r="J11" s="504"/>
      <c r="K11" s="504"/>
      <c r="L11" s="409"/>
      <c r="M11" s="507"/>
      <c r="N11" s="549"/>
    </row>
    <row r="12" spans="1:14" s="355" customFormat="1" ht="24" customHeight="1">
      <c r="A12" s="355" t="s">
        <v>121</v>
      </c>
      <c r="B12" s="355" t="s">
        <v>102</v>
      </c>
      <c r="C12" s="438"/>
      <c r="D12" s="421" t="s">
        <v>282</v>
      </c>
      <c r="E12" s="540" t="s">
        <v>283</v>
      </c>
      <c r="F12" s="422"/>
      <c r="G12" s="438"/>
      <c r="H12" s="441"/>
      <c r="I12" s="504"/>
      <c r="J12" s="504"/>
      <c r="K12" s="504"/>
      <c r="L12" s="409"/>
      <c r="M12" s="507"/>
      <c r="N12" s="549"/>
    </row>
    <row r="13" spans="1:14" s="355" customFormat="1" ht="14.25" customHeight="1">
      <c r="A13" s="355" t="s">
        <v>121</v>
      </c>
      <c r="B13" s="355" t="s">
        <v>102</v>
      </c>
      <c r="C13" s="438"/>
      <c r="D13" s="349" t="s">
        <v>284</v>
      </c>
      <c r="E13" s="540" t="s">
        <v>283</v>
      </c>
      <c r="F13" s="358"/>
      <c r="G13" s="438"/>
      <c r="H13" s="441"/>
      <c r="I13" s="504"/>
      <c r="J13" s="504"/>
      <c r="K13" s="504"/>
      <c r="L13" s="409"/>
      <c r="M13" s="507"/>
      <c r="N13" s="549"/>
    </row>
    <row r="14" spans="1:14" s="355" customFormat="1" ht="14.25" customHeight="1">
      <c r="A14" s="355" t="s">
        <v>121</v>
      </c>
      <c r="B14" s="355" t="s">
        <v>102</v>
      </c>
      <c r="C14" s="438"/>
      <c r="D14" s="349" t="s">
        <v>285</v>
      </c>
      <c r="E14" s="540" t="s">
        <v>275</v>
      </c>
      <c r="F14" s="358"/>
      <c r="G14" s="438"/>
      <c r="H14" s="441"/>
      <c r="I14" s="504"/>
      <c r="J14" s="504"/>
      <c r="K14" s="504"/>
      <c r="L14" s="409"/>
      <c r="M14" s="507"/>
      <c r="N14" s="549"/>
    </row>
    <row r="15" spans="1:14" s="355" customFormat="1" ht="14.25" customHeight="1">
      <c r="A15" s="355" t="s">
        <v>121</v>
      </c>
      <c r="B15" s="355" t="s">
        <v>102</v>
      </c>
      <c r="C15" s="438"/>
      <c r="D15" s="349" t="s">
        <v>286</v>
      </c>
      <c r="E15" s="540" t="s">
        <v>287</v>
      </c>
      <c r="F15" s="358"/>
      <c r="G15" s="438"/>
      <c r="H15" s="441"/>
      <c r="I15" s="504"/>
      <c r="J15" s="504"/>
      <c r="K15" s="504"/>
      <c r="L15" s="409"/>
      <c r="M15" s="507"/>
      <c r="N15" s="549"/>
    </row>
    <row r="16" spans="1:14" s="355" customFormat="1" ht="14.25" customHeight="1">
      <c r="A16" s="355" t="s">
        <v>121</v>
      </c>
      <c r="B16" s="355" t="s">
        <v>102</v>
      </c>
      <c r="C16" s="438"/>
      <c r="D16" s="349" t="s">
        <v>288</v>
      </c>
      <c r="E16" s="540" t="s">
        <v>283</v>
      </c>
      <c r="F16" s="358"/>
      <c r="G16" s="438"/>
      <c r="H16" s="441"/>
      <c r="I16" s="504"/>
      <c r="J16" s="504"/>
      <c r="K16" s="504"/>
      <c r="L16" s="409"/>
      <c r="M16" s="507"/>
      <c r="N16" s="549"/>
    </row>
    <row r="17" spans="1:14" s="355" customFormat="1" ht="14.25" customHeight="1">
      <c r="A17" s="355" t="s">
        <v>121</v>
      </c>
      <c r="B17" s="355" t="s">
        <v>102</v>
      </c>
      <c r="C17" s="438"/>
      <c r="D17" s="349" t="s">
        <v>289</v>
      </c>
      <c r="E17" s="540" t="s">
        <v>283</v>
      </c>
      <c r="F17" s="358"/>
      <c r="G17" s="438"/>
      <c r="H17" s="441"/>
      <c r="I17" s="504"/>
      <c r="J17" s="504"/>
      <c r="K17" s="504"/>
      <c r="L17" s="409"/>
      <c r="M17" s="507"/>
      <c r="N17" s="549"/>
    </row>
    <row r="18" spans="1:14" s="355" customFormat="1" ht="14.25" customHeight="1">
      <c r="A18" s="355" t="s">
        <v>121</v>
      </c>
      <c r="B18" s="355" t="s">
        <v>102</v>
      </c>
      <c r="C18" s="438"/>
      <c r="D18" s="349" t="s">
        <v>290</v>
      </c>
      <c r="E18" s="540" t="s">
        <v>283</v>
      </c>
      <c r="F18" s="358"/>
      <c r="G18" s="438"/>
      <c r="H18" s="441"/>
      <c r="I18" s="504"/>
      <c r="J18" s="504"/>
      <c r="K18" s="504"/>
      <c r="L18" s="409"/>
      <c r="M18" s="507"/>
      <c r="N18" s="549"/>
    </row>
    <row r="19" spans="1:14" s="355" customFormat="1" ht="14.25" customHeight="1">
      <c r="A19" s="355" t="s">
        <v>121</v>
      </c>
      <c r="B19" s="355" t="s">
        <v>102</v>
      </c>
      <c r="C19" s="438"/>
      <c r="D19" s="349" t="s">
        <v>291</v>
      </c>
      <c r="E19" s="540" t="s">
        <v>283</v>
      </c>
      <c r="F19" s="358"/>
      <c r="G19" s="438"/>
      <c r="H19" s="441"/>
      <c r="I19" s="504"/>
      <c r="J19" s="504"/>
      <c r="K19" s="504"/>
      <c r="L19" s="409"/>
      <c r="M19" s="507"/>
      <c r="N19" s="549"/>
    </row>
    <row r="20" spans="1:14" s="355" customFormat="1" ht="14.25" customHeight="1">
      <c r="A20" s="355" t="s">
        <v>121</v>
      </c>
      <c r="B20" s="355" t="s">
        <v>102</v>
      </c>
      <c r="C20" s="438"/>
      <c r="D20" s="349" t="s">
        <v>293</v>
      </c>
      <c r="E20" s="540" t="s">
        <v>292</v>
      </c>
      <c r="F20" s="358"/>
      <c r="G20" s="438"/>
      <c r="H20" s="441"/>
      <c r="I20" s="504"/>
      <c r="J20" s="504"/>
      <c r="K20" s="504"/>
      <c r="L20" s="409"/>
      <c r="M20" s="507"/>
      <c r="N20" s="549"/>
    </row>
    <row r="21" spans="1:14" s="355" customFormat="1" ht="14.25" customHeight="1">
      <c r="A21" s="355" t="s">
        <v>121</v>
      </c>
      <c r="B21" s="355" t="s">
        <v>102</v>
      </c>
      <c r="C21" s="438"/>
      <c r="D21" s="349" t="s">
        <v>294</v>
      </c>
      <c r="E21" s="540" t="s">
        <v>279</v>
      </c>
      <c r="F21" s="358"/>
      <c r="G21" s="438"/>
      <c r="H21" s="441"/>
      <c r="I21" s="504"/>
      <c r="J21" s="504"/>
      <c r="K21" s="504"/>
      <c r="L21" s="409"/>
      <c r="M21" s="507"/>
      <c r="N21" s="549"/>
    </row>
    <row r="22" spans="1:14" s="355" customFormat="1" ht="14.25" customHeight="1">
      <c r="A22" s="355" t="s">
        <v>121</v>
      </c>
      <c r="B22" s="355" t="s">
        <v>102</v>
      </c>
      <c r="C22" s="438"/>
      <c r="D22" s="423" t="s">
        <v>295</v>
      </c>
      <c r="E22" s="540" t="s">
        <v>262</v>
      </c>
      <c r="F22" s="424"/>
      <c r="G22" s="438"/>
      <c r="H22" s="441"/>
      <c r="I22" s="504"/>
      <c r="J22" s="504"/>
      <c r="K22" s="504"/>
      <c r="L22" s="409"/>
      <c r="M22" s="507"/>
      <c r="N22" s="549"/>
    </row>
    <row r="23" spans="1:14" s="355" customFormat="1" ht="54">
      <c r="A23" s="355" t="s">
        <v>121</v>
      </c>
      <c r="B23" s="355" t="s">
        <v>102</v>
      </c>
      <c r="C23" s="438"/>
      <c r="D23" s="425" t="s">
        <v>299</v>
      </c>
      <c r="E23" s="546" t="s">
        <v>280</v>
      </c>
      <c r="F23" s="426"/>
      <c r="G23" s="438"/>
      <c r="H23" s="441"/>
      <c r="I23" s="504"/>
      <c r="J23" s="504"/>
      <c r="K23" s="504"/>
      <c r="L23" s="409"/>
      <c r="M23" s="507"/>
      <c r="N23" s="549"/>
    </row>
    <row r="24" spans="1:14" s="355" customFormat="1" ht="14.25" customHeight="1">
      <c r="A24" s="355" t="s">
        <v>121</v>
      </c>
      <c r="B24" s="355" t="s">
        <v>102</v>
      </c>
      <c r="C24" s="438"/>
      <c r="D24" s="423" t="s">
        <v>300</v>
      </c>
      <c r="E24" s="540" t="s">
        <v>296</v>
      </c>
      <c r="F24" s="424"/>
      <c r="G24" s="438"/>
      <c r="H24" s="441"/>
      <c r="I24" s="504"/>
      <c r="J24" s="504"/>
      <c r="K24" s="504"/>
      <c r="L24" s="409"/>
      <c r="M24" s="507"/>
      <c r="N24" s="549"/>
    </row>
    <row r="25" spans="1:14" s="355" customFormat="1" ht="14.25" customHeight="1">
      <c r="A25" s="355" t="s">
        <v>121</v>
      </c>
      <c r="B25" s="355" t="s">
        <v>102</v>
      </c>
      <c r="C25" s="438"/>
      <c r="D25" s="423" t="s">
        <v>301</v>
      </c>
      <c r="E25" s="540" t="s">
        <v>262</v>
      </c>
      <c r="F25" s="424"/>
      <c r="G25" s="438"/>
      <c r="H25" s="441"/>
      <c r="I25" s="504"/>
      <c r="J25" s="504"/>
      <c r="K25" s="504"/>
      <c r="L25" s="409"/>
      <c r="M25" s="507"/>
      <c r="N25" s="549"/>
    </row>
    <row r="26" spans="1:14" s="355" customFormat="1" ht="14.25" customHeight="1">
      <c r="A26" s="355" t="s">
        <v>121</v>
      </c>
      <c r="B26" s="355" t="s">
        <v>102</v>
      </c>
      <c r="C26" s="438"/>
      <c r="D26" s="423" t="s">
        <v>302</v>
      </c>
      <c r="E26" s="540" t="s">
        <v>262</v>
      </c>
      <c r="F26" s="424"/>
      <c r="G26" s="438"/>
      <c r="H26" s="441"/>
      <c r="I26" s="504"/>
      <c r="J26" s="504"/>
      <c r="K26" s="504"/>
      <c r="L26" s="409"/>
      <c r="M26" s="507"/>
      <c r="N26" s="549"/>
    </row>
    <row r="27" spans="1:14" s="355" customFormat="1" ht="14.25" customHeight="1">
      <c r="A27" s="355" t="s">
        <v>121</v>
      </c>
      <c r="B27" s="355" t="s">
        <v>102</v>
      </c>
      <c r="C27" s="438"/>
      <c r="D27" s="423" t="s">
        <v>294</v>
      </c>
      <c r="E27" s="541" t="s">
        <v>257</v>
      </c>
      <c r="F27" s="424"/>
      <c r="G27" s="438"/>
      <c r="H27" s="441"/>
      <c r="I27" s="504"/>
      <c r="J27" s="504"/>
      <c r="K27" s="504"/>
      <c r="L27" s="409"/>
      <c r="M27" s="507"/>
      <c r="N27" s="549"/>
    </row>
    <row r="28" spans="1:14" s="355" customFormat="1" ht="14.25" customHeight="1">
      <c r="A28" s="355" t="s">
        <v>121</v>
      </c>
      <c r="B28" s="355" t="s">
        <v>102</v>
      </c>
      <c r="C28" s="438"/>
      <c r="D28" s="423" t="s">
        <v>303</v>
      </c>
      <c r="E28" s="541" t="s">
        <v>257</v>
      </c>
      <c r="F28" s="424"/>
      <c r="G28" s="438"/>
      <c r="H28" s="441"/>
      <c r="I28" s="504"/>
      <c r="J28" s="504"/>
      <c r="K28" s="504"/>
      <c r="L28" s="409"/>
      <c r="M28" s="507"/>
      <c r="N28" s="549"/>
    </row>
    <row r="29" spans="1:14" s="355" customFormat="1" ht="14.25" customHeight="1">
      <c r="A29" s="355" t="s">
        <v>121</v>
      </c>
      <c r="B29" s="355" t="s">
        <v>102</v>
      </c>
      <c r="C29" s="438"/>
      <c r="D29" s="423" t="s">
        <v>304</v>
      </c>
      <c r="E29" s="541" t="s">
        <v>275</v>
      </c>
      <c r="F29" s="424"/>
      <c r="G29" s="438"/>
      <c r="H29" s="441"/>
      <c r="I29" s="504"/>
      <c r="J29" s="504"/>
      <c r="K29" s="504"/>
      <c r="L29" s="409"/>
      <c r="M29" s="507"/>
      <c r="N29" s="549"/>
    </row>
    <row r="30" spans="1:14" s="355" customFormat="1" ht="14.25" customHeight="1">
      <c r="A30" s="355" t="s">
        <v>121</v>
      </c>
      <c r="B30" s="355" t="s">
        <v>102</v>
      </c>
      <c r="C30" s="438"/>
      <c r="D30" s="423" t="s">
        <v>305</v>
      </c>
      <c r="E30" s="541" t="s">
        <v>280</v>
      </c>
      <c r="F30" s="424"/>
      <c r="G30" s="438"/>
      <c r="H30" s="441"/>
      <c r="I30" s="504"/>
      <c r="J30" s="504"/>
      <c r="K30" s="504"/>
      <c r="L30" s="409"/>
      <c r="M30" s="507"/>
      <c r="N30" s="549"/>
    </row>
    <row r="31" spans="1:14" s="355" customFormat="1" ht="14.25" customHeight="1">
      <c r="A31" s="355" t="s">
        <v>121</v>
      </c>
      <c r="B31" s="355" t="s">
        <v>102</v>
      </c>
      <c r="C31" s="438"/>
      <c r="D31" s="423" t="s">
        <v>306</v>
      </c>
      <c r="E31" s="541" t="s">
        <v>283</v>
      </c>
      <c r="F31" s="424"/>
      <c r="G31" s="438"/>
      <c r="H31" s="441"/>
      <c r="I31" s="504"/>
      <c r="J31" s="504"/>
      <c r="K31" s="504"/>
      <c r="L31" s="409"/>
      <c r="M31" s="507"/>
      <c r="N31" s="549"/>
    </row>
    <row r="32" spans="1:14" s="355" customFormat="1" ht="14.25" customHeight="1">
      <c r="A32" s="355" t="s">
        <v>121</v>
      </c>
      <c r="B32" s="355" t="s">
        <v>102</v>
      </c>
      <c r="C32" s="438"/>
      <c r="D32" s="423" t="s">
        <v>312</v>
      </c>
      <c r="E32" s="541" t="s">
        <v>280</v>
      </c>
      <c r="F32" s="424"/>
      <c r="G32" s="438"/>
      <c r="H32" s="441"/>
      <c r="I32" s="504"/>
      <c r="J32" s="504"/>
      <c r="K32" s="504"/>
      <c r="L32" s="409"/>
      <c r="M32" s="507"/>
      <c r="N32" s="549"/>
    </row>
    <row r="33" spans="1:14" s="355" customFormat="1" ht="25.5" customHeight="1">
      <c r="A33" s="355" t="s">
        <v>121</v>
      </c>
      <c r="B33" s="355" t="s">
        <v>102</v>
      </c>
      <c r="C33" s="438"/>
      <c r="D33" s="425" t="s">
        <v>311</v>
      </c>
      <c r="E33" s="542" t="s">
        <v>297</v>
      </c>
      <c r="F33" s="426"/>
      <c r="G33" s="438"/>
      <c r="H33" s="441"/>
      <c r="I33" s="504"/>
      <c r="J33" s="504"/>
      <c r="K33" s="504"/>
      <c r="L33" s="409"/>
      <c r="M33" s="507"/>
      <c r="N33" s="549"/>
    </row>
    <row r="34" spans="1:14" s="355" customFormat="1" ht="27.75" customHeight="1">
      <c r="A34" s="355" t="s">
        <v>121</v>
      </c>
      <c r="B34" s="355" t="s">
        <v>102</v>
      </c>
      <c r="C34" s="438"/>
      <c r="D34" s="425" t="s">
        <v>310</v>
      </c>
      <c r="E34" s="542" t="s">
        <v>297</v>
      </c>
      <c r="F34" s="426"/>
      <c r="G34" s="438"/>
      <c r="H34" s="441"/>
      <c r="I34" s="504"/>
      <c r="J34" s="504"/>
      <c r="K34" s="504"/>
      <c r="L34" s="409"/>
      <c r="M34" s="507"/>
      <c r="N34" s="549"/>
    </row>
    <row r="35" spans="1:14" s="355" customFormat="1" ht="14.25" customHeight="1">
      <c r="A35" s="355" t="s">
        <v>121</v>
      </c>
      <c r="B35" s="355" t="s">
        <v>102</v>
      </c>
      <c r="C35" s="438"/>
      <c r="D35" s="423" t="s">
        <v>309</v>
      </c>
      <c r="E35" s="541" t="s">
        <v>298</v>
      </c>
      <c r="F35" s="424"/>
      <c r="G35" s="438"/>
      <c r="H35" s="441"/>
      <c r="I35" s="504"/>
      <c r="J35" s="504"/>
      <c r="K35" s="504"/>
      <c r="L35" s="409"/>
      <c r="M35" s="507"/>
      <c r="N35" s="549"/>
    </row>
    <row r="36" spans="1:14" s="355" customFormat="1" ht="14.25" customHeight="1">
      <c r="A36" s="355" t="s">
        <v>121</v>
      </c>
      <c r="B36" s="355" t="s">
        <v>102</v>
      </c>
      <c r="C36" s="438"/>
      <c r="D36" s="423" t="s">
        <v>307</v>
      </c>
      <c r="E36" s="541" t="s">
        <v>259</v>
      </c>
      <c r="F36" s="424"/>
      <c r="G36" s="438"/>
      <c r="H36" s="441"/>
      <c r="I36" s="504"/>
      <c r="J36" s="504"/>
      <c r="K36" s="504"/>
      <c r="L36" s="409"/>
      <c r="M36" s="507"/>
      <c r="N36" s="549"/>
    </row>
    <row r="37" spans="1:14" s="355" customFormat="1" ht="14.25" customHeight="1">
      <c r="A37" s="355" t="s">
        <v>121</v>
      </c>
      <c r="B37" s="355" t="s">
        <v>102</v>
      </c>
      <c r="C37" s="438"/>
      <c r="D37" s="423" t="s">
        <v>308</v>
      </c>
      <c r="E37" s="541" t="s">
        <v>283</v>
      </c>
      <c r="F37" s="424"/>
      <c r="G37" s="438"/>
      <c r="H37" s="441"/>
      <c r="I37" s="504"/>
      <c r="J37" s="504"/>
      <c r="K37" s="504"/>
      <c r="L37" s="409"/>
      <c r="M37" s="507"/>
      <c r="N37" s="549"/>
    </row>
    <row r="38" spans="1:14" s="355" customFormat="1" ht="14.25" customHeight="1">
      <c r="A38" s="355" t="s">
        <v>121</v>
      </c>
      <c r="B38" s="355" t="s">
        <v>102</v>
      </c>
      <c r="C38" s="444" t="s">
        <v>115</v>
      </c>
      <c r="D38" s="438" t="s">
        <v>2</v>
      </c>
      <c r="E38" s="539" t="s">
        <v>94</v>
      </c>
      <c r="F38" s="438" t="s">
        <v>116</v>
      </c>
      <c r="G38" s="441" t="s">
        <v>1</v>
      </c>
      <c r="H38" s="504" t="s">
        <v>117</v>
      </c>
      <c r="I38" s="504" t="s">
        <v>118</v>
      </c>
      <c r="J38" s="504" t="s">
        <v>119</v>
      </c>
      <c r="K38" s="438" t="s">
        <v>98</v>
      </c>
      <c r="L38" s="505">
        <v>239995</v>
      </c>
      <c r="M38" s="438" t="s">
        <v>0</v>
      </c>
      <c r="N38" s="548"/>
    </row>
    <row r="39" spans="1:14" s="355" customFormat="1" ht="14.25" customHeight="1">
      <c r="A39" s="355" t="s">
        <v>121</v>
      </c>
      <c r="B39" s="355" t="s">
        <v>102</v>
      </c>
      <c r="C39" s="506" t="s">
        <v>122</v>
      </c>
      <c r="D39" s="349" t="s">
        <v>326</v>
      </c>
      <c r="E39" s="543" t="s">
        <v>315</v>
      </c>
      <c r="F39" s="438"/>
      <c r="G39" s="441"/>
      <c r="H39" s="504"/>
      <c r="I39" s="504"/>
      <c r="J39" s="504"/>
      <c r="K39" s="438" t="s">
        <v>104</v>
      </c>
      <c r="L39" s="505"/>
      <c r="M39" s="438"/>
      <c r="N39" s="548"/>
    </row>
    <row r="40" spans="1:14" s="355" customFormat="1" ht="14.25" customHeight="1">
      <c r="A40" s="355" t="s">
        <v>121</v>
      </c>
      <c r="B40" s="355" t="s">
        <v>102</v>
      </c>
      <c r="C40" s="438"/>
      <c r="D40" s="418" t="s">
        <v>327</v>
      </c>
      <c r="E40" s="544" t="s">
        <v>275</v>
      </c>
      <c r="F40" s="352"/>
      <c r="G40" s="438"/>
      <c r="H40" s="441"/>
      <c r="I40" s="504"/>
      <c r="J40" s="504"/>
      <c r="K40" s="504"/>
      <c r="L40" s="409"/>
      <c r="M40" s="507"/>
      <c r="N40" s="549"/>
    </row>
    <row r="41" spans="1:14" s="355" customFormat="1" ht="14.25" customHeight="1">
      <c r="A41" s="355" t="s">
        <v>121</v>
      </c>
      <c r="B41" s="355" t="s">
        <v>102</v>
      </c>
      <c r="C41" s="438"/>
      <c r="D41" s="349" t="s">
        <v>302</v>
      </c>
      <c r="E41" s="543" t="s">
        <v>262</v>
      </c>
      <c r="F41" s="358"/>
      <c r="G41" s="438"/>
      <c r="H41" s="441"/>
      <c r="I41" s="504"/>
      <c r="J41" s="504"/>
      <c r="K41" s="504"/>
      <c r="L41" s="409"/>
      <c r="M41" s="507"/>
      <c r="N41" s="549"/>
    </row>
    <row r="42" spans="1:14" s="355" customFormat="1" ht="14.25" customHeight="1">
      <c r="A42" s="355" t="s">
        <v>121</v>
      </c>
      <c r="B42" s="355" t="s">
        <v>102</v>
      </c>
      <c r="C42" s="438"/>
      <c r="D42" s="349" t="s">
        <v>328</v>
      </c>
      <c r="E42" s="543" t="s">
        <v>259</v>
      </c>
      <c r="F42" s="358"/>
      <c r="G42" s="438"/>
      <c r="H42" s="441"/>
      <c r="I42" s="504"/>
      <c r="J42" s="504"/>
      <c r="K42" s="504"/>
      <c r="L42" s="409"/>
      <c r="M42" s="507"/>
      <c r="N42" s="549"/>
    </row>
    <row r="43" spans="1:14" s="355" customFormat="1" ht="14.25" customHeight="1">
      <c r="A43" s="355" t="s">
        <v>121</v>
      </c>
      <c r="B43" s="355" t="s">
        <v>102</v>
      </c>
      <c r="C43" s="352"/>
      <c r="D43" s="418" t="s">
        <v>329</v>
      </c>
      <c r="E43" s="544" t="s">
        <v>259</v>
      </c>
      <c r="F43" s="352"/>
      <c r="G43" s="438"/>
      <c r="H43" s="441"/>
      <c r="I43" s="504"/>
      <c r="J43" s="504"/>
      <c r="K43" s="504"/>
      <c r="L43" s="409"/>
      <c r="M43" s="507"/>
      <c r="N43" s="549"/>
    </row>
    <row r="44" spans="1:14" s="355" customFormat="1" ht="14.25" customHeight="1">
      <c r="A44" s="355" t="s">
        <v>121</v>
      </c>
      <c r="B44" s="355" t="s">
        <v>102</v>
      </c>
      <c r="C44" s="438"/>
      <c r="D44" s="349" t="s">
        <v>330</v>
      </c>
      <c r="E44" s="543" t="s">
        <v>262</v>
      </c>
      <c r="F44" s="358"/>
      <c r="G44" s="438"/>
      <c r="H44" s="441"/>
      <c r="I44" s="504"/>
      <c r="J44" s="504"/>
      <c r="K44" s="504"/>
      <c r="L44" s="409"/>
      <c r="M44" s="507"/>
      <c r="N44" s="549"/>
    </row>
    <row r="45" spans="1:14" s="355" customFormat="1" ht="14.25" customHeight="1">
      <c r="A45" s="355" t="s">
        <v>121</v>
      </c>
      <c r="B45" s="355" t="s">
        <v>102</v>
      </c>
      <c r="C45" s="438"/>
      <c r="D45" s="349" t="s">
        <v>331</v>
      </c>
      <c r="E45" s="543" t="s">
        <v>316</v>
      </c>
      <c r="F45" s="358"/>
      <c r="G45" s="438"/>
      <c r="H45" s="441"/>
      <c r="I45" s="504"/>
      <c r="J45" s="504"/>
      <c r="K45" s="504"/>
      <c r="L45" s="409"/>
      <c r="M45" s="507"/>
      <c r="N45" s="549"/>
    </row>
    <row r="46" spans="1:14" s="355" customFormat="1" ht="14.25" customHeight="1">
      <c r="A46" s="355" t="s">
        <v>121</v>
      </c>
      <c r="B46" s="355" t="s">
        <v>102</v>
      </c>
      <c r="C46" s="438"/>
      <c r="D46" s="349" t="s">
        <v>326</v>
      </c>
      <c r="E46" s="543" t="s">
        <v>317</v>
      </c>
      <c r="F46" s="358"/>
      <c r="G46" s="438"/>
      <c r="H46" s="441"/>
      <c r="I46" s="504"/>
      <c r="J46" s="504"/>
      <c r="K46" s="504"/>
      <c r="L46" s="409"/>
      <c r="M46" s="507"/>
      <c r="N46" s="549"/>
    </row>
    <row r="47" spans="1:14" s="355" customFormat="1" ht="14.25" customHeight="1">
      <c r="A47" s="355" t="s">
        <v>121</v>
      </c>
      <c r="B47" s="355" t="s">
        <v>102</v>
      </c>
      <c r="C47" s="438"/>
      <c r="D47" s="349" t="s">
        <v>327</v>
      </c>
      <c r="E47" s="543" t="s">
        <v>262</v>
      </c>
      <c r="F47" s="358"/>
      <c r="G47" s="438"/>
      <c r="H47" s="441"/>
      <c r="I47" s="504"/>
      <c r="J47" s="504"/>
      <c r="K47" s="504"/>
      <c r="L47" s="409"/>
      <c r="M47" s="507"/>
      <c r="N47" s="549"/>
    </row>
    <row r="48" spans="1:14" s="355" customFormat="1" ht="14.25" customHeight="1">
      <c r="A48" s="355" t="s">
        <v>121</v>
      </c>
      <c r="B48" s="355" t="s">
        <v>102</v>
      </c>
      <c r="C48" s="438"/>
      <c r="D48" s="349" t="s">
        <v>302</v>
      </c>
      <c r="E48" s="543" t="s">
        <v>275</v>
      </c>
      <c r="F48" s="358"/>
      <c r="G48" s="438"/>
      <c r="H48" s="441"/>
      <c r="I48" s="504"/>
      <c r="J48" s="504"/>
      <c r="K48" s="504"/>
      <c r="L48" s="409"/>
      <c r="M48" s="507"/>
      <c r="N48" s="549"/>
    </row>
    <row r="49" spans="1:14" s="355" customFormat="1" ht="14.25" customHeight="1">
      <c r="A49" s="355" t="s">
        <v>121</v>
      </c>
      <c r="B49" s="355" t="s">
        <v>102</v>
      </c>
      <c r="C49" s="438"/>
      <c r="D49" s="349" t="s">
        <v>332</v>
      </c>
      <c r="E49" s="543" t="s">
        <v>275</v>
      </c>
      <c r="F49" s="358"/>
      <c r="G49" s="438"/>
      <c r="H49" s="441"/>
      <c r="I49" s="504"/>
      <c r="J49" s="504"/>
      <c r="K49" s="504"/>
      <c r="L49" s="409"/>
      <c r="M49" s="507"/>
      <c r="N49" s="549"/>
    </row>
    <row r="50" spans="1:14" s="355" customFormat="1" ht="14.25" customHeight="1">
      <c r="A50" s="355" t="s">
        <v>121</v>
      </c>
      <c r="B50" s="355" t="s">
        <v>102</v>
      </c>
      <c r="C50" s="438"/>
      <c r="D50" s="349" t="s">
        <v>333</v>
      </c>
      <c r="E50" s="543" t="s">
        <v>317</v>
      </c>
      <c r="F50" s="358"/>
      <c r="G50" s="438"/>
      <c r="H50" s="441"/>
      <c r="I50" s="504"/>
      <c r="J50" s="504"/>
      <c r="K50" s="504"/>
      <c r="L50" s="409"/>
      <c r="M50" s="507"/>
      <c r="N50" s="549"/>
    </row>
    <row r="51" spans="1:14" s="355" customFormat="1" ht="14.25" customHeight="1">
      <c r="A51" s="355" t="s">
        <v>121</v>
      </c>
      <c r="B51" s="355" t="s">
        <v>102</v>
      </c>
      <c r="C51" s="438"/>
      <c r="D51" s="349" t="s">
        <v>334</v>
      </c>
      <c r="E51" s="543" t="s">
        <v>251</v>
      </c>
      <c r="F51" s="358"/>
      <c r="G51" s="438"/>
      <c r="H51" s="441"/>
      <c r="I51" s="504"/>
      <c r="J51" s="504"/>
      <c r="K51" s="504"/>
      <c r="L51" s="409"/>
      <c r="M51" s="507"/>
      <c r="N51" s="549"/>
    </row>
    <row r="52" spans="1:14" s="355" customFormat="1" ht="14.25" customHeight="1">
      <c r="A52" s="355" t="s">
        <v>121</v>
      </c>
      <c r="B52" s="355" t="s">
        <v>102</v>
      </c>
      <c r="C52" s="438"/>
      <c r="D52" s="349" t="s">
        <v>335</v>
      </c>
      <c r="E52" s="543" t="s">
        <v>318</v>
      </c>
      <c r="F52" s="358"/>
      <c r="G52" s="438"/>
      <c r="H52" s="441"/>
      <c r="I52" s="504"/>
      <c r="J52" s="504"/>
      <c r="K52" s="504"/>
      <c r="L52" s="409"/>
      <c r="M52" s="507"/>
      <c r="N52" s="549"/>
    </row>
    <row r="53" spans="1:14" s="355" customFormat="1" ht="14.25" customHeight="1">
      <c r="A53" s="355" t="s">
        <v>121</v>
      </c>
      <c r="B53" s="355" t="s">
        <v>102</v>
      </c>
      <c r="C53" s="438"/>
      <c r="D53" s="349" t="s">
        <v>336</v>
      </c>
      <c r="E53" s="543" t="s">
        <v>262</v>
      </c>
      <c r="F53" s="358"/>
      <c r="G53" s="438"/>
      <c r="H53" s="441"/>
      <c r="I53" s="504"/>
      <c r="J53" s="504"/>
      <c r="K53" s="504"/>
      <c r="L53" s="409"/>
      <c r="M53" s="507"/>
      <c r="N53" s="549"/>
    </row>
    <row r="54" spans="1:14" s="355" customFormat="1" ht="14.25" customHeight="1">
      <c r="A54" s="355" t="s">
        <v>121</v>
      </c>
      <c r="B54" s="355" t="s">
        <v>102</v>
      </c>
      <c r="C54" s="438"/>
      <c r="D54" s="423" t="s">
        <v>337</v>
      </c>
      <c r="E54" s="541" t="s">
        <v>262</v>
      </c>
      <c r="F54" s="424"/>
      <c r="G54" s="438"/>
      <c r="H54" s="441"/>
      <c r="I54" s="504"/>
      <c r="J54" s="504"/>
      <c r="K54" s="504"/>
      <c r="L54" s="409"/>
      <c r="M54" s="507"/>
      <c r="N54" s="549"/>
    </row>
    <row r="55" spans="1:14" s="355" customFormat="1" ht="14.25" customHeight="1">
      <c r="A55" s="355" t="s">
        <v>121</v>
      </c>
      <c r="B55" s="355" t="s">
        <v>102</v>
      </c>
      <c r="C55" s="438"/>
      <c r="D55" s="425" t="s">
        <v>339</v>
      </c>
      <c r="E55" s="542" t="s">
        <v>262</v>
      </c>
      <c r="F55" s="426"/>
      <c r="G55" s="438"/>
      <c r="H55" s="441"/>
      <c r="I55" s="504"/>
      <c r="J55" s="504"/>
      <c r="K55" s="504"/>
      <c r="L55" s="409"/>
      <c r="M55" s="507"/>
      <c r="N55" s="549"/>
    </row>
    <row r="56" spans="1:14" s="355" customFormat="1" ht="14.25" customHeight="1">
      <c r="A56" s="355" t="s">
        <v>121</v>
      </c>
      <c r="B56" s="355" t="s">
        <v>102</v>
      </c>
      <c r="C56" s="438"/>
      <c r="D56" s="423" t="s">
        <v>338</v>
      </c>
      <c r="E56" s="541" t="s">
        <v>319</v>
      </c>
      <c r="F56" s="424"/>
      <c r="G56" s="438"/>
      <c r="H56" s="441"/>
      <c r="I56" s="504"/>
      <c r="J56" s="504"/>
      <c r="K56" s="504"/>
      <c r="L56" s="409"/>
      <c r="M56" s="507"/>
      <c r="N56" s="549"/>
    </row>
    <row r="57" spans="1:14" s="355" customFormat="1" ht="14.25" customHeight="1">
      <c r="A57" s="355" t="s">
        <v>121</v>
      </c>
      <c r="B57" s="355" t="s">
        <v>102</v>
      </c>
      <c r="C57" s="438"/>
      <c r="D57" s="423" t="s">
        <v>326</v>
      </c>
      <c r="E57" s="541" t="s">
        <v>320</v>
      </c>
      <c r="F57" s="424"/>
      <c r="G57" s="438"/>
      <c r="H57" s="441"/>
      <c r="I57" s="504"/>
      <c r="J57" s="504"/>
      <c r="K57" s="504"/>
      <c r="L57" s="409"/>
      <c r="M57" s="507"/>
      <c r="N57" s="549"/>
    </row>
    <row r="58" spans="1:14" s="302" customFormat="1" ht="14.25" customHeight="1">
      <c r="A58" s="355" t="s">
        <v>121</v>
      </c>
      <c r="B58" s="355" t="s">
        <v>102</v>
      </c>
      <c r="C58" s="438"/>
      <c r="D58" s="418" t="s">
        <v>327</v>
      </c>
      <c r="E58" s="544" t="s">
        <v>262</v>
      </c>
      <c r="F58" s="352"/>
      <c r="G58" s="438"/>
      <c r="H58" s="441"/>
      <c r="I58" s="504"/>
      <c r="J58" s="504"/>
      <c r="K58" s="504"/>
      <c r="L58" s="409"/>
      <c r="M58" s="507"/>
      <c r="N58" s="549"/>
    </row>
    <row r="59" spans="1:14" s="302" customFormat="1" ht="14.25" customHeight="1">
      <c r="A59" s="355" t="s">
        <v>121</v>
      </c>
      <c r="B59" s="355" t="s">
        <v>102</v>
      </c>
      <c r="C59" s="438"/>
      <c r="D59" s="423" t="s">
        <v>302</v>
      </c>
      <c r="E59" s="541" t="s">
        <v>262</v>
      </c>
      <c r="F59" s="424"/>
      <c r="G59" s="438"/>
      <c r="H59" s="441"/>
      <c r="I59" s="504"/>
      <c r="J59" s="504"/>
      <c r="K59" s="504"/>
      <c r="L59" s="409"/>
      <c r="M59" s="507"/>
      <c r="N59" s="549"/>
    </row>
    <row r="60" spans="1:14" s="355" customFormat="1" ht="23.25" customHeight="1">
      <c r="A60" s="355" t="s">
        <v>121</v>
      </c>
      <c r="B60" s="355" t="s">
        <v>102</v>
      </c>
      <c r="C60" s="438"/>
      <c r="D60" s="425" t="s">
        <v>340</v>
      </c>
      <c r="E60" s="542" t="s">
        <v>321</v>
      </c>
      <c r="F60" s="426"/>
      <c r="G60" s="438"/>
      <c r="H60" s="441"/>
      <c r="I60" s="504"/>
      <c r="J60" s="504"/>
      <c r="K60" s="504"/>
      <c r="L60" s="409"/>
      <c r="M60" s="507"/>
      <c r="N60" s="549"/>
    </row>
    <row r="61" spans="1:14" s="355" customFormat="1" ht="13.5">
      <c r="A61" s="355" t="s">
        <v>121</v>
      </c>
      <c r="B61" s="355" t="s">
        <v>102</v>
      </c>
      <c r="C61" s="438"/>
      <c r="D61" s="425" t="s">
        <v>341</v>
      </c>
      <c r="E61" s="542" t="s">
        <v>325</v>
      </c>
      <c r="F61" s="426"/>
      <c r="G61" s="438"/>
      <c r="H61" s="441"/>
      <c r="I61" s="504"/>
      <c r="J61" s="504"/>
      <c r="K61" s="504"/>
      <c r="L61" s="409"/>
      <c r="M61" s="507"/>
      <c r="N61" s="549"/>
    </row>
    <row r="62" spans="1:14" s="355" customFormat="1" ht="13.5">
      <c r="A62" s="355" t="s">
        <v>121</v>
      </c>
      <c r="B62" s="355" t="s">
        <v>102</v>
      </c>
      <c r="C62" s="438"/>
      <c r="D62" s="423" t="s">
        <v>342</v>
      </c>
      <c r="E62" s="541" t="s">
        <v>259</v>
      </c>
      <c r="F62" s="424"/>
      <c r="G62" s="438"/>
      <c r="H62" s="441"/>
      <c r="I62" s="504"/>
      <c r="J62" s="504"/>
      <c r="K62" s="504"/>
      <c r="L62" s="409"/>
      <c r="M62" s="507"/>
      <c r="N62" s="549"/>
    </row>
    <row r="63" spans="1:14" s="355" customFormat="1" ht="13.5">
      <c r="A63" s="355" t="s">
        <v>121</v>
      </c>
      <c r="B63" s="355" t="s">
        <v>102</v>
      </c>
      <c r="C63" s="438"/>
      <c r="D63" s="423" t="s">
        <v>343</v>
      </c>
      <c r="E63" s="541" t="s">
        <v>259</v>
      </c>
      <c r="F63" s="424"/>
      <c r="G63" s="438"/>
      <c r="H63" s="441"/>
      <c r="I63" s="504"/>
      <c r="J63" s="504"/>
      <c r="K63" s="504"/>
      <c r="L63" s="409"/>
      <c r="M63" s="507"/>
      <c r="N63" s="549"/>
    </row>
    <row r="64" spans="1:14" s="355" customFormat="1" ht="13.5">
      <c r="A64" s="355" t="s">
        <v>121</v>
      </c>
      <c r="B64" s="355" t="s">
        <v>102</v>
      </c>
      <c r="C64" s="438"/>
      <c r="D64" s="423" t="s">
        <v>344</v>
      </c>
      <c r="E64" s="541" t="s">
        <v>298</v>
      </c>
      <c r="F64" s="424"/>
      <c r="G64" s="438"/>
      <c r="H64" s="441"/>
      <c r="I64" s="504"/>
      <c r="J64" s="504"/>
      <c r="K64" s="504"/>
      <c r="L64" s="409"/>
      <c r="M64" s="507"/>
      <c r="N64" s="549"/>
    </row>
    <row r="65" spans="1:14" s="355" customFormat="1" ht="13.5">
      <c r="A65" s="355" t="s">
        <v>121</v>
      </c>
      <c r="B65" s="355" t="s">
        <v>102</v>
      </c>
      <c r="C65" s="438"/>
      <c r="D65" s="423" t="s">
        <v>345</v>
      </c>
      <c r="E65" s="541" t="s">
        <v>323</v>
      </c>
      <c r="F65" s="424"/>
      <c r="G65" s="438"/>
      <c r="H65" s="441"/>
      <c r="I65" s="504"/>
      <c r="J65" s="504"/>
      <c r="K65" s="504"/>
      <c r="L65" s="409"/>
      <c r="M65" s="507"/>
      <c r="N65" s="549"/>
    </row>
    <row r="66" spans="1:14" s="355" customFormat="1" ht="13.5">
      <c r="A66" s="355" t="s">
        <v>121</v>
      </c>
      <c r="B66" s="355" t="s">
        <v>102</v>
      </c>
      <c r="C66" s="438"/>
      <c r="D66" s="425" t="s">
        <v>346</v>
      </c>
      <c r="E66" s="542" t="s">
        <v>323</v>
      </c>
      <c r="F66" s="426"/>
      <c r="G66" s="438"/>
      <c r="H66" s="441"/>
      <c r="I66" s="504"/>
      <c r="J66" s="504"/>
      <c r="K66" s="504"/>
      <c r="L66" s="409"/>
      <c r="M66" s="507"/>
      <c r="N66" s="549"/>
    </row>
    <row r="67" spans="1:14" s="355" customFormat="1" ht="13.5">
      <c r="A67" s="355" t="s">
        <v>121</v>
      </c>
      <c r="B67" s="355" t="s">
        <v>102</v>
      </c>
      <c r="C67" s="438"/>
      <c r="D67" s="423" t="s">
        <v>347</v>
      </c>
      <c r="E67" s="541" t="s">
        <v>321</v>
      </c>
      <c r="F67" s="424"/>
      <c r="G67" s="438"/>
      <c r="H67" s="441"/>
      <c r="I67" s="504"/>
      <c r="J67" s="504"/>
      <c r="K67" s="504"/>
      <c r="L67" s="409"/>
      <c r="M67" s="507"/>
      <c r="N67" s="549"/>
    </row>
    <row r="68" spans="1:14" s="355" customFormat="1" ht="13.5">
      <c r="A68" s="355" t="s">
        <v>121</v>
      </c>
      <c r="B68" s="355" t="s">
        <v>102</v>
      </c>
      <c r="C68" s="438"/>
      <c r="D68" s="423" t="s">
        <v>348</v>
      </c>
      <c r="E68" s="541" t="s">
        <v>324</v>
      </c>
      <c r="F68" s="424"/>
      <c r="G68" s="438"/>
      <c r="H68" s="441"/>
      <c r="I68" s="504"/>
      <c r="J68" s="504"/>
      <c r="K68" s="504"/>
      <c r="L68" s="409"/>
      <c r="M68" s="507"/>
      <c r="N68" s="549"/>
    </row>
    <row r="69" spans="1:14" s="355" customFormat="1" ht="13.5">
      <c r="A69" s="355" t="s">
        <v>121</v>
      </c>
      <c r="B69" s="355" t="s">
        <v>102</v>
      </c>
      <c r="C69" s="438"/>
      <c r="D69" s="423" t="s">
        <v>349</v>
      </c>
      <c r="E69" s="541" t="s">
        <v>259</v>
      </c>
      <c r="F69" s="424"/>
      <c r="G69" s="438"/>
      <c r="H69" s="441"/>
      <c r="I69" s="504"/>
      <c r="J69" s="504"/>
      <c r="K69" s="504"/>
      <c r="L69" s="409"/>
      <c r="M69" s="507"/>
      <c r="N69" s="549"/>
    </row>
    <row r="70" spans="1:14" s="355" customFormat="1" ht="13.5">
      <c r="A70" s="355" t="s">
        <v>121</v>
      </c>
      <c r="B70" s="355" t="s">
        <v>102</v>
      </c>
      <c r="C70" s="438"/>
      <c r="D70" s="418" t="s">
        <v>350</v>
      </c>
      <c r="E70" s="544" t="s">
        <v>323</v>
      </c>
      <c r="F70" s="352"/>
      <c r="G70" s="438"/>
      <c r="H70" s="441"/>
      <c r="I70" s="504"/>
      <c r="J70" s="504"/>
      <c r="K70" s="504"/>
      <c r="L70" s="409"/>
      <c r="M70" s="507"/>
      <c r="N70" s="549"/>
    </row>
    <row r="71" spans="1:14" s="355" customFormat="1" ht="13.5">
      <c r="A71" s="355" t="s">
        <v>121</v>
      </c>
      <c r="B71" s="355" t="s">
        <v>102</v>
      </c>
      <c r="C71" s="438"/>
      <c r="D71" s="425" t="s">
        <v>351</v>
      </c>
      <c r="E71" s="542" t="s">
        <v>251</v>
      </c>
      <c r="F71" s="426"/>
      <c r="G71" s="438"/>
      <c r="H71" s="441"/>
      <c r="I71" s="504"/>
      <c r="J71" s="504"/>
      <c r="K71" s="504"/>
      <c r="L71" s="409"/>
      <c r="M71" s="507"/>
      <c r="N71" s="549"/>
    </row>
    <row r="72" spans="1:14" s="355" customFormat="1" ht="13.5">
      <c r="A72" s="355" t="s">
        <v>121</v>
      </c>
      <c r="B72" s="355" t="s">
        <v>102</v>
      </c>
      <c r="C72" s="438"/>
      <c r="D72" s="423" t="s">
        <v>352</v>
      </c>
      <c r="E72" s="541" t="s">
        <v>259</v>
      </c>
      <c r="F72" s="424"/>
      <c r="G72" s="438"/>
      <c r="H72" s="441"/>
      <c r="I72" s="504"/>
      <c r="J72" s="504"/>
      <c r="K72" s="504"/>
      <c r="L72" s="409"/>
      <c r="M72" s="507"/>
      <c r="N72" s="549"/>
    </row>
    <row r="73" spans="1:14" s="355" customFormat="1" ht="13.5">
      <c r="A73" s="355" t="s">
        <v>121</v>
      </c>
      <c r="B73" s="355" t="s">
        <v>102</v>
      </c>
      <c r="C73" s="438"/>
      <c r="D73" s="423" t="s">
        <v>352</v>
      </c>
      <c r="E73" s="541" t="s">
        <v>259</v>
      </c>
      <c r="F73" s="424"/>
      <c r="G73" s="438"/>
      <c r="H73" s="441"/>
      <c r="I73" s="504"/>
      <c r="J73" s="504"/>
      <c r="K73" s="504"/>
      <c r="L73" s="409"/>
      <c r="M73" s="507"/>
      <c r="N73" s="549"/>
    </row>
    <row r="74" spans="1:14" s="355" customFormat="1" ht="13.5">
      <c r="A74" s="355" t="s">
        <v>121</v>
      </c>
      <c r="B74" s="355" t="s">
        <v>102</v>
      </c>
      <c r="C74" s="438"/>
      <c r="D74" s="423" t="s">
        <v>353</v>
      </c>
      <c r="E74" s="541" t="s">
        <v>323</v>
      </c>
      <c r="F74" s="424"/>
      <c r="G74" s="438"/>
      <c r="H74" s="441"/>
      <c r="I74" s="504"/>
      <c r="J74" s="504"/>
      <c r="K74" s="504"/>
      <c r="L74" s="409"/>
      <c r="M74" s="507"/>
      <c r="N74" s="549"/>
    </row>
    <row r="75" spans="1:14" s="355" customFormat="1" ht="13.5">
      <c r="A75" s="355" t="s">
        <v>121</v>
      </c>
      <c r="B75" s="355" t="s">
        <v>102</v>
      </c>
      <c r="C75" s="438"/>
      <c r="D75" s="423" t="s">
        <v>354</v>
      </c>
      <c r="E75" s="541" t="s">
        <v>322</v>
      </c>
      <c r="F75" s="424"/>
      <c r="G75" s="438"/>
      <c r="H75" s="441"/>
      <c r="I75" s="504"/>
      <c r="J75" s="504"/>
      <c r="K75" s="504"/>
      <c r="L75" s="409"/>
      <c r="M75" s="507"/>
      <c r="N75" s="549"/>
    </row>
    <row r="76" spans="1:14" s="355" customFormat="1" ht="13.5">
      <c r="C76" s="352"/>
      <c r="D76" s="352"/>
      <c r="E76" s="450"/>
      <c r="F76" s="352"/>
      <c r="G76" s="352"/>
      <c r="H76" s="352"/>
      <c r="I76" s="352"/>
      <c r="J76" s="352"/>
      <c r="K76" s="352"/>
      <c r="L76" s="409"/>
      <c r="M76" s="352"/>
      <c r="N76" s="418"/>
    </row>
    <row r="77" spans="1:14" s="302" customFormat="1" ht="27">
      <c r="A77" s="508" t="s">
        <v>273</v>
      </c>
      <c r="B77" s="302" t="s">
        <v>102</v>
      </c>
      <c r="C77" s="509" t="s">
        <v>115</v>
      </c>
      <c r="D77" s="509" t="s">
        <v>2</v>
      </c>
      <c r="E77" s="545" t="s">
        <v>94</v>
      </c>
      <c r="F77" s="508" t="s">
        <v>3</v>
      </c>
      <c r="G77" s="510" t="s">
        <v>1</v>
      </c>
      <c r="H77" s="511" t="s">
        <v>95</v>
      </c>
      <c r="I77" s="511" t="s">
        <v>96</v>
      </c>
      <c r="J77" s="511" t="s">
        <v>97</v>
      </c>
      <c r="K77" s="508" t="s">
        <v>98</v>
      </c>
      <c r="L77" s="512">
        <v>100000</v>
      </c>
      <c r="M77" s="508" t="s">
        <v>0</v>
      </c>
    </row>
    <row r="78" spans="1:14" s="355" customFormat="1" ht="13.5">
      <c r="A78" s="508" t="s">
        <v>273</v>
      </c>
      <c r="B78" s="302" t="s">
        <v>102</v>
      </c>
      <c r="C78" s="427"/>
      <c r="D78" s="424" t="s">
        <v>165</v>
      </c>
      <c r="E78" s="570"/>
      <c r="F78" s="513"/>
      <c r="G78" s="514"/>
      <c r="H78" s="515"/>
      <c r="I78" s="515"/>
      <c r="J78" s="515"/>
      <c r="K78" s="513" t="s">
        <v>104</v>
      </c>
      <c r="L78" s="516"/>
      <c r="M78" s="568"/>
    </row>
    <row r="79" spans="1:14" s="355" customFormat="1" ht="27">
      <c r="A79" s="508" t="s">
        <v>273</v>
      </c>
      <c r="B79" s="302" t="s">
        <v>102</v>
      </c>
      <c r="C79" s="427"/>
      <c r="D79" s="424" t="s">
        <v>268</v>
      </c>
      <c r="E79" s="429" t="s">
        <v>313</v>
      </c>
      <c r="F79" s="513"/>
      <c r="G79" s="514"/>
      <c r="H79" s="515"/>
      <c r="I79" s="515"/>
      <c r="J79" s="515"/>
      <c r="K79" s="513" t="s">
        <v>159</v>
      </c>
      <c r="L79" s="516"/>
      <c r="M79" s="513"/>
      <c r="N79" s="352"/>
    </row>
    <row r="80" spans="1:14" s="355" customFormat="1" ht="27">
      <c r="A80" s="508" t="s">
        <v>273</v>
      </c>
      <c r="B80" s="302" t="s">
        <v>102</v>
      </c>
      <c r="C80" s="427"/>
      <c r="D80" s="426" t="s">
        <v>269</v>
      </c>
      <c r="E80" s="429" t="s">
        <v>313</v>
      </c>
      <c r="F80" s="513"/>
      <c r="G80" s="514"/>
      <c r="H80" s="515"/>
      <c r="I80" s="515"/>
      <c r="J80" s="515"/>
      <c r="K80" s="513" t="s">
        <v>270</v>
      </c>
      <c r="L80" s="516"/>
      <c r="M80" s="513"/>
      <c r="N80" s="352"/>
    </row>
    <row r="81" spans="1:15" s="355" customFormat="1" ht="25.5" customHeight="1">
      <c r="A81" s="508" t="s">
        <v>273</v>
      </c>
      <c r="B81" s="302" t="s">
        <v>102</v>
      </c>
      <c r="C81" s="427"/>
      <c r="D81" s="430" t="s">
        <v>271</v>
      </c>
      <c r="E81" s="431" t="s">
        <v>313</v>
      </c>
      <c r="F81" s="513"/>
      <c r="G81" s="514"/>
      <c r="H81" s="515"/>
      <c r="I81" s="515"/>
      <c r="J81" s="515"/>
      <c r="K81" s="513" t="s">
        <v>272</v>
      </c>
      <c r="L81" s="516"/>
      <c r="M81" s="513"/>
      <c r="N81" s="352"/>
    </row>
    <row r="82" spans="1:15" s="355" customFormat="1" ht="13.5">
      <c r="A82" s="508" t="s">
        <v>273</v>
      </c>
      <c r="B82" s="302" t="s">
        <v>102</v>
      </c>
      <c r="C82" s="427"/>
      <c r="D82" s="430" t="s">
        <v>169</v>
      </c>
      <c r="E82" s="431" t="s">
        <v>314</v>
      </c>
      <c r="F82" s="432"/>
      <c r="G82" s="513"/>
      <c r="H82" s="514"/>
      <c r="I82" s="515"/>
      <c r="J82" s="515"/>
      <c r="K82" s="515"/>
      <c r="L82" s="32"/>
      <c r="M82" s="517"/>
      <c r="N82" s="513"/>
    </row>
    <row r="83" spans="1:15" s="355" customFormat="1" ht="13.5">
      <c r="A83" s="508" t="s">
        <v>273</v>
      </c>
      <c r="B83" s="302" t="s">
        <v>102</v>
      </c>
      <c r="C83" s="352"/>
      <c r="D83" s="352"/>
      <c r="E83" s="450"/>
      <c r="F83" s="352"/>
      <c r="G83" s="352"/>
      <c r="H83" s="352"/>
      <c r="I83" s="352"/>
      <c r="J83" s="352"/>
      <c r="K83" s="352"/>
      <c r="L83" s="409"/>
      <c r="M83" s="352"/>
      <c r="N83" s="352"/>
    </row>
    <row r="84" spans="1:15" s="355" customFormat="1" ht="27">
      <c r="A84" s="508" t="s">
        <v>273</v>
      </c>
      <c r="B84" s="302" t="s">
        <v>102</v>
      </c>
      <c r="C84" s="427" t="s">
        <v>115</v>
      </c>
      <c r="D84" s="513" t="s">
        <v>2</v>
      </c>
      <c r="E84" s="580" t="s">
        <v>94</v>
      </c>
      <c r="F84" s="513" t="s">
        <v>3</v>
      </c>
      <c r="G84" s="514" t="s">
        <v>1</v>
      </c>
      <c r="H84" s="515" t="s">
        <v>95</v>
      </c>
      <c r="I84" s="515" t="s">
        <v>96</v>
      </c>
      <c r="J84" s="515" t="s">
        <v>97</v>
      </c>
      <c r="K84" s="513" t="s">
        <v>98</v>
      </c>
      <c r="L84" s="516">
        <v>1000000</v>
      </c>
      <c r="M84" s="513" t="s">
        <v>0</v>
      </c>
      <c r="N84" s="352"/>
    </row>
    <row r="85" spans="1:15" s="355" customFormat="1" ht="13.5">
      <c r="A85" s="508" t="s">
        <v>273</v>
      </c>
      <c r="B85" s="302" t="s">
        <v>102</v>
      </c>
      <c r="C85" s="427"/>
      <c r="D85" s="433" t="s">
        <v>165</v>
      </c>
      <c r="E85" s="570"/>
      <c r="F85" s="513"/>
      <c r="G85" s="514"/>
      <c r="H85" s="515"/>
      <c r="I85" s="515"/>
      <c r="J85" s="515"/>
      <c r="K85" s="513" t="s">
        <v>104</v>
      </c>
      <c r="L85" s="516"/>
      <c r="M85" s="513"/>
      <c r="N85" s="352"/>
    </row>
    <row r="86" spans="1:15" s="355" customFormat="1" ht="27">
      <c r="A86" s="508" t="s">
        <v>273</v>
      </c>
      <c r="B86" s="302" t="s">
        <v>102</v>
      </c>
      <c r="C86" s="427"/>
      <c r="D86" s="433" t="s">
        <v>268</v>
      </c>
      <c r="E86" s="429" t="s">
        <v>313</v>
      </c>
      <c r="F86" s="513"/>
      <c r="G86" s="514"/>
      <c r="H86" s="515"/>
      <c r="I86" s="515"/>
      <c r="J86" s="515"/>
      <c r="K86" s="513" t="s">
        <v>159</v>
      </c>
      <c r="L86" s="516"/>
      <c r="M86" s="513"/>
      <c r="N86" s="352"/>
    </row>
    <row r="87" spans="1:15" s="355" customFormat="1" ht="27">
      <c r="A87" s="508" t="s">
        <v>273</v>
      </c>
      <c r="B87" s="302" t="s">
        <v>102</v>
      </c>
      <c r="C87" s="427"/>
      <c r="D87" s="433" t="s">
        <v>269</v>
      </c>
      <c r="E87" s="429" t="s">
        <v>313</v>
      </c>
      <c r="F87" s="513"/>
      <c r="G87" s="514"/>
      <c r="H87" s="515"/>
      <c r="I87" s="515"/>
      <c r="J87" s="515"/>
      <c r="K87" s="513" t="s">
        <v>270</v>
      </c>
      <c r="L87" s="516"/>
      <c r="M87" s="513"/>
      <c r="N87" s="352"/>
    </row>
    <row r="88" spans="1:15" s="355" customFormat="1" ht="27">
      <c r="A88" s="508" t="s">
        <v>273</v>
      </c>
      <c r="B88" s="302" t="s">
        <v>102</v>
      </c>
      <c r="C88" s="427"/>
      <c r="D88" s="432" t="s">
        <v>271</v>
      </c>
      <c r="E88" s="431" t="s">
        <v>313</v>
      </c>
      <c r="F88" s="513"/>
      <c r="G88" s="514"/>
      <c r="H88" s="515"/>
      <c r="I88" s="515"/>
      <c r="J88" s="515"/>
      <c r="K88" s="513" t="s">
        <v>272</v>
      </c>
      <c r="L88" s="516"/>
      <c r="M88" s="513"/>
      <c r="N88" s="352"/>
    </row>
    <row r="89" spans="1:15" s="355" customFormat="1" ht="13.5">
      <c r="A89" s="508" t="s">
        <v>273</v>
      </c>
      <c r="B89" s="302" t="s">
        <v>102</v>
      </c>
      <c r="C89" s="427"/>
      <c r="D89" s="432" t="s">
        <v>169</v>
      </c>
      <c r="E89" s="431" t="s">
        <v>355</v>
      </c>
      <c r="F89" s="513"/>
      <c r="G89" s="514"/>
      <c r="H89" s="515"/>
      <c r="I89" s="515"/>
      <c r="J89" s="515"/>
      <c r="K89" s="513" t="s">
        <v>273</v>
      </c>
      <c r="L89" s="516"/>
      <c r="M89" s="513"/>
      <c r="N89" s="352"/>
    </row>
    <row r="90" spans="1:15" s="355" customFormat="1" ht="13.5">
      <c r="C90" s="352"/>
      <c r="D90" s="352"/>
      <c r="E90" s="450"/>
      <c r="F90" s="352"/>
      <c r="G90" s="352"/>
      <c r="H90" s="352"/>
      <c r="I90" s="352"/>
      <c r="J90" s="352"/>
      <c r="K90" s="352"/>
      <c r="L90" s="409"/>
      <c r="M90" s="352"/>
      <c r="N90" s="352"/>
    </row>
    <row r="91" spans="1:15" s="355" customFormat="1" ht="27">
      <c r="A91" s="438" t="s">
        <v>388</v>
      </c>
      <c r="B91" s="302" t="s">
        <v>102</v>
      </c>
      <c r="C91" s="444" t="s">
        <v>115</v>
      </c>
      <c r="D91" s="438" t="s">
        <v>2</v>
      </c>
      <c r="E91" s="539" t="s">
        <v>94</v>
      </c>
      <c r="F91" s="438" t="s">
        <v>3</v>
      </c>
      <c r="G91" s="441" t="s">
        <v>1</v>
      </c>
      <c r="H91" s="504" t="s">
        <v>95</v>
      </c>
      <c r="I91" s="504" t="s">
        <v>96</v>
      </c>
      <c r="J91" s="504" t="s">
        <v>97</v>
      </c>
      <c r="K91" s="438" t="s">
        <v>98</v>
      </c>
      <c r="L91" s="505">
        <v>215000</v>
      </c>
      <c r="M91" s="438" t="s">
        <v>99</v>
      </c>
      <c r="N91" s="352"/>
      <c r="O91" s="563"/>
    </row>
    <row r="92" spans="1:15" s="355" customFormat="1" ht="13.5">
      <c r="A92" s="438" t="s">
        <v>388</v>
      </c>
      <c r="B92" s="302" t="s">
        <v>102</v>
      </c>
      <c r="C92" s="438" t="s">
        <v>391</v>
      </c>
      <c r="D92" s="349" t="s">
        <v>394</v>
      </c>
      <c r="E92" s="450" t="s">
        <v>392</v>
      </c>
      <c r="F92" s="438"/>
      <c r="G92" s="441"/>
      <c r="H92" s="504"/>
      <c r="I92" s="504"/>
      <c r="J92" s="504"/>
      <c r="K92" s="438" t="s">
        <v>104</v>
      </c>
      <c r="L92" s="505"/>
      <c r="M92" s="438"/>
      <c r="N92" s="352"/>
      <c r="O92" s="563"/>
    </row>
    <row r="93" spans="1:15" s="355" customFormat="1" ht="13.5">
      <c r="A93" s="438" t="s">
        <v>388</v>
      </c>
      <c r="B93" s="302" t="s">
        <v>102</v>
      </c>
      <c r="C93" s="438" t="s">
        <v>159</v>
      </c>
      <c r="D93" s="349" t="s">
        <v>395</v>
      </c>
      <c r="E93" s="450" t="s">
        <v>393</v>
      </c>
      <c r="F93" s="438"/>
      <c r="G93" s="441"/>
      <c r="H93" s="504"/>
      <c r="I93" s="504"/>
      <c r="J93" s="504"/>
      <c r="K93" s="438"/>
      <c r="L93" s="505"/>
      <c r="M93" s="438"/>
      <c r="N93" s="352"/>
      <c r="O93" s="563"/>
    </row>
    <row r="94" spans="1:15" s="355" customFormat="1" ht="13.5">
      <c r="A94" s="438" t="s">
        <v>388</v>
      </c>
      <c r="B94" s="302" t="s">
        <v>102</v>
      </c>
      <c r="C94" s="438" t="s">
        <v>385</v>
      </c>
      <c r="D94" s="324"/>
      <c r="E94" s="543"/>
      <c r="F94" s="360"/>
      <c r="G94" s="438"/>
      <c r="H94" s="441"/>
      <c r="I94" s="504"/>
      <c r="J94" s="504"/>
      <c r="K94" s="504"/>
      <c r="L94" s="519"/>
      <c r="M94" s="507"/>
      <c r="N94" s="438"/>
      <c r="O94" s="563"/>
    </row>
    <row r="95" spans="1:15" s="355" customFormat="1" ht="13.5">
      <c r="A95" s="438" t="s">
        <v>388</v>
      </c>
      <c r="B95" s="302" t="s">
        <v>102</v>
      </c>
      <c r="C95" s="438" t="s">
        <v>386</v>
      </c>
      <c r="D95" s="434"/>
      <c r="E95" s="581"/>
      <c r="F95" s="436"/>
      <c r="G95" s="437"/>
      <c r="H95" s="438"/>
      <c r="I95" s="439"/>
      <c r="J95" s="439"/>
      <c r="K95" s="439"/>
      <c r="L95" s="519"/>
      <c r="M95" s="440"/>
      <c r="N95" s="440"/>
      <c r="O95" s="564"/>
    </row>
    <row r="96" spans="1:15" s="355" customFormat="1" ht="13.5">
      <c r="A96" s="438" t="s">
        <v>388</v>
      </c>
      <c r="B96" s="302" t="s">
        <v>102</v>
      </c>
      <c r="C96" s="438" t="s">
        <v>387</v>
      </c>
      <c r="D96" s="434"/>
      <c r="E96" s="581"/>
      <c r="F96" s="436"/>
      <c r="G96" s="437"/>
      <c r="H96" s="441"/>
      <c r="I96" s="442"/>
      <c r="J96" s="442"/>
      <c r="K96" s="439"/>
      <c r="L96" s="519"/>
      <c r="M96" s="443"/>
      <c r="N96" s="440"/>
      <c r="O96" s="564"/>
    </row>
    <row r="97" spans="1:15" s="355" customFormat="1" ht="13.5">
      <c r="C97" s="438"/>
      <c r="D97" s="434"/>
      <c r="E97" s="581"/>
      <c r="F97" s="436"/>
      <c r="G97" s="437"/>
      <c r="H97" s="441"/>
      <c r="I97" s="442"/>
      <c r="J97" s="442"/>
      <c r="K97" s="439"/>
      <c r="L97" s="519"/>
      <c r="M97" s="443"/>
      <c r="N97" s="550"/>
      <c r="O97" s="564"/>
    </row>
    <row r="98" spans="1:15" s="355" customFormat="1" ht="13.5">
      <c r="C98" s="352"/>
      <c r="D98" s="352"/>
      <c r="E98" s="450"/>
      <c r="F98" s="352"/>
      <c r="G98" s="352"/>
      <c r="H98" s="352"/>
      <c r="I98" s="352"/>
      <c r="J98" s="352"/>
      <c r="K98" s="352"/>
      <c r="L98" s="409"/>
      <c r="M98" s="352"/>
      <c r="N98" s="418"/>
    </row>
    <row r="99" spans="1:15" s="355" customFormat="1" ht="27">
      <c r="A99" s="438" t="s">
        <v>388</v>
      </c>
      <c r="B99" s="302" t="s">
        <v>102</v>
      </c>
      <c r="C99" s="444" t="s">
        <v>115</v>
      </c>
      <c r="D99" s="438" t="s">
        <v>2</v>
      </c>
      <c r="E99" s="539" t="s">
        <v>94</v>
      </c>
      <c r="F99" s="438" t="s">
        <v>3</v>
      </c>
      <c r="G99" s="441" t="s">
        <v>1</v>
      </c>
      <c r="H99" s="504" t="s">
        <v>95</v>
      </c>
      <c r="I99" s="504" t="s">
        <v>96</v>
      </c>
      <c r="J99" s="504" t="s">
        <v>97</v>
      </c>
      <c r="K99" s="438" t="s">
        <v>98</v>
      </c>
      <c r="L99" s="505">
        <v>500000</v>
      </c>
      <c r="M99" s="438" t="s">
        <v>0</v>
      </c>
      <c r="N99" s="548"/>
    </row>
    <row r="100" spans="1:15" s="355" customFormat="1" ht="13.5">
      <c r="A100" s="438" t="s">
        <v>388</v>
      </c>
      <c r="B100" s="302" t="s">
        <v>102</v>
      </c>
      <c r="C100" s="444"/>
      <c r="D100" s="573" t="s">
        <v>165</v>
      </c>
      <c r="E100" s="570"/>
      <c r="F100" s="438"/>
      <c r="G100" s="441"/>
      <c r="H100" s="504"/>
      <c r="I100" s="504"/>
      <c r="J100" s="504"/>
      <c r="K100" s="438" t="s">
        <v>104</v>
      </c>
      <c r="L100" s="505"/>
      <c r="M100" s="438"/>
      <c r="N100" s="548"/>
    </row>
    <row r="101" spans="1:15" s="355" customFormat="1" ht="27">
      <c r="A101" s="438" t="s">
        <v>388</v>
      </c>
      <c r="B101" s="302" t="s">
        <v>102</v>
      </c>
      <c r="C101" s="444"/>
      <c r="D101" s="573" t="s">
        <v>268</v>
      </c>
      <c r="E101" s="571" t="s">
        <v>400</v>
      </c>
      <c r="F101" s="438"/>
      <c r="G101" s="441"/>
      <c r="H101" s="504"/>
      <c r="I101" s="504"/>
      <c r="J101" s="504"/>
      <c r="K101" s="438" t="s">
        <v>159</v>
      </c>
      <c r="L101" s="505"/>
      <c r="M101" s="438"/>
      <c r="N101" s="548"/>
    </row>
    <row r="102" spans="1:15" s="355" customFormat="1" ht="27">
      <c r="A102" s="438" t="s">
        <v>388</v>
      </c>
      <c r="B102" s="302" t="s">
        <v>102</v>
      </c>
      <c r="C102" s="444"/>
      <c r="D102" s="573" t="s">
        <v>269</v>
      </c>
      <c r="E102" s="571" t="s">
        <v>400</v>
      </c>
      <c r="F102" s="438"/>
      <c r="G102" s="441"/>
      <c r="H102" s="504"/>
      <c r="I102" s="504"/>
      <c r="J102" s="504"/>
      <c r="K102" s="438" t="s">
        <v>385</v>
      </c>
      <c r="L102" s="505"/>
      <c r="M102" s="438"/>
      <c r="N102" s="548"/>
    </row>
    <row r="103" spans="1:15" s="355" customFormat="1" ht="27">
      <c r="A103" s="520" t="s">
        <v>388</v>
      </c>
      <c r="B103" s="302" t="s">
        <v>102</v>
      </c>
      <c r="C103" s="446"/>
      <c r="D103" s="574" t="s">
        <v>271</v>
      </c>
      <c r="E103" s="571" t="s">
        <v>400</v>
      </c>
      <c r="F103" s="437"/>
      <c r="G103" s="438"/>
      <c r="H103" s="439"/>
      <c r="I103" s="439"/>
      <c r="J103" s="439"/>
      <c r="K103" s="438" t="s">
        <v>386</v>
      </c>
      <c r="L103" s="447"/>
      <c r="M103" s="440"/>
      <c r="N103" s="549"/>
    </row>
    <row r="104" spans="1:15" s="355" customFormat="1" ht="13.5">
      <c r="A104" s="438" t="s">
        <v>388</v>
      </c>
      <c r="B104" s="342" t="s">
        <v>102</v>
      </c>
      <c r="C104" s="434"/>
      <c r="D104" s="574" t="s">
        <v>169</v>
      </c>
      <c r="E104" s="572" t="s">
        <v>401</v>
      </c>
      <c r="F104" s="437"/>
      <c r="G104" s="441"/>
      <c r="H104" s="442"/>
      <c r="I104" s="442"/>
      <c r="J104" s="439"/>
      <c r="K104" s="438" t="s">
        <v>387</v>
      </c>
      <c r="L104" s="449"/>
      <c r="M104" s="440"/>
      <c r="N104" s="549"/>
    </row>
    <row r="105" spans="1:15" s="355" customFormat="1" ht="13.5">
      <c r="A105" s="352"/>
      <c r="B105" s="352"/>
      <c r="C105" s="434"/>
      <c r="D105" s="434"/>
      <c r="E105" s="572"/>
      <c r="F105" s="450"/>
      <c r="G105" s="437"/>
      <c r="H105" s="441"/>
      <c r="I105" s="442"/>
      <c r="J105" s="442"/>
      <c r="K105" s="439"/>
      <c r="L105" s="32"/>
      <c r="M105" s="443"/>
      <c r="N105" s="550"/>
      <c r="O105" s="564"/>
    </row>
    <row r="106" spans="1:15" s="355" customFormat="1" ht="13.5">
      <c r="A106" s="352"/>
      <c r="B106" s="352"/>
      <c r="C106" s="352"/>
      <c r="D106" s="352"/>
      <c r="E106" s="450"/>
      <c r="F106" s="352"/>
      <c r="G106" s="352"/>
      <c r="H106" s="352"/>
      <c r="I106" s="352"/>
      <c r="J106" s="352"/>
      <c r="K106" s="352"/>
      <c r="L106" s="409"/>
      <c r="M106" s="352"/>
      <c r="N106" s="418"/>
    </row>
    <row r="107" spans="1:15" s="355" customFormat="1" ht="27">
      <c r="A107" s="438" t="s">
        <v>417</v>
      </c>
      <c r="B107" s="342" t="s">
        <v>102</v>
      </c>
      <c r="C107" s="444" t="s">
        <v>115</v>
      </c>
      <c r="D107" s="438" t="s">
        <v>2</v>
      </c>
      <c r="E107" s="539" t="s">
        <v>94</v>
      </c>
      <c r="F107" s="438" t="s">
        <v>3</v>
      </c>
      <c r="G107" s="441" t="s">
        <v>1</v>
      </c>
      <c r="H107" s="504" t="s">
        <v>95</v>
      </c>
      <c r="I107" s="504" t="s">
        <v>96</v>
      </c>
      <c r="J107" s="504" t="s">
        <v>97</v>
      </c>
      <c r="K107" s="438" t="s">
        <v>98</v>
      </c>
      <c r="L107" s="505">
        <v>300000</v>
      </c>
      <c r="M107" s="438" t="s">
        <v>0</v>
      </c>
      <c r="N107" s="548"/>
    </row>
    <row r="108" spans="1:15" s="355" customFormat="1" ht="13.5">
      <c r="A108" s="438" t="s">
        <v>417</v>
      </c>
      <c r="B108" s="342" t="s">
        <v>102</v>
      </c>
      <c r="C108" s="444"/>
      <c r="D108" s="506" t="s">
        <v>165</v>
      </c>
      <c r="E108" s="452"/>
      <c r="F108" s="438"/>
      <c r="G108" s="441"/>
      <c r="H108" s="504"/>
      <c r="I108" s="504"/>
      <c r="J108" s="504"/>
      <c r="K108" s="438" t="s">
        <v>104</v>
      </c>
      <c r="L108" s="505"/>
      <c r="M108" s="438"/>
      <c r="N108" s="548"/>
    </row>
    <row r="109" spans="1:15" s="355" customFormat="1" ht="27">
      <c r="A109" s="438" t="s">
        <v>417</v>
      </c>
      <c r="B109" s="342" t="s">
        <v>102</v>
      </c>
      <c r="C109" s="444"/>
      <c r="D109" s="506" t="s">
        <v>268</v>
      </c>
      <c r="E109" s="569" t="s">
        <v>418</v>
      </c>
      <c r="F109" s="438"/>
      <c r="G109" s="441"/>
      <c r="H109" s="504"/>
      <c r="I109" s="504"/>
      <c r="J109" s="504"/>
      <c r="K109" s="438" t="s">
        <v>159</v>
      </c>
      <c r="L109" s="505"/>
      <c r="M109" s="438"/>
      <c r="N109" s="548"/>
    </row>
    <row r="110" spans="1:15" s="355" customFormat="1" ht="27">
      <c r="A110" s="438" t="s">
        <v>417</v>
      </c>
      <c r="B110" s="342" t="s">
        <v>102</v>
      </c>
      <c r="C110" s="444"/>
      <c r="D110" s="506" t="s">
        <v>167</v>
      </c>
      <c r="E110" s="569" t="s">
        <v>418</v>
      </c>
      <c r="F110" s="438"/>
      <c r="G110" s="441"/>
      <c r="H110" s="504"/>
      <c r="I110" s="504"/>
      <c r="J110" s="504"/>
      <c r="K110" s="438" t="s">
        <v>416</v>
      </c>
      <c r="L110" s="505"/>
      <c r="M110" s="438"/>
      <c r="N110" s="548"/>
    </row>
    <row r="111" spans="1:15" s="355" customFormat="1" ht="13.5">
      <c r="A111" s="438" t="s">
        <v>417</v>
      </c>
      <c r="B111" s="342" t="s">
        <v>102</v>
      </c>
      <c r="C111" s="444"/>
      <c r="D111" s="506" t="s">
        <v>271</v>
      </c>
      <c r="E111" s="569" t="s">
        <v>419</v>
      </c>
      <c r="F111" s="438"/>
      <c r="G111" s="441"/>
      <c r="H111" s="504"/>
      <c r="I111" s="504"/>
      <c r="J111" s="504"/>
      <c r="K111" s="438" t="s">
        <v>387</v>
      </c>
      <c r="L111" s="505"/>
      <c r="M111" s="438"/>
      <c r="N111" s="548"/>
    </row>
    <row r="112" spans="1:15" s="355" customFormat="1" ht="13.5">
      <c r="A112" s="438" t="s">
        <v>417</v>
      </c>
      <c r="B112" s="342" t="s">
        <v>102</v>
      </c>
      <c r="C112" s="444"/>
      <c r="D112" s="573" t="s">
        <v>169</v>
      </c>
      <c r="E112" s="569" t="s">
        <v>418</v>
      </c>
      <c r="F112" s="438"/>
      <c r="G112" s="441"/>
      <c r="H112" s="504"/>
      <c r="I112" s="504"/>
      <c r="J112" s="504"/>
      <c r="L112" s="505"/>
      <c r="M112" s="438"/>
      <c r="N112" s="548"/>
    </row>
    <row r="113" spans="1:15" s="455" customFormat="1" ht="27">
      <c r="A113" s="471" t="s">
        <v>426</v>
      </c>
      <c r="B113" s="454" t="s">
        <v>102</v>
      </c>
      <c r="C113" s="521" t="s">
        <v>421</v>
      </c>
      <c r="D113" s="522" t="s">
        <v>2</v>
      </c>
      <c r="E113" s="582" t="s">
        <v>94</v>
      </c>
      <c r="F113" s="522" t="s">
        <v>422</v>
      </c>
      <c r="G113" s="524" t="s">
        <v>1</v>
      </c>
      <c r="H113" s="525" t="s">
        <v>117</v>
      </c>
      <c r="I113" s="525" t="s">
        <v>118</v>
      </c>
      <c r="J113" s="525" t="s">
        <v>119</v>
      </c>
      <c r="K113" s="522" t="s">
        <v>357</v>
      </c>
      <c r="L113" s="40">
        <v>196000</v>
      </c>
      <c r="M113" s="522" t="s">
        <v>99</v>
      </c>
      <c r="N113" s="551"/>
    </row>
    <row r="114" spans="1:15" s="455" customFormat="1" ht="13.5">
      <c r="A114" s="471" t="s">
        <v>426</v>
      </c>
      <c r="B114" s="454" t="s">
        <v>102</v>
      </c>
      <c r="C114" s="471" t="s">
        <v>391</v>
      </c>
      <c r="D114" s="457" t="s">
        <v>423</v>
      </c>
      <c r="E114" s="583"/>
      <c r="F114" s="471"/>
      <c r="G114" s="477"/>
      <c r="H114" s="526"/>
      <c r="I114" s="526"/>
      <c r="J114" s="526"/>
      <c r="K114" s="471"/>
      <c r="L114" s="527"/>
      <c r="M114" s="471"/>
      <c r="N114" s="552"/>
    </row>
    <row r="115" spans="1:15" s="455" customFormat="1" ht="13.5">
      <c r="A115" s="471" t="s">
        <v>426</v>
      </c>
      <c r="B115" s="454" t="s">
        <v>102</v>
      </c>
      <c r="C115" s="471" t="s">
        <v>424</v>
      </c>
      <c r="D115" s="457" t="s">
        <v>1168</v>
      </c>
      <c r="E115" s="583" t="s">
        <v>1165</v>
      </c>
      <c r="F115" s="471"/>
      <c r="G115" s="477"/>
      <c r="H115" s="526"/>
      <c r="I115" s="526"/>
      <c r="J115" s="526"/>
      <c r="K115" s="471"/>
      <c r="L115" s="527"/>
      <c r="M115" s="471"/>
      <c r="N115" s="552"/>
    </row>
    <row r="116" spans="1:15" s="455" customFormat="1" ht="13.5">
      <c r="A116" s="471" t="s">
        <v>426</v>
      </c>
      <c r="B116" s="454" t="s">
        <v>102</v>
      </c>
      <c r="C116" s="528" t="s">
        <v>425</v>
      </c>
      <c r="D116" s="459" t="s">
        <v>1169</v>
      </c>
      <c r="E116" s="579" t="s">
        <v>1166</v>
      </c>
      <c r="F116" s="471"/>
      <c r="G116" s="477"/>
      <c r="H116" s="526"/>
      <c r="I116" s="526"/>
      <c r="J116" s="526"/>
      <c r="K116" s="471"/>
      <c r="L116" s="527"/>
      <c r="M116" s="471"/>
      <c r="N116" s="552"/>
    </row>
    <row r="117" spans="1:15" s="455" customFormat="1" ht="13.5">
      <c r="A117" s="471" t="s">
        <v>426</v>
      </c>
      <c r="B117" s="454" t="s">
        <v>102</v>
      </c>
      <c r="C117" s="460"/>
      <c r="D117" s="462" t="s">
        <v>1170</v>
      </c>
      <c r="E117" s="584" t="s">
        <v>1167</v>
      </c>
      <c r="F117" s="461"/>
      <c r="G117" s="460"/>
      <c r="H117" s="460"/>
      <c r="I117" s="460"/>
      <c r="J117" s="460"/>
      <c r="K117" s="460"/>
      <c r="L117" s="52"/>
      <c r="M117" s="460"/>
      <c r="N117" s="553"/>
    </row>
    <row r="118" spans="1:15" s="455" customFormat="1" ht="13.5">
      <c r="C118" s="463"/>
      <c r="D118" s="460"/>
      <c r="E118" s="528"/>
      <c r="F118" s="460"/>
      <c r="G118" s="460"/>
      <c r="H118" s="460"/>
      <c r="I118" s="460"/>
      <c r="J118" s="460"/>
      <c r="K118" s="460"/>
      <c r="L118" s="52"/>
      <c r="M118" s="460"/>
      <c r="N118" s="553"/>
    </row>
    <row r="119" spans="1:15" s="455" customFormat="1" ht="27">
      <c r="A119" s="471" t="s">
        <v>426</v>
      </c>
      <c r="B119" s="454" t="s">
        <v>102</v>
      </c>
      <c r="C119" s="521" t="s">
        <v>421</v>
      </c>
      <c r="D119" s="522" t="s">
        <v>2</v>
      </c>
      <c r="E119" s="522" t="s">
        <v>94</v>
      </c>
      <c r="F119" s="522" t="s">
        <v>422</v>
      </c>
      <c r="G119" s="524" t="s">
        <v>1</v>
      </c>
      <c r="H119" s="525" t="s">
        <v>117</v>
      </c>
      <c r="I119" s="525" t="s">
        <v>118</v>
      </c>
      <c r="J119" s="525" t="s">
        <v>119</v>
      </c>
      <c r="K119" s="522" t="s">
        <v>357</v>
      </c>
      <c r="L119" s="40">
        <v>29832</v>
      </c>
      <c r="M119" s="522" t="s">
        <v>99</v>
      </c>
      <c r="N119" s="551"/>
    </row>
    <row r="120" spans="1:15" s="455" customFormat="1" ht="13.5">
      <c r="A120" s="471" t="s">
        <v>426</v>
      </c>
      <c r="B120" s="454" t="s">
        <v>102</v>
      </c>
      <c r="C120" s="471" t="s">
        <v>391</v>
      </c>
      <c r="D120" s="464" t="s">
        <v>1171</v>
      </c>
      <c r="E120" s="480" t="s">
        <v>1185</v>
      </c>
      <c r="F120" s="471"/>
      <c r="G120" s="477"/>
      <c r="H120" s="526"/>
      <c r="I120" s="526"/>
      <c r="J120" s="526"/>
      <c r="K120" s="471"/>
      <c r="L120" s="527"/>
      <c r="M120" s="471"/>
      <c r="N120" s="552"/>
    </row>
    <row r="121" spans="1:15" s="455" customFormat="1" ht="13.5">
      <c r="A121" s="471" t="s">
        <v>426</v>
      </c>
      <c r="B121" s="454" t="s">
        <v>102</v>
      </c>
      <c r="C121" s="471" t="s">
        <v>424</v>
      </c>
      <c r="D121" s="464" t="s">
        <v>1173</v>
      </c>
      <c r="E121" s="480" t="s">
        <v>1186</v>
      </c>
      <c r="F121" s="471"/>
      <c r="G121" s="477"/>
      <c r="H121" s="526"/>
      <c r="I121" s="526"/>
      <c r="J121" s="526"/>
      <c r="K121" s="471"/>
      <c r="L121" s="527"/>
      <c r="M121" s="471"/>
      <c r="N121" s="552"/>
    </row>
    <row r="122" spans="1:15" s="455" customFormat="1" ht="13.5">
      <c r="A122" s="471" t="s">
        <v>426</v>
      </c>
      <c r="B122" s="454" t="s">
        <v>102</v>
      </c>
      <c r="C122" s="528" t="s">
        <v>425</v>
      </c>
      <c r="D122" s="465" t="s">
        <v>1174</v>
      </c>
      <c r="E122" s="578" t="s">
        <v>1187</v>
      </c>
      <c r="F122" s="471"/>
      <c r="G122" s="477"/>
      <c r="H122" s="526"/>
      <c r="I122" s="526"/>
      <c r="J122" s="526"/>
      <c r="K122" s="471"/>
      <c r="L122" s="527"/>
      <c r="M122" s="471"/>
      <c r="N122" s="552"/>
    </row>
    <row r="123" spans="1:15" s="455" customFormat="1" ht="13.5">
      <c r="A123" s="471" t="s">
        <v>426</v>
      </c>
      <c r="B123" s="454" t="s">
        <v>102</v>
      </c>
      <c r="C123" s="471" t="s">
        <v>426</v>
      </c>
      <c r="D123" s="459" t="s">
        <v>1175</v>
      </c>
      <c r="E123" s="579" t="s">
        <v>1188</v>
      </c>
      <c r="F123" s="471"/>
      <c r="G123" s="477"/>
      <c r="H123" s="526"/>
      <c r="I123" s="526"/>
      <c r="J123" s="526"/>
      <c r="K123" s="471"/>
      <c r="L123" s="527"/>
      <c r="M123" s="471"/>
      <c r="N123" s="552"/>
    </row>
    <row r="124" spans="1:15" s="455" customFormat="1" ht="13.5">
      <c r="A124" s="471" t="s">
        <v>426</v>
      </c>
      <c r="B124" s="454" t="s">
        <v>102</v>
      </c>
      <c r="C124" s="528"/>
      <c r="D124" s="459" t="s">
        <v>1176</v>
      </c>
      <c r="E124" s="579" t="s">
        <v>1189</v>
      </c>
      <c r="F124" s="471"/>
      <c r="G124" s="477"/>
      <c r="H124" s="526"/>
      <c r="I124" s="526"/>
      <c r="J124" s="526"/>
      <c r="K124" s="471"/>
      <c r="L124" s="527"/>
      <c r="M124" s="471"/>
      <c r="N124" s="552"/>
    </row>
    <row r="125" spans="1:15" s="455" customFormat="1" ht="13.5">
      <c r="A125" s="471" t="s">
        <v>426</v>
      </c>
      <c r="B125" s="454" t="s">
        <v>102</v>
      </c>
      <c r="C125" s="528"/>
      <c r="D125" s="459" t="s">
        <v>1177</v>
      </c>
      <c r="E125" s="579" t="s">
        <v>1189</v>
      </c>
      <c r="F125" s="471"/>
      <c r="G125" s="477"/>
      <c r="H125" s="526"/>
      <c r="I125" s="526"/>
      <c r="J125" s="526"/>
      <c r="K125" s="471"/>
      <c r="L125" s="527"/>
      <c r="M125" s="471"/>
      <c r="N125" s="552"/>
    </row>
    <row r="126" spans="1:15" s="455" customFormat="1" ht="13.5">
      <c r="A126" s="471" t="s">
        <v>426</v>
      </c>
      <c r="B126" s="454" t="s">
        <v>102</v>
      </c>
      <c r="C126" s="528"/>
      <c r="D126" s="459" t="s">
        <v>1183</v>
      </c>
      <c r="E126" s="579" t="s">
        <v>1190</v>
      </c>
      <c r="F126" s="466"/>
      <c r="G126" s="471"/>
      <c r="H126" s="477"/>
      <c r="I126" s="526"/>
      <c r="J126" s="526"/>
      <c r="K126" s="526"/>
      <c r="L126" s="473"/>
      <c r="M126" s="529"/>
      <c r="N126" s="554"/>
      <c r="O126" s="565"/>
    </row>
    <row r="127" spans="1:15" s="455" customFormat="1" ht="13.5">
      <c r="A127" s="471" t="s">
        <v>426</v>
      </c>
      <c r="B127" s="454" t="s">
        <v>102</v>
      </c>
      <c r="C127" s="460"/>
      <c r="D127" s="461" t="s">
        <v>1184</v>
      </c>
      <c r="E127" s="470" t="s">
        <v>1191</v>
      </c>
      <c r="F127" s="461"/>
      <c r="G127" s="461"/>
      <c r="H127" s="460"/>
      <c r="I127" s="460"/>
      <c r="J127" s="460"/>
      <c r="K127" s="460"/>
      <c r="L127" s="52"/>
      <c r="M127" s="530"/>
      <c r="N127" s="553"/>
    </row>
    <row r="128" spans="1:15" s="455" customFormat="1" ht="13.5">
      <c r="A128" s="471" t="s">
        <v>426</v>
      </c>
      <c r="B128" s="454" t="s">
        <v>102</v>
      </c>
      <c r="C128" s="460"/>
      <c r="D128" s="460"/>
      <c r="E128" s="528"/>
      <c r="F128" s="460"/>
      <c r="G128" s="460"/>
      <c r="H128" s="460"/>
      <c r="I128" s="460"/>
      <c r="J128" s="460"/>
      <c r="K128" s="460"/>
      <c r="L128" s="52"/>
      <c r="M128" s="460"/>
      <c r="N128" s="553"/>
    </row>
    <row r="129" spans="1:15" s="455" customFormat="1" ht="27">
      <c r="A129" s="471" t="s">
        <v>426</v>
      </c>
      <c r="B129" s="454" t="s">
        <v>102</v>
      </c>
      <c r="C129" s="521" t="s">
        <v>421</v>
      </c>
      <c r="D129" s="522" t="s">
        <v>2</v>
      </c>
      <c r="E129" s="522" t="s">
        <v>94</v>
      </c>
      <c r="F129" s="522" t="s">
        <v>422</v>
      </c>
      <c r="G129" s="524" t="s">
        <v>1</v>
      </c>
      <c r="H129" s="525" t="s">
        <v>117</v>
      </c>
      <c r="I129" s="525" t="s">
        <v>118</v>
      </c>
      <c r="J129" s="525" t="s">
        <v>119</v>
      </c>
      <c r="K129" s="522" t="s">
        <v>357</v>
      </c>
      <c r="L129" s="40">
        <v>80193</v>
      </c>
      <c r="M129" s="522" t="s">
        <v>99</v>
      </c>
      <c r="N129" s="551"/>
    </row>
    <row r="130" spans="1:15" s="455" customFormat="1" ht="13.5">
      <c r="A130" s="471" t="s">
        <v>426</v>
      </c>
      <c r="B130" s="454" t="s">
        <v>102</v>
      </c>
      <c r="C130" s="471" t="s">
        <v>391</v>
      </c>
      <c r="D130" s="464" t="s">
        <v>1172</v>
      </c>
      <c r="E130" s="480" t="s">
        <v>1190</v>
      </c>
      <c r="F130" s="471"/>
      <c r="G130" s="477"/>
      <c r="H130" s="526"/>
      <c r="I130" s="526"/>
      <c r="J130" s="526"/>
      <c r="K130" s="471"/>
      <c r="L130" s="527"/>
      <c r="M130" s="471"/>
      <c r="N130" s="552"/>
    </row>
    <row r="131" spans="1:15" s="455" customFormat="1" ht="13.5">
      <c r="A131" s="471" t="s">
        <v>426</v>
      </c>
      <c r="B131" s="454" t="s">
        <v>102</v>
      </c>
      <c r="C131" s="471" t="s">
        <v>424</v>
      </c>
      <c r="D131" s="464" t="s">
        <v>1178</v>
      </c>
      <c r="E131" s="480" t="s">
        <v>1190</v>
      </c>
      <c r="F131" s="471"/>
      <c r="G131" s="477"/>
      <c r="H131" s="526"/>
      <c r="I131" s="526"/>
      <c r="J131" s="526"/>
      <c r="K131" s="471"/>
      <c r="L131" s="527"/>
      <c r="M131" s="471"/>
      <c r="N131" s="552"/>
    </row>
    <row r="132" spans="1:15" s="455" customFormat="1" ht="13.5">
      <c r="A132" s="471" t="s">
        <v>426</v>
      </c>
      <c r="B132" s="454" t="s">
        <v>102</v>
      </c>
      <c r="C132" s="528" t="s">
        <v>425</v>
      </c>
      <c r="D132" s="465" t="s">
        <v>1179</v>
      </c>
      <c r="E132" s="578" t="s">
        <v>1195</v>
      </c>
      <c r="F132" s="471"/>
      <c r="G132" s="477"/>
      <c r="H132" s="526"/>
      <c r="I132" s="526"/>
      <c r="J132" s="526"/>
      <c r="K132" s="471"/>
      <c r="L132" s="527"/>
      <c r="M132" s="471"/>
      <c r="N132" s="552"/>
    </row>
    <row r="133" spans="1:15" s="455" customFormat="1" ht="13.5">
      <c r="A133" s="471" t="s">
        <v>426</v>
      </c>
      <c r="B133" s="454" t="s">
        <v>102</v>
      </c>
      <c r="C133" s="471" t="s">
        <v>426</v>
      </c>
      <c r="D133" s="459" t="s">
        <v>1180</v>
      </c>
      <c r="E133" s="579" t="s">
        <v>1196</v>
      </c>
      <c r="F133" s="466"/>
      <c r="G133" s="471"/>
      <c r="H133" s="477"/>
      <c r="I133" s="526"/>
      <c r="J133" s="526"/>
      <c r="K133" s="526"/>
      <c r="L133" s="473"/>
      <c r="M133" s="529"/>
      <c r="N133" s="554"/>
      <c r="O133" s="565"/>
    </row>
    <row r="134" spans="1:15" s="455" customFormat="1" ht="13.5">
      <c r="A134" s="471" t="s">
        <v>426</v>
      </c>
      <c r="B134" s="454" t="s">
        <v>102</v>
      </c>
      <c r="C134" s="528"/>
      <c r="D134" s="459" t="s">
        <v>1181</v>
      </c>
      <c r="E134" s="579" t="s">
        <v>1197</v>
      </c>
      <c r="F134" s="466"/>
      <c r="G134" s="471"/>
      <c r="H134" s="477"/>
      <c r="I134" s="526"/>
      <c r="J134" s="526"/>
      <c r="K134" s="526"/>
      <c r="L134" s="473"/>
      <c r="M134" s="529"/>
      <c r="N134" s="554"/>
      <c r="O134" s="565"/>
    </row>
    <row r="135" spans="1:15" s="455" customFormat="1" ht="13.5">
      <c r="A135" s="471" t="s">
        <v>426</v>
      </c>
      <c r="B135" s="454" t="s">
        <v>102</v>
      </c>
      <c r="C135" s="528"/>
      <c r="D135" s="459" t="s">
        <v>1182</v>
      </c>
      <c r="E135" s="579" t="s">
        <v>1197</v>
      </c>
      <c r="F135" s="466"/>
      <c r="G135" s="471"/>
      <c r="H135" s="477"/>
      <c r="I135" s="526"/>
      <c r="J135" s="526"/>
      <c r="K135" s="526"/>
      <c r="L135" s="473"/>
      <c r="M135" s="529"/>
      <c r="N135" s="554"/>
      <c r="O135" s="565"/>
    </row>
    <row r="136" spans="1:15" s="455" customFormat="1" ht="13.5">
      <c r="A136" s="471" t="s">
        <v>426</v>
      </c>
      <c r="B136" s="454" t="s">
        <v>102</v>
      </c>
      <c r="C136" s="528"/>
      <c r="D136" s="459" t="s">
        <v>1192</v>
      </c>
      <c r="E136" s="579" t="s">
        <v>1198</v>
      </c>
      <c r="F136" s="466"/>
      <c r="G136" s="471"/>
      <c r="H136" s="477"/>
      <c r="I136" s="526"/>
      <c r="J136" s="526"/>
      <c r="K136" s="526"/>
      <c r="L136" s="473"/>
      <c r="M136" s="529"/>
      <c r="N136" s="554"/>
      <c r="O136" s="565"/>
    </row>
    <row r="137" spans="1:15" s="455" customFormat="1" ht="13.5">
      <c r="A137" s="471" t="s">
        <v>426</v>
      </c>
      <c r="B137" s="454" t="s">
        <v>102</v>
      </c>
      <c r="C137" s="528"/>
      <c r="D137" s="461" t="s">
        <v>1193</v>
      </c>
      <c r="E137" s="470" t="s">
        <v>1190</v>
      </c>
      <c r="F137" s="461"/>
      <c r="G137" s="471"/>
      <c r="H137" s="477"/>
      <c r="I137" s="526"/>
      <c r="J137" s="526"/>
      <c r="K137" s="526"/>
      <c r="L137" s="473"/>
      <c r="M137" s="529"/>
      <c r="N137" s="554"/>
      <c r="O137" s="565"/>
    </row>
    <row r="138" spans="1:15" s="455" customFormat="1" ht="13.5">
      <c r="A138" s="471" t="s">
        <v>426</v>
      </c>
      <c r="B138" s="454" t="s">
        <v>102</v>
      </c>
      <c r="C138" s="460"/>
      <c r="D138" s="460" t="s">
        <v>1194</v>
      </c>
      <c r="E138" s="528" t="s">
        <v>1199</v>
      </c>
      <c r="F138" s="460"/>
      <c r="G138" s="461"/>
      <c r="H138" s="460"/>
      <c r="I138" s="460"/>
      <c r="J138" s="460"/>
      <c r="K138" s="460"/>
      <c r="L138" s="52"/>
      <c r="M138" s="530"/>
      <c r="N138" s="553"/>
    </row>
    <row r="139" spans="1:15" s="455" customFormat="1" ht="13.5">
      <c r="A139" s="471" t="s">
        <v>426</v>
      </c>
      <c r="B139" s="454" t="s">
        <v>102</v>
      </c>
      <c r="C139" s="460"/>
      <c r="D139" s="460"/>
      <c r="E139" s="528"/>
      <c r="F139" s="460"/>
      <c r="G139" s="460"/>
      <c r="H139" s="460"/>
      <c r="I139" s="460"/>
      <c r="J139" s="460"/>
      <c r="K139" s="460"/>
      <c r="L139" s="52"/>
      <c r="M139" s="460"/>
      <c r="N139" s="553"/>
    </row>
    <row r="140" spans="1:15" s="455" customFormat="1" ht="13.5">
      <c r="A140" s="471" t="s">
        <v>426</v>
      </c>
      <c r="B140" s="454" t="s">
        <v>102</v>
      </c>
      <c r="C140" s="460"/>
      <c r="D140" s="460"/>
      <c r="E140" s="528"/>
      <c r="F140" s="460"/>
      <c r="G140" s="460"/>
      <c r="H140" s="460"/>
      <c r="I140" s="460"/>
      <c r="J140" s="460"/>
      <c r="K140" s="460"/>
      <c r="L140" s="52"/>
      <c r="M140" s="460"/>
      <c r="N140" s="553"/>
    </row>
    <row r="141" spans="1:15" s="455" customFormat="1" ht="13.5">
      <c r="A141" s="471" t="s">
        <v>426</v>
      </c>
      <c r="B141" s="454" t="s">
        <v>102</v>
      </c>
      <c r="C141" s="460"/>
      <c r="D141" s="460"/>
      <c r="E141" s="528"/>
      <c r="F141" s="460"/>
      <c r="G141" s="460"/>
      <c r="H141" s="460"/>
      <c r="I141" s="460"/>
      <c r="J141" s="460"/>
      <c r="K141" s="460"/>
      <c r="L141" s="52"/>
      <c r="M141" s="460"/>
      <c r="N141" s="553"/>
    </row>
    <row r="142" spans="1:15" s="455" customFormat="1" ht="27">
      <c r="A142" s="471" t="s">
        <v>426</v>
      </c>
      <c r="B142" s="454" t="s">
        <v>102</v>
      </c>
      <c r="C142" s="521" t="s">
        <v>421</v>
      </c>
      <c r="D142" s="522" t="s">
        <v>2</v>
      </c>
      <c r="E142" s="522" t="s">
        <v>94</v>
      </c>
      <c r="F142" s="522" t="s">
        <v>422</v>
      </c>
      <c r="G142" s="524" t="s">
        <v>1</v>
      </c>
      <c r="H142" s="525" t="s">
        <v>117</v>
      </c>
      <c r="I142" s="525" t="s">
        <v>118</v>
      </c>
      <c r="J142" s="525" t="s">
        <v>119</v>
      </c>
      <c r="K142" s="522" t="s">
        <v>357</v>
      </c>
      <c r="L142" s="40">
        <v>9000</v>
      </c>
      <c r="M142" s="522" t="s">
        <v>99</v>
      </c>
      <c r="N142" s="551"/>
    </row>
    <row r="143" spans="1:15" s="455" customFormat="1" ht="13.5">
      <c r="A143" s="471" t="s">
        <v>426</v>
      </c>
      <c r="B143" s="454" t="s">
        <v>102</v>
      </c>
      <c r="C143" s="471" t="s">
        <v>391</v>
      </c>
      <c r="D143" s="464" t="s">
        <v>432</v>
      </c>
      <c r="E143" s="576" t="s">
        <v>433</v>
      </c>
      <c r="F143" s="471"/>
      <c r="G143" s="477"/>
      <c r="H143" s="526"/>
      <c r="I143" s="526"/>
      <c r="J143" s="526"/>
      <c r="K143" s="471"/>
      <c r="L143" s="527"/>
      <c r="M143" s="471"/>
      <c r="N143" s="552"/>
    </row>
    <row r="144" spans="1:15" s="455" customFormat="1" ht="13.5">
      <c r="A144" s="471" t="s">
        <v>426</v>
      </c>
      <c r="B144" s="454" t="s">
        <v>102</v>
      </c>
      <c r="C144" s="471" t="s">
        <v>424</v>
      </c>
      <c r="D144" s="464"/>
      <c r="E144" s="576"/>
      <c r="F144" s="464"/>
      <c r="G144" s="471"/>
      <c r="H144" s="477"/>
      <c r="I144" s="526"/>
      <c r="J144" s="526"/>
      <c r="K144" s="526"/>
      <c r="L144" s="473"/>
      <c r="M144" s="529"/>
      <c r="N144" s="554"/>
      <c r="O144" s="565"/>
    </row>
    <row r="145" spans="1:15" s="455" customFormat="1" ht="13.5">
      <c r="A145" s="471" t="s">
        <v>426</v>
      </c>
      <c r="B145" s="454" t="s">
        <v>102</v>
      </c>
      <c r="C145" s="528" t="s">
        <v>425</v>
      </c>
      <c r="D145" s="456"/>
      <c r="E145" s="578"/>
      <c r="F145" s="465"/>
      <c r="G145" s="471"/>
      <c r="H145" s="477"/>
      <c r="I145" s="526"/>
      <c r="J145" s="526"/>
      <c r="K145" s="526"/>
      <c r="L145" s="473"/>
      <c r="M145" s="529"/>
      <c r="N145" s="554"/>
      <c r="O145" s="565"/>
    </row>
    <row r="146" spans="1:15" s="455" customFormat="1" ht="13.5">
      <c r="A146" s="471" t="s">
        <v>426</v>
      </c>
      <c r="B146" s="454" t="s">
        <v>102</v>
      </c>
      <c r="C146" s="471" t="s">
        <v>426</v>
      </c>
      <c r="D146" s="456"/>
      <c r="E146" s="579"/>
      <c r="F146" s="466"/>
      <c r="G146" s="471"/>
      <c r="H146" s="477"/>
      <c r="I146" s="526"/>
      <c r="J146" s="526"/>
      <c r="K146" s="526"/>
      <c r="L146" s="473"/>
      <c r="M146" s="529"/>
      <c r="N146" s="554"/>
      <c r="O146" s="565"/>
    </row>
    <row r="147" spans="1:15" s="455" customFormat="1" ht="13.5">
      <c r="C147" s="528"/>
      <c r="D147" s="456"/>
      <c r="E147" s="579"/>
      <c r="F147" s="466"/>
      <c r="G147" s="471"/>
      <c r="H147" s="477"/>
      <c r="I147" s="526"/>
      <c r="J147" s="526"/>
      <c r="K147" s="526"/>
      <c r="L147" s="473"/>
      <c r="M147" s="529"/>
      <c r="N147" s="554"/>
      <c r="O147" s="565"/>
    </row>
    <row r="148" spans="1:15" s="455" customFormat="1" ht="13.5">
      <c r="C148" s="460"/>
      <c r="D148" s="460"/>
      <c r="E148" s="528"/>
      <c r="F148" s="460"/>
      <c r="G148" s="460"/>
      <c r="H148" s="460"/>
      <c r="I148" s="460"/>
      <c r="J148" s="460"/>
      <c r="K148" s="460"/>
      <c r="L148" s="52"/>
      <c r="M148" s="460"/>
      <c r="N148" s="553"/>
    </row>
    <row r="149" spans="1:15" s="455" customFormat="1" ht="27">
      <c r="A149" s="471" t="s">
        <v>426</v>
      </c>
      <c r="B149" s="454" t="s">
        <v>102</v>
      </c>
      <c r="C149" s="521" t="s">
        <v>421</v>
      </c>
      <c r="D149" s="522" t="s">
        <v>2</v>
      </c>
      <c r="E149" s="522" t="s">
        <v>94</v>
      </c>
      <c r="F149" s="522" t="s">
        <v>422</v>
      </c>
      <c r="G149" s="524" t="s">
        <v>1</v>
      </c>
      <c r="H149" s="525" t="s">
        <v>117</v>
      </c>
      <c r="I149" s="525" t="s">
        <v>118</v>
      </c>
      <c r="J149" s="525" t="s">
        <v>119</v>
      </c>
      <c r="K149" s="522" t="s">
        <v>357</v>
      </c>
      <c r="L149" s="40">
        <v>100000</v>
      </c>
      <c r="M149" s="522" t="s">
        <v>99</v>
      </c>
      <c r="N149" s="551"/>
    </row>
    <row r="150" spans="1:15" s="455" customFormat="1" ht="13.5">
      <c r="A150" s="471" t="s">
        <v>426</v>
      </c>
      <c r="B150" s="454" t="s">
        <v>102</v>
      </c>
      <c r="C150" s="471" t="s">
        <v>391</v>
      </c>
      <c r="D150" s="464" t="s">
        <v>429</v>
      </c>
      <c r="E150" s="576"/>
      <c r="F150" s="471"/>
      <c r="G150" s="477"/>
      <c r="H150" s="526"/>
      <c r="I150" s="526"/>
      <c r="J150" s="526"/>
      <c r="K150" s="471"/>
      <c r="L150" s="527"/>
      <c r="M150" s="471"/>
      <c r="N150" s="552"/>
    </row>
    <row r="151" spans="1:15" s="455" customFormat="1" ht="13.5">
      <c r="A151" s="471" t="s">
        <v>426</v>
      </c>
      <c r="B151" s="454" t="s">
        <v>102</v>
      </c>
      <c r="C151" s="471" t="s">
        <v>424</v>
      </c>
      <c r="D151" s="464"/>
      <c r="E151" s="576"/>
      <c r="F151" s="471"/>
      <c r="G151" s="477"/>
      <c r="H151" s="526"/>
      <c r="I151" s="526"/>
      <c r="J151" s="526"/>
      <c r="K151" s="471"/>
      <c r="L151" s="527"/>
      <c r="M151" s="471"/>
      <c r="N151" s="552"/>
    </row>
    <row r="152" spans="1:15" s="455" customFormat="1" ht="13.5">
      <c r="A152" s="471" t="s">
        <v>426</v>
      </c>
      <c r="B152" s="454" t="s">
        <v>102</v>
      </c>
      <c r="C152" s="528" t="s">
        <v>425</v>
      </c>
      <c r="D152" s="456"/>
      <c r="E152" s="578"/>
      <c r="F152" s="471"/>
      <c r="G152" s="477"/>
      <c r="H152" s="526"/>
      <c r="I152" s="526"/>
      <c r="J152" s="526"/>
      <c r="K152" s="471"/>
      <c r="L152" s="527"/>
      <c r="M152" s="471"/>
      <c r="N152" s="552"/>
    </row>
    <row r="153" spans="1:15" s="455" customFormat="1" ht="13.5">
      <c r="A153" s="471" t="s">
        <v>426</v>
      </c>
      <c r="B153" s="454" t="s">
        <v>102</v>
      </c>
      <c r="C153" s="471" t="s">
        <v>426</v>
      </c>
      <c r="D153" s="456"/>
      <c r="E153" s="579"/>
      <c r="F153" s="471"/>
      <c r="G153" s="477"/>
      <c r="H153" s="526"/>
      <c r="I153" s="526"/>
      <c r="J153" s="526"/>
      <c r="K153" s="471"/>
      <c r="L153" s="527"/>
      <c r="M153" s="471"/>
      <c r="N153" s="552"/>
    </row>
    <row r="154" spans="1:15" s="455" customFormat="1" ht="13.5">
      <c r="C154" s="528"/>
      <c r="D154" s="456"/>
      <c r="E154" s="579"/>
      <c r="F154" s="471"/>
      <c r="G154" s="477"/>
      <c r="H154" s="526"/>
      <c r="I154" s="526"/>
      <c r="J154" s="526"/>
      <c r="K154" s="471"/>
      <c r="L154" s="527"/>
      <c r="M154" s="471"/>
      <c r="N154" s="552"/>
    </row>
    <row r="155" spans="1:15" s="455" customFormat="1" ht="13.5">
      <c r="C155" s="460"/>
      <c r="D155" s="460"/>
      <c r="E155" s="528"/>
      <c r="F155" s="460"/>
      <c r="G155" s="460"/>
      <c r="H155" s="460"/>
      <c r="I155" s="460"/>
      <c r="J155" s="460"/>
      <c r="K155" s="460"/>
      <c r="L155" s="52"/>
      <c r="M155" s="460"/>
    </row>
    <row r="156" spans="1:15" s="455" customFormat="1" ht="27">
      <c r="A156" s="471" t="s">
        <v>426</v>
      </c>
      <c r="B156" s="454" t="s">
        <v>102</v>
      </c>
      <c r="C156" s="521" t="s">
        <v>421</v>
      </c>
      <c r="D156" s="522" t="s">
        <v>2</v>
      </c>
      <c r="E156" s="522" t="s">
        <v>94</v>
      </c>
      <c r="F156" s="522" t="s">
        <v>422</v>
      </c>
      <c r="G156" s="524" t="s">
        <v>1</v>
      </c>
      <c r="H156" s="525" t="s">
        <v>117</v>
      </c>
      <c r="I156" s="525" t="s">
        <v>118</v>
      </c>
      <c r="J156" s="525" t="s">
        <v>119</v>
      </c>
      <c r="K156" s="522" t="s">
        <v>357</v>
      </c>
      <c r="L156" s="40">
        <v>40000</v>
      </c>
      <c r="M156" s="522" t="s">
        <v>99</v>
      </c>
      <c r="N156" s="551"/>
    </row>
    <row r="157" spans="1:15" s="455" customFormat="1" ht="13.5">
      <c r="A157" s="471" t="s">
        <v>426</v>
      </c>
      <c r="B157" s="454" t="s">
        <v>102</v>
      </c>
      <c r="C157" s="471" t="s">
        <v>391</v>
      </c>
      <c r="D157" s="464" t="s">
        <v>427</v>
      </c>
      <c r="E157" s="576" t="s">
        <v>428</v>
      </c>
      <c r="F157" s="471"/>
      <c r="G157" s="477"/>
      <c r="H157" s="526"/>
      <c r="I157" s="526"/>
      <c r="J157" s="526"/>
      <c r="K157" s="471"/>
      <c r="L157" s="527"/>
      <c r="M157" s="471"/>
      <c r="N157" s="552"/>
    </row>
    <row r="158" spans="1:15" s="455" customFormat="1" ht="13.5">
      <c r="A158" s="471" t="s">
        <v>426</v>
      </c>
      <c r="B158" s="454" t="s">
        <v>102</v>
      </c>
      <c r="C158" s="471" t="s">
        <v>424</v>
      </c>
      <c r="D158" s="456"/>
      <c r="E158" s="480"/>
      <c r="F158" s="471"/>
      <c r="G158" s="477"/>
      <c r="H158" s="526"/>
      <c r="I158" s="526"/>
      <c r="J158" s="526"/>
      <c r="K158" s="471"/>
      <c r="L158" s="527"/>
      <c r="M158" s="471"/>
      <c r="N158" s="552"/>
    </row>
    <row r="159" spans="1:15" s="455" customFormat="1" ht="13.5">
      <c r="A159" s="471" t="s">
        <v>426</v>
      </c>
      <c r="B159" s="454" t="s">
        <v>102</v>
      </c>
      <c r="C159" s="528" t="s">
        <v>425</v>
      </c>
      <c r="D159" s="456"/>
      <c r="E159" s="578"/>
      <c r="F159" s="471"/>
      <c r="G159" s="477"/>
      <c r="H159" s="526"/>
      <c r="I159" s="526"/>
      <c r="J159" s="526"/>
      <c r="K159" s="471"/>
      <c r="L159" s="527"/>
      <c r="M159" s="471"/>
      <c r="N159" s="552"/>
    </row>
    <row r="160" spans="1:15" s="455" customFormat="1" ht="13.5">
      <c r="A160" s="471" t="s">
        <v>426</v>
      </c>
      <c r="B160" s="454" t="s">
        <v>102</v>
      </c>
      <c r="C160" s="471" t="s">
        <v>426</v>
      </c>
      <c r="D160" s="456"/>
      <c r="E160" s="579"/>
      <c r="F160" s="471"/>
      <c r="G160" s="477"/>
      <c r="H160" s="526"/>
      <c r="I160" s="526"/>
      <c r="J160" s="526"/>
      <c r="K160" s="471"/>
      <c r="L160" s="527"/>
      <c r="M160" s="471"/>
      <c r="N160" s="552"/>
    </row>
    <row r="161" spans="1:15" s="455" customFormat="1" ht="13.5">
      <c r="A161" s="471" t="s">
        <v>426</v>
      </c>
      <c r="B161" s="454" t="s">
        <v>102</v>
      </c>
      <c r="C161" s="460"/>
      <c r="D161" s="460"/>
      <c r="E161" s="528"/>
      <c r="F161" s="460"/>
      <c r="G161" s="460"/>
      <c r="H161" s="460"/>
      <c r="I161" s="460"/>
      <c r="J161" s="460"/>
      <c r="K161" s="460"/>
      <c r="L161" s="52"/>
      <c r="M161" s="460"/>
    </row>
    <row r="162" spans="1:15" s="455" customFormat="1" ht="13.5">
      <c r="C162" s="460"/>
      <c r="D162" s="460"/>
      <c r="E162" s="528"/>
      <c r="F162" s="460"/>
      <c r="G162" s="460"/>
      <c r="H162" s="460"/>
      <c r="I162" s="460"/>
      <c r="J162" s="460"/>
      <c r="K162" s="460"/>
      <c r="L162" s="52"/>
      <c r="M162" s="460"/>
    </row>
    <row r="163" spans="1:15" s="455" customFormat="1" ht="27">
      <c r="A163" s="471" t="s">
        <v>426</v>
      </c>
      <c r="B163" s="454" t="s">
        <v>102</v>
      </c>
      <c r="C163" s="521" t="s">
        <v>421</v>
      </c>
      <c r="D163" s="522" t="s">
        <v>2</v>
      </c>
      <c r="E163" s="522" t="s">
        <v>94</v>
      </c>
      <c r="F163" s="522" t="s">
        <v>422</v>
      </c>
      <c r="G163" s="524" t="s">
        <v>1</v>
      </c>
      <c r="H163" s="525" t="s">
        <v>117</v>
      </c>
      <c r="I163" s="525" t="s">
        <v>118</v>
      </c>
      <c r="J163" s="525" t="s">
        <v>119</v>
      </c>
      <c r="K163" s="522" t="s">
        <v>357</v>
      </c>
      <c r="L163" s="40">
        <v>105000</v>
      </c>
      <c r="M163" s="522" t="s">
        <v>99</v>
      </c>
      <c r="N163" s="551"/>
    </row>
    <row r="164" spans="1:15" s="455" customFormat="1" ht="13.5">
      <c r="A164" s="471" t="s">
        <v>426</v>
      </c>
      <c r="B164" s="454" t="s">
        <v>102</v>
      </c>
      <c r="C164" s="471" t="s">
        <v>391</v>
      </c>
      <c r="D164" s="464" t="s">
        <v>430</v>
      </c>
      <c r="E164" s="576" t="s">
        <v>431</v>
      </c>
      <c r="F164" s="471"/>
      <c r="G164" s="477"/>
      <c r="H164" s="526"/>
      <c r="I164" s="526"/>
      <c r="J164" s="526"/>
      <c r="K164" s="471"/>
      <c r="L164" s="527"/>
      <c r="M164" s="471"/>
      <c r="N164" s="552"/>
    </row>
    <row r="165" spans="1:15" s="455" customFormat="1" ht="13.5">
      <c r="A165" s="471" t="s">
        <v>426</v>
      </c>
      <c r="B165" s="454" t="s">
        <v>102</v>
      </c>
      <c r="C165" s="471" t="s">
        <v>424</v>
      </c>
      <c r="D165" s="464"/>
      <c r="E165" s="576"/>
      <c r="F165" s="471"/>
      <c r="G165" s="477"/>
      <c r="H165" s="526"/>
      <c r="I165" s="526"/>
      <c r="J165" s="526"/>
      <c r="K165" s="471"/>
      <c r="L165" s="527"/>
      <c r="M165" s="471"/>
      <c r="N165" s="552"/>
    </row>
    <row r="166" spans="1:15" s="455" customFormat="1" ht="13.5">
      <c r="A166" s="471" t="s">
        <v>426</v>
      </c>
      <c r="B166" s="454" t="s">
        <v>102</v>
      </c>
      <c r="C166" s="528" t="s">
        <v>425</v>
      </c>
      <c r="D166" s="456"/>
      <c r="E166" s="578"/>
      <c r="F166" s="471"/>
      <c r="G166" s="477"/>
      <c r="H166" s="526"/>
      <c r="I166" s="526"/>
      <c r="J166" s="526"/>
      <c r="K166" s="471"/>
      <c r="L166" s="527"/>
      <c r="M166" s="471"/>
      <c r="N166" s="552"/>
    </row>
    <row r="167" spans="1:15" s="455" customFormat="1" ht="13.5">
      <c r="A167" s="471" t="s">
        <v>426</v>
      </c>
      <c r="B167" s="454" t="s">
        <v>102</v>
      </c>
      <c r="C167" s="471" t="s">
        <v>426</v>
      </c>
      <c r="D167" s="456"/>
      <c r="E167" s="579"/>
      <c r="F167" s="466"/>
      <c r="G167" s="471"/>
      <c r="H167" s="477"/>
      <c r="I167" s="526"/>
      <c r="J167" s="526"/>
      <c r="K167" s="526"/>
      <c r="L167" s="473"/>
      <c r="M167" s="529"/>
      <c r="N167" s="554"/>
      <c r="O167" s="565"/>
    </row>
    <row r="168" spans="1:15" s="455" customFormat="1" ht="13.5">
      <c r="C168" s="528"/>
      <c r="D168" s="456"/>
      <c r="E168" s="579"/>
      <c r="F168" s="466"/>
      <c r="G168" s="471"/>
      <c r="H168" s="477"/>
      <c r="I168" s="526"/>
      <c r="J168" s="526"/>
      <c r="K168" s="526"/>
      <c r="L168" s="473"/>
      <c r="M168" s="529"/>
      <c r="N168" s="554"/>
      <c r="O168" s="565"/>
    </row>
    <row r="169" spans="1:15" s="455" customFormat="1" ht="27">
      <c r="A169" s="471" t="s">
        <v>438</v>
      </c>
      <c r="B169" s="467" t="s">
        <v>102</v>
      </c>
      <c r="C169" s="468" t="s">
        <v>115</v>
      </c>
      <c r="D169" s="471" t="s">
        <v>2</v>
      </c>
      <c r="E169" s="577" t="s">
        <v>94</v>
      </c>
      <c r="F169" s="471" t="s">
        <v>3</v>
      </c>
      <c r="G169" s="477" t="s">
        <v>1</v>
      </c>
      <c r="H169" s="526" t="s">
        <v>95</v>
      </c>
      <c r="I169" s="526" t="s">
        <v>96</v>
      </c>
      <c r="J169" s="526" t="s">
        <v>97</v>
      </c>
      <c r="K169" s="471" t="s">
        <v>98</v>
      </c>
      <c r="L169" s="527">
        <v>210000</v>
      </c>
      <c r="M169" s="471" t="s">
        <v>99</v>
      </c>
      <c r="N169" s="552"/>
    </row>
    <row r="170" spans="1:15" s="455" customFormat="1" ht="13.5">
      <c r="A170" s="471" t="s">
        <v>438</v>
      </c>
      <c r="B170" s="467" t="s">
        <v>102</v>
      </c>
      <c r="C170" s="468"/>
      <c r="D170" s="575" t="s">
        <v>439</v>
      </c>
      <c r="E170" s="578" t="s">
        <v>392</v>
      </c>
      <c r="F170" s="471"/>
      <c r="G170" s="477"/>
      <c r="H170" s="526"/>
      <c r="I170" s="526"/>
      <c r="J170" s="526"/>
      <c r="K170" s="471" t="s">
        <v>104</v>
      </c>
      <c r="L170" s="527"/>
      <c r="M170" s="471"/>
      <c r="N170" s="552"/>
    </row>
    <row r="171" spans="1:15" s="455" customFormat="1" ht="27">
      <c r="A171" s="471" t="s">
        <v>438</v>
      </c>
      <c r="B171" s="467" t="s">
        <v>102</v>
      </c>
      <c r="C171" s="468"/>
      <c r="D171" s="575" t="s">
        <v>440</v>
      </c>
      <c r="E171" s="578" t="s">
        <v>393</v>
      </c>
      <c r="F171" s="471"/>
      <c r="G171" s="477"/>
      <c r="H171" s="526"/>
      <c r="I171" s="526"/>
      <c r="J171" s="526"/>
      <c r="K171" s="471" t="s">
        <v>159</v>
      </c>
      <c r="L171" s="527"/>
      <c r="M171" s="471"/>
      <c r="N171" s="552"/>
    </row>
    <row r="172" spans="1:15" s="455" customFormat="1" ht="27">
      <c r="C172" s="468"/>
      <c r="D172" s="456"/>
      <c r="E172" s="578"/>
      <c r="F172" s="471"/>
      <c r="G172" s="477"/>
      <c r="H172" s="526"/>
      <c r="I172" s="526"/>
      <c r="J172" s="526"/>
      <c r="K172" s="471" t="s">
        <v>441</v>
      </c>
      <c r="L172" s="527"/>
      <c r="M172" s="471"/>
      <c r="N172" s="552"/>
    </row>
    <row r="173" spans="1:15" s="455" customFormat="1" ht="27">
      <c r="C173" s="469"/>
      <c r="D173" s="456"/>
      <c r="E173" s="578"/>
      <c r="F173" s="470"/>
      <c r="G173" s="471"/>
      <c r="H173" s="472"/>
      <c r="I173" s="472"/>
      <c r="J173" s="472"/>
      <c r="K173" s="471" t="s">
        <v>442</v>
      </c>
      <c r="L173" s="473"/>
      <c r="M173" s="474"/>
      <c r="N173" s="554"/>
    </row>
    <row r="174" spans="1:15" s="455" customFormat="1" ht="13.5">
      <c r="C174" s="469"/>
      <c r="D174" s="475"/>
      <c r="E174" s="585"/>
      <c r="F174" s="470"/>
      <c r="G174" s="477"/>
      <c r="H174" s="478"/>
      <c r="I174" s="478"/>
      <c r="J174" s="472"/>
      <c r="K174" s="471" t="s">
        <v>443</v>
      </c>
      <c r="L174" s="479"/>
      <c r="M174" s="474"/>
      <c r="N174" s="554"/>
    </row>
    <row r="175" spans="1:15" s="455" customFormat="1" ht="13.5">
      <c r="C175" s="469"/>
      <c r="D175" s="469"/>
      <c r="E175" s="586"/>
      <c r="F175" s="480"/>
      <c r="G175" s="470"/>
      <c r="H175" s="477"/>
      <c r="I175" s="478"/>
      <c r="J175" s="478"/>
      <c r="K175" s="472"/>
      <c r="L175" s="481"/>
      <c r="M175" s="482"/>
      <c r="N175" s="555"/>
      <c r="O175" s="566"/>
    </row>
    <row r="176" spans="1:15" s="455" customFormat="1" ht="27">
      <c r="A176" s="460" t="s">
        <v>452</v>
      </c>
      <c r="B176" s="455" t="s">
        <v>102</v>
      </c>
      <c r="C176" s="521" t="s">
        <v>453</v>
      </c>
      <c r="D176" s="522" t="s">
        <v>2</v>
      </c>
      <c r="E176" s="582" t="s">
        <v>94</v>
      </c>
      <c r="F176" s="522" t="s">
        <v>3</v>
      </c>
      <c r="G176" s="524" t="s">
        <v>1</v>
      </c>
      <c r="H176" s="525" t="s">
        <v>95</v>
      </c>
      <c r="I176" s="525" t="s">
        <v>96</v>
      </c>
      <c r="J176" s="525" t="s">
        <v>97</v>
      </c>
      <c r="K176" s="522" t="s">
        <v>454</v>
      </c>
      <c r="L176" s="40">
        <v>59382.400000000001</v>
      </c>
      <c r="M176" s="522" t="s">
        <v>99</v>
      </c>
      <c r="N176" s="551"/>
    </row>
    <row r="177" spans="1:15" s="455" customFormat="1" ht="13.5">
      <c r="A177" s="460" t="s">
        <v>452</v>
      </c>
      <c r="B177" s="455" t="s">
        <v>102</v>
      </c>
      <c r="C177" s="471" t="s">
        <v>445</v>
      </c>
      <c r="D177" s="589" t="s">
        <v>1200</v>
      </c>
      <c r="E177" s="583" t="s">
        <v>1205</v>
      </c>
      <c r="F177" s="471"/>
      <c r="G177" s="477"/>
      <c r="H177" s="526"/>
      <c r="I177" s="526"/>
      <c r="J177" s="526"/>
      <c r="K177" s="471" t="s">
        <v>104</v>
      </c>
      <c r="L177" s="527"/>
      <c r="M177" s="471"/>
      <c r="N177" s="552"/>
    </row>
    <row r="178" spans="1:15" s="455" customFormat="1" ht="13.5">
      <c r="A178" s="460" t="s">
        <v>452</v>
      </c>
      <c r="B178" s="455" t="s">
        <v>102</v>
      </c>
      <c r="C178" s="471" t="s">
        <v>159</v>
      </c>
      <c r="D178" s="590" t="s">
        <v>1201</v>
      </c>
      <c r="E178" s="579" t="s">
        <v>1205</v>
      </c>
      <c r="F178" s="471"/>
      <c r="G178" s="477"/>
      <c r="H178" s="526"/>
      <c r="I178" s="526"/>
      <c r="J178" s="526"/>
      <c r="K178" s="471"/>
      <c r="L178" s="527"/>
      <c r="M178" s="471"/>
      <c r="N178" s="552"/>
    </row>
    <row r="179" spans="1:15" s="455" customFormat="1" ht="13.5">
      <c r="A179" s="460" t="s">
        <v>452</v>
      </c>
      <c r="B179" s="455" t="s">
        <v>102</v>
      </c>
      <c r="C179" s="471" t="s">
        <v>455</v>
      </c>
      <c r="D179" s="590" t="s">
        <v>1202</v>
      </c>
      <c r="E179" s="579" t="s">
        <v>1206</v>
      </c>
      <c r="F179" s="471"/>
      <c r="G179" s="477"/>
      <c r="H179" s="526"/>
      <c r="I179" s="526"/>
      <c r="J179" s="526"/>
      <c r="K179" s="471"/>
      <c r="L179" s="527"/>
      <c r="M179" s="471"/>
      <c r="N179" s="552"/>
    </row>
    <row r="180" spans="1:15" s="455" customFormat="1" ht="13.5">
      <c r="A180" s="460" t="s">
        <v>452</v>
      </c>
      <c r="B180" s="455" t="s">
        <v>102</v>
      </c>
      <c r="C180" s="471" t="s">
        <v>456</v>
      </c>
      <c r="D180" s="590" t="s">
        <v>1203</v>
      </c>
      <c r="E180" s="579" t="s">
        <v>370</v>
      </c>
      <c r="F180" s="466"/>
      <c r="G180" s="471"/>
      <c r="H180" s="477"/>
      <c r="I180" s="526"/>
      <c r="J180" s="526"/>
      <c r="K180" s="526"/>
      <c r="L180" s="473"/>
      <c r="M180" s="529"/>
      <c r="N180" s="554"/>
      <c r="O180" s="565"/>
    </row>
    <row r="181" spans="1:15" s="455" customFormat="1" ht="13.5">
      <c r="A181" s="460" t="s">
        <v>452</v>
      </c>
      <c r="B181" s="455" t="s">
        <v>102</v>
      </c>
      <c r="C181" s="471" t="s">
        <v>457</v>
      </c>
      <c r="D181" s="591" t="s">
        <v>1204</v>
      </c>
      <c r="E181" s="578" t="s">
        <v>193</v>
      </c>
      <c r="F181" s="465"/>
      <c r="G181" s="471"/>
      <c r="H181" s="477"/>
      <c r="I181" s="526"/>
      <c r="J181" s="526"/>
      <c r="K181" s="526"/>
      <c r="L181" s="473"/>
      <c r="M181" s="529"/>
      <c r="N181" s="554"/>
      <c r="O181" s="565"/>
    </row>
    <row r="182" spans="1:15" s="455" customFormat="1" ht="13.5">
      <c r="C182" s="460"/>
      <c r="D182" s="460"/>
      <c r="E182" s="528"/>
      <c r="F182" s="460"/>
      <c r="G182" s="460"/>
      <c r="H182" s="460"/>
      <c r="I182" s="460"/>
      <c r="J182" s="460"/>
      <c r="K182" s="460"/>
      <c r="L182" s="52"/>
      <c r="M182" s="460"/>
      <c r="N182" s="553"/>
    </row>
    <row r="183" spans="1:15" s="455" customFormat="1" ht="27">
      <c r="A183" s="460" t="s">
        <v>452</v>
      </c>
      <c r="B183" s="455" t="s">
        <v>102</v>
      </c>
      <c r="C183" s="521" t="s">
        <v>453</v>
      </c>
      <c r="D183" s="522" t="s">
        <v>2</v>
      </c>
      <c r="E183" s="582" t="s">
        <v>94</v>
      </c>
      <c r="F183" s="522" t="s">
        <v>3</v>
      </c>
      <c r="G183" s="524" t="s">
        <v>1</v>
      </c>
      <c r="H183" s="525" t="s">
        <v>117</v>
      </c>
      <c r="I183" s="525" t="s">
        <v>118</v>
      </c>
      <c r="J183" s="525" t="s">
        <v>119</v>
      </c>
      <c r="K183" s="522" t="s">
        <v>384</v>
      </c>
      <c r="L183" s="40">
        <v>9630</v>
      </c>
      <c r="M183" s="522" t="s">
        <v>99</v>
      </c>
      <c r="O183" s="483"/>
    </row>
    <row r="184" spans="1:15" s="455" customFormat="1" ht="13.5">
      <c r="A184" s="460" t="s">
        <v>452</v>
      </c>
      <c r="B184" s="455" t="s">
        <v>102</v>
      </c>
      <c r="C184" s="471" t="s">
        <v>445</v>
      </c>
      <c r="D184" s="583" t="s">
        <v>1207</v>
      </c>
      <c r="E184" s="583" t="s">
        <v>1216</v>
      </c>
      <c r="F184" s="471"/>
      <c r="G184" s="477"/>
      <c r="H184" s="526"/>
      <c r="I184" s="526"/>
      <c r="J184" s="526"/>
      <c r="K184" s="471" t="s">
        <v>104</v>
      </c>
      <c r="L184" s="527"/>
      <c r="M184" s="471"/>
      <c r="O184" s="565"/>
    </row>
    <row r="185" spans="1:15" s="455" customFormat="1" ht="13.5">
      <c r="A185" s="460" t="s">
        <v>452</v>
      </c>
      <c r="B185" s="455" t="s">
        <v>102</v>
      </c>
      <c r="C185" s="471" t="s">
        <v>159</v>
      </c>
      <c r="D185" s="579" t="s">
        <v>1208</v>
      </c>
      <c r="E185" s="579" t="s">
        <v>1216</v>
      </c>
      <c r="F185" s="466"/>
      <c r="G185" s="471"/>
      <c r="H185" s="477"/>
      <c r="I185" s="526"/>
      <c r="J185" s="526"/>
      <c r="K185" s="526"/>
      <c r="L185" s="473"/>
      <c r="M185" s="529"/>
      <c r="N185" s="554"/>
      <c r="O185" s="565"/>
    </row>
    <row r="186" spans="1:15" s="455" customFormat="1" ht="13.5">
      <c r="A186" s="460" t="s">
        <v>452</v>
      </c>
      <c r="B186" s="455" t="s">
        <v>102</v>
      </c>
      <c r="C186" s="471" t="s">
        <v>455</v>
      </c>
      <c r="D186" s="579" t="s">
        <v>1209</v>
      </c>
      <c r="E186" s="579" t="s">
        <v>1216</v>
      </c>
      <c r="F186" s="466"/>
      <c r="G186" s="471"/>
      <c r="H186" s="477"/>
      <c r="I186" s="526"/>
      <c r="J186" s="526"/>
      <c r="K186" s="526"/>
      <c r="L186" s="473"/>
      <c r="M186" s="529"/>
      <c r="N186" s="554"/>
      <c r="O186" s="565"/>
    </row>
    <row r="187" spans="1:15" s="455" customFormat="1" ht="13.5">
      <c r="A187" s="460" t="s">
        <v>452</v>
      </c>
      <c r="B187" s="455" t="s">
        <v>102</v>
      </c>
      <c r="C187" s="471" t="s">
        <v>456</v>
      </c>
      <c r="D187" s="579" t="s">
        <v>1210</v>
      </c>
      <c r="E187" s="579" t="s">
        <v>1217</v>
      </c>
      <c r="F187" s="466"/>
      <c r="G187" s="471"/>
      <c r="H187" s="477"/>
      <c r="I187" s="526"/>
      <c r="J187" s="526"/>
      <c r="K187" s="526"/>
      <c r="L187" s="473"/>
      <c r="M187" s="529"/>
      <c r="N187" s="554"/>
      <c r="O187" s="565"/>
    </row>
    <row r="188" spans="1:15" s="455" customFormat="1" ht="13.5">
      <c r="A188" s="460" t="s">
        <v>452</v>
      </c>
      <c r="B188" s="455" t="s">
        <v>102</v>
      </c>
      <c r="C188" s="471" t="s">
        <v>457</v>
      </c>
      <c r="D188" s="578" t="s">
        <v>458</v>
      </c>
      <c r="E188" s="578" t="s">
        <v>1216</v>
      </c>
      <c r="F188" s="465"/>
      <c r="G188" s="471"/>
      <c r="H188" s="477"/>
      <c r="I188" s="526"/>
      <c r="J188" s="526"/>
      <c r="K188" s="526"/>
      <c r="L188" s="473"/>
      <c r="M188" s="529"/>
      <c r="N188" s="554"/>
      <c r="O188" s="565"/>
    </row>
    <row r="189" spans="1:15" s="455" customFormat="1" ht="13.5">
      <c r="A189" s="460" t="s">
        <v>452</v>
      </c>
      <c r="B189" s="455" t="s">
        <v>102</v>
      </c>
      <c r="C189" s="524"/>
      <c r="D189" s="579" t="s">
        <v>1211</v>
      </c>
      <c r="E189" s="579" t="s">
        <v>1218</v>
      </c>
      <c r="F189" s="466"/>
      <c r="G189" s="471"/>
      <c r="H189" s="477"/>
      <c r="I189" s="526"/>
      <c r="J189" s="526"/>
      <c r="K189" s="526"/>
      <c r="L189" s="473"/>
      <c r="M189" s="529"/>
      <c r="N189" s="554"/>
      <c r="O189" s="565"/>
    </row>
    <row r="190" spans="1:15" s="455" customFormat="1" ht="13.5">
      <c r="A190" s="460" t="s">
        <v>452</v>
      </c>
      <c r="B190" s="455" t="s">
        <v>102</v>
      </c>
      <c r="C190" s="471"/>
      <c r="D190" s="579" t="s">
        <v>1212</v>
      </c>
      <c r="E190" s="579" t="s">
        <v>1219</v>
      </c>
      <c r="F190" s="466"/>
      <c r="G190" s="471"/>
      <c r="H190" s="477"/>
      <c r="I190" s="526"/>
      <c r="J190" s="526"/>
      <c r="K190" s="526"/>
      <c r="L190" s="473"/>
      <c r="M190" s="529"/>
      <c r="N190" s="554"/>
      <c r="O190" s="565"/>
    </row>
    <row r="191" spans="1:15" s="455" customFormat="1" ht="13.5">
      <c r="A191" s="460" t="s">
        <v>452</v>
      </c>
      <c r="B191" s="455" t="s">
        <v>102</v>
      </c>
      <c r="C191" s="471"/>
      <c r="D191" s="579" t="s">
        <v>1213</v>
      </c>
      <c r="E191" s="579" t="s">
        <v>1219</v>
      </c>
      <c r="F191" s="466"/>
      <c r="G191" s="471"/>
      <c r="H191" s="477"/>
      <c r="I191" s="526"/>
      <c r="J191" s="526"/>
      <c r="K191" s="526"/>
      <c r="L191" s="473"/>
      <c r="M191" s="529"/>
      <c r="N191" s="554"/>
      <c r="O191" s="565"/>
    </row>
    <row r="192" spans="1:15" s="455" customFormat="1" ht="13.5">
      <c r="A192" s="460" t="s">
        <v>452</v>
      </c>
      <c r="B192" s="455" t="s">
        <v>102</v>
      </c>
      <c r="C192" s="471"/>
      <c r="D192" s="470" t="s">
        <v>1214</v>
      </c>
      <c r="E192" s="470" t="s">
        <v>1220</v>
      </c>
      <c r="F192" s="461"/>
      <c r="G192" s="471"/>
      <c r="H192" s="477"/>
      <c r="I192" s="526"/>
      <c r="J192" s="526"/>
      <c r="K192" s="526"/>
      <c r="L192" s="473"/>
      <c r="M192" s="529"/>
      <c r="N192" s="554"/>
      <c r="O192" s="565"/>
    </row>
    <row r="193" spans="1:14" s="455" customFormat="1" ht="13.5">
      <c r="C193" s="460"/>
      <c r="D193" s="528" t="s">
        <v>1215</v>
      </c>
      <c r="E193" s="528" t="s">
        <v>262</v>
      </c>
      <c r="F193" s="460"/>
      <c r="G193" s="461"/>
      <c r="H193" s="460"/>
      <c r="I193" s="460"/>
      <c r="J193" s="460"/>
      <c r="K193" s="460"/>
      <c r="L193" s="52"/>
      <c r="M193" s="530"/>
      <c r="N193" s="553"/>
    </row>
    <row r="194" spans="1:14" s="455" customFormat="1" ht="13.5">
      <c r="C194" s="460"/>
      <c r="D194" s="460"/>
      <c r="E194" s="528"/>
      <c r="F194" s="460"/>
      <c r="G194" s="460"/>
      <c r="H194" s="460"/>
      <c r="I194" s="460"/>
      <c r="J194" s="460"/>
      <c r="K194" s="460"/>
      <c r="L194" s="52"/>
      <c r="M194" s="460"/>
      <c r="N194" s="553"/>
    </row>
    <row r="195" spans="1:14" s="455" customFormat="1" ht="27">
      <c r="A195" s="483" t="s">
        <v>462</v>
      </c>
      <c r="B195" s="483" t="s">
        <v>463</v>
      </c>
      <c r="C195" s="521" t="s">
        <v>421</v>
      </c>
      <c r="D195" s="460" t="s">
        <v>2</v>
      </c>
      <c r="E195" s="528" t="s">
        <v>487</v>
      </c>
      <c r="F195" s="522" t="s">
        <v>3</v>
      </c>
      <c r="G195" s="524" t="s">
        <v>1</v>
      </c>
      <c r="H195" s="484" t="s">
        <v>95</v>
      </c>
      <c r="I195" s="484" t="s">
        <v>96</v>
      </c>
      <c r="J195" s="484" t="s">
        <v>97</v>
      </c>
      <c r="K195" s="460" t="s">
        <v>98</v>
      </c>
      <c r="L195" s="52">
        <v>12200</v>
      </c>
      <c r="M195" s="460" t="s">
        <v>0</v>
      </c>
      <c r="N195" s="553"/>
    </row>
    <row r="196" spans="1:14" s="355" customFormat="1" ht="13.5">
      <c r="A196" s="302" t="s">
        <v>462</v>
      </c>
      <c r="B196" s="302" t="s">
        <v>463</v>
      </c>
      <c r="D196" s="352" t="s">
        <v>490</v>
      </c>
      <c r="E196" s="450" t="s">
        <v>193</v>
      </c>
      <c r="F196" s="352"/>
      <c r="G196" s="352"/>
      <c r="H196" s="352"/>
      <c r="I196" s="352"/>
      <c r="J196" s="352"/>
      <c r="K196" s="438" t="s">
        <v>104</v>
      </c>
      <c r="L196" s="409"/>
      <c r="M196" s="352"/>
      <c r="N196" s="418"/>
    </row>
    <row r="197" spans="1:14" s="355" customFormat="1" ht="13.5">
      <c r="A197" s="302" t="s">
        <v>462</v>
      </c>
      <c r="B197" s="302" t="s">
        <v>463</v>
      </c>
      <c r="C197" s="352"/>
      <c r="D197" s="352" t="s">
        <v>490</v>
      </c>
      <c r="E197" s="450" t="s">
        <v>257</v>
      </c>
      <c r="F197" s="352"/>
      <c r="G197" s="352"/>
      <c r="H197" s="352"/>
      <c r="I197" s="352"/>
      <c r="J197" s="352"/>
      <c r="K197" s="352"/>
      <c r="L197" s="409"/>
      <c r="M197" s="352"/>
      <c r="N197" s="418"/>
    </row>
    <row r="198" spans="1:14" s="355" customFormat="1" ht="13.5">
      <c r="C198" s="352"/>
      <c r="D198" s="352"/>
      <c r="E198" s="450"/>
      <c r="F198" s="352"/>
      <c r="G198" s="352"/>
      <c r="H198" s="352"/>
      <c r="I198" s="352"/>
      <c r="J198" s="352"/>
      <c r="K198" s="352"/>
      <c r="L198" s="409"/>
      <c r="M198" s="352"/>
      <c r="N198" s="418"/>
    </row>
    <row r="199" spans="1:14" s="355" customFormat="1" ht="27">
      <c r="A199" s="302" t="s">
        <v>462</v>
      </c>
      <c r="B199" s="302" t="s">
        <v>463</v>
      </c>
      <c r="C199" s="531" t="s">
        <v>421</v>
      </c>
      <c r="D199" s="352" t="s">
        <v>2</v>
      </c>
      <c r="E199" s="450" t="s">
        <v>487</v>
      </c>
      <c r="F199" s="532" t="s">
        <v>3</v>
      </c>
      <c r="G199" s="533" t="s">
        <v>1</v>
      </c>
      <c r="H199" s="485" t="s">
        <v>97</v>
      </c>
      <c r="I199" s="485" t="s">
        <v>518</v>
      </c>
      <c r="J199" s="485" t="s">
        <v>118</v>
      </c>
      <c r="K199" s="438" t="s">
        <v>98</v>
      </c>
      <c r="L199" s="409">
        <v>12011</v>
      </c>
      <c r="M199" s="352" t="s">
        <v>0</v>
      </c>
      <c r="N199" s="418"/>
    </row>
    <row r="200" spans="1:14" s="355" customFormat="1" ht="13.5">
      <c r="A200" s="302" t="s">
        <v>462</v>
      </c>
      <c r="B200" s="302" t="s">
        <v>463</v>
      </c>
      <c r="C200" s="352"/>
      <c r="D200" s="352" t="s">
        <v>519</v>
      </c>
      <c r="E200" s="450" t="s">
        <v>259</v>
      </c>
      <c r="F200" s="352"/>
      <c r="G200" s="352"/>
      <c r="H200" s="352"/>
      <c r="I200" s="352"/>
      <c r="J200" s="352"/>
      <c r="K200" s="438" t="s">
        <v>104</v>
      </c>
      <c r="L200" s="409"/>
      <c r="M200" s="352"/>
      <c r="N200" s="418"/>
    </row>
    <row r="201" spans="1:14" s="355" customFormat="1" ht="13.5">
      <c r="A201" s="302" t="s">
        <v>462</v>
      </c>
      <c r="B201" s="302" t="s">
        <v>463</v>
      </c>
      <c r="C201" s="352"/>
      <c r="D201" s="352" t="s">
        <v>520</v>
      </c>
      <c r="E201" s="450" t="s">
        <v>529</v>
      </c>
      <c r="F201" s="352"/>
      <c r="G201" s="352"/>
      <c r="H201" s="352"/>
      <c r="I201" s="352"/>
      <c r="J201" s="352"/>
      <c r="K201" s="352" t="s">
        <v>488</v>
      </c>
      <c r="L201" s="409"/>
      <c r="M201" s="352"/>
      <c r="N201" s="418"/>
    </row>
    <row r="202" spans="1:14" s="355" customFormat="1" ht="40.5">
      <c r="A202" s="302" t="s">
        <v>462</v>
      </c>
      <c r="B202" s="302" t="s">
        <v>463</v>
      </c>
      <c r="C202" s="352"/>
      <c r="D202" s="352" t="s">
        <v>521</v>
      </c>
      <c r="E202" s="450" t="s">
        <v>530</v>
      </c>
      <c r="F202" s="352"/>
      <c r="G202" s="352"/>
      <c r="H202" s="352"/>
      <c r="I202" s="352"/>
      <c r="J202" s="352"/>
      <c r="K202" s="420" t="s">
        <v>489</v>
      </c>
      <c r="L202" s="409"/>
      <c r="M202" s="352"/>
      <c r="N202" s="418"/>
    </row>
    <row r="203" spans="1:14" s="355" customFormat="1" ht="13.5">
      <c r="A203" s="302" t="s">
        <v>462</v>
      </c>
      <c r="B203" s="302" t="s">
        <v>463</v>
      </c>
      <c r="C203" s="352"/>
      <c r="D203" s="352" t="s">
        <v>522</v>
      </c>
      <c r="E203" s="450" t="s">
        <v>530</v>
      </c>
      <c r="F203" s="352"/>
      <c r="G203" s="352"/>
      <c r="H203" s="352"/>
      <c r="I203" s="352"/>
      <c r="J203" s="352"/>
      <c r="K203" s="352"/>
      <c r="L203" s="409"/>
      <c r="M203" s="352"/>
      <c r="N203" s="418"/>
    </row>
    <row r="204" spans="1:14" s="355" customFormat="1" ht="13.5">
      <c r="A204" s="302" t="s">
        <v>462</v>
      </c>
      <c r="B204" s="302" t="s">
        <v>463</v>
      </c>
      <c r="C204" s="352"/>
      <c r="D204" s="352" t="s">
        <v>523</v>
      </c>
      <c r="E204" s="450" t="s">
        <v>251</v>
      </c>
      <c r="F204" s="352"/>
      <c r="G204" s="352"/>
      <c r="H204" s="352"/>
      <c r="I204" s="352"/>
      <c r="J204" s="352"/>
      <c r="K204" s="352"/>
      <c r="L204" s="409"/>
      <c r="M204" s="352"/>
      <c r="N204" s="418"/>
    </row>
    <row r="205" spans="1:14" s="355" customFormat="1" ht="13.5">
      <c r="A205" s="302" t="s">
        <v>462</v>
      </c>
      <c r="B205" s="302" t="s">
        <v>463</v>
      </c>
      <c r="C205" s="352"/>
      <c r="D205" s="352" t="s">
        <v>524</v>
      </c>
      <c r="E205" s="450" t="s">
        <v>529</v>
      </c>
      <c r="F205" s="352"/>
      <c r="G205" s="352"/>
      <c r="H205" s="352"/>
      <c r="I205" s="352"/>
      <c r="J205" s="352"/>
      <c r="K205" s="352"/>
      <c r="L205" s="409"/>
      <c r="M205" s="352"/>
      <c r="N205" s="418"/>
    </row>
    <row r="206" spans="1:14" s="355" customFormat="1" ht="13.5">
      <c r="A206" s="302" t="s">
        <v>462</v>
      </c>
      <c r="B206" s="302" t="s">
        <v>463</v>
      </c>
      <c r="C206" s="352"/>
      <c r="D206" s="352" t="s">
        <v>525</v>
      </c>
      <c r="E206" s="450" t="s">
        <v>529</v>
      </c>
      <c r="F206" s="352"/>
      <c r="G206" s="352"/>
      <c r="H206" s="352"/>
      <c r="I206" s="352"/>
      <c r="J206" s="352"/>
      <c r="K206" s="352"/>
      <c r="L206" s="409"/>
      <c r="M206" s="352"/>
      <c r="N206" s="418"/>
    </row>
    <row r="207" spans="1:14" s="355" customFormat="1" ht="13.5">
      <c r="A207" s="302" t="s">
        <v>462</v>
      </c>
      <c r="B207" s="302" t="s">
        <v>463</v>
      </c>
      <c r="C207" s="352"/>
      <c r="D207" s="352" t="s">
        <v>526</v>
      </c>
      <c r="E207" s="450" t="s">
        <v>262</v>
      </c>
      <c r="F207" s="352"/>
      <c r="G207" s="352"/>
      <c r="H207" s="352"/>
      <c r="I207" s="352"/>
      <c r="J207" s="352"/>
      <c r="K207" s="352"/>
      <c r="L207" s="409"/>
      <c r="M207" s="352"/>
      <c r="N207" s="418"/>
    </row>
    <row r="208" spans="1:14" s="355" customFormat="1" ht="13.5">
      <c r="A208" s="302" t="s">
        <v>462</v>
      </c>
      <c r="B208" s="302" t="s">
        <v>463</v>
      </c>
      <c r="C208" s="352"/>
      <c r="D208" s="352" t="s">
        <v>527</v>
      </c>
      <c r="E208" s="450" t="s">
        <v>262</v>
      </c>
      <c r="F208" s="352"/>
      <c r="G208" s="352"/>
      <c r="H208" s="352"/>
      <c r="I208" s="352"/>
      <c r="J208" s="352"/>
      <c r="K208" s="352"/>
      <c r="L208" s="409"/>
      <c r="M208" s="352"/>
      <c r="N208" s="418"/>
    </row>
    <row r="209" spans="1:14" s="355" customFormat="1" ht="13.5">
      <c r="A209" s="302" t="s">
        <v>462</v>
      </c>
      <c r="B209" s="302" t="s">
        <v>463</v>
      </c>
      <c r="C209" s="352"/>
      <c r="D209" s="352" t="s">
        <v>528</v>
      </c>
      <c r="E209" s="450" t="s">
        <v>262</v>
      </c>
      <c r="F209" s="352"/>
      <c r="G209" s="352"/>
      <c r="H209" s="352"/>
      <c r="I209" s="352"/>
      <c r="J209" s="352"/>
      <c r="K209" s="352"/>
      <c r="L209" s="409"/>
      <c r="M209" s="352"/>
      <c r="N209" s="418"/>
    </row>
    <row r="210" spans="1:14" s="355" customFormat="1" ht="13.5">
      <c r="C210" s="352"/>
      <c r="D210" s="352"/>
      <c r="E210" s="450"/>
      <c r="F210" s="352"/>
      <c r="G210" s="352"/>
      <c r="H210" s="352"/>
      <c r="I210" s="352"/>
      <c r="J210" s="352"/>
      <c r="K210" s="352"/>
      <c r="L210" s="409"/>
      <c r="M210" s="352"/>
      <c r="N210" s="418"/>
    </row>
    <row r="211" spans="1:14" s="355" customFormat="1" ht="13.5">
      <c r="C211" s="352"/>
      <c r="D211" s="352"/>
      <c r="E211" s="450"/>
      <c r="F211" s="352"/>
      <c r="G211" s="352"/>
      <c r="H211" s="352"/>
      <c r="I211" s="352"/>
      <c r="J211" s="352"/>
      <c r="K211" s="352"/>
      <c r="L211" s="409"/>
      <c r="M211" s="352"/>
      <c r="N211" s="418"/>
    </row>
    <row r="212" spans="1:14" s="355" customFormat="1" ht="13.5">
      <c r="C212" s="352"/>
      <c r="D212" s="352"/>
      <c r="E212" s="450"/>
      <c r="F212" s="352"/>
      <c r="G212" s="352"/>
      <c r="H212" s="352"/>
      <c r="I212" s="352"/>
      <c r="J212" s="352"/>
      <c r="K212" s="352"/>
      <c r="L212" s="409"/>
      <c r="M212" s="352"/>
      <c r="N212" s="418"/>
    </row>
    <row r="213" spans="1:14" s="355" customFormat="1" ht="13.5">
      <c r="A213" s="301" t="s">
        <v>590</v>
      </c>
      <c r="B213" s="302" t="s">
        <v>589</v>
      </c>
      <c r="C213" s="393" t="s">
        <v>645</v>
      </c>
      <c r="D213" s="395" t="s">
        <v>2</v>
      </c>
      <c r="E213" s="395" t="s">
        <v>631</v>
      </c>
      <c r="F213" s="395" t="s">
        <v>609</v>
      </c>
      <c r="G213" s="396"/>
      <c r="H213" s="486" t="s">
        <v>576</v>
      </c>
      <c r="I213" s="486" t="s">
        <v>576</v>
      </c>
      <c r="J213" s="487" t="s">
        <v>577</v>
      </c>
      <c r="K213" s="395" t="s">
        <v>578</v>
      </c>
      <c r="L213" s="399">
        <v>480000</v>
      </c>
      <c r="M213" s="393" t="s">
        <v>579</v>
      </c>
      <c r="N213" s="556"/>
    </row>
    <row r="214" spans="1:14" s="355" customFormat="1" ht="13.5">
      <c r="A214" s="301" t="s">
        <v>590</v>
      </c>
      <c r="B214" s="302" t="s">
        <v>589</v>
      </c>
      <c r="C214" s="393" t="s">
        <v>646</v>
      </c>
      <c r="D214" s="393"/>
      <c r="E214" s="395"/>
      <c r="F214" s="395" t="s">
        <v>612</v>
      </c>
      <c r="G214" s="393"/>
      <c r="H214" s="393"/>
      <c r="I214" s="393"/>
      <c r="J214" s="393"/>
      <c r="K214" s="393" t="s">
        <v>391</v>
      </c>
      <c r="L214" s="399"/>
      <c r="M214" s="395" t="s">
        <v>602</v>
      </c>
      <c r="N214" s="556"/>
    </row>
    <row r="215" spans="1:14" s="355" customFormat="1" ht="13.5">
      <c r="A215" s="301" t="s">
        <v>590</v>
      </c>
      <c r="B215" s="302" t="s">
        <v>589</v>
      </c>
      <c r="C215" s="393" t="s">
        <v>647</v>
      </c>
      <c r="D215" s="393"/>
      <c r="E215" s="395"/>
      <c r="F215" s="393"/>
      <c r="G215" s="393"/>
      <c r="H215" s="393"/>
      <c r="I215" s="393"/>
      <c r="J215" s="393"/>
      <c r="K215" s="393"/>
      <c r="L215" s="399"/>
      <c r="M215" s="393"/>
      <c r="N215" s="556"/>
    </row>
    <row r="216" spans="1:14" s="355" customFormat="1" ht="13.5">
      <c r="C216" s="352"/>
      <c r="D216" s="352"/>
      <c r="E216" s="450"/>
      <c r="F216" s="352"/>
      <c r="G216" s="352"/>
      <c r="H216" s="352"/>
      <c r="I216" s="352"/>
      <c r="J216" s="352"/>
      <c r="K216" s="352"/>
      <c r="L216" s="409"/>
      <c r="M216" s="352"/>
      <c r="N216" s="418"/>
    </row>
    <row r="217" spans="1:14" s="355" customFormat="1" ht="13.5">
      <c r="C217" s="352"/>
      <c r="D217" s="352"/>
      <c r="E217" s="450"/>
      <c r="F217" s="352"/>
      <c r="G217" s="352"/>
      <c r="H217" s="352"/>
      <c r="I217" s="352"/>
      <c r="J217" s="352"/>
      <c r="K217" s="352"/>
      <c r="L217" s="409"/>
      <c r="M217" s="352"/>
      <c r="N217" s="418"/>
    </row>
    <row r="218" spans="1:14" s="355" customFormat="1" ht="13.5">
      <c r="C218" s="352"/>
      <c r="D218" s="352"/>
      <c r="E218" s="450"/>
      <c r="F218" s="352"/>
      <c r="G218" s="352"/>
      <c r="H218" s="352"/>
      <c r="I218" s="352"/>
      <c r="J218" s="352"/>
      <c r="K218" s="352"/>
      <c r="L218" s="409"/>
      <c r="M218" s="352"/>
      <c r="N218" s="418"/>
    </row>
    <row r="219" spans="1:14" s="355" customFormat="1" ht="27">
      <c r="A219" s="151" t="s">
        <v>649</v>
      </c>
      <c r="B219" s="40" t="s">
        <v>650</v>
      </c>
      <c r="C219" s="534" t="s">
        <v>660</v>
      </c>
      <c r="D219" s="488"/>
      <c r="E219" s="489"/>
      <c r="F219" s="490"/>
      <c r="G219" s="490"/>
      <c r="H219" s="491"/>
      <c r="I219" s="491"/>
      <c r="J219" s="491"/>
      <c r="K219" s="492"/>
      <c r="L219" s="535">
        <v>1350000</v>
      </c>
      <c r="M219" s="493"/>
      <c r="N219" s="557"/>
    </row>
    <row r="220" spans="1:14" s="355" customFormat="1" ht="67.5">
      <c r="A220" s="151" t="s">
        <v>649</v>
      </c>
      <c r="B220" s="40" t="s">
        <v>650</v>
      </c>
      <c r="C220" s="410" t="s">
        <v>1158</v>
      </c>
      <c r="D220" s="309" t="s">
        <v>2</v>
      </c>
      <c r="E220" s="304"/>
      <c r="F220" s="308" t="s">
        <v>661</v>
      </c>
      <c r="G220" s="313" t="s">
        <v>1</v>
      </c>
      <c r="H220" s="307" t="s">
        <v>652</v>
      </c>
      <c r="I220" s="307" t="s">
        <v>653</v>
      </c>
      <c r="J220" s="307" t="s">
        <v>654</v>
      </c>
      <c r="K220" s="308" t="s">
        <v>648</v>
      </c>
      <c r="L220" s="536"/>
      <c r="M220" s="309" t="s">
        <v>659</v>
      </c>
      <c r="N220" s="558"/>
    </row>
    <row r="221" spans="1:14" s="355" customFormat="1" ht="67.5">
      <c r="A221" s="151" t="s">
        <v>649</v>
      </c>
      <c r="B221" s="40" t="s">
        <v>650</v>
      </c>
      <c r="C221" s="317" t="s">
        <v>1159</v>
      </c>
      <c r="D221" s="309" t="s">
        <v>2</v>
      </c>
      <c r="E221" s="304"/>
      <c r="F221" s="308" t="s">
        <v>422</v>
      </c>
      <c r="G221" s="313" t="s">
        <v>1</v>
      </c>
      <c r="H221" s="307" t="s">
        <v>652</v>
      </c>
      <c r="I221" s="307" t="s">
        <v>653</v>
      </c>
      <c r="J221" s="307" t="s">
        <v>654</v>
      </c>
      <c r="K221" s="308" t="s">
        <v>648</v>
      </c>
      <c r="L221" s="536"/>
      <c r="M221" s="322" t="s">
        <v>662</v>
      </c>
      <c r="N221" s="558"/>
    </row>
    <row r="222" spans="1:14" s="355" customFormat="1" ht="40.5">
      <c r="A222" s="151" t="s">
        <v>649</v>
      </c>
      <c r="B222" s="40" t="s">
        <v>650</v>
      </c>
      <c r="C222" s="494" t="s">
        <v>1160</v>
      </c>
      <c r="D222" s="309" t="s">
        <v>663</v>
      </c>
      <c r="E222" s="304"/>
      <c r="F222" s="308" t="s">
        <v>661</v>
      </c>
      <c r="G222" s="313" t="s">
        <v>1</v>
      </c>
      <c r="H222" s="307" t="s">
        <v>652</v>
      </c>
      <c r="I222" s="307" t="s">
        <v>653</v>
      </c>
      <c r="J222" s="307" t="s">
        <v>654</v>
      </c>
      <c r="K222" s="308" t="s">
        <v>648</v>
      </c>
      <c r="L222" s="536"/>
      <c r="M222" s="309" t="s">
        <v>664</v>
      </c>
      <c r="N222" s="558"/>
    </row>
    <row r="223" spans="1:14" s="355" customFormat="1" ht="67.5">
      <c r="A223" s="151" t="s">
        <v>649</v>
      </c>
      <c r="B223" s="40" t="s">
        <v>650</v>
      </c>
      <c r="C223" s="494" t="s">
        <v>1161</v>
      </c>
      <c r="D223" s="309" t="s">
        <v>2</v>
      </c>
      <c r="E223" s="304"/>
      <c r="F223" s="308" t="s">
        <v>661</v>
      </c>
      <c r="G223" s="313" t="s">
        <v>1</v>
      </c>
      <c r="H223" s="307" t="s">
        <v>652</v>
      </c>
      <c r="I223" s="307" t="s">
        <v>653</v>
      </c>
      <c r="J223" s="307" t="s">
        <v>654</v>
      </c>
      <c r="K223" s="308" t="s">
        <v>648</v>
      </c>
      <c r="L223" s="536"/>
      <c r="M223" s="309" t="s">
        <v>659</v>
      </c>
      <c r="N223" s="559"/>
    </row>
    <row r="224" spans="1:14" s="355" customFormat="1" ht="13.5">
      <c r="C224" s="352"/>
      <c r="D224" s="352"/>
      <c r="E224" s="450"/>
      <c r="F224" s="352"/>
      <c r="G224" s="352"/>
      <c r="H224" s="352"/>
      <c r="I224" s="352"/>
      <c r="J224" s="352"/>
      <c r="K224" s="352"/>
      <c r="L224" s="409"/>
      <c r="M224" s="352"/>
      <c r="N224" s="418"/>
    </row>
    <row r="225" spans="1:15" s="355" customFormat="1" ht="13.5">
      <c r="C225" s="352"/>
      <c r="D225" s="352"/>
      <c r="E225" s="450"/>
      <c r="F225" s="352"/>
      <c r="G225" s="352"/>
      <c r="H225" s="352"/>
      <c r="I225" s="352"/>
      <c r="J225" s="352"/>
      <c r="K225" s="352"/>
      <c r="L225" s="409"/>
      <c r="M225" s="352"/>
      <c r="N225" s="418"/>
    </row>
    <row r="226" spans="1:15" s="355" customFormat="1" ht="27">
      <c r="A226" s="151" t="s">
        <v>649</v>
      </c>
      <c r="B226" s="40" t="s">
        <v>650</v>
      </c>
      <c r="C226" s="537" t="s">
        <v>660</v>
      </c>
      <c r="D226" s="495"/>
      <c r="E226" s="2625"/>
      <c r="F226" s="2626"/>
      <c r="G226" s="497"/>
      <c r="H226" s="497"/>
      <c r="I226" s="498"/>
      <c r="J226" s="498"/>
      <c r="K226" s="498"/>
      <c r="L226" s="499"/>
      <c r="M226" s="538"/>
      <c r="N226" s="560"/>
      <c r="O226" s="567"/>
    </row>
    <row r="227" spans="1:15" s="355" customFormat="1" ht="54">
      <c r="A227" s="151" t="s">
        <v>649</v>
      </c>
      <c r="B227" s="40" t="s">
        <v>650</v>
      </c>
      <c r="C227" s="500" t="s">
        <v>1162</v>
      </c>
      <c r="D227" s="309" t="s">
        <v>2</v>
      </c>
      <c r="E227" s="496"/>
      <c r="F227" s="499" t="s">
        <v>674</v>
      </c>
      <c r="G227" s="497" t="s">
        <v>1</v>
      </c>
      <c r="H227" s="498" t="s">
        <v>652</v>
      </c>
      <c r="I227" s="498" t="s">
        <v>653</v>
      </c>
      <c r="J227" s="498" t="s">
        <v>653</v>
      </c>
      <c r="K227" s="499" t="s">
        <v>676</v>
      </c>
      <c r="L227" s="538">
        <v>200000</v>
      </c>
      <c r="M227" s="392"/>
      <c r="N227" s="561"/>
    </row>
    <row r="228" spans="1:15" s="355" customFormat="1" ht="81">
      <c r="A228" s="151" t="s">
        <v>649</v>
      </c>
      <c r="B228" s="40" t="s">
        <v>650</v>
      </c>
      <c r="C228" s="494" t="s">
        <v>1163</v>
      </c>
      <c r="D228" s="309" t="s">
        <v>2</v>
      </c>
      <c r="E228" s="496"/>
      <c r="F228" s="499" t="s">
        <v>674</v>
      </c>
      <c r="G228" s="497" t="s">
        <v>1</v>
      </c>
      <c r="H228" s="498" t="s">
        <v>652</v>
      </c>
      <c r="I228" s="498" t="s">
        <v>653</v>
      </c>
      <c r="J228" s="498" t="s">
        <v>653</v>
      </c>
      <c r="K228" s="499" t="s">
        <v>676</v>
      </c>
      <c r="L228" s="538">
        <v>200000</v>
      </c>
      <c r="M228" s="392"/>
      <c r="N228" s="561"/>
    </row>
    <row r="229" spans="1:15" s="355" customFormat="1" ht="54">
      <c r="A229" s="151" t="s">
        <v>649</v>
      </c>
      <c r="B229" s="40" t="s">
        <v>650</v>
      </c>
      <c r="C229" s="410" t="s">
        <v>1164</v>
      </c>
      <c r="D229" s="309" t="s">
        <v>2</v>
      </c>
      <c r="E229" s="496"/>
      <c r="F229" s="499" t="s">
        <v>674</v>
      </c>
      <c r="G229" s="497" t="s">
        <v>1</v>
      </c>
      <c r="H229" s="498" t="s">
        <v>652</v>
      </c>
      <c r="I229" s="498" t="s">
        <v>653</v>
      </c>
      <c r="J229" s="498" t="s">
        <v>653</v>
      </c>
      <c r="K229" s="499" t="s">
        <v>676</v>
      </c>
      <c r="L229" s="538">
        <v>250000</v>
      </c>
      <c r="M229" s="392"/>
      <c r="N229" s="561"/>
    </row>
    <row r="230" spans="1:15" s="355" customFormat="1" ht="13.5">
      <c r="C230" s="352"/>
      <c r="D230" s="352"/>
      <c r="E230" s="450"/>
      <c r="F230" s="352"/>
      <c r="G230" s="352"/>
      <c r="H230" s="352"/>
      <c r="I230" s="352"/>
      <c r="J230" s="352"/>
      <c r="K230" s="352"/>
      <c r="L230" s="409"/>
      <c r="M230" s="352"/>
      <c r="N230" s="418"/>
    </row>
    <row r="231" spans="1:15" s="355" customFormat="1" ht="13.5">
      <c r="C231" s="352"/>
      <c r="D231" s="352"/>
      <c r="E231" s="450"/>
      <c r="F231" s="352"/>
      <c r="G231" s="352"/>
      <c r="H231" s="352"/>
      <c r="I231" s="352"/>
      <c r="J231" s="352"/>
      <c r="K231" s="352"/>
      <c r="L231" s="409"/>
      <c r="M231" s="352"/>
      <c r="N231" s="418"/>
    </row>
    <row r="232" spans="1:15" s="355" customFormat="1" ht="40.5">
      <c r="A232" s="296" t="s">
        <v>1023</v>
      </c>
      <c r="B232" s="298" t="s">
        <v>1024</v>
      </c>
      <c r="C232" s="503" t="s">
        <v>1045</v>
      </c>
      <c r="D232" s="309" t="s">
        <v>1046</v>
      </c>
      <c r="E232" s="304" t="s">
        <v>446</v>
      </c>
      <c r="F232" s="308" t="s">
        <v>674</v>
      </c>
      <c r="G232" s="313" t="s">
        <v>1</v>
      </c>
      <c r="H232" s="307" t="s">
        <v>652</v>
      </c>
      <c r="I232" s="307" t="s">
        <v>653</v>
      </c>
      <c r="J232" s="307" t="s">
        <v>1037</v>
      </c>
      <c r="K232" s="308" t="s">
        <v>748</v>
      </c>
      <c r="L232" s="312">
        <v>200000</v>
      </c>
      <c r="M232" s="322"/>
      <c r="N232" s="558"/>
    </row>
    <row r="233" spans="1:15" s="355" customFormat="1" ht="13.5">
      <c r="C233" s="352"/>
      <c r="D233" s="352"/>
      <c r="E233" s="450"/>
      <c r="F233" s="352"/>
      <c r="G233" s="352"/>
      <c r="H233" s="352"/>
      <c r="I233" s="352"/>
      <c r="J233" s="352"/>
      <c r="K233" s="352"/>
      <c r="L233" s="409"/>
      <c r="M233" s="352"/>
      <c r="N233" s="418"/>
    </row>
    <row r="234" spans="1:15" s="355" customFormat="1" ht="13.5">
      <c r="C234" s="352"/>
      <c r="D234" s="352"/>
      <c r="E234" s="450"/>
      <c r="F234" s="352"/>
      <c r="G234" s="352"/>
      <c r="H234" s="352"/>
      <c r="I234" s="352"/>
      <c r="J234" s="352"/>
      <c r="K234" s="352"/>
      <c r="L234" s="409"/>
      <c r="M234" s="352"/>
      <c r="N234" s="418"/>
    </row>
    <row r="235" spans="1:15" s="355" customFormat="1" ht="13.5">
      <c r="C235" s="352"/>
      <c r="D235" s="352"/>
      <c r="E235" s="450"/>
      <c r="F235" s="352"/>
      <c r="G235" s="352"/>
      <c r="H235" s="352"/>
      <c r="I235" s="352"/>
      <c r="J235" s="352"/>
      <c r="K235" s="352"/>
      <c r="L235" s="409"/>
      <c r="M235" s="352"/>
      <c r="N235" s="418"/>
    </row>
    <row r="236" spans="1:15" s="355" customFormat="1" ht="13.5">
      <c r="C236" s="352"/>
      <c r="D236" s="352"/>
      <c r="E236" s="450"/>
      <c r="F236" s="352"/>
      <c r="G236" s="352"/>
      <c r="H236" s="352"/>
      <c r="I236" s="352"/>
      <c r="J236" s="352"/>
      <c r="K236" s="352"/>
      <c r="L236" s="409"/>
      <c r="M236" s="352"/>
      <c r="N236" s="418"/>
    </row>
    <row r="237" spans="1:15" s="355" customFormat="1" ht="13.5">
      <c r="C237" s="352"/>
      <c r="D237" s="352"/>
      <c r="E237" s="450"/>
      <c r="F237" s="352"/>
      <c r="G237" s="352"/>
      <c r="H237" s="352"/>
      <c r="I237" s="352"/>
      <c r="J237" s="352"/>
      <c r="K237" s="352"/>
      <c r="L237" s="409"/>
      <c r="M237" s="352"/>
      <c r="N237" s="418"/>
    </row>
    <row r="238" spans="1:15" s="355" customFormat="1" ht="13.5">
      <c r="C238" s="352"/>
      <c r="D238" s="352"/>
      <c r="E238" s="450"/>
      <c r="F238" s="352"/>
      <c r="G238" s="352"/>
      <c r="H238" s="352"/>
      <c r="I238" s="352"/>
      <c r="J238" s="352"/>
      <c r="K238" s="352"/>
      <c r="L238" s="409"/>
      <c r="M238" s="352"/>
      <c r="N238" s="418"/>
    </row>
    <row r="239" spans="1:15">
      <c r="C239" s="19"/>
      <c r="D239" s="19"/>
      <c r="E239" s="587"/>
      <c r="F239" s="19"/>
      <c r="G239" s="19"/>
      <c r="H239" s="19"/>
      <c r="I239" s="19"/>
      <c r="J239" s="19"/>
      <c r="K239" s="19"/>
      <c r="L239" s="146"/>
      <c r="M239" s="19"/>
      <c r="N239" s="562"/>
    </row>
    <row r="240" spans="1:15">
      <c r="C240" s="19"/>
      <c r="D240" s="19"/>
      <c r="E240" s="587"/>
      <c r="F240" s="19"/>
      <c r="G240" s="19"/>
      <c r="H240" s="19"/>
      <c r="I240" s="19"/>
      <c r="J240" s="19"/>
      <c r="K240" s="19"/>
      <c r="L240" s="146"/>
      <c r="M240" s="19"/>
      <c r="N240" s="562"/>
    </row>
    <row r="241" spans="3:14">
      <c r="C241" s="19"/>
      <c r="D241" s="19"/>
      <c r="E241" s="587"/>
      <c r="F241" s="19"/>
      <c r="G241" s="19"/>
      <c r="H241" s="19"/>
      <c r="I241" s="19"/>
      <c r="J241" s="19"/>
      <c r="K241" s="19"/>
      <c r="L241" s="146"/>
      <c r="M241" s="19"/>
      <c r="N241" s="562"/>
    </row>
    <row r="242" spans="3:14" ht="24.75" customHeight="1">
      <c r="C242" s="19"/>
      <c r="D242" s="19"/>
      <c r="E242" s="587"/>
      <c r="F242" s="19"/>
      <c r="G242" s="19"/>
      <c r="H242" s="19"/>
      <c r="I242" s="19"/>
      <c r="J242" s="19"/>
      <c r="K242" s="19"/>
      <c r="L242" s="2381">
        <f>SUM(L6:L241)</f>
        <v>6250408.4000000004</v>
      </c>
      <c r="M242" s="19"/>
      <c r="N242" s="562"/>
    </row>
  </sheetData>
  <mergeCells count="6">
    <mergeCell ref="N2:N3"/>
    <mergeCell ref="E226:F226"/>
    <mergeCell ref="C2:G2"/>
    <mergeCell ref="H2:J2"/>
    <mergeCell ref="K2:L2"/>
    <mergeCell ref="M2:M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2473C-4887-427F-ADB7-67486DC5EBA4}">
  <sheetPr>
    <tabColor rgb="FFFFC000"/>
  </sheetPr>
  <dimension ref="A2:O99"/>
  <sheetViews>
    <sheetView zoomScale="85" zoomScaleNormal="85" workbookViewId="0">
      <pane ySplit="4" topLeftCell="A11" activePane="bottomLeft" state="frozen"/>
      <selection pane="bottomLeft" activeCell="L14" sqref="L14"/>
    </sheetView>
  </sheetViews>
  <sheetFormatPr defaultColWidth="8.85546875" defaultRowHeight="13.5"/>
  <cols>
    <col min="1" max="2" width="8.85546875" style="355"/>
    <col min="3" max="3" width="21.42578125" style="355" customWidth="1"/>
    <col min="4" max="4" width="45.140625" style="355" customWidth="1"/>
    <col min="5" max="5" width="26" style="355" customWidth="1"/>
    <col min="6" max="6" width="16.7109375" style="355" customWidth="1"/>
    <col min="7" max="7" width="11.7109375" style="355" customWidth="1"/>
    <col min="8" max="8" width="13.7109375" style="355" customWidth="1"/>
    <col min="9" max="9" width="8.85546875" style="355"/>
    <col min="10" max="10" width="12.5703125" style="355" customWidth="1"/>
    <col min="11" max="11" width="18.5703125" style="355" customWidth="1"/>
    <col min="12" max="12" width="15.5703125" style="32" customWidth="1"/>
    <col min="13" max="13" width="16.28515625" style="355" customWidth="1"/>
    <col min="14" max="14" width="12.85546875" style="355" customWidth="1"/>
    <col min="15" max="16384" width="8.85546875" style="355"/>
  </cols>
  <sheetData>
    <row r="2" spans="1:15">
      <c r="C2" s="2629" t="s">
        <v>30</v>
      </c>
      <c r="D2" s="2629"/>
      <c r="E2" s="2629"/>
      <c r="F2" s="2629"/>
      <c r="G2" s="2629"/>
      <c r="H2" s="2630" t="s">
        <v>29</v>
      </c>
      <c r="I2" s="2630"/>
      <c r="J2" s="2630"/>
      <c r="K2" s="2629" t="s">
        <v>28</v>
      </c>
      <c r="L2" s="2629"/>
      <c r="M2" s="2630" t="s">
        <v>27</v>
      </c>
      <c r="N2" s="2630" t="s">
        <v>26</v>
      </c>
    </row>
    <row r="3" spans="1:15" ht="89.25">
      <c r="C3" s="369" t="s">
        <v>25</v>
      </c>
      <c r="D3" s="379" t="s">
        <v>24</v>
      </c>
      <c r="E3" s="380" t="s">
        <v>23</v>
      </c>
      <c r="F3" s="369" t="s">
        <v>22</v>
      </c>
      <c r="G3" s="336" t="s">
        <v>1157</v>
      </c>
      <c r="H3" s="336" t="s">
        <v>20</v>
      </c>
      <c r="I3" s="336" t="s">
        <v>19</v>
      </c>
      <c r="J3" s="336" t="s">
        <v>18</v>
      </c>
      <c r="K3" s="369" t="s">
        <v>17</v>
      </c>
      <c r="L3" s="381" t="s">
        <v>16</v>
      </c>
      <c r="M3" s="2630"/>
      <c r="N3" s="2630"/>
    </row>
    <row r="4" spans="1:15" ht="25.5">
      <c r="C4" s="382" t="s">
        <v>15</v>
      </c>
      <c r="D4" s="382" t="s">
        <v>14</v>
      </c>
      <c r="E4" s="382" t="s">
        <v>13</v>
      </c>
      <c r="F4" s="382" t="s">
        <v>12</v>
      </c>
      <c r="G4" s="382" t="s">
        <v>11</v>
      </c>
      <c r="H4" s="382" t="s">
        <v>10</v>
      </c>
      <c r="I4" s="382" t="s">
        <v>9</v>
      </c>
      <c r="J4" s="382" t="s">
        <v>8</v>
      </c>
      <c r="K4" s="382" t="s">
        <v>7</v>
      </c>
      <c r="L4" s="383" t="s">
        <v>6</v>
      </c>
      <c r="M4" s="382" t="s">
        <v>5</v>
      </c>
      <c r="N4" s="382" t="s">
        <v>4</v>
      </c>
    </row>
    <row r="5" spans="1:15">
      <c r="C5" s="300"/>
      <c r="D5" s="382"/>
      <c r="E5" s="384"/>
      <c r="F5" s="382"/>
      <c r="G5" s="382"/>
      <c r="H5" s="382"/>
      <c r="I5" s="382"/>
      <c r="J5" s="382"/>
      <c r="K5" s="382"/>
      <c r="L5" s="383"/>
      <c r="M5" s="382"/>
      <c r="N5" s="385"/>
    </row>
    <row r="6" spans="1:15" ht="25.9" customHeight="1">
      <c r="A6" s="301" t="s">
        <v>649</v>
      </c>
      <c r="B6" s="302" t="s">
        <v>650</v>
      </c>
      <c r="C6" s="303" t="s">
        <v>665</v>
      </c>
      <c r="D6" s="309" t="s">
        <v>2</v>
      </c>
      <c r="E6" s="304"/>
      <c r="F6" s="308" t="s">
        <v>661</v>
      </c>
      <c r="G6" s="306"/>
      <c r="H6" s="307" t="s">
        <v>652</v>
      </c>
      <c r="I6" s="307" t="s">
        <v>653</v>
      </c>
      <c r="J6" s="307" t="s">
        <v>654</v>
      </c>
      <c r="K6" s="308" t="s">
        <v>648</v>
      </c>
      <c r="L6" s="321">
        <v>2000000</v>
      </c>
      <c r="M6" s="309" t="s">
        <v>659</v>
      </c>
      <c r="N6" s="306"/>
    </row>
    <row r="7" spans="1:15" ht="25.9" customHeight="1">
      <c r="A7" s="296" t="s">
        <v>1023</v>
      </c>
      <c r="B7" s="297" t="s">
        <v>1024</v>
      </c>
      <c r="C7" s="410" t="s">
        <v>1054</v>
      </c>
      <c r="D7" s="310"/>
      <c r="E7" s="304"/>
      <c r="F7" s="304"/>
      <c r="G7" s="306"/>
      <c r="H7" s="306"/>
      <c r="I7" s="311"/>
      <c r="J7" s="311"/>
      <c r="K7" s="311"/>
      <c r="L7" s="306"/>
      <c r="M7" s="312"/>
      <c r="N7" s="306"/>
      <c r="O7" s="306"/>
    </row>
    <row r="8" spans="1:15" ht="47.45" customHeight="1">
      <c r="A8" s="296" t="s">
        <v>1023</v>
      </c>
      <c r="B8" s="297" t="s">
        <v>1024</v>
      </c>
      <c r="C8" s="386" t="s">
        <v>1055</v>
      </c>
      <c r="D8" s="309" t="s">
        <v>2</v>
      </c>
      <c r="E8" s="304"/>
      <c r="F8" s="308" t="s">
        <v>674</v>
      </c>
      <c r="G8" s="313" t="s">
        <v>1</v>
      </c>
      <c r="H8" s="307" t="s">
        <v>675</v>
      </c>
      <c r="I8" s="307" t="s">
        <v>599</v>
      </c>
      <c r="J8" s="307" t="s">
        <v>599</v>
      </c>
      <c r="K8" s="308" t="s">
        <v>748</v>
      </c>
      <c r="L8" s="312">
        <v>120000</v>
      </c>
      <c r="M8" s="309" t="s">
        <v>659</v>
      </c>
      <c r="N8" s="306"/>
    </row>
    <row r="9" spans="1:15" ht="26.45" customHeight="1">
      <c r="A9" s="296" t="s">
        <v>1023</v>
      </c>
      <c r="B9" s="297" t="s">
        <v>1024</v>
      </c>
      <c r="C9" s="308"/>
      <c r="D9" s="314" t="s">
        <v>1056</v>
      </c>
      <c r="E9" s="304">
        <v>2</v>
      </c>
      <c r="F9" s="315" t="s">
        <v>1057</v>
      </c>
      <c r="G9" s="313"/>
      <c r="H9" s="313"/>
      <c r="I9" s="307"/>
      <c r="J9" s="307"/>
      <c r="K9" s="307"/>
      <c r="L9" s="308"/>
      <c r="M9" s="411"/>
      <c r="N9" s="309"/>
      <c r="O9" s="308"/>
    </row>
    <row r="10" spans="1:15" ht="67.5">
      <c r="A10" s="296" t="s">
        <v>1023</v>
      </c>
      <c r="B10" s="297" t="s">
        <v>1024</v>
      </c>
      <c r="C10" s="305"/>
      <c r="D10" s="387" t="s">
        <v>1058</v>
      </c>
      <c r="E10" s="388"/>
      <c r="F10" s="388"/>
      <c r="G10" s="313"/>
      <c r="H10" s="313"/>
      <c r="I10" s="307"/>
      <c r="J10" s="307"/>
      <c r="K10" s="307"/>
      <c r="L10" s="308"/>
      <c r="M10" s="316"/>
      <c r="N10" s="309"/>
      <c r="O10" s="308"/>
    </row>
    <row r="11" spans="1:15" ht="67.5">
      <c r="A11" s="296" t="s">
        <v>1023</v>
      </c>
      <c r="B11" s="297" t="s">
        <v>1024</v>
      </c>
      <c r="C11" s="305"/>
      <c r="D11" s="389" t="s">
        <v>1059</v>
      </c>
      <c r="E11" s="390"/>
      <c r="F11" s="390"/>
      <c r="G11" s="313"/>
      <c r="H11" s="313"/>
      <c r="I11" s="307"/>
      <c r="J11" s="307"/>
      <c r="K11" s="307"/>
      <c r="L11" s="308"/>
      <c r="M11" s="316"/>
      <c r="N11" s="309"/>
      <c r="O11" s="308"/>
    </row>
    <row r="12" spans="1:15" ht="67.5">
      <c r="A12" s="296" t="s">
        <v>1023</v>
      </c>
      <c r="B12" s="297" t="s">
        <v>1024</v>
      </c>
      <c r="C12" s="305"/>
      <c r="D12" s="391" t="s">
        <v>1060</v>
      </c>
      <c r="E12" s="392"/>
      <c r="F12" s="392"/>
      <c r="G12" s="313"/>
      <c r="H12" s="313"/>
      <c r="I12" s="307"/>
      <c r="J12" s="307"/>
      <c r="K12" s="307"/>
      <c r="L12" s="308"/>
      <c r="M12" s="316"/>
      <c r="N12" s="309"/>
      <c r="O12" s="308"/>
    </row>
    <row r="13" spans="1:15" ht="67.5">
      <c r="A13" s="296" t="s">
        <v>1023</v>
      </c>
      <c r="B13" s="297" t="s">
        <v>1024</v>
      </c>
      <c r="C13" s="317"/>
      <c r="D13" s="387" t="s">
        <v>1061</v>
      </c>
      <c r="E13" s="388"/>
      <c r="F13" s="388"/>
      <c r="G13" s="306"/>
      <c r="H13" s="318"/>
      <c r="I13" s="319"/>
      <c r="J13" s="313"/>
      <c r="K13" s="320"/>
      <c r="L13" s="318"/>
      <c r="M13" s="321"/>
      <c r="N13" s="322"/>
      <c r="O13" s="318"/>
    </row>
    <row r="14" spans="1:15" ht="22.5" customHeight="1">
      <c r="A14" s="301"/>
      <c r="B14" s="302"/>
      <c r="C14" s="393"/>
      <c r="D14" s="393"/>
      <c r="E14" s="394"/>
      <c r="F14" s="395"/>
      <c r="G14" s="396"/>
      <c r="H14" s="397"/>
      <c r="I14" s="397"/>
      <c r="J14" s="393"/>
      <c r="K14" s="398"/>
      <c r="L14" s="2382">
        <f>SUM(L6:L13)</f>
        <v>2120000</v>
      </c>
      <c r="M14" s="395"/>
      <c r="N14" s="393"/>
    </row>
    <row r="15" spans="1:15" ht="14.25" customHeight="1">
      <c r="A15" s="301"/>
      <c r="B15" s="302"/>
      <c r="C15" s="393"/>
      <c r="D15" s="393"/>
      <c r="E15" s="394"/>
      <c r="F15" s="395"/>
      <c r="G15" s="396"/>
      <c r="H15" s="393"/>
      <c r="I15" s="393"/>
      <c r="J15" s="393"/>
      <c r="K15" s="393"/>
      <c r="L15" s="399"/>
      <c r="M15" s="393"/>
      <c r="N15" s="393"/>
    </row>
    <row r="16" spans="1:15" ht="14.25" customHeight="1">
      <c r="A16" s="323"/>
      <c r="B16" s="302"/>
      <c r="C16" s="323"/>
      <c r="D16" s="324"/>
      <c r="E16" s="325"/>
      <c r="F16" s="323"/>
      <c r="G16" s="326"/>
      <c r="H16" s="327"/>
      <c r="I16" s="327"/>
      <c r="J16" s="327"/>
      <c r="K16" s="323"/>
      <c r="L16" s="328"/>
      <c r="M16" s="323"/>
      <c r="N16" s="329"/>
    </row>
    <row r="17" spans="1:15" ht="14.25" customHeight="1">
      <c r="A17" s="323"/>
      <c r="B17" s="302"/>
      <c r="C17" s="323"/>
      <c r="D17" s="330"/>
      <c r="E17" s="331"/>
      <c r="F17" s="332"/>
      <c r="G17" s="323"/>
      <c r="H17" s="326"/>
      <c r="I17" s="327"/>
      <c r="J17" s="327"/>
      <c r="K17" s="327"/>
      <c r="L17" s="333"/>
      <c r="M17" s="334"/>
      <c r="N17" s="323"/>
      <c r="O17" s="329"/>
    </row>
    <row r="18" spans="1:15" ht="14.25" customHeight="1">
      <c r="A18" s="323"/>
      <c r="B18" s="302"/>
      <c r="D18" s="330"/>
      <c r="E18" s="331"/>
      <c r="F18" s="332"/>
      <c r="G18" s="323"/>
      <c r="H18" s="326"/>
      <c r="I18" s="327"/>
      <c r="J18" s="327"/>
      <c r="K18" s="327"/>
      <c r="L18" s="333"/>
      <c r="M18" s="334"/>
      <c r="N18" s="323"/>
      <c r="O18" s="329"/>
    </row>
    <row r="19" spans="1:15" ht="27" customHeight="1">
      <c r="A19" s="323"/>
      <c r="B19" s="302"/>
      <c r="C19" s="335"/>
      <c r="D19" s="336"/>
      <c r="E19" s="337"/>
      <c r="F19" s="336"/>
      <c r="G19" s="338"/>
      <c r="H19" s="339"/>
      <c r="I19" s="339"/>
      <c r="J19" s="339"/>
      <c r="K19" s="336"/>
      <c r="L19" s="340"/>
      <c r="M19" s="336"/>
      <c r="N19" s="352"/>
      <c r="O19" s="342"/>
    </row>
    <row r="20" spans="1:15" ht="14.25" customHeight="1">
      <c r="A20" s="323"/>
      <c r="B20" s="302"/>
      <c r="C20" s="343"/>
      <c r="D20" s="344"/>
      <c r="E20" s="344"/>
      <c r="F20" s="343"/>
      <c r="G20" s="345"/>
      <c r="H20" s="346"/>
      <c r="I20" s="346"/>
      <c r="J20" s="346"/>
      <c r="K20" s="343"/>
      <c r="L20" s="347"/>
      <c r="M20" s="343"/>
      <c r="N20" s="352"/>
      <c r="O20" s="348"/>
    </row>
    <row r="21" spans="1:15" ht="14.25" customHeight="1">
      <c r="A21" s="323"/>
      <c r="B21" s="302"/>
      <c r="C21" s="343"/>
      <c r="D21" s="324"/>
      <c r="E21" s="349"/>
      <c r="F21" s="343"/>
      <c r="G21" s="345"/>
      <c r="H21" s="346"/>
      <c r="I21" s="346"/>
      <c r="J21" s="346"/>
      <c r="K21" s="343"/>
      <c r="L21" s="347"/>
      <c r="M21" s="343"/>
      <c r="N21" s="352"/>
      <c r="O21" s="348"/>
    </row>
    <row r="22" spans="1:15" ht="14.25" customHeight="1">
      <c r="A22" s="323"/>
      <c r="B22" s="302"/>
      <c r="C22" s="343"/>
      <c r="D22" s="324"/>
      <c r="E22" s="349"/>
      <c r="F22" s="343"/>
      <c r="G22" s="345"/>
      <c r="H22" s="346"/>
      <c r="I22" s="346"/>
      <c r="J22" s="346"/>
      <c r="K22" s="343"/>
      <c r="L22" s="347"/>
      <c r="M22" s="343"/>
      <c r="N22" s="352"/>
      <c r="O22" s="348"/>
    </row>
    <row r="23" spans="1:15" ht="14.25" customHeight="1">
      <c r="A23" s="323"/>
      <c r="B23" s="302"/>
      <c r="C23" s="343"/>
      <c r="D23" s="324"/>
      <c r="E23" s="349"/>
      <c r="F23" s="343"/>
      <c r="G23" s="345"/>
      <c r="H23" s="346"/>
      <c r="I23" s="346"/>
      <c r="J23" s="346"/>
      <c r="K23" s="343"/>
      <c r="L23" s="347"/>
      <c r="M23" s="343"/>
      <c r="N23" s="352"/>
      <c r="O23" s="348"/>
    </row>
    <row r="24" spans="1:15" ht="14.25" customHeight="1">
      <c r="A24" s="323"/>
      <c r="B24" s="302"/>
      <c r="C24" s="343"/>
      <c r="D24" s="350"/>
      <c r="E24" s="351"/>
      <c r="F24" s="350"/>
      <c r="G24" s="350"/>
      <c r="H24" s="352"/>
      <c r="I24" s="352"/>
      <c r="J24" s="352"/>
      <c r="K24" s="352"/>
      <c r="L24" s="353"/>
      <c r="M24" s="354"/>
      <c r="N24" s="352"/>
      <c r="O24" s="352"/>
    </row>
    <row r="25" spans="1:15" ht="14.25" customHeight="1">
      <c r="A25" s="323"/>
      <c r="B25" s="302"/>
      <c r="C25" s="343"/>
      <c r="D25" s="350"/>
      <c r="E25" s="351"/>
      <c r="F25" s="350"/>
      <c r="G25" s="350"/>
      <c r="H25" s="352"/>
      <c r="I25" s="352"/>
      <c r="J25" s="352"/>
      <c r="K25" s="352"/>
      <c r="L25" s="353"/>
      <c r="M25" s="354"/>
      <c r="N25" s="352"/>
    </row>
    <row r="26" spans="1:15" ht="22.5" customHeight="1">
      <c r="A26" s="323"/>
      <c r="B26" s="302"/>
      <c r="C26" s="335"/>
      <c r="D26" s="336"/>
      <c r="E26" s="356"/>
      <c r="F26" s="336"/>
      <c r="G26" s="338"/>
      <c r="H26" s="339"/>
      <c r="I26" s="339"/>
      <c r="J26" s="339"/>
      <c r="K26" s="336"/>
      <c r="L26" s="340"/>
      <c r="M26" s="336"/>
      <c r="N26" s="352"/>
      <c r="O26" s="342"/>
    </row>
    <row r="27" spans="1:15" ht="14.25" customHeight="1">
      <c r="A27" s="323"/>
      <c r="B27" s="302"/>
      <c r="C27" s="343"/>
      <c r="D27" s="344"/>
      <c r="E27" s="357"/>
      <c r="F27" s="343"/>
      <c r="G27" s="345"/>
      <c r="H27" s="346"/>
      <c r="I27" s="346"/>
      <c r="J27" s="346"/>
      <c r="K27" s="343"/>
      <c r="L27" s="347"/>
      <c r="M27" s="343"/>
      <c r="N27" s="352"/>
      <c r="O27" s="348"/>
    </row>
    <row r="28" spans="1:15" ht="14.25" customHeight="1">
      <c r="A28" s="323"/>
      <c r="B28" s="302"/>
      <c r="C28" s="343"/>
      <c r="D28" s="349"/>
      <c r="E28" s="358"/>
      <c r="F28" s="343"/>
      <c r="G28" s="345"/>
      <c r="H28" s="346"/>
      <c r="I28" s="346"/>
      <c r="J28" s="346"/>
      <c r="K28" s="343"/>
      <c r="L28" s="347"/>
      <c r="M28" s="343"/>
      <c r="N28" s="352"/>
      <c r="O28" s="348"/>
    </row>
    <row r="29" spans="1:15">
      <c r="A29" s="323"/>
      <c r="B29" s="302"/>
      <c r="C29" s="343"/>
      <c r="D29" s="349"/>
      <c r="E29" s="358"/>
      <c r="F29" s="343"/>
      <c r="G29" s="345"/>
      <c r="H29" s="346"/>
      <c r="I29" s="346"/>
      <c r="J29" s="346"/>
      <c r="K29" s="343"/>
      <c r="L29" s="347"/>
      <c r="M29" s="343"/>
      <c r="N29" s="352"/>
      <c r="O29" s="348"/>
    </row>
    <row r="30" spans="1:15">
      <c r="A30" s="323"/>
      <c r="B30" s="302"/>
      <c r="C30" s="343"/>
      <c r="D30" s="324"/>
      <c r="E30" s="349"/>
      <c r="F30" s="343"/>
      <c r="G30" s="345"/>
      <c r="H30" s="346"/>
      <c r="I30" s="346"/>
      <c r="J30" s="346"/>
      <c r="K30" s="343"/>
      <c r="L30" s="347"/>
      <c r="M30" s="343"/>
      <c r="N30" s="352"/>
      <c r="O30" s="348"/>
    </row>
    <row r="31" spans="1:15">
      <c r="C31" s="343"/>
      <c r="D31" s="350"/>
      <c r="E31" s="351"/>
      <c r="F31" s="350"/>
      <c r="G31" s="352"/>
      <c r="H31" s="352"/>
      <c r="I31" s="352"/>
      <c r="J31" s="352"/>
      <c r="K31" s="359"/>
      <c r="L31" s="353"/>
      <c r="M31" s="352"/>
      <c r="N31" s="352"/>
      <c r="O31" s="352"/>
    </row>
    <row r="32" spans="1:15">
      <c r="A32" s="323"/>
      <c r="B32" s="302"/>
      <c r="C32" s="335"/>
      <c r="D32" s="336"/>
      <c r="E32" s="356"/>
      <c r="F32" s="336"/>
      <c r="G32" s="338"/>
      <c r="H32" s="339"/>
      <c r="I32" s="339"/>
      <c r="J32" s="339"/>
      <c r="K32" s="336"/>
      <c r="L32" s="340"/>
      <c r="M32" s="336"/>
      <c r="N32" s="352"/>
      <c r="O32" s="342"/>
    </row>
    <row r="33" spans="1:15">
      <c r="A33" s="323"/>
      <c r="B33" s="302"/>
      <c r="C33" s="343"/>
      <c r="D33" s="344"/>
      <c r="E33" s="344"/>
      <c r="F33" s="343"/>
      <c r="G33" s="345"/>
      <c r="H33" s="346"/>
      <c r="I33" s="346"/>
      <c r="J33" s="346"/>
      <c r="K33" s="343"/>
      <c r="L33" s="347"/>
      <c r="M33" s="343"/>
      <c r="N33" s="352"/>
      <c r="O33" s="348"/>
    </row>
    <row r="34" spans="1:15">
      <c r="A34" s="323"/>
      <c r="B34" s="302"/>
      <c r="C34" s="343"/>
      <c r="D34" s="324"/>
      <c r="E34" s="349"/>
      <c r="F34" s="360"/>
      <c r="G34" s="343"/>
      <c r="H34" s="345"/>
      <c r="I34" s="346"/>
      <c r="J34" s="346"/>
      <c r="K34" s="346"/>
      <c r="L34" s="361"/>
      <c r="M34" s="362"/>
      <c r="N34" s="343"/>
      <c r="O34" s="348"/>
    </row>
    <row r="35" spans="1:15">
      <c r="A35" s="323"/>
      <c r="B35" s="302"/>
      <c r="C35" s="343"/>
      <c r="D35" s="324"/>
      <c r="E35" s="349"/>
      <c r="F35" s="360"/>
      <c r="G35" s="343"/>
      <c r="H35" s="345"/>
      <c r="I35" s="346"/>
      <c r="J35" s="346"/>
      <c r="K35" s="346"/>
      <c r="L35" s="361"/>
      <c r="M35" s="362"/>
      <c r="N35" s="343"/>
      <c r="O35" s="348"/>
    </row>
    <row r="36" spans="1:15">
      <c r="A36" s="323"/>
      <c r="B36" s="302"/>
      <c r="C36" s="343"/>
      <c r="D36" s="324"/>
      <c r="E36" s="349"/>
      <c r="F36" s="360"/>
      <c r="G36" s="343"/>
      <c r="H36" s="345"/>
      <c r="I36" s="346"/>
      <c r="J36" s="346"/>
      <c r="K36" s="346"/>
      <c r="L36" s="361"/>
      <c r="M36" s="362"/>
      <c r="N36" s="343"/>
      <c r="O36" s="348"/>
    </row>
    <row r="37" spans="1:15">
      <c r="A37" s="323"/>
      <c r="B37" s="302"/>
      <c r="C37" s="343"/>
      <c r="D37" s="350"/>
      <c r="E37" s="351"/>
      <c r="F37" s="350"/>
      <c r="G37" s="350"/>
      <c r="H37" s="352"/>
      <c r="I37" s="352"/>
      <c r="J37" s="352"/>
      <c r="K37" s="352"/>
      <c r="L37" s="353"/>
      <c r="M37" s="354"/>
      <c r="N37" s="352"/>
    </row>
    <row r="38" spans="1:15">
      <c r="A38" s="323"/>
      <c r="B38" s="302"/>
      <c r="C38" s="335"/>
      <c r="D38" s="336"/>
      <c r="E38" s="356"/>
      <c r="F38" s="336"/>
      <c r="G38" s="338"/>
      <c r="H38" s="339"/>
      <c r="I38" s="339"/>
      <c r="J38" s="339"/>
      <c r="K38" s="336"/>
      <c r="L38" s="340"/>
      <c r="M38" s="336"/>
      <c r="N38" s="352"/>
      <c r="O38" s="342"/>
    </row>
    <row r="39" spans="1:15">
      <c r="A39" s="323"/>
      <c r="B39" s="302"/>
      <c r="C39" s="343"/>
      <c r="D39" s="363"/>
      <c r="E39" s="344"/>
      <c r="F39" s="343"/>
      <c r="G39" s="345"/>
      <c r="H39" s="346"/>
      <c r="I39" s="346"/>
      <c r="J39" s="346"/>
      <c r="K39" s="343"/>
      <c r="L39" s="347"/>
      <c r="M39" s="343"/>
      <c r="N39" s="352"/>
      <c r="O39" s="348"/>
    </row>
    <row r="40" spans="1:15">
      <c r="A40" s="323"/>
      <c r="B40" s="302"/>
      <c r="C40" s="343"/>
      <c r="D40" s="349"/>
      <c r="E40" s="349"/>
      <c r="F40" s="343"/>
      <c r="G40" s="345"/>
      <c r="H40" s="346"/>
      <c r="I40" s="346"/>
      <c r="J40" s="346"/>
      <c r="K40" s="343"/>
      <c r="L40" s="347"/>
      <c r="M40" s="343"/>
      <c r="N40" s="352"/>
      <c r="O40" s="348"/>
    </row>
    <row r="41" spans="1:15">
      <c r="A41" s="323"/>
      <c r="B41" s="302"/>
      <c r="C41" s="343"/>
      <c r="D41" s="324"/>
      <c r="E41" s="349"/>
      <c r="F41" s="360"/>
      <c r="G41" s="343"/>
      <c r="H41" s="345"/>
      <c r="I41" s="346"/>
      <c r="J41" s="346"/>
      <c r="K41" s="346"/>
      <c r="L41" s="361"/>
      <c r="M41" s="362"/>
      <c r="N41" s="343"/>
      <c r="O41" s="348"/>
    </row>
    <row r="42" spans="1:15">
      <c r="A42" s="323"/>
      <c r="B42" s="302"/>
      <c r="C42" s="343"/>
      <c r="D42" s="324"/>
      <c r="E42" s="349"/>
      <c r="F42" s="360"/>
      <c r="G42" s="343"/>
      <c r="H42" s="345"/>
      <c r="I42" s="346"/>
      <c r="J42" s="346"/>
      <c r="K42" s="346"/>
      <c r="L42" s="361"/>
      <c r="M42" s="362"/>
      <c r="N42" s="343"/>
      <c r="O42" s="348"/>
    </row>
    <row r="43" spans="1:15">
      <c r="C43" s="343"/>
      <c r="D43" s="350"/>
      <c r="E43" s="351"/>
      <c r="F43" s="350"/>
      <c r="G43" s="350"/>
      <c r="H43" s="352"/>
      <c r="I43" s="352"/>
      <c r="J43" s="352"/>
      <c r="K43" s="352"/>
      <c r="L43" s="353"/>
      <c r="M43" s="354"/>
      <c r="N43" s="352"/>
    </row>
    <row r="44" spans="1:15">
      <c r="C44" s="343"/>
      <c r="D44" s="350"/>
      <c r="E44" s="351"/>
      <c r="F44" s="350"/>
      <c r="G44" s="350"/>
      <c r="H44" s="352"/>
      <c r="I44" s="352"/>
      <c r="J44" s="352"/>
      <c r="K44" s="352"/>
      <c r="L44" s="353"/>
      <c r="M44" s="354"/>
      <c r="N44" s="352"/>
    </row>
    <row r="45" spans="1:15">
      <c r="A45" s="323"/>
      <c r="B45" s="302"/>
      <c r="C45" s="335"/>
      <c r="D45" s="336"/>
      <c r="E45" s="335"/>
      <c r="F45" s="336"/>
      <c r="G45" s="338"/>
      <c r="H45" s="339"/>
      <c r="I45" s="339"/>
      <c r="J45" s="339"/>
      <c r="K45" s="336"/>
      <c r="L45" s="340"/>
      <c r="M45" s="336"/>
      <c r="N45" s="342"/>
    </row>
    <row r="46" spans="1:15">
      <c r="A46" s="323"/>
      <c r="B46" s="302"/>
      <c r="C46" s="343"/>
      <c r="D46" s="364"/>
      <c r="E46" s="352"/>
      <c r="F46" s="343"/>
      <c r="G46" s="345"/>
      <c r="H46" s="346"/>
      <c r="I46" s="346"/>
      <c r="J46" s="346"/>
      <c r="K46" s="343"/>
      <c r="L46" s="347"/>
      <c r="M46" s="343"/>
      <c r="N46" s="348"/>
    </row>
    <row r="47" spans="1:15">
      <c r="A47" s="323"/>
      <c r="B47" s="302"/>
      <c r="C47" s="343"/>
      <c r="D47" s="358"/>
      <c r="E47" s="352"/>
      <c r="F47" s="358"/>
      <c r="G47" s="343"/>
      <c r="H47" s="345"/>
      <c r="I47" s="346"/>
      <c r="J47" s="346"/>
      <c r="K47" s="346"/>
      <c r="L47" s="361"/>
      <c r="M47" s="362"/>
      <c r="N47" s="343"/>
      <c r="O47" s="348"/>
    </row>
    <row r="48" spans="1:15">
      <c r="A48" s="323"/>
      <c r="B48" s="302"/>
      <c r="C48" s="343"/>
      <c r="D48" s="324"/>
      <c r="E48" s="358"/>
      <c r="F48" s="358"/>
      <c r="G48" s="343"/>
      <c r="H48" s="345"/>
      <c r="I48" s="346"/>
      <c r="J48" s="346"/>
      <c r="K48" s="346"/>
      <c r="L48" s="361"/>
      <c r="M48" s="362"/>
      <c r="N48" s="343"/>
      <c r="O48" s="348"/>
    </row>
    <row r="49" spans="1:15">
      <c r="A49" s="323"/>
      <c r="B49" s="302"/>
      <c r="C49" s="343"/>
      <c r="D49" s="324"/>
      <c r="E49" s="358"/>
      <c r="F49" s="358"/>
      <c r="G49" s="343"/>
      <c r="H49" s="345"/>
      <c r="I49" s="346"/>
      <c r="J49" s="346"/>
      <c r="K49" s="346"/>
      <c r="L49" s="361"/>
      <c r="M49" s="362"/>
      <c r="N49" s="343"/>
      <c r="O49" s="348"/>
    </row>
    <row r="50" spans="1:15">
      <c r="C50" s="343"/>
      <c r="D50" s="350"/>
      <c r="E50" s="351"/>
      <c r="F50" s="350"/>
      <c r="G50" s="350"/>
      <c r="H50" s="352"/>
      <c r="I50" s="352"/>
      <c r="J50" s="352"/>
      <c r="K50" s="352"/>
      <c r="L50" s="353"/>
      <c r="M50" s="354"/>
      <c r="N50" s="352"/>
    </row>
    <row r="51" spans="1:15">
      <c r="A51" s="343"/>
      <c r="B51" s="302"/>
      <c r="C51" s="335"/>
      <c r="D51" s="336"/>
      <c r="E51" s="356"/>
      <c r="F51" s="336"/>
      <c r="G51" s="338"/>
      <c r="H51" s="339"/>
      <c r="I51" s="339"/>
      <c r="J51" s="339"/>
      <c r="K51" s="336"/>
      <c r="L51" s="340"/>
      <c r="M51" s="336"/>
      <c r="O51" s="342"/>
    </row>
    <row r="52" spans="1:15">
      <c r="A52" s="343"/>
      <c r="B52" s="302"/>
      <c r="C52" s="343"/>
      <c r="D52" s="344"/>
      <c r="E52" s="352"/>
      <c r="F52" s="365"/>
      <c r="G52" s="345"/>
      <c r="H52" s="346"/>
      <c r="I52" s="346"/>
      <c r="J52" s="346"/>
      <c r="K52" s="343"/>
      <c r="L52" s="347"/>
      <c r="M52" s="343"/>
      <c r="O52" s="348"/>
    </row>
    <row r="53" spans="1:15">
      <c r="A53" s="343"/>
      <c r="B53" s="302"/>
      <c r="C53" s="343"/>
      <c r="D53" s="349"/>
      <c r="E53" s="352"/>
      <c r="F53" s="365"/>
      <c r="G53" s="345"/>
      <c r="H53" s="346"/>
      <c r="I53" s="346"/>
      <c r="J53" s="346"/>
      <c r="K53" s="343"/>
      <c r="L53" s="347"/>
      <c r="M53" s="343"/>
      <c r="O53" s="348"/>
    </row>
    <row r="54" spans="1:15">
      <c r="A54" s="343"/>
      <c r="B54" s="302"/>
      <c r="C54" s="343"/>
      <c r="D54" s="349"/>
      <c r="E54" s="352"/>
      <c r="F54" s="360"/>
      <c r="G54" s="343"/>
      <c r="H54" s="345"/>
      <c r="I54" s="346"/>
      <c r="J54" s="346"/>
      <c r="K54" s="346"/>
      <c r="L54" s="361"/>
      <c r="M54" s="362"/>
      <c r="N54" s="343"/>
      <c r="O54" s="348"/>
    </row>
    <row r="55" spans="1:15">
      <c r="A55" s="343"/>
      <c r="B55" s="302"/>
      <c r="C55" s="343"/>
      <c r="D55" s="324"/>
      <c r="E55" s="349"/>
      <c r="F55" s="358"/>
      <c r="G55" s="343"/>
      <c r="H55" s="345"/>
      <c r="I55" s="346"/>
      <c r="J55" s="346"/>
      <c r="K55" s="346"/>
      <c r="L55" s="361"/>
      <c r="M55" s="362"/>
      <c r="N55" s="343"/>
      <c r="O55" s="348"/>
    </row>
    <row r="56" spans="1:15">
      <c r="D56" s="350"/>
      <c r="E56" s="351"/>
      <c r="F56" s="350"/>
      <c r="G56" s="350"/>
      <c r="H56" s="352"/>
      <c r="I56" s="352"/>
      <c r="J56" s="352"/>
      <c r="K56" s="352"/>
      <c r="L56" s="353"/>
      <c r="M56" s="354"/>
      <c r="N56" s="352"/>
      <c r="O56" s="352"/>
    </row>
    <row r="57" spans="1:15">
      <c r="C57" s="343"/>
      <c r="D57" s="350"/>
      <c r="E57" s="351"/>
      <c r="F57" s="350"/>
      <c r="G57" s="350"/>
      <c r="H57" s="352"/>
      <c r="I57" s="352"/>
      <c r="J57" s="352"/>
      <c r="K57" s="352"/>
      <c r="L57" s="353"/>
      <c r="M57" s="354"/>
      <c r="N57" s="352"/>
    </row>
    <row r="58" spans="1:15">
      <c r="C58" s="343"/>
      <c r="D58" s="350"/>
      <c r="E58" s="351"/>
      <c r="F58" s="350"/>
      <c r="G58" s="350"/>
      <c r="H58" s="352"/>
      <c r="I58" s="352"/>
      <c r="J58" s="352"/>
      <c r="K58" s="352"/>
      <c r="L58" s="353"/>
      <c r="M58" s="354"/>
      <c r="N58" s="352"/>
    </row>
    <row r="59" spans="1:15">
      <c r="C59" s="343"/>
      <c r="D59" s="350"/>
      <c r="E59" s="351"/>
      <c r="F59" s="350"/>
      <c r="G59" s="350"/>
      <c r="H59" s="352"/>
      <c r="I59" s="352"/>
      <c r="J59" s="352"/>
      <c r="K59" s="352"/>
      <c r="L59" s="353"/>
      <c r="M59" s="354"/>
      <c r="N59" s="352"/>
    </row>
    <row r="60" spans="1:15">
      <c r="C60" s="343"/>
      <c r="D60" s="350"/>
      <c r="E60" s="351"/>
      <c r="F60" s="350"/>
      <c r="G60" s="350"/>
      <c r="H60" s="352"/>
      <c r="I60" s="352"/>
      <c r="J60" s="352"/>
      <c r="K60" s="352"/>
      <c r="L60" s="353"/>
      <c r="M60" s="354"/>
      <c r="N60" s="352"/>
    </row>
    <row r="61" spans="1:15">
      <c r="C61" s="343"/>
      <c r="D61" s="350"/>
      <c r="E61" s="351"/>
      <c r="F61" s="350"/>
      <c r="G61" s="350"/>
      <c r="H61" s="352"/>
      <c r="I61" s="352"/>
      <c r="J61" s="352"/>
      <c r="K61" s="352"/>
      <c r="L61" s="353"/>
      <c r="M61" s="354"/>
      <c r="N61" s="352"/>
    </row>
    <row r="62" spans="1:15">
      <c r="C62" s="343"/>
      <c r="D62" s="350"/>
      <c r="E62" s="351"/>
      <c r="F62" s="350"/>
      <c r="G62" s="350"/>
      <c r="H62" s="352"/>
      <c r="I62" s="352"/>
      <c r="J62" s="352"/>
      <c r="K62" s="352"/>
      <c r="L62" s="353"/>
      <c r="M62" s="354"/>
      <c r="N62" s="352"/>
    </row>
    <row r="63" spans="1:15">
      <c r="C63" s="343"/>
      <c r="D63" s="350"/>
      <c r="E63" s="351"/>
      <c r="F63" s="350"/>
      <c r="G63" s="350"/>
      <c r="H63" s="352"/>
      <c r="I63" s="352"/>
      <c r="J63" s="352"/>
      <c r="K63" s="352"/>
      <c r="L63" s="366">
        <f>SUM(L7:L62)</f>
        <v>2240000</v>
      </c>
      <c r="M63" s="354"/>
      <c r="N63" s="352"/>
    </row>
    <row r="64" spans="1:15">
      <c r="C64" s="343"/>
      <c r="D64" s="350"/>
      <c r="E64" s="351"/>
      <c r="F64" s="350"/>
      <c r="G64" s="350"/>
      <c r="H64" s="352"/>
      <c r="I64" s="352"/>
      <c r="J64" s="352"/>
      <c r="K64" s="352"/>
      <c r="L64" s="353"/>
      <c r="M64" s="354"/>
      <c r="N64" s="352"/>
    </row>
    <row r="65" spans="3:14">
      <c r="C65" s="343"/>
      <c r="D65" s="350"/>
      <c r="E65" s="351"/>
      <c r="F65" s="350"/>
      <c r="G65" s="350"/>
      <c r="H65" s="352"/>
      <c r="I65" s="352"/>
      <c r="J65" s="352"/>
      <c r="K65" s="352"/>
      <c r="L65" s="353"/>
      <c r="M65" s="354"/>
      <c r="N65" s="352"/>
    </row>
    <row r="66" spans="3:14">
      <c r="C66" s="400"/>
      <c r="D66" s="400"/>
      <c r="E66" s="401"/>
      <c r="F66" s="402"/>
      <c r="G66" s="402"/>
      <c r="H66" s="403"/>
      <c r="I66" s="403"/>
      <c r="J66" s="403"/>
      <c r="K66" s="402"/>
      <c r="L66" s="404"/>
      <c r="M66" s="402"/>
      <c r="N66" s="405"/>
    </row>
    <row r="67" spans="3:14">
      <c r="C67" s="400"/>
      <c r="D67" s="400"/>
      <c r="E67" s="401"/>
      <c r="F67" s="402"/>
      <c r="G67" s="402"/>
      <c r="H67" s="403"/>
      <c r="I67" s="403"/>
      <c r="J67" s="403"/>
      <c r="K67" s="402"/>
      <c r="L67" s="404"/>
      <c r="M67" s="402"/>
      <c r="N67" s="405"/>
    </row>
    <row r="68" spans="3:14">
      <c r="C68" s="400"/>
      <c r="D68" s="400"/>
      <c r="E68" s="401"/>
      <c r="F68" s="402"/>
      <c r="G68" s="402"/>
      <c r="H68" s="403"/>
      <c r="I68" s="403"/>
      <c r="J68" s="403"/>
      <c r="K68" s="402"/>
      <c r="L68" s="404"/>
      <c r="M68" s="402"/>
      <c r="N68" s="405"/>
    </row>
    <row r="69" spans="3:14">
      <c r="C69" s="400"/>
      <c r="D69" s="400"/>
      <c r="E69" s="401"/>
      <c r="F69" s="402"/>
      <c r="G69" s="402"/>
      <c r="H69" s="403"/>
      <c r="I69" s="403"/>
      <c r="J69" s="403"/>
      <c r="K69" s="402"/>
      <c r="L69" s="404"/>
      <c r="M69" s="402"/>
      <c r="N69" s="405"/>
    </row>
    <row r="70" spans="3:14">
      <c r="C70" s="400"/>
      <c r="D70" s="400"/>
      <c r="E70" s="401"/>
      <c r="F70" s="402"/>
      <c r="G70" s="402"/>
      <c r="H70" s="403"/>
      <c r="I70" s="403"/>
      <c r="J70" s="403"/>
      <c r="K70" s="402"/>
      <c r="L70" s="404"/>
      <c r="M70" s="402"/>
      <c r="N70" s="405"/>
    </row>
    <row r="71" spans="3:14">
      <c r="C71" s="400"/>
      <c r="D71" s="400"/>
      <c r="E71" s="401"/>
      <c r="F71" s="402"/>
      <c r="G71" s="402"/>
      <c r="H71" s="403"/>
      <c r="I71" s="403"/>
      <c r="J71" s="403"/>
      <c r="K71" s="402"/>
      <c r="L71" s="404"/>
      <c r="M71" s="402"/>
      <c r="N71" s="405"/>
    </row>
    <row r="72" spans="3:14">
      <c r="C72" s="400"/>
      <c r="D72" s="400"/>
      <c r="E72" s="401"/>
      <c r="F72" s="402"/>
      <c r="G72" s="402"/>
      <c r="H72" s="403"/>
      <c r="I72" s="403"/>
      <c r="J72" s="403"/>
      <c r="K72" s="402"/>
      <c r="L72" s="404"/>
      <c r="M72" s="402"/>
      <c r="N72" s="405"/>
    </row>
    <row r="73" spans="3:14">
      <c r="C73" s="400"/>
      <c r="D73" s="400"/>
      <c r="E73" s="401"/>
      <c r="F73" s="402"/>
      <c r="G73" s="402"/>
      <c r="H73" s="403"/>
      <c r="I73" s="403"/>
      <c r="J73" s="403"/>
      <c r="K73" s="402"/>
      <c r="L73" s="406"/>
      <c r="M73" s="402"/>
      <c r="N73" s="405"/>
    </row>
    <row r="74" spans="3:14">
      <c r="C74" s="400"/>
      <c r="D74" s="400"/>
      <c r="E74" s="401"/>
      <c r="F74" s="402"/>
      <c r="G74" s="402"/>
      <c r="H74" s="403"/>
      <c r="I74" s="403"/>
      <c r="J74" s="403"/>
      <c r="K74" s="402"/>
      <c r="L74" s="404"/>
      <c r="M74" s="402"/>
      <c r="N74" s="405"/>
    </row>
    <row r="75" spans="3:14">
      <c r="C75" s="400"/>
      <c r="D75" s="400"/>
      <c r="E75" s="401"/>
      <c r="F75" s="402"/>
      <c r="G75" s="402"/>
      <c r="H75" s="403"/>
      <c r="I75" s="403"/>
      <c r="J75" s="403"/>
      <c r="K75" s="402"/>
      <c r="L75" s="404"/>
      <c r="M75" s="402"/>
      <c r="N75" s="405"/>
    </row>
    <row r="76" spans="3:14">
      <c r="C76" s="400"/>
      <c r="D76" s="400"/>
      <c r="E76" s="401"/>
      <c r="F76" s="402"/>
      <c r="G76" s="402"/>
      <c r="H76" s="403"/>
      <c r="I76" s="403"/>
      <c r="J76" s="403"/>
      <c r="K76" s="402"/>
      <c r="L76" s="404"/>
      <c r="M76" s="402"/>
      <c r="N76" s="405"/>
    </row>
    <row r="77" spans="3:14">
      <c r="C77" s="400"/>
      <c r="D77" s="400"/>
      <c r="E77" s="401"/>
      <c r="F77" s="402"/>
      <c r="G77" s="402"/>
      <c r="H77" s="403"/>
      <c r="I77" s="403"/>
      <c r="J77" s="403"/>
      <c r="K77" s="402"/>
      <c r="L77" s="404"/>
      <c r="M77" s="402"/>
      <c r="N77" s="405"/>
    </row>
    <row r="78" spans="3:14">
      <c r="C78" s="400"/>
      <c r="D78" s="400"/>
      <c r="E78" s="401"/>
      <c r="F78" s="402"/>
      <c r="G78" s="402"/>
      <c r="H78" s="403"/>
      <c r="I78" s="403"/>
      <c r="J78" s="403"/>
      <c r="K78" s="402"/>
      <c r="L78" s="404"/>
      <c r="M78" s="402"/>
      <c r="N78" s="405"/>
    </row>
    <row r="79" spans="3:14" ht="14.25" customHeight="1">
      <c r="C79" s="400"/>
      <c r="D79" s="400"/>
      <c r="E79" s="401"/>
      <c r="F79" s="402"/>
      <c r="G79" s="402"/>
      <c r="H79" s="403"/>
      <c r="I79" s="403"/>
      <c r="J79" s="403"/>
      <c r="K79" s="402"/>
      <c r="L79" s="404"/>
      <c r="M79" s="402"/>
      <c r="N79" s="405"/>
    </row>
    <row r="80" spans="3:14" ht="14.25" customHeight="1">
      <c r="C80" s="400"/>
      <c r="D80" s="400"/>
      <c r="E80" s="401"/>
      <c r="F80" s="402"/>
      <c r="G80" s="402"/>
      <c r="H80" s="403"/>
      <c r="I80" s="403"/>
      <c r="J80" s="403"/>
      <c r="K80" s="402"/>
      <c r="L80" s="404"/>
      <c r="M80" s="402"/>
      <c r="N80" s="405"/>
    </row>
    <row r="81" spans="3:14" ht="14.25" customHeight="1">
      <c r="C81" s="400"/>
      <c r="D81" s="400"/>
      <c r="E81" s="401"/>
      <c r="F81" s="402"/>
      <c r="G81" s="402"/>
      <c r="H81" s="403"/>
      <c r="I81" s="403"/>
      <c r="J81" s="403"/>
      <c r="K81" s="402"/>
      <c r="L81" s="404"/>
      <c r="M81" s="402"/>
      <c r="N81" s="405"/>
    </row>
    <row r="82" spans="3:14" ht="14.25" customHeight="1">
      <c r="C82" s="400"/>
      <c r="D82" s="400"/>
      <c r="E82" s="401"/>
      <c r="F82" s="402"/>
      <c r="G82" s="402"/>
      <c r="H82" s="403"/>
      <c r="I82" s="403"/>
      <c r="J82" s="403"/>
      <c r="K82" s="402"/>
      <c r="L82" s="404"/>
      <c r="M82" s="402"/>
      <c r="N82" s="405"/>
    </row>
    <row r="83" spans="3:14" ht="14.25" customHeight="1">
      <c r="C83" s="400"/>
      <c r="D83" s="400"/>
      <c r="E83" s="401"/>
      <c r="F83" s="402"/>
      <c r="G83" s="402"/>
      <c r="H83" s="403"/>
      <c r="I83" s="403"/>
      <c r="J83" s="403"/>
      <c r="K83" s="402"/>
      <c r="L83" s="404"/>
      <c r="M83" s="402"/>
      <c r="N83" s="405"/>
    </row>
    <row r="84" spans="3:14" ht="14.25" customHeight="1">
      <c r="C84" s="400"/>
      <c r="D84" s="400"/>
      <c r="E84" s="401"/>
      <c r="F84" s="402"/>
      <c r="G84" s="402"/>
      <c r="H84" s="403"/>
      <c r="I84" s="403"/>
      <c r="J84" s="403"/>
      <c r="K84" s="402"/>
      <c r="L84" s="404"/>
      <c r="M84" s="402"/>
      <c r="N84" s="405"/>
    </row>
    <row r="85" spans="3:14" ht="14.25" customHeight="1">
      <c r="C85" s="400"/>
      <c r="D85" s="400"/>
      <c r="E85" s="401"/>
      <c r="F85" s="402"/>
      <c r="G85" s="402"/>
      <c r="H85" s="403"/>
      <c r="I85" s="403"/>
      <c r="J85" s="403"/>
      <c r="K85" s="402"/>
      <c r="L85" s="404"/>
      <c r="M85" s="402"/>
      <c r="N85" s="405"/>
    </row>
    <row r="86" spans="3:14" ht="14.25" customHeight="1">
      <c r="C86" s="400"/>
      <c r="D86" s="400"/>
      <c r="E86" s="401"/>
      <c r="F86" s="402"/>
      <c r="G86" s="402"/>
      <c r="H86" s="403"/>
      <c r="I86" s="403"/>
      <c r="J86" s="403"/>
      <c r="K86" s="402"/>
      <c r="L86" s="404"/>
      <c r="M86" s="402"/>
      <c r="N86" s="405"/>
    </row>
    <row r="87" spans="3:14" ht="14.25" customHeight="1">
      <c r="C87" s="400"/>
      <c r="D87" s="400"/>
      <c r="E87" s="401"/>
      <c r="F87" s="402"/>
      <c r="G87" s="402"/>
      <c r="H87" s="403"/>
      <c r="I87" s="403"/>
      <c r="J87" s="403"/>
      <c r="K87" s="402"/>
      <c r="L87" s="404"/>
      <c r="M87" s="402"/>
      <c r="N87" s="405"/>
    </row>
    <row r="88" spans="3:14" ht="14.25" customHeight="1">
      <c r="C88" s="400"/>
      <c r="D88" s="400"/>
      <c r="E88" s="401"/>
      <c r="F88" s="402"/>
      <c r="G88" s="402"/>
      <c r="H88" s="403"/>
      <c r="I88" s="403"/>
      <c r="J88" s="403"/>
      <c r="K88" s="402"/>
      <c r="L88" s="404"/>
      <c r="M88" s="402"/>
      <c r="N88" s="405"/>
    </row>
    <row r="89" spans="3:14" ht="14.25" customHeight="1">
      <c r="C89" s="400"/>
      <c r="D89" s="400"/>
      <c r="E89" s="401"/>
      <c r="F89" s="402"/>
      <c r="G89" s="402"/>
      <c r="H89" s="403"/>
      <c r="I89" s="403"/>
      <c r="J89" s="403"/>
      <c r="K89" s="402"/>
      <c r="L89" s="404"/>
      <c r="M89" s="402"/>
      <c r="N89" s="405"/>
    </row>
    <row r="90" spans="3:14" ht="14.25" customHeight="1">
      <c r="C90" s="400"/>
      <c r="D90" s="400"/>
      <c r="E90" s="401"/>
      <c r="F90" s="402"/>
      <c r="G90" s="402"/>
      <c r="H90" s="403"/>
      <c r="I90" s="403"/>
      <c r="J90" s="403"/>
      <c r="K90" s="402"/>
      <c r="L90" s="404"/>
      <c r="M90" s="402"/>
      <c r="N90" s="405"/>
    </row>
    <row r="91" spans="3:14" ht="14.25" customHeight="1">
      <c r="C91" s="400"/>
      <c r="D91" s="400"/>
      <c r="E91" s="401"/>
      <c r="F91" s="402"/>
      <c r="G91" s="402"/>
      <c r="H91" s="403"/>
      <c r="I91" s="403"/>
      <c r="J91" s="403"/>
      <c r="K91" s="402"/>
      <c r="L91" s="404"/>
      <c r="M91" s="402"/>
      <c r="N91" s="405"/>
    </row>
    <row r="92" spans="3:14" ht="14.25" customHeight="1">
      <c r="C92" s="400"/>
      <c r="D92" s="400"/>
      <c r="E92" s="401"/>
      <c r="F92" s="402"/>
      <c r="G92" s="402"/>
      <c r="H92" s="403"/>
      <c r="I92" s="403"/>
      <c r="J92" s="403"/>
      <c r="K92" s="402"/>
      <c r="L92" s="404"/>
      <c r="M92" s="402"/>
      <c r="N92" s="405"/>
    </row>
    <row r="93" spans="3:14" ht="14.25" customHeight="1">
      <c r="C93" s="400"/>
      <c r="D93" s="400"/>
      <c r="E93" s="401"/>
      <c r="F93" s="402"/>
      <c r="G93" s="402"/>
      <c r="H93" s="403"/>
      <c r="I93" s="403"/>
      <c r="J93" s="403"/>
      <c r="K93" s="402"/>
      <c r="L93" s="404"/>
      <c r="M93" s="402"/>
      <c r="N93" s="405"/>
    </row>
    <row r="94" spans="3:14" ht="14.25" customHeight="1">
      <c r="C94" s="400"/>
      <c r="D94" s="400"/>
      <c r="E94" s="401"/>
      <c r="F94" s="402"/>
      <c r="G94" s="402"/>
      <c r="H94" s="403"/>
      <c r="I94" s="403"/>
      <c r="J94" s="403"/>
      <c r="K94" s="402"/>
      <c r="L94" s="404"/>
      <c r="M94" s="407"/>
      <c r="N94" s="405"/>
    </row>
    <row r="95" spans="3:14" ht="14.25" customHeight="1">
      <c r="C95" s="400"/>
      <c r="D95" s="400"/>
      <c r="E95" s="401"/>
      <c r="F95" s="402"/>
      <c r="G95" s="403"/>
      <c r="H95" s="403"/>
      <c r="I95" s="403"/>
      <c r="J95" s="403"/>
      <c r="K95" s="408"/>
      <c r="L95" s="404"/>
      <c r="M95" s="407"/>
      <c r="N95" s="405"/>
    </row>
    <row r="96" spans="3:14" ht="14.25" customHeight="1">
      <c r="C96" s="352"/>
      <c r="D96" s="352"/>
      <c r="E96" s="352"/>
      <c r="F96" s="352"/>
      <c r="G96" s="352"/>
      <c r="H96" s="352"/>
      <c r="I96" s="352"/>
      <c r="J96" s="352"/>
      <c r="K96" s="352"/>
      <c r="L96" s="409"/>
      <c r="M96" s="352"/>
      <c r="N96" s="352"/>
    </row>
    <row r="97" spans="3:14" ht="14.25" customHeight="1">
      <c r="C97" s="367"/>
      <c r="D97" s="368"/>
      <c r="E97" s="369"/>
      <c r="F97" s="370"/>
      <c r="G97" s="370"/>
      <c r="H97" s="371"/>
      <c r="I97" s="371"/>
      <c r="J97" s="371"/>
      <c r="K97" s="370"/>
      <c r="L97" s="372"/>
      <c r="M97" s="370"/>
      <c r="N97" s="368"/>
    </row>
    <row r="98" spans="3:14" s="302" customFormat="1" ht="14.25" customHeight="1">
      <c r="C98" s="367"/>
      <c r="D98" s="368"/>
      <c r="E98" s="373"/>
      <c r="F98" s="370"/>
      <c r="G98" s="370"/>
      <c r="H98" s="371"/>
      <c r="I98" s="371"/>
      <c r="J98" s="371"/>
      <c r="K98" s="370"/>
      <c r="L98" s="372"/>
      <c r="M98" s="370"/>
      <c r="N98" s="368"/>
    </row>
    <row r="99" spans="3:14" s="302" customFormat="1" ht="14.25" customHeight="1">
      <c r="C99" s="374"/>
      <c r="D99" s="375"/>
      <c r="E99" s="373"/>
      <c r="F99" s="376"/>
      <c r="G99" s="376"/>
      <c r="H99" s="377"/>
      <c r="I99" s="377"/>
      <c r="J99" s="377"/>
      <c r="K99" s="376"/>
      <c r="L99" s="378"/>
      <c r="M99" s="376"/>
      <c r="N99" s="375"/>
    </row>
  </sheetData>
  <mergeCells count="5">
    <mergeCell ref="C2:G2"/>
    <mergeCell ref="H2:J2"/>
    <mergeCell ref="K2:L2"/>
    <mergeCell ref="M2:M3"/>
    <mergeCell ref="N2:N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99212-3F82-4BA5-A9A5-CD4F599A44FF}">
  <sheetPr>
    <tabColor rgb="FFFFC000"/>
  </sheetPr>
  <dimension ref="A2:O98"/>
  <sheetViews>
    <sheetView zoomScale="70" zoomScaleNormal="70" workbookViewId="0">
      <pane ySplit="4" topLeftCell="A5" activePane="bottomLeft" state="frozen"/>
      <selection pane="bottomLeft" activeCell="F19" sqref="F19"/>
    </sheetView>
  </sheetViews>
  <sheetFormatPr defaultRowHeight="15"/>
  <cols>
    <col min="3" max="3" width="21.42578125" customWidth="1"/>
    <col min="4" max="4" width="20.5703125"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style="99" customWidth="1"/>
    <col min="13" max="13" width="16.28515625" customWidth="1"/>
    <col min="14" max="14" width="12.85546875" customWidth="1"/>
  </cols>
  <sheetData>
    <row r="2" spans="1:15">
      <c r="C2" s="2627" t="s">
        <v>30</v>
      </c>
      <c r="D2" s="2627"/>
      <c r="E2" s="2627"/>
      <c r="F2" s="2627"/>
      <c r="G2" s="2627"/>
      <c r="H2" s="2628" t="s">
        <v>29</v>
      </c>
      <c r="I2" s="2628"/>
      <c r="J2" s="2628"/>
      <c r="K2" s="2627" t="s">
        <v>28</v>
      </c>
      <c r="L2" s="2627"/>
      <c r="M2" s="2628" t="s">
        <v>27</v>
      </c>
      <c r="N2" s="2628" t="s">
        <v>26</v>
      </c>
    </row>
    <row r="3" spans="1:15" ht="72">
      <c r="C3" s="10" t="s">
        <v>25</v>
      </c>
      <c r="D3" s="13" t="s">
        <v>24</v>
      </c>
      <c r="E3" s="12" t="s">
        <v>23</v>
      </c>
      <c r="F3" s="10" t="s">
        <v>22</v>
      </c>
      <c r="G3" s="11" t="s">
        <v>21</v>
      </c>
      <c r="H3" s="11" t="s">
        <v>20</v>
      </c>
      <c r="I3" s="11" t="s">
        <v>19</v>
      </c>
      <c r="J3" s="11" t="s">
        <v>18</v>
      </c>
      <c r="K3" s="10" t="s">
        <v>17</v>
      </c>
      <c r="L3" s="159" t="s">
        <v>16</v>
      </c>
      <c r="M3" s="2628"/>
      <c r="N3" s="2628"/>
    </row>
    <row r="4" spans="1:15">
      <c r="C4" s="9" t="s">
        <v>15</v>
      </c>
      <c r="D4" s="9" t="s">
        <v>14</v>
      </c>
      <c r="E4" s="9" t="s">
        <v>13</v>
      </c>
      <c r="F4" s="9" t="s">
        <v>12</v>
      </c>
      <c r="G4" s="9" t="s">
        <v>11</v>
      </c>
      <c r="H4" s="9" t="s">
        <v>10</v>
      </c>
      <c r="I4" s="9" t="s">
        <v>9</v>
      </c>
      <c r="J4" s="9" t="s">
        <v>8</v>
      </c>
      <c r="K4" s="9" t="s">
        <v>7</v>
      </c>
      <c r="L4" s="160" t="s">
        <v>6</v>
      </c>
      <c r="M4" s="9" t="s">
        <v>5</v>
      </c>
      <c r="N4" s="9" t="s">
        <v>4</v>
      </c>
    </row>
    <row r="5" spans="1:15">
      <c r="C5" s="102"/>
      <c r="D5" s="9"/>
      <c r="E5" s="83"/>
      <c r="F5" s="9"/>
      <c r="G5" s="9"/>
      <c r="H5" s="9"/>
      <c r="I5" s="9"/>
      <c r="J5" s="9"/>
      <c r="K5" s="9"/>
      <c r="L5" s="160"/>
      <c r="M5" s="9"/>
      <c r="N5" s="84"/>
    </row>
    <row r="7" spans="1:15" ht="14.25" customHeight="1">
      <c r="A7" s="58"/>
      <c r="B7" s="63"/>
      <c r="C7" s="57"/>
      <c r="D7" s="143"/>
      <c r="E7" s="158"/>
      <c r="F7" s="58"/>
      <c r="G7" s="59"/>
      <c r="H7" s="60"/>
      <c r="I7" s="60"/>
      <c r="J7" s="60"/>
      <c r="K7" s="58"/>
      <c r="L7" s="64"/>
      <c r="M7" s="58"/>
      <c r="N7" s="19"/>
      <c r="O7" s="62"/>
    </row>
    <row r="8" spans="1:15" ht="14.25" customHeight="1">
      <c r="A8" s="58"/>
      <c r="B8" s="63"/>
      <c r="C8" s="58"/>
      <c r="D8" s="157"/>
      <c r="E8" s="82"/>
      <c r="F8" s="154"/>
      <c r="G8" s="113"/>
      <c r="H8" s="117"/>
      <c r="I8" s="118"/>
      <c r="J8" s="118"/>
      <c r="K8" s="115"/>
      <c r="L8" s="100"/>
      <c r="M8" s="119"/>
      <c r="N8" s="116"/>
      <c r="O8" s="114"/>
    </row>
    <row r="9" spans="1:15" ht="14.25" customHeight="1">
      <c r="A9" s="76"/>
      <c r="B9" s="63"/>
      <c r="D9" s="144"/>
      <c r="E9" s="145"/>
      <c r="F9" s="142"/>
      <c r="G9" s="113"/>
      <c r="H9" s="117"/>
      <c r="I9" s="118"/>
      <c r="J9" s="118"/>
      <c r="K9" s="115"/>
      <c r="L9" s="100"/>
      <c r="M9" s="119"/>
      <c r="N9" s="116"/>
      <c r="O9" s="114"/>
    </row>
    <row r="10" spans="1:15" ht="14.25" customHeight="1">
      <c r="A10" s="76"/>
      <c r="B10" s="63"/>
      <c r="C10" s="155"/>
      <c r="D10" s="155"/>
      <c r="E10" s="90"/>
      <c r="F10" s="155"/>
      <c r="G10" s="155"/>
      <c r="H10" s="103"/>
      <c r="I10" s="103"/>
      <c r="J10" s="103"/>
      <c r="K10" s="103"/>
      <c r="L10" s="175"/>
      <c r="M10" s="156"/>
      <c r="N10" s="103"/>
      <c r="O10" s="103"/>
    </row>
    <row r="11" spans="1:15" ht="14.25" customHeight="1">
      <c r="A11" s="76"/>
      <c r="B11" s="63"/>
      <c r="C11" s="161"/>
      <c r="D11" s="162"/>
      <c r="E11" s="163"/>
      <c r="F11" s="164"/>
      <c r="G11" s="165"/>
      <c r="H11" s="166"/>
      <c r="I11" s="166"/>
      <c r="J11" s="162"/>
      <c r="K11" s="162"/>
      <c r="L11" s="176"/>
      <c r="M11" s="167"/>
      <c r="N11" s="162"/>
      <c r="O11" s="91"/>
    </row>
    <row r="12" spans="1:15" ht="14.25" customHeight="1">
      <c r="A12" s="76"/>
      <c r="B12" s="63"/>
      <c r="C12" s="168"/>
      <c r="D12" s="168"/>
      <c r="E12" s="169"/>
      <c r="F12" s="164"/>
      <c r="G12" s="170"/>
      <c r="H12" s="171"/>
      <c r="I12" s="171"/>
      <c r="J12" s="172"/>
      <c r="K12" s="164"/>
      <c r="L12" s="177"/>
      <c r="M12" s="168"/>
      <c r="N12" s="173"/>
    </row>
    <row r="13" spans="1:15" ht="14.25" customHeight="1">
      <c r="A13" s="76"/>
      <c r="B13" s="63"/>
      <c r="C13" s="168"/>
      <c r="D13" s="168"/>
      <c r="E13" s="169"/>
      <c r="F13" s="164"/>
      <c r="G13" s="170"/>
      <c r="H13" s="171"/>
      <c r="I13" s="171"/>
      <c r="J13" s="168"/>
      <c r="K13" s="174"/>
      <c r="L13" s="177"/>
      <c r="M13" s="164"/>
      <c r="N13" s="173"/>
    </row>
    <row r="14" spans="1:15" ht="14.25" customHeight="1">
      <c r="A14" s="76"/>
      <c r="B14" s="63"/>
      <c r="C14" s="168"/>
      <c r="D14" s="168"/>
      <c r="E14" s="169"/>
      <c r="F14" s="164"/>
      <c r="G14" s="170"/>
      <c r="H14" s="168"/>
      <c r="I14" s="168"/>
      <c r="J14" s="168"/>
      <c r="K14" s="168"/>
      <c r="L14" s="177"/>
      <c r="M14" s="168"/>
      <c r="N14" s="173"/>
    </row>
    <row r="15" spans="1:15" ht="14.25" customHeight="1">
      <c r="A15" s="125"/>
      <c r="B15" s="63"/>
      <c r="C15" s="125"/>
      <c r="D15" s="130"/>
      <c r="E15" s="135"/>
      <c r="F15" s="125"/>
      <c r="G15" s="126"/>
      <c r="H15" s="127"/>
      <c r="I15" s="127"/>
      <c r="J15" s="127"/>
      <c r="K15" s="125"/>
      <c r="L15" s="140"/>
      <c r="M15" s="125"/>
      <c r="N15" s="129"/>
    </row>
    <row r="16" spans="1:15" ht="14.25" customHeight="1">
      <c r="A16" s="125"/>
      <c r="B16" s="63"/>
      <c r="C16" s="125"/>
      <c r="D16" s="131"/>
      <c r="E16" s="132"/>
      <c r="F16" s="133"/>
      <c r="G16" s="125"/>
      <c r="H16" s="126"/>
      <c r="I16" s="127"/>
      <c r="J16" s="127"/>
      <c r="K16" s="127"/>
      <c r="L16" s="141"/>
      <c r="M16" s="128"/>
      <c r="N16" s="125"/>
      <c r="O16" s="129"/>
    </row>
    <row r="17" spans="1:15" ht="14.25" customHeight="1">
      <c r="A17" s="125"/>
      <c r="B17" s="63"/>
      <c r="D17" s="131"/>
      <c r="E17" s="132"/>
      <c r="F17" s="133"/>
      <c r="G17" s="125"/>
      <c r="H17" s="126"/>
      <c r="I17" s="127"/>
      <c r="J17" s="127"/>
      <c r="K17" s="127"/>
      <c r="L17" s="141"/>
      <c r="M17" s="128"/>
      <c r="N17" s="125"/>
      <c r="O17" s="129"/>
    </row>
    <row r="18" spans="1:15" ht="27" customHeight="1">
      <c r="A18" s="125"/>
      <c r="B18" s="63"/>
      <c r="C18" s="86"/>
      <c r="D18" s="87"/>
      <c r="E18" s="136"/>
      <c r="F18" s="87"/>
      <c r="G18" s="88"/>
      <c r="H18" s="89"/>
      <c r="I18" s="89"/>
      <c r="J18" s="89"/>
      <c r="K18" s="87"/>
      <c r="L18" s="98"/>
      <c r="M18" s="87"/>
      <c r="N18" s="19"/>
      <c r="O18" s="77"/>
    </row>
    <row r="19" spans="1:15" ht="14.25" customHeight="1">
      <c r="A19" s="125"/>
      <c r="B19" s="63"/>
      <c r="C19" s="58"/>
      <c r="D19" s="96"/>
      <c r="E19" s="96"/>
      <c r="F19" s="58"/>
      <c r="G19" s="59"/>
      <c r="H19" s="60"/>
      <c r="I19" s="60"/>
      <c r="J19" s="60"/>
      <c r="K19" s="58"/>
      <c r="L19" s="64"/>
      <c r="M19" s="58"/>
      <c r="N19" s="19"/>
      <c r="O19" s="62"/>
    </row>
    <row r="20" spans="1:15" ht="14.25" customHeight="1">
      <c r="A20" s="125"/>
      <c r="B20" s="63"/>
      <c r="C20" s="58"/>
      <c r="D20" s="78"/>
      <c r="E20" s="79"/>
      <c r="F20" s="58"/>
      <c r="G20" s="59"/>
      <c r="H20" s="60"/>
      <c r="I20" s="60"/>
      <c r="J20" s="60"/>
      <c r="K20" s="58"/>
      <c r="L20" s="64"/>
      <c r="M20" s="58"/>
      <c r="N20" s="19"/>
      <c r="O20" s="62"/>
    </row>
    <row r="21" spans="1:15" ht="14.25" customHeight="1">
      <c r="A21" s="125"/>
      <c r="B21" s="63"/>
      <c r="C21" s="58"/>
      <c r="D21" s="78"/>
      <c r="E21" s="79"/>
      <c r="F21" s="58"/>
      <c r="G21" s="59"/>
      <c r="H21" s="60"/>
      <c r="I21" s="60"/>
      <c r="J21" s="60"/>
      <c r="K21" s="58"/>
      <c r="L21" s="64"/>
      <c r="M21" s="58"/>
      <c r="N21" s="19"/>
      <c r="O21" s="62"/>
    </row>
    <row r="22" spans="1:15" ht="14.25" customHeight="1">
      <c r="A22" s="125"/>
      <c r="B22" s="63"/>
      <c r="C22" s="58"/>
      <c r="D22" s="78"/>
      <c r="E22" s="79"/>
      <c r="F22" s="58"/>
      <c r="G22" s="59"/>
      <c r="H22" s="60"/>
      <c r="I22" s="60"/>
      <c r="J22" s="60"/>
      <c r="K22" s="58"/>
      <c r="L22" s="64"/>
      <c r="M22" s="58"/>
      <c r="N22" s="19"/>
      <c r="O22" s="62"/>
    </row>
    <row r="23" spans="1:15" ht="14.25" customHeight="1">
      <c r="A23" s="125"/>
      <c r="B23" s="63"/>
      <c r="C23" s="58"/>
      <c r="D23" s="90"/>
      <c r="E23" s="94"/>
      <c r="F23" s="90"/>
      <c r="G23" s="90"/>
      <c r="H23" s="91"/>
      <c r="I23" s="91"/>
      <c r="J23" s="91"/>
      <c r="K23" s="91"/>
      <c r="L23" s="101"/>
      <c r="M23" s="93"/>
      <c r="N23" s="91"/>
      <c r="O23" s="91"/>
    </row>
    <row r="24" spans="1:15" ht="14.25" customHeight="1">
      <c r="A24" s="125"/>
      <c r="B24" s="63"/>
      <c r="C24" s="58"/>
      <c r="D24" s="90"/>
      <c r="E24" s="94"/>
      <c r="F24" s="90"/>
      <c r="G24" s="90"/>
      <c r="H24" s="91"/>
      <c r="I24" s="91"/>
      <c r="J24" s="91"/>
      <c r="K24" s="91"/>
      <c r="L24" s="101"/>
      <c r="M24" s="93"/>
      <c r="N24" s="91"/>
      <c r="O24" s="124"/>
    </row>
    <row r="25" spans="1:15" ht="22.5" customHeight="1">
      <c r="A25" s="125"/>
      <c r="B25" s="63"/>
      <c r="C25" s="86"/>
      <c r="D25" s="87"/>
      <c r="E25" s="95"/>
      <c r="F25" s="87"/>
      <c r="G25" s="88"/>
      <c r="H25" s="89"/>
      <c r="I25" s="89"/>
      <c r="J25" s="89"/>
      <c r="K25" s="87"/>
      <c r="L25" s="98"/>
      <c r="M25" s="87"/>
      <c r="N25" s="19"/>
      <c r="O25" s="77"/>
    </row>
    <row r="26" spans="1:15" ht="14.25" customHeight="1">
      <c r="A26" s="125"/>
      <c r="B26" s="63"/>
      <c r="C26" s="58"/>
      <c r="D26" s="96"/>
      <c r="E26" s="97"/>
      <c r="F26" s="58"/>
      <c r="G26" s="59"/>
      <c r="H26" s="60"/>
      <c r="I26" s="60"/>
      <c r="J26" s="60"/>
      <c r="K26" s="58"/>
      <c r="L26" s="64"/>
      <c r="M26" s="58"/>
      <c r="N26" s="19"/>
      <c r="O26" s="62"/>
    </row>
    <row r="27" spans="1:15" ht="14.25" customHeight="1">
      <c r="A27" s="125"/>
      <c r="B27" s="63"/>
      <c r="C27" s="58"/>
      <c r="D27" s="79"/>
      <c r="E27" s="81"/>
      <c r="F27" s="58"/>
      <c r="G27" s="59"/>
      <c r="H27" s="60"/>
      <c r="I27" s="60"/>
      <c r="J27" s="60"/>
      <c r="K27" s="58"/>
      <c r="L27" s="64"/>
      <c r="M27" s="58"/>
      <c r="N27" s="19"/>
      <c r="O27" s="62"/>
    </row>
    <row r="28" spans="1:15">
      <c r="A28" s="125"/>
      <c r="B28" s="63"/>
      <c r="C28" s="58"/>
      <c r="D28" s="79"/>
      <c r="E28" s="81"/>
      <c r="F28" s="58"/>
      <c r="G28" s="59"/>
      <c r="H28" s="60"/>
      <c r="I28" s="60"/>
      <c r="J28" s="60"/>
      <c r="K28" s="58"/>
      <c r="L28" s="64"/>
      <c r="M28" s="58"/>
      <c r="N28" s="19"/>
      <c r="O28" s="62"/>
    </row>
    <row r="29" spans="1:15">
      <c r="A29" s="125"/>
      <c r="B29" s="63"/>
      <c r="C29" s="58"/>
      <c r="D29" s="78"/>
      <c r="E29" s="79"/>
      <c r="F29" s="58"/>
      <c r="G29" s="59"/>
      <c r="H29" s="60"/>
      <c r="I29" s="60"/>
      <c r="J29" s="60"/>
      <c r="K29" s="58"/>
      <c r="L29" s="64"/>
      <c r="M29" s="58"/>
      <c r="N29" s="19"/>
      <c r="O29" s="62"/>
    </row>
    <row r="30" spans="1:15">
      <c r="C30" s="58"/>
      <c r="D30" s="90"/>
      <c r="E30" s="94"/>
      <c r="F30" s="90"/>
      <c r="G30" s="91"/>
      <c r="H30" s="91"/>
      <c r="I30" s="91"/>
      <c r="J30" s="91"/>
      <c r="K30" s="92"/>
      <c r="L30" s="101"/>
      <c r="M30" s="91"/>
      <c r="N30" s="19"/>
      <c r="O30" s="91"/>
    </row>
    <row r="31" spans="1:15">
      <c r="A31" s="125"/>
      <c r="B31" s="63"/>
      <c r="C31" s="86"/>
      <c r="D31" s="87"/>
      <c r="E31" s="95"/>
      <c r="F31" s="87"/>
      <c r="G31" s="88"/>
      <c r="H31" s="89"/>
      <c r="I31" s="89"/>
      <c r="J31" s="89"/>
      <c r="K31" s="87"/>
      <c r="L31" s="98"/>
      <c r="M31" s="87"/>
      <c r="N31" s="19"/>
      <c r="O31" s="77"/>
    </row>
    <row r="32" spans="1:15">
      <c r="A32" s="125"/>
      <c r="B32" s="63"/>
      <c r="C32" s="58"/>
      <c r="D32" s="96"/>
      <c r="E32" s="96"/>
      <c r="F32" s="58"/>
      <c r="G32" s="59"/>
      <c r="H32" s="60"/>
      <c r="I32" s="60"/>
      <c r="J32" s="60"/>
      <c r="K32" s="58"/>
      <c r="L32" s="64"/>
      <c r="M32" s="58"/>
      <c r="N32" s="19"/>
      <c r="O32" s="62"/>
    </row>
    <row r="33" spans="1:15">
      <c r="A33" s="125"/>
      <c r="B33" s="63"/>
      <c r="C33" s="58"/>
      <c r="D33" s="78"/>
      <c r="E33" s="79"/>
      <c r="F33" s="80"/>
      <c r="G33" s="58"/>
      <c r="H33" s="59"/>
      <c r="I33" s="60"/>
      <c r="J33" s="60"/>
      <c r="K33" s="60"/>
      <c r="L33" s="100"/>
      <c r="M33" s="61"/>
      <c r="N33" s="58"/>
      <c r="O33" s="62"/>
    </row>
    <row r="34" spans="1:15">
      <c r="A34" s="125"/>
      <c r="B34" s="63"/>
      <c r="C34" s="58"/>
      <c r="D34" s="78"/>
      <c r="E34" s="79"/>
      <c r="F34" s="80"/>
      <c r="G34" s="58"/>
      <c r="H34" s="59"/>
      <c r="I34" s="60"/>
      <c r="J34" s="60"/>
      <c r="K34" s="60"/>
      <c r="L34" s="100"/>
      <c r="M34" s="61"/>
      <c r="N34" s="58"/>
      <c r="O34" s="62"/>
    </row>
    <row r="35" spans="1:15">
      <c r="A35" s="125"/>
      <c r="B35" s="63"/>
      <c r="C35" s="58"/>
      <c r="D35" s="78"/>
      <c r="E35" s="79"/>
      <c r="F35" s="80"/>
      <c r="G35" s="58"/>
      <c r="H35" s="59"/>
      <c r="I35" s="60"/>
      <c r="J35" s="60"/>
      <c r="K35" s="60"/>
      <c r="L35" s="100"/>
      <c r="M35" s="61"/>
      <c r="N35" s="58"/>
      <c r="O35" s="62"/>
    </row>
    <row r="36" spans="1:15">
      <c r="A36" s="125"/>
      <c r="B36" s="63"/>
      <c r="C36" s="58"/>
      <c r="D36" s="90"/>
      <c r="E36" s="94"/>
      <c r="F36" s="90"/>
      <c r="G36" s="90"/>
      <c r="H36" s="91"/>
      <c r="I36" s="91"/>
      <c r="J36" s="91"/>
      <c r="K36" s="91"/>
      <c r="L36" s="101"/>
      <c r="M36" s="93"/>
      <c r="N36" s="91"/>
      <c r="O36" s="124"/>
    </row>
    <row r="37" spans="1:15">
      <c r="A37" s="125"/>
      <c r="B37" s="63"/>
      <c r="C37" s="86"/>
      <c r="D37" s="87"/>
      <c r="E37" s="95"/>
      <c r="F37" s="87"/>
      <c r="G37" s="88"/>
      <c r="H37" s="89"/>
      <c r="I37" s="89"/>
      <c r="J37" s="89"/>
      <c r="K37" s="87"/>
      <c r="L37" s="98"/>
      <c r="M37" s="87"/>
      <c r="N37" s="19"/>
      <c r="O37" s="77"/>
    </row>
    <row r="38" spans="1:15">
      <c r="A38" s="125"/>
      <c r="B38" s="63"/>
      <c r="C38" s="58"/>
      <c r="D38" s="138"/>
      <c r="E38" s="96"/>
      <c r="F38" s="58"/>
      <c r="G38" s="59"/>
      <c r="H38" s="60"/>
      <c r="I38" s="60"/>
      <c r="J38" s="60"/>
      <c r="K38" s="58"/>
      <c r="L38" s="64"/>
      <c r="M38" s="58"/>
      <c r="N38" s="19"/>
      <c r="O38" s="62"/>
    </row>
    <row r="39" spans="1:15">
      <c r="A39" s="125"/>
      <c r="B39" s="63"/>
      <c r="C39" s="58"/>
      <c r="D39" s="79"/>
      <c r="E39" s="79"/>
      <c r="F39" s="58"/>
      <c r="G39" s="59"/>
      <c r="H39" s="60"/>
      <c r="I39" s="60"/>
      <c r="J39" s="60"/>
      <c r="K39" s="58"/>
      <c r="L39" s="64"/>
      <c r="M39" s="58"/>
      <c r="N39" s="19"/>
      <c r="O39" s="62"/>
    </row>
    <row r="40" spans="1:15">
      <c r="A40" s="125"/>
      <c r="B40" s="63"/>
      <c r="C40" s="58"/>
      <c r="D40" s="78"/>
      <c r="E40" s="79"/>
      <c r="F40" s="80"/>
      <c r="G40" s="58"/>
      <c r="H40" s="59"/>
      <c r="I40" s="60"/>
      <c r="J40" s="60"/>
      <c r="K40" s="60"/>
      <c r="L40" s="100"/>
      <c r="M40" s="61"/>
      <c r="N40" s="58"/>
      <c r="O40" s="62"/>
    </row>
    <row r="41" spans="1:15">
      <c r="A41" s="125"/>
      <c r="B41" s="63"/>
      <c r="C41" s="58"/>
      <c r="D41" s="78"/>
      <c r="E41" s="79"/>
      <c r="F41" s="80"/>
      <c r="G41" s="58"/>
      <c r="H41" s="59"/>
      <c r="I41" s="60"/>
      <c r="J41" s="60"/>
      <c r="K41" s="60"/>
      <c r="L41" s="100"/>
      <c r="M41" s="61"/>
      <c r="N41" s="58"/>
      <c r="O41" s="62"/>
    </row>
    <row r="42" spans="1:15">
      <c r="C42" s="58"/>
      <c r="D42" s="90"/>
      <c r="E42" s="94"/>
      <c r="F42" s="90"/>
      <c r="G42" s="90"/>
      <c r="H42" s="91"/>
      <c r="I42" s="91"/>
      <c r="J42" s="91"/>
      <c r="K42" s="91"/>
      <c r="L42" s="101"/>
      <c r="M42" s="93"/>
      <c r="N42" s="91"/>
      <c r="O42" s="124"/>
    </row>
    <row r="43" spans="1:15">
      <c r="C43" s="58"/>
      <c r="D43" s="90"/>
      <c r="E43" s="94"/>
      <c r="F43" s="90"/>
      <c r="G43" s="90"/>
      <c r="H43" s="91"/>
      <c r="I43" s="91"/>
      <c r="J43" s="91"/>
      <c r="K43" s="91"/>
      <c r="L43" s="101"/>
      <c r="M43" s="93"/>
      <c r="N43" s="91"/>
      <c r="O43" s="124"/>
    </row>
    <row r="44" spans="1:15">
      <c r="A44" s="125"/>
      <c r="B44" s="63"/>
      <c r="C44" s="86"/>
      <c r="D44" s="87"/>
      <c r="E44" s="86"/>
      <c r="F44" s="87"/>
      <c r="G44" s="88"/>
      <c r="H44" s="89"/>
      <c r="I44" s="89"/>
      <c r="J44" s="89"/>
      <c r="K44" s="87"/>
      <c r="L44" s="98"/>
      <c r="M44" s="87"/>
      <c r="N44" s="77"/>
    </row>
    <row r="45" spans="1:15">
      <c r="A45" s="125"/>
      <c r="B45" s="63"/>
      <c r="C45" s="58"/>
      <c r="D45" s="139"/>
      <c r="E45" s="19"/>
      <c r="F45" s="58"/>
      <c r="G45" s="59"/>
      <c r="H45" s="60"/>
      <c r="I45" s="60"/>
      <c r="J45" s="60"/>
      <c r="K45" s="58"/>
      <c r="L45" s="64"/>
      <c r="M45" s="58"/>
      <c r="N45" s="62"/>
    </row>
    <row r="46" spans="1:15">
      <c r="A46" s="125"/>
      <c r="B46" s="63"/>
      <c r="C46" s="58"/>
      <c r="D46" s="81"/>
      <c r="E46" s="19"/>
      <c r="F46" s="81"/>
      <c r="G46" s="58"/>
      <c r="H46" s="59"/>
      <c r="I46" s="60"/>
      <c r="J46" s="60"/>
      <c r="K46" s="60"/>
      <c r="L46" s="100"/>
      <c r="M46" s="61"/>
      <c r="N46" s="58"/>
      <c r="O46" s="62"/>
    </row>
    <row r="47" spans="1:15">
      <c r="A47" s="125"/>
      <c r="B47" s="63"/>
      <c r="C47" s="58"/>
      <c r="D47" s="78"/>
      <c r="E47" s="81"/>
      <c r="F47" s="81"/>
      <c r="G47" s="58"/>
      <c r="H47" s="59"/>
      <c r="I47" s="60"/>
      <c r="J47" s="60"/>
      <c r="K47" s="60"/>
      <c r="L47" s="100"/>
      <c r="M47" s="61"/>
      <c r="N47" s="58"/>
      <c r="O47" s="62"/>
    </row>
    <row r="48" spans="1:15">
      <c r="A48" s="125"/>
      <c r="B48" s="63"/>
      <c r="C48" s="58"/>
      <c r="D48" s="78"/>
      <c r="E48" s="81"/>
      <c r="F48" s="81"/>
      <c r="G48" s="58"/>
      <c r="H48" s="59"/>
      <c r="I48" s="60"/>
      <c r="J48" s="60"/>
      <c r="K48" s="60"/>
      <c r="L48" s="100"/>
      <c r="M48" s="61"/>
      <c r="N48" s="58"/>
      <c r="O48" s="62"/>
    </row>
    <row r="49" spans="1:15">
      <c r="C49" s="58"/>
      <c r="D49" s="90"/>
      <c r="E49" s="94"/>
      <c r="F49" s="90"/>
      <c r="G49" s="90"/>
      <c r="H49" s="91"/>
      <c r="I49" s="91"/>
      <c r="J49" s="91"/>
      <c r="K49" s="91"/>
      <c r="L49" s="101"/>
      <c r="M49" s="93"/>
      <c r="N49" s="91"/>
      <c r="O49" s="124"/>
    </row>
    <row r="50" spans="1:15">
      <c r="A50" s="58"/>
      <c r="B50" s="63"/>
      <c r="C50" s="86"/>
      <c r="D50" s="87"/>
      <c r="E50" s="95"/>
      <c r="F50" s="87"/>
      <c r="G50" s="88"/>
      <c r="H50" s="89"/>
      <c r="I50" s="89"/>
      <c r="J50" s="89"/>
      <c r="K50" s="87"/>
      <c r="L50" s="98"/>
      <c r="M50" s="87"/>
      <c r="O50" s="77"/>
    </row>
    <row r="51" spans="1:15">
      <c r="A51" s="58"/>
      <c r="B51" s="63"/>
      <c r="C51" s="58"/>
      <c r="D51" s="96"/>
      <c r="E51" s="19"/>
      <c r="F51" s="109"/>
      <c r="G51" s="59"/>
      <c r="H51" s="60"/>
      <c r="I51" s="60"/>
      <c r="J51" s="60"/>
      <c r="K51" s="58"/>
      <c r="L51" s="64"/>
      <c r="M51" s="58"/>
      <c r="O51" s="62"/>
    </row>
    <row r="52" spans="1:15">
      <c r="A52" s="58"/>
      <c r="B52" s="63"/>
      <c r="C52" s="58"/>
      <c r="D52" s="79"/>
      <c r="E52" s="19"/>
      <c r="F52" s="109"/>
      <c r="G52" s="59"/>
      <c r="H52" s="60"/>
      <c r="I52" s="60"/>
      <c r="J52" s="60"/>
      <c r="K52" s="58"/>
      <c r="L52" s="64"/>
      <c r="M52" s="58"/>
      <c r="O52" s="62"/>
    </row>
    <row r="53" spans="1:15">
      <c r="A53" s="58"/>
      <c r="B53" s="63"/>
      <c r="C53" s="58"/>
      <c r="D53" s="79"/>
      <c r="E53" s="19"/>
      <c r="F53" s="80"/>
      <c r="G53" s="58"/>
      <c r="H53" s="59"/>
      <c r="I53" s="60"/>
      <c r="J53" s="60"/>
      <c r="K53" s="60"/>
      <c r="L53" s="100"/>
      <c r="M53" s="61"/>
      <c r="N53" s="58"/>
      <c r="O53" s="62"/>
    </row>
    <row r="54" spans="1:15">
      <c r="A54" s="58"/>
      <c r="B54" s="63"/>
      <c r="C54" s="58"/>
      <c r="D54" s="78"/>
      <c r="E54" s="79"/>
      <c r="F54" s="81"/>
      <c r="G54" s="58"/>
      <c r="H54" s="59"/>
      <c r="I54" s="60"/>
      <c r="J54" s="60"/>
      <c r="K54" s="60"/>
      <c r="L54" s="100"/>
      <c r="M54" s="61"/>
      <c r="N54" s="58"/>
      <c r="O54" s="62"/>
    </row>
    <row r="55" spans="1:15">
      <c r="D55" s="90"/>
      <c r="E55" s="94"/>
      <c r="F55" s="90"/>
      <c r="G55" s="90"/>
      <c r="H55" s="91"/>
      <c r="I55" s="91"/>
      <c r="J55" s="91"/>
      <c r="K55" s="91"/>
      <c r="L55" s="101"/>
      <c r="M55" s="93"/>
      <c r="N55" s="91"/>
      <c r="O55" s="91"/>
    </row>
    <row r="56" spans="1:15">
      <c r="C56" s="58"/>
      <c r="D56" s="90"/>
      <c r="E56" s="94"/>
      <c r="F56" s="90"/>
      <c r="G56" s="90"/>
      <c r="H56" s="91"/>
      <c r="I56" s="91"/>
      <c r="J56" s="91"/>
      <c r="K56" s="91"/>
      <c r="L56" s="101"/>
      <c r="M56" s="93"/>
      <c r="N56" s="91"/>
      <c r="O56" s="124"/>
    </row>
    <row r="57" spans="1:15">
      <c r="C57" s="58"/>
      <c r="D57" s="90"/>
      <c r="E57" s="94"/>
      <c r="F57" s="90"/>
      <c r="G57" s="90"/>
      <c r="H57" s="91"/>
      <c r="I57" s="91"/>
      <c r="J57" s="91"/>
      <c r="K57" s="91"/>
      <c r="L57" s="101"/>
      <c r="M57" s="93"/>
      <c r="N57" s="91"/>
      <c r="O57" s="124"/>
    </row>
    <row r="58" spans="1:15">
      <c r="C58" s="58"/>
      <c r="D58" s="90"/>
      <c r="E58" s="94"/>
      <c r="F58" s="90"/>
      <c r="G58" s="90"/>
      <c r="H58" s="91"/>
      <c r="I58" s="91"/>
      <c r="J58" s="91"/>
      <c r="K58" s="91"/>
      <c r="L58" s="101"/>
      <c r="M58" s="93"/>
      <c r="N58" s="91"/>
      <c r="O58" s="124"/>
    </row>
    <row r="59" spans="1:15">
      <c r="C59" s="58"/>
      <c r="D59" s="90"/>
      <c r="E59" s="94"/>
      <c r="F59" s="90"/>
      <c r="G59" s="90"/>
      <c r="H59" s="91"/>
      <c r="I59" s="91"/>
      <c r="J59" s="91"/>
      <c r="K59" s="91"/>
      <c r="L59" s="101"/>
      <c r="M59" s="93"/>
      <c r="N59" s="91"/>
      <c r="O59" s="124"/>
    </row>
    <row r="60" spans="1:15">
      <c r="C60" s="58"/>
      <c r="D60" s="90"/>
      <c r="E60" s="94"/>
      <c r="F60" s="90"/>
      <c r="G60" s="90"/>
      <c r="H60" s="91"/>
      <c r="I60" s="91"/>
      <c r="J60" s="91"/>
      <c r="K60" s="91"/>
      <c r="L60" s="101"/>
      <c r="M60" s="93"/>
      <c r="N60" s="91"/>
      <c r="O60" s="124"/>
    </row>
    <row r="61" spans="1:15">
      <c r="C61" s="58"/>
      <c r="D61" s="90"/>
      <c r="E61" s="94"/>
      <c r="F61" s="90"/>
      <c r="G61" s="90"/>
      <c r="H61" s="91"/>
      <c r="I61" s="91"/>
      <c r="J61" s="91"/>
      <c r="K61" s="91"/>
      <c r="L61" s="101"/>
      <c r="M61" s="93"/>
      <c r="N61" s="91"/>
      <c r="O61" s="124"/>
    </row>
    <row r="62" spans="1:15">
      <c r="C62" s="58"/>
      <c r="D62" s="90"/>
      <c r="E62" s="94"/>
      <c r="F62" s="90"/>
      <c r="G62" s="90"/>
      <c r="H62" s="91"/>
      <c r="I62" s="91"/>
      <c r="J62" s="91"/>
      <c r="K62" s="91"/>
      <c r="L62" s="216">
        <f>SUM(L7:L61)</f>
        <v>0</v>
      </c>
      <c r="M62" s="93"/>
      <c r="N62" s="91"/>
      <c r="O62" s="124"/>
    </row>
    <row r="63" spans="1:15">
      <c r="C63" s="58"/>
      <c r="D63" s="90"/>
      <c r="E63" s="94"/>
      <c r="F63" s="90"/>
      <c r="G63" s="90"/>
      <c r="H63" s="91"/>
      <c r="I63" s="91"/>
      <c r="J63" s="91"/>
      <c r="K63" s="91"/>
      <c r="L63" s="101"/>
      <c r="M63" s="93"/>
      <c r="N63" s="91"/>
      <c r="O63" s="124"/>
    </row>
    <row r="64" spans="1:15">
      <c r="C64" s="58"/>
      <c r="D64" s="90"/>
      <c r="E64" s="94"/>
      <c r="F64" s="90"/>
      <c r="G64" s="90"/>
      <c r="H64" s="91"/>
      <c r="I64" s="91"/>
      <c r="J64" s="91"/>
      <c r="K64" s="91"/>
      <c r="L64" s="101"/>
      <c r="M64" s="93"/>
      <c r="N64" s="91"/>
      <c r="O64" s="124"/>
    </row>
    <row r="65" spans="3:14">
      <c r="C65" s="8"/>
      <c r="D65" s="8"/>
      <c r="E65" s="7"/>
      <c r="F65" s="6"/>
      <c r="G65" s="6"/>
      <c r="H65" s="5"/>
      <c r="I65" s="5"/>
      <c r="J65" s="5"/>
      <c r="K65" s="6"/>
      <c r="L65" s="178"/>
      <c r="M65" s="6"/>
      <c r="N65" s="2"/>
    </row>
    <row r="66" spans="3:14">
      <c r="C66" s="8"/>
      <c r="D66" s="8"/>
      <c r="E66" s="7"/>
      <c r="F66" s="6"/>
      <c r="G66" s="6"/>
      <c r="H66" s="5"/>
      <c r="I66" s="5"/>
      <c r="J66" s="5"/>
      <c r="K66" s="6"/>
      <c r="L66" s="178"/>
      <c r="M66" s="6"/>
      <c r="N66" s="2"/>
    </row>
    <row r="67" spans="3:14">
      <c r="C67" s="8"/>
      <c r="D67" s="8"/>
      <c r="E67" s="7"/>
      <c r="F67" s="6"/>
      <c r="G67" s="6"/>
      <c r="H67" s="5"/>
      <c r="I67" s="5"/>
      <c r="J67" s="5"/>
      <c r="K67" s="6"/>
      <c r="L67" s="178"/>
      <c r="M67" s="6"/>
      <c r="N67" s="2"/>
    </row>
    <row r="68" spans="3:14">
      <c r="C68" s="8"/>
      <c r="D68" s="8"/>
      <c r="E68" s="7"/>
      <c r="F68" s="6"/>
      <c r="G68" s="6"/>
      <c r="H68" s="5"/>
      <c r="I68" s="5"/>
      <c r="J68" s="5"/>
      <c r="K68" s="6"/>
      <c r="L68" s="178"/>
      <c r="M68" s="6"/>
      <c r="N68" s="2"/>
    </row>
    <row r="69" spans="3:14">
      <c r="C69" s="8"/>
      <c r="D69" s="8"/>
      <c r="E69" s="7"/>
      <c r="F69" s="6"/>
      <c r="G69" s="6"/>
      <c r="H69" s="5"/>
      <c r="I69" s="5"/>
      <c r="J69" s="5"/>
      <c r="K69" s="6"/>
      <c r="L69" s="178"/>
      <c r="M69" s="6"/>
      <c r="N69" s="2"/>
    </row>
    <row r="70" spans="3:14">
      <c r="C70" s="8"/>
      <c r="D70" s="8"/>
      <c r="E70" s="7"/>
      <c r="F70" s="6"/>
      <c r="G70" s="6"/>
      <c r="H70" s="5"/>
      <c r="I70" s="5"/>
      <c r="J70" s="5"/>
      <c r="K70" s="6"/>
      <c r="L70" s="178"/>
      <c r="M70" s="6"/>
      <c r="N70" s="2"/>
    </row>
    <row r="71" spans="3:14">
      <c r="C71" s="8"/>
      <c r="D71" s="8"/>
      <c r="E71" s="7"/>
      <c r="F71" s="6"/>
      <c r="G71" s="6"/>
      <c r="H71" s="5"/>
      <c r="I71" s="5"/>
      <c r="J71" s="5"/>
      <c r="K71" s="6"/>
      <c r="L71" s="178"/>
      <c r="M71" s="6"/>
      <c r="N71" s="2"/>
    </row>
    <row r="72" spans="3:14">
      <c r="C72" s="8"/>
      <c r="D72" s="8"/>
      <c r="E72" s="7"/>
      <c r="F72" s="6"/>
      <c r="G72" s="6"/>
      <c r="H72" s="5"/>
      <c r="I72" s="5"/>
      <c r="J72" s="5"/>
      <c r="K72" s="6"/>
      <c r="L72" s="108"/>
      <c r="M72" s="6"/>
      <c r="N72" s="2"/>
    </row>
    <row r="73" spans="3:14">
      <c r="C73" s="8"/>
      <c r="D73" s="8"/>
      <c r="E73" s="7"/>
      <c r="F73" s="6"/>
      <c r="G73" s="6"/>
      <c r="H73" s="5"/>
      <c r="I73" s="5"/>
      <c r="J73" s="5"/>
      <c r="K73" s="6"/>
      <c r="L73" s="178"/>
      <c r="M73" s="6"/>
      <c r="N73" s="2"/>
    </row>
    <row r="74" spans="3:14">
      <c r="C74" s="8"/>
      <c r="D74" s="8"/>
      <c r="E74" s="7"/>
      <c r="F74" s="6"/>
      <c r="G74" s="6"/>
      <c r="H74" s="5"/>
      <c r="I74" s="5"/>
      <c r="J74" s="5"/>
      <c r="K74" s="6"/>
      <c r="L74" s="178"/>
      <c r="M74" s="6"/>
      <c r="N74" s="2"/>
    </row>
    <row r="75" spans="3:14">
      <c r="C75" s="8"/>
      <c r="D75" s="8"/>
      <c r="E75" s="7"/>
      <c r="F75" s="6"/>
      <c r="G75" s="6"/>
      <c r="H75" s="5"/>
      <c r="I75" s="5"/>
      <c r="J75" s="5"/>
      <c r="K75" s="6"/>
      <c r="L75" s="178"/>
      <c r="M75" s="6"/>
      <c r="N75" s="2"/>
    </row>
    <row r="76" spans="3:14">
      <c r="C76" s="8"/>
      <c r="D76" s="8"/>
      <c r="E76" s="7"/>
      <c r="F76" s="6"/>
      <c r="G76" s="6"/>
      <c r="H76" s="5"/>
      <c r="I76" s="5"/>
      <c r="J76" s="5"/>
      <c r="K76" s="6"/>
      <c r="L76" s="178"/>
      <c r="M76" s="6"/>
      <c r="N76" s="2"/>
    </row>
    <row r="77" spans="3:14">
      <c r="C77" s="8"/>
      <c r="D77" s="8"/>
      <c r="E77" s="7"/>
      <c r="F77" s="6"/>
      <c r="G77" s="6"/>
      <c r="H77" s="5"/>
      <c r="I77" s="5"/>
      <c r="J77" s="5"/>
      <c r="K77" s="6"/>
      <c r="L77" s="178"/>
      <c r="M77" s="6"/>
      <c r="N77" s="2"/>
    </row>
    <row r="78" spans="3:14" ht="14.25" customHeight="1">
      <c r="C78" s="8"/>
      <c r="D78" s="8"/>
      <c r="E78" s="7"/>
      <c r="F78" s="6"/>
      <c r="G78" s="6"/>
      <c r="H78" s="5"/>
      <c r="I78" s="5"/>
      <c r="J78" s="5"/>
      <c r="K78" s="6"/>
      <c r="L78" s="178"/>
      <c r="M78" s="6"/>
      <c r="N78" s="2"/>
    </row>
    <row r="79" spans="3:14" ht="14.25" customHeight="1">
      <c r="C79" s="8"/>
      <c r="D79" s="8"/>
      <c r="E79" s="7"/>
      <c r="F79" s="6"/>
      <c r="G79" s="6"/>
      <c r="H79" s="5"/>
      <c r="I79" s="5"/>
      <c r="J79" s="5"/>
      <c r="K79" s="6"/>
      <c r="L79" s="178"/>
      <c r="M79" s="6"/>
      <c r="N79" s="2"/>
    </row>
    <row r="80" spans="3:14" ht="14.25" customHeight="1">
      <c r="C80" s="8"/>
      <c r="D80" s="8"/>
      <c r="E80" s="7"/>
      <c r="F80" s="6"/>
      <c r="G80" s="6"/>
      <c r="H80" s="5"/>
      <c r="I80" s="5"/>
      <c r="J80" s="5"/>
      <c r="K80" s="6"/>
      <c r="L80" s="178"/>
      <c r="M80" s="6"/>
      <c r="N80" s="2"/>
    </row>
    <row r="81" spans="3:14" ht="14.25" customHeight="1">
      <c r="C81" s="8"/>
      <c r="D81" s="8"/>
      <c r="E81" s="7"/>
      <c r="F81" s="6"/>
      <c r="G81" s="6"/>
      <c r="H81" s="5"/>
      <c r="I81" s="5"/>
      <c r="J81" s="5"/>
      <c r="K81" s="6"/>
      <c r="L81" s="178"/>
      <c r="M81" s="6"/>
      <c r="N81" s="2"/>
    </row>
    <row r="82" spans="3:14" ht="14.25" customHeight="1">
      <c r="C82" s="8"/>
      <c r="D82" s="8"/>
      <c r="E82" s="7"/>
      <c r="F82" s="6"/>
      <c r="G82" s="6"/>
      <c r="H82" s="5"/>
      <c r="I82" s="5"/>
      <c r="J82" s="5"/>
      <c r="K82" s="6"/>
      <c r="L82" s="178"/>
      <c r="M82" s="6"/>
      <c r="N82" s="2"/>
    </row>
    <row r="83" spans="3:14" ht="14.25" customHeight="1">
      <c r="C83" s="8"/>
      <c r="D83" s="8"/>
      <c r="E83" s="7"/>
      <c r="F83" s="6"/>
      <c r="G83" s="6"/>
      <c r="H83" s="5"/>
      <c r="I83" s="5"/>
      <c r="J83" s="5"/>
      <c r="K83" s="6"/>
      <c r="L83" s="178"/>
      <c r="M83" s="6"/>
      <c r="N83" s="2"/>
    </row>
    <row r="84" spans="3:14" ht="14.25" customHeight="1">
      <c r="C84" s="8"/>
      <c r="D84" s="8"/>
      <c r="E84" s="7"/>
      <c r="F84" s="6"/>
      <c r="G84" s="6"/>
      <c r="H84" s="5"/>
      <c r="I84" s="5"/>
      <c r="J84" s="5"/>
      <c r="K84" s="6"/>
      <c r="L84" s="178"/>
      <c r="M84" s="6"/>
      <c r="N84" s="2"/>
    </row>
    <row r="85" spans="3:14" ht="14.25" customHeight="1">
      <c r="C85" s="8"/>
      <c r="D85" s="8"/>
      <c r="E85" s="7"/>
      <c r="F85" s="6"/>
      <c r="G85" s="6"/>
      <c r="H85" s="5"/>
      <c r="I85" s="5"/>
      <c r="J85" s="5"/>
      <c r="K85" s="6"/>
      <c r="L85" s="178"/>
      <c r="M85" s="6"/>
      <c r="N85" s="2"/>
    </row>
    <row r="86" spans="3:14" ht="14.25" customHeight="1">
      <c r="C86" s="8"/>
      <c r="D86" s="8"/>
      <c r="E86" s="7"/>
      <c r="F86" s="6"/>
      <c r="G86" s="6"/>
      <c r="H86" s="5"/>
      <c r="I86" s="5"/>
      <c r="J86" s="5"/>
      <c r="K86" s="6"/>
      <c r="L86" s="178"/>
      <c r="M86" s="6"/>
      <c r="N86" s="2"/>
    </row>
    <row r="87" spans="3:14" ht="14.25" customHeight="1">
      <c r="C87" s="8"/>
      <c r="D87" s="8"/>
      <c r="E87" s="7"/>
      <c r="F87" s="6"/>
      <c r="G87" s="6"/>
      <c r="H87" s="5"/>
      <c r="I87" s="5"/>
      <c r="J87" s="5"/>
      <c r="K87" s="6"/>
      <c r="L87" s="178"/>
      <c r="M87" s="6"/>
      <c r="N87" s="2"/>
    </row>
    <row r="88" spans="3:14" ht="14.25" customHeight="1">
      <c r="C88" s="8"/>
      <c r="D88" s="8"/>
      <c r="E88" s="7"/>
      <c r="F88" s="6"/>
      <c r="G88" s="6"/>
      <c r="H88" s="5"/>
      <c r="I88" s="5"/>
      <c r="J88" s="5"/>
      <c r="K88" s="6"/>
      <c r="L88" s="178"/>
      <c r="M88" s="6"/>
      <c r="N88" s="2"/>
    </row>
    <row r="89" spans="3:14" ht="14.25" customHeight="1">
      <c r="C89" s="8"/>
      <c r="D89" s="8"/>
      <c r="E89" s="7"/>
      <c r="F89" s="6"/>
      <c r="G89" s="6"/>
      <c r="H89" s="5"/>
      <c r="I89" s="5"/>
      <c r="J89" s="5"/>
      <c r="K89" s="6"/>
      <c r="L89" s="178"/>
      <c r="M89" s="6"/>
      <c r="N89" s="2"/>
    </row>
    <row r="90" spans="3:14" ht="14.25" customHeight="1">
      <c r="C90" s="8"/>
      <c r="D90" s="8"/>
      <c r="E90" s="7"/>
      <c r="F90" s="6"/>
      <c r="G90" s="6"/>
      <c r="H90" s="5"/>
      <c r="I90" s="5"/>
      <c r="J90" s="5"/>
      <c r="K90" s="6"/>
      <c r="L90" s="178"/>
      <c r="M90" s="6"/>
      <c r="N90" s="2"/>
    </row>
    <row r="91" spans="3:14" ht="14.25" customHeight="1">
      <c r="C91" s="8"/>
      <c r="D91" s="8"/>
      <c r="E91" s="7"/>
      <c r="F91" s="6"/>
      <c r="G91" s="6"/>
      <c r="H91" s="5"/>
      <c r="I91" s="5"/>
      <c r="J91" s="5"/>
      <c r="K91" s="6"/>
      <c r="L91" s="178"/>
      <c r="M91" s="6"/>
      <c r="N91" s="2"/>
    </row>
    <row r="92" spans="3:14" ht="14.25" customHeight="1">
      <c r="C92" s="8"/>
      <c r="D92" s="8"/>
      <c r="E92" s="7"/>
      <c r="F92" s="6"/>
      <c r="G92" s="6"/>
      <c r="H92" s="5"/>
      <c r="I92" s="5"/>
      <c r="J92" s="5"/>
      <c r="K92" s="6"/>
      <c r="L92" s="178"/>
      <c r="M92" s="6"/>
      <c r="N92" s="2"/>
    </row>
    <row r="93" spans="3:14" ht="14.25" customHeight="1">
      <c r="C93" s="8"/>
      <c r="D93" s="8"/>
      <c r="E93" s="7"/>
      <c r="F93" s="6"/>
      <c r="G93" s="6"/>
      <c r="H93" s="5"/>
      <c r="I93" s="5"/>
      <c r="J93" s="5"/>
      <c r="K93" s="6"/>
      <c r="L93" s="178"/>
      <c r="M93" s="3"/>
      <c r="N93" s="2"/>
    </row>
    <row r="94" spans="3:14" ht="14.25" customHeight="1">
      <c r="C94" s="8"/>
      <c r="D94" s="8"/>
      <c r="E94" s="7"/>
      <c r="F94" s="6"/>
      <c r="G94" s="5"/>
      <c r="H94" s="5"/>
      <c r="I94" s="5"/>
      <c r="J94" s="5"/>
      <c r="K94" s="4"/>
      <c r="L94" s="178"/>
      <c r="M94" s="3"/>
      <c r="N94" s="2"/>
    </row>
    <row r="95" spans="3:14" ht="14.25" customHeight="1">
      <c r="C95" s="19"/>
      <c r="D95" s="19"/>
      <c r="E95" s="19"/>
      <c r="F95" s="19"/>
      <c r="G95" s="19"/>
      <c r="H95" s="19"/>
      <c r="I95" s="19"/>
      <c r="J95" s="19"/>
      <c r="K95" s="19"/>
      <c r="L95" s="146"/>
      <c r="M95" s="19"/>
      <c r="N95" s="19"/>
    </row>
    <row r="96" spans="3:14" ht="14.25" customHeight="1">
      <c r="C96" s="31"/>
      <c r="D96" s="27"/>
      <c r="E96" s="20"/>
      <c r="F96" s="28"/>
      <c r="G96" s="28"/>
      <c r="H96" s="26"/>
      <c r="I96" s="26"/>
      <c r="J96" s="26"/>
      <c r="K96" s="28"/>
      <c r="L96" s="179"/>
      <c r="M96" s="28"/>
      <c r="N96" s="27"/>
    </row>
    <row r="97" spans="3:14" s="1" customFormat="1" ht="14.25" customHeight="1">
      <c r="C97" s="31"/>
      <c r="D97" s="27"/>
      <c r="E97" s="21"/>
      <c r="F97" s="28"/>
      <c r="G97" s="28"/>
      <c r="H97" s="26"/>
      <c r="I97" s="26"/>
      <c r="J97" s="26"/>
      <c r="K97" s="28"/>
      <c r="L97" s="179"/>
      <c r="M97" s="28"/>
      <c r="N97" s="27"/>
    </row>
    <row r="98" spans="3:14" s="1" customFormat="1" ht="14.25" customHeight="1">
      <c r="C98" s="30"/>
      <c r="D98" s="25"/>
      <c r="E98" s="21"/>
      <c r="F98" s="22"/>
      <c r="G98" s="22"/>
      <c r="H98" s="23"/>
      <c r="I98" s="23"/>
      <c r="J98" s="23"/>
      <c r="K98" s="22"/>
      <c r="L98" s="180"/>
      <c r="M98" s="22"/>
      <c r="N98" s="25"/>
    </row>
  </sheetData>
  <mergeCells count="5">
    <mergeCell ref="C2:G2"/>
    <mergeCell ref="H2:J2"/>
    <mergeCell ref="K2:L2"/>
    <mergeCell ref="M2:M3"/>
    <mergeCell ref="N2:N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E37D2-C300-4317-879A-858FE9713E0D}">
  <sheetPr>
    <tabColor rgb="FFFFC000"/>
  </sheetPr>
  <dimension ref="A2:S910"/>
  <sheetViews>
    <sheetView topLeftCell="D1" zoomScaleNormal="100" workbookViewId="0">
      <pane ySplit="4" topLeftCell="A896" activePane="bottomLeft" state="frozen"/>
      <selection pane="bottomLeft" activeCell="L910" sqref="L910"/>
    </sheetView>
  </sheetViews>
  <sheetFormatPr defaultRowHeight="15"/>
  <cols>
    <col min="1" max="1" width="14.5703125" customWidth="1"/>
    <col min="2" max="2" width="12.7109375" customWidth="1"/>
    <col min="3" max="3" width="21.42578125" customWidth="1"/>
    <col min="4" max="4" width="41.140625" customWidth="1"/>
    <col min="5" max="5" width="26" style="588" customWidth="1"/>
    <col min="6" max="6" width="29.7109375" customWidth="1"/>
    <col min="7" max="7" width="11.7109375" customWidth="1"/>
    <col min="8" max="8" width="13.7109375" customWidth="1"/>
    <col min="9" max="9" width="12.7109375" bestFit="1" customWidth="1"/>
    <col min="10" max="10" width="12.5703125" customWidth="1"/>
    <col min="11" max="11" width="28.5703125" customWidth="1"/>
    <col min="12" max="12" width="20.85546875" customWidth="1"/>
    <col min="13" max="13" width="21.7109375" customWidth="1"/>
    <col min="19" max="19" width="12.42578125" bestFit="1" customWidth="1"/>
  </cols>
  <sheetData>
    <row r="2" spans="1:15">
      <c r="C2" s="2627" t="s">
        <v>30</v>
      </c>
      <c r="D2" s="2627"/>
      <c r="E2" s="2627"/>
      <c r="F2" s="2627"/>
      <c r="G2" s="2627"/>
      <c r="H2" s="2628" t="s">
        <v>29</v>
      </c>
      <c r="I2" s="2628"/>
      <c r="J2" s="2628"/>
      <c r="K2" s="2627" t="s">
        <v>28</v>
      </c>
      <c r="L2" s="2627"/>
      <c r="M2" s="2628" t="s">
        <v>27</v>
      </c>
      <c r="N2" s="2628" t="s">
        <v>26</v>
      </c>
    </row>
    <row r="3" spans="1:15" ht="72">
      <c r="C3" s="10" t="s">
        <v>25</v>
      </c>
      <c r="D3" s="13" t="s">
        <v>24</v>
      </c>
      <c r="E3" s="12" t="s">
        <v>23</v>
      </c>
      <c r="F3" s="10" t="s">
        <v>22</v>
      </c>
      <c r="G3" s="11" t="s">
        <v>21</v>
      </c>
      <c r="H3" s="11" t="s">
        <v>20</v>
      </c>
      <c r="I3" s="11" t="s">
        <v>19</v>
      </c>
      <c r="J3" s="11" t="s">
        <v>18</v>
      </c>
      <c r="K3" s="10" t="s">
        <v>17</v>
      </c>
      <c r="L3" s="10" t="s">
        <v>16</v>
      </c>
      <c r="M3" s="2628"/>
      <c r="N3" s="2628"/>
    </row>
    <row r="4" spans="1:15" ht="24">
      <c r="C4" s="9" t="s">
        <v>15</v>
      </c>
      <c r="D4" s="9" t="s">
        <v>14</v>
      </c>
      <c r="E4" s="9" t="s">
        <v>13</v>
      </c>
      <c r="F4" s="9" t="s">
        <v>12</v>
      </c>
      <c r="G4" s="9" t="s">
        <v>11</v>
      </c>
      <c r="H4" s="9" t="s">
        <v>10</v>
      </c>
      <c r="I4" s="9" t="s">
        <v>9</v>
      </c>
      <c r="J4" s="9" t="s">
        <v>8</v>
      </c>
      <c r="K4" s="9" t="s">
        <v>7</v>
      </c>
      <c r="L4" s="9" t="s">
        <v>6</v>
      </c>
      <c r="M4" s="9" t="s">
        <v>5</v>
      </c>
      <c r="N4" s="9" t="s">
        <v>4</v>
      </c>
    </row>
    <row r="5" spans="1:15" s="355" customFormat="1" ht="14.25" customHeight="1">
      <c r="C5" s="300" t="s">
        <v>163</v>
      </c>
      <c r="D5" s="352"/>
      <c r="E5" s="450"/>
      <c r="F5" s="352"/>
      <c r="G5" s="352"/>
      <c r="H5" s="352"/>
      <c r="I5" s="352"/>
      <c r="J5" s="352"/>
      <c r="K5" s="352"/>
      <c r="L5" s="352"/>
      <c r="M5" s="352"/>
      <c r="N5" s="352"/>
    </row>
    <row r="6" spans="1:15" s="355" customFormat="1" ht="14.25" customHeight="1">
      <c r="A6" s="471" t="s">
        <v>121</v>
      </c>
      <c r="B6" s="455" t="s">
        <v>102</v>
      </c>
      <c r="C6" s="468" t="s">
        <v>162</v>
      </c>
      <c r="D6" s="471" t="s">
        <v>2</v>
      </c>
      <c r="E6" s="577" t="s">
        <v>94</v>
      </c>
      <c r="F6" s="622" t="s">
        <v>3</v>
      </c>
      <c r="G6" s="623" t="s">
        <v>1</v>
      </c>
      <c r="H6" s="624" t="s">
        <v>95</v>
      </c>
      <c r="I6" s="624" t="s">
        <v>96</v>
      </c>
      <c r="J6" s="624" t="s">
        <v>97</v>
      </c>
      <c r="K6" s="471" t="s">
        <v>98</v>
      </c>
      <c r="L6" s="527">
        <v>36022.699999999997</v>
      </c>
      <c r="M6" s="471" t="s">
        <v>99</v>
      </c>
      <c r="N6" s="458"/>
    </row>
    <row r="7" spans="1:15" s="355" customFormat="1" ht="14.25" customHeight="1">
      <c r="A7" s="471" t="s">
        <v>121</v>
      </c>
      <c r="B7" s="455" t="s">
        <v>102</v>
      </c>
      <c r="C7" s="471" t="s">
        <v>159</v>
      </c>
      <c r="D7" s="523" t="s">
        <v>547</v>
      </c>
      <c r="E7" s="528" t="s">
        <v>531</v>
      </c>
      <c r="F7" s="521"/>
      <c r="G7" s="521"/>
      <c r="H7" s="521"/>
      <c r="I7" s="521"/>
      <c r="J7" s="521"/>
      <c r="K7" s="625" t="s">
        <v>104</v>
      </c>
      <c r="L7" s="529"/>
      <c r="M7" s="471"/>
      <c r="N7" s="458"/>
    </row>
    <row r="8" spans="1:15" s="355" customFormat="1" ht="14.25" customHeight="1">
      <c r="A8" s="471" t="s">
        <v>121</v>
      </c>
      <c r="B8" s="455" t="s">
        <v>102</v>
      </c>
      <c r="C8" s="471" t="s">
        <v>153</v>
      </c>
      <c r="D8" s="523" t="s">
        <v>548</v>
      </c>
      <c r="E8" s="528" t="s">
        <v>510</v>
      </c>
      <c r="F8" s="521"/>
      <c r="G8" s="626"/>
      <c r="H8" s="627"/>
      <c r="I8" s="628"/>
      <c r="J8" s="628"/>
      <c r="K8" s="628"/>
      <c r="L8" s="471"/>
      <c r="M8" s="529"/>
      <c r="N8" s="471"/>
      <c r="O8" s="348"/>
    </row>
    <row r="9" spans="1:15" s="355" customFormat="1" ht="14.25" customHeight="1">
      <c r="A9" s="471" t="s">
        <v>121</v>
      </c>
      <c r="B9" s="455" t="s">
        <v>102</v>
      </c>
      <c r="C9" s="471" t="s">
        <v>155</v>
      </c>
      <c r="D9" s="629" t="s">
        <v>549</v>
      </c>
      <c r="E9" s="528" t="s">
        <v>532</v>
      </c>
      <c r="F9" s="630"/>
      <c r="G9" s="471"/>
      <c r="H9" s="477"/>
      <c r="I9" s="526"/>
      <c r="J9" s="526"/>
      <c r="K9" s="526"/>
      <c r="L9" s="471"/>
      <c r="M9" s="529"/>
      <c r="N9" s="471"/>
      <c r="O9" s="348"/>
    </row>
    <row r="10" spans="1:15" s="355" customFormat="1" ht="14.25" customHeight="1">
      <c r="A10" s="471" t="s">
        <v>121</v>
      </c>
      <c r="B10" s="455" t="s">
        <v>102</v>
      </c>
      <c r="C10" s="471" t="s">
        <v>156</v>
      </c>
      <c r="D10" s="629" t="s">
        <v>550</v>
      </c>
      <c r="E10" s="528" t="s">
        <v>510</v>
      </c>
      <c r="F10" s="630"/>
      <c r="G10" s="470"/>
      <c r="H10" s="471"/>
      <c r="I10" s="472"/>
      <c r="J10" s="472"/>
      <c r="K10" s="472"/>
      <c r="L10" s="471"/>
      <c r="M10" s="474"/>
      <c r="N10" s="474"/>
      <c r="O10" s="438"/>
    </row>
    <row r="11" spans="1:15" s="355" customFormat="1" ht="14.25" customHeight="1">
      <c r="A11" s="471" t="s">
        <v>121</v>
      </c>
      <c r="B11" s="455" t="s">
        <v>102</v>
      </c>
      <c r="C11" s="460"/>
      <c r="D11" s="629" t="s">
        <v>551</v>
      </c>
      <c r="E11" s="528" t="s">
        <v>510</v>
      </c>
      <c r="F11" s="630"/>
      <c r="G11" s="470"/>
      <c r="H11" s="477"/>
      <c r="I11" s="478"/>
      <c r="J11" s="478"/>
      <c r="K11" s="472"/>
      <c r="L11" s="471"/>
      <c r="M11" s="482"/>
      <c r="N11" s="474"/>
      <c r="O11" s="438"/>
    </row>
    <row r="12" spans="1:15" s="355" customFormat="1" ht="14.25" customHeight="1">
      <c r="A12" s="471" t="s">
        <v>121</v>
      </c>
      <c r="B12" s="455" t="s">
        <v>102</v>
      </c>
      <c r="C12" s="460"/>
      <c r="D12" s="629" t="s">
        <v>552</v>
      </c>
      <c r="E12" s="528" t="s">
        <v>267</v>
      </c>
      <c r="F12" s="630"/>
      <c r="G12" s="470"/>
      <c r="H12" s="477"/>
      <c r="I12" s="478"/>
      <c r="J12" s="478"/>
      <c r="K12" s="472"/>
      <c r="L12" s="471"/>
      <c r="M12" s="482"/>
      <c r="N12" s="474"/>
      <c r="O12" s="438"/>
    </row>
    <row r="13" spans="1:15" s="355" customFormat="1" ht="14.25" customHeight="1">
      <c r="A13" s="471" t="s">
        <v>121</v>
      </c>
      <c r="B13" s="455" t="s">
        <v>102</v>
      </c>
      <c r="C13" s="471"/>
      <c r="D13" s="629" t="s">
        <v>553</v>
      </c>
      <c r="E13" s="528" t="s">
        <v>265</v>
      </c>
      <c r="F13" s="630"/>
      <c r="G13" s="470"/>
      <c r="H13" s="477"/>
      <c r="I13" s="478"/>
      <c r="J13" s="478"/>
      <c r="K13" s="472"/>
      <c r="L13" s="471"/>
      <c r="M13" s="482"/>
      <c r="N13" s="474"/>
      <c r="O13" s="438"/>
    </row>
    <row r="14" spans="1:15" s="355" customFormat="1" ht="14.25" customHeight="1">
      <c r="A14" s="471" t="s">
        <v>121</v>
      </c>
      <c r="B14" s="455" t="s">
        <v>102</v>
      </c>
      <c r="C14" s="471"/>
      <c r="D14" s="629" t="s">
        <v>554</v>
      </c>
      <c r="E14" s="528" t="s">
        <v>370</v>
      </c>
      <c r="F14" s="630"/>
      <c r="G14" s="470"/>
      <c r="H14" s="477"/>
      <c r="I14" s="478"/>
      <c r="J14" s="478"/>
      <c r="K14" s="472"/>
      <c r="L14" s="471"/>
      <c r="M14" s="482"/>
      <c r="N14" s="474"/>
      <c r="O14" s="438"/>
    </row>
    <row r="15" spans="1:15" s="355" customFormat="1" ht="14.25" customHeight="1">
      <c r="A15" s="471" t="s">
        <v>121</v>
      </c>
      <c r="B15" s="455" t="s">
        <v>102</v>
      </c>
      <c r="C15" s="471"/>
      <c r="D15" s="629" t="s">
        <v>555</v>
      </c>
      <c r="E15" s="528" t="s">
        <v>533</v>
      </c>
      <c r="F15" s="630"/>
      <c r="G15" s="470"/>
      <c r="H15" s="477"/>
      <c r="I15" s="478"/>
      <c r="J15" s="478"/>
      <c r="K15" s="472"/>
      <c r="L15" s="471"/>
      <c r="M15" s="482"/>
      <c r="N15" s="474"/>
      <c r="O15" s="438"/>
    </row>
    <row r="16" spans="1:15" s="355" customFormat="1" ht="14.25" customHeight="1">
      <c r="A16" s="471" t="s">
        <v>121</v>
      </c>
      <c r="B16" s="455" t="s">
        <v>102</v>
      </c>
      <c r="C16" s="471"/>
      <c r="D16" s="629" t="s">
        <v>561</v>
      </c>
      <c r="E16" s="528" t="s">
        <v>534</v>
      </c>
      <c r="F16" s="630"/>
      <c r="G16" s="470"/>
      <c r="H16" s="477"/>
      <c r="I16" s="478"/>
      <c r="J16" s="478"/>
      <c r="K16" s="472"/>
      <c r="L16" s="471"/>
      <c r="M16" s="482"/>
      <c r="N16" s="474"/>
      <c r="O16" s="438"/>
    </row>
    <row r="17" spans="1:15" s="355" customFormat="1" ht="14.25" customHeight="1">
      <c r="A17" s="471" t="s">
        <v>121</v>
      </c>
      <c r="B17" s="455" t="s">
        <v>102</v>
      </c>
      <c r="C17" s="471"/>
      <c r="D17" s="629" t="s">
        <v>562</v>
      </c>
      <c r="E17" s="528" t="s">
        <v>534</v>
      </c>
      <c r="F17" s="630"/>
      <c r="G17" s="470"/>
      <c r="H17" s="477"/>
      <c r="I17" s="478"/>
      <c r="J17" s="478"/>
      <c r="K17" s="472"/>
      <c r="L17" s="471"/>
      <c r="M17" s="482"/>
      <c r="N17" s="474"/>
      <c r="O17" s="438"/>
    </row>
    <row r="18" spans="1:15" s="355" customFormat="1" ht="14.25" customHeight="1">
      <c r="A18" s="471" t="s">
        <v>121</v>
      </c>
      <c r="B18" s="455" t="s">
        <v>102</v>
      </c>
      <c r="C18" s="471"/>
      <c r="D18" s="629" t="s">
        <v>563</v>
      </c>
      <c r="E18" s="528" t="s">
        <v>262</v>
      </c>
      <c r="F18" s="630"/>
      <c r="G18" s="470"/>
      <c r="H18" s="477"/>
      <c r="I18" s="478"/>
      <c r="J18" s="478"/>
      <c r="K18" s="472"/>
      <c r="L18" s="471"/>
      <c r="M18" s="482"/>
      <c r="N18" s="474"/>
      <c r="O18" s="438"/>
    </row>
    <row r="19" spans="1:15" s="355" customFormat="1" ht="14.25" customHeight="1">
      <c r="A19" s="471" t="s">
        <v>121</v>
      </c>
      <c r="B19" s="455" t="s">
        <v>102</v>
      </c>
      <c r="C19" s="471"/>
      <c r="D19" s="629" t="s">
        <v>564</v>
      </c>
      <c r="E19" s="528" t="s">
        <v>537</v>
      </c>
      <c r="F19" s="630"/>
      <c r="G19" s="470"/>
      <c r="H19" s="477"/>
      <c r="I19" s="478"/>
      <c r="J19" s="478"/>
      <c r="K19" s="472"/>
      <c r="L19" s="471"/>
      <c r="M19" s="482"/>
      <c r="N19" s="474"/>
      <c r="O19" s="438"/>
    </row>
    <row r="20" spans="1:15" s="355" customFormat="1" ht="14.25" customHeight="1">
      <c r="A20" s="471" t="s">
        <v>121</v>
      </c>
      <c r="B20" s="455" t="s">
        <v>102</v>
      </c>
      <c r="C20" s="471"/>
      <c r="D20" s="629" t="s">
        <v>565</v>
      </c>
      <c r="E20" s="528" t="s">
        <v>535</v>
      </c>
      <c r="F20" s="630"/>
      <c r="G20" s="470"/>
      <c r="H20" s="477"/>
      <c r="I20" s="478"/>
      <c r="J20" s="478"/>
      <c r="K20" s="472"/>
      <c r="L20" s="471"/>
      <c r="M20" s="482"/>
      <c r="N20" s="474"/>
      <c r="O20" s="438"/>
    </row>
    <row r="21" spans="1:15" s="355" customFormat="1" ht="14.25" customHeight="1">
      <c r="A21" s="471" t="s">
        <v>121</v>
      </c>
      <c r="B21" s="455" t="s">
        <v>102</v>
      </c>
      <c r="C21" s="471"/>
      <c r="D21" s="629" t="s">
        <v>566</v>
      </c>
      <c r="E21" s="528" t="s">
        <v>533</v>
      </c>
      <c r="F21" s="630"/>
      <c r="G21" s="470"/>
      <c r="H21" s="477"/>
      <c r="I21" s="478"/>
      <c r="J21" s="478"/>
      <c r="K21" s="472"/>
      <c r="L21" s="471"/>
      <c r="M21" s="482"/>
      <c r="N21" s="474"/>
      <c r="O21" s="438"/>
    </row>
    <row r="22" spans="1:15" s="355" customFormat="1" ht="14.25" customHeight="1">
      <c r="A22" s="471" t="s">
        <v>121</v>
      </c>
      <c r="B22" s="455" t="s">
        <v>102</v>
      </c>
      <c r="C22" s="471"/>
      <c r="D22" s="629" t="s">
        <v>567</v>
      </c>
      <c r="E22" s="528" t="s">
        <v>533</v>
      </c>
      <c r="F22" s="630"/>
      <c r="G22" s="470"/>
      <c r="H22" s="477"/>
      <c r="I22" s="478"/>
      <c r="J22" s="478"/>
      <c r="K22" s="472"/>
      <c r="L22" s="471"/>
      <c r="M22" s="482"/>
      <c r="N22" s="474"/>
      <c r="O22" s="438"/>
    </row>
    <row r="23" spans="1:15" s="355" customFormat="1" ht="14.25" customHeight="1">
      <c r="A23" s="471" t="s">
        <v>121</v>
      </c>
      <c r="B23" s="455" t="s">
        <v>102</v>
      </c>
      <c r="C23" s="471"/>
      <c r="D23" s="629" t="s">
        <v>568</v>
      </c>
      <c r="E23" s="528" t="s">
        <v>533</v>
      </c>
      <c r="F23" s="630"/>
      <c r="G23" s="470"/>
      <c r="H23" s="477"/>
      <c r="I23" s="478"/>
      <c r="J23" s="478"/>
      <c r="K23" s="472"/>
      <c r="L23" s="471"/>
      <c r="M23" s="482"/>
      <c r="N23" s="474"/>
      <c r="O23" s="438"/>
    </row>
    <row r="24" spans="1:15" s="355" customFormat="1" ht="14.25" customHeight="1">
      <c r="A24" s="471" t="s">
        <v>121</v>
      </c>
      <c r="B24" s="455" t="s">
        <v>102</v>
      </c>
      <c r="C24" s="471"/>
      <c r="D24" s="629" t="s">
        <v>569</v>
      </c>
      <c r="E24" s="528" t="s">
        <v>536</v>
      </c>
      <c r="F24" s="630"/>
      <c r="G24" s="470"/>
      <c r="H24" s="477"/>
      <c r="I24" s="478"/>
      <c r="J24" s="478"/>
      <c r="K24" s="472"/>
      <c r="L24" s="471"/>
      <c r="M24" s="482"/>
      <c r="N24" s="474"/>
      <c r="O24" s="438"/>
    </row>
    <row r="25" spans="1:15" s="355" customFormat="1" ht="14.25" customHeight="1">
      <c r="A25" s="471" t="s">
        <v>121</v>
      </c>
      <c r="B25" s="455" t="s">
        <v>102</v>
      </c>
      <c r="C25" s="471"/>
      <c r="D25" s="629" t="s">
        <v>570</v>
      </c>
      <c r="E25" s="528" t="s">
        <v>536</v>
      </c>
      <c r="F25" s="630"/>
      <c r="G25" s="470"/>
      <c r="H25" s="477"/>
      <c r="I25" s="478"/>
      <c r="J25" s="478"/>
      <c r="K25" s="472"/>
      <c r="L25" s="471"/>
      <c r="M25" s="482"/>
      <c r="N25" s="474"/>
      <c r="O25" s="438"/>
    </row>
    <row r="26" spans="1:15" s="355" customFormat="1" ht="14.25" customHeight="1">
      <c r="A26" s="471" t="s">
        <v>121</v>
      </c>
      <c r="B26" s="455" t="s">
        <v>102</v>
      </c>
      <c r="C26" s="471"/>
      <c r="D26" s="629" t="s">
        <v>571</v>
      </c>
      <c r="E26" s="528" t="s">
        <v>538</v>
      </c>
      <c r="F26" s="630"/>
      <c r="G26" s="470"/>
      <c r="H26" s="477"/>
      <c r="I26" s="478"/>
      <c r="J26" s="478"/>
      <c r="K26" s="472"/>
      <c r="L26" s="471"/>
      <c r="M26" s="482"/>
      <c r="N26" s="474"/>
      <c r="O26" s="438"/>
    </row>
    <row r="27" spans="1:15" s="355" customFormat="1" ht="14.25" customHeight="1">
      <c r="A27" s="471" t="s">
        <v>121</v>
      </c>
      <c r="B27" s="455" t="s">
        <v>102</v>
      </c>
      <c r="C27" s="471"/>
      <c r="D27" s="629" t="s">
        <v>556</v>
      </c>
      <c r="E27" s="528" t="s">
        <v>538</v>
      </c>
      <c r="F27" s="630"/>
      <c r="G27" s="470"/>
      <c r="H27" s="477"/>
      <c r="I27" s="478"/>
      <c r="J27" s="478"/>
      <c r="K27" s="472"/>
      <c r="L27" s="471"/>
      <c r="M27" s="482"/>
      <c r="N27" s="474"/>
      <c r="O27" s="438"/>
    </row>
    <row r="28" spans="1:15" s="355" customFormat="1" ht="14.25" customHeight="1">
      <c r="A28" s="471" t="s">
        <v>121</v>
      </c>
      <c r="B28" s="455" t="s">
        <v>102</v>
      </c>
      <c r="C28" s="471"/>
      <c r="D28" s="629" t="s">
        <v>557</v>
      </c>
      <c r="E28" s="528" t="s">
        <v>539</v>
      </c>
      <c r="F28" s="630"/>
      <c r="G28" s="470"/>
      <c r="H28" s="477"/>
      <c r="I28" s="478"/>
      <c r="J28" s="478"/>
      <c r="K28" s="472"/>
      <c r="L28" s="471"/>
      <c r="M28" s="482"/>
      <c r="N28" s="474"/>
      <c r="O28" s="438"/>
    </row>
    <row r="29" spans="1:15" s="355" customFormat="1" ht="14.25" customHeight="1">
      <c r="A29" s="471" t="s">
        <v>121</v>
      </c>
      <c r="B29" s="455" t="s">
        <v>102</v>
      </c>
      <c r="C29" s="471"/>
      <c r="D29" s="629" t="s">
        <v>547</v>
      </c>
      <c r="E29" s="528" t="s">
        <v>540</v>
      </c>
      <c r="F29" s="630"/>
      <c r="G29" s="470"/>
      <c r="H29" s="477"/>
      <c r="I29" s="478"/>
      <c r="J29" s="478"/>
      <c r="K29" s="472"/>
      <c r="L29" s="471"/>
      <c r="M29" s="482"/>
      <c r="N29" s="474"/>
      <c r="O29" s="438"/>
    </row>
    <row r="30" spans="1:15" s="355" customFormat="1" ht="14.25" customHeight="1">
      <c r="A30" s="471" t="s">
        <v>121</v>
      </c>
      <c r="B30" s="455" t="s">
        <v>102</v>
      </c>
      <c r="C30" s="471"/>
      <c r="D30" s="629" t="s">
        <v>558</v>
      </c>
      <c r="E30" s="528" t="s">
        <v>531</v>
      </c>
      <c r="F30" s="630"/>
      <c r="G30" s="470"/>
      <c r="H30" s="477"/>
      <c r="I30" s="478"/>
      <c r="J30" s="478"/>
      <c r="K30" s="472"/>
      <c r="L30" s="471"/>
      <c r="M30" s="482"/>
      <c r="N30" s="474"/>
      <c r="O30" s="438"/>
    </row>
    <row r="31" spans="1:15" s="355" customFormat="1" ht="14.25" customHeight="1">
      <c r="A31" s="471" t="s">
        <v>121</v>
      </c>
      <c r="B31" s="455" t="s">
        <v>102</v>
      </c>
      <c r="C31" s="471"/>
      <c r="D31" s="629" t="s">
        <v>559</v>
      </c>
      <c r="E31" s="528" t="s">
        <v>265</v>
      </c>
      <c r="F31" s="630"/>
      <c r="G31" s="470"/>
      <c r="H31" s="477"/>
      <c r="I31" s="478"/>
      <c r="J31" s="478"/>
      <c r="K31" s="472"/>
      <c r="L31" s="471"/>
      <c r="M31" s="482"/>
      <c r="N31" s="474"/>
      <c r="O31" s="438"/>
    </row>
    <row r="32" spans="1:15" s="355" customFormat="1" ht="14.25" customHeight="1">
      <c r="A32" s="471" t="s">
        <v>121</v>
      </c>
      <c r="B32" s="455" t="s">
        <v>102</v>
      </c>
      <c r="C32" s="471"/>
      <c r="D32" s="629" t="s">
        <v>560</v>
      </c>
      <c r="E32" s="528" t="s">
        <v>265</v>
      </c>
      <c r="F32" s="630"/>
      <c r="G32" s="470"/>
      <c r="H32" s="477"/>
      <c r="I32" s="478"/>
      <c r="J32" s="478"/>
      <c r="K32" s="472"/>
      <c r="L32" s="471"/>
      <c r="M32" s="482"/>
      <c r="N32" s="474"/>
      <c r="O32" s="438"/>
    </row>
    <row r="33" spans="1:15" s="355" customFormat="1" ht="14.25" customHeight="1">
      <c r="A33" s="471" t="s">
        <v>121</v>
      </c>
      <c r="B33" s="455" t="s">
        <v>102</v>
      </c>
      <c r="C33" s="471"/>
      <c r="D33" s="629" t="s">
        <v>546</v>
      </c>
      <c r="E33" s="528" t="s">
        <v>510</v>
      </c>
      <c r="F33" s="630"/>
      <c r="G33" s="470"/>
      <c r="H33" s="477"/>
      <c r="I33" s="478"/>
      <c r="J33" s="478"/>
      <c r="K33" s="472"/>
      <c r="L33" s="471"/>
      <c r="M33" s="482"/>
      <c r="N33" s="474"/>
      <c r="O33" s="438"/>
    </row>
    <row r="34" spans="1:15" s="355" customFormat="1" ht="14.25" customHeight="1">
      <c r="A34" s="471" t="s">
        <v>121</v>
      </c>
      <c r="B34" s="455" t="s">
        <v>102</v>
      </c>
      <c r="C34" s="471"/>
      <c r="D34" s="629" t="s">
        <v>545</v>
      </c>
      <c r="E34" s="528" t="s">
        <v>534</v>
      </c>
      <c r="F34" s="630"/>
      <c r="G34" s="470"/>
      <c r="H34" s="477"/>
      <c r="I34" s="478"/>
      <c r="J34" s="478"/>
      <c r="K34" s="472"/>
      <c r="L34" s="471"/>
      <c r="M34" s="482"/>
      <c r="N34" s="474"/>
      <c r="O34" s="438"/>
    </row>
    <row r="35" spans="1:15" s="355" customFormat="1" ht="14.25" customHeight="1">
      <c r="A35" s="471" t="s">
        <v>121</v>
      </c>
      <c r="B35" s="455" t="s">
        <v>102</v>
      </c>
      <c r="C35" s="471"/>
      <c r="D35" s="629" t="s">
        <v>544</v>
      </c>
      <c r="E35" s="528" t="s">
        <v>257</v>
      </c>
      <c r="F35" s="630"/>
      <c r="G35" s="470"/>
      <c r="H35" s="477"/>
      <c r="I35" s="478"/>
      <c r="J35" s="478"/>
      <c r="K35" s="472"/>
      <c r="L35" s="471"/>
      <c r="M35" s="482"/>
      <c r="N35" s="474"/>
      <c r="O35" s="438"/>
    </row>
    <row r="36" spans="1:15" s="355" customFormat="1" ht="14.25" customHeight="1">
      <c r="A36" s="471" t="s">
        <v>121</v>
      </c>
      <c r="B36" s="455" t="s">
        <v>102</v>
      </c>
      <c r="C36" s="471"/>
      <c r="D36" s="629" t="s">
        <v>543</v>
      </c>
      <c r="E36" s="528" t="s">
        <v>262</v>
      </c>
      <c r="F36" s="630"/>
      <c r="G36" s="470"/>
      <c r="H36" s="477"/>
      <c r="I36" s="478"/>
      <c r="J36" s="478"/>
      <c r="K36" s="472"/>
      <c r="L36" s="471"/>
      <c r="M36" s="482"/>
      <c r="N36" s="474"/>
      <c r="O36" s="438"/>
    </row>
    <row r="37" spans="1:15" s="355" customFormat="1" ht="14.25" customHeight="1">
      <c r="A37" s="471" t="s">
        <v>121</v>
      </c>
      <c r="B37" s="455" t="s">
        <v>102</v>
      </c>
      <c r="C37" s="471"/>
      <c r="D37" s="629" t="s">
        <v>542</v>
      </c>
      <c r="E37" s="528" t="s">
        <v>510</v>
      </c>
      <c r="F37" s="630"/>
      <c r="G37" s="470"/>
      <c r="H37" s="477"/>
      <c r="I37" s="478"/>
      <c r="J37" s="478"/>
      <c r="K37" s="472"/>
      <c r="L37" s="471"/>
      <c r="M37" s="482"/>
      <c r="N37" s="474"/>
      <c r="O37" s="438"/>
    </row>
    <row r="38" spans="1:15" s="355" customFormat="1" ht="14.25" customHeight="1">
      <c r="A38" s="471" t="s">
        <v>121</v>
      </c>
      <c r="B38" s="455" t="s">
        <v>102</v>
      </c>
      <c r="C38" s="471"/>
      <c r="D38" s="629" t="s">
        <v>541</v>
      </c>
      <c r="E38" s="528" t="s">
        <v>510</v>
      </c>
      <c r="F38" s="630"/>
      <c r="G38" s="470"/>
      <c r="H38" s="477"/>
      <c r="I38" s="478"/>
      <c r="J38" s="478"/>
      <c r="K38" s="472"/>
      <c r="L38" s="471"/>
      <c r="M38" s="482"/>
      <c r="N38" s="474"/>
      <c r="O38" s="438"/>
    </row>
    <row r="39" spans="1:15" s="355" customFormat="1" ht="14.25" customHeight="1">
      <c r="A39" s="471" t="s">
        <v>121</v>
      </c>
      <c r="B39" s="455" t="s">
        <v>102</v>
      </c>
      <c r="C39" s="631"/>
      <c r="D39" s="631"/>
      <c r="E39" s="632"/>
      <c r="F39" s="632"/>
      <c r="G39" s="632"/>
      <c r="H39" s="633"/>
      <c r="I39" s="633"/>
      <c r="J39" s="633"/>
      <c r="K39" s="632"/>
      <c r="L39" s="408"/>
      <c r="M39" s="632"/>
      <c r="N39" s="634"/>
    </row>
    <row r="40" spans="1:15" s="355" customFormat="1" ht="14.25" customHeight="1">
      <c r="A40" s="471" t="s">
        <v>121</v>
      </c>
      <c r="B40" s="455" t="s">
        <v>102</v>
      </c>
      <c r="C40" s="468" t="s">
        <v>162</v>
      </c>
      <c r="D40" s="471" t="s">
        <v>2</v>
      </c>
      <c r="E40" s="577" t="s">
        <v>94</v>
      </c>
      <c r="F40" s="471" t="s">
        <v>3</v>
      </c>
      <c r="G40" s="477" t="s">
        <v>1</v>
      </c>
      <c r="H40" s="526" t="s">
        <v>95</v>
      </c>
      <c r="I40" s="526" t="s">
        <v>96</v>
      </c>
      <c r="J40" s="526" t="s">
        <v>97</v>
      </c>
      <c r="K40" s="471" t="s">
        <v>98</v>
      </c>
      <c r="L40" s="527">
        <v>80004</v>
      </c>
      <c r="M40" s="471" t="s">
        <v>0</v>
      </c>
      <c r="N40" s="458"/>
    </row>
    <row r="41" spans="1:15" s="355" customFormat="1" ht="14.25" customHeight="1">
      <c r="A41" s="471" t="s">
        <v>121</v>
      </c>
      <c r="B41" s="455" t="s">
        <v>102</v>
      </c>
      <c r="C41" s="468" t="s">
        <v>170</v>
      </c>
      <c r="D41" s="635" t="s">
        <v>171</v>
      </c>
      <c r="E41" s="586" t="s">
        <v>189</v>
      </c>
      <c r="F41" s="528"/>
      <c r="G41" s="471"/>
      <c r="H41" s="477"/>
      <c r="I41" s="526"/>
      <c r="J41" s="526"/>
      <c r="K41" s="471" t="s">
        <v>104</v>
      </c>
      <c r="L41" s="460"/>
      <c r="M41" s="529"/>
      <c r="N41" s="471"/>
      <c r="O41" s="348"/>
    </row>
    <row r="42" spans="1:15" s="355" customFormat="1" ht="14.25" customHeight="1">
      <c r="A42" s="471" t="s">
        <v>121</v>
      </c>
      <c r="B42" s="455" t="s">
        <v>102</v>
      </c>
      <c r="C42" s="468"/>
      <c r="D42" s="635" t="s">
        <v>172</v>
      </c>
      <c r="E42" s="586" t="s">
        <v>190</v>
      </c>
      <c r="F42" s="528"/>
      <c r="G42" s="471"/>
      <c r="H42" s="477"/>
      <c r="I42" s="526"/>
      <c r="J42" s="526"/>
      <c r="K42" s="471" t="s">
        <v>159</v>
      </c>
      <c r="L42" s="460"/>
      <c r="M42" s="529"/>
      <c r="N42" s="471"/>
      <c r="O42" s="348"/>
    </row>
    <row r="43" spans="1:15" s="355" customFormat="1" ht="14.25" customHeight="1">
      <c r="A43" s="471" t="s">
        <v>121</v>
      </c>
      <c r="B43" s="455" t="s">
        <v>102</v>
      </c>
      <c r="C43" s="468"/>
      <c r="D43" s="635" t="s">
        <v>173</v>
      </c>
      <c r="E43" s="586" t="s">
        <v>190</v>
      </c>
      <c r="F43" s="528"/>
      <c r="G43" s="471"/>
      <c r="H43" s="477"/>
      <c r="I43" s="526"/>
      <c r="J43" s="526"/>
      <c r="K43" s="471" t="s">
        <v>153</v>
      </c>
      <c r="L43" s="460"/>
      <c r="M43" s="529"/>
      <c r="N43" s="471"/>
      <c r="O43" s="348"/>
    </row>
    <row r="44" spans="1:15" s="355" customFormat="1" ht="14.25" customHeight="1">
      <c r="A44" s="471" t="s">
        <v>121</v>
      </c>
      <c r="B44" s="455" t="s">
        <v>102</v>
      </c>
      <c r="C44" s="469"/>
      <c r="D44" s="635" t="s">
        <v>174</v>
      </c>
      <c r="E44" s="586" t="s">
        <v>191</v>
      </c>
      <c r="F44" s="528"/>
      <c r="G44" s="470"/>
      <c r="H44" s="471"/>
      <c r="I44" s="472"/>
      <c r="J44" s="472"/>
      <c r="K44" s="471" t="s">
        <v>155</v>
      </c>
      <c r="L44" s="460"/>
      <c r="M44" s="474"/>
      <c r="N44" s="474"/>
      <c r="O44" s="438"/>
    </row>
    <row r="45" spans="1:15" s="355" customFormat="1" ht="14.25" customHeight="1">
      <c r="A45" s="471" t="s">
        <v>121</v>
      </c>
      <c r="B45" s="455" t="s">
        <v>102</v>
      </c>
      <c r="C45" s="469"/>
      <c r="D45" s="635" t="s">
        <v>175</v>
      </c>
      <c r="E45" s="586" t="s">
        <v>191</v>
      </c>
      <c r="F45" s="528"/>
      <c r="G45" s="470"/>
      <c r="H45" s="477"/>
      <c r="I45" s="478"/>
      <c r="J45" s="478"/>
      <c r="K45" s="471" t="s">
        <v>156</v>
      </c>
      <c r="L45" s="460"/>
      <c r="M45" s="482"/>
      <c r="N45" s="474"/>
      <c r="O45" s="438"/>
    </row>
    <row r="46" spans="1:15" s="355" customFormat="1" ht="14.25" customHeight="1">
      <c r="A46" s="471" t="s">
        <v>121</v>
      </c>
      <c r="B46" s="455" t="s">
        <v>102</v>
      </c>
      <c r="C46" s="469"/>
      <c r="D46" s="635" t="s">
        <v>176</v>
      </c>
      <c r="E46" s="586" t="s">
        <v>192</v>
      </c>
      <c r="F46" s="528"/>
      <c r="G46" s="470"/>
      <c r="H46" s="477"/>
      <c r="I46" s="478"/>
      <c r="J46" s="478"/>
      <c r="K46" s="471"/>
      <c r="L46" s="460"/>
      <c r="M46" s="482"/>
      <c r="N46" s="474"/>
      <c r="O46" s="438"/>
    </row>
    <row r="47" spans="1:15" s="355" customFormat="1" ht="14.25" customHeight="1">
      <c r="A47" s="471" t="s">
        <v>121</v>
      </c>
      <c r="B47" s="455" t="s">
        <v>102</v>
      </c>
      <c r="C47" s="469"/>
      <c r="D47" s="635" t="s">
        <v>177</v>
      </c>
      <c r="E47" s="586" t="s">
        <v>193</v>
      </c>
      <c r="F47" s="528"/>
      <c r="G47" s="470"/>
      <c r="H47" s="477"/>
      <c r="I47" s="478"/>
      <c r="J47" s="478"/>
      <c r="K47" s="472"/>
      <c r="L47" s="471"/>
      <c r="M47" s="482"/>
      <c r="N47" s="474"/>
      <c r="O47" s="438"/>
    </row>
    <row r="48" spans="1:15" s="355" customFormat="1" ht="14.25" customHeight="1">
      <c r="A48" s="471" t="s">
        <v>121</v>
      </c>
      <c r="B48" s="455" t="s">
        <v>102</v>
      </c>
      <c r="C48" s="469"/>
      <c r="D48" s="635" t="s">
        <v>178</v>
      </c>
      <c r="E48" s="586" t="s">
        <v>194</v>
      </c>
      <c r="F48" s="528"/>
      <c r="G48" s="470"/>
      <c r="H48" s="477"/>
      <c r="I48" s="478"/>
      <c r="J48" s="478"/>
      <c r="K48" s="472"/>
      <c r="L48" s="471"/>
      <c r="M48" s="482"/>
      <c r="N48" s="474"/>
      <c r="O48" s="438"/>
    </row>
    <row r="49" spans="1:15" s="355" customFormat="1" ht="14.25" customHeight="1">
      <c r="A49" s="471" t="s">
        <v>121</v>
      </c>
      <c r="B49" s="455" t="s">
        <v>102</v>
      </c>
      <c r="C49" s="469"/>
      <c r="D49" s="635" t="s">
        <v>179</v>
      </c>
      <c r="E49" s="586" t="s">
        <v>193</v>
      </c>
      <c r="F49" s="528"/>
      <c r="G49" s="470"/>
      <c r="H49" s="471"/>
      <c r="I49" s="472"/>
      <c r="J49" s="472"/>
      <c r="K49" s="472"/>
      <c r="L49" s="471"/>
      <c r="M49" s="474"/>
      <c r="N49" s="474"/>
      <c r="O49" s="438"/>
    </row>
    <row r="50" spans="1:15" s="355" customFormat="1" ht="14.25" customHeight="1">
      <c r="A50" s="471" t="s">
        <v>121</v>
      </c>
      <c r="B50" s="455" t="s">
        <v>102</v>
      </c>
      <c r="C50" s="469"/>
      <c r="D50" s="635" t="s">
        <v>180</v>
      </c>
      <c r="E50" s="586" t="s">
        <v>189</v>
      </c>
      <c r="F50" s="528"/>
      <c r="G50" s="470"/>
      <c r="H50" s="477"/>
      <c r="I50" s="478"/>
      <c r="J50" s="478"/>
      <c r="K50" s="472"/>
      <c r="L50" s="471"/>
      <c r="M50" s="482"/>
      <c r="N50" s="474"/>
      <c r="O50" s="438"/>
    </row>
    <row r="51" spans="1:15" s="355" customFormat="1" ht="14.25" customHeight="1">
      <c r="A51" s="471" t="s">
        <v>121</v>
      </c>
      <c r="B51" s="455" t="s">
        <v>102</v>
      </c>
      <c r="C51" s="469"/>
      <c r="D51" s="635" t="s">
        <v>181</v>
      </c>
      <c r="E51" s="586" t="s">
        <v>195</v>
      </c>
      <c r="F51" s="528"/>
      <c r="G51" s="470"/>
      <c r="H51" s="477"/>
      <c r="I51" s="478"/>
      <c r="J51" s="478"/>
      <c r="K51" s="472"/>
      <c r="L51" s="471"/>
      <c r="M51" s="482"/>
      <c r="N51" s="474"/>
      <c r="O51" s="438"/>
    </row>
    <row r="52" spans="1:15" s="355" customFormat="1" ht="14.25" customHeight="1">
      <c r="A52" s="471" t="s">
        <v>121</v>
      </c>
      <c r="B52" s="455" t="s">
        <v>102</v>
      </c>
      <c r="C52" s="469"/>
      <c r="D52" s="635" t="s">
        <v>182</v>
      </c>
      <c r="E52" s="586" t="s">
        <v>189</v>
      </c>
      <c r="F52" s="528"/>
      <c r="G52" s="470"/>
      <c r="H52" s="477"/>
      <c r="I52" s="478"/>
      <c r="J52" s="478"/>
      <c r="K52" s="472"/>
      <c r="L52" s="471"/>
      <c r="M52" s="482"/>
      <c r="N52" s="474"/>
      <c r="O52" s="438"/>
    </row>
    <row r="53" spans="1:15" s="355" customFormat="1" ht="14.25" customHeight="1">
      <c r="A53" s="471" t="s">
        <v>121</v>
      </c>
      <c r="B53" s="455" t="s">
        <v>102</v>
      </c>
      <c r="C53" s="469"/>
      <c r="D53" s="635" t="s">
        <v>183</v>
      </c>
      <c r="E53" s="586" t="s">
        <v>196</v>
      </c>
      <c r="F53" s="528"/>
      <c r="G53" s="470"/>
      <c r="H53" s="477"/>
      <c r="I53" s="478"/>
      <c r="J53" s="478"/>
      <c r="K53" s="472"/>
      <c r="L53" s="471"/>
      <c r="M53" s="482"/>
      <c r="N53" s="474"/>
      <c r="O53" s="438"/>
    </row>
    <row r="54" spans="1:15" s="355" customFormat="1" ht="14.25" customHeight="1">
      <c r="A54" s="471" t="s">
        <v>121</v>
      </c>
      <c r="B54" s="455" t="s">
        <v>102</v>
      </c>
      <c r="C54" s="469"/>
      <c r="D54" s="635" t="s">
        <v>184</v>
      </c>
      <c r="E54" s="586" t="s">
        <v>196</v>
      </c>
      <c r="F54" s="528"/>
      <c r="G54" s="470"/>
      <c r="H54" s="471"/>
      <c r="I54" s="472"/>
      <c r="J54" s="472"/>
      <c r="K54" s="472"/>
      <c r="L54" s="471"/>
      <c r="M54" s="474"/>
      <c r="N54" s="474"/>
      <c r="O54" s="438"/>
    </row>
    <row r="55" spans="1:15" s="355" customFormat="1" ht="14.25" customHeight="1">
      <c r="A55" s="471" t="s">
        <v>121</v>
      </c>
      <c r="B55" s="455" t="s">
        <v>102</v>
      </c>
      <c r="C55" s="469"/>
      <c r="D55" s="635" t="s">
        <v>185</v>
      </c>
      <c r="E55" s="586" t="s">
        <v>197</v>
      </c>
      <c r="F55" s="528"/>
      <c r="G55" s="470"/>
      <c r="H55" s="477"/>
      <c r="I55" s="478"/>
      <c r="J55" s="478"/>
      <c r="K55" s="472"/>
      <c r="L55" s="471"/>
      <c r="M55" s="482"/>
      <c r="N55" s="474"/>
      <c r="O55" s="438"/>
    </row>
    <row r="56" spans="1:15" s="355" customFormat="1" ht="14.25" customHeight="1">
      <c r="A56" s="471" t="s">
        <v>121</v>
      </c>
      <c r="B56" s="455" t="s">
        <v>102</v>
      </c>
      <c r="C56" s="469"/>
      <c r="D56" s="635" t="s">
        <v>186</v>
      </c>
      <c r="E56" s="586" t="s">
        <v>198</v>
      </c>
      <c r="F56" s="528"/>
      <c r="G56" s="470"/>
      <c r="H56" s="477"/>
      <c r="I56" s="478"/>
      <c r="J56" s="478"/>
      <c r="K56" s="472"/>
      <c r="L56" s="471"/>
      <c r="M56" s="482"/>
      <c r="N56" s="474"/>
      <c r="O56" s="438"/>
    </row>
    <row r="57" spans="1:15" s="355" customFormat="1" ht="14.25" customHeight="1">
      <c r="A57" s="471" t="s">
        <v>121</v>
      </c>
      <c r="B57" s="455" t="s">
        <v>102</v>
      </c>
      <c r="C57" s="469"/>
      <c r="D57" s="635" t="s">
        <v>187</v>
      </c>
      <c r="E57" s="586" t="s">
        <v>199</v>
      </c>
      <c r="F57" s="528"/>
      <c r="G57" s="470"/>
      <c r="H57" s="477"/>
      <c r="I57" s="478"/>
      <c r="J57" s="478"/>
      <c r="K57" s="472"/>
      <c r="L57" s="471"/>
      <c r="M57" s="482"/>
      <c r="N57" s="474"/>
      <c r="O57" s="438"/>
    </row>
    <row r="58" spans="1:15" s="355" customFormat="1" ht="14.25" customHeight="1">
      <c r="A58" s="471" t="s">
        <v>121</v>
      </c>
      <c r="B58" s="455" t="s">
        <v>102</v>
      </c>
      <c r="C58" s="469"/>
      <c r="D58" s="635" t="s">
        <v>188</v>
      </c>
      <c r="E58" s="586" t="s">
        <v>200</v>
      </c>
      <c r="F58" s="528"/>
      <c r="G58" s="470"/>
      <c r="H58" s="477"/>
      <c r="I58" s="478"/>
      <c r="J58" s="478"/>
      <c r="K58" s="472"/>
      <c r="L58" s="471"/>
      <c r="M58" s="482"/>
      <c r="N58" s="474"/>
      <c r="O58" s="438"/>
    </row>
    <row r="59" spans="1:15" s="355" customFormat="1" ht="14.25" customHeight="1">
      <c r="A59" s="455"/>
      <c r="B59" s="455"/>
      <c r="C59" s="367"/>
      <c r="D59" s="367"/>
      <c r="E59" s="636"/>
      <c r="F59" s="637"/>
      <c r="G59" s="637"/>
      <c r="H59" s="638"/>
      <c r="I59" s="638"/>
      <c r="J59" s="638"/>
      <c r="K59" s="637"/>
      <c r="L59" s="639"/>
      <c r="M59" s="637"/>
      <c r="N59" s="367"/>
    </row>
    <row r="60" spans="1:15" s="302" customFormat="1" ht="25.5" customHeight="1">
      <c r="A60" s="483" t="s">
        <v>129</v>
      </c>
      <c r="B60" s="483" t="s">
        <v>102</v>
      </c>
      <c r="C60" s="521" t="s">
        <v>215</v>
      </c>
      <c r="D60" s="522" t="s">
        <v>2</v>
      </c>
      <c r="E60" s="582" t="s">
        <v>94</v>
      </c>
      <c r="F60" s="522" t="s">
        <v>3</v>
      </c>
      <c r="G60" s="524" t="s">
        <v>1</v>
      </c>
      <c r="H60" s="525" t="s">
        <v>117</v>
      </c>
      <c r="I60" s="525" t="s">
        <v>118</v>
      </c>
      <c r="J60" s="525" t="s">
        <v>119</v>
      </c>
      <c r="K60" s="522" t="s">
        <v>159</v>
      </c>
      <c r="L60" s="40">
        <v>6750</v>
      </c>
      <c r="M60" s="522" t="s">
        <v>99</v>
      </c>
      <c r="N60" s="454"/>
    </row>
    <row r="61" spans="1:15" s="302" customFormat="1" ht="48.75" customHeight="1">
      <c r="A61" s="483" t="s">
        <v>129</v>
      </c>
      <c r="B61" s="483" t="s">
        <v>102</v>
      </c>
      <c r="C61" s="471" t="s">
        <v>163</v>
      </c>
      <c r="D61" s="640" t="s">
        <v>468</v>
      </c>
      <c r="E61" s="583" t="s">
        <v>265</v>
      </c>
      <c r="F61" s="471"/>
      <c r="G61" s="477"/>
      <c r="H61" s="526"/>
      <c r="I61" s="526"/>
      <c r="J61" s="526"/>
      <c r="K61" s="471" t="s">
        <v>104</v>
      </c>
      <c r="L61" s="529"/>
      <c r="M61" s="471"/>
      <c r="N61" s="458"/>
    </row>
    <row r="62" spans="1:15" s="355" customFormat="1" ht="40.5">
      <c r="A62" s="483" t="s">
        <v>129</v>
      </c>
      <c r="B62" s="483" t="s">
        <v>102</v>
      </c>
      <c r="C62" s="471" t="s">
        <v>207</v>
      </c>
      <c r="D62" s="456"/>
      <c r="E62" s="579"/>
      <c r="F62" s="466"/>
      <c r="G62" s="471"/>
      <c r="H62" s="477"/>
      <c r="I62" s="526"/>
      <c r="J62" s="526"/>
      <c r="K62" s="526"/>
      <c r="L62" s="471"/>
      <c r="M62" s="529"/>
      <c r="N62" s="471"/>
      <c r="O62" s="348"/>
    </row>
    <row r="63" spans="1:15" s="355" customFormat="1" ht="13.5">
      <c r="A63" s="483" t="s">
        <v>129</v>
      </c>
      <c r="B63" s="483" t="s">
        <v>102</v>
      </c>
      <c r="C63" s="471" t="s">
        <v>208</v>
      </c>
      <c r="D63" s="456"/>
      <c r="E63" s="579"/>
      <c r="F63" s="466"/>
      <c r="G63" s="471"/>
      <c r="H63" s="477"/>
      <c r="I63" s="526"/>
      <c r="J63" s="526"/>
      <c r="K63" s="526"/>
      <c r="L63" s="471"/>
      <c r="M63" s="529"/>
      <c r="N63" s="471"/>
      <c r="O63" s="348"/>
    </row>
    <row r="64" spans="1:15" s="355" customFormat="1" ht="13.5">
      <c r="A64" s="455"/>
      <c r="B64" s="455"/>
      <c r="C64" s="471"/>
      <c r="D64" s="456"/>
      <c r="E64" s="2634"/>
      <c r="F64" s="2635"/>
      <c r="G64" s="471"/>
      <c r="H64" s="477"/>
      <c r="I64" s="526"/>
      <c r="J64" s="526"/>
      <c r="K64" s="526"/>
      <c r="L64" s="471"/>
      <c r="M64" s="529"/>
      <c r="N64" s="471"/>
      <c r="O64" s="348"/>
    </row>
    <row r="65" spans="1:14" s="355" customFormat="1" ht="27">
      <c r="A65" s="483" t="s">
        <v>462</v>
      </c>
      <c r="B65" s="483" t="s">
        <v>463</v>
      </c>
      <c r="C65" s="471" t="s">
        <v>464</v>
      </c>
      <c r="D65" s="460" t="s">
        <v>2</v>
      </c>
      <c r="E65" s="528" t="s">
        <v>487</v>
      </c>
      <c r="F65" s="522" t="s">
        <v>3</v>
      </c>
      <c r="G65" s="524" t="s">
        <v>1</v>
      </c>
      <c r="H65" s="484" t="s">
        <v>95</v>
      </c>
      <c r="I65" s="484" t="s">
        <v>96</v>
      </c>
      <c r="J65" s="484" t="s">
        <v>97</v>
      </c>
      <c r="K65" s="471" t="s">
        <v>98</v>
      </c>
      <c r="L65" s="52">
        <v>8163</v>
      </c>
      <c r="M65" s="460" t="s">
        <v>0</v>
      </c>
      <c r="N65" s="460"/>
    </row>
    <row r="66" spans="1:14" s="355" customFormat="1" ht="13.5">
      <c r="A66" s="483" t="s">
        <v>462</v>
      </c>
      <c r="B66" s="483" t="s">
        <v>463</v>
      </c>
      <c r="C66" s="460" t="s">
        <v>491</v>
      </c>
      <c r="D66" s="460" t="s">
        <v>465</v>
      </c>
      <c r="E66" s="528" t="s">
        <v>262</v>
      </c>
      <c r="F66" s="460"/>
      <c r="G66" s="460"/>
      <c r="H66" s="460"/>
      <c r="I66" s="460"/>
      <c r="J66" s="460"/>
      <c r="K66" s="471" t="s">
        <v>104</v>
      </c>
      <c r="L66" s="460"/>
      <c r="M66" s="460"/>
      <c r="N66" s="460"/>
    </row>
    <row r="67" spans="1:14" s="355" customFormat="1" ht="13.5">
      <c r="A67" s="483" t="s">
        <v>462</v>
      </c>
      <c r="B67" s="483" t="s">
        <v>463</v>
      </c>
      <c r="C67" s="460"/>
      <c r="D67" s="460" t="s">
        <v>466</v>
      </c>
      <c r="E67" s="528" t="s">
        <v>259</v>
      </c>
      <c r="F67" s="460"/>
      <c r="G67" s="460"/>
      <c r="H67" s="460"/>
      <c r="I67" s="460"/>
      <c r="J67" s="460"/>
      <c r="K67" s="460" t="s">
        <v>488</v>
      </c>
      <c r="L67" s="460"/>
      <c r="M67" s="460"/>
      <c r="N67" s="460"/>
    </row>
    <row r="68" spans="1:14" s="355" customFormat="1" ht="31.5" customHeight="1">
      <c r="A68" s="483" t="s">
        <v>462</v>
      </c>
      <c r="B68" s="483" t="s">
        <v>463</v>
      </c>
      <c r="C68" s="460"/>
      <c r="D68" s="460" t="s">
        <v>467</v>
      </c>
      <c r="E68" s="528" t="s">
        <v>484</v>
      </c>
      <c r="F68" s="460"/>
      <c r="G68" s="460"/>
      <c r="H68" s="460"/>
      <c r="I68" s="460"/>
      <c r="J68" s="460"/>
      <c r="K68" s="476" t="s">
        <v>489</v>
      </c>
      <c r="L68" s="460"/>
      <c r="M68" s="460"/>
      <c r="N68" s="460"/>
    </row>
    <row r="69" spans="1:14" s="355" customFormat="1" ht="13.5">
      <c r="A69" s="483" t="s">
        <v>462</v>
      </c>
      <c r="B69" s="483" t="s">
        <v>463</v>
      </c>
      <c r="C69" s="460"/>
      <c r="D69" s="460" t="s">
        <v>469</v>
      </c>
      <c r="E69" s="528" t="s">
        <v>267</v>
      </c>
      <c r="F69" s="460"/>
      <c r="G69" s="460"/>
      <c r="H69" s="460"/>
      <c r="I69" s="460"/>
      <c r="J69" s="460"/>
      <c r="K69" s="460"/>
      <c r="L69" s="460"/>
      <c r="M69" s="460"/>
      <c r="N69" s="460"/>
    </row>
    <row r="70" spans="1:14" s="355" customFormat="1" ht="13.5">
      <c r="A70" s="483" t="s">
        <v>462</v>
      </c>
      <c r="B70" s="483" t="s">
        <v>463</v>
      </c>
      <c r="C70" s="460"/>
      <c r="D70" s="460" t="s">
        <v>470</v>
      </c>
      <c r="E70" s="528" t="s">
        <v>259</v>
      </c>
      <c r="F70" s="460"/>
      <c r="G70" s="460"/>
      <c r="H70" s="460"/>
      <c r="I70" s="460"/>
      <c r="J70" s="460"/>
      <c r="K70" s="460"/>
      <c r="L70" s="460"/>
      <c r="M70" s="460"/>
      <c r="N70" s="460"/>
    </row>
    <row r="71" spans="1:14" s="355" customFormat="1" ht="13.5">
      <c r="A71" s="483" t="s">
        <v>462</v>
      </c>
      <c r="B71" s="483" t="s">
        <v>463</v>
      </c>
      <c r="C71" s="460"/>
      <c r="D71" s="460" t="s">
        <v>471</v>
      </c>
      <c r="E71" s="528" t="s">
        <v>262</v>
      </c>
      <c r="F71" s="460"/>
      <c r="G71" s="460"/>
      <c r="H71" s="460"/>
      <c r="I71" s="460"/>
      <c r="J71" s="460"/>
      <c r="K71" s="460"/>
      <c r="L71" s="460"/>
      <c r="M71" s="460"/>
      <c r="N71" s="460"/>
    </row>
    <row r="72" spans="1:14" s="355" customFormat="1" ht="13.5">
      <c r="A72" s="483" t="s">
        <v>462</v>
      </c>
      <c r="B72" s="483" t="s">
        <v>463</v>
      </c>
      <c r="C72" s="460"/>
      <c r="D72" s="460" t="s">
        <v>472</v>
      </c>
      <c r="E72" s="528" t="s">
        <v>262</v>
      </c>
      <c r="F72" s="460"/>
      <c r="G72" s="460"/>
      <c r="H72" s="460"/>
      <c r="I72" s="460"/>
      <c r="J72" s="460"/>
      <c r="K72" s="460"/>
      <c r="L72" s="460"/>
      <c r="M72" s="460"/>
      <c r="N72" s="460"/>
    </row>
    <row r="73" spans="1:14" s="355" customFormat="1" ht="13.5">
      <c r="A73" s="483" t="s">
        <v>462</v>
      </c>
      <c r="B73" s="483" t="s">
        <v>463</v>
      </c>
      <c r="C73" s="460"/>
      <c r="D73" s="460" t="s">
        <v>473</v>
      </c>
      <c r="E73" s="528" t="s">
        <v>259</v>
      </c>
      <c r="F73" s="460"/>
      <c r="G73" s="460"/>
      <c r="H73" s="460"/>
      <c r="I73" s="460"/>
      <c r="J73" s="460"/>
      <c r="K73" s="460"/>
      <c r="L73" s="460"/>
      <c r="M73" s="460"/>
      <c r="N73" s="460"/>
    </row>
    <row r="74" spans="1:14" s="355" customFormat="1" ht="13.5">
      <c r="A74" s="483" t="s">
        <v>462</v>
      </c>
      <c r="B74" s="483" t="s">
        <v>463</v>
      </c>
      <c r="C74" s="460"/>
      <c r="D74" s="460" t="s">
        <v>474</v>
      </c>
      <c r="E74" s="528" t="s">
        <v>259</v>
      </c>
      <c r="F74" s="460"/>
      <c r="G74" s="460"/>
      <c r="H74" s="460"/>
      <c r="I74" s="460"/>
      <c r="J74" s="460"/>
      <c r="K74" s="460"/>
      <c r="L74" s="460"/>
      <c r="M74" s="460"/>
      <c r="N74" s="460"/>
    </row>
    <row r="75" spans="1:14" s="355" customFormat="1" ht="13.5">
      <c r="A75" s="483" t="s">
        <v>462</v>
      </c>
      <c r="B75" s="483" t="s">
        <v>463</v>
      </c>
      <c r="C75" s="460"/>
      <c r="D75" s="460" t="s">
        <v>475</v>
      </c>
      <c r="E75" s="528" t="s">
        <v>262</v>
      </c>
      <c r="F75" s="460"/>
      <c r="G75" s="460"/>
      <c r="H75" s="460"/>
      <c r="I75" s="460"/>
      <c r="J75" s="460"/>
      <c r="K75" s="460"/>
      <c r="L75" s="460"/>
      <c r="M75" s="460"/>
      <c r="N75" s="460"/>
    </row>
    <row r="76" spans="1:14" s="355" customFormat="1" ht="13.5">
      <c r="A76" s="483" t="s">
        <v>462</v>
      </c>
      <c r="B76" s="483" t="s">
        <v>463</v>
      </c>
      <c r="C76" s="460"/>
      <c r="D76" s="460" t="s">
        <v>179</v>
      </c>
      <c r="E76" s="528" t="s">
        <v>259</v>
      </c>
      <c r="F76" s="460"/>
      <c r="G76" s="460"/>
      <c r="H76" s="460"/>
      <c r="I76" s="460"/>
      <c r="J76" s="460"/>
      <c r="K76" s="460"/>
      <c r="L76" s="460"/>
      <c r="M76" s="460"/>
      <c r="N76" s="460"/>
    </row>
    <row r="77" spans="1:14" s="355" customFormat="1" ht="13.5">
      <c r="A77" s="483" t="s">
        <v>462</v>
      </c>
      <c r="B77" s="483" t="s">
        <v>463</v>
      </c>
      <c r="C77" s="460"/>
      <c r="D77" s="460" t="s">
        <v>476</v>
      </c>
      <c r="E77" s="528" t="s">
        <v>370</v>
      </c>
      <c r="F77" s="460"/>
      <c r="G77" s="460"/>
      <c r="H77" s="460"/>
      <c r="I77" s="460"/>
      <c r="J77" s="460"/>
      <c r="K77" s="460"/>
      <c r="L77" s="460"/>
      <c r="M77" s="460"/>
      <c r="N77" s="460"/>
    </row>
    <row r="78" spans="1:14" s="355" customFormat="1" ht="13.5">
      <c r="A78" s="483" t="s">
        <v>462</v>
      </c>
      <c r="B78" s="483" t="s">
        <v>463</v>
      </c>
      <c r="C78" s="460"/>
      <c r="D78" s="460" t="s">
        <v>477</v>
      </c>
      <c r="E78" s="528" t="s">
        <v>370</v>
      </c>
      <c r="F78" s="460"/>
      <c r="G78" s="460"/>
      <c r="H78" s="460"/>
      <c r="I78" s="460"/>
      <c r="J78" s="460"/>
      <c r="K78" s="460"/>
      <c r="L78" s="460"/>
      <c r="M78" s="460"/>
      <c r="N78" s="460"/>
    </row>
    <row r="79" spans="1:14" s="355" customFormat="1" ht="13.5">
      <c r="A79" s="483" t="s">
        <v>462</v>
      </c>
      <c r="B79" s="483" t="s">
        <v>463</v>
      </c>
      <c r="C79" s="460"/>
      <c r="D79" s="460" t="s">
        <v>481</v>
      </c>
      <c r="E79" s="528" t="s">
        <v>370</v>
      </c>
      <c r="F79" s="460"/>
      <c r="G79" s="460"/>
      <c r="H79" s="460"/>
      <c r="I79" s="460"/>
      <c r="J79" s="460"/>
      <c r="K79" s="460"/>
      <c r="L79" s="460"/>
      <c r="M79" s="460"/>
      <c r="N79" s="460"/>
    </row>
    <row r="80" spans="1:14" s="355" customFormat="1" ht="13.5">
      <c r="A80" s="483" t="s">
        <v>462</v>
      </c>
      <c r="B80" s="483" t="s">
        <v>463</v>
      </c>
      <c r="C80" s="460"/>
      <c r="D80" s="460" t="s">
        <v>482</v>
      </c>
      <c r="E80" s="528" t="s">
        <v>262</v>
      </c>
      <c r="F80" s="460"/>
      <c r="G80" s="460"/>
      <c r="H80" s="460"/>
      <c r="I80" s="460"/>
      <c r="J80" s="460"/>
      <c r="K80" s="460"/>
      <c r="L80" s="460"/>
      <c r="M80" s="460"/>
      <c r="N80" s="460"/>
    </row>
    <row r="81" spans="1:14" s="355" customFormat="1" ht="13.5">
      <c r="A81" s="483" t="s">
        <v>462</v>
      </c>
      <c r="B81" s="483" t="s">
        <v>463</v>
      </c>
      <c r="C81" s="460"/>
      <c r="D81" s="460" t="s">
        <v>483</v>
      </c>
      <c r="E81" s="528" t="s">
        <v>485</v>
      </c>
      <c r="F81" s="460"/>
      <c r="G81" s="460"/>
      <c r="H81" s="460"/>
      <c r="I81" s="460"/>
      <c r="J81" s="460"/>
      <c r="K81" s="460"/>
      <c r="L81" s="460"/>
      <c r="M81" s="460"/>
      <c r="N81" s="460"/>
    </row>
    <row r="82" spans="1:14" s="355" customFormat="1" ht="13.5">
      <c r="A82" s="483" t="s">
        <v>462</v>
      </c>
      <c r="B82" s="483" t="s">
        <v>463</v>
      </c>
      <c r="C82" s="460"/>
      <c r="D82" s="460" t="s">
        <v>478</v>
      </c>
      <c r="E82" s="528" t="s">
        <v>486</v>
      </c>
      <c r="F82" s="460"/>
      <c r="G82" s="460"/>
      <c r="H82" s="460"/>
      <c r="I82" s="460"/>
      <c r="J82" s="460"/>
      <c r="K82" s="460"/>
      <c r="L82" s="460"/>
      <c r="M82" s="460"/>
      <c r="N82" s="460"/>
    </row>
    <row r="83" spans="1:14" s="355" customFormat="1" ht="13.5">
      <c r="A83" s="483" t="s">
        <v>462</v>
      </c>
      <c r="B83" s="483" t="s">
        <v>463</v>
      </c>
      <c r="C83" s="460"/>
      <c r="D83" s="460" t="s">
        <v>479</v>
      </c>
      <c r="E83" s="528" t="s">
        <v>265</v>
      </c>
      <c r="F83" s="460"/>
      <c r="G83" s="460"/>
      <c r="H83" s="460"/>
      <c r="I83" s="460"/>
      <c r="J83" s="460"/>
      <c r="K83" s="460"/>
      <c r="L83" s="460"/>
      <c r="M83" s="460"/>
      <c r="N83" s="460"/>
    </row>
    <row r="84" spans="1:14" s="355" customFormat="1" ht="13.5">
      <c r="A84" s="483" t="s">
        <v>462</v>
      </c>
      <c r="B84" s="483" t="s">
        <v>463</v>
      </c>
      <c r="C84" s="460"/>
      <c r="D84" s="460" t="s">
        <v>173</v>
      </c>
      <c r="E84" s="528" t="s">
        <v>265</v>
      </c>
      <c r="F84" s="460"/>
      <c r="G84" s="460"/>
      <c r="H84" s="460"/>
      <c r="I84" s="460"/>
      <c r="J84" s="460"/>
      <c r="K84" s="460"/>
      <c r="L84" s="460"/>
      <c r="M84" s="460"/>
      <c r="N84" s="460"/>
    </row>
    <row r="85" spans="1:14" s="355" customFormat="1" ht="13.5">
      <c r="A85" s="483" t="s">
        <v>462</v>
      </c>
      <c r="B85" s="483" t="s">
        <v>463</v>
      </c>
      <c r="C85" s="460"/>
      <c r="D85" s="460" t="s">
        <v>480</v>
      </c>
      <c r="E85" s="528" t="s">
        <v>257</v>
      </c>
      <c r="F85" s="460"/>
      <c r="G85" s="460"/>
      <c r="H85" s="460"/>
      <c r="I85" s="460"/>
      <c r="J85" s="460"/>
      <c r="K85" s="460"/>
      <c r="L85" s="460"/>
      <c r="M85" s="460"/>
      <c r="N85" s="460"/>
    </row>
    <row r="86" spans="1:14" s="355" customFormat="1" ht="13.5">
      <c r="A86" s="455"/>
      <c r="B86" s="455"/>
      <c r="C86" s="460"/>
      <c r="D86" s="460"/>
      <c r="E86" s="528"/>
      <c r="F86" s="460"/>
      <c r="G86" s="460"/>
      <c r="H86" s="460"/>
      <c r="I86" s="460"/>
      <c r="J86" s="460"/>
      <c r="K86" s="460"/>
      <c r="L86" s="460"/>
      <c r="M86" s="460"/>
      <c r="N86" s="460"/>
    </row>
    <row r="87" spans="1:14" s="355" customFormat="1" ht="27">
      <c r="A87" s="483" t="s">
        <v>462</v>
      </c>
      <c r="B87" s="483" t="s">
        <v>463</v>
      </c>
      <c r="C87" s="471" t="s">
        <v>464</v>
      </c>
      <c r="D87" s="460" t="s">
        <v>2</v>
      </c>
      <c r="E87" s="528" t="s">
        <v>487</v>
      </c>
      <c r="F87" s="522" t="s">
        <v>3</v>
      </c>
      <c r="G87" s="524" t="s">
        <v>1</v>
      </c>
      <c r="H87" s="484" t="s">
        <v>97</v>
      </c>
      <c r="I87" s="484" t="s">
        <v>518</v>
      </c>
      <c r="J87" s="484" t="s">
        <v>118</v>
      </c>
      <c r="K87" s="471" t="s">
        <v>98</v>
      </c>
      <c r="L87" s="52">
        <v>16332</v>
      </c>
      <c r="M87" s="460" t="s">
        <v>0</v>
      </c>
      <c r="N87" s="460"/>
    </row>
    <row r="88" spans="1:14" s="355" customFormat="1" ht="13.5">
      <c r="A88" s="483" t="s">
        <v>462</v>
      </c>
      <c r="B88" s="483" t="s">
        <v>463</v>
      </c>
      <c r="C88" s="460" t="s">
        <v>491</v>
      </c>
      <c r="D88" s="460" t="s">
        <v>492</v>
      </c>
      <c r="E88" s="528" t="s">
        <v>509</v>
      </c>
      <c r="F88" s="460"/>
      <c r="G88" s="460"/>
      <c r="H88" s="460"/>
      <c r="I88" s="460"/>
      <c r="J88" s="460"/>
      <c r="K88" s="471" t="s">
        <v>104</v>
      </c>
      <c r="L88" s="460"/>
      <c r="M88" s="460"/>
      <c r="N88" s="460"/>
    </row>
    <row r="89" spans="1:14" s="355" customFormat="1" ht="13.5">
      <c r="A89" s="483" t="s">
        <v>462</v>
      </c>
      <c r="B89" s="483" t="s">
        <v>463</v>
      </c>
      <c r="C89" s="460"/>
      <c r="D89" s="460" t="s">
        <v>493</v>
      </c>
      <c r="E89" s="528" t="s">
        <v>509</v>
      </c>
      <c r="F89" s="460"/>
      <c r="G89" s="460"/>
      <c r="H89" s="460"/>
      <c r="I89" s="460"/>
      <c r="J89" s="460"/>
      <c r="K89" s="460" t="s">
        <v>488</v>
      </c>
      <c r="L89" s="460"/>
      <c r="M89" s="460"/>
      <c r="N89" s="460"/>
    </row>
    <row r="90" spans="1:14" s="355" customFormat="1" ht="40.5">
      <c r="A90" s="483" t="s">
        <v>462</v>
      </c>
      <c r="B90" s="483" t="s">
        <v>463</v>
      </c>
      <c r="C90" s="460"/>
      <c r="D90" s="460" t="s">
        <v>494</v>
      </c>
      <c r="E90" s="528" t="s">
        <v>509</v>
      </c>
      <c r="F90" s="460"/>
      <c r="G90" s="460"/>
      <c r="H90" s="460"/>
      <c r="I90" s="460"/>
      <c r="J90" s="460"/>
      <c r="K90" s="476" t="s">
        <v>489</v>
      </c>
      <c r="L90" s="460"/>
      <c r="M90" s="460"/>
      <c r="N90" s="460"/>
    </row>
    <row r="91" spans="1:14" s="355" customFormat="1" ht="13.5">
      <c r="A91" s="483" t="s">
        <v>462</v>
      </c>
      <c r="B91" s="483" t="s">
        <v>463</v>
      </c>
      <c r="C91" s="460"/>
      <c r="D91" s="460" t="s">
        <v>495</v>
      </c>
      <c r="E91" s="528" t="s">
        <v>509</v>
      </c>
      <c r="F91" s="460"/>
      <c r="G91" s="460"/>
      <c r="H91" s="460"/>
      <c r="I91" s="460"/>
      <c r="J91" s="460"/>
      <c r="K91" s="460"/>
      <c r="L91" s="460"/>
      <c r="M91" s="460"/>
      <c r="N91" s="460"/>
    </row>
    <row r="92" spans="1:14" s="355" customFormat="1" ht="13.5">
      <c r="A92" s="483" t="s">
        <v>462</v>
      </c>
      <c r="B92" s="483" t="s">
        <v>463</v>
      </c>
      <c r="C92" s="460"/>
      <c r="D92" s="460" t="s">
        <v>496</v>
      </c>
      <c r="E92" s="528" t="s">
        <v>510</v>
      </c>
      <c r="F92" s="460"/>
      <c r="G92" s="460"/>
      <c r="H92" s="460"/>
      <c r="I92" s="460"/>
      <c r="J92" s="460"/>
      <c r="K92" s="460"/>
      <c r="L92" s="460"/>
      <c r="M92" s="460"/>
      <c r="N92" s="460"/>
    </row>
    <row r="93" spans="1:14" s="355" customFormat="1" ht="13.5">
      <c r="A93" s="483" t="s">
        <v>462</v>
      </c>
      <c r="B93" s="483" t="s">
        <v>463</v>
      </c>
      <c r="C93" s="460"/>
      <c r="D93" s="460" t="s">
        <v>497</v>
      </c>
      <c r="E93" s="528" t="s">
        <v>511</v>
      </c>
      <c r="F93" s="460"/>
      <c r="G93" s="460"/>
      <c r="H93" s="460"/>
      <c r="I93" s="460"/>
      <c r="J93" s="460"/>
      <c r="K93" s="460"/>
      <c r="L93" s="460"/>
      <c r="M93" s="460"/>
      <c r="N93" s="460"/>
    </row>
    <row r="94" spans="1:14" s="355" customFormat="1" ht="13.5">
      <c r="A94" s="483" t="s">
        <v>462</v>
      </c>
      <c r="B94" s="483" t="s">
        <v>463</v>
      </c>
      <c r="C94" s="460"/>
      <c r="D94" s="460" t="s">
        <v>480</v>
      </c>
      <c r="E94" s="528" t="s">
        <v>510</v>
      </c>
      <c r="F94" s="460"/>
      <c r="G94" s="460"/>
      <c r="H94" s="460"/>
      <c r="I94" s="460"/>
      <c r="J94" s="460"/>
      <c r="K94" s="460"/>
      <c r="L94" s="460"/>
      <c r="M94" s="460"/>
      <c r="N94" s="460"/>
    </row>
    <row r="95" spans="1:14" s="355" customFormat="1" ht="13.5">
      <c r="A95" s="483" t="s">
        <v>462</v>
      </c>
      <c r="B95" s="483" t="s">
        <v>463</v>
      </c>
      <c r="C95" s="460"/>
      <c r="D95" s="460" t="s">
        <v>498</v>
      </c>
      <c r="E95" s="528" t="s">
        <v>510</v>
      </c>
      <c r="F95" s="460"/>
      <c r="G95" s="460"/>
      <c r="H95" s="460"/>
      <c r="I95" s="460"/>
      <c r="J95" s="460"/>
      <c r="K95" s="460"/>
      <c r="L95" s="460"/>
      <c r="M95" s="460"/>
      <c r="N95" s="460"/>
    </row>
    <row r="96" spans="1:14" s="355" customFormat="1" ht="13.5">
      <c r="A96" s="483" t="s">
        <v>462</v>
      </c>
      <c r="B96" s="483" t="s">
        <v>463</v>
      </c>
      <c r="C96" s="460"/>
      <c r="D96" s="460" t="s">
        <v>499</v>
      </c>
      <c r="E96" s="528" t="s">
        <v>190</v>
      </c>
      <c r="F96" s="460"/>
      <c r="G96" s="460"/>
      <c r="H96" s="460"/>
      <c r="I96" s="460"/>
      <c r="J96" s="460"/>
      <c r="K96" s="460"/>
      <c r="L96" s="460"/>
      <c r="M96" s="460"/>
      <c r="N96" s="460"/>
    </row>
    <row r="97" spans="1:15" s="355" customFormat="1" ht="13.5">
      <c r="A97" s="483" t="s">
        <v>462</v>
      </c>
      <c r="B97" s="483" t="s">
        <v>463</v>
      </c>
      <c r="C97" s="460"/>
      <c r="D97" s="460" t="s">
        <v>500</v>
      </c>
      <c r="E97" s="528" t="s">
        <v>512</v>
      </c>
      <c r="F97" s="460"/>
      <c r="G97" s="460"/>
      <c r="H97" s="460"/>
      <c r="I97" s="460"/>
      <c r="J97" s="460"/>
      <c r="K97" s="460"/>
      <c r="L97" s="460"/>
      <c r="M97" s="460"/>
      <c r="N97" s="460"/>
    </row>
    <row r="98" spans="1:15" s="355" customFormat="1" ht="13.5">
      <c r="A98" s="483" t="s">
        <v>462</v>
      </c>
      <c r="B98" s="483" t="s">
        <v>463</v>
      </c>
      <c r="C98" s="460"/>
      <c r="D98" s="460" t="s">
        <v>501</v>
      </c>
      <c r="E98" s="528" t="s">
        <v>265</v>
      </c>
      <c r="F98" s="460"/>
      <c r="G98" s="460"/>
      <c r="H98" s="460"/>
      <c r="I98" s="460"/>
      <c r="J98" s="460"/>
      <c r="K98" s="460"/>
      <c r="L98" s="460"/>
      <c r="M98" s="460"/>
      <c r="N98" s="460"/>
    </row>
    <row r="99" spans="1:15" s="355" customFormat="1" ht="13.5">
      <c r="A99" s="483" t="s">
        <v>462</v>
      </c>
      <c r="B99" s="483" t="s">
        <v>463</v>
      </c>
      <c r="C99" s="460"/>
      <c r="D99" s="460" t="s">
        <v>502</v>
      </c>
      <c r="E99" s="528" t="s">
        <v>513</v>
      </c>
      <c r="F99" s="460"/>
      <c r="G99" s="460"/>
      <c r="H99" s="460"/>
      <c r="I99" s="460"/>
      <c r="J99" s="460"/>
      <c r="K99" s="460"/>
      <c r="L99" s="460"/>
      <c r="M99" s="460"/>
      <c r="N99" s="460"/>
    </row>
    <row r="100" spans="1:15" s="355" customFormat="1" ht="13.5">
      <c r="A100" s="483" t="s">
        <v>462</v>
      </c>
      <c r="B100" s="483" t="s">
        <v>463</v>
      </c>
      <c r="C100" s="460"/>
      <c r="D100" s="460" t="s">
        <v>503</v>
      </c>
      <c r="E100" s="528" t="s">
        <v>514</v>
      </c>
      <c r="F100" s="460"/>
      <c r="G100" s="460"/>
      <c r="H100" s="460"/>
      <c r="I100" s="460"/>
      <c r="J100" s="460"/>
      <c r="K100" s="460"/>
      <c r="L100" s="460"/>
      <c r="M100" s="460"/>
      <c r="N100" s="460"/>
    </row>
    <row r="101" spans="1:15" s="355" customFormat="1" ht="13.5">
      <c r="A101" s="483" t="s">
        <v>462</v>
      </c>
      <c r="B101" s="483" t="s">
        <v>463</v>
      </c>
      <c r="C101" s="460"/>
      <c r="D101" s="460" t="s">
        <v>504</v>
      </c>
      <c r="E101" s="528" t="s">
        <v>515</v>
      </c>
      <c r="F101" s="460"/>
      <c r="G101" s="460"/>
      <c r="H101" s="460"/>
      <c r="I101" s="460"/>
      <c r="J101" s="460"/>
      <c r="K101" s="460"/>
      <c r="L101" s="460"/>
      <c r="M101" s="460"/>
      <c r="N101" s="460"/>
    </row>
    <row r="102" spans="1:15" s="355" customFormat="1" ht="13.5">
      <c r="A102" s="483" t="s">
        <v>462</v>
      </c>
      <c r="B102" s="483" t="s">
        <v>463</v>
      </c>
      <c r="C102" s="460"/>
      <c r="D102" s="460" t="s">
        <v>505</v>
      </c>
      <c r="E102" s="528" t="s">
        <v>259</v>
      </c>
      <c r="F102" s="460"/>
      <c r="G102" s="460"/>
      <c r="H102" s="460"/>
      <c r="I102" s="460"/>
      <c r="J102" s="460"/>
      <c r="K102" s="460"/>
      <c r="L102" s="460"/>
      <c r="M102" s="460"/>
      <c r="N102" s="460"/>
    </row>
    <row r="103" spans="1:15" s="355" customFormat="1" ht="13.5">
      <c r="A103" s="483" t="s">
        <v>462</v>
      </c>
      <c r="B103" s="483" t="s">
        <v>463</v>
      </c>
      <c r="C103" s="460"/>
      <c r="D103" s="460" t="s">
        <v>506</v>
      </c>
      <c r="E103" s="528" t="s">
        <v>267</v>
      </c>
      <c r="F103" s="460"/>
      <c r="G103" s="460"/>
      <c r="H103" s="460"/>
      <c r="I103" s="460"/>
      <c r="J103" s="460"/>
      <c r="K103" s="460"/>
      <c r="L103" s="460"/>
      <c r="M103" s="460"/>
      <c r="N103" s="460"/>
    </row>
    <row r="104" spans="1:15" s="355" customFormat="1" ht="13.5">
      <c r="A104" s="483" t="s">
        <v>462</v>
      </c>
      <c r="B104" s="483" t="s">
        <v>463</v>
      </c>
      <c r="C104" s="460"/>
      <c r="D104" s="460" t="s">
        <v>507</v>
      </c>
      <c r="E104" s="528" t="s">
        <v>516</v>
      </c>
      <c r="F104" s="460"/>
      <c r="G104" s="460"/>
      <c r="H104" s="460"/>
      <c r="I104" s="460"/>
      <c r="J104" s="460"/>
      <c r="K104" s="460"/>
      <c r="L104" s="460"/>
      <c r="M104" s="460"/>
      <c r="N104" s="460"/>
    </row>
    <row r="105" spans="1:15" s="355" customFormat="1" ht="13.5">
      <c r="A105" s="483" t="s">
        <v>462</v>
      </c>
      <c r="B105" s="483" t="s">
        <v>463</v>
      </c>
      <c r="C105" s="460"/>
      <c r="D105" s="460" t="s">
        <v>508</v>
      </c>
      <c r="E105" s="528" t="s">
        <v>517</v>
      </c>
      <c r="F105" s="460"/>
      <c r="G105" s="460"/>
      <c r="H105" s="460"/>
      <c r="I105" s="460"/>
      <c r="J105" s="460"/>
      <c r="K105" s="460"/>
      <c r="L105" s="460"/>
      <c r="M105" s="460"/>
      <c r="N105" s="460"/>
    </row>
    <row r="106" spans="1:15" s="355" customFormat="1" ht="13.5">
      <c r="A106" s="483"/>
      <c r="B106" s="483"/>
      <c r="C106" s="460"/>
      <c r="D106" s="460"/>
      <c r="E106" s="528"/>
      <c r="F106" s="460"/>
      <c r="G106" s="460"/>
      <c r="H106" s="460"/>
      <c r="I106" s="460"/>
      <c r="J106" s="460"/>
      <c r="K106" s="460"/>
      <c r="L106" s="460"/>
      <c r="M106" s="460"/>
      <c r="N106" s="460"/>
    </row>
    <row r="107" spans="1:15" s="355" customFormat="1" ht="13.5">
      <c r="A107" s="483"/>
      <c r="B107" s="483"/>
      <c r="C107" s="460"/>
      <c r="D107" s="460"/>
      <c r="E107" s="528"/>
      <c r="F107" s="460"/>
      <c r="G107" s="460"/>
      <c r="H107" s="460"/>
      <c r="I107" s="460"/>
      <c r="J107" s="460"/>
      <c r="K107" s="460"/>
      <c r="L107" s="460"/>
      <c r="M107" s="460"/>
      <c r="N107" s="460"/>
    </row>
    <row r="108" spans="1:15" s="355" customFormat="1" ht="13.5">
      <c r="A108" s="641" t="s">
        <v>590</v>
      </c>
      <c r="B108" s="483" t="s">
        <v>589</v>
      </c>
      <c r="C108" s="642" t="s">
        <v>620</v>
      </c>
      <c r="D108" s="642" t="s">
        <v>2</v>
      </c>
      <c r="E108" s="643" t="s">
        <v>621</v>
      </c>
      <c r="F108" s="643" t="s">
        <v>609</v>
      </c>
      <c r="G108" s="644" t="s">
        <v>1</v>
      </c>
      <c r="H108" s="645" t="s">
        <v>576</v>
      </c>
      <c r="I108" s="645" t="s">
        <v>576</v>
      </c>
      <c r="J108" s="646" t="s">
        <v>594</v>
      </c>
      <c r="K108" s="643" t="s">
        <v>622</v>
      </c>
      <c r="L108" s="647">
        <v>50000</v>
      </c>
      <c r="M108" s="642" t="s">
        <v>579</v>
      </c>
      <c r="N108" s="642"/>
    </row>
    <row r="109" spans="1:15" s="355" customFormat="1" ht="13.5">
      <c r="A109" s="641" t="s">
        <v>590</v>
      </c>
      <c r="B109" s="483" t="s">
        <v>589</v>
      </c>
      <c r="C109" s="642" t="s">
        <v>623</v>
      </c>
      <c r="D109" s="642"/>
      <c r="E109" s="643" t="s">
        <v>624</v>
      </c>
      <c r="F109" s="643" t="s">
        <v>612</v>
      </c>
      <c r="G109" s="642"/>
      <c r="H109" s="642"/>
      <c r="I109" s="642"/>
      <c r="J109" s="642"/>
      <c r="K109" s="642"/>
      <c r="L109" s="642"/>
      <c r="M109" s="643" t="s">
        <v>602</v>
      </c>
      <c r="N109" s="642"/>
    </row>
    <row r="110" spans="1:15" s="355" customFormat="1" ht="13.5">
      <c r="A110" s="483"/>
      <c r="B110" s="483"/>
      <c r="C110" s="460"/>
      <c r="D110" s="460"/>
      <c r="E110" s="528"/>
      <c r="F110" s="460"/>
      <c r="G110" s="460"/>
      <c r="H110" s="460"/>
      <c r="I110" s="460"/>
      <c r="J110" s="460"/>
      <c r="K110" s="460"/>
      <c r="L110" s="460"/>
      <c r="M110" s="460"/>
      <c r="N110" s="460"/>
    </row>
    <row r="111" spans="1:15" s="355" customFormat="1" ht="54">
      <c r="A111" s="151" t="s">
        <v>649</v>
      </c>
      <c r="B111" s="40" t="s">
        <v>650</v>
      </c>
      <c r="C111" s="648" t="s">
        <v>1221</v>
      </c>
      <c r="D111" s="309" t="s">
        <v>2</v>
      </c>
      <c r="E111" s="560"/>
      <c r="F111" s="499" t="s">
        <v>734</v>
      </c>
      <c r="G111" s="497" t="s">
        <v>1</v>
      </c>
      <c r="H111" s="649" t="s">
        <v>675</v>
      </c>
      <c r="I111" s="649" t="s">
        <v>599</v>
      </c>
      <c r="J111" s="649" t="s">
        <v>599</v>
      </c>
      <c r="K111" s="499" t="s">
        <v>676</v>
      </c>
      <c r="L111" s="650">
        <v>125000</v>
      </c>
      <c r="M111" s="309" t="s">
        <v>659</v>
      </c>
      <c r="N111" s="499" t="s">
        <v>703</v>
      </c>
    </row>
    <row r="112" spans="1:15" s="355" customFormat="1" ht="13.5">
      <c r="A112" s="151" t="s">
        <v>649</v>
      </c>
      <c r="B112" s="40" t="s">
        <v>650</v>
      </c>
      <c r="C112" s="497" t="s">
        <v>735</v>
      </c>
      <c r="D112" s="599" t="s">
        <v>705</v>
      </c>
      <c r="E112" s="726">
        <v>1</v>
      </c>
      <c r="F112" s="607"/>
      <c r="G112" s="651"/>
      <c r="H112" s="497"/>
      <c r="I112" s="652"/>
      <c r="J112" s="497"/>
      <c r="K112" s="653"/>
      <c r="L112" s="502"/>
      <c r="M112" s="538"/>
      <c r="N112" s="392"/>
      <c r="O112" s="318"/>
    </row>
    <row r="113" spans="1:15" s="355" customFormat="1" ht="27">
      <c r="A113" s="151" t="s">
        <v>649</v>
      </c>
      <c r="B113" s="40" t="s">
        <v>650</v>
      </c>
      <c r="C113" s="497"/>
      <c r="D113" s="597" t="s">
        <v>706</v>
      </c>
      <c r="E113" s="726"/>
      <c r="F113" s="607"/>
      <c r="G113" s="654"/>
      <c r="H113" s="502"/>
      <c r="I113" s="652"/>
      <c r="J113" s="497"/>
      <c r="K113" s="653"/>
      <c r="L113" s="502"/>
      <c r="M113" s="538"/>
      <c r="N113" s="392"/>
      <c r="O113" s="318"/>
    </row>
    <row r="114" spans="1:15" s="355" customFormat="1" ht="13.5">
      <c r="A114" s="151" t="s">
        <v>649</v>
      </c>
      <c r="B114" s="40" t="s">
        <v>650</v>
      </c>
      <c r="C114" s="497"/>
      <c r="D114" s="599" t="s">
        <v>707</v>
      </c>
      <c r="E114" s="726">
        <v>1</v>
      </c>
      <c r="F114" s="607"/>
      <c r="G114" s="654"/>
      <c r="H114" s="502"/>
      <c r="I114" s="652"/>
      <c r="J114" s="497"/>
      <c r="K114" s="653"/>
      <c r="L114" s="502"/>
      <c r="M114" s="538"/>
      <c r="N114" s="392"/>
      <c r="O114" s="318"/>
    </row>
    <row r="115" spans="1:15" s="355" customFormat="1" ht="54">
      <c r="A115" s="151" t="s">
        <v>649</v>
      </c>
      <c r="B115" s="40" t="s">
        <v>650</v>
      </c>
      <c r="C115" s="497"/>
      <c r="D115" s="598" t="s">
        <v>708</v>
      </c>
      <c r="E115" s="726"/>
      <c r="F115" s="607"/>
      <c r="G115" s="654"/>
      <c r="H115" s="502"/>
      <c r="I115" s="652"/>
      <c r="J115" s="497"/>
      <c r="K115" s="653"/>
      <c r="L115" s="502"/>
      <c r="M115" s="538"/>
      <c r="N115" s="392"/>
      <c r="O115" s="318"/>
    </row>
    <row r="116" spans="1:15" s="355" customFormat="1" ht="13.5">
      <c r="A116" s="151" t="s">
        <v>649</v>
      </c>
      <c r="B116" s="40" t="s">
        <v>650</v>
      </c>
      <c r="C116" s="497"/>
      <c r="D116" s="599" t="s">
        <v>679</v>
      </c>
      <c r="E116" s="726">
        <v>1</v>
      </c>
      <c r="F116" s="607"/>
      <c r="G116" s="654"/>
      <c r="H116" s="502"/>
      <c r="I116" s="652"/>
      <c r="J116" s="497"/>
      <c r="K116" s="653"/>
      <c r="L116" s="502"/>
      <c r="M116" s="538"/>
      <c r="N116" s="392"/>
      <c r="O116" s="318"/>
    </row>
    <row r="117" spans="1:15" s="355" customFormat="1" ht="54">
      <c r="A117" s="151" t="s">
        <v>649</v>
      </c>
      <c r="B117" s="40" t="s">
        <v>650</v>
      </c>
      <c r="C117" s="497"/>
      <c r="D117" s="598" t="s">
        <v>736</v>
      </c>
      <c r="E117" s="726"/>
      <c r="F117" s="607"/>
      <c r="G117" s="654"/>
      <c r="H117" s="502"/>
      <c r="I117" s="652"/>
      <c r="J117" s="497"/>
      <c r="K117" s="653"/>
      <c r="L117" s="502"/>
      <c r="M117" s="538"/>
      <c r="N117" s="392"/>
      <c r="O117" s="318"/>
    </row>
    <row r="118" spans="1:15" s="355" customFormat="1" ht="13.5">
      <c r="A118" s="151" t="s">
        <v>649</v>
      </c>
      <c r="B118" s="40" t="s">
        <v>650</v>
      </c>
      <c r="C118" s="497"/>
      <c r="D118" s="599" t="s">
        <v>711</v>
      </c>
      <c r="E118" s="726">
        <v>1</v>
      </c>
      <c r="F118" s="607"/>
      <c r="G118" s="655"/>
      <c r="H118" s="502"/>
      <c r="I118" s="652"/>
      <c r="J118" s="497"/>
      <c r="K118" s="653"/>
      <c r="L118" s="502"/>
      <c r="M118" s="538"/>
      <c r="N118" s="392"/>
      <c r="O118" s="318"/>
    </row>
    <row r="119" spans="1:15" s="355" customFormat="1" ht="13.5">
      <c r="A119" s="151" t="s">
        <v>649</v>
      </c>
      <c r="B119" s="40" t="s">
        <v>650</v>
      </c>
      <c r="C119" s="497"/>
      <c r="D119" s="599" t="s">
        <v>712</v>
      </c>
      <c r="E119" s="726">
        <v>1</v>
      </c>
      <c r="F119" s="607"/>
      <c r="G119" s="655"/>
      <c r="H119" s="502"/>
      <c r="I119" s="652"/>
      <c r="J119" s="497"/>
      <c r="K119" s="653"/>
      <c r="L119" s="502"/>
      <c r="M119" s="538"/>
      <c r="N119" s="392"/>
      <c r="O119" s="318"/>
    </row>
    <row r="120" spans="1:15" s="355" customFormat="1" ht="13.5">
      <c r="A120" s="151" t="s">
        <v>649</v>
      </c>
      <c r="B120" s="40" t="s">
        <v>650</v>
      </c>
      <c r="C120" s="497"/>
      <c r="D120" s="599" t="s">
        <v>713</v>
      </c>
      <c r="E120" s="726">
        <v>1</v>
      </c>
      <c r="F120" s="607"/>
      <c r="G120" s="655"/>
      <c r="H120" s="502"/>
      <c r="I120" s="652"/>
      <c r="J120" s="497"/>
      <c r="K120" s="653"/>
      <c r="L120" s="502"/>
      <c r="M120" s="538"/>
      <c r="N120" s="392"/>
      <c r="O120" s="318"/>
    </row>
    <row r="121" spans="1:15" s="355" customFormat="1" ht="13.5">
      <c r="A121" s="151" t="s">
        <v>649</v>
      </c>
      <c r="B121" s="40" t="s">
        <v>650</v>
      </c>
      <c r="C121" s="497"/>
      <c r="D121" s="599" t="s">
        <v>714</v>
      </c>
      <c r="E121" s="726">
        <v>1</v>
      </c>
      <c r="F121" s="607"/>
      <c r="G121" s="655"/>
      <c r="H121" s="654"/>
      <c r="I121" s="651"/>
      <c r="J121" s="651"/>
      <c r="K121" s="656"/>
      <c r="L121" s="654"/>
      <c r="M121" s="538"/>
      <c r="N121" s="654"/>
      <c r="O121" s="306"/>
    </row>
    <row r="122" spans="1:15" s="355" customFormat="1" ht="13.5">
      <c r="A122" s="151" t="s">
        <v>649</v>
      </c>
      <c r="B122" s="40" t="s">
        <v>650</v>
      </c>
      <c r="C122" s="497"/>
      <c r="D122" s="599" t="s">
        <v>715</v>
      </c>
      <c r="E122" s="726">
        <v>1</v>
      </c>
      <c r="F122" s="607"/>
      <c r="G122" s="655"/>
      <c r="H122" s="654"/>
      <c r="I122" s="651"/>
      <c r="J122" s="651"/>
      <c r="K122" s="656"/>
      <c r="L122" s="654" t="s">
        <v>111</v>
      </c>
      <c r="M122" s="538"/>
      <c r="N122" s="654"/>
      <c r="O122" s="306"/>
    </row>
    <row r="123" spans="1:15" s="355" customFormat="1" ht="13.5">
      <c r="A123" s="151" t="s">
        <v>649</v>
      </c>
      <c r="B123" s="40" t="s">
        <v>650</v>
      </c>
      <c r="C123" s="497"/>
      <c r="D123" s="599" t="s">
        <v>716</v>
      </c>
      <c r="E123" s="726">
        <v>1</v>
      </c>
      <c r="F123" s="607"/>
      <c r="G123" s="655"/>
      <c r="H123" s="654"/>
      <c r="I123" s="651"/>
      <c r="J123" s="651"/>
      <c r="K123" s="656"/>
      <c r="L123" s="654"/>
      <c r="M123" s="538"/>
      <c r="N123" s="654"/>
      <c r="O123" s="306"/>
    </row>
    <row r="124" spans="1:15" s="355" customFormat="1" ht="13.5">
      <c r="A124" s="151" t="s">
        <v>649</v>
      </c>
      <c r="B124" s="40" t="s">
        <v>650</v>
      </c>
      <c r="C124" s="497"/>
      <c r="D124" s="599" t="s">
        <v>717</v>
      </c>
      <c r="E124" s="726">
        <v>1</v>
      </c>
      <c r="F124" s="607"/>
      <c r="G124" s="655"/>
      <c r="H124" s="654"/>
      <c r="I124" s="657"/>
      <c r="J124" s="651"/>
      <c r="K124" s="656"/>
      <c r="L124" s="654"/>
      <c r="M124" s="538"/>
      <c r="N124" s="654"/>
      <c r="O124" s="306"/>
    </row>
    <row r="125" spans="1:15" s="355" customFormat="1" ht="13.5">
      <c r="A125" s="151" t="s">
        <v>649</v>
      </c>
      <c r="B125" s="40" t="s">
        <v>650</v>
      </c>
      <c r="C125" s="497"/>
      <c r="D125" s="599" t="s">
        <v>718</v>
      </c>
      <c r="E125" s="726">
        <v>1</v>
      </c>
      <c r="F125" s="607"/>
      <c r="G125" s="655"/>
      <c r="H125" s="654"/>
      <c r="I125" s="657"/>
      <c r="J125" s="651"/>
      <c r="K125" s="656"/>
      <c r="L125" s="654"/>
      <c r="M125" s="538"/>
      <c r="N125" s="654"/>
      <c r="O125" s="306"/>
    </row>
    <row r="126" spans="1:15" s="355" customFormat="1" ht="13.5">
      <c r="A126" s="151" t="s">
        <v>649</v>
      </c>
      <c r="B126" s="40" t="s">
        <v>650</v>
      </c>
      <c r="C126" s="497"/>
      <c r="D126" s="599" t="s">
        <v>719</v>
      </c>
      <c r="E126" s="726">
        <v>1</v>
      </c>
      <c r="F126" s="607"/>
      <c r="G126" s="655"/>
      <c r="H126" s="654"/>
      <c r="I126" s="657"/>
      <c r="J126" s="651"/>
      <c r="K126" s="656"/>
      <c r="L126" s="654"/>
      <c r="M126" s="538"/>
      <c r="N126" s="654"/>
      <c r="O126" s="306"/>
    </row>
    <row r="127" spans="1:15" s="355" customFormat="1" ht="13.5">
      <c r="A127" s="151" t="s">
        <v>649</v>
      </c>
      <c r="B127" s="40" t="s">
        <v>650</v>
      </c>
      <c r="C127" s="497"/>
      <c r="D127" s="599" t="s">
        <v>720</v>
      </c>
      <c r="E127" s="726">
        <v>1</v>
      </c>
      <c r="F127" s="607"/>
      <c r="G127" s="655"/>
      <c r="H127" s="654"/>
      <c r="I127" s="657"/>
      <c r="J127" s="651"/>
      <c r="K127" s="656"/>
      <c r="L127" s="654"/>
      <c r="M127" s="538"/>
      <c r="N127" s="654"/>
      <c r="O127" s="306"/>
    </row>
    <row r="128" spans="1:15" s="355" customFormat="1" ht="13.5">
      <c r="A128" s="151" t="s">
        <v>649</v>
      </c>
      <c r="B128" s="40" t="s">
        <v>650</v>
      </c>
      <c r="C128" s="497"/>
      <c r="D128" s="599" t="s">
        <v>721</v>
      </c>
      <c r="E128" s="726">
        <v>1</v>
      </c>
      <c r="F128" s="607"/>
      <c r="G128" s="655"/>
      <c r="H128" s="654"/>
      <c r="I128" s="657"/>
      <c r="J128" s="651"/>
      <c r="K128" s="656"/>
      <c r="L128" s="654"/>
      <c r="M128" s="538"/>
      <c r="N128" s="654"/>
      <c r="O128" s="306"/>
    </row>
    <row r="129" spans="1:15" s="355" customFormat="1" ht="13.5">
      <c r="A129" s="151" t="s">
        <v>649</v>
      </c>
      <c r="B129" s="40" t="s">
        <v>650</v>
      </c>
      <c r="C129" s="497"/>
      <c r="D129" s="599" t="s">
        <v>722</v>
      </c>
      <c r="E129" s="726">
        <v>1</v>
      </c>
      <c r="F129" s="607"/>
      <c r="G129" s="655"/>
      <c r="H129" s="654"/>
      <c r="I129" s="653"/>
      <c r="J129" s="653"/>
      <c r="K129" s="653"/>
      <c r="L129" s="658"/>
      <c r="M129" s="538"/>
      <c r="N129" s="654"/>
      <c r="O129" s="306"/>
    </row>
    <row r="130" spans="1:15" s="355" customFormat="1" ht="13.5">
      <c r="A130" s="151" t="s">
        <v>649</v>
      </c>
      <c r="B130" s="40" t="s">
        <v>650</v>
      </c>
      <c r="C130" s="497"/>
      <c r="D130" s="599" t="s">
        <v>723</v>
      </c>
      <c r="E130" s="726">
        <v>1</v>
      </c>
      <c r="F130" s="607"/>
      <c r="G130" s="655"/>
      <c r="H130" s="654"/>
      <c r="I130" s="653"/>
      <c r="J130" s="653"/>
      <c r="K130" s="653"/>
      <c r="L130" s="654"/>
      <c r="M130" s="538"/>
      <c r="N130" s="654"/>
      <c r="O130" s="306"/>
    </row>
    <row r="131" spans="1:15" s="355" customFormat="1" ht="13.5">
      <c r="A131" s="151" t="s">
        <v>649</v>
      </c>
      <c r="B131" s="40" t="s">
        <v>650</v>
      </c>
      <c r="C131" s="497"/>
      <c r="D131" s="599" t="s">
        <v>724</v>
      </c>
      <c r="E131" s="726">
        <v>1</v>
      </c>
      <c r="F131" s="607"/>
      <c r="G131" s="655"/>
      <c r="H131" s="654"/>
      <c r="I131" s="653"/>
      <c r="J131" s="653"/>
      <c r="K131" s="653"/>
      <c r="L131" s="654"/>
      <c r="M131" s="538"/>
      <c r="N131" s="654"/>
      <c r="O131" s="306"/>
    </row>
    <row r="132" spans="1:15" s="355" customFormat="1" ht="13.5">
      <c r="A132" s="151" t="s">
        <v>649</v>
      </c>
      <c r="B132" s="40" t="s">
        <v>650</v>
      </c>
      <c r="C132" s="497"/>
      <c r="D132" s="599" t="s">
        <v>725</v>
      </c>
      <c r="E132" s="726">
        <v>1</v>
      </c>
      <c r="F132" s="607"/>
      <c r="G132" s="655"/>
      <c r="H132" s="654"/>
      <c r="I132" s="651"/>
      <c r="J132" s="651"/>
      <c r="K132" s="656"/>
      <c r="L132" s="654"/>
      <c r="M132" s="538"/>
      <c r="N132" s="654"/>
      <c r="O132" s="306"/>
    </row>
    <row r="133" spans="1:15" s="355" customFormat="1" ht="13.5">
      <c r="A133" s="151" t="s">
        <v>649</v>
      </c>
      <c r="B133" s="40" t="s">
        <v>650</v>
      </c>
      <c r="C133" s="497"/>
      <c r="D133" s="599" t="s">
        <v>726</v>
      </c>
      <c r="E133" s="726">
        <v>1</v>
      </c>
      <c r="F133" s="607"/>
      <c r="G133" s="655"/>
      <c r="H133" s="654"/>
      <c r="I133" s="657"/>
      <c r="J133" s="651"/>
      <c r="K133" s="656"/>
      <c r="L133" s="654"/>
      <c r="M133" s="538"/>
      <c r="N133" s="654"/>
      <c r="O133" s="306"/>
    </row>
    <row r="134" spans="1:15" s="355" customFormat="1" ht="13.5">
      <c r="A134" s="151" t="s">
        <v>649</v>
      </c>
      <c r="B134" s="40" t="s">
        <v>650</v>
      </c>
      <c r="C134" s="497"/>
      <c r="D134" s="599" t="s">
        <v>727</v>
      </c>
      <c r="E134" s="726">
        <v>1</v>
      </c>
      <c r="F134" s="607"/>
      <c r="G134" s="655"/>
      <c r="H134" s="654"/>
      <c r="I134" s="657"/>
      <c r="J134" s="651"/>
      <c r="K134" s="656"/>
      <c r="L134" s="654"/>
      <c r="M134" s="538"/>
      <c r="N134" s="654"/>
      <c r="O134" s="306"/>
    </row>
    <row r="135" spans="1:15" s="355" customFormat="1" ht="13.5">
      <c r="A135" s="151" t="s">
        <v>649</v>
      </c>
      <c r="B135" s="40" t="s">
        <v>650</v>
      </c>
      <c r="C135" s="497"/>
      <c r="D135" s="599" t="s">
        <v>728</v>
      </c>
      <c r="E135" s="726">
        <v>1</v>
      </c>
      <c r="F135" s="607"/>
      <c r="G135" s="655"/>
      <c r="H135" s="654"/>
      <c r="I135" s="657"/>
      <c r="J135" s="651"/>
      <c r="K135" s="656"/>
      <c r="L135" s="654"/>
      <c r="M135" s="538"/>
      <c r="N135" s="654"/>
      <c r="O135" s="306"/>
    </row>
    <row r="136" spans="1:15" s="355" customFormat="1" ht="13.5">
      <c r="A136" s="151" t="s">
        <v>649</v>
      </c>
      <c r="B136" s="40" t="s">
        <v>650</v>
      </c>
      <c r="C136" s="497"/>
      <c r="D136" s="599" t="s">
        <v>729</v>
      </c>
      <c r="E136" s="726">
        <v>1</v>
      </c>
      <c r="F136" s="607"/>
      <c r="G136" s="655"/>
      <c r="H136" s="654"/>
      <c r="I136" s="651"/>
      <c r="J136" s="651"/>
      <c r="K136" s="651"/>
      <c r="L136" s="654"/>
      <c r="M136" s="538"/>
      <c r="N136" s="654" t="s">
        <v>111</v>
      </c>
      <c r="O136" s="306"/>
    </row>
    <row r="137" spans="1:15" s="355" customFormat="1" ht="13.5">
      <c r="A137" s="151" t="s">
        <v>649</v>
      </c>
      <c r="B137" s="40" t="s">
        <v>650</v>
      </c>
      <c r="C137" s="497"/>
      <c r="D137" s="599" t="s">
        <v>730</v>
      </c>
      <c r="E137" s="726">
        <v>1</v>
      </c>
      <c r="F137" s="607"/>
      <c r="G137" s="655"/>
      <c r="H137" s="654"/>
      <c r="I137" s="651"/>
      <c r="J137" s="651"/>
      <c r="K137" s="651"/>
      <c r="L137" s="654"/>
      <c r="M137" s="538"/>
      <c r="N137" s="654"/>
      <c r="O137" s="306"/>
    </row>
    <row r="138" spans="1:15" s="355" customFormat="1" ht="13.5">
      <c r="A138" s="151" t="s">
        <v>649</v>
      </c>
      <c r="B138" s="40" t="s">
        <v>650</v>
      </c>
      <c r="C138" s="497"/>
      <c r="D138" s="599" t="s">
        <v>731</v>
      </c>
      <c r="E138" s="496">
        <v>8</v>
      </c>
      <c r="F138" s="608"/>
      <c r="G138" s="655"/>
      <c r="H138" s="654"/>
      <c r="I138" s="651"/>
      <c r="J138" s="651"/>
      <c r="K138" s="651"/>
      <c r="L138" s="654"/>
      <c r="M138" s="538"/>
      <c r="N138" s="654"/>
      <c r="O138" s="306"/>
    </row>
    <row r="139" spans="1:15" s="355" customFormat="1" ht="13.5">
      <c r="A139" s="151" t="s">
        <v>649</v>
      </c>
      <c r="B139" s="40" t="s">
        <v>650</v>
      </c>
      <c r="C139" s="497"/>
      <c r="D139" s="599" t="s">
        <v>732</v>
      </c>
      <c r="E139" s="496">
        <v>8</v>
      </c>
      <c r="F139" s="608"/>
      <c r="G139" s="655"/>
      <c r="H139" s="654"/>
      <c r="I139" s="653"/>
      <c r="J139" s="653"/>
      <c r="K139" s="653"/>
      <c r="L139" s="654"/>
      <c r="M139" s="538"/>
      <c r="N139" s="654"/>
      <c r="O139" s="306"/>
    </row>
    <row r="140" spans="1:15" s="355" customFormat="1" ht="13.5">
      <c r="A140" s="151" t="s">
        <v>649</v>
      </c>
      <c r="B140" s="40" t="s">
        <v>650</v>
      </c>
      <c r="C140" s="497"/>
      <c r="D140" s="599" t="s">
        <v>733</v>
      </c>
      <c r="E140" s="496">
        <v>8</v>
      </c>
      <c r="F140" s="608"/>
      <c r="G140" s="655"/>
      <c r="H140" s="654"/>
      <c r="I140" s="651"/>
      <c r="J140" s="651"/>
      <c r="K140" s="656"/>
      <c r="L140" s="654"/>
      <c r="M140" s="538"/>
      <c r="N140" s="654"/>
      <c r="O140" s="306"/>
    </row>
    <row r="141" spans="1:15" s="355" customFormat="1" ht="13.5">
      <c r="A141" s="151" t="s">
        <v>649</v>
      </c>
      <c r="B141" s="40" t="s">
        <v>650</v>
      </c>
      <c r="C141" s="497"/>
      <c r="D141" s="599" t="s">
        <v>737</v>
      </c>
      <c r="E141" s="726">
        <v>1</v>
      </c>
      <c r="F141" s="607"/>
      <c r="G141" s="655"/>
      <c r="H141" s="654"/>
      <c r="I141" s="651"/>
      <c r="J141" s="651"/>
      <c r="K141" s="656"/>
      <c r="L141" s="654"/>
      <c r="M141" s="538"/>
      <c r="N141" s="654"/>
      <c r="O141" s="306"/>
    </row>
    <row r="142" spans="1:15" s="355" customFormat="1" ht="13.5">
      <c r="A142" s="151" t="s">
        <v>649</v>
      </c>
      <c r="B142" s="40" t="s">
        <v>650</v>
      </c>
      <c r="C142" s="497"/>
      <c r="D142" s="599" t="s">
        <v>738</v>
      </c>
      <c r="E142" s="726">
        <v>1</v>
      </c>
      <c r="F142" s="607"/>
      <c r="G142" s="655"/>
      <c r="H142" s="654"/>
      <c r="I142" s="651"/>
      <c r="J142" s="651"/>
      <c r="K142" s="656"/>
      <c r="L142" s="654"/>
      <c r="M142" s="538"/>
      <c r="N142" s="654"/>
      <c r="O142" s="306"/>
    </row>
    <row r="143" spans="1:15" s="355" customFormat="1" ht="13.5">
      <c r="A143" s="455"/>
      <c r="B143" s="455"/>
      <c r="C143" s="455"/>
      <c r="D143" s="455"/>
      <c r="E143" s="576"/>
      <c r="F143" s="455"/>
      <c r="G143" s="455"/>
      <c r="H143" s="455"/>
      <c r="I143" s="455"/>
      <c r="J143" s="455"/>
      <c r="K143" s="455"/>
      <c r="L143" s="455"/>
      <c r="M143" s="455"/>
      <c r="N143" s="455"/>
    </row>
    <row r="144" spans="1:15" s="355" customFormat="1" ht="13.5">
      <c r="A144" s="455"/>
      <c r="B144" s="455"/>
      <c r="C144" s="455"/>
      <c r="D144" s="455"/>
      <c r="E144" s="576"/>
      <c r="F144" s="455"/>
      <c r="G144" s="455"/>
      <c r="H144" s="455"/>
      <c r="I144" s="455"/>
      <c r="J144" s="455"/>
      <c r="K144" s="455"/>
      <c r="L144" s="455"/>
      <c r="M144" s="455"/>
      <c r="N144" s="455"/>
    </row>
    <row r="145" spans="1:14" s="355" customFormat="1" ht="13.5">
      <c r="A145" s="483"/>
      <c r="B145" s="483"/>
      <c r="C145" s="460"/>
      <c r="D145" s="460"/>
      <c r="E145" s="528"/>
      <c r="F145" s="460"/>
      <c r="G145" s="460"/>
      <c r="H145" s="460"/>
      <c r="I145" s="460"/>
      <c r="J145" s="460"/>
      <c r="K145" s="460"/>
      <c r="L145" s="460"/>
      <c r="M145" s="460"/>
      <c r="N145" s="460"/>
    </row>
    <row r="146" spans="1:14" s="355" customFormat="1" ht="13.5">
      <c r="A146" s="483"/>
      <c r="B146" s="483"/>
      <c r="C146" s="460"/>
      <c r="D146" s="460"/>
      <c r="E146" s="528"/>
      <c r="F146" s="460"/>
      <c r="G146" s="460"/>
      <c r="H146" s="460"/>
      <c r="I146" s="460"/>
      <c r="J146" s="460"/>
      <c r="K146" s="460"/>
      <c r="L146" s="460"/>
      <c r="M146" s="460"/>
      <c r="N146" s="460"/>
    </row>
    <row r="147" spans="1:14" s="355" customFormat="1" ht="54">
      <c r="A147" s="151" t="s">
        <v>649</v>
      </c>
      <c r="B147" s="40" t="s">
        <v>650</v>
      </c>
      <c r="C147" s="648" t="s">
        <v>1221</v>
      </c>
      <c r="D147" s="309" t="s">
        <v>2</v>
      </c>
      <c r="E147" s="560"/>
      <c r="F147" s="499" t="s">
        <v>700</v>
      </c>
      <c r="G147" s="497" t="s">
        <v>1</v>
      </c>
      <c r="H147" s="649" t="s">
        <v>701</v>
      </c>
      <c r="I147" s="649" t="s">
        <v>653</v>
      </c>
      <c r="J147" s="649" t="s">
        <v>702</v>
      </c>
      <c r="K147" s="499" t="s">
        <v>676</v>
      </c>
      <c r="L147" s="650">
        <v>125000</v>
      </c>
      <c r="M147" s="309" t="s">
        <v>659</v>
      </c>
      <c r="N147" s="499" t="s">
        <v>703</v>
      </c>
    </row>
    <row r="148" spans="1:14" s="355" customFormat="1" ht="13.5">
      <c r="A148" s="151" t="s">
        <v>649</v>
      </c>
      <c r="B148" s="40" t="s">
        <v>650</v>
      </c>
      <c r="C148" s="497" t="s">
        <v>704</v>
      </c>
      <c r="D148" s="599" t="s">
        <v>705</v>
      </c>
      <c r="E148" s="726">
        <v>1</v>
      </c>
      <c r="F148" s="651">
        <v>35000</v>
      </c>
      <c r="G148" s="497"/>
      <c r="H148" s="652"/>
      <c r="I148" s="497"/>
      <c r="J148" s="653"/>
      <c r="K148" s="502"/>
      <c r="L148" s="538"/>
      <c r="M148" s="392"/>
      <c r="N148" s="502"/>
    </row>
    <row r="149" spans="1:14" s="355" customFormat="1" ht="27">
      <c r="A149" s="151" t="s">
        <v>649</v>
      </c>
      <c r="B149" s="40" t="s">
        <v>650</v>
      </c>
      <c r="C149" s="497"/>
      <c r="D149" s="597" t="s">
        <v>706</v>
      </c>
      <c r="E149" s="726"/>
      <c r="F149" s="654"/>
      <c r="G149" s="502"/>
      <c r="H149" s="652"/>
      <c r="I149" s="497"/>
      <c r="J149" s="653"/>
      <c r="K149" s="502"/>
      <c r="L149" s="538"/>
      <c r="M149" s="392"/>
      <c r="N149" s="502"/>
    </row>
    <row r="150" spans="1:14" s="355" customFormat="1" ht="13.5">
      <c r="A150" s="151" t="s">
        <v>649</v>
      </c>
      <c r="B150" s="40" t="s">
        <v>650</v>
      </c>
      <c r="C150" s="497"/>
      <c r="D150" s="599" t="s">
        <v>707</v>
      </c>
      <c r="E150" s="726">
        <v>1</v>
      </c>
      <c r="F150" s="654">
        <v>15000</v>
      </c>
      <c r="G150" s="502"/>
      <c r="H150" s="652"/>
      <c r="I150" s="497"/>
      <c r="J150" s="653"/>
      <c r="K150" s="502"/>
      <c r="L150" s="538"/>
      <c r="M150" s="392"/>
      <c r="N150" s="502"/>
    </row>
    <row r="151" spans="1:14" s="355" customFormat="1" ht="54">
      <c r="A151" s="151" t="s">
        <v>649</v>
      </c>
      <c r="B151" s="40" t="s">
        <v>650</v>
      </c>
      <c r="C151" s="497"/>
      <c r="D151" s="598" t="s">
        <v>708</v>
      </c>
      <c r="E151" s="726"/>
      <c r="F151" s="654"/>
      <c r="G151" s="502"/>
      <c r="H151" s="652"/>
      <c r="I151" s="497"/>
      <c r="J151" s="653"/>
      <c r="K151" s="502"/>
      <c r="L151" s="538"/>
      <c r="M151" s="392"/>
      <c r="N151" s="502"/>
    </row>
    <row r="152" spans="1:14" s="355" customFormat="1" ht="13.5">
      <c r="A152" s="151" t="s">
        <v>649</v>
      </c>
      <c r="B152" s="40" t="s">
        <v>650</v>
      </c>
      <c r="C152" s="497"/>
      <c r="D152" s="599" t="s">
        <v>709</v>
      </c>
      <c r="E152" s="726">
        <v>3</v>
      </c>
      <c r="F152" s="654">
        <v>18000</v>
      </c>
      <c r="G152" s="502"/>
      <c r="H152" s="652"/>
      <c r="I152" s="497"/>
      <c r="J152" s="653"/>
      <c r="K152" s="502"/>
      <c r="L152" s="538"/>
      <c r="M152" s="392"/>
      <c r="N152" s="502"/>
    </row>
    <row r="153" spans="1:14" s="355" customFormat="1" ht="94.5">
      <c r="A153" s="151" t="s">
        <v>649</v>
      </c>
      <c r="B153" s="40" t="s">
        <v>650</v>
      </c>
      <c r="C153" s="497"/>
      <c r="D153" s="598" t="s">
        <v>710</v>
      </c>
      <c r="E153" s="726"/>
      <c r="F153" s="654"/>
      <c r="G153" s="502"/>
      <c r="H153" s="652"/>
      <c r="I153" s="497"/>
      <c r="J153" s="653"/>
      <c r="K153" s="502"/>
      <c r="L153" s="538"/>
      <c r="M153" s="392"/>
      <c r="N153" s="502"/>
    </row>
    <row r="154" spans="1:14" s="355" customFormat="1" ht="13.5">
      <c r="A154" s="151" t="s">
        <v>649</v>
      </c>
      <c r="B154" s="40" t="s">
        <v>650</v>
      </c>
      <c r="C154" s="497"/>
      <c r="D154" s="599" t="s">
        <v>711</v>
      </c>
      <c r="E154" s="726">
        <v>1</v>
      </c>
      <c r="F154" s="655">
        <v>580</v>
      </c>
      <c r="G154" s="502"/>
      <c r="H154" s="652"/>
      <c r="I154" s="497"/>
      <c r="J154" s="653"/>
      <c r="K154" s="502"/>
      <c r="L154" s="538"/>
      <c r="M154" s="392"/>
      <c r="N154" s="502"/>
    </row>
    <row r="155" spans="1:14" s="355" customFormat="1" ht="13.5">
      <c r="A155" s="151" t="s">
        <v>649</v>
      </c>
      <c r="B155" s="40" t="s">
        <v>650</v>
      </c>
      <c r="C155" s="502"/>
      <c r="D155" s="599" t="s">
        <v>712</v>
      </c>
      <c r="E155" s="726">
        <v>1</v>
      </c>
      <c r="F155" s="655">
        <v>580</v>
      </c>
      <c r="G155" s="502"/>
      <c r="H155" s="652"/>
      <c r="I155" s="497"/>
      <c r="J155" s="653"/>
      <c r="K155" s="502"/>
      <c r="L155" s="538"/>
      <c r="M155" s="392"/>
      <c r="N155" s="502"/>
    </row>
    <row r="156" spans="1:14" s="355" customFormat="1" ht="13.5">
      <c r="A156" s="151" t="s">
        <v>649</v>
      </c>
      <c r="B156" s="40" t="s">
        <v>650</v>
      </c>
      <c r="C156" s="502"/>
      <c r="D156" s="599" t="s">
        <v>713</v>
      </c>
      <c r="E156" s="726">
        <v>1</v>
      </c>
      <c r="F156" s="655">
        <v>580</v>
      </c>
      <c r="G156" s="502"/>
      <c r="H156" s="652"/>
      <c r="I156" s="497"/>
      <c r="J156" s="653"/>
      <c r="K156" s="502"/>
      <c r="L156" s="538"/>
      <c r="M156" s="392"/>
      <c r="N156" s="502"/>
    </row>
    <row r="157" spans="1:14" s="355" customFormat="1" ht="13.5">
      <c r="A157" s="151" t="s">
        <v>649</v>
      </c>
      <c r="B157" s="40" t="s">
        <v>650</v>
      </c>
      <c r="C157" s="654"/>
      <c r="D157" s="599" t="s">
        <v>714</v>
      </c>
      <c r="E157" s="726">
        <v>1</v>
      </c>
      <c r="F157" s="655">
        <v>580</v>
      </c>
      <c r="G157" s="654"/>
      <c r="H157" s="651"/>
      <c r="I157" s="651"/>
      <c r="J157" s="656"/>
      <c r="K157" s="654"/>
      <c r="L157" s="538"/>
      <c r="M157" s="654"/>
      <c r="N157" s="654"/>
    </row>
    <row r="158" spans="1:14" s="355" customFormat="1" ht="13.5">
      <c r="A158" s="151" t="s">
        <v>649</v>
      </c>
      <c r="B158" s="40" t="s">
        <v>650</v>
      </c>
      <c r="C158" s="654"/>
      <c r="D158" s="599" t="s">
        <v>715</v>
      </c>
      <c r="E158" s="726">
        <v>1</v>
      </c>
      <c r="F158" s="655">
        <v>720</v>
      </c>
      <c r="G158" s="654"/>
      <c r="H158" s="651"/>
      <c r="I158" s="651"/>
      <c r="J158" s="656"/>
      <c r="K158" s="654" t="s">
        <v>111</v>
      </c>
      <c r="L158" s="538"/>
      <c r="M158" s="654"/>
      <c r="N158" s="654"/>
    </row>
    <row r="159" spans="1:14" s="355" customFormat="1" ht="13.5">
      <c r="A159" s="151" t="s">
        <v>649</v>
      </c>
      <c r="B159" s="40" t="s">
        <v>650</v>
      </c>
      <c r="C159" s="654"/>
      <c r="D159" s="599" t="s">
        <v>716</v>
      </c>
      <c r="E159" s="726">
        <v>1</v>
      </c>
      <c r="F159" s="655">
        <v>550</v>
      </c>
      <c r="G159" s="654"/>
      <c r="H159" s="651"/>
      <c r="I159" s="651"/>
      <c r="J159" s="656"/>
      <c r="K159" s="654"/>
      <c r="L159" s="538"/>
      <c r="M159" s="654"/>
      <c r="N159" s="654"/>
    </row>
    <row r="160" spans="1:14" s="355" customFormat="1" ht="13.5">
      <c r="A160" s="151" t="s">
        <v>649</v>
      </c>
      <c r="B160" s="40" t="s">
        <v>650</v>
      </c>
      <c r="C160" s="654"/>
      <c r="D160" s="599" t="s">
        <v>717</v>
      </c>
      <c r="E160" s="726">
        <v>1</v>
      </c>
      <c r="F160" s="655">
        <v>550</v>
      </c>
      <c r="G160" s="654"/>
      <c r="H160" s="657"/>
      <c r="I160" s="651"/>
      <c r="J160" s="656"/>
      <c r="K160" s="654"/>
      <c r="L160" s="538"/>
      <c r="M160" s="654"/>
      <c r="N160" s="654"/>
    </row>
    <row r="161" spans="1:14" s="355" customFormat="1" ht="13.5">
      <c r="A161" s="151" t="s">
        <v>649</v>
      </c>
      <c r="B161" s="40" t="s">
        <v>650</v>
      </c>
      <c r="C161" s="654"/>
      <c r="D161" s="599" t="s">
        <v>718</v>
      </c>
      <c r="E161" s="726">
        <v>1</v>
      </c>
      <c r="F161" s="655">
        <v>550</v>
      </c>
      <c r="G161" s="654"/>
      <c r="H161" s="657"/>
      <c r="I161" s="651"/>
      <c r="J161" s="656"/>
      <c r="K161" s="654"/>
      <c r="L161" s="538"/>
      <c r="M161" s="654"/>
      <c r="N161" s="654"/>
    </row>
    <row r="162" spans="1:14" s="355" customFormat="1" ht="13.5">
      <c r="A162" s="151" t="s">
        <v>649</v>
      </c>
      <c r="B162" s="40" t="s">
        <v>650</v>
      </c>
      <c r="C162" s="654"/>
      <c r="D162" s="599" t="s">
        <v>719</v>
      </c>
      <c r="E162" s="726">
        <v>1</v>
      </c>
      <c r="F162" s="655">
        <v>440</v>
      </c>
      <c r="G162" s="654"/>
      <c r="H162" s="657"/>
      <c r="I162" s="651"/>
      <c r="J162" s="656"/>
      <c r="K162" s="654"/>
      <c r="L162" s="538"/>
      <c r="M162" s="654"/>
      <c r="N162" s="654"/>
    </row>
    <row r="163" spans="1:14" s="355" customFormat="1" ht="13.5">
      <c r="A163" s="151" t="s">
        <v>649</v>
      </c>
      <c r="B163" s="40" t="s">
        <v>650</v>
      </c>
      <c r="C163" s="654"/>
      <c r="D163" s="599" t="s">
        <v>720</v>
      </c>
      <c r="E163" s="726">
        <v>1</v>
      </c>
      <c r="F163" s="655">
        <v>440</v>
      </c>
      <c r="G163" s="654"/>
      <c r="H163" s="657"/>
      <c r="I163" s="651"/>
      <c r="J163" s="656"/>
      <c r="K163" s="654"/>
      <c r="L163" s="538"/>
      <c r="M163" s="654"/>
      <c r="N163" s="654"/>
    </row>
    <row r="164" spans="1:14" s="355" customFormat="1" ht="13.5">
      <c r="A164" s="151" t="s">
        <v>649</v>
      </c>
      <c r="B164" s="40" t="s">
        <v>650</v>
      </c>
      <c r="C164" s="654"/>
      <c r="D164" s="599" t="s">
        <v>721</v>
      </c>
      <c r="E164" s="726">
        <v>1</v>
      </c>
      <c r="F164" s="655">
        <v>440</v>
      </c>
      <c r="G164" s="654"/>
      <c r="H164" s="657"/>
      <c r="I164" s="651"/>
      <c r="J164" s="656"/>
      <c r="K164" s="654"/>
      <c r="L164" s="538"/>
      <c r="M164" s="654"/>
      <c r="N164" s="654"/>
    </row>
    <row r="165" spans="1:14" s="355" customFormat="1" ht="13.5">
      <c r="A165" s="151" t="s">
        <v>649</v>
      </c>
      <c r="B165" s="40" t="s">
        <v>650</v>
      </c>
      <c r="C165" s="654"/>
      <c r="D165" s="599" t="s">
        <v>722</v>
      </c>
      <c r="E165" s="726">
        <v>1</v>
      </c>
      <c r="F165" s="655">
        <v>440</v>
      </c>
      <c r="G165" s="654"/>
      <c r="H165" s="653"/>
      <c r="I165" s="653"/>
      <c r="J165" s="653"/>
      <c r="K165" s="659"/>
      <c r="L165" s="538"/>
      <c r="M165" s="654"/>
      <c r="N165" s="654"/>
    </row>
    <row r="166" spans="1:14" s="355" customFormat="1" ht="13.5">
      <c r="A166" s="151" t="s">
        <v>649</v>
      </c>
      <c r="B166" s="40" t="s">
        <v>650</v>
      </c>
      <c r="C166" s="654"/>
      <c r="D166" s="599" t="s">
        <v>723</v>
      </c>
      <c r="E166" s="726">
        <v>1</v>
      </c>
      <c r="F166" s="655">
        <v>1200</v>
      </c>
      <c r="G166" s="654"/>
      <c r="H166" s="653"/>
      <c r="I166" s="653"/>
      <c r="J166" s="653"/>
      <c r="K166" s="654"/>
      <c r="L166" s="538"/>
      <c r="M166" s="654"/>
      <c r="N166" s="654"/>
    </row>
    <row r="167" spans="1:14" s="355" customFormat="1" ht="13.5">
      <c r="A167" s="151" t="s">
        <v>649</v>
      </c>
      <c r="B167" s="40" t="s">
        <v>650</v>
      </c>
      <c r="C167" s="654"/>
      <c r="D167" s="599" t="s">
        <v>724</v>
      </c>
      <c r="E167" s="726">
        <v>1</v>
      </c>
      <c r="F167" s="655">
        <v>1000</v>
      </c>
      <c r="G167" s="654"/>
      <c r="H167" s="653"/>
      <c r="I167" s="653"/>
      <c r="J167" s="653"/>
      <c r="K167" s="654"/>
      <c r="L167" s="538"/>
      <c r="M167" s="654"/>
      <c r="N167" s="654"/>
    </row>
    <row r="168" spans="1:14" s="355" customFormat="1" ht="13.5">
      <c r="A168" s="151" t="s">
        <v>649</v>
      </c>
      <c r="B168" s="40" t="s">
        <v>650</v>
      </c>
      <c r="C168" s="654"/>
      <c r="D168" s="599" t="s">
        <v>725</v>
      </c>
      <c r="E168" s="726">
        <v>1</v>
      </c>
      <c r="F168" s="655">
        <v>1000</v>
      </c>
      <c r="G168" s="654"/>
      <c r="H168" s="651"/>
      <c r="I168" s="651"/>
      <c r="J168" s="656"/>
      <c r="K168" s="654"/>
      <c r="L168" s="538"/>
      <c r="M168" s="654"/>
      <c r="N168" s="654"/>
    </row>
    <row r="169" spans="1:14" s="355" customFormat="1" ht="13.5">
      <c r="A169" s="151" t="s">
        <v>649</v>
      </c>
      <c r="B169" s="40" t="s">
        <v>650</v>
      </c>
      <c r="C169" s="654"/>
      <c r="D169" s="599" t="s">
        <v>726</v>
      </c>
      <c r="E169" s="726">
        <v>1</v>
      </c>
      <c r="F169" s="655">
        <v>1000</v>
      </c>
      <c r="G169" s="654"/>
      <c r="H169" s="657"/>
      <c r="I169" s="651"/>
      <c r="J169" s="656"/>
      <c r="K169" s="654"/>
      <c r="L169" s="538"/>
      <c r="M169" s="654"/>
      <c r="N169" s="654"/>
    </row>
    <row r="170" spans="1:14" s="355" customFormat="1" ht="13.5">
      <c r="A170" s="151" t="s">
        <v>649</v>
      </c>
      <c r="B170" s="40" t="s">
        <v>650</v>
      </c>
      <c r="C170" s="654"/>
      <c r="D170" s="599" t="s">
        <v>727</v>
      </c>
      <c r="E170" s="726">
        <v>1</v>
      </c>
      <c r="F170" s="655">
        <v>420</v>
      </c>
      <c r="G170" s="654"/>
      <c r="H170" s="657"/>
      <c r="I170" s="651"/>
      <c r="J170" s="656"/>
      <c r="K170" s="654"/>
      <c r="L170" s="538"/>
      <c r="M170" s="654"/>
      <c r="N170" s="654"/>
    </row>
    <row r="171" spans="1:14" s="355" customFormat="1" ht="13.5">
      <c r="A171" s="151" t="s">
        <v>649</v>
      </c>
      <c r="B171" s="40" t="s">
        <v>650</v>
      </c>
      <c r="C171" s="654"/>
      <c r="D171" s="599" t="s">
        <v>728</v>
      </c>
      <c r="E171" s="726">
        <v>1</v>
      </c>
      <c r="F171" s="655">
        <v>420</v>
      </c>
      <c r="G171" s="654"/>
      <c r="H171" s="657"/>
      <c r="I171" s="651"/>
      <c r="J171" s="656"/>
      <c r="K171" s="654"/>
      <c r="L171" s="538"/>
      <c r="M171" s="654"/>
      <c r="N171" s="654"/>
    </row>
    <row r="172" spans="1:14" s="355" customFormat="1" ht="13.5">
      <c r="A172" s="151" t="s">
        <v>649</v>
      </c>
      <c r="B172" s="40" t="s">
        <v>650</v>
      </c>
      <c r="C172" s="654"/>
      <c r="D172" s="599" t="s">
        <v>729</v>
      </c>
      <c r="E172" s="726">
        <v>1</v>
      </c>
      <c r="F172" s="655">
        <v>420</v>
      </c>
      <c r="G172" s="654"/>
      <c r="H172" s="651"/>
      <c r="I172" s="651"/>
      <c r="J172" s="651"/>
      <c r="K172" s="654"/>
      <c r="L172" s="538"/>
      <c r="M172" s="654" t="s">
        <v>111</v>
      </c>
      <c r="N172" s="654"/>
    </row>
    <row r="173" spans="1:14" s="355" customFormat="1" ht="13.5">
      <c r="A173" s="151" t="s">
        <v>649</v>
      </c>
      <c r="B173" s="40" t="s">
        <v>650</v>
      </c>
      <c r="C173" s="654"/>
      <c r="D173" s="599" t="s">
        <v>730</v>
      </c>
      <c r="E173" s="726">
        <v>1</v>
      </c>
      <c r="F173" s="655">
        <v>420</v>
      </c>
      <c r="G173" s="654"/>
      <c r="H173" s="651"/>
      <c r="I173" s="651"/>
      <c r="J173" s="651"/>
      <c r="K173" s="654"/>
      <c r="L173" s="538"/>
      <c r="M173" s="654"/>
      <c r="N173" s="654"/>
    </row>
    <row r="174" spans="1:14" s="355" customFormat="1" ht="13.5">
      <c r="A174" s="151" t="s">
        <v>649</v>
      </c>
      <c r="B174" s="40" t="s">
        <v>650</v>
      </c>
      <c r="C174" s="654"/>
      <c r="D174" s="599" t="s">
        <v>731</v>
      </c>
      <c r="E174" s="496">
        <v>6</v>
      </c>
      <c r="F174" s="655">
        <v>400</v>
      </c>
      <c r="G174" s="654"/>
      <c r="H174" s="651"/>
      <c r="I174" s="651"/>
      <c r="J174" s="651"/>
      <c r="K174" s="654"/>
      <c r="L174" s="538"/>
      <c r="M174" s="654"/>
      <c r="N174" s="654"/>
    </row>
    <row r="175" spans="1:14" s="355" customFormat="1" ht="13.5">
      <c r="A175" s="151" t="s">
        <v>649</v>
      </c>
      <c r="B175" s="40" t="s">
        <v>650</v>
      </c>
      <c r="C175" s="654"/>
      <c r="D175" s="599" t="s">
        <v>732</v>
      </c>
      <c r="E175" s="496">
        <v>7</v>
      </c>
      <c r="F175" s="655">
        <v>400</v>
      </c>
      <c r="G175" s="654"/>
      <c r="H175" s="653"/>
      <c r="I175" s="653"/>
      <c r="J175" s="653"/>
      <c r="K175" s="654"/>
      <c r="L175" s="538"/>
      <c r="M175" s="654"/>
      <c r="N175" s="654"/>
    </row>
    <row r="176" spans="1:14" s="355" customFormat="1" ht="13.5">
      <c r="A176" s="151" t="s">
        <v>649</v>
      </c>
      <c r="B176" s="40" t="s">
        <v>650</v>
      </c>
      <c r="C176" s="654"/>
      <c r="D176" s="599" t="s">
        <v>733</v>
      </c>
      <c r="E176" s="496">
        <v>8</v>
      </c>
      <c r="F176" s="655">
        <v>400</v>
      </c>
      <c r="G176" s="654"/>
      <c r="H176" s="651"/>
      <c r="I176" s="651"/>
      <c r="J176" s="656"/>
      <c r="K176" s="654"/>
      <c r="L176" s="538"/>
      <c r="M176" s="654"/>
      <c r="N176" s="654"/>
    </row>
    <row r="177" spans="1:19" s="355" customFormat="1" ht="13.5">
      <c r="A177" s="483"/>
      <c r="B177" s="483"/>
      <c r="C177" s="460"/>
      <c r="D177" s="460"/>
      <c r="E177" s="528"/>
      <c r="F177" s="460"/>
      <c r="G177" s="460"/>
      <c r="H177" s="460"/>
      <c r="I177" s="460"/>
      <c r="J177" s="460"/>
      <c r="K177" s="460"/>
      <c r="L177" s="460"/>
      <c r="M177" s="460"/>
      <c r="N177" s="460"/>
    </row>
    <row r="178" spans="1:19" s="355" customFormat="1" ht="13.5">
      <c r="A178" s="455"/>
      <c r="B178" s="455"/>
      <c r="C178" s="455"/>
      <c r="D178" s="455"/>
      <c r="E178" s="576"/>
      <c r="F178" s="455"/>
      <c r="G178" s="455"/>
      <c r="H178" s="455"/>
      <c r="I178" s="455"/>
      <c r="J178" s="455"/>
      <c r="K178" s="455"/>
      <c r="L178" s="455"/>
      <c r="M178" s="455"/>
      <c r="N178" s="455"/>
    </row>
    <row r="179" spans="1:19" s="355" customFormat="1" ht="54">
      <c r="A179" s="296" t="s">
        <v>1023</v>
      </c>
      <c r="B179" s="297" t="s">
        <v>1024</v>
      </c>
      <c r="C179" s="648" t="s">
        <v>753</v>
      </c>
      <c r="D179" s="309" t="s">
        <v>2</v>
      </c>
      <c r="E179" s="560"/>
      <c r="F179" s="499" t="s">
        <v>674</v>
      </c>
      <c r="G179" s="497" t="s">
        <v>1</v>
      </c>
      <c r="H179" s="660" t="s">
        <v>675</v>
      </c>
      <c r="I179" s="660" t="s">
        <v>599</v>
      </c>
      <c r="J179" s="660" t="s">
        <v>599</v>
      </c>
      <c r="K179" s="499" t="s">
        <v>98</v>
      </c>
      <c r="L179" s="455"/>
      <c r="M179" s="309" t="s">
        <v>659</v>
      </c>
      <c r="N179" s="499" t="s">
        <v>703</v>
      </c>
      <c r="S179" s="411">
        <v>120697.5</v>
      </c>
    </row>
    <row r="180" spans="1:19" s="355" customFormat="1" ht="13.5">
      <c r="A180" s="296" t="s">
        <v>1023</v>
      </c>
      <c r="B180" s="297" t="s">
        <v>1024</v>
      </c>
      <c r="C180" s="497" t="s">
        <v>735</v>
      </c>
      <c r="D180" s="661" t="s">
        <v>989</v>
      </c>
      <c r="E180" s="662" t="s">
        <v>1062</v>
      </c>
      <c r="F180" s="499" t="s">
        <v>674</v>
      </c>
      <c r="G180" s="497" t="s">
        <v>1</v>
      </c>
      <c r="H180" s="663" t="s">
        <v>990</v>
      </c>
      <c r="I180" s="663" t="s">
        <v>991</v>
      </c>
      <c r="J180" s="663" t="s">
        <v>991</v>
      </c>
      <c r="K180" s="499" t="s">
        <v>98</v>
      </c>
      <c r="L180" s="664">
        <v>4500</v>
      </c>
      <c r="M180" s="392"/>
      <c r="N180" s="502"/>
    </row>
    <row r="181" spans="1:19" s="355" customFormat="1" ht="13.5">
      <c r="A181" s="296" t="s">
        <v>1023</v>
      </c>
      <c r="B181" s="297" t="s">
        <v>1024</v>
      </c>
      <c r="C181" s="497"/>
      <c r="D181" s="661" t="s">
        <v>992</v>
      </c>
      <c r="E181" s="662" t="s">
        <v>1063</v>
      </c>
      <c r="F181" s="499" t="s">
        <v>674</v>
      </c>
      <c r="G181" s="497" t="s">
        <v>1</v>
      </c>
      <c r="H181" s="663" t="s">
        <v>990</v>
      </c>
      <c r="I181" s="663" t="s">
        <v>991</v>
      </c>
      <c r="J181" s="663" t="s">
        <v>991</v>
      </c>
      <c r="K181" s="499" t="s">
        <v>98</v>
      </c>
      <c r="L181" s="664">
        <v>4320</v>
      </c>
      <c r="M181" s="392"/>
      <c r="N181" s="502"/>
    </row>
    <row r="182" spans="1:19" s="355" customFormat="1" ht="13.5">
      <c r="A182" s="296" t="s">
        <v>1023</v>
      </c>
      <c r="B182" s="297" t="s">
        <v>1024</v>
      </c>
      <c r="C182" s="502"/>
      <c r="D182" s="661" t="s">
        <v>993</v>
      </c>
      <c r="E182" s="662" t="s">
        <v>516</v>
      </c>
      <c r="F182" s="499" t="s">
        <v>674</v>
      </c>
      <c r="G182" s="497" t="s">
        <v>1</v>
      </c>
      <c r="H182" s="663" t="s">
        <v>990</v>
      </c>
      <c r="I182" s="663" t="s">
        <v>991</v>
      </c>
      <c r="J182" s="663" t="s">
        <v>991</v>
      </c>
      <c r="K182" s="499" t="s">
        <v>98</v>
      </c>
      <c r="L182" s="664">
        <v>525</v>
      </c>
      <c r="M182" s="392"/>
      <c r="N182" s="502"/>
    </row>
    <row r="183" spans="1:19" s="355" customFormat="1" ht="13.5">
      <c r="A183" s="296" t="s">
        <v>1023</v>
      </c>
      <c r="B183" s="297" t="s">
        <v>1024</v>
      </c>
      <c r="C183" s="654"/>
      <c r="D183" s="661" t="s">
        <v>994</v>
      </c>
      <c r="E183" s="662" t="s">
        <v>1064</v>
      </c>
      <c r="F183" s="499" t="s">
        <v>674</v>
      </c>
      <c r="G183" s="497" t="s">
        <v>1</v>
      </c>
      <c r="H183" s="663" t="s">
        <v>990</v>
      </c>
      <c r="I183" s="663" t="s">
        <v>991</v>
      </c>
      <c r="J183" s="663" t="s">
        <v>991</v>
      </c>
      <c r="K183" s="499" t="s">
        <v>98</v>
      </c>
      <c r="L183" s="664">
        <v>3250</v>
      </c>
      <c r="M183" s="654"/>
      <c r="N183" s="654"/>
    </row>
    <row r="184" spans="1:19" s="355" customFormat="1" ht="13.5">
      <c r="A184" s="296" t="s">
        <v>1023</v>
      </c>
      <c r="B184" s="297" t="s">
        <v>1024</v>
      </c>
      <c r="C184" s="654"/>
      <c r="D184" s="661" t="s">
        <v>732</v>
      </c>
      <c r="E184" s="662" t="s">
        <v>1065</v>
      </c>
      <c r="F184" s="499" t="s">
        <v>674</v>
      </c>
      <c r="G184" s="497" t="s">
        <v>1</v>
      </c>
      <c r="H184" s="663" t="s">
        <v>990</v>
      </c>
      <c r="I184" s="663" t="s">
        <v>991</v>
      </c>
      <c r="J184" s="663" t="s">
        <v>991</v>
      </c>
      <c r="K184" s="499" t="s">
        <v>98</v>
      </c>
      <c r="L184" s="664">
        <v>11200</v>
      </c>
      <c r="M184" s="654"/>
      <c r="N184" s="654"/>
    </row>
    <row r="185" spans="1:19" s="355" customFormat="1" ht="13.5">
      <c r="A185" s="296" t="s">
        <v>1023</v>
      </c>
      <c r="B185" s="297" t="s">
        <v>1024</v>
      </c>
      <c r="C185" s="654"/>
      <c r="D185" s="661" t="s">
        <v>733</v>
      </c>
      <c r="E185" s="662" t="s">
        <v>1065</v>
      </c>
      <c r="F185" s="499" t="s">
        <v>674</v>
      </c>
      <c r="G185" s="497" t="s">
        <v>1</v>
      </c>
      <c r="H185" s="663" t="s">
        <v>990</v>
      </c>
      <c r="I185" s="663" t="s">
        <v>991</v>
      </c>
      <c r="J185" s="663" t="s">
        <v>991</v>
      </c>
      <c r="K185" s="499" t="s">
        <v>98</v>
      </c>
      <c r="L185" s="664">
        <v>11600</v>
      </c>
      <c r="M185" s="654"/>
      <c r="N185" s="654"/>
    </row>
    <row r="186" spans="1:19" s="355" customFormat="1" ht="13.5">
      <c r="A186" s="296" t="s">
        <v>1023</v>
      </c>
      <c r="B186" s="297" t="s">
        <v>1024</v>
      </c>
      <c r="C186" s="654"/>
      <c r="D186" s="661" t="s">
        <v>995</v>
      </c>
      <c r="E186" s="662" t="s">
        <v>1065</v>
      </c>
      <c r="F186" s="499" t="s">
        <v>674</v>
      </c>
      <c r="G186" s="497" t="s">
        <v>1</v>
      </c>
      <c r="H186" s="663" t="s">
        <v>990</v>
      </c>
      <c r="I186" s="663" t="s">
        <v>991</v>
      </c>
      <c r="J186" s="663" t="s">
        <v>991</v>
      </c>
      <c r="K186" s="499" t="s">
        <v>98</v>
      </c>
      <c r="L186" s="664">
        <v>10800</v>
      </c>
      <c r="M186" s="654"/>
      <c r="N186" s="654"/>
    </row>
    <row r="187" spans="1:19" s="355" customFormat="1" ht="27">
      <c r="A187" s="296" t="s">
        <v>1023</v>
      </c>
      <c r="B187" s="297" t="s">
        <v>1024</v>
      </c>
      <c r="C187" s="654"/>
      <c r="D187" s="661" t="s">
        <v>996</v>
      </c>
      <c r="E187" s="662" t="s">
        <v>1066</v>
      </c>
      <c r="F187" s="499" t="s">
        <v>674</v>
      </c>
      <c r="G187" s="497" t="s">
        <v>1</v>
      </c>
      <c r="H187" s="663" t="s">
        <v>990</v>
      </c>
      <c r="I187" s="663" t="s">
        <v>991</v>
      </c>
      <c r="J187" s="663" t="s">
        <v>991</v>
      </c>
      <c r="K187" s="499" t="s">
        <v>98</v>
      </c>
      <c r="L187" s="664">
        <v>14500</v>
      </c>
      <c r="M187" s="654"/>
      <c r="N187" s="654"/>
    </row>
    <row r="188" spans="1:19" s="355" customFormat="1" ht="13.5">
      <c r="A188" s="296" t="s">
        <v>1023</v>
      </c>
      <c r="B188" s="297" t="s">
        <v>1024</v>
      </c>
      <c r="C188" s="654"/>
      <c r="D188" s="661" t="s">
        <v>997</v>
      </c>
      <c r="E188" s="662" t="s">
        <v>189</v>
      </c>
      <c r="F188" s="499" t="s">
        <v>674</v>
      </c>
      <c r="G188" s="497" t="s">
        <v>1</v>
      </c>
      <c r="H188" s="663" t="s">
        <v>990</v>
      </c>
      <c r="I188" s="663" t="s">
        <v>991</v>
      </c>
      <c r="J188" s="663" t="s">
        <v>991</v>
      </c>
      <c r="K188" s="499" t="s">
        <v>98</v>
      </c>
      <c r="L188" s="664">
        <v>1040</v>
      </c>
      <c r="M188" s="654"/>
      <c r="N188" s="654"/>
    </row>
    <row r="189" spans="1:19" s="355" customFormat="1" ht="13.5">
      <c r="A189" s="296" t="s">
        <v>1023</v>
      </c>
      <c r="B189" s="297" t="s">
        <v>1024</v>
      </c>
      <c r="C189" s="654"/>
      <c r="D189" s="661" t="s">
        <v>998</v>
      </c>
      <c r="E189" s="662" t="s">
        <v>1067</v>
      </c>
      <c r="F189" s="499" t="s">
        <v>674</v>
      </c>
      <c r="G189" s="497" t="s">
        <v>1</v>
      </c>
      <c r="H189" s="663" t="s">
        <v>990</v>
      </c>
      <c r="I189" s="663" t="s">
        <v>991</v>
      </c>
      <c r="J189" s="663" t="s">
        <v>991</v>
      </c>
      <c r="K189" s="499" t="s">
        <v>98</v>
      </c>
      <c r="L189" s="664">
        <v>2137.5</v>
      </c>
      <c r="M189" s="654"/>
      <c r="N189" s="654"/>
    </row>
    <row r="190" spans="1:19" s="355" customFormat="1" ht="13.5">
      <c r="A190" s="296" t="s">
        <v>1023</v>
      </c>
      <c r="B190" s="297" t="s">
        <v>1024</v>
      </c>
      <c r="C190" s="654"/>
      <c r="D190" s="661" t="s">
        <v>999</v>
      </c>
      <c r="E190" s="662" t="s">
        <v>370</v>
      </c>
      <c r="F190" s="499" t="s">
        <v>674</v>
      </c>
      <c r="G190" s="497" t="s">
        <v>1</v>
      </c>
      <c r="H190" s="663" t="s">
        <v>990</v>
      </c>
      <c r="I190" s="663" t="s">
        <v>991</v>
      </c>
      <c r="J190" s="663" t="s">
        <v>991</v>
      </c>
      <c r="K190" s="499" t="s">
        <v>98</v>
      </c>
      <c r="L190" s="664">
        <v>1050</v>
      </c>
      <c r="M190" s="654"/>
      <c r="N190" s="654"/>
    </row>
    <row r="191" spans="1:19" s="355" customFormat="1" ht="13.5">
      <c r="A191" s="296" t="s">
        <v>1023</v>
      </c>
      <c r="B191" s="297" t="s">
        <v>1024</v>
      </c>
      <c r="C191" s="654"/>
      <c r="D191" s="661" t="s">
        <v>1000</v>
      </c>
      <c r="E191" s="662" t="s">
        <v>1067</v>
      </c>
      <c r="F191" s="499" t="s">
        <v>674</v>
      </c>
      <c r="G191" s="497" t="s">
        <v>1</v>
      </c>
      <c r="H191" s="663" t="s">
        <v>990</v>
      </c>
      <c r="I191" s="663" t="s">
        <v>991</v>
      </c>
      <c r="J191" s="663" t="s">
        <v>991</v>
      </c>
      <c r="K191" s="499" t="s">
        <v>98</v>
      </c>
      <c r="L191" s="664">
        <v>875</v>
      </c>
      <c r="M191" s="654"/>
      <c r="N191" s="654"/>
    </row>
    <row r="192" spans="1:19" s="355" customFormat="1" ht="13.5">
      <c r="A192" s="296" t="s">
        <v>1023</v>
      </c>
      <c r="B192" s="297" t="s">
        <v>1024</v>
      </c>
      <c r="C192" s="654"/>
      <c r="D192" s="665" t="s">
        <v>1001</v>
      </c>
      <c r="E192" s="662" t="s">
        <v>535</v>
      </c>
      <c r="F192" s="499" t="s">
        <v>674</v>
      </c>
      <c r="G192" s="497" t="s">
        <v>1</v>
      </c>
      <c r="H192" s="663" t="s">
        <v>990</v>
      </c>
      <c r="I192" s="663" t="s">
        <v>991</v>
      </c>
      <c r="J192" s="663" t="s">
        <v>991</v>
      </c>
      <c r="K192" s="499" t="s">
        <v>98</v>
      </c>
      <c r="L192" s="664">
        <v>4000</v>
      </c>
      <c r="M192" s="654"/>
      <c r="N192" s="654"/>
    </row>
    <row r="193" spans="1:14" s="355" customFormat="1" ht="13.5">
      <c r="A193" s="296" t="s">
        <v>1023</v>
      </c>
      <c r="B193" s="297" t="s">
        <v>1024</v>
      </c>
      <c r="C193" s="654"/>
      <c r="D193" s="661" t="s">
        <v>1002</v>
      </c>
      <c r="E193" s="662" t="s">
        <v>257</v>
      </c>
      <c r="F193" s="499" t="s">
        <v>674</v>
      </c>
      <c r="G193" s="497" t="s">
        <v>1</v>
      </c>
      <c r="H193" s="663" t="s">
        <v>990</v>
      </c>
      <c r="I193" s="663" t="s">
        <v>991</v>
      </c>
      <c r="J193" s="663" t="s">
        <v>991</v>
      </c>
      <c r="K193" s="499" t="s">
        <v>98</v>
      </c>
      <c r="L193" s="664">
        <v>3400</v>
      </c>
      <c r="M193" s="654"/>
      <c r="N193" s="654"/>
    </row>
    <row r="194" spans="1:14" s="355" customFormat="1" ht="13.5">
      <c r="A194" s="296" t="s">
        <v>1023</v>
      </c>
      <c r="B194" s="297" t="s">
        <v>1024</v>
      </c>
      <c r="C194" s="654"/>
      <c r="D194" s="661" t="s">
        <v>737</v>
      </c>
      <c r="E194" s="662" t="s">
        <v>535</v>
      </c>
      <c r="F194" s="499" t="s">
        <v>674</v>
      </c>
      <c r="G194" s="497" t="s">
        <v>1</v>
      </c>
      <c r="H194" s="663" t="s">
        <v>990</v>
      </c>
      <c r="I194" s="663" t="s">
        <v>991</v>
      </c>
      <c r="J194" s="663" t="s">
        <v>991</v>
      </c>
      <c r="K194" s="499" t="s">
        <v>98</v>
      </c>
      <c r="L194" s="664">
        <v>2800</v>
      </c>
      <c r="M194" s="654" t="s">
        <v>111</v>
      </c>
      <c r="N194" s="654"/>
    </row>
    <row r="195" spans="1:14" s="355" customFormat="1" ht="13.5">
      <c r="A195" s="296" t="s">
        <v>1023</v>
      </c>
      <c r="B195" s="297" t="s">
        <v>1024</v>
      </c>
      <c r="C195" s="654"/>
      <c r="D195" s="661" t="s">
        <v>1003</v>
      </c>
      <c r="E195" s="662" t="s">
        <v>257</v>
      </c>
      <c r="F195" s="499" t="s">
        <v>674</v>
      </c>
      <c r="G195" s="497" t="s">
        <v>1</v>
      </c>
      <c r="H195" s="663" t="s">
        <v>990</v>
      </c>
      <c r="I195" s="663" t="s">
        <v>991</v>
      </c>
      <c r="J195" s="663" t="s">
        <v>991</v>
      </c>
      <c r="K195" s="499" t="s">
        <v>98</v>
      </c>
      <c r="L195" s="664">
        <v>1800</v>
      </c>
      <c r="M195" s="654"/>
      <c r="N195" s="654"/>
    </row>
    <row r="196" spans="1:14" s="355" customFormat="1" ht="13.5">
      <c r="A196" s="296" t="s">
        <v>1023</v>
      </c>
      <c r="B196" s="297" t="s">
        <v>1024</v>
      </c>
      <c r="C196" s="654"/>
      <c r="D196" s="661" t="s">
        <v>1004</v>
      </c>
      <c r="E196" s="662" t="s">
        <v>1068</v>
      </c>
      <c r="F196" s="499" t="s">
        <v>674</v>
      </c>
      <c r="G196" s="497" t="s">
        <v>1</v>
      </c>
      <c r="H196" s="663" t="s">
        <v>990</v>
      </c>
      <c r="I196" s="663" t="s">
        <v>991</v>
      </c>
      <c r="J196" s="663" t="s">
        <v>991</v>
      </c>
      <c r="K196" s="499" t="s">
        <v>98</v>
      </c>
      <c r="L196" s="664">
        <v>600</v>
      </c>
      <c r="M196" s="654"/>
      <c r="N196" s="654"/>
    </row>
    <row r="197" spans="1:14" s="355" customFormat="1" ht="27">
      <c r="A197" s="296" t="s">
        <v>1023</v>
      </c>
      <c r="B197" s="297" t="s">
        <v>1024</v>
      </c>
      <c r="C197" s="654"/>
      <c r="D197" s="661" t="s">
        <v>1005</v>
      </c>
      <c r="E197" s="662" t="s">
        <v>1066</v>
      </c>
      <c r="F197" s="499" t="s">
        <v>674</v>
      </c>
      <c r="G197" s="497" t="s">
        <v>1</v>
      </c>
      <c r="H197" s="663" t="s">
        <v>990</v>
      </c>
      <c r="I197" s="663" t="s">
        <v>991</v>
      </c>
      <c r="J197" s="663" t="s">
        <v>991</v>
      </c>
      <c r="K197" s="499" t="s">
        <v>98</v>
      </c>
      <c r="L197" s="664">
        <v>11000</v>
      </c>
      <c r="M197" s="654"/>
      <c r="N197" s="654"/>
    </row>
    <row r="198" spans="1:14" s="355" customFormat="1" ht="27">
      <c r="A198" s="296" t="s">
        <v>1023</v>
      </c>
      <c r="B198" s="297" t="s">
        <v>1024</v>
      </c>
      <c r="C198" s="654"/>
      <c r="D198" s="661" t="s">
        <v>1006</v>
      </c>
      <c r="E198" s="662" t="s">
        <v>1069</v>
      </c>
      <c r="F198" s="499" t="s">
        <v>674</v>
      </c>
      <c r="G198" s="497" t="s">
        <v>1</v>
      </c>
      <c r="H198" s="663" t="s">
        <v>990</v>
      </c>
      <c r="I198" s="663" t="s">
        <v>991</v>
      </c>
      <c r="J198" s="663" t="s">
        <v>991</v>
      </c>
      <c r="K198" s="499" t="s">
        <v>98</v>
      </c>
      <c r="L198" s="664">
        <v>7500</v>
      </c>
      <c r="M198" s="654"/>
      <c r="N198" s="654"/>
    </row>
    <row r="199" spans="1:14" s="355" customFormat="1" ht="13.5">
      <c r="A199" s="296" t="s">
        <v>1023</v>
      </c>
      <c r="B199" s="297" t="s">
        <v>1024</v>
      </c>
      <c r="C199" s="654"/>
      <c r="D199" s="661" t="s">
        <v>1007</v>
      </c>
      <c r="E199" s="662" t="s">
        <v>1070</v>
      </c>
      <c r="F199" s="499" t="s">
        <v>674</v>
      </c>
      <c r="G199" s="497" t="s">
        <v>1</v>
      </c>
      <c r="H199" s="663" t="s">
        <v>990</v>
      </c>
      <c r="I199" s="663" t="s">
        <v>991</v>
      </c>
      <c r="J199" s="663" t="s">
        <v>991</v>
      </c>
      <c r="K199" s="499" t="s">
        <v>98</v>
      </c>
      <c r="L199" s="664">
        <v>500</v>
      </c>
      <c r="M199" s="654"/>
      <c r="N199" s="654"/>
    </row>
    <row r="200" spans="1:14" s="355" customFormat="1" ht="13.5">
      <c r="A200" s="296" t="s">
        <v>1023</v>
      </c>
      <c r="B200" s="297" t="s">
        <v>1024</v>
      </c>
      <c r="C200" s="654"/>
      <c r="D200" s="661" t="s">
        <v>1008</v>
      </c>
      <c r="E200" s="662" t="s">
        <v>1070</v>
      </c>
      <c r="F200" s="499" t="s">
        <v>674</v>
      </c>
      <c r="G200" s="497" t="s">
        <v>1</v>
      </c>
      <c r="H200" s="663" t="s">
        <v>990</v>
      </c>
      <c r="I200" s="663" t="s">
        <v>991</v>
      </c>
      <c r="J200" s="663" t="s">
        <v>991</v>
      </c>
      <c r="K200" s="499" t="s">
        <v>98</v>
      </c>
      <c r="L200" s="664">
        <v>450</v>
      </c>
      <c r="M200" s="654"/>
      <c r="N200" s="654"/>
    </row>
    <row r="201" spans="1:14" s="355" customFormat="1" ht="13.5">
      <c r="A201" s="296" t="s">
        <v>1023</v>
      </c>
      <c r="B201" s="297" t="s">
        <v>1024</v>
      </c>
      <c r="C201" s="654"/>
      <c r="D201" s="661" t="s">
        <v>1009</v>
      </c>
      <c r="E201" s="662" t="s">
        <v>1062</v>
      </c>
      <c r="F201" s="499" t="s">
        <v>674</v>
      </c>
      <c r="G201" s="497" t="s">
        <v>1</v>
      </c>
      <c r="H201" s="663" t="s">
        <v>990</v>
      </c>
      <c r="I201" s="663" t="s">
        <v>991</v>
      </c>
      <c r="J201" s="663" t="s">
        <v>991</v>
      </c>
      <c r="K201" s="499" t="s">
        <v>98</v>
      </c>
      <c r="L201" s="664">
        <v>1050</v>
      </c>
      <c r="M201" s="654"/>
      <c r="N201" s="654"/>
    </row>
    <row r="202" spans="1:14" s="355" customFormat="1" ht="13.5">
      <c r="A202" s="296" t="s">
        <v>1023</v>
      </c>
      <c r="B202" s="297" t="s">
        <v>1024</v>
      </c>
      <c r="C202" s="654"/>
      <c r="D202" s="661" t="s">
        <v>1010</v>
      </c>
      <c r="E202" s="662" t="s">
        <v>485</v>
      </c>
      <c r="F202" s="499" t="s">
        <v>674</v>
      </c>
      <c r="G202" s="497" t="s">
        <v>1</v>
      </c>
      <c r="H202" s="663" t="s">
        <v>990</v>
      </c>
      <c r="I202" s="663" t="s">
        <v>991</v>
      </c>
      <c r="J202" s="663" t="s">
        <v>991</v>
      </c>
      <c r="K202" s="499" t="s">
        <v>98</v>
      </c>
      <c r="L202" s="664">
        <v>250</v>
      </c>
      <c r="M202" s="654"/>
      <c r="N202" s="654"/>
    </row>
    <row r="203" spans="1:14" s="355" customFormat="1" ht="13.5">
      <c r="A203" s="296" t="s">
        <v>1023</v>
      </c>
      <c r="B203" s="297" t="s">
        <v>1024</v>
      </c>
      <c r="C203" s="654"/>
      <c r="D203" s="661" t="s">
        <v>1011</v>
      </c>
      <c r="E203" s="662" t="s">
        <v>514</v>
      </c>
      <c r="F203" s="499" t="s">
        <v>674</v>
      </c>
      <c r="G203" s="497" t="s">
        <v>1</v>
      </c>
      <c r="H203" s="663" t="s">
        <v>990</v>
      </c>
      <c r="I203" s="663" t="s">
        <v>991</v>
      </c>
      <c r="J203" s="663" t="s">
        <v>991</v>
      </c>
      <c r="K203" s="499" t="s">
        <v>98</v>
      </c>
      <c r="L203" s="664">
        <v>331</v>
      </c>
      <c r="M203" s="654"/>
      <c r="N203" s="654"/>
    </row>
    <row r="204" spans="1:14" s="355" customFormat="1" ht="13.5">
      <c r="A204" s="296" t="s">
        <v>1023</v>
      </c>
      <c r="B204" s="297" t="s">
        <v>1024</v>
      </c>
      <c r="C204" s="654"/>
      <c r="D204" s="661" t="s">
        <v>1012</v>
      </c>
      <c r="E204" s="662" t="s">
        <v>485</v>
      </c>
      <c r="F204" s="499" t="s">
        <v>674</v>
      </c>
      <c r="G204" s="497" t="s">
        <v>1</v>
      </c>
      <c r="H204" s="663" t="s">
        <v>990</v>
      </c>
      <c r="I204" s="663" t="s">
        <v>991</v>
      </c>
      <c r="J204" s="663" t="s">
        <v>991</v>
      </c>
      <c r="K204" s="499" t="s">
        <v>98</v>
      </c>
      <c r="L204" s="664">
        <v>1350</v>
      </c>
      <c r="M204" s="654"/>
      <c r="N204" s="654"/>
    </row>
    <row r="205" spans="1:14" s="355" customFormat="1" ht="13.5">
      <c r="A205" s="296" t="s">
        <v>1023</v>
      </c>
      <c r="B205" s="297" t="s">
        <v>1024</v>
      </c>
      <c r="C205" s="654"/>
      <c r="D205" s="661" t="s">
        <v>1013</v>
      </c>
      <c r="E205" s="662" t="s">
        <v>1071</v>
      </c>
      <c r="F205" s="499" t="s">
        <v>674</v>
      </c>
      <c r="G205" s="497" t="s">
        <v>1</v>
      </c>
      <c r="H205" s="663" t="s">
        <v>990</v>
      </c>
      <c r="I205" s="663" t="s">
        <v>991</v>
      </c>
      <c r="J205" s="663" t="s">
        <v>991</v>
      </c>
      <c r="K205" s="499" t="s">
        <v>98</v>
      </c>
      <c r="L205" s="664">
        <v>8000</v>
      </c>
      <c r="M205" s="654"/>
      <c r="N205" s="654"/>
    </row>
    <row r="206" spans="1:14" s="355" customFormat="1" ht="27">
      <c r="A206" s="296" t="s">
        <v>1023</v>
      </c>
      <c r="B206" s="297" t="s">
        <v>1024</v>
      </c>
      <c r="C206" s="654"/>
      <c r="D206" s="597" t="s">
        <v>1014</v>
      </c>
      <c r="E206" s="662" t="s">
        <v>1072</v>
      </c>
      <c r="F206" s="499" t="s">
        <v>674</v>
      </c>
      <c r="G206" s="497" t="s">
        <v>1</v>
      </c>
      <c r="H206" s="663" t="s">
        <v>990</v>
      </c>
      <c r="I206" s="663" t="s">
        <v>991</v>
      </c>
      <c r="J206" s="663" t="s">
        <v>991</v>
      </c>
      <c r="K206" s="499" t="s">
        <v>98</v>
      </c>
      <c r="L206" s="664">
        <v>3000</v>
      </c>
      <c r="M206" s="654"/>
      <c r="N206" s="654"/>
    </row>
    <row r="207" spans="1:14" s="355" customFormat="1" ht="13.5">
      <c r="A207" s="296" t="s">
        <v>1023</v>
      </c>
      <c r="B207" s="297" t="s">
        <v>1024</v>
      </c>
      <c r="C207" s="654"/>
      <c r="D207" s="597" t="s">
        <v>1015</v>
      </c>
      <c r="E207" s="662" t="s">
        <v>1073</v>
      </c>
      <c r="F207" s="499" t="s">
        <v>674</v>
      </c>
      <c r="G207" s="497" t="s">
        <v>1</v>
      </c>
      <c r="H207" s="663" t="s">
        <v>990</v>
      </c>
      <c r="I207" s="663" t="s">
        <v>991</v>
      </c>
      <c r="J207" s="663" t="s">
        <v>991</v>
      </c>
      <c r="K207" s="499" t="s">
        <v>98</v>
      </c>
      <c r="L207" s="664">
        <v>1475</v>
      </c>
      <c r="M207" s="654"/>
      <c r="N207" s="654"/>
    </row>
    <row r="208" spans="1:14" s="355" customFormat="1" ht="13.5">
      <c r="A208" s="296" t="s">
        <v>1023</v>
      </c>
      <c r="B208" s="297" t="s">
        <v>1024</v>
      </c>
      <c r="C208" s="654"/>
      <c r="D208" s="661" t="s">
        <v>1016</v>
      </c>
      <c r="E208" s="662" t="s">
        <v>267</v>
      </c>
      <c r="F208" s="499" t="s">
        <v>674</v>
      </c>
      <c r="G208" s="497" t="s">
        <v>1</v>
      </c>
      <c r="H208" s="663" t="s">
        <v>990</v>
      </c>
      <c r="I208" s="663" t="s">
        <v>991</v>
      </c>
      <c r="J208" s="663" t="s">
        <v>991</v>
      </c>
      <c r="K208" s="499" t="s">
        <v>98</v>
      </c>
      <c r="L208" s="664">
        <v>750</v>
      </c>
      <c r="M208" s="654"/>
      <c r="N208" s="654"/>
    </row>
    <row r="209" spans="1:19" s="355" customFormat="1" ht="13.5">
      <c r="A209" s="296" t="s">
        <v>1023</v>
      </c>
      <c r="B209" s="297" t="s">
        <v>1024</v>
      </c>
      <c r="C209" s="502"/>
      <c r="D209" s="661" t="s">
        <v>1017</v>
      </c>
      <c r="E209" s="662" t="s">
        <v>1074</v>
      </c>
      <c r="F209" s="499" t="s">
        <v>674</v>
      </c>
      <c r="G209" s="497" t="s">
        <v>1</v>
      </c>
      <c r="H209" s="663" t="s">
        <v>990</v>
      </c>
      <c r="I209" s="663" t="s">
        <v>991</v>
      </c>
      <c r="J209" s="663" t="s">
        <v>991</v>
      </c>
      <c r="K209" s="499" t="s">
        <v>98</v>
      </c>
      <c r="L209" s="664">
        <v>550</v>
      </c>
      <c r="M209" s="502"/>
      <c r="N209" s="502"/>
    </row>
    <row r="210" spans="1:19" s="355" customFormat="1" ht="13.5">
      <c r="A210" s="296" t="s">
        <v>1023</v>
      </c>
      <c r="B210" s="297" t="s">
        <v>1024</v>
      </c>
      <c r="C210" s="502"/>
      <c r="D210" s="661" t="s">
        <v>1018</v>
      </c>
      <c r="E210" s="662" t="s">
        <v>1075</v>
      </c>
      <c r="F210" s="499" t="s">
        <v>674</v>
      </c>
      <c r="G210" s="497" t="s">
        <v>1</v>
      </c>
      <c r="H210" s="663" t="s">
        <v>990</v>
      </c>
      <c r="I210" s="663" t="s">
        <v>991</v>
      </c>
      <c r="J210" s="663" t="s">
        <v>991</v>
      </c>
      <c r="K210" s="499" t="s">
        <v>98</v>
      </c>
      <c r="L210" s="664">
        <v>1300</v>
      </c>
      <c r="M210" s="502"/>
      <c r="N210" s="502"/>
    </row>
    <row r="211" spans="1:19" s="355" customFormat="1" ht="13.5">
      <c r="A211" s="296" t="s">
        <v>1023</v>
      </c>
      <c r="B211" s="297" t="s">
        <v>1024</v>
      </c>
      <c r="C211" s="502"/>
      <c r="D211" s="661" t="s">
        <v>1019</v>
      </c>
      <c r="E211" s="662" t="s">
        <v>530</v>
      </c>
      <c r="F211" s="499" t="s">
        <v>674</v>
      </c>
      <c r="G211" s="497" t="s">
        <v>1</v>
      </c>
      <c r="H211" s="663" t="s">
        <v>990</v>
      </c>
      <c r="I211" s="663" t="s">
        <v>991</v>
      </c>
      <c r="J211" s="663" t="s">
        <v>991</v>
      </c>
      <c r="K211" s="499" t="s">
        <v>98</v>
      </c>
      <c r="L211" s="664">
        <v>3000</v>
      </c>
      <c r="M211" s="502"/>
      <c r="N211" s="502"/>
    </row>
    <row r="212" spans="1:19" s="355" customFormat="1" ht="13.5">
      <c r="A212" s="296" t="s">
        <v>1023</v>
      </c>
      <c r="B212" s="297" t="s">
        <v>1024</v>
      </c>
      <c r="C212" s="502"/>
      <c r="D212" s="661" t="s">
        <v>1020</v>
      </c>
      <c r="E212" s="662" t="s">
        <v>1070</v>
      </c>
      <c r="F212" s="499" t="s">
        <v>674</v>
      </c>
      <c r="G212" s="497" t="s">
        <v>1</v>
      </c>
      <c r="H212" s="663" t="s">
        <v>990</v>
      </c>
      <c r="I212" s="663" t="s">
        <v>991</v>
      </c>
      <c r="J212" s="663" t="s">
        <v>991</v>
      </c>
      <c r="K212" s="499" t="s">
        <v>98</v>
      </c>
      <c r="L212" s="664">
        <v>484</v>
      </c>
      <c r="M212" s="502"/>
      <c r="N212" s="502"/>
    </row>
    <row r="213" spans="1:19" s="355" customFormat="1" ht="13.5">
      <c r="A213" s="296" t="s">
        <v>1023</v>
      </c>
      <c r="B213" s="297" t="s">
        <v>1024</v>
      </c>
      <c r="C213" s="502"/>
      <c r="D213" s="661" t="s">
        <v>1021</v>
      </c>
      <c r="E213" s="662" t="s">
        <v>511</v>
      </c>
      <c r="F213" s="499" t="s">
        <v>674</v>
      </c>
      <c r="G213" s="497" t="s">
        <v>1</v>
      </c>
      <c r="H213" s="663" t="s">
        <v>990</v>
      </c>
      <c r="I213" s="663" t="s">
        <v>991</v>
      </c>
      <c r="J213" s="663" t="s">
        <v>991</v>
      </c>
      <c r="K213" s="499" t="s">
        <v>98</v>
      </c>
      <c r="L213" s="666">
        <v>750</v>
      </c>
      <c r="M213" s="392"/>
      <c r="N213" s="497"/>
    </row>
    <row r="214" spans="1:19" s="355" customFormat="1" ht="13.5">
      <c r="A214" s="296" t="s">
        <v>1023</v>
      </c>
      <c r="B214" s="297" t="s">
        <v>1024</v>
      </c>
      <c r="C214" s="502"/>
      <c r="D214" s="661" t="s">
        <v>1022</v>
      </c>
      <c r="E214" s="662" t="s">
        <v>485</v>
      </c>
      <c r="F214" s="499" t="s">
        <v>674</v>
      </c>
      <c r="G214" s="497" t="s">
        <v>1</v>
      </c>
      <c r="H214" s="663" t="s">
        <v>990</v>
      </c>
      <c r="I214" s="663" t="s">
        <v>991</v>
      </c>
      <c r="J214" s="663" t="s">
        <v>991</v>
      </c>
      <c r="K214" s="499" t="s">
        <v>98</v>
      </c>
      <c r="L214" s="52">
        <v>560</v>
      </c>
      <c r="M214" s="502"/>
      <c r="N214" s="497"/>
    </row>
    <row r="215" spans="1:19" s="355" customFormat="1" ht="13.5">
      <c r="A215" s="455"/>
      <c r="B215" s="455"/>
      <c r="C215" s="455"/>
      <c r="D215" s="455"/>
      <c r="E215" s="576"/>
      <c r="F215" s="455"/>
      <c r="G215" s="455"/>
      <c r="H215" s="455"/>
      <c r="I215" s="455"/>
      <c r="J215" s="455"/>
      <c r="K215" s="455"/>
      <c r="L215" s="455"/>
      <c r="M215" s="481"/>
      <c r="N215" s="455"/>
    </row>
    <row r="216" spans="1:19" s="355" customFormat="1" ht="54">
      <c r="A216" s="296" t="s">
        <v>1023</v>
      </c>
      <c r="B216" s="297" t="s">
        <v>1024</v>
      </c>
      <c r="C216" s="648" t="s">
        <v>753</v>
      </c>
      <c r="D216" s="309" t="s">
        <v>2</v>
      </c>
      <c r="E216" s="560"/>
      <c r="F216" s="499" t="s">
        <v>674</v>
      </c>
      <c r="G216" s="497" t="s">
        <v>1</v>
      </c>
      <c r="H216" s="660" t="s">
        <v>701</v>
      </c>
      <c r="I216" s="660" t="s">
        <v>653</v>
      </c>
      <c r="J216" s="660" t="s">
        <v>653</v>
      </c>
      <c r="K216" s="499" t="s">
        <v>98</v>
      </c>
      <c r="L216" s="481"/>
      <c r="M216" s="309" t="s">
        <v>659</v>
      </c>
      <c r="N216" s="499" t="s">
        <v>703</v>
      </c>
      <c r="S216" s="411">
        <v>97934.5</v>
      </c>
    </row>
    <row r="217" spans="1:19" s="355" customFormat="1" ht="13.5">
      <c r="A217" s="296" t="s">
        <v>1023</v>
      </c>
      <c r="B217" s="297" t="s">
        <v>1024</v>
      </c>
      <c r="C217" s="497" t="s">
        <v>704</v>
      </c>
      <c r="D217" s="661" t="s">
        <v>989</v>
      </c>
      <c r="E217" s="662" t="s">
        <v>1062</v>
      </c>
      <c r="F217" s="499" t="s">
        <v>674</v>
      </c>
      <c r="G217" s="497" t="s">
        <v>1</v>
      </c>
      <c r="H217" s="663" t="s">
        <v>1025</v>
      </c>
      <c r="I217" s="663" t="s">
        <v>1026</v>
      </c>
      <c r="J217" s="663" t="s">
        <v>1026</v>
      </c>
      <c r="K217" s="499" t="s">
        <v>98</v>
      </c>
      <c r="L217" s="664">
        <v>4500</v>
      </c>
      <c r="M217" s="392"/>
      <c r="N217" s="502"/>
    </row>
    <row r="218" spans="1:19" s="355" customFormat="1" ht="13.5">
      <c r="A218" s="296" t="s">
        <v>1023</v>
      </c>
      <c r="B218" s="297" t="s">
        <v>1024</v>
      </c>
      <c r="C218" s="502"/>
      <c r="D218" s="661" t="s">
        <v>992</v>
      </c>
      <c r="E218" s="662" t="s">
        <v>1063</v>
      </c>
      <c r="F218" s="499" t="s">
        <v>674</v>
      </c>
      <c r="G218" s="497" t="s">
        <v>1</v>
      </c>
      <c r="H218" s="663" t="s">
        <v>1025</v>
      </c>
      <c r="I218" s="663" t="s">
        <v>1026</v>
      </c>
      <c r="J218" s="663" t="s">
        <v>1026</v>
      </c>
      <c r="K218" s="499" t="s">
        <v>98</v>
      </c>
      <c r="L218" s="664">
        <v>4320</v>
      </c>
      <c r="M218" s="392"/>
      <c r="N218" s="502"/>
    </row>
    <row r="219" spans="1:19" s="355" customFormat="1" ht="13.5">
      <c r="A219" s="296" t="s">
        <v>1023</v>
      </c>
      <c r="B219" s="297" t="s">
        <v>1024</v>
      </c>
      <c r="C219" s="502"/>
      <c r="D219" s="661" t="s">
        <v>993</v>
      </c>
      <c r="E219" s="662" t="s">
        <v>516</v>
      </c>
      <c r="F219" s="499" t="s">
        <v>674</v>
      </c>
      <c r="G219" s="497" t="s">
        <v>1</v>
      </c>
      <c r="H219" s="663" t="s">
        <v>1025</v>
      </c>
      <c r="I219" s="663" t="s">
        <v>1026</v>
      </c>
      <c r="J219" s="663" t="s">
        <v>1026</v>
      </c>
      <c r="K219" s="499" t="s">
        <v>98</v>
      </c>
      <c r="L219" s="664">
        <v>525</v>
      </c>
      <c r="M219" s="392"/>
      <c r="N219" s="502"/>
    </row>
    <row r="220" spans="1:19" s="355" customFormat="1" ht="13.5">
      <c r="A220" s="296" t="s">
        <v>1023</v>
      </c>
      <c r="B220" s="297" t="s">
        <v>1024</v>
      </c>
      <c r="C220" s="654"/>
      <c r="D220" s="661" t="s">
        <v>994</v>
      </c>
      <c r="E220" s="662" t="s">
        <v>1064</v>
      </c>
      <c r="F220" s="499" t="s">
        <v>674</v>
      </c>
      <c r="G220" s="497" t="s">
        <v>1</v>
      </c>
      <c r="H220" s="663" t="s">
        <v>1025</v>
      </c>
      <c r="I220" s="663" t="s">
        <v>1026</v>
      </c>
      <c r="J220" s="663" t="s">
        <v>1026</v>
      </c>
      <c r="K220" s="499" t="s">
        <v>98</v>
      </c>
      <c r="L220" s="664">
        <v>3250</v>
      </c>
      <c r="M220" s="654"/>
      <c r="N220" s="654"/>
    </row>
    <row r="221" spans="1:19" s="355" customFormat="1" ht="13.5">
      <c r="A221" s="296" t="s">
        <v>1023</v>
      </c>
      <c r="B221" s="297" t="s">
        <v>1024</v>
      </c>
      <c r="C221" s="654"/>
      <c r="D221" s="661" t="s">
        <v>732</v>
      </c>
      <c r="E221" s="662" t="s">
        <v>1065</v>
      </c>
      <c r="F221" s="499" t="s">
        <v>674</v>
      </c>
      <c r="G221" s="497" t="s">
        <v>1</v>
      </c>
      <c r="H221" s="663" t="s">
        <v>1025</v>
      </c>
      <c r="I221" s="663" t="s">
        <v>1026</v>
      </c>
      <c r="J221" s="663" t="s">
        <v>1026</v>
      </c>
      <c r="K221" s="499" t="s">
        <v>98</v>
      </c>
      <c r="L221" s="664">
        <v>11200</v>
      </c>
      <c r="M221" s="654"/>
      <c r="N221" s="654"/>
    </row>
    <row r="222" spans="1:19" s="355" customFormat="1" ht="13.5">
      <c r="A222" s="296" t="s">
        <v>1023</v>
      </c>
      <c r="B222" s="297" t="s">
        <v>1024</v>
      </c>
      <c r="C222" s="654"/>
      <c r="D222" s="661" t="s">
        <v>733</v>
      </c>
      <c r="E222" s="662" t="s">
        <v>1065</v>
      </c>
      <c r="F222" s="499" t="s">
        <v>674</v>
      </c>
      <c r="G222" s="497" t="s">
        <v>1</v>
      </c>
      <c r="H222" s="663" t="s">
        <v>1025</v>
      </c>
      <c r="I222" s="663" t="s">
        <v>1026</v>
      </c>
      <c r="J222" s="663" t="s">
        <v>1026</v>
      </c>
      <c r="K222" s="499" t="s">
        <v>98</v>
      </c>
      <c r="L222" s="664">
        <v>11600</v>
      </c>
      <c r="M222" s="654"/>
      <c r="N222" s="654"/>
    </row>
    <row r="223" spans="1:19" s="355" customFormat="1" ht="13.5">
      <c r="A223" s="296" t="s">
        <v>1023</v>
      </c>
      <c r="B223" s="297" t="s">
        <v>1024</v>
      </c>
      <c r="C223" s="654"/>
      <c r="D223" s="661" t="s">
        <v>995</v>
      </c>
      <c r="E223" s="662" t="s">
        <v>1065</v>
      </c>
      <c r="F223" s="499" t="s">
        <v>674</v>
      </c>
      <c r="G223" s="497" t="s">
        <v>1</v>
      </c>
      <c r="H223" s="663" t="s">
        <v>1025</v>
      </c>
      <c r="I223" s="663" t="s">
        <v>1026</v>
      </c>
      <c r="J223" s="663" t="s">
        <v>1026</v>
      </c>
      <c r="K223" s="499" t="s">
        <v>98</v>
      </c>
      <c r="L223" s="664">
        <v>10800</v>
      </c>
      <c r="M223" s="654"/>
      <c r="N223" s="654"/>
    </row>
    <row r="224" spans="1:19" s="355" customFormat="1" ht="27">
      <c r="A224" s="296" t="s">
        <v>1023</v>
      </c>
      <c r="B224" s="297" t="s">
        <v>1024</v>
      </c>
      <c r="C224" s="654"/>
      <c r="D224" s="661" t="s">
        <v>996</v>
      </c>
      <c r="E224" s="662" t="s">
        <v>1066</v>
      </c>
      <c r="F224" s="499" t="s">
        <v>674</v>
      </c>
      <c r="G224" s="497" t="s">
        <v>1</v>
      </c>
      <c r="H224" s="663" t="s">
        <v>1025</v>
      </c>
      <c r="I224" s="663" t="s">
        <v>1026</v>
      </c>
      <c r="J224" s="663" t="s">
        <v>1026</v>
      </c>
      <c r="K224" s="499" t="s">
        <v>98</v>
      </c>
      <c r="L224" s="664">
        <v>14500</v>
      </c>
      <c r="M224" s="654"/>
      <c r="N224" s="654"/>
    </row>
    <row r="225" spans="1:14" s="355" customFormat="1" ht="13.5">
      <c r="A225" s="296" t="s">
        <v>1023</v>
      </c>
      <c r="B225" s="297" t="s">
        <v>1024</v>
      </c>
      <c r="C225" s="654"/>
      <c r="D225" s="661" t="s">
        <v>997</v>
      </c>
      <c r="E225" s="662" t="s">
        <v>189</v>
      </c>
      <c r="F225" s="499" t="s">
        <v>674</v>
      </c>
      <c r="G225" s="497" t="s">
        <v>1</v>
      </c>
      <c r="H225" s="663" t="s">
        <v>1025</v>
      </c>
      <c r="I225" s="663" t="s">
        <v>1026</v>
      </c>
      <c r="J225" s="663" t="s">
        <v>1026</v>
      </c>
      <c r="K225" s="499" t="s">
        <v>98</v>
      </c>
      <c r="L225" s="664">
        <v>1040</v>
      </c>
      <c r="M225" s="654"/>
      <c r="N225" s="654"/>
    </row>
    <row r="226" spans="1:14" s="355" customFormat="1" ht="13.5">
      <c r="A226" s="296" t="s">
        <v>1023</v>
      </c>
      <c r="B226" s="297" t="s">
        <v>1024</v>
      </c>
      <c r="C226" s="654"/>
      <c r="D226" s="661" t="s">
        <v>999</v>
      </c>
      <c r="E226" s="662" t="s">
        <v>267</v>
      </c>
      <c r="F226" s="499" t="s">
        <v>674</v>
      </c>
      <c r="G226" s="497" t="s">
        <v>1</v>
      </c>
      <c r="H226" s="663" t="s">
        <v>1025</v>
      </c>
      <c r="I226" s="663" t="s">
        <v>1026</v>
      </c>
      <c r="J226" s="663" t="s">
        <v>1026</v>
      </c>
      <c r="K226" s="499" t="s">
        <v>98</v>
      </c>
      <c r="L226" s="664">
        <v>525</v>
      </c>
      <c r="M226" s="654"/>
      <c r="N226" s="654"/>
    </row>
    <row r="227" spans="1:14" s="355" customFormat="1" ht="13.5">
      <c r="A227" s="296" t="s">
        <v>1023</v>
      </c>
      <c r="B227" s="297" t="s">
        <v>1024</v>
      </c>
      <c r="C227" s="654"/>
      <c r="D227" s="661" t="s">
        <v>1000</v>
      </c>
      <c r="E227" s="662" t="s">
        <v>1067</v>
      </c>
      <c r="F227" s="499" t="s">
        <v>674</v>
      </c>
      <c r="G227" s="497" t="s">
        <v>1</v>
      </c>
      <c r="H227" s="663" t="s">
        <v>1025</v>
      </c>
      <c r="I227" s="663" t="s">
        <v>1026</v>
      </c>
      <c r="J227" s="663" t="s">
        <v>1026</v>
      </c>
      <c r="K227" s="499" t="s">
        <v>98</v>
      </c>
      <c r="L227" s="664">
        <v>875</v>
      </c>
      <c r="M227" s="654"/>
      <c r="N227" s="654"/>
    </row>
    <row r="228" spans="1:14" s="355" customFormat="1" ht="13.5">
      <c r="A228" s="296" t="s">
        <v>1023</v>
      </c>
      <c r="B228" s="297" t="s">
        <v>1024</v>
      </c>
      <c r="C228" s="654"/>
      <c r="D228" s="665" t="s">
        <v>1001</v>
      </c>
      <c r="E228" s="662" t="s">
        <v>1076</v>
      </c>
      <c r="F228" s="499" t="s">
        <v>674</v>
      </c>
      <c r="G228" s="497" t="s">
        <v>1</v>
      </c>
      <c r="H228" s="663" t="s">
        <v>1025</v>
      </c>
      <c r="I228" s="663" t="s">
        <v>1026</v>
      </c>
      <c r="J228" s="663" t="s">
        <v>1026</v>
      </c>
      <c r="K228" s="499" t="s">
        <v>98</v>
      </c>
      <c r="L228" s="664">
        <v>2000</v>
      </c>
      <c r="M228" s="654"/>
      <c r="N228" s="654"/>
    </row>
    <row r="229" spans="1:14" s="355" customFormat="1" ht="13.5">
      <c r="A229" s="296" t="s">
        <v>1023</v>
      </c>
      <c r="B229" s="297" t="s">
        <v>1024</v>
      </c>
      <c r="C229" s="654"/>
      <c r="D229" s="661" t="s">
        <v>1002</v>
      </c>
      <c r="E229" s="662" t="s">
        <v>259</v>
      </c>
      <c r="F229" s="499" t="s">
        <v>674</v>
      </c>
      <c r="G229" s="497" t="s">
        <v>1</v>
      </c>
      <c r="H229" s="663" t="s">
        <v>1025</v>
      </c>
      <c r="I229" s="663" t="s">
        <v>1026</v>
      </c>
      <c r="J229" s="663" t="s">
        <v>1026</v>
      </c>
      <c r="K229" s="499" t="s">
        <v>98</v>
      </c>
      <c r="L229" s="664">
        <v>1700</v>
      </c>
      <c r="M229" s="654" t="s">
        <v>111</v>
      </c>
      <c r="N229" s="654"/>
    </row>
    <row r="230" spans="1:14" s="355" customFormat="1" ht="13.5">
      <c r="A230" s="296" t="s">
        <v>1023</v>
      </c>
      <c r="B230" s="297" t="s">
        <v>1024</v>
      </c>
      <c r="C230" s="654"/>
      <c r="D230" s="661" t="s">
        <v>737</v>
      </c>
      <c r="E230" s="662" t="s">
        <v>1076</v>
      </c>
      <c r="F230" s="499" t="s">
        <v>674</v>
      </c>
      <c r="G230" s="497" t="s">
        <v>1</v>
      </c>
      <c r="H230" s="663" t="s">
        <v>1025</v>
      </c>
      <c r="I230" s="663" t="s">
        <v>1026</v>
      </c>
      <c r="J230" s="663" t="s">
        <v>1026</v>
      </c>
      <c r="K230" s="499" t="s">
        <v>98</v>
      </c>
      <c r="L230" s="664">
        <v>1400</v>
      </c>
      <c r="M230" s="654"/>
      <c r="N230" s="654"/>
    </row>
    <row r="231" spans="1:14" s="355" customFormat="1" ht="13.5">
      <c r="A231" s="296" t="s">
        <v>1023</v>
      </c>
      <c r="B231" s="297" t="s">
        <v>1024</v>
      </c>
      <c r="C231" s="654"/>
      <c r="D231" s="661" t="s">
        <v>1003</v>
      </c>
      <c r="E231" s="662" t="s">
        <v>262</v>
      </c>
      <c r="F231" s="499" t="s">
        <v>674</v>
      </c>
      <c r="G231" s="497" t="s">
        <v>1</v>
      </c>
      <c r="H231" s="663" t="s">
        <v>1025</v>
      </c>
      <c r="I231" s="663" t="s">
        <v>1026</v>
      </c>
      <c r="J231" s="663" t="s">
        <v>1026</v>
      </c>
      <c r="K231" s="499" t="s">
        <v>98</v>
      </c>
      <c r="L231" s="664">
        <v>450</v>
      </c>
      <c r="M231" s="654"/>
      <c r="N231" s="654"/>
    </row>
    <row r="232" spans="1:14" s="355" customFormat="1" ht="13.5">
      <c r="A232" s="296" t="s">
        <v>1023</v>
      </c>
      <c r="B232" s="297" t="s">
        <v>1024</v>
      </c>
      <c r="C232" s="654"/>
      <c r="D232" s="661" t="s">
        <v>1004</v>
      </c>
      <c r="E232" s="662" t="s">
        <v>1077</v>
      </c>
      <c r="F232" s="499" t="s">
        <v>674</v>
      </c>
      <c r="G232" s="497" t="s">
        <v>1</v>
      </c>
      <c r="H232" s="663" t="s">
        <v>1025</v>
      </c>
      <c r="I232" s="663" t="s">
        <v>1026</v>
      </c>
      <c r="J232" s="663" t="s">
        <v>1026</v>
      </c>
      <c r="K232" s="499" t="s">
        <v>98</v>
      </c>
      <c r="L232" s="664">
        <v>600</v>
      </c>
      <c r="M232" s="654"/>
      <c r="N232" s="654"/>
    </row>
    <row r="233" spans="1:14" s="355" customFormat="1" ht="27">
      <c r="A233" s="296" t="s">
        <v>1023</v>
      </c>
      <c r="B233" s="297" t="s">
        <v>1024</v>
      </c>
      <c r="C233" s="654"/>
      <c r="D233" s="661" t="s">
        <v>1005</v>
      </c>
      <c r="E233" s="662" t="s">
        <v>1078</v>
      </c>
      <c r="F233" s="499" t="s">
        <v>674</v>
      </c>
      <c r="G233" s="497" t="s">
        <v>1</v>
      </c>
      <c r="H233" s="663" t="s">
        <v>1025</v>
      </c>
      <c r="I233" s="663" t="s">
        <v>1026</v>
      </c>
      <c r="J233" s="663" t="s">
        <v>1026</v>
      </c>
      <c r="K233" s="499" t="s">
        <v>98</v>
      </c>
      <c r="L233" s="664">
        <v>8800</v>
      </c>
      <c r="M233" s="654"/>
      <c r="N233" s="654"/>
    </row>
    <row r="234" spans="1:14" s="355" customFormat="1" ht="27">
      <c r="A234" s="296" t="s">
        <v>1023</v>
      </c>
      <c r="B234" s="297" t="s">
        <v>1024</v>
      </c>
      <c r="C234" s="654"/>
      <c r="D234" s="661" t="s">
        <v>1006</v>
      </c>
      <c r="E234" s="662" t="s">
        <v>1079</v>
      </c>
      <c r="F234" s="499" t="s">
        <v>674</v>
      </c>
      <c r="G234" s="497" t="s">
        <v>1</v>
      </c>
      <c r="H234" s="663" t="s">
        <v>1025</v>
      </c>
      <c r="I234" s="663" t="s">
        <v>1026</v>
      </c>
      <c r="J234" s="663" t="s">
        <v>1026</v>
      </c>
      <c r="K234" s="499" t="s">
        <v>98</v>
      </c>
      <c r="L234" s="664">
        <v>5625</v>
      </c>
      <c r="M234" s="654"/>
      <c r="N234" s="654"/>
    </row>
    <row r="235" spans="1:14" s="355" customFormat="1" ht="13.5">
      <c r="A235" s="296" t="s">
        <v>1023</v>
      </c>
      <c r="B235" s="297" t="s">
        <v>1024</v>
      </c>
      <c r="C235" s="654"/>
      <c r="D235" s="661" t="s">
        <v>1007</v>
      </c>
      <c r="E235" s="662" t="s">
        <v>1070</v>
      </c>
      <c r="F235" s="499" t="s">
        <v>674</v>
      </c>
      <c r="G235" s="497" t="s">
        <v>1</v>
      </c>
      <c r="H235" s="663" t="s">
        <v>1025</v>
      </c>
      <c r="I235" s="663" t="s">
        <v>1026</v>
      </c>
      <c r="J235" s="663" t="s">
        <v>1026</v>
      </c>
      <c r="K235" s="499" t="s">
        <v>98</v>
      </c>
      <c r="L235" s="664">
        <v>500</v>
      </c>
      <c r="M235" s="654"/>
      <c r="N235" s="654"/>
    </row>
    <row r="236" spans="1:14" s="355" customFormat="1" ht="13.5">
      <c r="A236" s="296" t="s">
        <v>1023</v>
      </c>
      <c r="B236" s="297" t="s">
        <v>1024</v>
      </c>
      <c r="C236" s="654"/>
      <c r="D236" s="661" t="s">
        <v>1008</v>
      </c>
      <c r="E236" s="662" t="s">
        <v>1070</v>
      </c>
      <c r="F236" s="499" t="s">
        <v>674</v>
      </c>
      <c r="G236" s="497" t="s">
        <v>1</v>
      </c>
      <c r="H236" s="663" t="s">
        <v>1025</v>
      </c>
      <c r="I236" s="663" t="s">
        <v>1026</v>
      </c>
      <c r="J236" s="663" t="s">
        <v>1026</v>
      </c>
      <c r="K236" s="499" t="s">
        <v>98</v>
      </c>
      <c r="L236" s="664">
        <v>450</v>
      </c>
      <c r="M236" s="654"/>
      <c r="N236" s="654"/>
    </row>
    <row r="237" spans="1:14" s="355" customFormat="1" ht="13.5">
      <c r="A237" s="296" t="s">
        <v>1023</v>
      </c>
      <c r="B237" s="297" t="s">
        <v>1024</v>
      </c>
      <c r="C237" s="654"/>
      <c r="D237" s="661" t="s">
        <v>1009</v>
      </c>
      <c r="E237" s="662" t="s">
        <v>1070</v>
      </c>
      <c r="F237" s="499" t="s">
        <v>674</v>
      </c>
      <c r="G237" s="497" t="s">
        <v>1</v>
      </c>
      <c r="H237" s="663" t="s">
        <v>1025</v>
      </c>
      <c r="I237" s="663" t="s">
        <v>1026</v>
      </c>
      <c r="J237" s="663" t="s">
        <v>1026</v>
      </c>
      <c r="K237" s="499" t="s">
        <v>98</v>
      </c>
      <c r="L237" s="664">
        <v>700</v>
      </c>
      <c r="M237" s="654"/>
      <c r="N237" s="654"/>
    </row>
    <row r="238" spans="1:14" s="355" customFormat="1" ht="13.5">
      <c r="A238" s="296" t="s">
        <v>1023</v>
      </c>
      <c r="B238" s="297" t="s">
        <v>1024</v>
      </c>
      <c r="C238" s="654"/>
      <c r="D238" s="661" t="s">
        <v>1010</v>
      </c>
      <c r="E238" s="662" t="s">
        <v>1077</v>
      </c>
      <c r="F238" s="499" t="s">
        <v>674</v>
      </c>
      <c r="G238" s="497" t="s">
        <v>1</v>
      </c>
      <c r="H238" s="663" t="s">
        <v>1025</v>
      </c>
      <c r="I238" s="663" t="s">
        <v>1026</v>
      </c>
      <c r="J238" s="663" t="s">
        <v>1026</v>
      </c>
      <c r="K238" s="499" t="s">
        <v>98</v>
      </c>
      <c r="L238" s="664">
        <v>125</v>
      </c>
      <c r="M238" s="654"/>
      <c r="N238" s="654"/>
    </row>
    <row r="239" spans="1:14" s="355" customFormat="1" ht="13.5">
      <c r="A239" s="296" t="s">
        <v>1023</v>
      </c>
      <c r="B239" s="297" t="s">
        <v>1024</v>
      </c>
      <c r="C239" s="654"/>
      <c r="D239" s="661" t="s">
        <v>1011</v>
      </c>
      <c r="E239" s="662" t="s">
        <v>1080</v>
      </c>
      <c r="F239" s="499" t="s">
        <v>674</v>
      </c>
      <c r="G239" s="497" t="s">
        <v>1</v>
      </c>
      <c r="H239" s="663" t="s">
        <v>1025</v>
      </c>
      <c r="I239" s="663" t="s">
        <v>1026</v>
      </c>
      <c r="J239" s="663" t="s">
        <v>1026</v>
      </c>
      <c r="K239" s="499" t="s">
        <v>98</v>
      </c>
      <c r="L239" s="664">
        <v>165.5</v>
      </c>
      <c r="M239" s="654"/>
      <c r="N239" s="654"/>
    </row>
    <row r="240" spans="1:14" s="355" customFormat="1" ht="13.5">
      <c r="A240" s="296" t="s">
        <v>1023</v>
      </c>
      <c r="B240" s="297" t="s">
        <v>1024</v>
      </c>
      <c r="C240" s="654"/>
      <c r="D240" s="661" t="s">
        <v>1012</v>
      </c>
      <c r="E240" s="662" t="s">
        <v>1077</v>
      </c>
      <c r="F240" s="499" t="s">
        <v>674</v>
      </c>
      <c r="G240" s="497" t="s">
        <v>1</v>
      </c>
      <c r="H240" s="663" t="s">
        <v>1025</v>
      </c>
      <c r="I240" s="663" t="s">
        <v>1026</v>
      </c>
      <c r="J240" s="663" t="s">
        <v>1026</v>
      </c>
      <c r="K240" s="499" t="s">
        <v>98</v>
      </c>
      <c r="L240" s="664">
        <v>675</v>
      </c>
      <c r="M240" s="654"/>
      <c r="N240" s="654"/>
    </row>
    <row r="241" spans="1:14" s="355" customFormat="1" ht="13.5">
      <c r="A241" s="296" t="s">
        <v>1023</v>
      </c>
      <c r="B241" s="297" t="s">
        <v>1024</v>
      </c>
      <c r="C241" s="654"/>
      <c r="D241" s="661" t="s">
        <v>1013</v>
      </c>
      <c r="E241" s="662" t="s">
        <v>1081</v>
      </c>
      <c r="F241" s="499" t="s">
        <v>674</v>
      </c>
      <c r="G241" s="497" t="s">
        <v>1</v>
      </c>
      <c r="H241" s="663" t="s">
        <v>1025</v>
      </c>
      <c r="I241" s="663" t="s">
        <v>1026</v>
      </c>
      <c r="J241" s="663" t="s">
        <v>1026</v>
      </c>
      <c r="K241" s="499" t="s">
        <v>98</v>
      </c>
      <c r="L241" s="664">
        <v>6000</v>
      </c>
      <c r="M241" s="654"/>
      <c r="N241" s="654"/>
    </row>
    <row r="242" spans="1:14" s="355" customFormat="1" ht="27">
      <c r="A242" s="296" t="s">
        <v>1023</v>
      </c>
      <c r="B242" s="297" t="s">
        <v>1024</v>
      </c>
      <c r="C242" s="654"/>
      <c r="D242" s="597" t="s">
        <v>1014</v>
      </c>
      <c r="E242" s="662" t="s">
        <v>251</v>
      </c>
      <c r="F242" s="499" t="s">
        <v>674</v>
      </c>
      <c r="G242" s="497" t="s">
        <v>1</v>
      </c>
      <c r="H242" s="663" t="s">
        <v>1025</v>
      </c>
      <c r="I242" s="663" t="s">
        <v>1026</v>
      </c>
      <c r="J242" s="663" t="s">
        <v>1026</v>
      </c>
      <c r="K242" s="499" t="s">
        <v>98</v>
      </c>
      <c r="L242" s="664">
        <v>1500</v>
      </c>
      <c r="M242" s="654"/>
      <c r="N242" s="654"/>
    </row>
    <row r="243" spans="1:14" s="355" customFormat="1" ht="13.5">
      <c r="A243" s="296" t="s">
        <v>1023</v>
      </c>
      <c r="B243" s="297" t="s">
        <v>1024</v>
      </c>
      <c r="C243" s="654"/>
      <c r="D243" s="597" t="s">
        <v>1015</v>
      </c>
      <c r="E243" s="662" t="s">
        <v>1073</v>
      </c>
      <c r="F243" s="499" t="s">
        <v>674</v>
      </c>
      <c r="G243" s="497" t="s">
        <v>1</v>
      </c>
      <c r="H243" s="663" t="s">
        <v>1025</v>
      </c>
      <c r="I243" s="663" t="s">
        <v>1026</v>
      </c>
      <c r="J243" s="663" t="s">
        <v>1026</v>
      </c>
      <c r="K243" s="499" t="s">
        <v>98</v>
      </c>
      <c r="L243" s="664">
        <v>1475</v>
      </c>
      <c r="M243" s="654"/>
      <c r="N243" s="654"/>
    </row>
    <row r="244" spans="1:14" s="355" customFormat="1" ht="13.5">
      <c r="A244" s="296" t="s">
        <v>1023</v>
      </c>
      <c r="B244" s="297" t="s">
        <v>1024</v>
      </c>
      <c r="C244" s="654"/>
      <c r="D244" s="661" t="s">
        <v>1016</v>
      </c>
      <c r="E244" s="662" t="s">
        <v>267</v>
      </c>
      <c r="F244" s="499" t="s">
        <v>674</v>
      </c>
      <c r="G244" s="497" t="s">
        <v>1</v>
      </c>
      <c r="H244" s="663" t="s">
        <v>1025</v>
      </c>
      <c r="I244" s="663" t="s">
        <v>1026</v>
      </c>
      <c r="J244" s="663" t="s">
        <v>1026</v>
      </c>
      <c r="K244" s="499" t="s">
        <v>98</v>
      </c>
      <c r="L244" s="664">
        <v>750</v>
      </c>
      <c r="M244" s="654"/>
      <c r="N244" s="654"/>
    </row>
    <row r="245" spans="1:14" s="355" customFormat="1" ht="13.5">
      <c r="A245" s="296" t="s">
        <v>1023</v>
      </c>
      <c r="B245" s="297" t="s">
        <v>1024</v>
      </c>
      <c r="C245" s="654"/>
      <c r="D245" s="661" t="s">
        <v>1018</v>
      </c>
      <c r="E245" s="662" t="s">
        <v>1082</v>
      </c>
      <c r="F245" s="499" t="s">
        <v>674</v>
      </c>
      <c r="G245" s="497" t="s">
        <v>1</v>
      </c>
      <c r="H245" s="663" t="s">
        <v>1025</v>
      </c>
      <c r="I245" s="663" t="s">
        <v>1026</v>
      </c>
      <c r="J245" s="663" t="s">
        <v>1026</v>
      </c>
      <c r="K245" s="499" t="s">
        <v>98</v>
      </c>
      <c r="L245" s="664">
        <v>650</v>
      </c>
      <c r="M245" s="654"/>
      <c r="N245" s="654"/>
    </row>
    <row r="246" spans="1:14" s="355" customFormat="1" ht="13.5">
      <c r="A246" s="296" t="s">
        <v>1023</v>
      </c>
      <c r="B246" s="297" t="s">
        <v>1024</v>
      </c>
      <c r="C246" s="654"/>
      <c r="D246" s="661" t="s">
        <v>1020</v>
      </c>
      <c r="E246" s="662" t="s">
        <v>1070</v>
      </c>
      <c r="F246" s="499" t="s">
        <v>674</v>
      </c>
      <c r="G246" s="497" t="s">
        <v>1</v>
      </c>
      <c r="H246" s="663" t="s">
        <v>1025</v>
      </c>
      <c r="I246" s="663" t="s">
        <v>1026</v>
      </c>
      <c r="J246" s="663" t="s">
        <v>1026</v>
      </c>
      <c r="K246" s="499" t="s">
        <v>98</v>
      </c>
      <c r="L246" s="664">
        <v>484</v>
      </c>
      <c r="M246" s="654"/>
      <c r="N246" s="654"/>
    </row>
    <row r="247" spans="1:14" s="355" customFormat="1" ht="13.5">
      <c r="A247" s="296" t="s">
        <v>1023</v>
      </c>
      <c r="B247" s="297" t="s">
        <v>1024</v>
      </c>
      <c r="C247" s="502"/>
      <c r="D247" s="661" t="s">
        <v>1021</v>
      </c>
      <c r="E247" s="662" t="s">
        <v>511</v>
      </c>
      <c r="F247" s="499" t="s">
        <v>674</v>
      </c>
      <c r="G247" s="497" t="s">
        <v>1</v>
      </c>
      <c r="H247" s="663" t="s">
        <v>1025</v>
      </c>
      <c r="I247" s="663" t="s">
        <v>1026</v>
      </c>
      <c r="J247" s="663" t="s">
        <v>1026</v>
      </c>
      <c r="K247" s="499" t="s">
        <v>98</v>
      </c>
      <c r="L247" s="664">
        <v>750</v>
      </c>
      <c r="M247" s="502"/>
      <c r="N247" s="502"/>
    </row>
    <row r="248" spans="1:14" s="355" customFormat="1" ht="13.5">
      <c r="A248" s="455"/>
      <c r="B248" s="455"/>
      <c r="C248" s="455"/>
      <c r="D248" s="455"/>
      <c r="E248" s="576"/>
      <c r="F248" s="455"/>
      <c r="G248" s="455"/>
      <c r="H248" s="455"/>
      <c r="I248" s="455"/>
      <c r="J248" s="455"/>
      <c r="K248" s="455"/>
      <c r="L248" s="455"/>
      <c r="M248" s="455"/>
      <c r="N248" s="455"/>
    </row>
    <row r="249" spans="1:14" s="355" customFormat="1" ht="13.5">
      <c r="A249" s="455"/>
      <c r="B249" s="455"/>
      <c r="C249" s="455"/>
      <c r="D249" s="455"/>
      <c r="E249" s="576"/>
      <c r="F249" s="455"/>
      <c r="G249" s="455"/>
      <c r="H249" s="455"/>
      <c r="I249" s="455"/>
      <c r="J249" s="455"/>
      <c r="K249" s="455"/>
      <c r="L249" s="455"/>
      <c r="M249" s="455"/>
      <c r="N249" s="455"/>
    </row>
    <row r="250" spans="1:14" s="355" customFormat="1" ht="13.5">
      <c r="A250" s="455"/>
      <c r="B250" s="455"/>
      <c r="C250" s="667" t="s">
        <v>2</v>
      </c>
      <c r="D250" s="2631" t="s">
        <v>1083</v>
      </c>
      <c r="E250" s="2632"/>
      <c r="F250" s="2633"/>
      <c r="G250" s="669"/>
      <c r="H250" s="670"/>
      <c r="I250" s="671"/>
      <c r="J250" s="672"/>
      <c r="K250" s="673"/>
      <c r="L250" s="668"/>
      <c r="M250" s="674"/>
      <c r="N250" s="455"/>
    </row>
    <row r="251" spans="1:14" s="355" customFormat="1" ht="27">
      <c r="A251" s="455" t="s">
        <v>1086</v>
      </c>
      <c r="B251" s="455" t="s">
        <v>1087</v>
      </c>
      <c r="C251" s="675"/>
      <c r="D251" s="676" t="s">
        <v>1222</v>
      </c>
      <c r="E251" s="576" t="s">
        <v>1223</v>
      </c>
      <c r="F251" s="677" t="s">
        <v>422</v>
      </c>
      <c r="G251" s="678" t="s">
        <v>1084</v>
      </c>
      <c r="H251" s="678">
        <v>46205</v>
      </c>
      <c r="I251" s="679">
        <v>46376</v>
      </c>
      <c r="J251" s="680" t="s">
        <v>1085</v>
      </c>
      <c r="K251" s="680" t="s">
        <v>98</v>
      </c>
      <c r="L251" s="681">
        <v>3500</v>
      </c>
      <c r="M251" s="677" t="s">
        <v>99</v>
      </c>
      <c r="N251" s="674"/>
    </row>
    <row r="252" spans="1:14" s="355" customFormat="1" ht="27">
      <c r="A252" s="455" t="s">
        <v>1086</v>
      </c>
      <c r="B252" s="455" t="s">
        <v>1087</v>
      </c>
      <c r="C252" s="675"/>
      <c r="D252" s="676" t="s">
        <v>1224</v>
      </c>
      <c r="E252" s="576" t="s">
        <v>1225</v>
      </c>
      <c r="F252" s="677" t="s">
        <v>422</v>
      </c>
      <c r="G252" s="678" t="s">
        <v>1084</v>
      </c>
      <c r="H252" s="678">
        <v>46205</v>
      </c>
      <c r="I252" s="679">
        <v>46376</v>
      </c>
      <c r="J252" s="680" t="s">
        <v>1085</v>
      </c>
      <c r="K252" s="680" t="s">
        <v>98</v>
      </c>
      <c r="L252" s="682">
        <v>1000</v>
      </c>
      <c r="M252" s="677" t="s">
        <v>99</v>
      </c>
      <c r="N252" s="674"/>
    </row>
    <row r="253" spans="1:14" s="355" customFormat="1" ht="27">
      <c r="A253" s="455" t="s">
        <v>1086</v>
      </c>
      <c r="B253" s="455" t="s">
        <v>1087</v>
      </c>
      <c r="C253" s="675"/>
      <c r="D253" s="676" t="s">
        <v>1226</v>
      </c>
      <c r="E253" s="576" t="s">
        <v>1227</v>
      </c>
      <c r="F253" s="677" t="s">
        <v>422</v>
      </c>
      <c r="G253" s="678" t="s">
        <v>1084</v>
      </c>
      <c r="H253" s="678">
        <v>46205</v>
      </c>
      <c r="I253" s="679">
        <v>46376</v>
      </c>
      <c r="J253" s="680" t="s">
        <v>1085</v>
      </c>
      <c r="K253" s="680" t="s">
        <v>98</v>
      </c>
      <c r="L253" s="682">
        <v>1000</v>
      </c>
      <c r="M253" s="677" t="s">
        <v>99</v>
      </c>
      <c r="N253" s="674"/>
    </row>
    <row r="254" spans="1:14" s="355" customFormat="1" ht="27">
      <c r="A254" s="455" t="s">
        <v>1086</v>
      </c>
      <c r="B254" s="455" t="s">
        <v>1087</v>
      </c>
      <c r="C254" s="675"/>
      <c r="D254" s="676" t="s">
        <v>1228</v>
      </c>
      <c r="E254" s="576" t="s">
        <v>1227</v>
      </c>
      <c r="F254" s="677" t="s">
        <v>422</v>
      </c>
      <c r="G254" s="678" t="s">
        <v>1084</v>
      </c>
      <c r="H254" s="678">
        <v>46205</v>
      </c>
      <c r="I254" s="679">
        <v>46376</v>
      </c>
      <c r="J254" s="680" t="s">
        <v>1085</v>
      </c>
      <c r="K254" s="680" t="s">
        <v>98</v>
      </c>
      <c r="L254" s="681">
        <v>1000</v>
      </c>
      <c r="M254" s="677" t="s">
        <v>99</v>
      </c>
      <c r="N254" s="674"/>
    </row>
    <row r="255" spans="1:14" s="355" customFormat="1" ht="27">
      <c r="A255" s="455" t="s">
        <v>1086</v>
      </c>
      <c r="B255" s="455" t="s">
        <v>1087</v>
      </c>
      <c r="C255" s="675"/>
      <c r="D255" s="676" t="s">
        <v>1229</v>
      </c>
      <c r="E255" s="576" t="s">
        <v>1223</v>
      </c>
      <c r="F255" s="677" t="s">
        <v>422</v>
      </c>
      <c r="G255" s="678" t="s">
        <v>1084</v>
      </c>
      <c r="H255" s="678">
        <v>46205</v>
      </c>
      <c r="I255" s="679">
        <v>46376</v>
      </c>
      <c r="J255" s="680" t="s">
        <v>1085</v>
      </c>
      <c r="K255" s="680" t="s">
        <v>98</v>
      </c>
      <c r="L255" s="682">
        <v>3500</v>
      </c>
      <c r="M255" s="677" t="s">
        <v>99</v>
      </c>
      <c r="N255" s="674"/>
    </row>
    <row r="256" spans="1:14" s="355" customFormat="1" ht="27">
      <c r="A256" s="455" t="s">
        <v>1086</v>
      </c>
      <c r="B256" s="455" t="s">
        <v>1087</v>
      </c>
      <c r="C256" s="675"/>
      <c r="D256" s="676" t="s">
        <v>1238</v>
      </c>
      <c r="E256" s="576" t="s">
        <v>1227</v>
      </c>
      <c r="F256" s="677" t="s">
        <v>422</v>
      </c>
      <c r="G256" s="678" t="s">
        <v>1084</v>
      </c>
      <c r="H256" s="678">
        <v>46205</v>
      </c>
      <c r="I256" s="679">
        <v>46376</v>
      </c>
      <c r="J256" s="680" t="s">
        <v>1085</v>
      </c>
      <c r="K256" s="680" t="s">
        <v>98</v>
      </c>
      <c r="L256" s="682">
        <v>1000</v>
      </c>
      <c r="M256" s="677" t="s">
        <v>99</v>
      </c>
      <c r="N256" s="674"/>
    </row>
    <row r="257" spans="1:14" s="355" customFormat="1" ht="27">
      <c r="A257" s="455" t="s">
        <v>1086</v>
      </c>
      <c r="B257" s="455" t="s">
        <v>1087</v>
      </c>
      <c r="C257" s="675"/>
      <c r="D257" s="676" t="s">
        <v>1230</v>
      </c>
      <c r="E257" s="576" t="s">
        <v>1227</v>
      </c>
      <c r="F257" s="677" t="s">
        <v>422</v>
      </c>
      <c r="G257" s="678" t="s">
        <v>1084</v>
      </c>
      <c r="H257" s="678">
        <v>46205</v>
      </c>
      <c r="I257" s="679">
        <v>46376</v>
      </c>
      <c r="J257" s="680" t="s">
        <v>1085</v>
      </c>
      <c r="K257" s="680" t="s">
        <v>98</v>
      </c>
      <c r="L257" s="682">
        <v>1000</v>
      </c>
      <c r="M257" s="677" t="s">
        <v>99</v>
      </c>
      <c r="N257" s="674"/>
    </row>
    <row r="258" spans="1:14" s="355" customFormat="1" ht="27">
      <c r="A258" s="455" t="s">
        <v>1086</v>
      </c>
      <c r="B258" s="455" t="s">
        <v>1087</v>
      </c>
      <c r="C258" s="675"/>
      <c r="D258" s="676" t="s">
        <v>1231</v>
      </c>
      <c r="E258" s="576" t="s">
        <v>1227</v>
      </c>
      <c r="F258" s="677" t="s">
        <v>422</v>
      </c>
      <c r="G258" s="678" t="s">
        <v>1084</v>
      </c>
      <c r="H258" s="678">
        <v>46205</v>
      </c>
      <c r="I258" s="679">
        <v>46376</v>
      </c>
      <c r="J258" s="680" t="s">
        <v>1085</v>
      </c>
      <c r="K258" s="680" t="s">
        <v>98</v>
      </c>
      <c r="L258" s="681">
        <v>1000</v>
      </c>
      <c r="M258" s="677" t="s">
        <v>99</v>
      </c>
      <c r="N258" s="674"/>
    </row>
    <row r="259" spans="1:14" s="355" customFormat="1" ht="27">
      <c r="A259" s="455" t="s">
        <v>1086</v>
      </c>
      <c r="B259" s="455" t="s">
        <v>1087</v>
      </c>
      <c r="C259" s="683"/>
      <c r="D259" s="684" t="s">
        <v>1239</v>
      </c>
      <c r="E259" s="576" t="s">
        <v>1232</v>
      </c>
      <c r="F259" s="685" t="s">
        <v>422</v>
      </c>
      <c r="G259" s="686" t="s">
        <v>1084</v>
      </c>
      <c r="H259" s="686">
        <v>46205</v>
      </c>
      <c r="I259" s="687">
        <v>46376</v>
      </c>
      <c r="J259" s="688" t="s">
        <v>1085</v>
      </c>
      <c r="K259" s="688" t="s">
        <v>98</v>
      </c>
      <c r="L259" s="689">
        <v>3175</v>
      </c>
      <c r="M259" s="685" t="s">
        <v>99</v>
      </c>
      <c r="N259" s="690"/>
    </row>
    <row r="260" spans="1:14" s="355" customFormat="1" ht="27">
      <c r="A260" s="455" t="s">
        <v>1086</v>
      </c>
      <c r="B260" s="455" t="s">
        <v>1087</v>
      </c>
      <c r="C260" s="455"/>
      <c r="D260" s="691" t="s">
        <v>1240</v>
      </c>
      <c r="E260" s="576" t="s">
        <v>1232</v>
      </c>
      <c r="F260" s="677" t="s">
        <v>422</v>
      </c>
      <c r="G260" s="678" t="s">
        <v>1084</v>
      </c>
      <c r="H260" s="678">
        <v>46205</v>
      </c>
      <c r="I260" s="679">
        <v>46376</v>
      </c>
      <c r="J260" s="680" t="s">
        <v>1085</v>
      </c>
      <c r="K260" s="680" t="s">
        <v>98</v>
      </c>
      <c r="L260" s="682">
        <v>3250</v>
      </c>
      <c r="M260" s="677" t="s">
        <v>99</v>
      </c>
      <c r="N260" s="692"/>
    </row>
    <row r="261" spans="1:14" s="355" customFormat="1" ht="27">
      <c r="A261" s="455" t="s">
        <v>1086</v>
      </c>
      <c r="B261" s="455" t="s">
        <v>1087</v>
      </c>
      <c r="C261" s="455"/>
      <c r="D261" s="684" t="s">
        <v>1241</v>
      </c>
      <c r="E261" s="576" t="s">
        <v>189</v>
      </c>
      <c r="F261" s="685" t="s">
        <v>422</v>
      </c>
      <c r="G261" s="686" t="s">
        <v>1084</v>
      </c>
      <c r="H261" s="686">
        <v>46205</v>
      </c>
      <c r="I261" s="687">
        <v>46376</v>
      </c>
      <c r="J261" s="688" t="s">
        <v>1085</v>
      </c>
      <c r="K261" s="688" t="s">
        <v>98</v>
      </c>
      <c r="L261" s="693">
        <v>1200</v>
      </c>
      <c r="M261" s="685" t="s">
        <v>99</v>
      </c>
      <c r="N261" s="690"/>
    </row>
    <row r="262" spans="1:14" s="355" customFormat="1" ht="27">
      <c r="A262" s="455" t="s">
        <v>1086</v>
      </c>
      <c r="B262" s="455" t="s">
        <v>1087</v>
      </c>
      <c r="C262" s="455"/>
      <c r="D262" s="694" t="s">
        <v>1242</v>
      </c>
      <c r="E262" s="576" t="s">
        <v>189</v>
      </c>
      <c r="F262" s="695" t="s">
        <v>422</v>
      </c>
      <c r="G262" s="696" t="s">
        <v>1084</v>
      </c>
      <c r="H262" s="696">
        <v>46205</v>
      </c>
      <c r="I262" s="697">
        <v>46376</v>
      </c>
      <c r="J262" s="673" t="s">
        <v>1085</v>
      </c>
      <c r="K262" s="673" t="s">
        <v>98</v>
      </c>
      <c r="L262" s="698">
        <v>1000</v>
      </c>
      <c r="M262" s="695" t="s">
        <v>99</v>
      </c>
      <c r="N262" s="674"/>
    </row>
    <row r="263" spans="1:14" s="355" customFormat="1" ht="27">
      <c r="A263" s="455" t="s">
        <v>1086</v>
      </c>
      <c r="B263" s="455" t="s">
        <v>1087</v>
      </c>
      <c r="C263" s="455"/>
      <c r="D263" s="684" t="s">
        <v>1243</v>
      </c>
      <c r="E263" s="576" t="s">
        <v>267</v>
      </c>
      <c r="F263" s="677" t="s">
        <v>422</v>
      </c>
      <c r="G263" s="678" t="s">
        <v>1084</v>
      </c>
      <c r="H263" s="678">
        <v>46205</v>
      </c>
      <c r="I263" s="679">
        <v>46376</v>
      </c>
      <c r="J263" s="680" t="s">
        <v>1085</v>
      </c>
      <c r="K263" s="680" t="s">
        <v>98</v>
      </c>
      <c r="L263" s="681">
        <v>400</v>
      </c>
      <c r="M263" s="677" t="s">
        <v>99</v>
      </c>
      <c r="N263" s="674"/>
    </row>
    <row r="264" spans="1:14" s="355" customFormat="1" ht="27">
      <c r="A264" s="455" t="s">
        <v>1086</v>
      </c>
      <c r="B264" s="455" t="s">
        <v>1087</v>
      </c>
      <c r="C264" s="455"/>
      <c r="D264" s="699" t="s">
        <v>1244</v>
      </c>
      <c r="E264" s="576" t="s">
        <v>1233</v>
      </c>
      <c r="F264" s="677" t="s">
        <v>422</v>
      </c>
      <c r="G264" s="678" t="s">
        <v>1084</v>
      </c>
      <c r="H264" s="678">
        <v>46205</v>
      </c>
      <c r="I264" s="679">
        <v>46376</v>
      </c>
      <c r="J264" s="680" t="s">
        <v>1085</v>
      </c>
      <c r="K264" s="680" t="s">
        <v>98</v>
      </c>
      <c r="L264" s="682">
        <v>80</v>
      </c>
      <c r="M264" s="677" t="s">
        <v>99</v>
      </c>
      <c r="N264" s="674"/>
    </row>
    <row r="265" spans="1:14" s="355" customFormat="1" ht="27">
      <c r="A265" s="455" t="s">
        <v>1086</v>
      </c>
      <c r="B265" s="455" t="s">
        <v>1087</v>
      </c>
      <c r="C265" s="455"/>
      <c r="D265" s="691" t="s">
        <v>1245</v>
      </c>
      <c r="E265" s="576" t="s">
        <v>370</v>
      </c>
      <c r="F265" s="677" t="s">
        <v>422</v>
      </c>
      <c r="G265" s="678" t="s">
        <v>1084</v>
      </c>
      <c r="H265" s="678">
        <v>46205</v>
      </c>
      <c r="I265" s="679">
        <v>46376</v>
      </c>
      <c r="J265" s="680" t="s">
        <v>1085</v>
      </c>
      <c r="K265" s="680" t="s">
        <v>98</v>
      </c>
      <c r="L265" s="682">
        <v>850</v>
      </c>
      <c r="M265" s="677" t="s">
        <v>99</v>
      </c>
      <c r="N265" s="674"/>
    </row>
    <row r="266" spans="1:14" s="355" customFormat="1" ht="27">
      <c r="A266" s="455" t="s">
        <v>1086</v>
      </c>
      <c r="B266" s="455" t="s">
        <v>1087</v>
      </c>
      <c r="C266" s="455"/>
      <c r="D266" s="699" t="s">
        <v>1246</v>
      </c>
      <c r="E266" s="576" t="s">
        <v>1234</v>
      </c>
      <c r="F266" s="677" t="s">
        <v>422</v>
      </c>
      <c r="G266" s="678" t="s">
        <v>1084</v>
      </c>
      <c r="H266" s="678">
        <v>46205</v>
      </c>
      <c r="I266" s="679">
        <v>46376</v>
      </c>
      <c r="J266" s="680" t="s">
        <v>1085</v>
      </c>
      <c r="K266" s="680" t="s">
        <v>98</v>
      </c>
      <c r="L266" s="681">
        <v>400</v>
      </c>
      <c r="M266" s="677" t="s">
        <v>99</v>
      </c>
      <c r="N266" s="674"/>
    </row>
    <row r="267" spans="1:14" s="355" customFormat="1" ht="27">
      <c r="A267" s="455" t="s">
        <v>1086</v>
      </c>
      <c r="B267" s="455" t="s">
        <v>1087</v>
      </c>
      <c r="C267" s="455"/>
      <c r="D267" s="694" t="s">
        <v>1251</v>
      </c>
      <c r="E267" s="576" t="s">
        <v>1247</v>
      </c>
      <c r="F267" s="677" t="s">
        <v>422</v>
      </c>
      <c r="G267" s="678" t="s">
        <v>1084</v>
      </c>
      <c r="H267" s="678">
        <v>46205</v>
      </c>
      <c r="I267" s="679">
        <v>46376</v>
      </c>
      <c r="J267" s="680" t="s">
        <v>1085</v>
      </c>
      <c r="K267" s="680" t="s">
        <v>98</v>
      </c>
      <c r="L267" s="682">
        <v>2200</v>
      </c>
      <c r="M267" s="677" t="s">
        <v>99</v>
      </c>
      <c r="N267" s="674"/>
    </row>
    <row r="268" spans="1:14" s="355" customFormat="1" ht="27">
      <c r="A268" s="455" t="s">
        <v>1086</v>
      </c>
      <c r="B268" s="455" t="s">
        <v>1087</v>
      </c>
      <c r="C268" s="455"/>
      <c r="D268" s="691" t="s">
        <v>1252</v>
      </c>
      <c r="E268" s="576" t="s">
        <v>264</v>
      </c>
      <c r="F268" s="677" t="s">
        <v>422</v>
      </c>
      <c r="G268" s="678" t="s">
        <v>1084</v>
      </c>
      <c r="H268" s="678">
        <v>46205</v>
      </c>
      <c r="I268" s="679">
        <v>46376</v>
      </c>
      <c r="J268" s="680" t="s">
        <v>1085</v>
      </c>
      <c r="K268" s="680" t="s">
        <v>98</v>
      </c>
      <c r="L268" s="681">
        <v>920</v>
      </c>
      <c r="M268" s="677" t="s">
        <v>99</v>
      </c>
      <c r="N268" s="677"/>
    </row>
    <row r="269" spans="1:14" s="355" customFormat="1" ht="27">
      <c r="A269" s="455" t="s">
        <v>1086</v>
      </c>
      <c r="B269" s="455" t="s">
        <v>1087</v>
      </c>
      <c r="C269" s="455"/>
      <c r="D269" s="691" t="s">
        <v>1253</v>
      </c>
      <c r="E269" s="576" t="s">
        <v>1248</v>
      </c>
      <c r="F269" s="677" t="s">
        <v>422</v>
      </c>
      <c r="G269" s="678" t="s">
        <v>1084</v>
      </c>
      <c r="H269" s="678">
        <v>46205</v>
      </c>
      <c r="I269" s="679">
        <v>46376</v>
      </c>
      <c r="J269" s="680" t="s">
        <v>1085</v>
      </c>
      <c r="K269" s="680" t="s">
        <v>98</v>
      </c>
      <c r="L269" s="682">
        <v>1200</v>
      </c>
      <c r="M269" s="677" t="s">
        <v>99</v>
      </c>
      <c r="N269" s="677"/>
    </row>
    <row r="270" spans="1:14" s="355" customFormat="1" ht="27">
      <c r="A270" s="455" t="s">
        <v>1086</v>
      </c>
      <c r="B270" s="455" t="s">
        <v>1087</v>
      </c>
      <c r="C270" s="455"/>
      <c r="D270" s="691" t="s">
        <v>1254</v>
      </c>
      <c r="E270" s="576" t="s">
        <v>370</v>
      </c>
      <c r="F270" s="677" t="s">
        <v>422</v>
      </c>
      <c r="G270" s="678" t="s">
        <v>1084</v>
      </c>
      <c r="H270" s="678">
        <v>46205</v>
      </c>
      <c r="I270" s="679">
        <v>46376</v>
      </c>
      <c r="J270" s="680" t="s">
        <v>1085</v>
      </c>
      <c r="K270" s="680" t="s">
        <v>98</v>
      </c>
      <c r="L270" s="682">
        <v>550</v>
      </c>
      <c r="M270" s="677" t="s">
        <v>99</v>
      </c>
      <c r="N270" s="677"/>
    </row>
    <row r="271" spans="1:14" s="355" customFormat="1" ht="27">
      <c r="A271" s="455" t="s">
        <v>1086</v>
      </c>
      <c r="B271" s="455" t="s">
        <v>1087</v>
      </c>
      <c r="C271" s="455"/>
      <c r="D271" s="691" t="s">
        <v>1255</v>
      </c>
      <c r="E271" s="576" t="s">
        <v>370</v>
      </c>
      <c r="F271" s="677" t="s">
        <v>422</v>
      </c>
      <c r="G271" s="678" t="s">
        <v>1084</v>
      </c>
      <c r="H271" s="678">
        <v>46205</v>
      </c>
      <c r="I271" s="679">
        <v>46376</v>
      </c>
      <c r="J271" s="680" t="s">
        <v>1085</v>
      </c>
      <c r="K271" s="680" t="s">
        <v>98</v>
      </c>
      <c r="L271" s="681">
        <v>650</v>
      </c>
      <c r="M271" s="677" t="s">
        <v>99</v>
      </c>
      <c r="N271" s="677"/>
    </row>
    <row r="272" spans="1:14" s="355" customFormat="1" ht="27">
      <c r="A272" s="455" t="s">
        <v>1086</v>
      </c>
      <c r="B272" s="455" t="s">
        <v>1087</v>
      </c>
      <c r="C272" s="455"/>
      <c r="D272" s="691" t="s">
        <v>1256</v>
      </c>
      <c r="E272" s="576" t="s">
        <v>1249</v>
      </c>
      <c r="F272" s="677" t="s">
        <v>422</v>
      </c>
      <c r="G272" s="678" t="s">
        <v>1084</v>
      </c>
      <c r="H272" s="678">
        <v>46205</v>
      </c>
      <c r="I272" s="679">
        <v>46376</v>
      </c>
      <c r="J272" s="680" t="s">
        <v>1085</v>
      </c>
      <c r="K272" s="680" t="s">
        <v>98</v>
      </c>
      <c r="L272" s="682">
        <v>2100</v>
      </c>
      <c r="M272" s="677" t="s">
        <v>99</v>
      </c>
      <c r="N272" s="677"/>
    </row>
    <row r="273" spans="1:19" s="355" customFormat="1" ht="27">
      <c r="A273" s="455" t="s">
        <v>1086</v>
      </c>
      <c r="B273" s="455" t="s">
        <v>1087</v>
      </c>
      <c r="C273" s="455"/>
      <c r="D273" s="691" t="s">
        <v>1257</v>
      </c>
      <c r="E273" s="576" t="s">
        <v>189</v>
      </c>
      <c r="F273" s="677" t="s">
        <v>422</v>
      </c>
      <c r="G273" s="678" t="s">
        <v>1084</v>
      </c>
      <c r="H273" s="678">
        <v>46205</v>
      </c>
      <c r="I273" s="679">
        <v>46376</v>
      </c>
      <c r="J273" s="680" t="s">
        <v>1085</v>
      </c>
      <c r="K273" s="680" t="s">
        <v>98</v>
      </c>
      <c r="L273" s="682">
        <v>1000</v>
      </c>
      <c r="M273" s="677" t="s">
        <v>99</v>
      </c>
      <c r="N273" s="677"/>
    </row>
    <row r="274" spans="1:19" s="355" customFormat="1" ht="27">
      <c r="A274" s="455" t="s">
        <v>1086</v>
      </c>
      <c r="B274" s="455" t="s">
        <v>1087</v>
      </c>
      <c r="C274" s="455"/>
      <c r="D274" s="691" t="s">
        <v>1258</v>
      </c>
      <c r="E274" s="576" t="s">
        <v>1250</v>
      </c>
      <c r="F274" s="677" t="s">
        <v>422</v>
      </c>
      <c r="G274" s="678" t="s">
        <v>1084</v>
      </c>
      <c r="H274" s="678">
        <v>46205</v>
      </c>
      <c r="I274" s="679">
        <v>46376</v>
      </c>
      <c r="J274" s="680" t="s">
        <v>1085</v>
      </c>
      <c r="K274" s="680" t="s">
        <v>98</v>
      </c>
      <c r="L274" s="682">
        <v>850</v>
      </c>
      <c r="M274" s="677" t="s">
        <v>99</v>
      </c>
      <c r="N274" s="677"/>
    </row>
    <row r="275" spans="1:19" s="355" customFormat="1" ht="27">
      <c r="A275" s="455" t="s">
        <v>1086</v>
      </c>
      <c r="B275" s="455" t="s">
        <v>1087</v>
      </c>
      <c r="C275" s="455"/>
      <c r="D275" s="691" t="s">
        <v>1259</v>
      </c>
      <c r="E275" s="576" t="s">
        <v>257</v>
      </c>
      <c r="F275" s="677" t="s">
        <v>422</v>
      </c>
      <c r="G275" s="678" t="s">
        <v>1084</v>
      </c>
      <c r="H275" s="678">
        <v>46205</v>
      </c>
      <c r="I275" s="679">
        <v>46376</v>
      </c>
      <c r="J275" s="680" t="s">
        <v>1085</v>
      </c>
      <c r="K275" s="680" t="s">
        <v>98</v>
      </c>
      <c r="L275" s="681">
        <v>980</v>
      </c>
      <c r="M275" s="677" t="s">
        <v>99</v>
      </c>
      <c r="N275" s="677"/>
    </row>
    <row r="276" spans="1:19" s="355" customFormat="1" ht="27">
      <c r="A276" s="455" t="s">
        <v>1086</v>
      </c>
      <c r="B276" s="455" t="s">
        <v>1087</v>
      </c>
      <c r="C276" s="455"/>
      <c r="D276" s="691" t="s">
        <v>1260</v>
      </c>
      <c r="E276" s="576" t="s">
        <v>1235</v>
      </c>
      <c r="F276" s="677" t="s">
        <v>422</v>
      </c>
      <c r="G276" s="678" t="s">
        <v>1084</v>
      </c>
      <c r="H276" s="678">
        <v>46205</v>
      </c>
      <c r="I276" s="679">
        <v>46376</v>
      </c>
      <c r="J276" s="680" t="s">
        <v>1085</v>
      </c>
      <c r="K276" s="680" t="s">
        <v>98</v>
      </c>
      <c r="L276" s="681">
        <v>220</v>
      </c>
      <c r="M276" s="677" t="s">
        <v>99</v>
      </c>
      <c r="N276" s="677"/>
    </row>
    <row r="277" spans="1:19" s="355" customFormat="1" ht="27">
      <c r="A277" s="455" t="s">
        <v>1086</v>
      </c>
      <c r="B277" s="455" t="s">
        <v>1087</v>
      </c>
      <c r="C277" s="455"/>
      <c r="D277" s="684" t="s">
        <v>1261</v>
      </c>
      <c r="E277" s="576" t="s">
        <v>1236</v>
      </c>
      <c r="F277" s="677" t="s">
        <v>422</v>
      </c>
      <c r="G277" s="678" t="s">
        <v>1084</v>
      </c>
      <c r="H277" s="678">
        <v>46205</v>
      </c>
      <c r="I277" s="679">
        <v>46376</v>
      </c>
      <c r="J277" s="680" t="s">
        <v>1085</v>
      </c>
      <c r="K277" s="680" t="s">
        <v>98</v>
      </c>
      <c r="L277" s="682">
        <v>800</v>
      </c>
      <c r="M277" s="677" t="s">
        <v>99</v>
      </c>
      <c r="N277" s="677"/>
    </row>
    <row r="278" spans="1:19" s="355" customFormat="1" ht="27">
      <c r="A278" s="455" t="s">
        <v>1086</v>
      </c>
      <c r="B278" s="455" t="s">
        <v>1087</v>
      </c>
      <c r="C278" s="455"/>
      <c r="D278" s="684" t="s">
        <v>1262</v>
      </c>
      <c r="E278" s="576" t="s">
        <v>1237</v>
      </c>
      <c r="F278" s="677" t="s">
        <v>422</v>
      </c>
      <c r="G278" s="678" t="s">
        <v>1084</v>
      </c>
      <c r="H278" s="678">
        <v>46205</v>
      </c>
      <c r="I278" s="679">
        <v>46376</v>
      </c>
      <c r="J278" s="680" t="s">
        <v>1085</v>
      </c>
      <c r="K278" s="680" t="s">
        <v>98</v>
      </c>
      <c r="L278" s="682">
        <v>725</v>
      </c>
      <c r="M278" s="677" t="s">
        <v>99</v>
      </c>
      <c r="N278" s="677"/>
    </row>
    <row r="279" spans="1:19" s="355" customFormat="1" ht="27">
      <c r="A279" s="455" t="s">
        <v>1086</v>
      </c>
      <c r="B279" s="455" t="s">
        <v>1087</v>
      </c>
      <c r="C279" s="455"/>
      <c r="D279" s="699" t="s">
        <v>1263</v>
      </c>
      <c r="E279" s="576" t="s">
        <v>1265</v>
      </c>
      <c r="F279" s="677" t="s">
        <v>422</v>
      </c>
      <c r="G279" s="678" t="s">
        <v>1084</v>
      </c>
      <c r="H279" s="678">
        <v>46205</v>
      </c>
      <c r="I279" s="679">
        <v>46376</v>
      </c>
      <c r="J279" s="680" t="s">
        <v>1085</v>
      </c>
      <c r="K279" s="680" t="s">
        <v>98</v>
      </c>
      <c r="L279" s="700">
        <v>270</v>
      </c>
      <c r="M279" s="677" t="s">
        <v>99</v>
      </c>
      <c r="N279" s="677"/>
    </row>
    <row r="280" spans="1:19" s="355" customFormat="1" ht="27">
      <c r="A280" s="455" t="s">
        <v>1086</v>
      </c>
      <c r="B280" s="455" t="s">
        <v>1087</v>
      </c>
      <c r="C280" s="455"/>
      <c r="D280" s="694" t="s">
        <v>1264</v>
      </c>
      <c r="E280" s="576" t="s">
        <v>192</v>
      </c>
      <c r="F280" s="677" t="s">
        <v>422</v>
      </c>
      <c r="G280" s="678" t="s">
        <v>1084</v>
      </c>
      <c r="H280" s="678">
        <v>46205</v>
      </c>
      <c r="I280" s="679">
        <v>46376</v>
      </c>
      <c r="J280" s="680" t="s">
        <v>1085</v>
      </c>
      <c r="K280" s="680" t="s">
        <v>98</v>
      </c>
      <c r="L280" s="682">
        <v>450</v>
      </c>
      <c r="M280" s="677" t="s">
        <v>99</v>
      </c>
      <c r="N280" s="677"/>
    </row>
    <row r="281" spans="1:19" s="355" customFormat="1" ht="13.5">
      <c r="A281" s="455"/>
      <c r="B281" s="455"/>
      <c r="C281" s="455"/>
      <c r="D281" s="701"/>
      <c r="E281" s="576"/>
      <c r="F281" s="702"/>
      <c r="G281" s="703"/>
      <c r="H281" s="703"/>
      <c r="I281" s="670"/>
      <c r="J281" s="704"/>
      <c r="K281" s="704"/>
      <c r="L281" s="705"/>
      <c r="M281" s="702"/>
      <c r="N281" s="702"/>
    </row>
    <row r="282" spans="1:19" s="355" customFormat="1" ht="13.5">
      <c r="A282" s="455"/>
      <c r="B282" s="455"/>
      <c r="C282" s="455"/>
      <c r="D282" s="701"/>
      <c r="E282" s="576"/>
      <c r="F282" s="702"/>
      <c r="G282" s="703"/>
      <c r="H282" s="703"/>
      <c r="I282" s="670"/>
      <c r="J282" s="704"/>
      <c r="K282" s="704"/>
      <c r="L282" s="705"/>
      <c r="M282" s="702"/>
      <c r="N282" s="702"/>
    </row>
    <row r="283" spans="1:19" s="355" customFormat="1" ht="13.5">
      <c r="A283" s="455"/>
      <c r="B283" s="455"/>
      <c r="C283" s="706" t="s">
        <v>2</v>
      </c>
      <c r="D283" s="2631" t="s">
        <v>1083</v>
      </c>
      <c r="E283" s="2632"/>
      <c r="F283" s="2633"/>
      <c r="G283" s="669"/>
      <c r="H283" s="707"/>
      <c r="I283" s="671"/>
      <c r="J283" s="673"/>
      <c r="K283" s="455"/>
      <c r="L283" s="668"/>
      <c r="M283" s="674"/>
      <c r="N283" s="702"/>
      <c r="S283" s="621">
        <v>11230</v>
      </c>
    </row>
    <row r="284" spans="1:19" s="355" customFormat="1" ht="40.5">
      <c r="A284" s="455" t="s">
        <v>1086</v>
      </c>
      <c r="B284" s="455" t="s">
        <v>1087</v>
      </c>
      <c r="C284" s="667"/>
      <c r="D284" s="676" t="s">
        <v>1222</v>
      </c>
      <c r="E284" s="676" t="s">
        <v>1266</v>
      </c>
      <c r="F284" s="677" t="s">
        <v>1104</v>
      </c>
      <c r="G284" s="708" t="s">
        <v>1084</v>
      </c>
      <c r="H284" s="709">
        <v>46054</v>
      </c>
      <c r="I284" s="679">
        <v>46056</v>
      </c>
      <c r="J284" s="680" t="s">
        <v>1105</v>
      </c>
      <c r="K284" s="710" t="s">
        <v>98</v>
      </c>
      <c r="L284" s="681">
        <v>1500</v>
      </c>
      <c r="M284" s="677" t="s">
        <v>659</v>
      </c>
      <c r="N284" s="674"/>
    </row>
    <row r="285" spans="1:19" s="355" customFormat="1" ht="40.5">
      <c r="A285" s="455" t="s">
        <v>1086</v>
      </c>
      <c r="B285" s="455" t="s">
        <v>1087</v>
      </c>
      <c r="C285" s="667"/>
      <c r="D285" s="676" t="s">
        <v>1224</v>
      </c>
      <c r="E285" s="676" t="s">
        <v>1267</v>
      </c>
      <c r="F285" s="677" t="s">
        <v>1104</v>
      </c>
      <c r="G285" s="708" t="s">
        <v>1084</v>
      </c>
      <c r="H285" s="709">
        <v>46054</v>
      </c>
      <c r="I285" s="679">
        <v>46056</v>
      </c>
      <c r="J285" s="680" t="s">
        <v>1105</v>
      </c>
      <c r="K285" s="710" t="s">
        <v>98</v>
      </c>
      <c r="L285" s="682">
        <v>500</v>
      </c>
      <c r="M285" s="677" t="s">
        <v>659</v>
      </c>
      <c r="N285" s="674"/>
    </row>
    <row r="286" spans="1:19" s="355" customFormat="1" ht="40.5">
      <c r="A286" s="455" t="s">
        <v>1086</v>
      </c>
      <c r="B286" s="455" t="s">
        <v>1087</v>
      </c>
      <c r="C286" s="667"/>
      <c r="D286" s="676" t="s">
        <v>1274</v>
      </c>
      <c r="E286" s="676" t="s">
        <v>1267</v>
      </c>
      <c r="F286" s="677" t="s">
        <v>1104</v>
      </c>
      <c r="G286" s="708" t="s">
        <v>1084</v>
      </c>
      <c r="H286" s="709">
        <v>46054</v>
      </c>
      <c r="I286" s="679">
        <v>46056</v>
      </c>
      <c r="J286" s="680" t="s">
        <v>1105</v>
      </c>
      <c r="K286" s="710" t="s">
        <v>98</v>
      </c>
      <c r="L286" s="682">
        <v>500</v>
      </c>
      <c r="M286" s="677" t="s">
        <v>659</v>
      </c>
      <c r="N286" s="674"/>
    </row>
    <row r="287" spans="1:19" s="355" customFormat="1" ht="40.5">
      <c r="A287" s="455" t="s">
        <v>1086</v>
      </c>
      <c r="B287" s="455" t="s">
        <v>1087</v>
      </c>
      <c r="C287" s="667"/>
      <c r="D287" s="676" t="s">
        <v>1228</v>
      </c>
      <c r="E287" s="676" t="s">
        <v>1267</v>
      </c>
      <c r="F287" s="677" t="s">
        <v>1104</v>
      </c>
      <c r="G287" s="708" t="s">
        <v>1084</v>
      </c>
      <c r="H287" s="709">
        <v>46054</v>
      </c>
      <c r="I287" s="679">
        <v>46056</v>
      </c>
      <c r="J287" s="680" t="s">
        <v>1105</v>
      </c>
      <c r="K287" s="710" t="s">
        <v>98</v>
      </c>
      <c r="L287" s="682">
        <v>500</v>
      </c>
      <c r="M287" s="677" t="s">
        <v>659</v>
      </c>
      <c r="N287" s="674"/>
    </row>
    <row r="288" spans="1:19" s="355" customFormat="1" ht="40.5">
      <c r="A288" s="455" t="s">
        <v>1086</v>
      </c>
      <c r="B288" s="455" t="s">
        <v>1087</v>
      </c>
      <c r="C288" s="667"/>
      <c r="D288" s="676" t="s">
        <v>1229</v>
      </c>
      <c r="E288" s="676" t="s">
        <v>1268</v>
      </c>
      <c r="F288" s="677" t="s">
        <v>1104</v>
      </c>
      <c r="G288" s="708" t="s">
        <v>1084</v>
      </c>
      <c r="H288" s="709">
        <v>46054</v>
      </c>
      <c r="I288" s="679">
        <v>46056</v>
      </c>
      <c r="J288" s="680" t="s">
        <v>1105</v>
      </c>
      <c r="K288" s="710" t="s">
        <v>98</v>
      </c>
      <c r="L288" s="682">
        <v>1500</v>
      </c>
      <c r="M288" s="677" t="s">
        <v>659</v>
      </c>
      <c r="N288" s="674"/>
    </row>
    <row r="289" spans="1:15" s="355" customFormat="1" ht="40.5">
      <c r="A289" s="455" t="s">
        <v>1086</v>
      </c>
      <c r="B289" s="455" t="s">
        <v>1087</v>
      </c>
      <c r="C289" s="667"/>
      <c r="D289" s="676" t="s">
        <v>1275</v>
      </c>
      <c r="E289" s="676" t="s">
        <v>1267</v>
      </c>
      <c r="F289" s="677" t="s">
        <v>1104</v>
      </c>
      <c r="G289" s="708" t="s">
        <v>1084</v>
      </c>
      <c r="H289" s="709">
        <v>46054</v>
      </c>
      <c r="I289" s="679">
        <v>46056</v>
      </c>
      <c r="J289" s="680" t="s">
        <v>1105</v>
      </c>
      <c r="K289" s="710" t="s">
        <v>98</v>
      </c>
      <c r="L289" s="682">
        <v>500</v>
      </c>
      <c r="M289" s="677" t="s">
        <v>659</v>
      </c>
      <c r="N289" s="674"/>
    </row>
    <row r="290" spans="1:15" s="355" customFormat="1" ht="40.5">
      <c r="A290" s="455" t="s">
        <v>1086</v>
      </c>
      <c r="B290" s="455" t="s">
        <v>1087</v>
      </c>
      <c r="C290" s="677"/>
      <c r="D290" s="676" t="s">
        <v>1230</v>
      </c>
      <c r="E290" s="676" t="s">
        <v>1269</v>
      </c>
      <c r="F290" s="677" t="s">
        <v>1104</v>
      </c>
      <c r="G290" s="708" t="s">
        <v>1084</v>
      </c>
      <c r="H290" s="709">
        <v>46054</v>
      </c>
      <c r="I290" s="679">
        <v>46056</v>
      </c>
      <c r="J290" s="680" t="s">
        <v>1105</v>
      </c>
      <c r="K290" s="710" t="s">
        <v>98</v>
      </c>
      <c r="L290" s="682">
        <v>500</v>
      </c>
      <c r="M290" s="677" t="s">
        <v>659</v>
      </c>
      <c r="N290" s="674"/>
    </row>
    <row r="291" spans="1:15" s="355" customFormat="1" ht="40.5">
      <c r="A291" s="455" t="s">
        <v>1086</v>
      </c>
      <c r="B291" s="455" t="s">
        <v>1087</v>
      </c>
      <c r="C291" s="677"/>
      <c r="D291" s="676" t="s">
        <v>1231</v>
      </c>
      <c r="E291" s="676" t="s">
        <v>1225</v>
      </c>
      <c r="F291" s="677" t="s">
        <v>1104</v>
      </c>
      <c r="G291" s="708" t="s">
        <v>1084</v>
      </c>
      <c r="H291" s="709">
        <v>46054</v>
      </c>
      <c r="I291" s="679">
        <v>46056</v>
      </c>
      <c r="J291" s="680" t="s">
        <v>1105</v>
      </c>
      <c r="K291" s="710" t="s">
        <v>98</v>
      </c>
      <c r="L291" s="682">
        <v>500</v>
      </c>
      <c r="M291" s="677" t="s">
        <v>659</v>
      </c>
      <c r="N291" s="692"/>
    </row>
    <row r="292" spans="1:15" s="355" customFormat="1" ht="40.5">
      <c r="A292" s="455" t="s">
        <v>1086</v>
      </c>
      <c r="B292" s="455" t="s">
        <v>1087</v>
      </c>
      <c r="C292" s="695"/>
      <c r="D292" s="711" t="s">
        <v>1239</v>
      </c>
      <c r="E292" s="711" t="s">
        <v>1270</v>
      </c>
      <c r="F292" s="677" t="s">
        <v>1104</v>
      </c>
      <c r="G292" s="712" t="s">
        <v>1084</v>
      </c>
      <c r="H292" s="713">
        <v>46054</v>
      </c>
      <c r="I292" s="697">
        <v>46056</v>
      </c>
      <c r="J292" s="673" t="s">
        <v>1105</v>
      </c>
      <c r="K292" s="714" t="s">
        <v>98</v>
      </c>
      <c r="L292" s="715">
        <v>2540</v>
      </c>
      <c r="M292" s="677" t="s">
        <v>659</v>
      </c>
      <c r="N292" s="674"/>
    </row>
    <row r="293" spans="1:15" s="355" customFormat="1" ht="40.5">
      <c r="A293" s="455" t="s">
        <v>1086</v>
      </c>
      <c r="B293" s="455" t="s">
        <v>1087</v>
      </c>
      <c r="C293" s="677"/>
      <c r="D293" s="691" t="s">
        <v>1254</v>
      </c>
      <c r="E293" s="691" t="s">
        <v>1271</v>
      </c>
      <c r="F293" s="677" t="s">
        <v>1104</v>
      </c>
      <c r="G293" s="708" t="s">
        <v>1084</v>
      </c>
      <c r="H293" s="709">
        <v>46054</v>
      </c>
      <c r="I293" s="679">
        <v>46056</v>
      </c>
      <c r="J293" s="680" t="s">
        <v>1105</v>
      </c>
      <c r="K293" s="710" t="s">
        <v>98</v>
      </c>
      <c r="L293" s="682">
        <v>110</v>
      </c>
      <c r="M293" s="677" t="s">
        <v>659</v>
      </c>
      <c r="N293" s="674"/>
    </row>
    <row r="294" spans="1:15" s="355" customFormat="1" ht="40.5">
      <c r="A294" s="455" t="s">
        <v>1086</v>
      </c>
      <c r="B294" s="455" t="s">
        <v>1087</v>
      </c>
      <c r="C294" s="677"/>
      <c r="D294" s="691" t="s">
        <v>1240</v>
      </c>
      <c r="E294" s="691" t="s">
        <v>1272</v>
      </c>
      <c r="F294" s="677" t="s">
        <v>1104</v>
      </c>
      <c r="G294" s="708" t="s">
        <v>1084</v>
      </c>
      <c r="H294" s="709">
        <v>46054</v>
      </c>
      <c r="I294" s="679">
        <v>46056</v>
      </c>
      <c r="J294" s="680" t="s">
        <v>1105</v>
      </c>
      <c r="K294" s="710" t="s">
        <v>98</v>
      </c>
      <c r="L294" s="682">
        <v>1950</v>
      </c>
      <c r="M294" s="677" t="s">
        <v>659</v>
      </c>
      <c r="N294" s="674"/>
    </row>
    <row r="295" spans="1:15" s="355" customFormat="1" ht="40.5">
      <c r="A295" s="455" t="s">
        <v>1086</v>
      </c>
      <c r="B295" s="455" t="s">
        <v>1087</v>
      </c>
      <c r="C295" s="677"/>
      <c r="D295" s="694" t="s">
        <v>1242</v>
      </c>
      <c r="E295" s="694" t="s">
        <v>1273</v>
      </c>
      <c r="F295" s="677" t="s">
        <v>1104</v>
      </c>
      <c r="G295" s="716" t="s">
        <v>1084</v>
      </c>
      <c r="H295" s="709">
        <v>46054</v>
      </c>
      <c r="I295" s="679">
        <v>46056</v>
      </c>
      <c r="J295" s="680" t="s">
        <v>1105</v>
      </c>
      <c r="K295" s="717" t="s">
        <v>98</v>
      </c>
      <c r="L295" s="698">
        <v>520</v>
      </c>
      <c r="M295" s="677" t="s">
        <v>659</v>
      </c>
      <c r="N295" s="674"/>
    </row>
    <row r="296" spans="1:15" s="355" customFormat="1" ht="40.5">
      <c r="A296" s="455" t="s">
        <v>1086</v>
      </c>
      <c r="B296" s="455" t="s">
        <v>1087</v>
      </c>
      <c r="C296" s="677"/>
      <c r="D296" s="691" t="s">
        <v>1260</v>
      </c>
      <c r="E296" s="691" t="s">
        <v>1205</v>
      </c>
      <c r="F296" s="677" t="s">
        <v>1104</v>
      </c>
      <c r="G296" s="708" t="s">
        <v>1084</v>
      </c>
      <c r="H296" s="709">
        <v>46054</v>
      </c>
      <c r="I296" s="679">
        <v>46056</v>
      </c>
      <c r="J296" s="680" t="s">
        <v>1105</v>
      </c>
      <c r="K296" s="710" t="s">
        <v>98</v>
      </c>
      <c r="L296" s="681">
        <v>110</v>
      </c>
      <c r="M296" s="677" t="s">
        <v>659</v>
      </c>
      <c r="N296" s="674"/>
    </row>
    <row r="297" spans="1:15">
      <c r="A297" s="14"/>
      <c r="B297" s="14"/>
      <c r="C297" s="14"/>
      <c r="D297" s="718"/>
      <c r="E297" s="727"/>
      <c r="F297" s="719"/>
      <c r="G297" s="720"/>
      <c r="H297" s="720"/>
      <c r="I297" s="721"/>
      <c r="J297" s="722"/>
      <c r="K297" s="722"/>
      <c r="L297" s="723"/>
      <c r="M297" s="724"/>
      <c r="N297" s="725"/>
    </row>
    <row r="298" spans="1:15">
      <c r="A298" s="14"/>
      <c r="B298" s="14"/>
      <c r="C298" s="14"/>
      <c r="D298" s="718"/>
      <c r="E298" s="727"/>
      <c r="F298" s="719"/>
      <c r="G298" s="720"/>
      <c r="H298" s="720"/>
      <c r="I298" s="721"/>
      <c r="J298" s="722"/>
      <c r="K298" s="722"/>
      <c r="L298" s="723"/>
      <c r="M298" s="724"/>
      <c r="N298" s="725"/>
    </row>
    <row r="299" spans="1:15" ht="38.25">
      <c r="A299" s="301" t="s">
        <v>2041</v>
      </c>
      <c r="B299" s="302" t="s">
        <v>1852</v>
      </c>
      <c r="C299" s="1671" t="s">
        <v>1763</v>
      </c>
      <c r="D299" s="242" t="s">
        <v>2</v>
      </c>
      <c r="E299" s="1684"/>
      <c r="F299" s="1571" t="s">
        <v>1764</v>
      </c>
      <c r="G299" s="1571" t="s">
        <v>1</v>
      </c>
      <c r="H299" s="1672" t="s">
        <v>675</v>
      </c>
      <c r="I299" s="1672" t="s">
        <v>599</v>
      </c>
      <c r="J299" s="1672" t="s">
        <v>599</v>
      </c>
      <c r="K299" s="1565" t="s">
        <v>748</v>
      </c>
      <c r="L299" s="1673">
        <v>56140</v>
      </c>
      <c r="M299" s="1533" t="s">
        <v>1765</v>
      </c>
      <c r="N299" s="1565" t="s">
        <v>703</v>
      </c>
    </row>
    <row r="300" spans="1:15">
      <c r="A300" s="301" t="s">
        <v>2041</v>
      </c>
      <c r="B300" s="302" t="s">
        <v>1852</v>
      </c>
      <c r="C300" s="1571" t="s">
        <v>735</v>
      </c>
      <c r="D300" s="1581" t="s">
        <v>1766</v>
      </c>
      <c r="E300" s="280">
        <v>4</v>
      </c>
      <c r="F300" s="280" t="s">
        <v>1767</v>
      </c>
      <c r="G300" s="1561"/>
      <c r="H300" s="1577"/>
      <c r="I300" s="1578"/>
      <c r="J300" s="1571"/>
      <c r="K300" s="1579"/>
      <c r="L300" s="1577"/>
      <c r="M300" s="1674"/>
      <c r="N300" s="1580"/>
      <c r="O300" s="1577"/>
    </row>
    <row r="301" spans="1:15">
      <c r="A301" s="301" t="s">
        <v>2041</v>
      </c>
      <c r="B301" s="302" t="s">
        <v>1852</v>
      </c>
      <c r="C301" s="1577"/>
      <c r="D301" s="1581" t="s">
        <v>1768</v>
      </c>
      <c r="E301" s="280">
        <v>4</v>
      </c>
      <c r="F301" s="280" t="s">
        <v>1767</v>
      </c>
      <c r="G301" s="1561"/>
      <c r="H301" s="1577"/>
      <c r="I301" s="1578"/>
      <c r="J301" s="1571"/>
      <c r="K301" s="1579"/>
      <c r="L301" s="1577"/>
      <c r="M301" s="1674"/>
      <c r="N301" s="1580"/>
      <c r="O301" s="1577"/>
    </row>
    <row r="302" spans="1:15">
      <c r="A302" s="301" t="s">
        <v>2041</v>
      </c>
      <c r="B302" s="302" t="s">
        <v>1852</v>
      </c>
      <c r="C302" s="1577"/>
      <c r="D302" s="1581" t="s">
        <v>1769</v>
      </c>
      <c r="E302" s="280">
        <v>4</v>
      </c>
      <c r="F302" s="280" t="s">
        <v>1767</v>
      </c>
      <c r="G302" s="1561"/>
      <c r="H302" s="1577"/>
      <c r="I302" s="1578"/>
      <c r="J302" s="1571"/>
      <c r="K302" s="1579"/>
      <c r="L302" s="1577"/>
      <c r="M302" s="1674"/>
      <c r="N302" s="1580"/>
      <c r="O302" s="1577"/>
    </row>
    <row r="303" spans="1:15">
      <c r="A303" s="301" t="s">
        <v>2041</v>
      </c>
      <c r="B303" s="302" t="s">
        <v>1852</v>
      </c>
      <c r="C303" s="1561"/>
      <c r="D303" s="1581" t="s">
        <v>1770</v>
      </c>
      <c r="E303" s="280">
        <v>15</v>
      </c>
      <c r="F303" s="280" t="s">
        <v>1767</v>
      </c>
      <c r="G303" s="1561"/>
      <c r="H303" s="1561"/>
      <c r="I303" s="1562"/>
      <c r="J303" s="1562"/>
      <c r="K303" s="1582"/>
      <c r="L303" s="1561"/>
      <c r="M303" s="1674"/>
      <c r="N303" s="1561"/>
      <c r="O303" s="1561"/>
    </row>
    <row r="304" spans="1:15">
      <c r="A304" s="301" t="s">
        <v>2041</v>
      </c>
      <c r="B304" s="302" t="s">
        <v>1852</v>
      </c>
      <c r="C304" s="1561"/>
      <c r="D304" s="1581" t="s">
        <v>1771</v>
      </c>
      <c r="E304" s="280">
        <v>15</v>
      </c>
      <c r="F304" s="280" t="s">
        <v>1767</v>
      </c>
      <c r="G304" s="1561"/>
      <c r="H304" s="1561"/>
      <c r="I304" s="1562"/>
      <c r="J304" s="1562"/>
      <c r="K304" s="1582"/>
      <c r="L304" s="1561" t="s">
        <v>111</v>
      </c>
      <c r="M304" s="1674"/>
      <c r="N304" s="1561"/>
      <c r="O304" s="1561"/>
    </row>
    <row r="305" spans="1:15">
      <c r="A305" s="301" t="s">
        <v>2041</v>
      </c>
      <c r="B305" s="302" t="s">
        <v>1852</v>
      </c>
      <c r="C305" s="1561"/>
      <c r="D305" s="1581" t="s">
        <v>1772</v>
      </c>
      <c r="E305" s="280">
        <v>1</v>
      </c>
      <c r="F305" s="280" t="s">
        <v>1773</v>
      </c>
      <c r="G305" s="1561"/>
      <c r="H305" s="1561"/>
      <c r="I305" s="1562"/>
      <c r="J305" s="1562"/>
      <c r="K305" s="1582"/>
      <c r="L305" s="1561"/>
      <c r="M305" s="1674"/>
      <c r="N305" s="1561"/>
      <c r="O305" s="1561"/>
    </row>
    <row r="306" spans="1:15">
      <c r="A306" s="301" t="s">
        <v>2041</v>
      </c>
      <c r="B306" s="302" t="s">
        <v>1852</v>
      </c>
      <c r="C306" s="1561"/>
      <c r="D306" s="1581" t="s">
        <v>475</v>
      </c>
      <c r="E306" s="280">
        <v>13</v>
      </c>
      <c r="F306" s="280" t="s">
        <v>761</v>
      </c>
      <c r="G306" s="1561"/>
      <c r="H306" s="1561"/>
      <c r="I306" s="1583"/>
      <c r="J306" s="1562"/>
      <c r="K306" s="1582"/>
      <c r="L306" s="1561"/>
      <c r="M306" s="1674"/>
      <c r="N306" s="1561"/>
      <c r="O306" s="1561"/>
    </row>
    <row r="307" spans="1:15">
      <c r="A307" s="301" t="s">
        <v>2041</v>
      </c>
      <c r="B307" s="302" t="s">
        <v>1852</v>
      </c>
      <c r="C307" s="1561"/>
      <c r="D307" s="1581" t="s">
        <v>1774</v>
      </c>
      <c r="E307" s="280">
        <v>2</v>
      </c>
      <c r="F307" s="280" t="s">
        <v>761</v>
      </c>
      <c r="G307" s="1561"/>
      <c r="H307" s="1561"/>
      <c r="I307" s="1579"/>
      <c r="J307" s="1579"/>
      <c r="K307" s="1579"/>
      <c r="L307" s="1675"/>
      <c r="M307" s="1674"/>
      <c r="N307" s="1561"/>
      <c r="O307" s="1561"/>
    </row>
    <row r="308" spans="1:15">
      <c r="A308" s="301" t="s">
        <v>2041</v>
      </c>
      <c r="B308" s="302" t="s">
        <v>1852</v>
      </c>
      <c r="C308" s="1561"/>
      <c r="D308" s="1581" t="s">
        <v>1775</v>
      </c>
      <c r="E308" s="280">
        <v>1</v>
      </c>
      <c r="F308" s="280" t="s">
        <v>1773</v>
      </c>
      <c r="G308" s="1561"/>
      <c r="H308" s="1561"/>
      <c r="I308" s="1579"/>
      <c r="J308" s="1579"/>
      <c r="K308" s="1579"/>
      <c r="L308" s="1561"/>
      <c r="M308" s="1674"/>
      <c r="N308" s="1561"/>
      <c r="O308" s="1561"/>
    </row>
    <row r="309" spans="1:15">
      <c r="A309" s="301" t="s">
        <v>2041</v>
      </c>
      <c r="B309" s="302" t="s">
        <v>1852</v>
      </c>
      <c r="C309" s="1561"/>
      <c r="D309" s="1581" t="s">
        <v>178</v>
      </c>
      <c r="E309" s="280">
        <v>6</v>
      </c>
      <c r="F309" s="280" t="s">
        <v>761</v>
      </c>
      <c r="G309" s="1561"/>
      <c r="H309" s="1561"/>
      <c r="I309" s="1579"/>
      <c r="J309" s="1579"/>
      <c r="K309" s="1579"/>
      <c r="L309" s="1561"/>
      <c r="M309" s="1674"/>
      <c r="N309" s="1561"/>
      <c r="O309" s="1561"/>
    </row>
    <row r="310" spans="1:15">
      <c r="A310" s="301" t="s">
        <v>2041</v>
      </c>
      <c r="B310" s="302" t="s">
        <v>1852</v>
      </c>
      <c r="C310" s="1561"/>
      <c r="D310" s="1581" t="s">
        <v>1776</v>
      </c>
      <c r="E310" s="280">
        <v>2</v>
      </c>
      <c r="F310" s="280" t="s">
        <v>755</v>
      </c>
      <c r="G310" s="1561"/>
      <c r="H310" s="1561"/>
      <c r="I310" s="1583"/>
      <c r="J310" s="1562"/>
      <c r="K310" s="1582"/>
      <c r="L310" s="1561"/>
      <c r="M310" s="1674"/>
      <c r="N310" s="1561"/>
      <c r="O310" s="1561"/>
    </row>
    <row r="311" spans="1:15">
      <c r="A311" s="301" t="s">
        <v>2041</v>
      </c>
      <c r="B311" s="302" t="s">
        <v>1852</v>
      </c>
      <c r="C311" s="1561"/>
      <c r="D311" s="1581" t="s">
        <v>1777</v>
      </c>
      <c r="E311" s="280">
        <v>6</v>
      </c>
      <c r="F311" s="280" t="s">
        <v>761</v>
      </c>
      <c r="G311" s="1561"/>
      <c r="H311" s="1561"/>
      <c r="I311" s="1579"/>
      <c r="J311" s="1579"/>
      <c r="K311" s="1579"/>
      <c r="L311" s="1561"/>
      <c r="M311" s="1674"/>
      <c r="N311" s="1561"/>
      <c r="O311" s="1561"/>
    </row>
    <row r="312" spans="1:15">
      <c r="A312" s="301" t="s">
        <v>2041</v>
      </c>
      <c r="B312" s="302" t="s">
        <v>1852</v>
      </c>
      <c r="C312" s="1561"/>
      <c r="D312" s="1676" t="s">
        <v>1778</v>
      </c>
      <c r="E312" s="280">
        <v>12</v>
      </c>
      <c r="F312" s="280" t="s">
        <v>1779</v>
      </c>
      <c r="G312" s="1561"/>
      <c r="H312" s="1561"/>
      <c r="I312" s="1562"/>
      <c r="J312" s="1562"/>
      <c r="K312" s="1582"/>
      <c r="L312" s="1561"/>
      <c r="M312" s="1674"/>
      <c r="N312" s="1561"/>
      <c r="O312" s="1561"/>
    </row>
    <row r="313" spans="1:15">
      <c r="A313" s="301" t="s">
        <v>2041</v>
      </c>
      <c r="B313" s="302" t="s">
        <v>1852</v>
      </c>
      <c r="C313" s="1561"/>
      <c r="D313" s="1581" t="s">
        <v>1780</v>
      </c>
      <c r="E313" s="280">
        <v>12</v>
      </c>
      <c r="F313" s="280" t="s">
        <v>1779</v>
      </c>
      <c r="G313" s="1561"/>
      <c r="H313" s="1561"/>
      <c r="I313" s="1583"/>
      <c r="J313" s="1562"/>
      <c r="K313" s="1582"/>
      <c r="L313" s="1561"/>
      <c r="M313" s="1674"/>
      <c r="N313" s="1561"/>
      <c r="O313" s="1561"/>
    </row>
    <row r="314" spans="1:15">
      <c r="A314" s="301" t="s">
        <v>2041</v>
      </c>
      <c r="B314" s="302" t="s">
        <v>1852</v>
      </c>
      <c r="C314" s="1561"/>
      <c r="D314" s="1581" t="s">
        <v>1781</v>
      </c>
      <c r="E314" s="280">
        <v>4</v>
      </c>
      <c r="F314" s="280" t="s">
        <v>761</v>
      </c>
      <c r="G314" s="1561"/>
      <c r="H314" s="1561"/>
      <c r="I314" s="1562"/>
      <c r="J314" s="1562"/>
      <c r="K314" s="1562"/>
      <c r="L314" s="1561"/>
      <c r="M314" s="1674"/>
      <c r="N314" s="1561"/>
      <c r="O314" s="1561"/>
    </row>
    <row r="315" spans="1:15">
      <c r="A315" s="301" t="s">
        <v>2041</v>
      </c>
      <c r="B315" s="302" t="s">
        <v>1852</v>
      </c>
      <c r="C315" s="1561"/>
      <c r="D315" s="1581" t="s">
        <v>1782</v>
      </c>
      <c r="E315" s="280">
        <v>6</v>
      </c>
      <c r="F315" s="280" t="s">
        <v>761</v>
      </c>
      <c r="G315" s="1561"/>
      <c r="H315" s="1561"/>
      <c r="I315" s="1579"/>
      <c r="J315" s="1579"/>
      <c r="K315" s="1579"/>
      <c r="L315" s="1561"/>
      <c r="M315" s="1674"/>
      <c r="N315" s="1561"/>
      <c r="O315" s="1561"/>
    </row>
    <row r="316" spans="1:15">
      <c r="A316" s="301" t="s">
        <v>2041</v>
      </c>
      <c r="B316" s="302" t="s">
        <v>1852</v>
      </c>
      <c r="C316" s="1561"/>
      <c r="D316" s="1581" t="s">
        <v>1783</v>
      </c>
      <c r="E316" s="280">
        <v>1</v>
      </c>
      <c r="F316" s="280" t="s">
        <v>761</v>
      </c>
      <c r="G316" s="1561"/>
      <c r="H316" s="1561"/>
      <c r="I316" s="1562"/>
      <c r="J316" s="1562"/>
      <c r="K316" s="1582"/>
      <c r="L316" s="1561"/>
      <c r="M316" s="1674"/>
      <c r="N316" s="1561"/>
      <c r="O316" s="1561"/>
    </row>
    <row r="317" spans="1:15">
      <c r="A317" s="301" t="s">
        <v>2041</v>
      </c>
      <c r="B317" s="302" t="s">
        <v>1852</v>
      </c>
      <c r="C317" s="1561"/>
      <c r="D317" s="1581" t="s">
        <v>1784</v>
      </c>
      <c r="E317" s="280">
        <v>2</v>
      </c>
      <c r="F317" s="280" t="s">
        <v>761</v>
      </c>
      <c r="G317" s="1561"/>
      <c r="H317" s="1561"/>
      <c r="I317" s="1562"/>
      <c r="J317" s="1562"/>
      <c r="K317" s="1582"/>
      <c r="L317" s="1561"/>
      <c r="M317" s="1674"/>
      <c r="N317" s="1561"/>
      <c r="O317" s="1561"/>
    </row>
    <row r="318" spans="1:15">
      <c r="A318" s="301" t="s">
        <v>2041</v>
      </c>
      <c r="B318" s="302" t="s">
        <v>1852</v>
      </c>
      <c r="C318" s="1561"/>
      <c r="D318" s="1581" t="s">
        <v>1785</v>
      </c>
      <c r="E318" s="280">
        <v>5</v>
      </c>
      <c r="F318" s="280" t="s">
        <v>755</v>
      </c>
      <c r="G318" s="1561"/>
      <c r="H318" s="1561"/>
      <c r="I318" s="1562"/>
      <c r="J318" s="1562"/>
      <c r="K318" s="1582"/>
      <c r="L318" s="1561"/>
      <c r="M318" s="1674"/>
      <c r="N318" s="1561"/>
      <c r="O318" s="1561"/>
    </row>
    <row r="319" spans="1:15">
      <c r="A319" s="301" t="s">
        <v>2041</v>
      </c>
      <c r="B319" s="302" t="s">
        <v>1852</v>
      </c>
      <c r="C319" s="1561"/>
      <c r="D319" s="1581" t="s">
        <v>1786</v>
      </c>
      <c r="E319" s="280">
        <v>2</v>
      </c>
      <c r="F319" s="280" t="s">
        <v>755</v>
      </c>
      <c r="G319" s="1561"/>
      <c r="H319" s="1561"/>
      <c r="I319" s="1562"/>
      <c r="J319" s="1562"/>
      <c r="K319" s="1582"/>
      <c r="L319" s="1561"/>
      <c r="M319" s="1674"/>
      <c r="N319" s="1561"/>
      <c r="O319" s="1561"/>
    </row>
    <row r="320" spans="1:15">
      <c r="A320" s="301" t="s">
        <v>2041</v>
      </c>
      <c r="B320" s="302" t="s">
        <v>1852</v>
      </c>
      <c r="C320" s="1561"/>
      <c r="D320" s="1581" t="s">
        <v>1787</v>
      </c>
      <c r="E320" s="280">
        <v>2</v>
      </c>
      <c r="F320" s="280" t="s">
        <v>755</v>
      </c>
      <c r="G320" s="1561"/>
      <c r="H320" s="1561"/>
      <c r="I320" s="1562"/>
      <c r="J320" s="1562"/>
      <c r="K320" s="1582"/>
      <c r="L320" s="1561"/>
      <c r="M320" s="1674"/>
      <c r="N320" s="1561"/>
      <c r="O320" s="1561"/>
    </row>
    <row r="321" spans="1:15">
      <c r="A321" s="301" t="s">
        <v>2041</v>
      </c>
      <c r="B321" s="302" t="s">
        <v>1852</v>
      </c>
      <c r="C321" s="1561"/>
      <c r="D321" s="1581" t="s">
        <v>1788</v>
      </c>
      <c r="E321" s="280">
        <v>3</v>
      </c>
      <c r="F321" s="280" t="s">
        <v>1789</v>
      </c>
      <c r="G321" s="1561"/>
      <c r="H321" s="1561"/>
      <c r="I321" s="1562"/>
      <c r="J321" s="1562"/>
      <c r="K321" s="1582"/>
      <c r="L321" s="1561"/>
      <c r="M321" s="1674"/>
      <c r="N321" s="1561"/>
      <c r="O321" s="1561"/>
    </row>
    <row r="322" spans="1:15">
      <c r="A322" s="301" t="s">
        <v>2041</v>
      </c>
      <c r="B322" s="302" t="s">
        <v>1852</v>
      </c>
      <c r="C322" s="1561"/>
      <c r="D322" s="1581" t="s">
        <v>1790</v>
      </c>
      <c r="E322" s="280">
        <v>1</v>
      </c>
      <c r="F322" s="280" t="s">
        <v>1667</v>
      </c>
      <c r="G322" s="1561"/>
      <c r="H322" s="1561"/>
      <c r="I322" s="1562"/>
      <c r="J322" s="1562"/>
      <c r="K322" s="1582"/>
      <c r="L322" s="1561"/>
      <c r="M322" s="1674"/>
      <c r="N322" s="1561"/>
      <c r="O322" s="1561"/>
    </row>
    <row r="323" spans="1:15">
      <c r="A323" s="301" t="s">
        <v>2041</v>
      </c>
      <c r="B323" s="302" t="s">
        <v>1852</v>
      </c>
      <c r="C323" s="1561"/>
      <c r="D323" s="1677" t="s">
        <v>1791</v>
      </c>
      <c r="E323" s="280">
        <v>2</v>
      </c>
      <c r="F323" s="280" t="s">
        <v>761</v>
      </c>
      <c r="G323" s="1561"/>
      <c r="H323" s="1561"/>
      <c r="I323" s="1562"/>
      <c r="J323" s="1562"/>
      <c r="K323" s="1582"/>
      <c r="L323" s="1561"/>
      <c r="M323" s="1674" t="s">
        <v>111</v>
      </c>
      <c r="N323" s="1561"/>
      <c r="O323" s="1561"/>
    </row>
    <row r="324" spans="1:15">
      <c r="A324" s="301" t="s">
        <v>2041</v>
      </c>
      <c r="B324" s="302" t="s">
        <v>1852</v>
      </c>
      <c r="C324" s="1561"/>
      <c r="D324" s="1581" t="s">
        <v>1792</v>
      </c>
      <c r="E324" s="280">
        <v>2</v>
      </c>
      <c r="F324" s="280" t="s">
        <v>1793</v>
      </c>
      <c r="G324" s="1561"/>
      <c r="H324" s="1561"/>
      <c r="I324" s="1562"/>
      <c r="J324" s="1562"/>
      <c r="K324" s="1582"/>
      <c r="L324" s="1561"/>
      <c r="M324" s="1674"/>
      <c r="N324" s="1561"/>
      <c r="O324" s="1561"/>
    </row>
    <row r="325" spans="1:15">
      <c r="A325" s="301" t="s">
        <v>2041</v>
      </c>
      <c r="B325" s="302" t="s">
        <v>1852</v>
      </c>
      <c r="C325" s="1577"/>
      <c r="D325" s="1581" t="s">
        <v>1794</v>
      </c>
      <c r="E325" s="280">
        <v>5</v>
      </c>
      <c r="F325" s="280" t="s">
        <v>1793</v>
      </c>
      <c r="G325" s="1577"/>
      <c r="H325" s="1577"/>
      <c r="I325" s="1571"/>
      <c r="J325" s="1571"/>
      <c r="K325" s="1579"/>
      <c r="L325" s="1577"/>
      <c r="M325" s="1674"/>
      <c r="N325" s="1577"/>
      <c r="O325" s="1577"/>
    </row>
    <row r="326" spans="1:15">
      <c r="A326" s="301" t="s">
        <v>2041</v>
      </c>
      <c r="B326" s="302" t="s">
        <v>1852</v>
      </c>
      <c r="C326" s="1577"/>
      <c r="D326" s="1581" t="s">
        <v>1795</v>
      </c>
      <c r="E326" s="280">
        <v>5</v>
      </c>
      <c r="F326" s="280" t="s">
        <v>1793</v>
      </c>
      <c r="G326" s="1577"/>
      <c r="H326" s="1577"/>
      <c r="I326" s="1571"/>
      <c r="J326" s="1571"/>
      <c r="K326" s="1579"/>
      <c r="L326" s="1577"/>
      <c r="M326" s="1674"/>
      <c r="N326" s="1577"/>
      <c r="O326" s="1577"/>
    </row>
    <row r="327" spans="1:15">
      <c r="A327" s="301" t="s">
        <v>2041</v>
      </c>
      <c r="B327" s="302" t="s">
        <v>1852</v>
      </c>
      <c r="C327" s="1577"/>
      <c r="D327" s="1581" t="s">
        <v>1796</v>
      </c>
      <c r="E327" s="280">
        <v>5</v>
      </c>
      <c r="F327" s="280" t="s">
        <v>1793</v>
      </c>
      <c r="G327" s="1577"/>
      <c r="H327" s="1577"/>
      <c r="I327" s="1571"/>
      <c r="J327" s="1571"/>
      <c r="K327" s="1579"/>
      <c r="L327" s="1577"/>
      <c r="M327" s="1674"/>
      <c r="N327" s="1577"/>
      <c r="O327" s="1577"/>
    </row>
    <row r="328" spans="1:15">
      <c r="A328" s="301" t="s">
        <v>2041</v>
      </c>
      <c r="B328" s="302" t="s">
        <v>1852</v>
      </c>
      <c r="C328" s="1577"/>
      <c r="D328" s="1581" t="s">
        <v>1797</v>
      </c>
      <c r="E328" s="280">
        <v>5</v>
      </c>
      <c r="F328" s="280" t="s">
        <v>761</v>
      </c>
      <c r="G328" s="1577"/>
      <c r="H328" s="1678"/>
      <c r="I328" s="1571"/>
      <c r="J328" s="1571"/>
      <c r="K328" s="1579"/>
      <c r="L328" s="1577"/>
      <c r="M328" s="1674"/>
      <c r="N328" s="1577"/>
      <c r="O328" s="1577"/>
    </row>
    <row r="329" spans="1:15">
      <c r="A329" s="301" t="s">
        <v>2041</v>
      </c>
      <c r="B329" s="302" t="s">
        <v>1852</v>
      </c>
      <c r="C329" s="1577"/>
      <c r="D329" s="1581" t="s">
        <v>1798</v>
      </c>
      <c r="E329" s="280">
        <v>15</v>
      </c>
      <c r="F329" s="280" t="s">
        <v>1799</v>
      </c>
      <c r="G329" s="1679"/>
      <c r="H329" s="1571"/>
      <c r="I329" s="1578"/>
      <c r="J329" s="1571"/>
      <c r="K329" s="1579"/>
      <c r="L329" s="1565"/>
      <c r="M329" s="1680"/>
      <c r="N329" s="1580"/>
      <c r="O329" s="1571"/>
    </row>
    <row r="330" spans="1:15">
      <c r="A330" s="301" t="s">
        <v>2041</v>
      </c>
      <c r="B330" s="302" t="s">
        <v>1852</v>
      </c>
      <c r="C330" s="1577"/>
      <c r="D330" s="1581" t="s">
        <v>1800</v>
      </c>
      <c r="E330" s="280">
        <v>1</v>
      </c>
      <c r="F330" s="280" t="s">
        <v>761</v>
      </c>
      <c r="G330" s="1571"/>
      <c r="H330" s="1571"/>
      <c r="I330" s="1571"/>
      <c r="J330" s="1571"/>
      <c r="K330" s="1571"/>
      <c r="L330" s="1577"/>
      <c r="M330" s="1681"/>
      <c r="N330" s="1577"/>
      <c r="O330" s="1571"/>
    </row>
    <row r="331" spans="1:15">
      <c r="A331" s="301" t="s">
        <v>2041</v>
      </c>
      <c r="B331" s="302" t="s">
        <v>1852</v>
      </c>
      <c r="C331" s="1577"/>
      <c r="D331" s="1581" t="s">
        <v>1801</v>
      </c>
      <c r="E331" s="280">
        <v>15</v>
      </c>
      <c r="F331" s="280" t="s">
        <v>1667</v>
      </c>
      <c r="G331" s="1679"/>
      <c r="H331" s="1571"/>
      <c r="I331" s="1571"/>
      <c r="J331" s="1571"/>
      <c r="K331" s="1571"/>
      <c r="L331" s="1577"/>
      <c r="M331" s="1681"/>
      <c r="N331" s="1577"/>
      <c r="O331" s="1571"/>
    </row>
    <row r="332" spans="1:15">
      <c r="A332" s="301" t="s">
        <v>2041</v>
      </c>
      <c r="B332" s="302" t="s">
        <v>1852</v>
      </c>
      <c r="C332" s="1577"/>
      <c r="D332" s="1581" t="s">
        <v>1802</v>
      </c>
      <c r="E332" s="280">
        <v>5</v>
      </c>
      <c r="F332" s="280" t="s">
        <v>761</v>
      </c>
      <c r="G332" s="1679"/>
      <c r="H332" s="1571"/>
      <c r="I332" s="1571"/>
      <c r="J332" s="1571"/>
      <c r="K332" s="1571"/>
      <c r="L332" s="1577"/>
      <c r="M332" s="1681"/>
      <c r="N332" s="1577"/>
      <c r="O332" s="1571"/>
    </row>
    <row r="333" spans="1:15">
      <c r="A333" s="301" t="s">
        <v>2041</v>
      </c>
      <c r="B333" s="302" t="s">
        <v>1852</v>
      </c>
      <c r="C333" s="1577"/>
      <c r="D333" s="1581" t="s">
        <v>1803</v>
      </c>
      <c r="E333" s="280">
        <v>3</v>
      </c>
      <c r="F333" s="280" t="s">
        <v>755</v>
      </c>
      <c r="G333" s="1679"/>
      <c r="H333" s="1571"/>
      <c r="I333" s="1571"/>
      <c r="J333" s="1571"/>
      <c r="K333" s="1571"/>
      <c r="L333" s="1577"/>
      <c r="M333" s="1681"/>
      <c r="N333" s="1577"/>
      <c r="O333" s="1571"/>
    </row>
    <row r="334" spans="1:15">
      <c r="A334" s="301" t="s">
        <v>2041</v>
      </c>
      <c r="B334" s="302" t="s">
        <v>1852</v>
      </c>
      <c r="C334" s="1577"/>
      <c r="D334" s="1581" t="s">
        <v>1804</v>
      </c>
      <c r="E334" s="280">
        <v>1</v>
      </c>
      <c r="F334" s="280" t="s">
        <v>1805</v>
      </c>
      <c r="G334" s="1679"/>
      <c r="H334" s="1571"/>
      <c r="I334" s="1571"/>
      <c r="J334" s="1571"/>
      <c r="K334" s="1571"/>
      <c r="L334" s="1577"/>
      <c r="M334" s="1681"/>
      <c r="N334" s="1577"/>
      <c r="O334" s="1571"/>
    </row>
    <row r="335" spans="1:15">
      <c r="A335" s="301" t="s">
        <v>2041</v>
      </c>
      <c r="B335" s="302" t="s">
        <v>1852</v>
      </c>
      <c r="C335" s="1577"/>
      <c r="D335" s="1581" t="s">
        <v>1806</v>
      </c>
      <c r="E335" s="280">
        <v>15</v>
      </c>
      <c r="F335" s="280" t="s">
        <v>761</v>
      </c>
      <c r="G335" s="1679"/>
      <c r="H335" s="1571"/>
      <c r="I335" s="1571"/>
      <c r="J335" s="1571"/>
      <c r="K335" s="1571"/>
      <c r="L335" s="1577"/>
      <c r="M335" s="1681"/>
      <c r="N335" s="1577"/>
      <c r="O335" s="1571"/>
    </row>
    <row r="336" spans="1:15">
      <c r="A336" s="301" t="s">
        <v>2041</v>
      </c>
      <c r="B336" s="302" t="s">
        <v>1852</v>
      </c>
      <c r="C336" s="1577"/>
      <c r="D336" s="1581" t="s">
        <v>1807</v>
      </c>
      <c r="E336" s="280">
        <v>24</v>
      </c>
      <c r="F336" s="280" t="s">
        <v>761</v>
      </c>
      <c r="G336" s="1679"/>
      <c r="H336" s="1571"/>
      <c r="I336" s="1571"/>
      <c r="J336" s="1571"/>
      <c r="K336" s="1571"/>
      <c r="L336" s="1577"/>
      <c r="M336" s="1681"/>
      <c r="N336" s="1577"/>
      <c r="O336" s="1571"/>
    </row>
    <row r="337" spans="1:15">
      <c r="A337" s="301" t="s">
        <v>2041</v>
      </c>
      <c r="B337" s="302" t="s">
        <v>1852</v>
      </c>
      <c r="C337" s="1577"/>
      <c r="D337" s="1581" t="s">
        <v>1808</v>
      </c>
      <c r="E337" s="280">
        <v>1</v>
      </c>
      <c r="F337" s="280" t="s">
        <v>1667</v>
      </c>
      <c r="G337" s="1679"/>
      <c r="H337" s="1571"/>
      <c r="I337" s="1571"/>
      <c r="J337" s="1571"/>
      <c r="K337" s="1571"/>
      <c r="L337" s="1577"/>
      <c r="M337" s="1681"/>
      <c r="N337" s="1577"/>
      <c r="O337" s="1571"/>
    </row>
    <row r="338" spans="1:15">
      <c r="A338" s="301" t="s">
        <v>2041</v>
      </c>
      <c r="B338" s="302" t="s">
        <v>1852</v>
      </c>
      <c r="C338" s="1577"/>
      <c r="D338" s="1581" t="s">
        <v>1809</v>
      </c>
      <c r="E338" s="280">
        <v>6</v>
      </c>
      <c r="F338" s="280" t="s">
        <v>761</v>
      </c>
      <c r="G338" s="1679"/>
      <c r="H338" s="1571"/>
      <c r="I338" s="1571"/>
      <c r="J338" s="1571"/>
      <c r="K338" s="1571"/>
      <c r="L338" s="1577"/>
      <c r="M338" s="1681"/>
      <c r="N338" s="1577"/>
      <c r="O338" s="1571"/>
    </row>
    <row r="339" spans="1:15">
      <c r="A339" s="301" t="s">
        <v>2041</v>
      </c>
      <c r="B339" s="302" t="s">
        <v>1852</v>
      </c>
      <c r="C339" s="1577"/>
      <c r="D339" s="1581" t="s">
        <v>1810</v>
      </c>
      <c r="E339" s="280">
        <v>15</v>
      </c>
      <c r="F339" s="280" t="s">
        <v>761</v>
      </c>
      <c r="G339" s="1679"/>
      <c r="H339" s="1571"/>
      <c r="I339" s="1571"/>
      <c r="J339" s="1571"/>
      <c r="K339" s="1571"/>
      <c r="L339" s="1577"/>
      <c r="M339" s="1681"/>
      <c r="N339" s="1577"/>
      <c r="O339" s="1571"/>
    </row>
    <row r="340" spans="1:15">
      <c r="A340" s="301" t="s">
        <v>2041</v>
      </c>
      <c r="B340" s="302" t="s">
        <v>1852</v>
      </c>
      <c r="C340" s="1577"/>
      <c r="D340" s="1581" t="s">
        <v>1811</v>
      </c>
      <c r="E340" s="280">
        <v>100</v>
      </c>
      <c r="F340" s="280" t="s">
        <v>761</v>
      </c>
      <c r="G340" s="1679"/>
      <c r="H340" s="1571"/>
      <c r="I340" s="1571"/>
      <c r="J340" s="1571"/>
      <c r="K340" s="1571"/>
      <c r="L340" s="1577"/>
      <c r="M340" s="1681"/>
      <c r="N340" s="1577"/>
      <c r="O340" s="1571"/>
    </row>
    <row r="341" spans="1:15">
      <c r="A341" s="301" t="s">
        <v>2041</v>
      </c>
      <c r="B341" s="302" t="s">
        <v>1852</v>
      </c>
      <c r="C341" s="1577"/>
      <c r="D341" s="1581" t="s">
        <v>1812</v>
      </c>
      <c r="E341" s="280">
        <v>4</v>
      </c>
      <c r="F341" s="280" t="s">
        <v>761</v>
      </c>
      <c r="G341" s="1679"/>
      <c r="H341" s="1571"/>
      <c r="I341" s="1571"/>
      <c r="J341" s="1571"/>
      <c r="K341" s="1571"/>
      <c r="L341" s="1577"/>
      <c r="M341" s="1681"/>
      <c r="N341" s="1577"/>
      <c r="O341" s="1571"/>
    </row>
    <row r="342" spans="1:15">
      <c r="A342" s="301" t="s">
        <v>2041</v>
      </c>
      <c r="B342" s="302" t="s">
        <v>1852</v>
      </c>
      <c r="C342" s="1577"/>
      <c r="D342" s="1581" t="s">
        <v>1813</v>
      </c>
      <c r="E342" s="280">
        <v>4</v>
      </c>
      <c r="F342" s="280" t="s">
        <v>761</v>
      </c>
      <c r="G342" s="1679"/>
      <c r="H342" s="1571"/>
      <c r="I342" s="1571"/>
      <c r="J342" s="1571"/>
      <c r="K342" s="1571"/>
      <c r="L342" s="1577"/>
      <c r="M342" s="1681"/>
      <c r="N342" s="1577"/>
      <c r="O342" s="1571"/>
    </row>
    <row r="343" spans="1:15">
      <c r="A343" s="301" t="s">
        <v>2041</v>
      </c>
      <c r="B343" s="302" t="s">
        <v>1852</v>
      </c>
      <c r="C343" s="1577"/>
      <c r="D343" s="1581" t="s">
        <v>1814</v>
      </c>
      <c r="E343" s="280">
        <v>4</v>
      </c>
      <c r="F343" s="280" t="s">
        <v>1793</v>
      </c>
      <c r="G343" s="1679"/>
      <c r="H343" s="1571"/>
      <c r="I343" s="1571"/>
      <c r="J343" s="1571"/>
      <c r="K343" s="1571"/>
      <c r="L343" s="1577"/>
      <c r="M343" s="1681"/>
      <c r="N343" s="1577"/>
      <c r="O343" s="1571"/>
    </row>
    <row r="344" spans="1:15">
      <c r="A344" s="301" t="s">
        <v>2041</v>
      </c>
      <c r="B344" s="302" t="s">
        <v>1852</v>
      </c>
      <c r="C344" s="1577"/>
      <c r="D344" s="1581" t="s">
        <v>1815</v>
      </c>
      <c r="E344" s="280">
        <v>1</v>
      </c>
      <c r="F344" s="280" t="s">
        <v>1667</v>
      </c>
      <c r="G344" s="1679"/>
      <c r="H344" s="1571"/>
      <c r="I344" s="1571"/>
      <c r="J344" s="1571"/>
      <c r="K344" s="1571"/>
      <c r="L344" s="1577"/>
      <c r="M344" s="1681"/>
      <c r="N344" s="1577"/>
      <c r="O344" s="1571"/>
    </row>
    <row r="345" spans="1:15">
      <c r="A345" s="301" t="s">
        <v>2041</v>
      </c>
      <c r="B345" s="302" t="s">
        <v>1852</v>
      </c>
      <c r="C345" s="1577"/>
      <c r="D345" s="1581" t="s">
        <v>1816</v>
      </c>
      <c r="E345" s="280">
        <v>5</v>
      </c>
      <c r="F345" s="280" t="s">
        <v>1793</v>
      </c>
      <c r="G345" s="1679"/>
      <c r="H345" s="1571"/>
      <c r="I345" s="1571"/>
      <c r="J345" s="1571"/>
      <c r="K345" s="1571"/>
      <c r="L345" s="1577"/>
      <c r="M345" s="1681"/>
      <c r="N345" s="1577"/>
      <c r="O345" s="1571"/>
    </row>
    <row r="346" spans="1:15">
      <c r="A346" s="301" t="s">
        <v>2041</v>
      </c>
      <c r="B346" s="302" t="s">
        <v>1852</v>
      </c>
      <c r="C346" s="1577"/>
      <c r="D346" s="1581" t="s">
        <v>1817</v>
      </c>
      <c r="E346" s="280">
        <v>5</v>
      </c>
      <c r="F346" s="280" t="s">
        <v>763</v>
      </c>
      <c r="G346" s="1679"/>
      <c r="H346" s="1571"/>
      <c r="I346" s="1571"/>
      <c r="J346" s="1571"/>
      <c r="K346" s="1571"/>
      <c r="L346" s="1577"/>
      <c r="M346" s="1681"/>
      <c r="N346" s="1577"/>
      <c r="O346" s="1571"/>
    </row>
    <row r="347" spans="1:15">
      <c r="A347" s="301" t="s">
        <v>2041</v>
      </c>
      <c r="B347" s="302" t="s">
        <v>1852</v>
      </c>
      <c r="C347" s="1577"/>
      <c r="D347" s="1581" t="s">
        <v>1818</v>
      </c>
      <c r="E347" s="280">
        <v>12</v>
      </c>
      <c r="F347" s="280" t="s">
        <v>761</v>
      </c>
      <c r="G347" s="1679"/>
      <c r="H347" s="1571"/>
      <c r="I347" s="1571"/>
      <c r="J347" s="1571"/>
      <c r="K347" s="1571"/>
      <c r="L347" s="1577"/>
      <c r="M347" s="1681"/>
      <c r="N347" s="1577"/>
      <c r="O347" s="1571"/>
    </row>
    <row r="348" spans="1:15">
      <c r="A348" s="301" t="s">
        <v>2041</v>
      </c>
      <c r="B348" s="302" t="s">
        <v>1852</v>
      </c>
      <c r="C348" s="1577"/>
      <c r="D348" s="1581" t="s">
        <v>1819</v>
      </c>
      <c r="E348" s="280">
        <v>3</v>
      </c>
      <c r="F348" s="280" t="s">
        <v>755</v>
      </c>
      <c r="G348" s="1679"/>
      <c r="H348" s="1571"/>
      <c r="I348" s="1571"/>
      <c r="J348" s="1571"/>
      <c r="K348" s="1571"/>
      <c r="L348" s="1577"/>
      <c r="M348" s="1681"/>
      <c r="N348" s="1577"/>
      <c r="O348" s="1571"/>
    </row>
    <row r="349" spans="1:15">
      <c r="A349" s="301" t="s">
        <v>2041</v>
      </c>
      <c r="B349" s="302" t="s">
        <v>1852</v>
      </c>
      <c r="C349" s="1577"/>
      <c r="D349" s="1581" t="s">
        <v>173</v>
      </c>
      <c r="E349" s="280">
        <v>6</v>
      </c>
      <c r="F349" s="280" t="s">
        <v>761</v>
      </c>
      <c r="G349" s="1679"/>
      <c r="H349" s="1571"/>
      <c r="I349" s="1571"/>
      <c r="J349" s="1571"/>
      <c r="K349" s="1571"/>
      <c r="L349" s="1577"/>
      <c r="M349" s="1681"/>
      <c r="N349" s="1577"/>
      <c r="O349" s="1571"/>
    </row>
    <row r="350" spans="1:15">
      <c r="A350" s="301" t="s">
        <v>2041</v>
      </c>
      <c r="B350" s="302" t="s">
        <v>1852</v>
      </c>
      <c r="C350" s="1577"/>
      <c r="D350" s="1581" t="s">
        <v>1820</v>
      </c>
      <c r="E350" s="280">
        <v>3</v>
      </c>
      <c r="F350" s="280" t="s">
        <v>761</v>
      </c>
      <c r="G350" s="1679"/>
      <c r="H350" s="1571"/>
      <c r="I350" s="1571"/>
      <c r="J350" s="1571"/>
      <c r="K350" s="1571"/>
      <c r="L350" s="1577"/>
      <c r="M350" s="1681"/>
      <c r="N350" s="1577"/>
      <c r="O350" s="1571"/>
    </row>
    <row r="351" spans="1:15">
      <c r="A351" s="301" t="s">
        <v>2041</v>
      </c>
      <c r="B351" s="302" t="s">
        <v>1852</v>
      </c>
      <c r="C351" s="1577"/>
      <c r="D351" s="1581" t="s">
        <v>1821</v>
      </c>
      <c r="E351" s="280">
        <v>3</v>
      </c>
      <c r="F351" s="280" t="s">
        <v>761</v>
      </c>
      <c r="G351" s="1679"/>
      <c r="H351" s="1571"/>
      <c r="I351" s="1571"/>
      <c r="J351" s="1571"/>
      <c r="K351" s="1571"/>
      <c r="L351" s="1577"/>
      <c r="M351" s="1681"/>
      <c r="N351" s="1577"/>
      <c r="O351" s="1571"/>
    </row>
    <row r="352" spans="1:15">
      <c r="A352" s="301" t="s">
        <v>2041</v>
      </c>
      <c r="B352" s="302" t="s">
        <v>1852</v>
      </c>
      <c r="C352" s="1577"/>
      <c r="D352" s="1581" t="s">
        <v>1822</v>
      </c>
      <c r="E352" s="280">
        <v>4</v>
      </c>
      <c r="F352" s="280" t="s">
        <v>761</v>
      </c>
      <c r="G352" s="1679"/>
      <c r="H352" s="1571"/>
      <c r="I352" s="1571"/>
      <c r="J352" s="1571"/>
      <c r="K352" s="1571"/>
      <c r="L352" s="1577"/>
      <c r="M352" s="1681"/>
      <c r="N352" s="1577"/>
      <c r="O352" s="1571"/>
    </row>
    <row r="353" spans="1:15">
      <c r="A353" s="301" t="s">
        <v>2041</v>
      </c>
      <c r="B353" s="302" t="s">
        <v>1852</v>
      </c>
      <c r="C353" s="1577"/>
      <c r="D353" s="1581" t="s">
        <v>1823</v>
      </c>
      <c r="E353" s="280">
        <v>3</v>
      </c>
      <c r="F353" s="280" t="s">
        <v>761</v>
      </c>
      <c r="G353" s="1679"/>
      <c r="H353" s="1571"/>
      <c r="I353" s="1571"/>
      <c r="J353" s="1571"/>
      <c r="K353" s="1571"/>
      <c r="L353" s="1577"/>
      <c r="M353" s="1681"/>
      <c r="N353" s="1577"/>
      <c r="O353" s="1571"/>
    </row>
    <row r="354" spans="1:15">
      <c r="A354" s="301" t="s">
        <v>2041</v>
      </c>
      <c r="B354" s="302" t="s">
        <v>1852</v>
      </c>
      <c r="C354" s="1577"/>
      <c r="D354" s="1581" t="s">
        <v>1824</v>
      </c>
      <c r="E354" s="280">
        <v>1</v>
      </c>
      <c r="F354" s="280" t="s">
        <v>1793</v>
      </c>
      <c r="G354" s="1679"/>
      <c r="H354" s="1571"/>
      <c r="I354" s="1571"/>
      <c r="J354" s="1571"/>
      <c r="K354" s="1571"/>
      <c r="L354" s="1577"/>
      <c r="M354" s="1681"/>
      <c r="N354" s="1577"/>
      <c r="O354" s="1571"/>
    </row>
    <row r="355" spans="1:15">
      <c r="A355" s="301" t="s">
        <v>2041</v>
      </c>
      <c r="B355" s="302" t="s">
        <v>1852</v>
      </c>
      <c r="C355" s="1577"/>
      <c r="D355" s="1581" t="s">
        <v>1825</v>
      </c>
      <c r="E355" s="280">
        <v>12</v>
      </c>
      <c r="F355" s="280" t="s">
        <v>1779</v>
      </c>
      <c r="G355" s="1679"/>
      <c r="H355" s="1571"/>
      <c r="I355" s="1571"/>
      <c r="J355" s="1571"/>
      <c r="K355" s="1571"/>
      <c r="L355" s="1577"/>
      <c r="M355" s="1681"/>
      <c r="N355" s="1577"/>
      <c r="O355" s="1571"/>
    </row>
    <row r="356" spans="1:15">
      <c r="A356" s="301" t="s">
        <v>2041</v>
      </c>
      <c r="B356" s="302" t="s">
        <v>1852</v>
      </c>
      <c r="C356" s="1577"/>
      <c r="D356" s="1581" t="s">
        <v>1826</v>
      </c>
      <c r="E356" s="280">
        <v>3</v>
      </c>
      <c r="F356" s="280" t="s">
        <v>761</v>
      </c>
      <c r="G356" s="1679"/>
      <c r="H356" s="1571"/>
      <c r="I356" s="1571"/>
      <c r="J356" s="1571"/>
      <c r="K356" s="1571"/>
      <c r="L356" s="1577"/>
      <c r="M356" s="1681"/>
      <c r="N356" s="1577"/>
      <c r="O356" s="1571"/>
    </row>
    <row r="357" spans="1:15">
      <c r="A357" s="301" t="s">
        <v>2041</v>
      </c>
      <c r="B357" s="302" t="s">
        <v>1852</v>
      </c>
      <c r="C357" s="1577"/>
      <c r="D357" s="1581" t="s">
        <v>1827</v>
      </c>
      <c r="E357" s="280">
        <v>50</v>
      </c>
      <c r="F357" s="280" t="s">
        <v>755</v>
      </c>
      <c r="G357" s="1679"/>
      <c r="H357" s="1571"/>
      <c r="I357" s="1571"/>
      <c r="J357" s="1571"/>
      <c r="K357" s="1571"/>
      <c r="L357" s="1577"/>
      <c r="M357" s="1681"/>
      <c r="N357" s="1577"/>
      <c r="O357" s="1571"/>
    </row>
    <row r="358" spans="1:15">
      <c r="A358" s="301" t="s">
        <v>2041</v>
      </c>
      <c r="B358" s="302" t="s">
        <v>1852</v>
      </c>
      <c r="C358" s="1577"/>
      <c r="D358" s="1581" t="s">
        <v>1828</v>
      </c>
      <c r="E358" s="280">
        <v>50</v>
      </c>
      <c r="F358" s="280" t="s">
        <v>755</v>
      </c>
      <c r="G358" s="1679"/>
      <c r="H358" s="1571"/>
      <c r="I358" s="1571"/>
      <c r="J358" s="1571"/>
      <c r="K358" s="1571"/>
      <c r="L358" s="1577"/>
      <c r="M358" s="1681"/>
      <c r="N358" s="1577"/>
      <c r="O358" s="1571"/>
    </row>
    <row r="359" spans="1:15">
      <c r="A359" s="301" t="s">
        <v>2041</v>
      </c>
      <c r="B359" s="302" t="s">
        <v>1852</v>
      </c>
      <c r="C359" s="1577"/>
      <c r="D359" s="1581" t="s">
        <v>1829</v>
      </c>
      <c r="E359" s="280">
        <v>1</v>
      </c>
      <c r="F359" s="280" t="s">
        <v>1667</v>
      </c>
      <c r="G359" s="1679"/>
      <c r="H359" s="1571"/>
      <c r="I359" s="1571"/>
      <c r="J359" s="1571"/>
      <c r="K359" s="1571"/>
      <c r="L359" s="1577"/>
      <c r="M359" s="1681"/>
      <c r="N359" s="1577"/>
      <c r="O359" s="1571"/>
    </row>
    <row r="360" spans="1:15">
      <c r="A360" s="301" t="s">
        <v>2041</v>
      </c>
      <c r="B360" s="302" t="s">
        <v>1852</v>
      </c>
      <c r="C360" s="1577"/>
      <c r="D360" s="1581" t="s">
        <v>1830</v>
      </c>
      <c r="E360" s="280">
        <v>1</v>
      </c>
      <c r="F360" s="280" t="s">
        <v>1667</v>
      </c>
      <c r="G360" s="1679"/>
      <c r="H360" s="1571"/>
      <c r="I360" s="1571"/>
      <c r="J360" s="1571"/>
      <c r="K360" s="1571"/>
      <c r="L360" s="1577"/>
      <c r="M360" s="1681"/>
      <c r="N360" s="1577"/>
      <c r="O360" s="1571"/>
    </row>
    <row r="361" spans="1:15">
      <c r="A361" s="301" t="s">
        <v>2041</v>
      </c>
      <c r="B361" s="302" t="s">
        <v>1852</v>
      </c>
      <c r="C361" s="1577"/>
      <c r="D361" s="1581" t="s">
        <v>1031</v>
      </c>
      <c r="E361" s="280">
        <v>1</v>
      </c>
      <c r="F361" s="280" t="s">
        <v>1636</v>
      </c>
      <c r="G361" s="1679"/>
      <c r="H361" s="1571"/>
      <c r="I361" s="1571"/>
      <c r="J361" s="1571"/>
      <c r="K361" s="1571"/>
      <c r="L361" s="1577"/>
      <c r="M361" s="1681"/>
      <c r="N361" s="1577"/>
      <c r="O361" s="1571"/>
    </row>
    <row r="362" spans="1:15">
      <c r="A362" s="301" t="s">
        <v>2041</v>
      </c>
      <c r="B362" s="302" t="s">
        <v>1852</v>
      </c>
      <c r="C362" s="1577"/>
      <c r="D362" s="1581" t="s">
        <v>1831</v>
      </c>
      <c r="E362" s="280">
        <v>48</v>
      </c>
      <c r="F362" s="280" t="s">
        <v>761</v>
      </c>
      <c r="G362" s="1679"/>
      <c r="H362" s="1571"/>
      <c r="I362" s="1571"/>
      <c r="J362" s="1571"/>
      <c r="K362" s="1571"/>
      <c r="L362" s="1577"/>
      <c r="M362" s="1681"/>
      <c r="N362" s="1577"/>
      <c r="O362" s="1571"/>
    </row>
    <row r="363" spans="1:15">
      <c r="A363" s="301" t="s">
        <v>2041</v>
      </c>
      <c r="B363" s="302" t="s">
        <v>1852</v>
      </c>
      <c r="C363" s="1577"/>
      <c r="D363" s="1581" t="s">
        <v>1832</v>
      </c>
      <c r="E363" s="280">
        <v>2</v>
      </c>
      <c r="F363" s="280" t="s">
        <v>1667</v>
      </c>
      <c r="G363" s="1679"/>
      <c r="H363" s="1571"/>
      <c r="I363" s="1571"/>
      <c r="J363" s="1571"/>
      <c r="K363" s="1571"/>
      <c r="L363" s="1577"/>
      <c r="M363" s="1681"/>
      <c r="N363" s="1577"/>
      <c r="O363" s="1571"/>
    </row>
    <row r="364" spans="1:15">
      <c r="A364" s="301" t="s">
        <v>2041</v>
      </c>
      <c r="B364" s="302" t="s">
        <v>1852</v>
      </c>
      <c r="C364" s="1577"/>
      <c r="D364" s="1581" t="s">
        <v>1833</v>
      </c>
      <c r="E364" s="280">
        <v>5</v>
      </c>
      <c r="F364" s="280" t="s">
        <v>1773</v>
      </c>
      <c r="G364" s="1679"/>
      <c r="H364" s="1571"/>
      <c r="I364" s="1571"/>
      <c r="J364" s="1571"/>
      <c r="K364" s="1571"/>
      <c r="L364" s="1577"/>
      <c r="M364" s="1681"/>
      <c r="N364" s="1577"/>
      <c r="O364" s="1571"/>
    </row>
    <row r="365" spans="1:15">
      <c r="A365" s="301" t="s">
        <v>2041</v>
      </c>
      <c r="B365" s="302" t="s">
        <v>1852</v>
      </c>
      <c r="C365" s="1577"/>
      <c r="D365" s="1581" t="s">
        <v>1834</v>
      </c>
      <c r="E365" s="280">
        <v>1</v>
      </c>
      <c r="F365" s="280" t="s">
        <v>1636</v>
      </c>
      <c r="G365" s="1679"/>
      <c r="H365" s="1571"/>
      <c r="I365" s="1571"/>
      <c r="J365" s="1571"/>
      <c r="K365" s="1571"/>
      <c r="L365" s="1577"/>
      <c r="M365" s="1681"/>
      <c r="N365" s="1577"/>
      <c r="O365" s="1571"/>
    </row>
    <row r="366" spans="1:15">
      <c r="A366" s="301" t="s">
        <v>2041</v>
      </c>
      <c r="B366" s="302" t="s">
        <v>1852</v>
      </c>
      <c r="C366" s="1577"/>
      <c r="D366" s="1581" t="s">
        <v>1835</v>
      </c>
      <c r="E366" s="280">
        <v>3</v>
      </c>
      <c r="F366" s="280" t="s">
        <v>1793</v>
      </c>
      <c r="G366" s="1679"/>
      <c r="H366" s="1571"/>
      <c r="I366" s="1571"/>
      <c r="J366" s="1571"/>
      <c r="K366" s="1571"/>
      <c r="L366" s="1577"/>
      <c r="M366" s="1681"/>
      <c r="N366" s="1577"/>
      <c r="O366" s="1571"/>
    </row>
    <row r="367" spans="1:15">
      <c r="A367" s="301" t="s">
        <v>2041</v>
      </c>
      <c r="B367" s="302" t="s">
        <v>1852</v>
      </c>
      <c r="C367" s="1577"/>
      <c r="D367" s="1581" t="s">
        <v>1836</v>
      </c>
      <c r="E367" s="280">
        <v>12</v>
      </c>
      <c r="F367" s="280" t="s">
        <v>761</v>
      </c>
      <c r="G367" s="1679"/>
      <c r="H367" s="1571"/>
      <c r="I367" s="1571"/>
      <c r="J367" s="1571"/>
      <c r="K367" s="1571"/>
      <c r="L367" s="1577"/>
      <c r="M367" s="1681"/>
      <c r="N367" s="1577"/>
      <c r="O367" s="1571"/>
    </row>
    <row r="368" spans="1:15">
      <c r="A368" s="301" t="s">
        <v>2041</v>
      </c>
      <c r="B368" s="302" t="s">
        <v>1852</v>
      </c>
      <c r="C368" s="1577"/>
      <c r="D368" s="1581" t="s">
        <v>1784</v>
      </c>
      <c r="E368" s="280">
        <v>2</v>
      </c>
      <c r="F368" s="280" t="s">
        <v>761</v>
      </c>
      <c r="G368" s="1679"/>
      <c r="H368" s="1571"/>
      <c r="I368" s="1571"/>
      <c r="J368" s="1571"/>
      <c r="K368" s="1571"/>
      <c r="L368" s="1577"/>
      <c r="M368" s="1681"/>
      <c r="N368" s="1577"/>
      <c r="O368" s="1571"/>
    </row>
    <row r="369" spans="1:15">
      <c r="A369" s="301" t="s">
        <v>2041</v>
      </c>
      <c r="B369" s="302" t="s">
        <v>1852</v>
      </c>
      <c r="C369" s="1577"/>
      <c r="D369" s="1581" t="s">
        <v>1837</v>
      </c>
      <c r="E369" s="280">
        <v>2</v>
      </c>
      <c r="F369" s="280" t="s">
        <v>761</v>
      </c>
      <c r="G369" s="1679"/>
      <c r="H369" s="1571"/>
      <c r="I369" s="1571"/>
      <c r="J369" s="1571"/>
      <c r="K369" s="1571"/>
      <c r="L369" s="1577"/>
      <c r="M369" s="1681"/>
      <c r="N369" s="1577"/>
      <c r="O369" s="1571"/>
    </row>
    <row r="370" spans="1:15">
      <c r="A370" s="301" t="s">
        <v>2041</v>
      </c>
      <c r="B370" s="302" t="s">
        <v>1852</v>
      </c>
      <c r="C370" s="1577"/>
      <c r="D370" s="1581" t="s">
        <v>1838</v>
      </c>
      <c r="E370" s="280">
        <v>1</v>
      </c>
      <c r="F370" s="280" t="s">
        <v>1793</v>
      </c>
      <c r="G370" s="1679"/>
      <c r="H370" s="1571"/>
      <c r="I370" s="1571"/>
      <c r="J370" s="1571"/>
      <c r="K370" s="1571"/>
      <c r="L370" s="1577"/>
      <c r="M370" s="1681"/>
      <c r="N370" s="1577"/>
      <c r="O370" s="1571"/>
    </row>
    <row r="371" spans="1:15">
      <c r="A371" s="301" t="s">
        <v>2041</v>
      </c>
      <c r="B371" s="302" t="s">
        <v>1852</v>
      </c>
      <c r="C371" s="1577"/>
      <c r="D371" s="1581" t="s">
        <v>187</v>
      </c>
      <c r="E371" s="280">
        <v>1</v>
      </c>
      <c r="F371" s="280" t="s">
        <v>1636</v>
      </c>
      <c r="G371" s="1679"/>
      <c r="H371" s="1571"/>
      <c r="I371" s="1571"/>
      <c r="J371" s="1571"/>
      <c r="K371" s="1571"/>
      <c r="L371" s="1577"/>
      <c r="M371" s="1681"/>
      <c r="N371" s="1577"/>
      <c r="O371" s="1571"/>
    </row>
    <row r="372" spans="1:15">
      <c r="A372" s="301" t="s">
        <v>2041</v>
      </c>
      <c r="B372" s="302" t="s">
        <v>1852</v>
      </c>
      <c r="C372" s="1577"/>
      <c r="D372" s="1581" t="s">
        <v>1839</v>
      </c>
      <c r="E372" s="280">
        <v>1</v>
      </c>
      <c r="F372" s="280" t="s">
        <v>1773</v>
      </c>
      <c r="G372" s="1679"/>
      <c r="H372" s="1571"/>
      <c r="I372" s="1571"/>
      <c r="J372" s="1571"/>
      <c r="K372" s="1571"/>
      <c r="L372" s="1577"/>
      <c r="M372" s="1681"/>
      <c r="N372" s="1577"/>
      <c r="O372" s="1571"/>
    </row>
    <row r="373" spans="1:15">
      <c r="A373" s="301" t="s">
        <v>2041</v>
      </c>
      <c r="B373" s="302" t="s">
        <v>1852</v>
      </c>
      <c r="C373" s="1577"/>
      <c r="D373" s="1581" t="s">
        <v>1840</v>
      </c>
      <c r="E373" s="280">
        <v>2</v>
      </c>
      <c r="F373" s="280" t="s">
        <v>1841</v>
      </c>
      <c r="G373" s="1679"/>
      <c r="H373" s="1571"/>
      <c r="I373" s="1571"/>
      <c r="J373" s="1571"/>
      <c r="K373" s="1571"/>
      <c r="L373" s="1577"/>
      <c r="M373" s="1681"/>
      <c r="N373" s="1577"/>
      <c r="O373" s="1571"/>
    </row>
    <row r="374" spans="1:15">
      <c r="A374" s="301" t="s">
        <v>2041</v>
      </c>
      <c r="B374" s="302" t="s">
        <v>1852</v>
      </c>
      <c r="C374" s="1577"/>
      <c r="D374" s="1581" t="s">
        <v>1842</v>
      </c>
      <c r="E374" s="280">
        <v>4</v>
      </c>
      <c r="F374" s="280" t="s">
        <v>1841</v>
      </c>
      <c r="G374" s="1679"/>
      <c r="H374" s="1571"/>
      <c r="I374" s="1571"/>
      <c r="J374" s="1571"/>
      <c r="K374" s="1571"/>
      <c r="L374" s="1577"/>
      <c r="M374" s="1681"/>
      <c r="N374" s="1577"/>
      <c r="O374" s="1571"/>
    </row>
    <row r="375" spans="1:15">
      <c r="A375" s="301" t="s">
        <v>2041</v>
      </c>
      <c r="B375" s="302" t="s">
        <v>1852</v>
      </c>
      <c r="C375" s="1577"/>
      <c r="D375" s="1581" t="s">
        <v>1843</v>
      </c>
      <c r="E375" s="280">
        <v>3</v>
      </c>
      <c r="F375" s="280" t="s">
        <v>761</v>
      </c>
      <c r="G375" s="1679"/>
      <c r="H375" s="1571"/>
      <c r="I375" s="1571"/>
      <c r="J375" s="1571"/>
      <c r="K375" s="1571"/>
      <c r="L375" s="1577"/>
      <c r="M375" s="1681"/>
      <c r="N375" s="1577"/>
      <c r="O375" s="1571"/>
    </row>
    <row r="376" spans="1:15">
      <c r="A376" s="301" t="s">
        <v>2041</v>
      </c>
      <c r="B376" s="302" t="s">
        <v>1852</v>
      </c>
      <c r="C376" s="1577"/>
      <c r="D376" s="1581" t="s">
        <v>1844</v>
      </c>
      <c r="E376" s="280">
        <v>3</v>
      </c>
      <c r="F376" s="280" t="s">
        <v>761</v>
      </c>
      <c r="G376" s="1679"/>
      <c r="H376" s="1571"/>
      <c r="I376" s="1571"/>
      <c r="J376" s="1571"/>
      <c r="K376" s="1571"/>
      <c r="L376" s="1577"/>
      <c r="M376" s="1681"/>
      <c r="N376" s="1577"/>
      <c r="O376" s="1571"/>
    </row>
    <row r="377" spans="1:15">
      <c r="A377" s="301" t="s">
        <v>2041</v>
      </c>
      <c r="B377" s="302" t="s">
        <v>1852</v>
      </c>
      <c r="C377" s="1577"/>
      <c r="D377" s="1581" t="s">
        <v>1845</v>
      </c>
      <c r="E377" s="280">
        <v>6</v>
      </c>
      <c r="F377" s="280" t="s">
        <v>761</v>
      </c>
      <c r="G377" s="1679"/>
      <c r="H377" s="1571"/>
      <c r="I377" s="1571"/>
      <c r="J377" s="1571"/>
      <c r="K377" s="1571"/>
      <c r="L377" s="1577"/>
      <c r="M377" s="1681"/>
      <c r="N377" s="1577"/>
      <c r="O377" s="1571"/>
    </row>
    <row r="378" spans="1:15">
      <c r="A378" s="301" t="s">
        <v>2041</v>
      </c>
      <c r="B378" s="302" t="s">
        <v>1852</v>
      </c>
      <c r="C378" s="1577"/>
      <c r="D378" s="1581" t="s">
        <v>1846</v>
      </c>
      <c r="E378" s="280">
        <v>6</v>
      </c>
      <c r="F378" s="280" t="s">
        <v>761</v>
      </c>
      <c r="G378" s="1679"/>
      <c r="H378" s="1571"/>
      <c r="I378" s="1571"/>
      <c r="J378" s="1571"/>
      <c r="K378" s="1571"/>
      <c r="L378" s="1577"/>
      <c r="M378" s="1681"/>
      <c r="N378" s="1577"/>
      <c r="O378" s="1571"/>
    </row>
    <row r="379" spans="1:15">
      <c r="A379" s="301" t="s">
        <v>2041</v>
      </c>
      <c r="B379" s="302" t="s">
        <v>1852</v>
      </c>
      <c r="C379" s="1577"/>
      <c r="D379" s="1581" t="s">
        <v>1847</v>
      </c>
      <c r="E379" s="280">
        <v>5</v>
      </c>
      <c r="F379" s="280" t="s">
        <v>755</v>
      </c>
      <c r="G379" s="1679"/>
      <c r="H379" s="1571"/>
      <c r="I379" s="1571"/>
      <c r="J379" s="1571"/>
      <c r="K379" s="1571"/>
      <c r="L379" s="1577"/>
      <c r="M379" s="1681"/>
      <c r="N379" s="1577"/>
      <c r="O379" s="1571"/>
    </row>
    <row r="380" spans="1:15">
      <c r="A380" s="301" t="s">
        <v>2041</v>
      </c>
      <c r="B380" s="302" t="s">
        <v>1852</v>
      </c>
      <c r="C380" s="1577"/>
      <c r="D380" s="1581" t="s">
        <v>1848</v>
      </c>
      <c r="E380" s="280">
        <v>1</v>
      </c>
      <c r="F380" s="280" t="s">
        <v>1667</v>
      </c>
      <c r="G380" s="1679"/>
      <c r="H380" s="1571"/>
      <c r="I380" s="1571"/>
      <c r="J380" s="1571"/>
      <c r="K380" s="1571"/>
      <c r="L380" s="1577"/>
      <c r="M380" s="1681"/>
      <c r="N380" s="1577"/>
      <c r="O380" s="1571"/>
    </row>
    <row r="381" spans="1:15">
      <c r="A381" s="301" t="s">
        <v>2041</v>
      </c>
      <c r="B381" s="302" t="s">
        <v>1852</v>
      </c>
      <c r="C381" s="1577"/>
      <c r="D381" s="1581" t="s">
        <v>1849</v>
      </c>
      <c r="E381" s="280">
        <v>2</v>
      </c>
      <c r="F381" s="280" t="s">
        <v>1773</v>
      </c>
      <c r="G381" s="1679"/>
      <c r="H381" s="1571"/>
      <c r="I381" s="1571"/>
      <c r="J381" s="1571"/>
      <c r="K381" s="1571"/>
      <c r="L381" s="1577"/>
      <c r="M381" s="1681"/>
      <c r="N381" s="1577"/>
      <c r="O381" s="1571"/>
    </row>
    <row r="382" spans="1:15">
      <c r="A382" s="301" t="s">
        <v>2041</v>
      </c>
      <c r="B382" s="302" t="s">
        <v>1852</v>
      </c>
      <c r="C382" s="1577"/>
      <c r="D382" s="1581" t="s">
        <v>1850</v>
      </c>
      <c r="E382" s="280">
        <v>15</v>
      </c>
      <c r="F382" s="280" t="s">
        <v>761</v>
      </c>
      <c r="G382" s="1679"/>
      <c r="H382" s="1571"/>
      <c r="I382" s="1571"/>
      <c r="J382" s="1571"/>
      <c r="K382" s="1571"/>
      <c r="L382" s="1577"/>
      <c r="M382" s="1681"/>
      <c r="N382" s="1577"/>
      <c r="O382" s="1571"/>
    </row>
    <row r="383" spans="1:15">
      <c r="A383" s="301" t="s">
        <v>2041</v>
      </c>
      <c r="B383" s="302" t="s">
        <v>1852</v>
      </c>
      <c r="C383" s="1577"/>
      <c r="D383" s="1581" t="s">
        <v>1851</v>
      </c>
      <c r="E383" s="280"/>
      <c r="F383" s="280" t="s">
        <v>761</v>
      </c>
      <c r="G383" s="1679"/>
      <c r="H383" s="1571"/>
      <c r="I383" s="1571"/>
      <c r="J383" s="1571"/>
      <c r="K383" s="1571"/>
      <c r="L383" s="1577"/>
      <c r="M383" s="1681"/>
      <c r="N383" s="1577"/>
      <c r="O383" s="1571"/>
    </row>
    <row r="385" spans="1:15" ht="38.25">
      <c r="A385" s="301" t="s">
        <v>2041</v>
      </c>
      <c r="B385" s="14" t="s">
        <v>1852</v>
      </c>
      <c r="C385" s="1671" t="s">
        <v>1763</v>
      </c>
      <c r="D385" s="242" t="s">
        <v>2</v>
      </c>
      <c r="E385" s="1684"/>
      <c r="F385" s="1571" t="s">
        <v>1764</v>
      </c>
      <c r="G385" s="1571" t="s">
        <v>1</v>
      </c>
      <c r="H385" s="1672" t="s">
        <v>701</v>
      </c>
      <c r="I385" s="1672" t="s">
        <v>653</v>
      </c>
      <c r="J385" s="1672" t="s">
        <v>653</v>
      </c>
      <c r="K385" s="1565" t="s">
        <v>748</v>
      </c>
      <c r="L385" s="1673">
        <v>36860</v>
      </c>
      <c r="M385" s="1533" t="s">
        <v>1765</v>
      </c>
      <c r="N385" s="1565" t="s">
        <v>703</v>
      </c>
    </row>
    <row r="386" spans="1:15">
      <c r="A386" s="301" t="s">
        <v>2041</v>
      </c>
      <c r="B386" s="1685" t="s">
        <v>1852</v>
      </c>
      <c r="C386" s="1571" t="s">
        <v>704</v>
      </c>
      <c r="D386" s="1581" t="s">
        <v>1766</v>
      </c>
      <c r="E386" s="280">
        <v>15</v>
      </c>
      <c r="F386" s="280" t="s">
        <v>1767</v>
      </c>
      <c r="G386" s="1561"/>
      <c r="H386" s="1577"/>
      <c r="I386" s="1578"/>
      <c r="J386" s="1571"/>
      <c r="K386" s="1579"/>
      <c r="L386" s="1577"/>
      <c r="M386" s="1674"/>
      <c r="N386" s="1580"/>
      <c r="O386" s="1577"/>
    </row>
    <row r="387" spans="1:15">
      <c r="A387" s="301" t="s">
        <v>2041</v>
      </c>
      <c r="B387" s="1685" t="s">
        <v>1852</v>
      </c>
      <c r="C387" s="1577"/>
      <c r="D387" s="1581" t="s">
        <v>1768</v>
      </c>
      <c r="E387" s="280">
        <v>15</v>
      </c>
      <c r="F387" s="280" t="s">
        <v>1767</v>
      </c>
      <c r="G387" s="1561"/>
      <c r="H387" s="1577"/>
      <c r="I387" s="1578"/>
      <c r="J387" s="1571"/>
      <c r="K387" s="1579"/>
      <c r="L387" s="1577"/>
      <c r="M387" s="1674"/>
      <c r="N387" s="1580"/>
      <c r="O387" s="1577"/>
    </row>
    <row r="388" spans="1:15">
      <c r="A388" s="301" t="s">
        <v>2041</v>
      </c>
      <c r="B388" s="1685" t="s">
        <v>1852</v>
      </c>
      <c r="C388" s="1577"/>
      <c r="D388" s="1581" t="s">
        <v>1769</v>
      </c>
      <c r="E388" s="280">
        <v>15</v>
      </c>
      <c r="F388" s="280" t="s">
        <v>1767</v>
      </c>
      <c r="G388" s="1561"/>
      <c r="H388" s="1577"/>
      <c r="I388" s="1578"/>
      <c r="J388" s="1571"/>
      <c r="K388" s="1579"/>
      <c r="L388" s="1577"/>
      <c r="M388" s="1674"/>
      <c r="N388" s="1580"/>
      <c r="O388" s="1577"/>
    </row>
    <row r="389" spans="1:15">
      <c r="A389" s="301" t="s">
        <v>2041</v>
      </c>
      <c r="B389" s="1685" t="s">
        <v>1852</v>
      </c>
      <c r="C389" s="1561"/>
      <c r="D389" s="1581" t="s">
        <v>1770</v>
      </c>
      <c r="E389" s="280">
        <v>15</v>
      </c>
      <c r="F389" s="280" t="s">
        <v>1767</v>
      </c>
      <c r="G389" s="1561"/>
      <c r="H389" s="1561"/>
      <c r="I389" s="1562"/>
      <c r="J389" s="1562"/>
      <c r="K389" s="1582"/>
      <c r="L389" s="1561"/>
      <c r="M389" s="1674"/>
      <c r="N389" s="1561"/>
      <c r="O389" s="1561"/>
    </row>
    <row r="390" spans="1:15">
      <c r="A390" s="301" t="s">
        <v>2041</v>
      </c>
      <c r="B390" s="1685" t="s">
        <v>1852</v>
      </c>
      <c r="C390" s="1561"/>
      <c r="D390" s="1581" t="s">
        <v>1771</v>
      </c>
      <c r="E390" s="280">
        <v>15</v>
      </c>
      <c r="F390" s="280" t="s">
        <v>1767</v>
      </c>
      <c r="G390" s="1561"/>
      <c r="H390" s="1561"/>
      <c r="I390" s="1562"/>
      <c r="J390" s="1562"/>
      <c r="K390" s="1582"/>
      <c r="L390" s="1561" t="s">
        <v>111</v>
      </c>
      <c r="M390" s="1674"/>
      <c r="N390" s="1561"/>
      <c r="O390" s="1561"/>
    </row>
    <row r="391" spans="1:15">
      <c r="A391" s="301" t="s">
        <v>2041</v>
      </c>
      <c r="B391" s="1685" t="s">
        <v>1852</v>
      </c>
      <c r="C391" s="1561"/>
      <c r="D391" s="1581" t="s">
        <v>1854</v>
      </c>
      <c r="E391" s="280">
        <v>7</v>
      </c>
      <c r="F391" s="280" t="s">
        <v>761</v>
      </c>
      <c r="G391" s="1561"/>
      <c r="H391" s="1561"/>
      <c r="I391" s="1562"/>
      <c r="J391" s="1562"/>
      <c r="K391" s="1582"/>
      <c r="L391" s="1561"/>
      <c r="M391" s="1674"/>
      <c r="N391" s="1561"/>
      <c r="O391" s="1561"/>
    </row>
    <row r="392" spans="1:15">
      <c r="A392" s="301" t="s">
        <v>2041</v>
      </c>
      <c r="B392" s="1685" t="s">
        <v>1852</v>
      </c>
      <c r="C392" s="1561"/>
      <c r="D392" s="1581" t="s">
        <v>475</v>
      </c>
      <c r="E392" s="280">
        <v>3</v>
      </c>
      <c r="F392" s="280" t="s">
        <v>761</v>
      </c>
      <c r="G392" s="1561"/>
      <c r="H392" s="1561"/>
      <c r="I392" s="1583"/>
      <c r="J392" s="1562"/>
      <c r="K392" s="1582"/>
      <c r="L392" s="1561"/>
      <c r="M392" s="1674"/>
      <c r="N392" s="1561"/>
      <c r="O392" s="1561"/>
    </row>
    <row r="393" spans="1:15">
      <c r="A393" s="301" t="s">
        <v>2041</v>
      </c>
      <c r="B393" s="1685" t="s">
        <v>1852</v>
      </c>
      <c r="C393" s="1561"/>
      <c r="D393" s="1581" t="s">
        <v>1774</v>
      </c>
      <c r="E393" s="280">
        <v>2</v>
      </c>
      <c r="F393" s="280" t="s">
        <v>761</v>
      </c>
      <c r="G393" s="1561"/>
      <c r="H393" s="1561"/>
      <c r="I393" s="1579"/>
      <c r="J393" s="1579"/>
      <c r="K393" s="1579"/>
      <c r="L393" s="1675"/>
      <c r="M393" s="1674"/>
      <c r="N393" s="1561"/>
      <c r="O393" s="1561"/>
    </row>
    <row r="394" spans="1:15">
      <c r="A394" s="301" t="s">
        <v>2041</v>
      </c>
      <c r="B394" s="1685" t="s">
        <v>1852</v>
      </c>
      <c r="C394" s="1561"/>
      <c r="D394" s="1581" t="s">
        <v>1855</v>
      </c>
      <c r="E394" s="280">
        <v>1</v>
      </c>
      <c r="F394" s="280" t="s">
        <v>761</v>
      </c>
      <c r="G394" s="1561"/>
      <c r="H394" s="1561"/>
      <c r="I394" s="1579"/>
      <c r="J394" s="1579"/>
      <c r="K394" s="1579"/>
      <c r="L394" s="1561"/>
      <c r="M394" s="1674"/>
      <c r="N394" s="1561"/>
      <c r="O394" s="1561"/>
    </row>
    <row r="395" spans="1:15">
      <c r="A395" s="301" t="s">
        <v>2041</v>
      </c>
      <c r="B395" s="1685" t="s">
        <v>1852</v>
      </c>
      <c r="C395" s="1561"/>
      <c r="D395" s="1581" t="s">
        <v>1856</v>
      </c>
      <c r="E395" s="280">
        <v>15</v>
      </c>
      <c r="F395" s="280" t="s">
        <v>761</v>
      </c>
      <c r="G395" s="1561"/>
      <c r="H395" s="1561"/>
      <c r="I395" s="1579"/>
      <c r="J395" s="1579"/>
      <c r="K395" s="1579"/>
      <c r="L395" s="1561"/>
      <c r="M395" s="1674"/>
      <c r="N395" s="1561"/>
      <c r="O395" s="1561"/>
    </row>
    <row r="396" spans="1:15">
      <c r="A396" s="301" t="s">
        <v>2041</v>
      </c>
      <c r="B396" s="1685" t="s">
        <v>1852</v>
      </c>
      <c r="C396" s="1561"/>
      <c r="D396" s="1581" t="s">
        <v>1776</v>
      </c>
      <c r="E396" s="280">
        <v>2</v>
      </c>
      <c r="F396" s="280" t="s">
        <v>755</v>
      </c>
      <c r="G396" s="1561"/>
      <c r="H396" s="1561"/>
      <c r="I396" s="1583"/>
      <c r="J396" s="1562"/>
      <c r="K396" s="1582"/>
      <c r="L396" s="1561"/>
      <c r="M396" s="1674"/>
      <c r="N396" s="1561"/>
      <c r="O396" s="1561"/>
    </row>
    <row r="397" spans="1:15">
      <c r="A397" s="301" t="s">
        <v>2041</v>
      </c>
      <c r="B397" s="1685" t="s">
        <v>1852</v>
      </c>
      <c r="C397" s="1561"/>
      <c r="D397" s="1581" t="s">
        <v>1777</v>
      </c>
      <c r="E397" s="280">
        <v>6</v>
      </c>
      <c r="F397" s="280" t="s">
        <v>761</v>
      </c>
      <c r="G397" s="1561"/>
      <c r="H397" s="1561"/>
      <c r="I397" s="1579"/>
      <c r="J397" s="1579"/>
      <c r="K397" s="1579"/>
      <c r="L397" s="1561"/>
      <c r="M397" s="1674"/>
      <c r="N397" s="1561"/>
      <c r="O397" s="1561"/>
    </row>
    <row r="398" spans="1:15">
      <c r="A398" s="301" t="s">
        <v>2041</v>
      </c>
      <c r="B398" s="1685" t="s">
        <v>1852</v>
      </c>
      <c r="C398" s="1561"/>
      <c r="D398" s="1676" t="s">
        <v>1778</v>
      </c>
      <c r="E398" s="280">
        <v>12</v>
      </c>
      <c r="F398" s="280" t="s">
        <v>1779</v>
      </c>
      <c r="G398" s="1561"/>
      <c r="H398" s="1561"/>
      <c r="I398" s="1562"/>
      <c r="J398" s="1562"/>
      <c r="K398" s="1582"/>
      <c r="L398" s="1561"/>
      <c r="M398" s="1674"/>
      <c r="N398" s="1561"/>
      <c r="O398" s="1561"/>
    </row>
    <row r="399" spans="1:15">
      <c r="A399" s="301" t="s">
        <v>2041</v>
      </c>
      <c r="B399" s="1685" t="s">
        <v>1852</v>
      </c>
      <c r="C399" s="1561"/>
      <c r="D399" s="1581" t="s">
        <v>1780</v>
      </c>
      <c r="E399" s="280">
        <v>12</v>
      </c>
      <c r="F399" s="280" t="s">
        <v>1779</v>
      </c>
      <c r="G399" s="1561"/>
      <c r="H399" s="1561"/>
      <c r="I399" s="1583"/>
      <c r="J399" s="1562"/>
      <c r="K399" s="1582"/>
      <c r="L399" s="1561"/>
      <c r="M399" s="1674"/>
      <c r="N399" s="1561"/>
      <c r="O399" s="1561"/>
    </row>
    <row r="400" spans="1:15">
      <c r="A400" s="301" t="s">
        <v>2041</v>
      </c>
      <c r="B400" s="1685" t="s">
        <v>1852</v>
      </c>
      <c r="C400" s="1561"/>
      <c r="D400" s="1581" t="s">
        <v>1781</v>
      </c>
      <c r="E400" s="280">
        <v>4</v>
      </c>
      <c r="F400" s="280" t="s">
        <v>761</v>
      </c>
      <c r="G400" s="1561"/>
      <c r="H400" s="1561"/>
      <c r="I400" s="1562"/>
      <c r="J400" s="1562"/>
      <c r="K400" s="1562"/>
      <c r="L400" s="1561"/>
      <c r="M400" s="1674"/>
      <c r="N400" s="1561"/>
      <c r="O400" s="1561"/>
    </row>
    <row r="401" spans="1:15">
      <c r="A401" s="301" t="s">
        <v>2041</v>
      </c>
      <c r="B401" s="1685" t="s">
        <v>1852</v>
      </c>
      <c r="C401" s="1561"/>
      <c r="D401" s="1581" t="s">
        <v>1857</v>
      </c>
      <c r="E401" s="280">
        <v>2</v>
      </c>
      <c r="F401" s="280" t="s">
        <v>761</v>
      </c>
      <c r="G401" s="1561"/>
      <c r="H401" s="1561"/>
      <c r="I401" s="1579"/>
      <c r="J401" s="1579"/>
      <c r="K401" s="1579"/>
      <c r="L401" s="1561"/>
      <c r="M401" s="1674"/>
      <c r="N401" s="1561"/>
      <c r="O401" s="1561"/>
    </row>
    <row r="402" spans="1:15">
      <c r="A402" s="301" t="s">
        <v>2041</v>
      </c>
      <c r="B402" s="1685" t="s">
        <v>1852</v>
      </c>
      <c r="C402" s="1561"/>
      <c r="D402" s="1581" t="s">
        <v>1783</v>
      </c>
      <c r="E402" s="280">
        <v>1</v>
      </c>
      <c r="F402" s="280" t="s">
        <v>761</v>
      </c>
      <c r="G402" s="1561"/>
      <c r="H402" s="1561"/>
      <c r="I402" s="1562"/>
      <c r="J402" s="1562"/>
      <c r="K402" s="1582"/>
      <c r="L402" s="1561"/>
      <c r="M402" s="1674"/>
      <c r="N402" s="1561"/>
      <c r="O402" s="1561"/>
    </row>
    <row r="403" spans="1:15">
      <c r="A403" s="301" t="s">
        <v>2041</v>
      </c>
      <c r="B403" s="1685" t="s">
        <v>1852</v>
      </c>
      <c r="C403" s="1561"/>
      <c r="D403" s="1581" t="s">
        <v>1784</v>
      </c>
      <c r="E403" s="280">
        <v>2</v>
      </c>
      <c r="F403" s="280" t="s">
        <v>761</v>
      </c>
      <c r="G403" s="1561"/>
      <c r="H403" s="1561"/>
      <c r="I403" s="1562"/>
      <c r="J403" s="1562"/>
      <c r="K403" s="1582"/>
      <c r="L403" s="1561"/>
      <c r="M403" s="1674"/>
      <c r="N403" s="1561"/>
      <c r="O403" s="1561"/>
    </row>
    <row r="404" spans="1:15">
      <c r="A404" s="301" t="s">
        <v>2041</v>
      </c>
      <c r="B404" s="1685" t="s">
        <v>1852</v>
      </c>
      <c r="C404" s="1561"/>
      <c r="D404" s="1581" t="s">
        <v>1785</v>
      </c>
      <c r="E404" s="280">
        <v>5</v>
      </c>
      <c r="F404" s="280" t="s">
        <v>755</v>
      </c>
      <c r="G404" s="1561"/>
      <c r="H404" s="1561"/>
      <c r="I404" s="1562"/>
      <c r="J404" s="1562"/>
      <c r="K404" s="1582"/>
      <c r="L404" s="1561"/>
      <c r="M404" s="1674"/>
      <c r="N404" s="1561"/>
      <c r="O404" s="1561"/>
    </row>
    <row r="405" spans="1:15">
      <c r="A405" s="301" t="s">
        <v>2041</v>
      </c>
      <c r="B405" s="1685" t="s">
        <v>1852</v>
      </c>
      <c r="C405" s="1561"/>
      <c r="D405" s="1581" t="s">
        <v>1786</v>
      </c>
      <c r="E405" s="280">
        <v>2</v>
      </c>
      <c r="F405" s="280" t="s">
        <v>755</v>
      </c>
      <c r="G405" s="1561"/>
      <c r="H405" s="1561"/>
      <c r="I405" s="1562"/>
      <c r="J405" s="1562"/>
      <c r="K405" s="1582"/>
      <c r="L405" s="1561"/>
      <c r="M405" s="1674"/>
      <c r="N405" s="1561"/>
      <c r="O405" s="1561"/>
    </row>
    <row r="406" spans="1:15">
      <c r="A406" s="301" t="s">
        <v>2041</v>
      </c>
      <c r="B406" s="1685" t="s">
        <v>1852</v>
      </c>
      <c r="C406" s="1561"/>
      <c r="D406" s="1581" t="s">
        <v>1787</v>
      </c>
      <c r="E406" s="280">
        <v>2</v>
      </c>
      <c r="F406" s="280" t="s">
        <v>755</v>
      </c>
      <c r="G406" s="1561"/>
      <c r="H406" s="1561"/>
      <c r="I406" s="1562"/>
      <c r="J406" s="1562"/>
      <c r="K406" s="1582"/>
      <c r="L406" s="1561"/>
      <c r="M406" s="1674"/>
      <c r="N406" s="1561"/>
      <c r="O406" s="1561"/>
    </row>
    <row r="407" spans="1:15">
      <c r="A407" s="301" t="s">
        <v>2041</v>
      </c>
      <c r="B407" s="1685" t="s">
        <v>1852</v>
      </c>
      <c r="C407" s="1561"/>
      <c r="D407" s="1581" t="s">
        <v>1788</v>
      </c>
      <c r="E407" s="280">
        <v>3</v>
      </c>
      <c r="F407" s="280" t="s">
        <v>1789</v>
      </c>
      <c r="G407" s="1561"/>
      <c r="H407" s="1561"/>
      <c r="I407" s="1562"/>
      <c r="J407" s="1562"/>
      <c r="K407" s="1582"/>
      <c r="L407" s="1561"/>
      <c r="M407" s="1674"/>
      <c r="N407" s="1561"/>
      <c r="O407" s="1561"/>
    </row>
    <row r="408" spans="1:15">
      <c r="A408" s="301" t="s">
        <v>2041</v>
      </c>
      <c r="B408" s="1685" t="s">
        <v>1852</v>
      </c>
      <c r="C408" s="1561"/>
      <c r="D408" s="1581" t="s">
        <v>1790</v>
      </c>
      <c r="E408" s="280">
        <v>1</v>
      </c>
      <c r="F408" s="280" t="s">
        <v>1667</v>
      </c>
      <c r="G408" s="1561"/>
      <c r="H408" s="1561"/>
      <c r="I408" s="1562"/>
      <c r="J408" s="1562"/>
      <c r="K408" s="1582"/>
      <c r="L408" s="1561"/>
      <c r="M408" s="1674"/>
      <c r="N408" s="1561"/>
      <c r="O408" s="1561"/>
    </row>
    <row r="409" spans="1:15">
      <c r="A409" s="301" t="s">
        <v>2041</v>
      </c>
      <c r="B409" s="1685" t="s">
        <v>1852</v>
      </c>
      <c r="C409" s="1561"/>
      <c r="D409" s="1677" t="s">
        <v>1791</v>
      </c>
      <c r="E409" s="280">
        <v>2</v>
      </c>
      <c r="F409" s="280" t="s">
        <v>761</v>
      </c>
      <c r="G409" s="1561"/>
      <c r="H409" s="1561"/>
      <c r="I409" s="1562"/>
      <c r="J409" s="1562"/>
      <c r="K409" s="1582"/>
      <c r="L409" s="1561"/>
      <c r="M409" s="1674" t="s">
        <v>111</v>
      </c>
      <c r="N409" s="1561"/>
      <c r="O409" s="1561"/>
    </row>
    <row r="410" spans="1:15">
      <c r="A410" s="301" t="s">
        <v>2041</v>
      </c>
      <c r="B410" s="1685" t="s">
        <v>1852</v>
      </c>
      <c r="C410" s="1561"/>
      <c r="D410" s="1581" t="s">
        <v>1792</v>
      </c>
      <c r="E410" s="280">
        <v>2</v>
      </c>
      <c r="F410" s="280" t="s">
        <v>1793</v>
      </c>
      <c r="G410" s="1561"/>
      <c r="H410" s="1561"/>
      <c r="I410" s="1562"/>
      <c r="J410" s="1562"/>
      <c r="K410" s="1582"/>
      <c r="L410" s="1561"/>
      <c r="M410" s="1674"/>
      <c r="N410" s="1561"/>
      <c r="O410" s="1561"/>
    </row>
    <row r="411" spans="1:15">
      <c r="A411" s="301" t="s">
        <v>2041</v>
      </c>
      <c r="B411" s="1685" t="s">
        <v>1852</v>
      </c>
      <c r="C411" s="1577"/>
      <c r="D411" s="1581" t="s">
        <v>1794</v>
      </c>
      <c r="E411" s="280">
        <v>5</v>
      </c>
      <c r="F411" s="280" t="s">
        <v>1793</v>
      </c>
      <c r="G411" s="1577"/>
      <c r="H411" s="1577"/>
      <c r="I411" s="1571"/>
      <c r="J411" s="1571"/>
      <c r="K411" s="1579"/>
      <c r="L411" s="1577"/>
      <c r="M411" s="1674"/>
      <c r="N411" s="1577"/>
      <c r="O411" s="1577"/>
    </row>
    <row r="412" spans="1:15">
      <c r="A412" s="301" t="s">
        <v>2041</v>
      </c>
      <c r="B412" s="1685" t="s">
        <v>1852</v>
      </c>
      <c r="C412" s="1577"/>
      <c r="D412" s="1581" t="s">
        <v>1795</v>
      </c>
      <c r="E412" s="280">
        <v>5</v>
      </c>
      <c r="F412" s="280" t="s">
        <v>1793</v>
      </c>
      <c r="G412" s="1577"/>
      <c r="H412" s="1577"/>
      <c r="I412" s="1571"/>
      <c r="J412" s="1571"/>
      <c r="K412" s="1579"/>
      <c r="L412" s="1577"/>
      <c r="M412" s="1674"/>
      <c r="N412" s="1577"/>
      <c r="O412" s="1577"/>
    </row>
    <row r="413" spans="1:15">
      <c r="A413" s="301" t="s">
        <v>2041</v>
      </c>
      <c r="B413" s="1685" t="s">
        <v>1852</v>
      </c>
      <c r="C413" s="1577"/>
      <c r="D413" s="1581" t="s">
        <v>1796</v>
      </c>
      <c r="E413" s="280">
        <v>5</v>
      </c>
      <c r="F413" s="280" t="s">
        <v>1793</v>
      </c>
      <c r="G413" s="1577"/>
      <c r="H413" s="1577"/>
      <c r="I413" s="1571"/>
      <c r="J413" s="1571"/>
      <c r="K413" s="1579"/>
      <c r="L413" s="1577"/>
      <c r="M413" s="1674"/>
      <c r="N413" s="1577"/>
      <c r="O413" s="1577"/>
    </row>
    <row r="414" spans="1:15">
      <c r="A414" s="301" t="s">
        <v>2041</v>
      </c>
      <c r="B414" s="1685" t="s">
        <v>1852</v>
      </c>
      <c r="C414" s="1577"/>
      <c r="D414" s="1581" t="s">
        <v>1797</v>
      </c>
      <c r="E414" s="280">
        <v>5</v>
      </c>
      <c r="F414" s="280" t="s">
        <v>761</v>
      </c>
      <c r="G414" s="1577"/>
      <c r="H414" s="1678"/>
      <c r="I414" s="1571"/>
      <c r="J414" s="1571"/>
      <c r="K414" s="1579"/>
      <c r="L414" s="1577"/>
      <c r="M414" s="1674"/>
      <c r="N414" s="1577"/>
      <c r="O414" s="1577"/>
    </row>
    <row r="415" spans="1:15">
      <c r="A415" s="301" t="s">
        <v>2041</v>
      </c>
      <c r="B415" s="1685" t="s">
        <v>1852</v>
      </c>
      <c r="C415" s="1577"/>
      <c r="D415" s="1581" t="s">
        <v>1798</v>
      </c>
      <c r="E415" s="280">
        <v>15</v>
      </c>
      <c r="F415" s="280" t="s">
        <v>1799</v>
      </c>
      <c r="G415" s="1679"/>
      <c r="H415" s="1571"/>
      <c r="I415" s="1578"/>
      <c r="J415" s="1571"/>
      <c r="K415" s="1579"/>
      <c r="L415" s="1565"/>
      <c r="M415" s="1680"/>
      <c r="N415" s="1580"/>
      <c r="O415" s="1571"/>
    </row>
    <row r="416" spans="1:15">
      <c r="A416" s="301" t="s">
        <v>2041</v>
      </c>
      <c r="B416" s="1685" t="s">
        <v>1852</v>
      </c>
      <c r="C416" s="1577"/>
      <c r="D416" s="1581" t="s">
        <v>1800</v>
      </c>
      <c r="E416" s="280">
        <v>1</v>
      </c>
      <c r="F416" s="280" t="s">
        <v>761</v>
      </c>
      <c r="G416" s="1571"/>
      <c r="H416" s="1571"/>
      <c r="I416" s="1571"/>
      <c r="J416" s="1571"/>
      <c r="K416" s="1571"/>
      <c r="L416" s="1577"/>
      <c r="M416" s="1681"/>
      <c r="N416" s="1577"/>
      <c r="O416" s="1571"/>
    </row>
    <row r="417" spans="1:15">
      <c r="A417" s="301" t="s">
        <v>2041</v>
      </c>
      <c r="B417" s="1685" t="s">
        <v>1852</v>
      </c>
      <c r="C417" s="1577"/>
      <c r="D417" s="1581" t="s">
        <v>1801</v>
      </c>
      <c r="E417" s="280">
        <v>15</v>
      </c>
      <c r="F417" s="280" t="s">
        <v>1667</v>
      </c>
      <c r="G417" s="1679"/>
      <c r="H417" s="1571"/>
      <c r="I417" s="1571"/>
      <c r="J417" s="1571"/>
      <c r="K417" s="1571"/>
      <c r="L417" s="1577"/>
      <c r="M417" s="1681"/>
      <c r="N417" s="1577"/>
      <c r="O417" s="1571"/>
    </row>
    <row r="418" spans="1:15">
      <c r="A418" s="301" t="s">
        <v>2041</v>
      </c>
      <c r="B418" s="1685" t="s">
        <v>1852</v>
      </c>
      <c r="C418" s="1577"/>
      <c r="D418" s="1581" t="s">
        <v>1802</v>
      </c>
      <c r="E418" s="280">
        <v>5</v>
      </c>
      <c r="F418" s="280" t="s">
        <v>761</v>
      </c>
      <c r="G418" s="1679"/>
      <c r="H418" s="1571"/>
      <c r="I418" s="1571"/>
      <c r="J418" s="1571"/>
      <c r="K418" s="1571"/>
      <c r="L418" s="1577"/>
      <c r="M418" s="1681"/>
      <c r="N418" s="1577"/>
      <c r="O418" s="1571"/>
    </row>
    <row r="419" spans="1:15">
      <c r="A419" s="301" t="s">
        <v>2041</v>
      </c>
      <c r="B419" s="1685" t="s">
        <v>1852</v>
      </c>
      <c r="C419" s="1577"/>
      <c r="D419" s="1581" t="s">
        <v>1858</v>
      </c>
      <c r="E419" s="280">
        <v>5</v>
      </c>
      <c r="F419" s="280" t="s">
        <v>755</v>
      </c>
      <c r="G419" s="1679"/>
      <c r="H419" s="1571"/>
      <c r="I419" s="1571"/>
      <c r="J419" s="1571"/>
      <c r="K419" s="1571"/>
      <c r="L419" s="1577"/>
      <c r="M419" s="1681"/>
      <c r="N419" s="1577"/>
      <c r="O419" s="1571"/>
    </row>
    <row r="420" spans="1:15">
      <c r="A420" s="301" t="s">
        <v>2041</v>
      </c>
      <c r="B420" s="1685" t="s">
        <v>1852</v>
      </c>
      <c r="C420" s="1577"/>
      <c r="D420" s="1581" t="s">
        <v>1804</v>
      </c>
      <c r="E420" s="280">
        <v>1</v>
      </c>
      <c r="F420" s="280" t="s">
        <v>1805</v>
      </c>
      <c r="G420" s="1679"/>
      <c r="H420" s="1571"/>
      <c r="I420" s="1571"/>
      <c r="J420" s="1571"/>
      <c r="K420" s="1571"/>
      <c r="L420" s="1577"/>
      <c r="M420" s="1681"/>
      <c r="N420" s="1577"/>
      <c r="O420" s="1571"/>
    </row>
    <row r="421" spans="1:15">
      <c r="A421" s="301" t="s">
        <v>2041</v>
      </c>
      <c r="B421" s="1685" t="s">
        <v>1852</v>
      </c>
      <c r="C421" s="1577"/>
      <c r="D421" s="1581" t="s">
        <v>1806</v>
      </c>
      <c r="E421" s="280">
        <v>15</v>
      </c>
      <c r="F421" s="280" t="s">
        <v>761</v>
      </c>
      <c r="G421" s="1679"/>
      <c r="H421" s="1571"/>
      <c r="I421" s="1571"/>
      <c r="J421" s="1571"/>
      <c r="K421" s="1571"/>
      <c r="L421" s="1577"/>
      <c r="M421" s="1681"/>
      <c r="N421" s="1577"/>
      <c r="O421" s="1571"/>
    </row>
    <row r="422" spans="1:15">
      <c r="A422" s="301" t="s">
        <v>2041</v>
      </c>
      <c r="B422" s="1685" t="s">
        <v>1852</v>
      </c>
      <c r="C422" s="1577"/>
      <c r="D422" s="1581" t="s">
        <v>1807</v>
      </c>
      <c r="E422" s="280">
        <v>5</v>
      </c>
      <c r="F422" s="280" t="s">
        <v>761</v>
      </c>
      <c r="G422" s="1679"/>
      <c r="H422" s="1571"/>
      <c r="I422" s="1571"/>
      <c r="J422" s="1571"/>
      <c r="K422" s="1571"/>
      <c r="L422" s="1577"/>
      <c r="M422" s="1681"/>
      <c r="N422" s="1577"/>
      <c r="O422" s="1571"/>
    </row>
    <row r="423" spans="1:15">
      <c r="A423" s="301" t="s">
        <v>2041</v>
      </c>
      <c r="B423" s="1685" t="s">
        <v>1852</v>
      </c>
      <c r="C423" s="1577"/>
      <c r="D423" s="1581" t="s">
        <v>1859</v>
      </c>
      <c r="E423" s="280">
        <v>4</v>
      </c>
      <c r="F423" s="280" t="s">
        <v>1793</v>
      </c>
      <c r="G423" s="1679"/>
      <c r="H423" s="1571"/>
      <c r="I423" s="1571"/>
      <c r="J423" s="1571"/>
      <c r="K423" s="1571"/>
      <c r="L423" s="1577"/>
      <c r="M423" s="1681"/>
      <c r="N423" s="1577"/>
      <c r="O423" s="1571"/>
    </row>
    <row r="424" spans="1:15">
      <c r="A424" s="301" t="s">
        <v>2041</v>
      </c>
      <c r="B424" s="1685" t="s">
        <v>1852</v>
      </c>
      <c r="C424" s="1577"/>
      <c r="D424" s="1581" t="s">
        <v>1860</v>
      </c>
      <c r="E424" s="280">
        <v>10</v>
      </c>
      <c r="F424" s="280" t="s">
        <v>755</v>
      </c>
      <c r="G424" s="1679"/>
      <c r="H424" s="1571"/>
      <c r="I424" s="1571"/>
      <c r="J424" s="1571"/>
      <c r="K424" s="1571"/>
      <c r="L424" s="1577"/>
      <c r="M424" s="1681"/>
      <c r="N424" s="1577"/>
      <c r="O424" s="1571"/>
    </row>
    <row r="425" spans="1:15">
      <c r="A425" s="301" t="s">
        <v>2041</v>
      </c>
      <c r="B425" s="1685" t="s">
        <v>1852</v>
      </c>
      <c r="C425" s="1577"/>
      <c r="D425" s="1581" t="s">
        <v>1810</v>
      </c>
      <c r="E425" s="280">
        <v>15</v>
      </c>
      <c r="F425" s="280" t="s">
        <v>761</v>
      </c>
      <c r="G425" s="1679"/>
      <c r="H425" s="1571"/>
      <c r="I425" s="1571"/>
      <c r="J425" s="1571"/>
      <c r="K425" s="1571"/>
      <c r="L425" s="1577"/>
      <c r="M425" s="1681"/>
      <c r="N425" s="1577"/>
      <c r="O425" s="1571"/>
    </row>
    <row r="426" spans="1:15">
      <c r="A426" s="301" t="s">
        <v>2041</v>
      </c>
      <c r="B426" s="1685" t="s">
        <v>1852</v>
      </c>
      <c r="C426" s="1577"/>
      <c r="D426" s="1581" t="s">
        <v>1861</v>
      </c>
      <c r="E426" s="280">
        <v>25</v>
      </c>
      <c r="F426" s="280" t="s">
        <v>761</v>
      </c>
      <c r="G426" s="1679"/>
      <c r="H426" s="1571"/>
      <c r="I426" s="1571"/>
      <c r="J426" s="1571"/>
      <c r="K426" s="1571"/>
      <c r="L426" s="1577"/>
      <c r="M426" s="1681"/>
      <c r="N426" s="1577"/>
      <c r="O426" s="1571"/>
    </row>
    <row r="427" spans="1:15">
      <c r="A427" s="301" t="s">
        <v>2041</v>
      </c>
      <c r="B427" s="1685" t="s">
        <v>1852</v>
      </c>
      <c r="C427" s="1577"/>
      <c r="D427" s="1581" t="s">
        <v>1862</v>
      </c>
      <c r="E427" s="280">
        <v>15</v>
      </c>
      <c r="F427" s="280" t="s">
        <v>761</v>
      </c>
      <c r="G427" s="1679"/>
      <c r="H427" s="1571"/>
      <c r="I427" s="1571"/>
      <c r="J427" s="1571"/>
      <c r="K427" s="1571"/>
      <c r="L427" s="1577"/>
      <c r="M427" s="1681"/>
      <c r="N427" s="1577"/>
      <c r="O427" s="1571"/>
    </row>
    <row r="428" spans="1:15">
      <c r="A428" s="301" t="s">
        <v>2041</v>
      </c>
      <c r="B428" s="1685" t="s">
        <v>1852</v>
      </c>
      <c r="C428" s="1577"/>
      <c r="D428" s="1581" t="s">
        <v>1863</v>
      </c>
      <c r="E428" s="280">
        <v>5</v>
      </c>
      <c r="F428" s="280" t="s">
        <v>761</v>
      </c>
      <c r="G428" s="1679"/>
      <c r="H428" s="1571"/>
      <c r="I428" s="1571"/>
      <c r="J428" s="1571"/>
      <c r="K428" s="1571"/>
      <c r="L428" s="1577"/>
      <c r="M428" s="1681"/>
      <c r="N428" s="1577"/>
      <c r="O428" s="1571"/>
    </row>
    <row r="429" spans="1:15">
      <c r="A429" s="301" t="s">
        <v>2041</v>
      </c>
      <c r="B429" s="1685" t="s">
        <v>1852</v>
      </c>
      <c r="C429" s="1577"/>
      <c r="D429" s="1581" t="s">
        <v>1814</v>
      </c>
      <c r="E429" s="280">
        <v>4</v>
      </c>
      <c r="F429" s="280" t="s">
        <v>1793</v>
      </c>
      <c r="G429" s="1679"/>
      <c r="H429" s="1571"/>
      <c r="I429" s="1571"/>
      <c r="J429" s="1571"/>
      <c r="K429" s="1571"/>
      <c r="L429" s="1577"/>
      <c r="M429" s="1681"/>
      <c r="N429" s="1577"/>
      <c r="O429" s="1571"/>
    </row>
    <row r="430" spans="1:15">
      <c r="A430" s="301" t="s">
        <v>2041</v>
      </c>
      <c r="B430" s="1685" t="s">
        <v>1852</v>
      </c>
      <c r="C430" s="1577"/>
      <c r="D430" s="1581" t="s">
        <v>1815</v>
      </c>
      <c r="E430" s="280">
        <v>1</v>
      </c>
      <c r="F430" s="280" t="s">
        <v>1667</v>
      </c>
      <c r="G430" s="1679"/>
      <c r="H430" s="1571"/>
      <c r="I430" s="1571"/>
      <c r="J430" s="1571"/>
      <c r="K430" s="1571"/>
      <c r="L430" s="1577"/>
      <c r="M430" s="1681"/>
      <c r="N430" s="1577"/>
      <c r="O430" s="1571"/>
    </row>
    <row r="431" spans="1:15">
      <c r="A431" s="301" t="s">
        <v>2041</v>
      </c>
      <c r="B431" s="1685" t="s">
        <v>1852</v>
      </c>
      <c r="C431" s="1577"/>
      <c r="D431" s="1581" t="s">
        <v>1816</v>
      </c>
      <c r="E431" s="280">
        <v>5</v>
      </c>
      <c r="F431" s="280" t="s">
        <v>1793</v>
      </c>
      <c r="G431" s="1679"/>
      <c r="H431" s="1571"/>
      <c r="I431" s="1571"/>
      <c r="J431" s="1571"/>
      <c r="K431" s="1571"/>
      <c r="L431" s="1577"/>
      <c r="M431" s="1681"/>
      <c r="N431" s="1577"/>
      <c r="O431" s="1571"/>
    </row>
    <row r="432" spans="1:15">
      <c r="A432" s="301" t="s">
        <v>2041</v>
      </c>
      <c r="B432" s="1685" t="s">
        <v>1852</v>
      </c>
      <c r="C432" s="1577"/>
      <c r="D432" s="1581" t="s">
        <v>1817</v>
      </c>
      <c r="E432" s="280">
        <v>5</v>
      </c>
      <c r="F432" s="280" t="s">
        <v>763</v>
      </c>
      <c r="G432" s="1679"/>
      <c r="H432" s="1571"/>
      <c r="I432" s="1571"/>
      <c r="J432" s="1571"/>
      <c r="K432" s="1571"/>
      <c r="L432" s="1577"/>
      <c r="M432" s="1681"/>
      <c r="N432" s="1577"/>
      <c r="O432" s="1571"/>
    </row>
    <row r="433" spans="1:15">
      <c r="A433" s="301" t="s">
        <v>2041</v>
      </c>
      <c r="B433" s="1685" t="s">
        <v>1852</v>
      </c>
      <c r="C433" s="1577"/>
      <c r="D433" s="1581" t="s">
        <v>1818</v>
      </c>
      <c r="E433" s="280">
        <v>12</v>
      </c>
      <c r="F433" s="280" t="s">
        <v>761</v>
      </c>
      <c r="G433" s="1679"/>
      <c r="H433" s="1571"/>
      <c r="I433" s="1571"/>
      <c r="J433" s="1571"/>
      <c r="K433" s="1571"/>
      <c r="L433" s="1577"/>
      <c r="M433" s="1681"/>
      <c r="N433" s="1577"/>
      <c r="O433" s="1571"/>
    </row>
    <row r="434" spans="1:15">
      <c r="A434" s="301" t="s">
        <v>2041</v>
      </c>
      <c r="B434" s="1685" t="s">
        <v>1852</v>
      </c>
      <c r="C434" s="1577"/>
      <c r="D434" s="1581" t="s">
        <v>1864</v>
      </c>
      <c r="E434" s="280">
        <v>5</v>
      </c>
      <c r="F434" s="280" t="s">
        <v>755</v>
      </c>
      <c r="G434" s="1679"/>
      <c r="H434" s="1571"/>
      <c r="I434" s="1571"/>
      <c r="J434" s="1571"/>
      <c r="K434" s="1571"/>
      <c r="L434" s="1577"/>
      <c r="M434" s="1681"/>
      <c r="N434" s="1577"/>
      <c r="O434" s="1571"/>
    </row>
    <row r="435" spans="1:15">
      <c r="A435" s="301" t="s">
        <v>2041</v>
      </c>
      <c r="B435" s="1685" t="s">
        <v>1852</v>
      </c>
      <c r="C435" s="1577"/>
      <c r="D435" s="1581" t="s">
        <v>1865</v>
      </c>
      <c r="E435" s="280">
        <v>10</v>
      </c>
      <c r="F435" s="280" t="s">
        <v>761</v>
      </c>
      <c r="G435" s="1679"/>
      <c r="H435" s="1571"/>
      <c r="I435" s="1571"/>
      <c r="J435" s="1571"/>
      <c r="K435" s="1571"/>
      <c r="L435" s="1577"/>
      <c r="M435" s="1681"/>
      <c r="N435" s="1577"/>
      <c r="O435" s="1571"/>
    </row>
    <row r="436" spans="1:15">
      <c r="A436" s="301" t="s">
        <v>2041</v>
      </c>
      <c r="B436" s="1685" t="s">
        <v>1852</v>
      </c>
      <c r="C436" s="1577"/>
      <c r="D436" s="1581" t="s">
        <v>1820</v>
      </c>
      <c r="E436" s="280">
        <v>3</v>
      </c>
      <c r="F436" s="280" t="s">
        <v>761</v>
      </c>
      <c r="G436" s="1679"/>
      <c r="H436" s="1571"/>
      <c r="I436" s="1571"/>
      <c r="J436" s="1571"/>
      <c r="K436" s="1571"/>
      <c r="L436" s="1577"/>
      <c r="M436" s="1681"/>
      <c r="N436" s="1577"/>
      <c r="O436" s="1571"/>
    </row>
    <row r="437" spans="1:15">
      <c r="A437" s="301" t="s">
        <v>2041</v>
      </c>
      <c r="B437" s="1685" t="s">
        <v>1852</v>
      </c>
      <c r="C437" s="1577"/>
      <c r="D437" s="1581" t="s">
        <v>1821</v>
      </c>
      <c r="E437" s="280">
        <v>3</v>
      </c>
      <c r="F437" s="280" t="s">
        <v>761</v>
      </c>
      <c r="G437" s="1679"/>
      <c r="H437" s="1571"/>
      <c r="I437" s="1571"/>
      <c r="J437" s="1571"/>
      <c r="K437" s="1571"/>
      <c r="L437" s="1577"/>
      <c r="M437" s="1681"/>
      <c r="N437" s="1577"/>
      <c r="O437" s="1571"/>
    </row>
    <row r="438" spans="1:15">
      <c r="A438" s="301" t="s">
        <v>2041</v>
      </c>
      <c r="B438" s="1685" t="s">
        <v>1852</v>
      </c>
      <c r="C438" s="1577"/>
      <c r="D438" s="1581" t="s">
        <v>1822</v>
      </c>
      <c r="E438" s="280">
        <v>4</v>
      </c>
      <c r="F438" s="280" t="s">
        <v>761</v>
      </c>
      <c r="G438" s="1679"/>
      <c r="H438" s="1571"/>
      <c r="I438" s="1571"/>
      <c r="J438" s="1571"/>
      <c r="K438" s="1571"/>
      <c r="L438" s="1577"/>
      <c r="M438" s="1681"/>
      <c r="N438" s="1577"/>
      <c r="O438" s="1571"/>
    </row>
    <row r="439" spans="1:15">
      <c r="A439" s="301" t="s">
        <v>2041</v>
      </c>
      <c r="B439" s="1685" t="s">
        <v>1852</v>
      </c>
      <c r="C439" s="1577"/>
      <c r="D439" s="1581" t="s">
        <v>1823</v>
      </c>
      <c r="E439" s="280">
        <v>3</v>
      </c>
      <c r="F439" s="280" t="s">
        <v>761</v>
      </c>
      <c r="G439" s="1679"/>
      <c r="H439" s="1571"/>
      <c r="I439" s="1571"/>
      <c r="J439" s="1571"/>
      <c r="K439" s="1571"/>
      <c r="L439" s="1577"/>
      <c r="M439" s="1681"/>
      <c r="N439" s="1577"/>
      <c r="O439" s="1571"/>
    </row>
    <row r="440" spans="1:15">
      <c r="A440" s="301" t="s">
        <v>2041</v>
      </c>
      <c r="B440" s="1685" t="s">
        <v>1852</v>
      </c>
      <c r="C440" s="1577"/>
      <c r="D440" s="1581" t="s">
        <v>1824</v>
      </c>
      <c r="E440" s="280">
        <v>3</v>
      </c>
      <c r="F440" s="280" t="s">
        <v>1793</v>
      </c>
      <c r="G440" s="1679"/>
      <c r="H440" s="1571"/>
      <c r="I440" s="1571"/>
      <c r="J440" s="1571"/>
      <c r="K440" s="1571"/>
      <c r="L440" s="1577"/>
      <c r="M440" s="1681"/>
      <c r="N440" s="1577"/>
      <c r="O440" s="1571"/>
    </row>
    <row r="441" spans="1:15">
      <c r="A441" s="301" t="s">
        <v>2041</v>
      </c>
      <c r="B441" s="1685" t="s">
        <v>1852</v>
      </c>
      <c r="C441" s="1577"/>
      <c r="D441" s="1581" t="s">
        <v>1825</v>
      </c>
      <c r="E441" s="280">
        <v>12</v>
      </c>
      <c r="F441" s="280" t="s">
        <v>1779</v>
      </c>
      <c r="G441" s="1679"/>
      <c r="H441" s="1571"/>
      <c r="I441" s="1571"/>
      <c r="J441" s="1571"/>
      <c r="K441" s="1571"/>
      <c r="L441" s="1577"/>
      <c r="M441" s="1681"/>
      <c r="N441" s="1577"/>
      <c r="O441" s="1571"/>
    </row>
    <row r="442" spans="1:15">
      <c r="A442" s="301" t="s">
        <v>2041</v>
      </c>
      <c r="B442" s="1685" t="s">
        <v>1852</v>
      </c>
      <c r="C442" s="1577"/>
      <c r="D442" s="1581" t="s">
        <v>1826</v>
      </c>
      <c r="E442" s="280">
        <v>3</v>
      </c>
      <c r="F442" s="280" t="s">
        <v>761</v>
      </c>
      <c r="G442" s="1679"/>
      <c r="H442" s="1571"/>
      <c r="I442" s="1571"/>
      <c r="J442" s="1571"/>
      <c r="K442" s="1571"/>
      <c r="L442" s="1577"/>
      <c r="M442" s="1681"/>
      <c r="N442" s="1577"/>
      <c r="O442" s="1571"/>
    </row>
    <row r="443" spans="1:15">
      <c r="A443" s="301" t="s">
        <v>2041</v>
      </c>
      <c r="B443" s="1685" t="s">
        <v>1852</v>
      </c>
      <c r="C443" s="1577"/>
      <c r="D443" s="1581" t="s">
        <v>1827</v>
      </c>
      <c r="E443" s="280">
        <v>10</v>
      </c>
      <c r="F443" s="280" t="s">
        <v>755</v>
      </c>
      <c r="G443" s="1679"/>
      <c r="H443" s="1571"/>
      <c r="I443" s="1571"/>
      <c r="J443" s="1571"/>
      <c r="K443" s="1571"/>
      <c r="L443" s="1577"/>
      <c r="M443" s="1681"/>
      <c r="N443" s="1577"/>
      <c r="O443" s="1571"/>
    </row>
    <row r="444" spans="1:15">
      <c r="A444" s="301" t="s">
        <v>2041</v>
      </c>
      <c r="B444" s="1685" t="s">
        <v>1852</v>
      </c>
      <c r="C444" s="1577"/>
      <c r="D444" s="1581" t="s">
        <v>1828</v>
      </c>
      <c r="E444" s="280">
        <v>10</v>
      </c>
      <c r="F444" s="280" t="s">
        <v>755</v>
      </c>
      <c r="G444" s="1679"/>
      <c r="H444" s="1571"/>
      <c r="I444" s="1571"/>
      <c r="J444" s="1571"/>
      <c r="K444" s="1571"/>
      <c r="L444" s="1577"/>
      <c r="M444" s="1681"/>
      <c r="N444" s="1577"/>
      <c r="O444" s="1571"/>
    </row>
    <row r="445" spans="1:15">
      <c r="A445" s="301" t="s">
        <v>2041</v>
      </c>
      <c r="B445" s="1685" t="s">
        <v>1852</v>
      </c>
      <c r="C445" s="1577"/>
      <c r="D445" s="1581" t="s">
        <v>1866</v>
      </c>
      <c r="E445" s="280">
        <v>5</v>
      </c>
      <c r="F445" s="280" t="s">
        <v>755</v>
      </c>
      <c r="G445" s="1679"/>
      <c r="H445" s="1571"/>
      <c r="I445" s="1571"/>
      <c r="J445" s="1571"/>
      <c r="K445" s="1571"/>
      <c r="L445" s="1577"/>
      <c r="M445" s="1681"/>
      <c r="N445" s="1577"/>
      <c r="O445" s="1571"/>
    </row>
    <row r="446" spans="1:15">
      <c r="A446" s="301" t="s">
        <v>2041</v>
      </c>
      <c r="B446" s="1685" t="s">
        <v>1852</v>
      </c>
      <c r="C446" s="1577"/>
      <c r="D446" s="1581" t="s">
        <v>1867</v>
      </c>
      <c r="E446" s="280">
        <v>10</v>
      </c>
      <c r="F446" s="280" t="s">
        <v>761</v>
      </c>
      <c r="G446" s="1679"/>
      <c r="H446" s="1571"/>
      <c r="I446" s="1571"/>
      <c r="J446" s="1571"/>
      <c r="K446" s="1571"/>
      <c r="L446" s="1577"/>
      <c r="M446" s="1681"/>
      <c r="N446" s="1577"/>
      <c r="O446" s="1571"/>
    </row>
    <row r="447" spans="1:15">
      <c r="A447" s="301" t="s">
        <v>2041</v>
      </c>
      <c r="B447" s="1685" t="s">
        <v>1852</v>
      </c>
      <c r="C447" s="1577"/>
      <c r="D447" s="1581" t="s">
        <v>1868</v>
      </c>
      <c r="E447" s="280">
        <v>2</v>
      </c>
      <c r="F447" s="280" t="s">
        <v>1767</v>
      </c>
      <c r="G447" s="1679"/>
      <c r="H447" s="1571"/>
      <c r="I447" s="1571"/>
      <c r="J447" s="1571"/>
      <c r="K447" s="1571"/>
      <c r="L447" s="1577"/>
      <c r="M447" s="1681"/>
      <c r="N447" s="1577"/>
      <c r="O447" s="1571"/>
    </row>
    <row r="448" spans="1:15">
      <c r="A448" s="301" t="s">
        <v>2041</v>
      </c>
      <c r="B448" s="1685" t="s">
        <v>1852</v>
      </c>
      <c r="C448" s="1577"/>
      <c r="D448" s="1581" t="s">
        <v>1831</v>
      </c>
      <c r="E448" s="280">
        <v>2</v>
      </c>
      <c r="F448" s="280" t="s">
        <v>1773</v>
      </c>
      <c r="G448" s="1679"/>
      <c r="H448" s="1571"/>
      <c r="I448" s="1571"/>
      <c r="J448" s="1571"/>
      <c r="K448" s="1571"/>
      <c r="L448" s="1577"/>
      <c r="M448" s="1681"/>
      <c r="N448" s="1577"/>
      <c r="O448" s="1571"/>
    </row>
    <row r="449" spans="1:15">
      <c r="A449" s="301" t="s">
        <v>2041</v>
      </c>
      <c r="B449" s="1685" t="s">
        <v>1852</v>
      </c>
      <c r="C449" s="1577"/>
      <c r="D449" s="1581" t="s">
        <v>1832</v>
      </c>
      <c r="E449" s="280">
        <v>2</v>
      </c>
      <c r="F449" s="280" t="s">
        <v>1667</v>
      </c>
      <c r="G449" s="1679"/>
      <c r="H449" s="1571"/>
      <c r="I449" s="1571"/>
      <c r="J449" s="1571"/>
      <c r="K449" s="1571"/>
      <c r="L449" s="1577"/>
      <c r="M449" s="1681"/>
      <c r="N449" s="1577"/>
      <c r="O449" s="1571"/>
    </row>
    <row r="450" spans="1:15">
      <c r="A450" s="301" t="s">
        <v>2041</v>
      </c>
      <c r="B450" s="1685" t="s">
        <v>1852</v>
      </c>
      <c r="C450" s="1577"/>
      <c r="D450" s="1581" t="s">
        <v>1833</v>
      </c>
      <c r="E450" s="280">
        <v>5</v>
      </c>
      <c r="F450" s="280" t="s">
        <v>1773</v>
      </c>
      <c r="G450" s="1679"/>
      <c r="H450" s="1571"/>
      <c r="I450" s="1571"/>
      <c r="J450" s="1571"/>
      <c r="K450" s="1571"/>
      <c r="L450" s="1577"/>
      <c r="M450" s="1681"/>
      <c r="N450" s="1577"/>
      <c r="O450" s="1571"/>
    </row>
    <row r="451" spans="1:15">
      <c r="A451" s="301" t="s">
        <v>2041</v>
      </c>
      <c r="B451" s="1685" t="s">
        <v>1852</v>
      </c>
      <c r="C451" s="1577"/>
      <c r="D451" s="1581" t="s">
        <v>1834</v>
      </c>
      <c r="E451" s="280">
        <v>2</v>
      </c>
      <c r="F451" s="280" t="s">
        <v>1636</v>
      </c>
      <c r="G451" s="1679"/>
      <c r="H451" s="1571"/>
      <c r="I451" s="1571"/>
      <c r="J451" s="1571"/>
      <c r="K451" s="1571"/>
      <c r="L451" s="1577"/>
      <c r="M451" s="1681"/>
      <c r="N451" s="1577"/>
      <c r="O451" s="1571"/>
    </row>
    <row r="452" spans="1:15">
      <c r="A452" s="301" t="s">
        <v>2041</v>
      </c>
      <c r="B452" s="1685" t="s">
        <v>1852</v>
      </c>
      <c r="C452" s="1577"/>
      <c r="D452" s="1581" t="s">
        <v>1480</v>
      </c>
      <c r="E452" s="280">
        <v>2</v>
      </c>
      <c r="F452" s="280" t="s">
        <v>761</v>
      </c>
      <c r="G452" s="1679"/>
      <c r="H452" s="1571"/>
      <c r="I452" s="1571"/>
      <c r="J452" s="1571"/>
      <c r="K452" s="1571"/>
      <c r="L452" s="1577"/>
      <c r="M452" s="1681"/>
      <c r="N452" s="1577"/>
      <c r="O452" s="1571"/>
    </row>
    <row r="453" spans="1:15">
      <c r="A453" s="301" t="s">
        <v>2041</v>
      </c>
      <c r="B453" s="1685" t="s">
        <v>1852</v>
      </c>
      <c r="C453" s="1577"/>
      <c r="D453" s="1581" t="s">
        <v>1869</v>
      </c>
      <c r="E453" s="280">
        <v>2</v>
      </c>
      <c r="F453" s="280" t="s">
        <v>761</v>
      </c>
      <c r="G453" s="1679"/>
      <c r="H453" s="1571"/>
      <c r="I453" s="1571"/>
      <c r="J453" s="1571"/>
      <c r="K453" s="1571"/>
      <c r="L453" s="1577"/>
      <c r="M453" s="1681"/>
      <c r="N453" s="1577"/>
      <c r="O453" s="1571"/>
    </row>
    <row r="454" spans="1:15">
      <c r="A454" s="301" t="s">
        <v>2041</v>
      </c>
      <c r="B454" s="1685" t="s">
        <v>1852</v>
      </c>
      <c r="C454" s="1577"/>
      <c r="D454" s="1581" t="s">
        <v>1870</v>
      </c>
      <c r="E454" s="280">
        <v>1</v>
      </c>
      <c r="F454" s="280" t="s">
        <v>1667</v>
      </c>
      <c r="G454" s="1679"/>
      <c r="H454" s="1571"/>
      <c r="I454" s="1571"/>
      <c r="J454" s="1571"/>
      <c r="K454" s="1571"/>
      <c r="L454" s="1577"/>
      <c r="M454" s="1681"/>
      <c r="N454" s="1577"/>
      <c r="O454" s="1571"/>
    </row>
    <row r="455" spans="1:15">
      <c r="A455" s="301" t="s">
        <v>2041</v>
      </c>
      <c r="B455" s="1685" t="s">
        <v>1852</v>
      </c>
      <c r="C455" s="1577"/>
      <c r="D455" s="1581" t="s">
        <v>1871</v>
      </c>
      <c r="E455" s="280">
        <v>2</v>
      </c>
      <c r="F455" s="280" t="s">
        <v>761</v>
      </c>
      <c r="G455" s="1679"/>
      <c r="H455" s="1571"/>
      <c r="I455" s="1571"/>
      <c r="J455" s="1571"/>
      <c r="K455" s="1571"/>
      <c r="L455" s="1577"/>
      <c r="M455" s="1681"/>
      <c r="N455" s="1577"/>
      <c r="O455" s="1571"/>
    </row>
    <row r="456" spans="1:15">
      <c r="A456" s="301" t="s">
        <v>2041</v>
      </c>
      <c r="B456" s="1685" t="s">
        <v>1852</v>
      </c>
      <c r="C456" s="1577"/>
      <c r="D456" s="1581" t="s">
        <v>1872</v>
      </c>
      <c r="E456" s="280">
        <v>1</v>
      </c>
      <c r="F456" s="280" t="s">
        <v>1667</v>
      </c>
      <c r="G456" s="1679"/>
      <c r="H456" s="1571"/>
      <c r="I456" s="1571"/>
      <c r="J456" s="1571"/>
      <c r="K456" s="1571"/>
      <c r="L456" s="1577"/>
      <c r="M456" s="1681"/>
      <c r="N456" s="1577"/>
      <c r="O456" s="1571"/>
    </row>
    <row r="457" spans="1:15">
      <c r="A457" s="301" t="s">
        <v>2041</v>
      </c>
      <c r="B457" s="1685" t="s">
        <v>1852</v>
      </c>
      <c r="C457" s="1577"/>
      <c r="D457" s="1581" t="s">
        <v>1784</v>
      </c>
      <c r="E457" s="280">
        <v>2</v>
      </c>
      <c r="F457" s="280" t="s">
        <v>761</v>
      </c>
      <c r="G457" s="1679"/>
      <c r="H457" s="1571"/>
      <c r="I457" s="1571"/>
      <c r="J457" s="1571"/>
      <c r="K457" s="1571"/>
      <c r="L457" s="1577"/>
      <c r="M457" s="1681"/>
      <c r="N457" s="1577"/>
      <c r="O457" s="1571"/>
    </row>
    <row r="458" spans="1:15">
      <c r="A458" s="301" t="s">
        <v>2041</v>
      </c>
      <c r="B458" s="1685" t="s">
        <v>1852</v>
      </c>
      <c r="C458" s="1577"/>
      <c r="D458" s="1581" t="s">
        <v>1837</v>
      </c>
      <c r="E458" s="280">
        <v>2</v>
      </c>
      <c r="F458" s="280" t="s">
        <v>761</v>
      </c>
      <c r="G458" s="1679"/>
      <c r="H458" s="1571"/>
      <c r="I458" s="1571"/>
      <c r="J458" s="1571"/>
      <c r="K458" s="1571"/>
      <c r="L458" s="1577"/>
      <c r="M458" s="1681"/>
      <c r="N458" s="1577"/>
      <c r="O458" s="1571"/>
    </row>
    <row r="459" spans="1:15">
      <c r="A459" s="301" t="s">
        <v>2041</v>
      </c>
      <c r="B459" s="1685" t="s">
        <v>1852</v>
      </c>
      <c r="C459" s="1577"/>
      <c r="D459" s="1581" t="s">
        <v>1838</v>
      </c>
      <c r="E459" s="280">
        <v>3</v>
      </c>
      <c r="F459" s="280" t="s">
        <v>1793</v>
      </c>
      <c r="G459" s="1679"/>
      <c r="H459" s="1571"/>
      <c r="I459" s="1571"/>
      <c r="J459" s="1571"/>
      <c r="K459" s="1571"/>
      <c r="L459" s="1577"/>
      <c r="M459" s="1681"/>
      <c r="N459" s="1577"/>
      <c r="O459" s="1571"/>
    </row>
    <row r="460" spans="1:15">
      <c r="A460" s="301" t="s">
        <v>2041</v>
      </c>
      <c r="B460" s="1685" t="s">
        <v>1852</v>
      </c>
      <c r="C460" s="1577"/>
      <c r="D460" s="1581" t="s">
        <v>187</v>
      </c>
      <c r="E460" s="280">
        <v>2</v>
      </c>
      <c r="F460" s="280" t="s">
        <v>1636</v>
      </c>
      <c r="G460" s="1679"/>
      <c r="H460" s="1571"/>
      <c r="I460" s="1571"/>
      <c r="J460" s="1571"/>
      <c r="K460" s="1571"/>
      <c r="L460" s="1577"/>
      <c r="M460" s="1681"/>
      <c r="N460" s="1577"/>
      <c r="O460" s="1571"/>
    </row>
    <row r="461" spans="1:15">
      <c r="A461" s="301" t="s">
        <v>2041</v>
      </c>
      <c r="B461" s="1685" t="s">
        <v>1852</v>
      </c>
      <c r="C461" s="1577"/>
      <c r="D461" s="1581" t="s">
        <v>1873</v>
      </c>
      <c r="E461" s="280">
        <v>5</v>
      </c>
      <c r="F461" s="280" t="s">
        <v>1841</v>
      </c>
      <c r="G461" s="1679"/>
      <c r="H461" s="1571"/>
      <c r="I461" s="1571"/>
      <c r="J461" s="1571"/>
      <c r="K461" s="1571"/>
      <c r="L461" s="1577"/>
      <c r="M461" s="1681"/>
      <c r="N461" s="1577"/>
      <c r="O461" s="1571"/>
    </row>
    <row r="462" spans="1:15">
      <c r="A462" s="301" t="s">
        <v>2041</v>
      </c>
      <c r="B462" s="1685" t="s">
        <v>1852</v>
      </c>
      <c r="C462" s="1577"/>
      <c r="D462" s="1581" t="s">
        <v>1840</v>
      </c>
      <c r="E462" s="280">
        <v>2</v>
      </c>
      <c r="F462" s="280" t="s">
        <v>1841</v>
      </c>
      <c r="G462" s="1679"/>
      <c r="H462" s="1571"/>
      <c r="I462" s="1571"/>
      <c r="J462" s="1571"/>
      <c r="K462" s="1571"/>
      <c r="L462" s="1577"/>
      <c r="M462" s="1681"/>
      <c r="N462" s="1577"/>
      <c r="O462" s="1571"/>
    </row>
    <row r="463" spans="1:15">
      <c r="A463" s="301" t="s">
        <v>2041</v>
      </c>
      <c r="B463" s="1685" t="s">
        <v>1852</v>
      </c>
      <c r="C463" s="1577"/>
      <c r="D463" s="1581" t="s">
        <v>1842</v>
      </c>
      <c r="E463" s="280">
        <v>4</v>
      </c>
      <c r="F463" s="280" t="s">
        <v>1841</v>
      </c>
      <c r="G463" s="1679"/>
      <c r="H463" s="1571"/>
      <c r="I463" s="1571"/>
      <c r="J463" s="1571"/>
      <c r="K463" s="1571"/>
      <c r="L463" s="1577"/>
      <c r="M463" s="1681"/>
      <c r="N463" s="1577"/>
      <c r="O463" s="1571"/>
    </row>
    <row r="464" spans="1:15">
      <c r="A464" s="301" t="s">
        <v>2041</v>
      </c>
      <c r="B464" s="1685" t="s">
        <v>1852</v>
      </c>
      <c r="C464" s="1577"/>
      <c r="D464" s="1581" t="s">
        <v>1843</v>
      </c>
      <c r="E464" s="280">
        <v>3</v>
      </c>
      <c r="F464" s="280" t="s">
        <v>761</v>
      </c>
      <c r="G464" s="1679"/>
      <c r="H464" s="1571"/>
      <c r="I464" s="1571"/>
      <c r="J464" s="1571"/>
      <c r="K464" s="1571"/>
      <c r="L464" s="1577"/>
      <c r="M464" s="1681"/>
      <c r="N464" s="1577"/>
      <c r="O464" s="1571"/>
    </row>
    <row r="465" spans="1:15">
      <c r="A465" s="301" t="s">
        <v>2041</v>
      </c>
      <c r="B465" s="1685" t="s">
        <v>1852</v>
      </c>
      <c r="C465" s="1577"/>
      <c r="D465" s="1581" t="s">
        <v>1844</v>
      </c>
      <c r="E465" s="280">
        <v>3</v>
      </c>
      <c r="F465" s="280" t="s">
        <v>761</v>
      </c>
      <c r="G465" s="1679"/>
      <c r="H465" s="1571"/>
      <c r="I465" s="1571"/>
      <c r="J465" s="1571"/>
      <c r="K465" s="1571"/>
      <c r="L465" s="1577"/>
      <c r="M465" s="1681"/>
      <c r="N465" s="1577"/>
      <c r="O465" s="1571"/>
    </row>
    <row r="466" spans="1:15">
      <c r="A466" s="301" t="s">
        <v>2041</v>
      </c>
      <c r="B466" s="1685" t="s">
        <v>1852</v>
      </c>
      <c r="C466" s="1577"/>
      <c r="D466" s="1581" t="s">
        <v>1874</v>
      </c>
      <c r="E466" s="280">
        <v>1</v>
      </c>
      <c r="F466" s="280" t="s">
        <v>1805</v>
      </c>
      <c r="G466" s="1679"/>
      <c r="H466" s="1571"/>
      <c r="I466" s="1571"/>
      <c r="J466" s="1571"/>
      <c r="K466" s="1571"/>
      <c r="L466" s="1577"/>
      <c r="M466" s="1681"/>
      <c r="N466" s="1577"/>
      <c r="O466" s="1571"/>
    </row>
    <row r="467" spans="1:15">
      <c r="A467" s="301" t="s">
        <v>2041</v>
      </c>
      <c r="B467" s="1685" t="s">
        <v>1852</v>
      </c>
      <c r="C467" s="1577"/>
      <c r="D467" s="1581" t="s">
        <v>1875</v>
      </c>
      <c r="E467" s="280">
        <v>2</v>
      </c>
      <c r="F467" s="280" t="s">
        <v>761</v>
      </c>
      <c r="G467" s="1679"/>
      <c r="H467" s="1571"/>
      <c r="I467" s="1571"/>
      <c r="J467" s="1571"/>
      <c r="K467" s="1571"/>
      <c r="L467" s="1577"/>
      <c r="M467" s="1681"/>
      <c r="N467" s="1577"/>
      <c r="O467" s="1571"/>
    </row>
    <row r="468" spans="1:15">
      <c r="A468" s="301" t="s">
        <v>2041</v>
      </c>
      <c r="B468" s="1685" t="s">
        <v>1852</v>
      </c>
      <c r="C468" s="1577"/>
      <c r="D468" s="1581" t="s">
        <v>1847</v>
      </c>
      <c r="E468" s="280">
        <v>5</v>
      </c>
      <c r="F468" s="280" t="s">
        <v>755</v>
      </c>
      <c r="G468" s="1679"/>
      <c r="H468" s="1571"/>
      <c r="I468" s="1571"/>
      <c r="J468" s="1571"/>
      <c r="K468" s="1571"/>
      <c r="L468" s="1577"/>
      <c r="M468" s="1681"/>
      <c r="N468" s="1577"/>
      <c r="O468" s="1571"/>
    </row>
    <row r="469" spans="1:15">
      <c r="A469" s="301" t="s">
        <v>2041</v>
      </c>
      <c r="B469" s="1685" t="s">
        <v>1852</v>
      </c>
      <c r="C469" s="1577"/>
      <c r="D469" s="1581" t="s">
        <v>1848</v>
      </c>
      <c r="E469" s="280">
        <v>1</v>
      </c>
      <c r="F469" s="280" t="s">
        <v>1667</v>
      </c>
      <c r="G469" s="1679"/>
      <c r="H469" s="1571"/>
      <c r="I469" s="1571"/>
      <c r="J469" s="1571"/>
      <c r="K469" s="1571"/>
      <c r="L469" s="1577"/>
      <c r="M469" s="1681"/>
      <c r="N469" s="1577"/>
      <c r="O469" s="1571"/>
    </row>
    <row r="470" spans="1:15">
      <c r="A470" s="301" t="s">
        <v>2041</v>
      </c>
      <c r="B470" s="1685" t="s">
        <v>1852</v>
      </c>
      <c r="C470" s="1577"/>
      <c r="D470" s="1581" t="s">
        <v>1876</v>
      </c>
      <c r="E470" s="280">
        <v>15</v>
      </c>
      <c r="F470" s="280" t="s">
        <v>761</v>
      </c>
      <c r="G470" s="1679"/>
      <c r="H470" s="1571"/>
      <c r="I470" s="1571"/>
      <c r="J470" s="1571"/>
      <c r="K470" s="1571"/>
      <c r="L470" s="1577"/>
      <c r="M470" s="1681"/>
      <c r="N470" s="1577"/>
      <c r="O470" s="1571"/>
    </row>
    <row r="471" spans="1:15">
      <c r="A471" s="301" t="s">
        <v>2041</v>
      </c>
      <c r="B471" s="1685" t="s">
        <v>1852</v>
      </c>
      <c r="C471" s="1577"/>
      <c r="D471" s="1581" t="s">
        <v>1850</v>
      </c>
      <c r="E471" s="280">
        <v>15</v>
      </c>
      <c r="F471" s="280" t="s">
        <v>761</v>
      </c>
      <c r="G471" s="1679"/>
      <c r="H471" s="1571"/>
      <c r="I471" s="1571"/>
      <c r="J471" s="1571"/>
      <c r="K471" s="1571"/>
      <c r="L471" s="1577"/>
      <c r="M471" s="1681"/>
      <c r="N471" s="1577"/>
      <c r="O471" s="1571"/>
    </row>
    <row r="472" spans="1:15">
      <c r="A472" s="301" t="s">
        <v>2041</v>
      </c>
      <c r="B472" s="1685" t="s">
        <v>1852</v>
      </c>
      <c r="C472" s="1577"/>
      <c r="D472" s="1581" t="s">
        <v>1851</v>
      </c>
      <c r="E472" s="280"/>
      <c r="F472" s="280" t="s">
        <v>761</v>
      </c>
      <c r="G472" s="1679"/>
      <c r="H472" s="1571"/>
      <c r="I472" s="1571"/>
      <c r="J472" s="1571"/>
      <c r="K472" s="1571"/>
      <c r="L472" s="1577"/>
      <c r="M472" s="1681"/>
      <c r="N472" s="1577"/>
      <c r="O472" s="1571"/>
    </row>
    <row r="473" spans="1:15">
      <c r="A473" s="301"/>
    </row>
    <row r="476" spans="1:15" ht="38.25">
      <c r="A476" t="s">
        <v>2040</v>
      </c>
      <c r="B476" t="s">
        <v>1852</v>
      </c>
      <c r="C476" s="1671" t="s">
        <v>1763</v>
      </c>
      <c r="D476" s="242" t="s">
        <v>2</v>
      </c>
      <c r="E476" s="1684"/>
      <c r="F476" s="1571" t="s">
        <v>1764</v>
      </c>
      <c r="G476" s="1571" t="s">
        <v>1</v>
      </c>
      <c r="H476" s="1672" t="s">
        <v>675</v>
      </c>
      <c r="I476" s="1672" t="s">
        <v>599</v>
      </c>
      <c r="J476" s="1672" t="s">
        <v>599</v>
      </c>
      <c r="K476" s="1565" t="s">
        <v>748</v>
      </c>
      <c r="L476" s="1673">
        <v>49998</v>
      </c>
      <c r="M476" s="1533" t="s">
        <v>1765</v>
      </c>
      <c r="N476" s="1565" t="s">
        <v>703</v>
      </c>
    </row>
    <row r="477" spans="1:15">
      <c r="A477" t="s">
        <v>2040</v>
      </c>
      <c r="B477" t="s">
        <v>1852</v>
      </c>
      <c r="C477" s="1571" t="s">
        <v>735</v>
      </c>
      <c r="D477" s="1581" t="s">
        <v>863</v>
      </c>
      <c r="E477" s="280">
        <v>2</v>
      </c>
      <c r="F477" s="280" t="s">
        <v>1917</v>
      </c>
      <c r="G477" s="1561"/>
      <c r="H477" s="1577"/>
      <c r="I477" s="1578"/>
      <c r="J477" s="1571"/>
      <c r="K477" s="1579"/>
      <c r="L477" s="1577"/>
      <c r="M477" s="1674"/>
      <c r="N477" s="1580"/>
      <c r="O477" s="1577"/>
    </row>
    <row r="478" spans="1:15">
      <c r="A478" t="s">
        <v>2040</v>
      </c>
      <c r="B478" t="s">
        <v>1852</v>
      </c>
      <c r="C478" s="1577"/>
      <c r="D478" s="1581" t="s">
        <v>1918</v>
      </c>
      <c r="E478" s="280">
        <v>5</v>
      </c>
      <c r="F478" s="280" t="s">
        <v>761</v>
      </c>
      <c r="G478" s="1561"/>
      <c r="H478" s="1577"/>
      <c r="I478" s="1578"/>
      <c r="J478" s="1571"/>
      <c r="K478" s="1579"/>
      <c r="L478" s="1577"/>
      <c r="M478" s="1674"/>
      <c r="N478" s="1580"/>
      <c r="O478" s="1577"/>
    </row>
    <row r="479" spans="1:15">
      <c r="A479" t="s">
        <v>2040</v>
      </c>
      <c r="B479" t="s">
        <v>1852</v>
      </c>
      <c r="C479" s="1577"/>
      <c r="D479" s="1581" t="s">
        <v>1919</v>
      </c>
      <c r="E479" s="280">
        <v>5</v>
      </c>
      <c r="F479" s="280" t="s">
        <v>761</v>
      </c>
      <c r="G479" s="1561"/>
      <c r="H479" s="1577"/>
      <c r="I479" s="1578"/>
      <c r="J479" s="1571"/>
      <c r="K479" s="1579"/>
      <c r="L479" s="1577"/>
      <c r="M479" s="1674"/>
      <c r="N479" s="1580"/>
      <c r="O479" s="1577"/>
    </row>
    <row r="480" spans="1:15">
      <c r="A480" t="s">
        <v>2040</v>
      </c>
      <c r="B480" t="s">
        <v>1852</v>
      </c>
      <c r="C480" s="1561"/>
      <c r="D480" s="1581" t="s">
        <v>1920</v>
      </c>
      <c r="E480" s="280">
        <v>5</v>
      </c>
      <c r="F480" s="280" t="s">
        <v>761</v>
      </c>
      <c r="G480" s="1561"/>
      <c r="H480" s="1561"/>
      <c r="I480" s="1562"/>
      <c r="J480" s="1562"/>
      <c r="K480" s="1582"/>
      <c r="L480" s="1561"/>
      <c r="M480" s="1674"/>
      <c r="N480" s="1561"/>
      <c r="O480" s="1561"/>
    </row>
    <row r="481" spans="1:15">
      <c r="A481" t="s">
        <v>2040</v>
      </c>
      <c r="B481" t="s">
        <v>1852</v>
      </c>
      <c r="C481" s="1561"/>
      <c r="D481" s="1581" t="s">
        <v>1921</v>
      </c>
      <c r="E481" s="280">
        <v>2</v>
      </c>
      <c r="F481" s="280" t="s">
        <v>761</v>
      </c>
      <c r="G481" s="1561"/>
      <c r="H481" s="1561"/>
      <c r="I481" s="1562"/>
      <c r="J481" s="1562"/>
      <c r="K481" s="1582"/>
      <c r="L481" s="1561" t="s">
        <v>111</v>
      </c>
      <c r="M481" s="1674"/>
      <c r="N481" s="1561"/>
      <c r="O481" s="1561"/>
    </row>
    <row r="482" spans="1:15">
      <c r="A482" t="s">
        <v>2040</v>
      </c>
      <c r="B482" t="s">
        <v>1852</v>
      </c>
      <c r="C482" s="1561"/>
      <c r="D482" s="1581" t="s">
        <v>1922</v>
      </c>
      <c r="E482" s="280">
        <v>10</v>
      </c>
      <c r="F482" s="280" t="s">
        <v>761</v>
      </c>
      <c r="G482" s="1561"/>
      <c r="H482" s="1561"/>
      <c r="I482" s="1562"/>
      <c r="J482" s="1562"/>
      <c r="K482" s="1582"/>
      <c r="L482" s="1561"/>
      <c r="M482" s="1674"/>
      <c r="N482" s="1561"/>
      <c r="O482" s="1561"/>
    </row>
    <row r="483" spans="1:15">
      <c r="A483" t="s">
        <v>2040</v>
      </c>
      <c r="B483" t="s">
        <v>1852</v>
      </c>
      <c r="C483" s="1561"/>
      <c r="D483" s="1581" t="s">
        <v>1923</v>
      </c>
      <c r="E483" s="280">
        <v>15</v>
      </c>
      <c r="F483" s="280" t="s">
        <v>1841</v>
      </c>
      <c r="G483" s="1561"/>
      <c r="H483" s="1561"/>
      <c r="I483" s="1583"/>
      <c r="J483" s="1562"/>
      <c r="K483" s="1582"/>
      <c r="L483" s="1561"/>
      <c r="M483" s="1674"/>
      <c r="N483" s="1561"/>
      <c r="O483" s="1561"/>
    </row>
    <row r="484" spans="1:15">
      <c r="A484" t="s">
        <v>2040</v>
      </c>
      <c r="B484" t="s">
        <v>1852</v>
      </c>
      <c r="C484" s="1561"/>
      <c r="D484" s="1581" t="s">
        <v>1924</v>
      </c>
      <c r="E484" s="280">
        <v>15</v>
      </c>
      <c r="F484" s="280" t="s">
        <v>1841</v>
      </c>
      <c r="G484" s="1561"/>
      <c r="H484" s="1561"/>
      <c r="I484" s="1579"/>
      <c r="J484" s="1579"/>
      <c r="K484" s="1579"/>
      <c r="L484" s="1675"/>
      <c r="M484" s="1674"/>
      <c r="N484" s="1561"/>
      <c r="O484" s="1561"/>
    </row>
    <row r="485" spans="1:15">
      <c r="A485" t="s">
        <v>2040</v>
      </c>
      <c r="B485" t="s">
        <v>1852</v>
      </c>
      <c r="C485" s="1561"/>
      <c r="D485" s="1581" t="s">
        <v>1925</v>
      </c>
      <c r="E485" s="280">
        <v>6</v>
      </c>
      <c r="F485" s="280" t="s">
        <v>1793</v>
      </c>
      <c r="G485" s="1561"/>
      <c r="H485" s="1561"/>
      <c r="I485" s="1579"/>
      <c r="J485" s="1579"/>
      <c r="K485" s="1579"/>
      <c r="L485" s="1561"/>
      <c r="M485" s="1674"/>
      <c r="N485" s="1561"/>
      <c r="O485" s="1561"/>
    </row>
    <row r="486" spans="1:15">
      <c r="A486" t="s">
        <v>2040</v>
      </c>
      <c r="B486" t="s">
        <v>1852</v>
      </c>
      <c r="C486" s="1561"/>
      <c r="D486" s="1581" t="s">
        <v>1926</v>
      </c>
      <c r="E486" s="280">
        <v>6</v>
      </c>
      <c r="F486" s="280" t="s">
        <v>1927</v>
      </c>
      <c r="G486" s="1561"/>
      <c r="H486" s="1561"/>
      <c r="I486" s="1579"/>
      <c r="J486" s="1579"/>
      <c r="K486" s="1579"/>
      <c r="L486" s="1561"/>
      <c r="M486" s="1674"/>
      <c r="N486" s="1561"/>
      <c r="O486" s="1561"/>
    </row>
    <row r="487" spans="1:15">
      <c r="A487" t="s">
        <v>2040</v>
      </c>
      <c r="B487" t="s">
        <v>1852</v>
      </c>
      <c r="C487" s="1561"/>
      <c r="D487" s="1581" t="s">
        <v>1928</v>
      </c>
      <c r="E487" s="280">
        <v>30</v>
      </c>
      <c r="F487" s="280" t="s">
        <v>1700</v>
      </c>
      <c r="G487" s="1561"/>
      <c r="H487" s="1561"/>
      <c r="I487" s="1583"/>
      <c r="J487" s="1562"/>
      <c r="K487" s="1582"/>
      <c r="L487" s="1561"/>
      <c r="M487" s="1674"/>
      <c r="N487" s="1561"/>
      <c r="O487" s="1561"/>
    </row>
    <row r="488" spans="1:15">
      <c r="A488" t="s">
        <v>2040</v>
      </c>
      <c r="B488" t="s">
        <v>1852</v>
      </c>
      <c r="C488" s="1561"/>
      <c r="D488" s="1581" t="s">
        <v>1803</v>
      </c>
      <c r="E488" s="280">
        <v>30</v>
      </c>
      <c r="F488" s="280" t="s">
        <v>1700</v>
      </c>
      <c r="G488" s="1561"/>
      <c r="H488" s="1561"/>
      <c r="I488" s="1579"/>
      <c r="J488" s="1579"/>
      <c r="K488" s="1579"/>
      <c r="L488" s="1561"/>
      <c r="M488" s="1674"/>
      <c r="N488" s="1561"/>
      <c r="O488" s="1561"/>
    </row>
    <row r="489" spans="1:15">
      <c r="A489" t="s">
        <v>2040</v>
      </c>
      <c r="B489" t="s">
        <v>1852</v>
      </c>
      <c r="C489" s="1561"/>
      <c r="D489" s="1676" t="s">
        <v>1929</v>
      </c>
      <c r="E489" s="280">
        <v>20</v>
      </c>
      <c r="F489" s="280" t="s">
        <v>1747</v>
      </c>
      <c r="G489" s="1561"/>
      <c r="H489" s="1561"/>
      <c r="I489" s="1562"/>
      <c r="J489" s="1562"/>
      <c r="K489" s="1582"/>
      <c r="L489" s="1561"/>
      <c r="M489" s="1674"/>
      <c r="N489" s="1561"/>
      <c r="O489" s="1561"/>
    </row>
    <row r="490" spans="1:15">
      <c r="A490" t="s">
        <v>2040</v>
      </c>
      <c r="B490" t="s">
        <v>1852</v>
      </c>
      <c r="C490" s="1561"/>
      <c r="D490" s="1581" t="s">
        <v>1930</v>
      </c>
      <c r="E490" s="280">
        <v>15</v>
      </c>
      <c r="F490" s="280" t="s">
        <v>1747</v>
      </c>
      <c r="G490" s="1561"/>
      <c r="H490" s="1561"/>
      <c r="I490" s="1583"/>
      <c r="J490" s="1562"/>
      <c r="K490" s="1582"/>
      <c r="L490" s="1561"/>
      <c r="M490" s="1674"/>
      <c r="N490" s="1561"/>
      <c r="O490" s="1561"/>
    </row>
    <row r="491" spans="1:15">
      <c r="A491" t="s">
        <v>2040</v>
      </c>
      <c r="B491" t="s">
        <v>1852</v>
      </c>
      <c r="C491" s="1561"/>
      <c r="D491" s="1581" t="s">
        <v>1931</v>
      </c>
      <c r="E491" s="280">
        <v>15</v>
      </c>
      <c r="F491" s="280" t="s">
        <v>1747</v>
      </c>
      <c r="G491" s="1561"/>
      <c r="H491" s="1561"/>
      <c r="I491" s="1562"/>
      <c r="J491" s="1562"/>
      <c r="K491" s="1562"/>
      <c r="L491" s="1561"/>
      <c r="M491" s="1674"/>
      <c r="N491" s="1561"/>
      <c r="O491" s="1561"/>
    </row>
    <row r="492" spans="1:15">
      <c r="A492" t="s">
        <v>2040</v>
      </c>
      <c r="B492" t="s">
        <v>1852</v>
      </c>
      <c r="C492" s="1561"/>
      <c r="D492" s="1581" t="s">
        <v>1932</v>
      </c>
      <c r="E492" s="280">
        <v>20</v>
      </c>
      <c r="F492" s="280" t="s">
        <v>1747</v>
      </c>
      <c r="G492" s="1561"/>
      <c r="H492" s="1561"/>
      <c r="I492" s="1579"/>
      <c r="J492" s="1579"/>
      <c r="K492" s="1579"/>
      <c r="L492" s="1561"/>
      <c r="M492" s="1674"/>
      <c r="N492" s="1561"/>
      <c r="O492" s="1561"/>
    </row>
    <row r="493" spans="1:15">
      <c r="A493" t="s">
        <v>2040</v>
      </c>
      <c r="B493" t="s">
        <v>1852</v>
      </c>
      <c r="C493" s="1561"/>
      <c r="D493" s="1581" t="s">
        <v>1933</v>
      </c>
      <c r="E493" s="280">
        <v>10</v>
      </c>
      <c r="F493" s="280" t="s">
        <v>1747</v>
      </c>
      <c r="G493" s="1561"/>
      <c r="H493" s="1561"/>
      <c r="I493" s="1562"/>
      <c r="J493" s="1562"/>
      <c r="K493" s="1582"/>
      <c r="L493" s="1561"/>
      <c r="M493" s="1674"/>
      <c r="N493" s="1561"/>
      <c r="O493" s="1561"/>
    </row>
    <row r="494" spans="1:15">
      <c r="A494" t="s">
        <v>2040</v>
      </c>
      <c r="B494" t="s">
        <v>1852</v>
      </c>
      <c r="C494" s="1561"/>
      <c r="D494" s="1581" t="s">
        <v>1934</v>
      </c>
      <c r="E494" s="280">
        <v>20</v>
      </c>
      <c r="F494" s="280" t="s">
        <v>761</v>
      </c>
      <c r="G494" s="1561"/>
      <c r="H494" s="1561"/>
      <c r="I494" s="1562"/>
      <c r="J494" s="1562"/>
      <c r="K494" s="1582"/>
      <c r="L494" s="1561"/>
      <c r="M494" s="1674"/>
      <c r="N494" s="1561"/>
      <c r="O494" s="1561"/>
    </row>
    <row r="495" spans="1:15">
      <c r="A495" t="s">
        <v>2040</v>
      </c>
      <c r="B495" t="s">
        <v>1852</v>
      </c>
      <c r="C495" s="1561"/>
      <c r="D495" s="1581" t="s">
        <v>1783</v>
      </c>
      <c r="E495" s="280">
        <v>3</v>
      </c>
      <c r="F495" s="280" t="s">
        <v>1051</v>
      </c>
      <c r="G495" s="1561"/>
      <c r="H495" s="1561"/>
      <c r="I495" s="1562"/>
      <c r="J495" s="1562"/>
      <c r="K495" s="1582"/>
      <c r="L495" s="1561"/>
      <c r="M495" s="1674"/>
      <c r="N495" s="1561"/>
      <c r="O495" s="1561"/>
    </row>
    <row r="496" spans="1:15">
      <c r="A496" t="s">
        <v>2040</v>
      </c>
      <c r="B496" t="s">
        <v>1852</v>
      </c>
      <c r="C496" s="1561"/>
      <c r="D496" s="1581" t="s">
        <v>475</v>
      </c>
      <c r="E496" s="280">
        <v>30</v>
      </c>
      <c r="F496" s="280" t="s">
        <v>761</v>
      </c>
      <c r="G496" s="1561"/>
      <c r="H496" s="1561"/>
      <c r="I496" s="1562"/>
      <c r="J496" s="1562"/>
      <c r="K496" s="1582"/>
      <c r="L496" s="1561"/>
      <c r="M496" s="1674"/>
      <c r="N496" s="1561"/>
      <c r="O496" s="1561"/>
    </row>
    <row r="497" spans="1:15">
      <c r="A497" t="s">
        <v>2040</v>
      </c>
      <c r="B497" t="s">
        <v>1852</v>
      </c>
      <c r="C497" s="1561"/>
      <c r="D497" s="1581" t="s">
        <v>1935</v>
      </c>
      <c r="E497" s="280">
        <v>12</v>
      </c>
      <c r="F497" s="280" t="s">
        <v>761</v>
      </c>
      <c r="G497" s="1561"/>
      <c r="H497" s="1561"/>
      <c r="I497" s="1562"/>
      <c r="J497" s="1562"/>
      <c r="K497" s="1582"/>
      <c r="L497" s="1561"/>
      <c r="M497" s="1674"/>
      <c r="N497" s="1561"/>
      <c r="O497" s="1561"/>
    </row>
    <row r="498" spans="1:15">
      <c r="A498" t="s">
        <v>2040</v>
      </c>
      <c r="B498" t="s">
        <v>1852</v>
      </c>
      <c r="C498" s="1561"/>
      <c r="D498" s="1581" t="s">
        <v>1936</v>
      </c>
      <c r="E498" s="280">
        <v>15</v>
      </c>
      <c r="F498" s="280" t="s">
        <v>761</v>
      </c>
      <c r="G498" s="1561"/>
      <c r="H498" s="1561"/>
      <c r="I498" s="1562"/>
      <c r="J498" s="1562"/>
      <c r="K498" s="1582"/>
      <c r="L498" s="1561"/>
      <c r="M498" s="1674"/>
      <c r="N498" s="1561"/>
      <c r="O498" s="1561"/>
    </row>
    <row r="499" spans="1:15">
      <c r="A499" t="s">
        <v>2040</v>
      </c>
      <c r="B499" t="s">
        <v>1852</v>
      </c>
      <c r="C499" s="1561"/>
      <c r="D499" s="1581" t="s">
        <v>1937</v>
      </c>
      <c r="E499" s="280">
        <v>15</v>
      </c>
      <c r="F499" s="280" t="s">
        <v>761</v>
      </c>
      <c r="G499" s="1561"/>
      <c r="H499" s="1561"/>
      <c r="I499" s="1562"/>
      <c r="J499" s="1562"/>
      <c r="K499" s="1582"/>
      <c r="L499" s="1561"/>
      <c r="M499" s="1674"/>
      <c r="N499" s="1561"/>
      <c r="O499" s="1561"/>
    </row>
    <row r="500" spans="1:15">
      <c r="A500" t="s">
        <v>2040</v>
      </c>
      <c r="B500" t="s">
        <v>1852</v>
      </c>
      <c r="C500" s="1561"/>
      <c r="D500" s="1677" t="s">
        <v>1938</v>
      </c>
      <c r="E500" s="280">
        <v>2</v>
      </c>
      <c r="F500" s="280" t="s">
        <v>761</v>
      </c>
      <c r="G500" s="1561"/>
      <c r="H500" s="1561"/>
      <c r="I500" s="1562"/>
      <c r="J500" s="1562"/>
      <c r="K500" s="1582"/>
      <c r="L500" s="1561"/>
      <c r="M500" s="1674" t="s">
        <v>111</v>
      </c>
      <c r="N500" s="1561"/>
      <c r="O500" s="1561"/>
    </row>
    <row r="501" spans="1:15">
      <c r="A501" t="s">
        <v>2040</v>
      </c>
      <c r="B501" t="s">
        <v>1852</v>
      </c>
      <c r="C501" s="1561"/>
      <c r="D501" s="1581" t="s">
        <v>1939</v>
      </c>
      <c r="E501" s="280">
        <v>2</v>
      </c>
      <c r="F501" s="280" t="s">
        <v>1700</v>
      </c>
      <c r="G501" s="1561"/>
      <c r="H501" s="1561"/>
      <c r="I501" s="1562"/>
      <c r="J501" s="1562"/>
      <c r="K501" s="1582"/>
      <c r="L501" s="1561"/>
      <c r="M501" s="1674"/>
      <c r="N501" s="1561"/>
      <c r="O501" s="1561"/>
    </row>
    <row r="502" spans="1:15">
      <c r="A502" t="s">
        <v>2040</v>
      </c>
      <c r="B502" t="s">
        <v>1852</v>
      </c>
      <c r="C502" s="1577"/>
      <c r="D502" s="1581" t="s">
        <v>1940</v>
      </c>
      <c r="E502" s="280">
        <v>2</v>
      </c>
      <c r="F502" s="280" t="s">
        <v>1700</v>
      </c>
      <c r="G502" s="1577"/>
      <c r="H502" s="1577"/>
      <c r="I502" s="1571"/>
      <c r="J502" s="1571"/>
      <c r="K502" s="1579"/>
      <c r="L502" s="1577"/>
      <c r="M502" s="1674"/>
      <c r="N502" s="1577"/>
      <c r="O502" s="1577"/>
    </row>
    <row r="503" spans="1:15">
      <c r="A503" t="s">
        <v>2040</v>
      </c>
      <c r="B503" t="s">
        <v>1852</v>
      </c>
      <c r="C503" s="1577"/>
      <c r="D503" s="1581" t="s">
        <v>1941</v>
      </c>
      <c r="E503" s="280">
        <v>24</v>
      </c>
      <c r="F503" s="280" t="s">
        <v>761</v>
      </c>
      <c r="G503" s="1577"/>
      <c r="H503" s="1577"/>
      <c r="I503" s="1571"/>
      <c r="J503" s="1571"/>
      <c r="K503" s="1579"/>
      <c r="L503" s="1577"/>
      <c r="M503" s="1674"/>
      <c r="N503" s="1577"/>
      <c r="O503" s="1577"/>
    </row>
    <row r="504" spans="1:15">
      <c r="A504" t="s">
        <v>2040</v>
      </c>
      <c r="B504" t="s">
        <v>1852</v>
      </c>
      <c r="C504" s="1577"/>
      <c r="D504" s="1581" t="s">
        <v>1942</v>
      </c>
      <c r="E504" s="280">
        <v>1</v>
      </c>
      <c r="F504" s="280" t="s">
        <v>1700</v>
      </c>
      <c r="G504" s="1577"/>
      <c r="H504" s="1577"/>
      <c r="I504" s="1571"/>
      <c r="J504" s="1571"/>
      <c r="K504" s="1579"/>
      <c r="L504" s="1577"/>
      <c r="M504" s="1674"/>
      <c r="N504" s="1577"/>
      <c r="O504" s="1577"/>
    </row>
    <row r="505" spans="1:15">
      <c r="A505" t="s">
        <v>2040</v>
      </c>
      <c r="B505" t="s">
        <v>1852</v>
      </c>
      <c r="C505" s="1577"/>
      <c r="D505" s="1581" t="s">
        <v>479</v>
      </c>
      <c r="E505" s="280">
        <v>10</v>
      </c>
      <c r="F505" s="280" t="s">
        <v>1700</v>
      </c>
      <c r="G505" s="1577"/>
      <c r="H505" s="1678"/>
      <c r="I505" s="1571"/>
      <c r="J505" s="1571"/>
      <c r="K505" s="1579"/>
      <c r="L505" s="1577"/>
      <c r="M505" s="1674"/>
      <c r="N505" s="1577"/>
      <c r="O505" s="1577"/>
    </row>
    <row r="506" spans="1:15">
      <c r="A506" t="s">
        <v>2040</v>
      </c>
      <c r="B506" t="s">
        <v>1852</v>
      </c>
      <c r="C506" s="1577"/>
      <c r="D506" s="1581" t="s">
        <v>1943</v>
      </c>
      <c r="E506" s="280">
        <v>10</v>
      </c>
      <c r="F506" s="280" t="s">
        <v>761</v>
      </c>
      <c r="G506" s="1679"/>
      <c r="H506" s="1571"/>
      <c r="I506" s="1578"/>
      <c r="J506" s="1571"/>
      <c r="K506" s="1579"/>
      <c r="L506" s="1565"/>
      <c r="M506" s="1680"/>
      <c r="N506" s="1580"/>
      <c r="O506" s="1571"/>
    </row>
    <row r="507" spans="1:15">
      <c r="A507" t="s">
        <v>2040</v>
      </c>
      <c r="B507" t="s">
        <v>1852</v>
      </c>
      <c r="C507" s="1577"/>
      <c r="D507" s="1581" t="s">
        <v>1944</v>
      </c>
      <c r="E507" s="280"/>
      <c r="F507" s="280"/>
      <c r="G507" s="1679"/>
      <c r="H507" s="1571"/>
      <c r="I507" s="1578"/>
      <c r="J507" s="1571"/>
      <c r="K507" s="1579"/>
      <c r="L507" s="1565"/>
      <c r="M507" s="1680"/>
      <c r="N507" s="1580"/>
      <c r="O507" s="1571"/>
    </row>
    <row r="508" spans="1:15">
      <c r="A508" t="s">
        <v>2040</v>
      </c>
      <c r="B508" t="s">
        <v>1852</v>
      </c>
      <c r="C508" s="1577"/>
      <c r="D508" s="1581" t="s">
        <v>1945</v>
      </c>
      <c r="E508" s="280">
        <v>5</v>
      </c>
      <c r="F508" s="280" t="s">
        <v>1841</v>
      </c>
      <c r="G508" s="1571"/>
      <c r="H508" s="1571"/>
      <c r="I508" s="1571"/>
      <c r="J508" s="1571"/>
      <c r="K508" s="1571"/>
      <c r="L508" s="1577"/>
      <c r="M508" s="1681"/>
      <c r="N508" s="1577"/>
      <c r="O508" s="1571"/>
    </row>
    <row r="509" spans="1:15">
      <c r="A509" t="s">
        <v>2040</v>
      </c>
      <c r="B509" t="s">
        <v>1852</v>
      </c>
      <c r="C509" s="1577"/>
      <c r="D509" s="1581" t="s">
        <v>1946</v>
      </c>
      <c r="E509" s="280">
        <v>5</v>
      </c>
      <c r="F509" s="280" t="s">
        <v>1841</v>
      </c>
      <c r="G509" s="1679"/>
      <c r="H509" s="1571"/>
      <c r="I509" s="1571"/>
      <c r="J509" s="1571"/>
      <c r="K509" s="1571"/>
      <c r="L509" s="1577"/>
      <c r="M509" s="1681"/>
      <c r="N509" s="1577"/>
      <c r="O509" s="1571"/>
    </row>
    <row r="510" spans="1:15">
      <c r="A510" t="s">
        <v>2040</v>
      </c>
      <c r="B510" t="s">
        <v>1852</v>
      </c>
      <c r="C510" s="1577"/>
      <c r="D510" s="1581" t="s">
        <v>1947</v>
      </c>
      <c r="E510" s="280">
        <v>30</v>
      </c>
      <c r="F510" s="280" t="s">
        <v>761</v>
      </c>
      <c r="G510" s="1679"/>
      <c r="H510" s="1571"/>
      <c r="I510" s="1571"/>
      <c r="J510" s="1571"/>
      <c r="K510" s="1571"/>
      <c r="L510" s="1577"/>
      <c r="M510" s="1681"/>
      <c r="N510" s="1577"/>
      <c r="O510" s="1571"/>
    </row>
    <row r="511" spans="1:15">
      <c r="A511" t="s">
        <v>2040</v>
      </c>
      <c r="B511" t="s">
        <v>1852</v>
      </c>
      <c r="C511" s="1577"/>
      <c r="D511" s="1581" t="s">
        <v>1948</v>
      </c>
      <c r="E511" s="280">
        <v>30</v>
      </c>
      <c r="F511" s="280" t="s">
        <v>761</v>
      </c>
      <c r="G511" s="1679"/>
      <c r="H511" s="1571"/>
      <c r="I511" s="1571"/>
      <c r="J511" s="1571"/>
      <c r="K511" s="1571"/>
      <c r="L511" s="1577"/>
      <c r="M511" s="1681"/>
      <c r="N511" s="1577"/>
      <c r="O511" s="1571"/>
    </row>
    <row r="512" spans="1:15">
      <c r="A512" t="s">
        <v>2040</v>
      </c>
      <c r="B512" t="s">
        <v>1852</v>
      </c>
      <c r="C512" s="1577"/>
      <c r="D512" s="1581" t="s">
        <v>1949</v>
      </c>
      <c r="E512" s="280">
        <v>30</v>
      </c>
      <c r="F512" s="280" t="s">
        <v>1700</v>
      </c>
      <c r="G512" s="1679"/>
      <c r="H512" s="1571"/>
      <c r="I512" s="1571"/>
      <c r="J512" s="1571"/>
      <c r="K512" s="1571"/>
      <c r="L512" s="1577"/>
      <c r="M512" s="1681"/>
      <c r="N512" s="1577"/>
      <c r="O512" s="1571"/>
    </row>
    <row r="513" spans="1:15">
      <c r="A513" t="s">
        <v>2040</v>
      </c>
      <c r="B513" t="s">
        <v>1852</v>
      </c>
      <c r="C513" s="1577"/>
      <c r="D513" s="1581" t="s">
        <v>183</v>
      </c>
      <c r="E513" s="280">
        <v>3</v>
      </c>
      <c r="F513" s="280" t="s">
        <v>1700</v>
      </c>
      <c r="G513" s="1679"/>
      <c r="H513" s="1571"/>
      <c r="I513" s="1571"/>
      <c r="J513" s="1571"/>
      <c r="K513" s="1571"/>
      <c r="L513" s="1577"/>
      <c r="M513" s="1681"/>
      <c r="N513" s="1577"/>
      <c r="O513" s="1571"/>
    </row>
    <row r="514" spans="1:15">
      <c r="A514" t="s">
        <v>2040</v>
      </c>
      <c r="B514" t="s">
        <v>1852</v>
      </c>
      <c r="C514" s="1577"/>
      <c r="D514" s="1581" t="s">
        <v>1950</v>
      </c>
      <c r="E514" s="280">
        <v>3</v>
      </c>
      <c r="F514" s="280" t="s">
        <v>761</v>
      </c>
      <c r="G514" s="1679"/>
      <c r="H514" s="1571"/>
      <c r="I514" s="1571"/>
      <c r="J514" s="1571"/>
      <c r="K514" s="1571"/>
      <c r="L514" s="1577"/>
      <c r="M514" s="1681"/>
      <c r="N514" s="1577"/>
      <c r="O514" s="1571"/>
    </row>
    <row r="515" spans="1:15">
      <c r="A515" t="s">
        <v>2040</v>
      </c>
      <c r="B515" t="s">
        <v>1852</v>
      </c>
      <c r="C515" s="1577"/>
      <c r="D515" s="1581" t="s">
        <v>1612</v>
      </c>
      <c r="E515" s="280">
        <v>6</v>
      </c>
      <c r="F515" s="280" t="s">
        <v>761</v>
      </c>
      <c r="G515" s="1679"/>
      <c r="H515" s="1571"/>
      <c r="I515" s="1571"/>
      <c r="J515" s="1571"/>
      <c r="K515" s="1571"/>
      <c r="L515" s="1577"/>
      <c r="M515" s="1681"/>
      <c r="N515" s="1577"/>
      <c r="O515" s="1571"/>
    </row>
    <row r="516" spans="1:15">
      <c r="A516" t="s">
        <v>2040</v>
      </c>
      <c r="B516" t="s">
        <v>1852</v>
      </c>
      <c r="C516" s="1577"/>
      <c r="D516" s="1581" t="s">
        <v>1951</v>
      </c>
      <c r="E516" s="280">
        <v>15</v>
      </c>
      <c r="F516" s="280" t="s">
        <v>1952</v>
      </c>
      <c r="G516" s="1679"/>
      <c r="H516" s="1571"/>
      <c r="I516" s="1571"/>
      <c r="J516" s="1571"/>
      <c r="K516" s="1571"/>
      <c r="L516" s="1577"/>
      <c r="M516" s="1681"/>
      <c r="N516" s="1577"/>
      <c r="O516" s="1571"/>
    </row>
    <row r="517" spans="1:15">
      <c r="A517" t="s">
        <v>2040</v>
      </c>
      <c r="B517" t="s">
        <v>1852</v>
      </c>
      <c r="C517" s="1577"/>
      <c r="D517" s="1581" t="s">
        <v>1953</v>
      </c>
      <c r="E517" s="280">
        <v>3</v>
      </c>
      <c r="F517" s="280" t="s">
        <v>1700</v>
      </c>
      <c r="G517" s="1679"/>
      <c r="H517" s="1571"/>
      <c r="I517" s="1571"/>
      <c r="J517" s="1571"/>
      <c r="K517" s="1571"/>
      <c r="L517" s="1577"/>
      <c r="M517" s="1681"/>
      <c r="N517" s="1577"/>
      <c r="O517" s="1571"/>
    </row>
    <row r="518" spans="1:15">
      <c r="A518" t="s">
        <v>2040</v>
      </c>
      <c r="B518" t="s">
        <v>1852</v>
      </c>
      <c r="C518" s="1577"/>
      <c r="D518" s="1581" t="s">
        <v>1954</v>
      </c>
      <c r="E518" s="280">
        <v>6</v>
      </c>
      <c r="F518" s="280" t="s">
        <v>761</v>
      </c>
      <c r="G518" s="1679"/>
      <c r="H518" s="1571"/>
      <c r="I518" s="1571"/>
      <c r="J518" s="1571"/>
      <c r="K518" s="1571"/>
      <c r="L518" s="1577"/>
      <c r="M518" s="1681"/>
      <c r="N518" s="1577"/>
      <c r="O518" s="1571"/>
    </row>
    <row r="519" spans="1:15">
      <c r="A519" t="s">
        <v>2040</v>
      </c>
      <c r="B519" t="s">
        <v>1852</v>
      </c>
      <c r="C519" s="1577"/>
      <c r="D519" s="1581" t="s">
        <v>178</v>
      </c>
      <c r="E519" s="280">
        <v>10</v>
      </c>
      <c r="F519" s="280" t="s">
        <v>761</v>
      </c>
      <c r="G519" s="1679"/>
      <c r="H519" s="1571"/>
      <c r="I519" s="1571"/>
      <c r="J519" s="1571"/>
      <c r="K519" s="1571"/>
      <c r="L519" s="1577"/>
      <c r="M519" s="1681"/>
      <c r="N519" s="1577"/>
      <c r="O519" s="1571"/>
    </row>
    <row r="520" spans="1:15">
      <c r="A520" t="s">
        <v>2040</v>
      </c>
      <c r="B520" t="s">
        <v>1852</v>
      </c>
      <c r="C520" s="1577"/>
      <c r="D520" s="1581" t="s">
        <v>1955</v>
      </c>
      <c r="E520" s="280">
        <v>10</v>
      </c>
      <c r="F520" s="280" t="s">
        <v>761</v>
      </c>
      <c r="G520" s="1679"/>
      <c r="H520" s="1571"/>
      <c r="I520" s="1571"/>
      <c r="J520" s="1571"/>
      <c r="K520" s="1571"/>
      <c r="L520" s="1577"/>
      <c r="M520" s="1681"/>
      <c r="N520" s="1577"/>
      <c r="O520" s="1571"/>
    </row>
    <row r="521" spans="1:15">
      <c r="A521" t="s">
        <v>2040</v>
      </c>
      <c r="B521" t="s">
        <v>1852</v>
      </c>
      <c r="C521" s="1577"/>
      <c r="D521" s="1581" t="s">
        <v>1956</v>
      </c>
      <c r="E521" s="280">
        <v>2</v>
      </c>
      <c r="F521" s="280" t="s">
        <v>761</v>
      </c>
      <c r="G521" s="1679"/>
      <c r="H521" s="1571"/>
      <c r="I521" s="1571"/>
      <c r="J521" s="1571"/>
      <c r="K521" s="1571"/>
      <c r="L521" s="1577"/>
      <c r="M521" s="1681"/>
      <c r="N521" s="1577"/>
      <c r="O521" s="1571"/>
    </row>
    <row r="522" spans="1:15">
      <c r="A522" t="s">
        <v>2040</v>
      </c>
      <c r="B522" t="s">
        <v>1852</v>
      </c>
      <c r="C522" s="1577"/>
      <c r="D522" s="1581" t="s">
        <v>1957</v>
      </c>
      <c r="E522" s="280">
        <v>30</v>
      </c>
      <c r="F522" s="280" t="s">
        <v>1767</v>
      </c>
      <c r="G522" s="1679"/>
      <c r="H522" s="1571"/>
      <c r="I522" s="1571"/>
      <c r="J522" s="1571"/>
      <c r="K522" s="1571"/>
      <c r="L522" s="1577"/>
      <c r="M522" s="1681"/>
      <c r="N522" s="1577"/>
      <c r="O522" s="1571"/>
    </row>
    <row r="523" spans="1:15">
      <c r="A523" t="s">
        <v>2040</v>
      </c>
      <c r="B523" t="s">
        <v>1852</v>
      </c>
      <c r="C523" s="1577"/>
      <c r="D523" s="1581" t="s">
        <v>1958</v>
      </c>
      <c r="E523" s="280">
        <v>30</v>
      </c>
      <c r="F523" s="280" t="s">
        <v>1767</v>
      </c>
      <c r="G523" s="1679"/>
      <c r="H523" s="1571"/>
      <c r="I523" s="1571"/>
      <c r="J523" s="1571"/>
      <c r="K523" s="1571"/>
      <c r="L523" s="1577"/>
      <c r="M523" s="1681"/>
      <c r="N523" s="1577"/>
      <c r="O523" s="1571"/>
    </row>
    <row r="524" spans="1:15">
      <c r="A524" t="s">
        <v>2040</v>
      </c>
      <c r="B524" t="s">
        <v>1852</v>
      </c>
      <c r="C524" s="1577"/>
      <c r="D524" s="1581" t="s">
        <v>1959</v>
      </c>
      <c r="E524" s="280">
        <v>30</v>
      </c>
      <c r="F524" s="280" t="s">
        <v>1767</v>
      </c>
      <c r="G524" s="1679"/>
      <c r="H524" s="1571"/>
      <c r="I524" s="1571"/>
      <c r="J524" s="1571"/>
      <c r="K524" s="1571"/>
      <c r="L524" s="1577"/>
      <c r="M524" s="1681"/>
      <c r="N524" s="1577"/>
      <c r="O524" s="1571"/>
    </row>
    <row r="525" spans="1:15">
      <c r="A525" t="s">
        <v>2040</v>
      </c>
      <c r="B525" t="s">
        <v>1852</v>
      </c>
      <c r="C525" s="1577"/>
      <c r="D525" s="1581" t="s">
        <v>1960</v>
      </c>
      <c r="E525" s="280">
        <v>20</v>
      </c>
      <c r="F525" s="280" t="s">
        <v>1961</v>
      </c>
      <c r="G525" s="1679"/>
      <c r="H525" s="1571"/>
      <c r="I525" s="1571"/>
      <c r="J525" s="1571"/>
      <c r="K525" s="1571"/>
      <c r="L525" s="1577"/>
      <c r="M525" s="1681"/>
      <c r="N525" s="1577"/>
      <c r="O525" s="1571"/>
    </row>
    <row r="526" spans="1:15">
      <c r="A526" t="s">
        <v>2040</v>
      </c>
      <c r="B526" t="s">
        <v>1852</v>
      </c>
      <c r="C526" s="1577"/>
      <c r="D526" s="1581" t="s">
        <v>1962</v>
      </c>
      <c r="E526" s="280">
        <v>10</v>
      </c>
      <c r="F526" s="280" t="s">
        <v>1963</v>
      </c>
      <c r="G526" s="1679"/>
      <c r="H526" s="1571"/>
      <c r="I526" s="1571"/>
      <c r="J526" s="1571"/>
      <c r="K526" s="1571"/>
      <c r="L526" s="1577"/>
      <c r="M526" s="1681"/>
      <c r="N526" s="1577"/>
      <c r="O526" s="1571"/>
    </row>
    <row r="527" spans="1:15">
      <c r="A527" t="s">
        <v>2040</v>
      </c>
      <c r="B527" t="s">
        <v>1852</v>
      </c>
      <c r="C527" s="1577"/>
      <c r="D527" s="1581" t="s">
        <v>1964</v>
      </c>
      <c r="E527" s="280">
        <v>10</v>
      </c>
      <c r="F527" s="280" t="s">
        <v>1963</v>
      </c>
      <c r="G527" s="1679"/>
      <c r="H527" s="1571"/>
      <c r="I527" s="1571"/>
      <c r="J527" s="1571"/>
      <c r="K527" s="1571"/>
      <c r="L527" s="1577"/>
      <c r="M527" s="1681"/>
      <c r="N527" s="1577"/>
      <c r="O527" s="1571"/>
    </row>
    <row r="528" spans="1:15">
      <c r="A528" t="s">
        <v>2040</v>
      </c>
      <c r="B528" t="s">
        <v>1852</v>
      </c>
      <c r="C528" s="1577"/>
      <c r="D528" s="1581" t="s">
        <v>1965</v>
      </c>
      <c r="E528" s="280">
        <v>10</v>
      </c>
      <c r="F528" s="280" t="s">
        <v>1963</v>
      </c>
      <c r="G528" s="1679"/>
      <c r="H528" s="1571"/>
      <c r="I528" s="1571"/>
      <c r="J528" s="1571"/>
      <c r="K528" s="1571"/>
      <c r="L528" s="1577"/>
      <c r="M528" s="1681"/>
      <c r="N528" s="1577"/>
      <c r="O528" s="1571"/>
    </row>
    <row r="529" spans="1:15">
      <c r="A529" t="s">
        <v>2040</v>
      </c>
      <c r="B529" t="s">
        <v>1852</v>
      </c>
      <c r="C529" s="1577"/>
      <c r="D529" s="1581" t="s">
        <v>1966</v>
      </c>
      <c r="E529" s="280">
        <v>10</v>
      </c>
      <c r="F529" s="280" t="s">
        <v>1963</v>
      </c>
      <c r="G529" s="1679"/>
      <c r="H529" s="1571"/>
      <c r="I529" s="1571"/>
      <c r="J529" s="1571"/>
      <c r="K529" s="1571"/>
      <c r="L529" s="1577"/>
      <c r="M529" s="1681"/>
      <c r="N529" s="1577"/>
      <c r="O529" s="1571"/>
    </row>
    <row r="530" spans="1:15">
      <c r="A530" t="s">
        <v>2040</v>
      </c>
      <c r="B530" t="s">
        <v>1852</v>
      </c>
      <c r="C530" s="1577"/>
      <c r="D530" s="1581" t="s">
        <v>1808</v>
      </c>
      <c r="E530" s="280">
        <v>12</v>
      </c>
      <c r="F530" s="280" t="s">
        <v>1967</v>
      </c>
      <c r="G530" s="1679"/>
      <c r="H530" s="1571"/>
      <c r="I530" s="1571"/>
      <c r="J530" s="1571"/>
      <c r="K530" s="1571"/>
      <c r="L530" s="1577"/>
      <c r="M530" s="1681"/>
      <c r="N530" s="1577"/>
      <c r="O530" s="1571"/>
    </row>
    <row r="531" spans="1:15">
      <c r="A531" t="s">
        <v>2040</v>
      </c>
      <c r="B531" t="s">
        <v>1852</v>
      </c>
      <c r="C531" s="1577"/>
      <c r="D531" s="1581" t="s">
        <v>1968</v>
      </c>
      <c r="E531" s="280">
        <v>50</v>
      </c>
      <c r="F531" s="280" t="s">
        <v>761</v>
      </c>
      <c r="G531" s="1679"/>
      <c r="H531" s="1571"/>
      <c r="I531" s="1571"/>
      <c r="J531" s="1571"/>
      <c r="K531" s="1571"/>
      <c r="L531" s="1577"/>
      <c r="M531" s="1681"/>
      <c r="N531" s="1577"/>
      <c r="O531" s="1571"/>
    </row>
    <row r="532" spans="1:15">
      <c r="A532" t="s">
        <v>2040</v>
      </c>
      <c r="B532" t="s">
        <v>1852</v>
      </c>
      <c r="C532" s="1577"/>
      <c r="D532" s="1581" t="s">
        <v>1969</v>
      </c>
      <c r="E532" s="280">
        <v>100</v>
      </c>
      <c r="F532" s="280" t="s">
        <v>761</v>
      </c>
      <c r="G532" s="1679"/>
      <c r="H532" s="1571"/>
      <c r="I532" s="1571"/>
      <c r="J532" s="1571"/>
      <c r="K532" s="1571"/>
      <c r="L532" s="1577"/>
      <c r="M532" s="1681"/>
      <c r="N532" s="1577"/>
      <c r="O532" s="1571"/>
    </row>
    <row r="533" spans="1:15">
      <c r="A533" t="s">
        <v>2040</v>
      </c>
      <c r="B533" t="s">
        <v>1852</v>
      </c>
      <c r="C533" s="1577"/>
      <c r="D533" s="1581" t="s">
        <v>1970</v>
      </c>
      <c r="E533" s="280">
        <v>30</v>
      </c>
      <c r="F533" s="280" t="s">
        <v>1793</v>
      </c>
      <c r="G533" s="1679"/>
      <c r="H533" s="1571"/>
      <c r="I533" s="1571"/>
      <c r="J533" s="1571"/>
      <c r="K533" s="1571"/>
      <c r="L533" s="1577"/>
      <c r="M533" s="1681"/>
      <c r="N533" s="1577"/>
      <c r="O533" s="1571"/>
    </row>
    <row r="534" spans="1:15">
      <c r="A534" t="s">
        <v>2040</v>
      </c>
      <c r="B534" t="s">
        <v>1852</v>
      </c>
      <c r="C534" s="1577"/>
      <c r="D534" s="1581" t="s">
        <v>1716</v>
      </c>
      <c r="E534" s="280">
        <v>30</v>
      </c>
      <c r="F534" s="280" t="s">
        <v>761</v>
      </c>
      <c r="G534" s="1679"/>
      <c r="H534" s="1571"/>
      <c r="I534" s="1571"/>
      <c r="J534" s="1571"/>
      <c r="K534" s="1571"/>
      <c r="L534" s="1577"/>
      <c r="M534" s="1681"/>
      <c r="N534" s="1577"/>
      <c r="O534" s="1571"/>
    </row>
    <row r="535" spans="1:15">
      <c r="A535" t="s">
        <v>2040</v>
      </c>
      <c r="B535" t="s">
        <v>1852</v>
      </c>
      <c r="C535" s="1577"/>
      <c r="D535" s="1581" t="s">
        <v>1971</v>
      </c>
      <c r="E535" s="280">
        <v>100</v>
      </c>
      <c r="F535" s="280" t="s">
        <v>1972</v>
      </c>
      <c r="G535" s="1679"/>
      <c r="H535" s="1571"/>
      <c r="I535" s="1571"/>
      <c r="J535" s="1571"/>
      <c r="K535" s="1571"/>
      <c r="L535" s="1577"/>
      <c r="M535" s="1681"/>
      <c r="N535" s="1577"/>
      <c r="O535" s="1571"/>
    </row>
    <row r="536" spans="1:15">
      <c r="A536" t="s">
        <v>2040</v>
      </c>
      <c r="B536" t="s">
        <v>1852</v>
      </c>
      <c r="C536" s="1577"/>
      <c r="D536" s="1581" t="s">
        <v>506</v>
      </c>
      <c r="E536" s="280">
        <v>50</v>
      </c>
      <c r="F536" s="280" t="s">
        <v>1967</v>
      </c>
      <c r="G536" s="1679"/>
      <c r="H536" s="1571"/>
      <c r="I536" s="1571"/>
      <c r="J536" s="1571"/>
      <c r="K536" s="1571"/>
      <c r="L536" s="1577"/>
      <c r="M536" s="1681"/>
      <c r="N536" s="1577"/>
      <c r="O536" s="1571"/>
    </row>
    <row r="537" spans="1:15">
      <c r="A537" t="s">
        <v>2040</v>
      </c>
      <c r="B537" t="s">
        <v>1852</v>
      </c>
      <c r="C537" s="1577"/>
      <c r="D537" s="1581" t="s">
        <v>1718</v>
      </c>
      <c r="E537" s="280">
        <v>20</v>
      </c>
      <c r="F537" s="280" t="s">
        <v>761</v>
      </c>
      <c r="G537" s="1679"/>
      <c r="H537" s="1571"/>
      <c r="I537" s="1571"/>
      <c r="J537" s="1571"/>
      <c r="K537" s="1571"/>
      <c r="L537" s="1577"/>
      <c r="M537" s="1681"/>
      <c r="N537" s="1577"/>
      <c r="O537" s="1571"/>
    </row>
    <row r="538" spans="1:15">
      <c r="A538" t="s">
        <v>2040</v>
      </c>
      <c r="B538" t="s">
        <v>1852</v>
      </c>
      <c r="C538" s="1577"/>
      <c r="D538" s="1581" t="s">
        <v>1973</v>
      </c>
      <c r="E538" s="280">
        <v>6</v>
      </c>
      <c r="F538" s="280" t="s">
        <v>1967</v>
      </c>
      <c r="G538" s="1679"/>
      <c r="H538" s="1571"/>
      <c r="I538" s="1571"/>
      <c r="J538" s="1571"/>
      <c r="K538" s="1571"/>
      <c r="L538" s="1577"/>
      <c r="M538" s="1681"/>
      <c r="N538" s="1577"/>
      <c r="O538" s="1571"/>
    </row>
    <row r="539" spans="1:15">
      <c r="A539" t="s">
        <v>2040</v>
      </c>
      <c r="B539" t="s">
        <v>1852</v>
      </c>
      <c r="C539" s="1577"/>
      <c r="D539" s="1581" t="s">
        <v>1974</v>
      </c>
      <c r="E539" s="280">
        <v>20</v>
      </c>
      <c r="F539" s="280" t="s">
        <v>1967</v>
      </c>
      <c r="G539" s="1679"/>
      <c r="H539" s="1571"/>
      <c r="I539" s="1571"/>
      <c r="J539" s="1571"/>
      <c r="K539" s="1571"/>
      <c r="L539" s="1577"/>
      <c r="M539" s="1681"/>
      <c r="N539" s="1577"/>
      <c r="O539" s="1571"/>
    </row>
    <row r="540" spans="1:15">
      <c r="A540" t="s">
        <v>2040</v>
      </c>
      <c r="B540" t="s">
        <v>1852</v>
      </c>
      <c r="C540" s="1577"/>
      <c r="D540" s="1581" t="s">
        <v>1975</v>
      </c>
      <c r="E540" s="280">
        <v>30</v>
      </c>
      <c r="F540" s="280" t="s">
        <v>1793</v>
      </c>
      <c r="G540" s="1679"/>
      <c r="H540" s="1571"/>
      <c r="I540" s="1571"/>
      <c r="J540" s="1571"/>
      <c r="K540" s="1571"/>
      <c r="L540" s="1577"/>
      <c r="M540" s="1681"/>
      <c r="N540" s="1577"/>
      <c r="O540" s="1571"/>
    </row>
    <row r="541" spans="1:15">
      <c r="A541" t="s">
        <v>2040</v>
      </c>
      <c r="B541" t="s">
        <v>1852</v>
      </c>
      <c r="C541" s="1577"/>
      <c r="D541" s="1581" t="s">
        <v>1976</v>
      </c>
      <c r="E541" s="280">
        <v>20</v>
      </c>
      <c r="F541" s="280" t="s">
        <v>761</v>
      </c>
      <c r="G541" s="1679"/>
      <c r="H541" s="1571"/>
      <c r="I541" s="1571"/>
      <c r="J541" s="1571"/>
      <c r="K541" s="1571"/>
      <c r="L541" s="1577"/>
      <c r="M541" s="1681"/>
      <c r="N541" s="1577"/>
      <c r="O541" s="1571"/>
    </row>
    <row r="542" spans="1:15">
      <c r="A542" t="s">
        <v>2040</v>
      </c>
      <c r="B542" t="s">
        <v>1852</v>
      </c>
      <c r="C542" s="1577"/>
      <c r="D542" s="1581" t="s">
        <v>1977</v>
      </c>
      <c r="E542" s="280">
        <v>20</v>
      </c>
      <c r="F542" s="280" t="s">
        <v>761</v>
      </c>
      <c r="G542" s="1679"/>
      <c r="H542" s="1571"/>
      <c r="I542" s="1571"/>
      <c r="J542" s="1571"/>
      <c r="K542" s="1571"/>
      <c r="L542" s="1577"/>
      <c r="M542" s="1681"/>
      <c r="N542" s="1577"/>
      <c r="O542" s="1571"/>
    </row>
    <row r="543" spans="1:15">
      <c r="A543" t="s">
        <v>2040</v>
      </c>
      <c r="B543" t="s">
        <v>1852</v>
      </c>
      <c r="C543" s="1577"/>
      <c r="D543" s="1581" t="s">
        <v>1978</v>
      </c>
      <c r="E543" s="280">
        <v>15</v>
      </c>
      <c r="F543" s="280" t="s">
        <v>1841</v>
      </c>
      <c r="G543" s="1679"/>
      <c r="H543" s="1571"/>
      <c r="I543" s="1571"/>
      <c r="J543" s="1571"/>
      <c r="K543" s="1571"/>
      <c r="L543" s="1577"/>
      <c r="M543" s="1681"/>
      <c r="N543" s="1577"/>
      <c r="O543" s="1571"/>
    </row>
    <row r="544" spans="1:15">
      <c r="A544" t="s">
        <v>2040</v>
      </c>
      <c r="B544" t="s">
        <v>1852</v>
      </c>
      <c r="C544" s="1577"/>
      <c r="D544" s="1581" t="s">
        <v>1860</v>
      </c>
      <c r="E544" s="280">
        <v>10</v>
      </c>
      <c r="F544" s="280" t="s">
        <v>1700</v>
      </c>
      <c r="G544" s="1679"/>
      <c r="H544" s="1571"/>
      <c r="I544" s="1571"/>
      <c r="J544" s="1571"/>
      <c r="K544" s="1571"/>
      <c r="L544" s="1577"/>
      <c r="M544" s="1681"/>
      <c r="N544" s="1577"/>
      <c r="O544" s="1571"/>
    </row>
    <row r="545" spans="1:15">
      <c r="A545" t="s">
        <v>2040</v>
      </c>
      <c r="B545" t="s">
        <v>1852</v>
      </c>
      <c r="C545" s="1577"/>
      <c r="D545" s="1581" t="s">
        <v>1979</v>
      </c>
      <c r="E545" s="280">
        <v>50</v>
      </c>
      <c r="F545" s="280" t="s">
        <v>1841</v>
      </c>
      <c r="G545" s="1679"/>
      <c r="H545" s="1571"/>
      <c r="I545" s="1571"/>
      <c r="J545" s="1571"/>
      <c r="K545" s="1571"/>
      <c r="L545" s="1577"/>
      <c r="M545" s="1681"/>
      <c r="N545" s="1577"/>
      <c r="O545" s="1571"/>
    </row>
    <row r="546" spans="1:15">
      <c r="A546" t="s">
        <v>2040</v>
      </c>
      <c r="B546" t="s">
        <v>1852</v>
      </c>
      <c r="C546" s="1577"/>
      <c r="D546" s="1581" t="s">
        <v>1980</v>
      </c>
      <c r="E546" s="280">
        <v>100</v>
      </c>
      <c r="F546" s="280" t="s">
        <v>1841</v>
      </c>
      <c r="G546" s="1679"/>
      <c r="H546" s="1571"/>
      <c r="I546" s="1571"/>
      <c r="J546" s="1571"/>
      <c r="K546" s="1571"/>
      <c r="L546" s="1577"/>
      <c r="M546" s="1681"/>
      <c r="N546" s="1577"/>
      <c r="O546" s="1571"/>
    </row>
    <row r="547" spans="1:15">
      <c r="A547" t="s">
        <v>2040</v>
      </c>
      <c r="B547" t="s">
        <v>1852</v>
      </c>
      <c r="C547" s="1577"/>
      <c r="D547" s="1581" t="s">
        <v>1981</v>
      </c>
      <c r="E547" s="280">
        <v>30</v>
      </c>
      <c r="F547" s="280" t="s">
        <v>1793</v>
      </c>
      <c r="G547" s="1679"/>
      <c r="H547" s="1571"/>
      <c r="I547" s="1571"/>
      <c r="J547" s="1571"/>
      <c r="K547" s="1571"/>
      <c r="L547" s="1577"/>
      <c r="M547" s="1681"/>
      <c r="N547" s="1577"/>
      <c r="O547" s="1571"/>
    </row>
    <row r="548" spans="1:15">
      <c r="A548" t="s">
        <v>2040</v>
      </c>
      <c r="B548" t="s">
        <v>1852</v>
      </c>
      <c r="C548" s="1577"/>
      <c r="D548" s="1581" t="s">
        <v>1982</v>
      </c>
      <c r="E548" s="280">
        <v>10</v>
      </c>
      <c r="F548" s="280" t="s">
        <v>1967</v>
      </c>
      <c r="G548" s="1679"/>
      <c r="H548" s="1571"/>
      <c r="I548" s="1571"/>
      <c r="J548" s="1571"/>
      <c r="K548" s="1571"/>
      <c r="L548" s="1577"/>
      <c r="M548" s="1681"/>
      <c r="N548" s="1577"/>
      <c r="O548" s="1571"/>
    </row>
    <row r="549" spans="1:15">
      <c r="A549" t="s">
        <v>2040</v>
      </c>
      <c r="B549" t="s">
        <v>1852</v>
      </c>
      <c r="C549" s="1577"/>
      <c r="D549" s="1581" t="s">
        <v>1983</v>
      </c>
      <c r="E549" s="280">
        <v>3</v>
      </c>
      <c r="F549" s="280" t="s">
        <v>1051</v>
      </c>
      <c r="G549" s="1679"/>
      <c r="H549" s="1571"/>
      <c r="I549" s="1571"/>
      <c r="J549" s="1571"/>
      <c r="K549" s="1571"/>
      <c r="L549" s="1577"/>
      <c r="M549" s="1681"/>
      <c r="N549" s="1577"/>
      <c r="O549" s="1571"/>
    </row>
    <row r="550" spans="1:15">
      <c r="A550" t="s">
        <v>2040</v>
      </c>
      <c r="B550" t="s">
        <v>1852</v>
      </c>
      <c r="C550" s="1577"/>
      <c r="D550" s="1581" t="s">
        <v>1984</v>
      </c>
      <c r="E550" s="280">
        <v>10</v>
      </c>
      <c r="F550" s="280" t="s">
        <v>761</v>
      </c>
      <c r="G550" s="1679"/>
      <c r="H550" s="1571"/>
      <c r="I550" s="1571"/>
      <c r="J550" s="1571"/>
      <c r="K550" s="1571"/>
      <c r="L550" s="1577"/>
      <c r="M550" s="1681"/>
      <c r="N550" s="1577"/>
      <c r="O550" s="1571"/>
    </row>
    <row r="551" spans="1:15">
      <c r="A551" t="s">
        <v>2040</v>
      </c>
      <c r="B551" t="s">
        <v>1852</v>
      </c>
      <c r="C551" s="1577"/>
      <c r="D551" s="1581" t="s">
        <v>1985</v>
      </c>
      <c r="E551" s="280">
        <v>5</v>
      </c>
      <c r="F551" s="280" t="s">
        <v>761</v>
      </c>
      <c r="G551" s="1679"/>
      <c r="H551" s="1571"/>
      <c r="I551" s="1571"/>
      <c r="J551" s="1571"/>
      <c r="K551" s="1571"/>
      <c r="L551" s="1577"/>
      <c r="M551" s="1681"/>
      <c r="N551" s="1577"/>
      <c r="O551" s="1571"/>
    </row>
    <row r="552" spans="1:15">
      <c r="A552" t="s">
        <v>2040</v>
      </c>
      <c r="B552" t="s">
        <v>1852</v>
      </c>
      <c r="C552" s="1577"/>
      <c r="D552" s="1581" t="s">
        <v>1986</v>
      </c>
      <c r="E552" s="280">
        <v>20</v>
      </c>
      <c r="F552" s="280" t="s">
        <v>1700</v>
      </c>
      <c r="G552" s="1679"/>
      <c r="H552" s="1571"/>
      <c r="I552" s="1571"/>
      <c r="J552" s="1571"/>
      <c r="K552" s="1571"/>
      <c r="L552" s="1577"/>
      <c r="M552" s="1681"/>
      <c r="N552" s="1577"/>
      <c r="O552" s="1571"/>
    </row>
    <row r="553" spans="1:15">
      <c r="A553" t="s">
        <v>2040</v>
      </c>
      <c r="B553" t="s">
        <v>1852</v>
      </c>
      <c r="C553" s="1577"/>
      <c r="D553" s="1581" t="s">
        <v>1987</v>
      </c>
      <c r="E553" s="280">
        <v>5</v>
      </c>
      <c r="F553" s="280" t="s">
        <v>1841</v>
      </c>
      <c r="G553" s="1679"/>
      <c r="H553" s="1571"/>
      <c r="I553" s="1571"/>
      <c r="J553" s="1571"/>
      <c r="K553" s="1571"/>
      <c r="L553" s="1577"/>
      <c r="M553" s="1681"/>
      <c r="N553" s="1577"/>
      <c r="O553" s="1571"/>
    </row>
    <row r="554" spans="1:15">
      <c r="A554" t="s">
        <v>2040</v>
      </c>
      <c r="B554" t="s">
        <v>1852</v>
      </c>
      <c r="C554" s="1577"/>
      <c r="D554" s="1581" t="s">
        <v>1988</v>
      </c>
      <c r="E554" s="280">
        <v>10</v>
      </c>
      <c r="F554" s="280" t="s">
        <v>1989</v>
      </c>
      <c r="G554" s="1679"/>
      <c r="H554" s="1571"/>
      <c r="I554" s="1571"/>
      <c r="J554" s="1571"/>
      <c r="K554" s="1571"/>
      <c r="L554" s="1577"/>
      <c r="M554" s="1681"/>
      <c r="N554" s="1577"/>
      <c r="O554" s="1571"/>
    </row>
    <row r="555" spans="1:15">
      <c r="A555" t="s">
        <v>2040</v>
      </c>
      <c r="B555" t="s">
        <v>1852</v>
      </c>
      <c r="C555" s="1577"/>
      <c r="D555" s="1581" t="s">
        <v>1990</v>
      </c>
      <c r="E555" s="280">
        <v>10</v>
      </c>
      <c r="F555" s="280" t="s">
        <v>761</v>
      </c>
      <c r="G555" s="1679"/>
      <c r="H555" s="1571"/>
      <c r="I555" s="1571"/>
      <c r="J555" s="1571"/>
      <c r="K555" s="1571"/>
      <c r="L555" s="1577"/>
      <c r="M555" s="1681"/>
      <c r="N555" s="1577"/>
      <c r="O555" s="1571"/>
    </row>
    <row r="556" spans="1:15">
      <c r="A556" t="s">
        <v>2040</v>
      </c>
      <c r="B556" t="s">
        <v>1852</v>
      </c>
      <c r="C556" s="1577"/>
      <c r="D556" s="1581" t="s">
        <v>1991</v>
      </c>
      <c r="E556" s="280">
        <v>20</v>
      </c>
      <c r="F556" s="280" t="s">
        <v>1636</v>
      </c>
      <c r="G556" s="1679"/>
      <c r="H556" s="1571"/>
      <c r="I556" s="1571"/>
      <c r="J556" s="1571"/>
      <c r="K556" s="1571"/>
      <c r="L556" s="1577"/>
      <c r="M556" s="1681"/>
      <c r="N556" s="1577"/>
      <c r="O556" s="1571"/>
    </row>
    <row r="557" spans="1:15">
      <c r="A557" t="s">
        <v>2040</v>
      </c>
      <c r="B557" t="s">
        <v>1852</v>
      </c>
      <c r="C557" s="1577"/>
      <c r="D557" s="1581" t="s">
        <v>1836</v>
      </c>
      <c r="E557" s="280">
        <v>100</v>
      </c>
      <c r="F557" s="280" t="s">
        <v>761</v>
      </c>
      <c r="G557" s="1679"/>
      <c r="H557" s="1571"/>
      <c r="I557" s="1571"/>
      <c r="J557" s="1571"/>
      <c r="K557" s="1571"/>
      <c r="L557" s="1577"/>
      <c r="M557" s="1681"/>
      <c r="N557" s="1577"/>
      <c r="O557" s="1571"/>
    </row>
    <row r="558" spans="1:15">
      <c r="A558" t="s">
        <v>2040</v>
      </c>
      <c r="B558" t="s">
        <v>1852</v>
      </c>
      <c r="C558" s="1577"/>
      <c r="D558" s="1581" t="s">
        <v>1462</v>
      </c>
      <c r="E558" s="280">
        <v>200</v>
      </c>
      <c r="F558" s="280" t="s">
        <v>761</v>
      </c>
      <c r="G558" s="1679"/>
      <c r="H558" s="1571"/>
      <c r="I558" s="1571"/>
      <c r="J558" s="1571"/>
      <c r="K558" s="1571"/>
      <c r="L558" s="1577"/>
      <c r="M558" s="1681"/>
      <c r="N558" s="1577"/>
      <c r="O558" s="1571"/>
    </row>
    <row r="559" spans="1:15">
      <c r="A559" t="s">
        <v>2040</v>
      </c>
      <c r="B559" t="s">
        <v>1852</v>
      </c>
      <c r="C559" s="1577"/>
      <c r="D559" s="1581" t="s">
        <v>1992</v>
      </c>
      <c r="E559" s="280">
        <v>300</v>
      </c>
      <c r="F559" s="280" t="s">
        <v>761</v>
      </c>
      <c r="G559" s="1679"/>
      <c r="H559" s="1571"/>
      <c r="I559" s="1571"/>
      <c r="J559" s="1571"/>
      <c r="K559" s="1571"/>
      <c r="L559" s="1577"/>
      <c r="M559" s="1681"/>
      <c r="N559" s="1577"/>
      <c r="O559" s="1571"/>
    </row>
    <row r="560" spans="1:15">
      <c r="A560" t="s">
        <v>2040</v>
      </c>
      <c r="B560" t="s">
        <v>1852</v>
      </c>
      <c r="C560" s="1577"/>
      <c r="D560" s="1581" t="s">
        <v>1993</v>
      </c>
      <c r="E560" s="280">
        <v>40</v>
      </c>
      <c r="F560" s="280" t="s">
        <v>1636</v>
      </c>
      <c r="G560" s="1679"/>
      <c r="H560" s="1571"/>
      <c r="I560" s="1571"/>
      <c r="J560" s="1571"/>
      <c r="K560" s="1571"/>
      <c r="L560" s="1577"/>
      <c r="M560" s="1681"/>
      <c r="N560" s="1577"/>
      <c r="O560" s="1571"/>
    </row>
    <row r="561" spans="1:15">
      <c r="A561" t="s">
        <v>2040</v>
      </c>
      <c r="B561" t="s">
        <v>1852</v>
      </c>
      <c r="C561" s="1577"/>
      <c r="D561" s="1581" t="s">
        <v>1994</v>
      </c>
      <c r="E561" s="280">
        <v>15</v>
      </c>
      <c r="F561" s="280" t="s">
        <v>761</v>
      </c>
      <c r="G561" s="1679"/>
      <c r="H561" s="1571"/>
      <c r="I561" s="1571"/>
      <c r="J561" s="1571"/>
      <c r="K561" s="1571"/>
      <c r="L561" s="1577"/>
      <c r="M561" s="1681"/>
      <c r="N561" s="1577"/>
      <c r="O561" s="1571"/>
    </row>
    <row r="562" spans="1:15">
      <c r="A562" t="s">
        <v>2040</v>
      </c>
      <c r="B562" t="s">
        <v>1852</v>
      </c>
      <c r="C562" s="1577"/>
      <c r="D562" s="1581" t="s">
        <v>1995</v>
      </c>
      <c r="E562" s="280">
        <v>20</v>
      </c>
      <c r="F562" s="280" t="s">
        <v>1841</v>
      </c>
      <c r="G562" s="1679"/>
      <c r="H562" s="1571"/>
      <c r="I562" s="1571"/>
      <c r="J562" s="1571"/>
      <c r="K562" s="1571"/>
      <c r="L562" s="1577"/>
      <c r="M562" s="1681"/>
      <c r="N562" s="1577"/>
      <c r="O562" s="1571"/>
    </row>
    <row r="563" spans="1:15">
      <c r="A563" t="s">
        <v>2040</v>
      </c>
      <c r="B563" t="s">
        <v>1852</v>
      </c>
      <c r="C563" s="1577"/>
      <c r="D563" s="1581" t="s">
        <v>1996</v>
      </c>
      <c r="E563" s="280">
        <v>30</v>
      </c>
      <c r="F563" s="280" t="s">
        <v>1841</v>
      </c>
      <c r="G563" s="1679"/>
      <c r="H563" s="1571"/>
      <c r="I563" s="1571"/>
      <c r="J563" s="1571"/>
      <c r="K563" s="1571"/>
      <c r="L563" s="1577"/>
      <c r="M563" s="1681"/>
      <c r="N563" s="1577"/>
      <c r="O563" s="1571"/>
    </row>
    <row r="564" spans="1:15">
      <c r="A564" t="s">
        <v>2040</v>
      </c>
      <c r="B564" t="s">
        <v>1852</v>
      </c>
      <c r="C564" s="1577"/>
      <c r="D564" s="1581" t="s">
        <v>1816</v>
      </c>
      <c r="E564" s="280">
        <v>15</v>
      </c>
      <c r="F564" s="280" t="s">
        <v>1793</v>
      </c>
      <c r="G564" s="1679"/>
      <c r="H564" s="1571"/>
      <c r="I564" s="1571"/>
      <c r="J564" s="1571"/>
      <c r="K564" s="1571"/>
      <c r="L564" s="1577"/>
      <c r="M564" s="1681"/>
      <c r="N564" s="1577"/>
      <c r="O564" s="1571"/>
    </row>
    <row r="565" spans="1:15">
      <c r="A565" t="s">
        <v>2040</v>
      </c>
      <c r="B565" t="s">
        <v>1852</v>
      </c>
      <c r="C565" s="1577"/>
      <c r="D565" s="1581" t="s">
        <v>1997</v>
      </c>
      <c r="E565" s="280">
        <v>3</v>
      </c>
      <c r="F565" s="280" t="s">
        <v>761</v>
      </c>
      <c r="G565" s="1679"/>
      <c r="H565" s="1571"/>
      <c r="I565" s="1571"/>
      <c r="J565" s="1571"/>
      <c r="K565" s="1571"/>
      <c r="L565" s="1577"/>
      <c r="M565" s="1681"/>
      <c r="N565" s="1577"/>
      <c r="O565" s="1571"/>
    </row>
    <row r="566" spans="1:15">
      <c r="A566" t="s">
        <v>2040</v>
      </c>
      <c r="B566" t="s">
        <v>1852</v>
      </c>
      <c r="C566" s="1577"/>
      <c r="D566" s="1581" t="s">
        <v>1998</v>
      </c>
      <c r="E566" s="280">
        <v>20</v>
      </c>
      <c r="F566" s="280" t="s">
        <v>761</v>
      </c>
      <c r="G566" s="1679"/>
      <c r="H566" s="1571"/>
      <c r="I566" s="1571"/>
      <c r="J566" s="1571"/>
      <c r="K566" s="1571"/>
      <c r="L566" s="1577"/>
      <c r="M566" s="1681"/>
      <c r="N566" s="1577"/>
      <c r="O566" s="1571"/>
    </row>
    <row r="567" spans="1:15">
      <c r="A567" t="s">
        <v>2040</v>
      </c>
      <c r="B567" t="s">
        <v>1852</v>
      </c>
      <c r="C567" s="1577"/>
      <c r="D567" s="1581" t="s">
        <v>1999</v>
      </c>
      <c r="E567" s="280">
        <v>5</v>
      </c>
      <c r="F567" s="280" t="s">
        <v>1841</v>
      </c>
      <c r="G567" s="1679"/>
      <c r="H567" s="1571"/>
      <c r="I567" s="1571"/>
      <c r="J567" s="1571"/>
      <c r="K567" s="1571"/>
      <c r="L567" s="1577"/>
      <c r="M567" s="1681"/>
      <c r="N567" s="1577"/>
      <c r="O567" s="1571"/>
    </row>
    <row r="568" spans="1:15">
      <c r="A568" t="s">
        <v>2040</v>
      </c>
      <c r="B568" t="s">
        <v>1852</v>
      </c>
      <c r="C568" s="1577"/>
      <c r="D568" s="1581" t="s">
        <v>2000</v>
      </c>
      <c r="E568" s="280">
        <v>10</v>
      </c>
      <c r="F568" s="280" t="s">
        <v>2001</v>
      </c>
      <c r="G568" s="1679"/>
      <c r="H568" s="1571"/>
      <c r="I568" s="1571"/>
      <c r="J568" s="1571"/>
      <c r="K568" s="1571"/>
      <c r="L568" s="1577"/>
      <c r="M568" s="1681"/>
      <c r="N568" s="1577"/>
      <c r="O568" s="1571"/>
    </row>
    <row r="569" spans="1:15">
      <c r="A569" t="s">
        <v>2040</v>
      </c>
      <c r="B569" t="s">
        <v>1852</v>
      </c>
      <c r="C569" s="1577"/>
      <c r="D569" s="1581" t="s">
        <v>2002</v>
      </c>
      <c r="E569" s="280">
        <v>30</v>
      </c>
      <c r="F569" s="280" t="s">
        <v>1967</v>
      </c>
      <c r="G569" s="1679"/>
      <c r="H569" s="1571"/>
      <c r="I569" s="1571"/>
      <c r="J569" s="1571"/>
      <c r="K569" s="1571"/>
      <c r="L569" s="1577"/>
      <c r="M569" s="1681"/>
      <c r="N569" s="1577"/>
      <c r="O569" s="1571"/>
    </row>
    <row r="570" spans="1:15">
      <c r="A570" t="s">
        <v>2040</v>
      </c>
      <c r="B570" t="s">
        <v>1852</v>
      </c>
      <c r="C570" s="1577"/>
      <c r="D570" s="1581" t="s">
        <v>2003</v>
      </c>
      <c r="E570" s="280">
        <v>10</v>
      </c>
      <c r="F570" s="280" t="s">
        <v>1700</v>
      </c>
      <c r="G570" s="1679"/>
      <c r="H570" s="1571"/>
      <c r="I570" s="1571"/>
      <c r="J570" s="1571"/>
      <c r="K570" s="1571"/>
      <c r="L570" s="1577"/>
      <c r="M570" s="1681"/>
      <c r="N570" s="1577"/>
      <c r="O570" s="1571"/>
    </row>
    <row r="571" spans="1:15">
      <c r="A571" t="s">
        <v>2040</v>
      </c>
      <c r="B571" t="s">
        <v>1852</v>
      </c>
      <c r="C571" s="1577"/>
      <c r="D571" s="1581" t="s">
        <v>2004</v>
      </c>
      <c r="E571" s="280">
        <v>30</v>
      </c>
      <c r="F571" s="280" t="s">
        <v>761</v>
      </c>
      <c r="G571" s="1679"/>
      <c r="H571" s="1571"/>
      <c r="I571" s="1571"/>
      <c r="J571" s="1571"/>
      <c r="K571" s="1571"/>
      <c r="L571" s="1577"/>
      <c r="M571" s="1681"/>
      <c r="N571" s="1577"/>
      <c r="O571" s="1571"/>
    </row>
    <row r="572" spans="1:15">
      <c r="A572" t="s">
        <v>2040</v>
      </c>
      <c r="B572" t="s">
        <v>1852</v>
      </c>
      <c r="C572" s="1577"/>
      <c r="D572" s="1581" t="s">
        <v>2005</v>
      </c>
      <c r="E572" s="280">
        <v>30</v>
      </c>
      <c r="F572" s="280" t="s">
        <v>761</v>
      </c>
      <c r="G572" s="1679"/>
      <c r="H572" s="1571"/>
      <c r="I572" s="1571"/>
      <c r="J572" s="1571"/>
      <c r="K572" s="1571"/>
      <c r="L572" s="1577"/>
      <c r="M572" s="1681"/>
      <c r="N572" s="1577"/>
      <c r="O572" s="1571"/>
    </row>
    <row r="573" spans="1:15">
      <c r="A573" t="s">
        <v>2040</v>
      </c>
      <c r="B573" t="s">
        <v>1852</v>
      </c>
      <c r="C573" s="1577"/>
      <c r="D573" s="1581" t="s">
        <v>2006</v>
      </c>
      <c r="E573" s="280">
        <v>1</v>
      </c>
      <c r="F573" s="280" t="s">
        <v>1841</v>
      </c>
      <c r="G573" s="1679"/>
      <c r="H573" s="1571"/>
      <c r="I573" s="1571"/>
      <c r="J573" s="1571"/>
      <c r="K573" s="1571"/>
      <c r="L573" s="1577"/>
      <c r="M573" s="1681"/>
      <c r="N573" s="1577"/>
      <c r="O573" s="1571"/>
    </row>
    <row r="574" spans="1:15">
      <c r="A574" t="s">
        <v>2040</v>
      </c>
      <c r="B574" t="s">
        <v>1852</v>
      </c>
      <c r="C574" s="1577"/>
      <c r="D574" s="1581" t="s">
        <v>2007</v>
      </c>
      <c r="E574" s="280">
        <v>5</v>
      </c>
      <c r="F574" s="280" t="s">
        <v>1961</v>
      </c>
      <c r="G574" s="1679"/>
      <c r="H574" s="1571"/>
      <c r="I574" s="1571"/>
      <c r="J574" s="1571"/>
      <c r="K574" s="1571"/>
      <c r="L574" s="1577"/>
      <c r="M574" s="1681"/>
      <c r="N574" s="1577"/>
      <c r="O574" s="1571"/>
    </row>
    <row r="575" spans="1:15">
      <c r="A575" t="s">
        <v>2040</v>
      </c>
      <c r="B575" t="s">
        <v>1852</v>
      </c>
      <c r="C575" s="1577"/>
      <c r="D575" s="1581" t="s">
        <v>2008</v>
      </c>
      <c r="E575" s="280">
        <v>50</v>
      </c>
      <c r="F575" s="280" t="s">
        <v>761</v>
      </c>
      <c r="G575" s="1679"/>
      <c r="H575" s="1571"/>
      <c r="I575" s="1571"/>
      <c r="J575" s="1571"/>
      <c r="K575" s="1571"/>
      <c r="L575" s="1577"/>
      <c r="M575" s="1681"/>
      <c r="N575" s="1577"/>
      <c r="O575" s="1571"/>
    </row>
    <row r="576" spans="1:15">
      <c r="A576" t="s">
        <v>2040</v>
      </c>
      <c r="B576" t="s">
        <v>1852</v>
      </c>
      <c r="C576" s="1577"/>
      <c r="D576" s="1581" t="s">
        <v>2009</v>
      </c>
      <c r="E576" s="280">
        <v>2</v>
      </c>
      <c r="F576" s="280" t="s">
        <v>761</v>
      </c>
      <c r="G576" s="1679"/>
      <c r="H576" s="1571"/>
      <c r="I576" s="1571"/>
      <c r="J576" s="1571"/>
      <c r="K576" s="1571"/>
      <c r="L576" s="1577"/>
      <c r="M576" s="1681"/>
      <c r="N576" s="1577"/>
      <c r="O576" s="1571"/>
    </row>
    <row r="577" spans="1:15">
      <c r="A577" t="s">
        <v>2040</v>
      </c>
      <c r="B577" t="s">
        <v>1852</v>
      </c>
      <c r="C577" s="1577"/>
      <c r="D577" s="1581" t="s">
        <v>2010</v>
      </c>
      <c r="E577" s="280">
        <v>3</v>
      </c>
      <c r="F577" s="280" t="s">
        <v>1057</v>
      </c>
      <c r="G577" s="1679"/>
      <c r="H577" s="1571"/>
      <c r="I577" s="1571"/>
      <c r="J577" s="1571"/>
      <c r="K577" s="1571"/>
      <c r="L577" s="1577"/>
      <c r="M577" s="1681"/>
      <c r="N577" s="1577"/>
      <c r="O577" s="1571"/>
    </row>
    <row r="578" spans="1:15">
      <c r="A578" t="s">
        <v>2040</v>
      </c>
      <c r="B578" t="s">
        <v>1852</v>
      </c>
      <c r="C578" s="1577"/>
      <c r="D578" s="1581" t="s">
        <v>2011</v>
      </c>
      <c r="E578" s="280">
        <v>2</v>
      </c>
      <c r="F578" s="280" t="s">
        <v>761</v>
      </c>
      <c r="G578" s="1679"/>
      <c r="H578" s="1571"/>
      <c r="I578" s="1571"/>
      <c r="J578" s="1571"/>
      <c r="K578" s="1571"/>
      <c r="L578" s="1577"/>
      <c r="M578" s="1681"/>
      <c r="N578" s="1577"/>
      <c r="O578" s="1571"/>
    </row>
    <row r="581" spans="1:15" ht="38.25">
      <c r="A581" t="s">
        <v>2012</v>
      </c>
      <c r="B581" t="s">
        <v>1852</v>
      </c>
      <c r="C581" s="1671" t="s">
        <v>1763</v>
      </c>
      <c r="D581" s="242" t="s">
        <v>2</v>
      </c>
      <c r="E581" s="1684"/>
      <c r="F581" s="1571" t="s">
        <v>1764</v>
      </c>
      <c r="G581" s="1571" t="s">
        <v>1</v>
      </c>
      <c r="H581" s="1672" t="s">
        <v>701</v>
      </c>
      <c r="I581" s="1672" t="s">
        <v>653</v>
      </c>
      <c r="J581" s="1672" t="s">
        <v>653</v>
      </c>
      <c r="K581" s="1565" t="s">
        <v>748</v>
      </c>
      <c r="L581" s="1687">
        <v>43752</v>
      </c>
      <c r="M581" s="1533" t="s">
        <v>1765</v>
      </c>
      <c r="N581" s="1565" t="s">
        <v>703</v>
      </c>
    </row>
    <row r="582" spans="1:15">
      <c r="A582" t="s">
        <v>2012</v>
      </c>
      <c r="B582" t="s">
        <v>1852</v>
      </c>
      <c r="C582" s="1571" t="s">
        <v>704</v>
      </c>
      <c r="D582" s="1581" t="s">
        <v>863</v>
      </c>
      <c r="E582" s="280">
        <v>8</v>
      </c>
      <c r="F582" s="280" t="s">
        <v>1917</v>
      </c>
      <c r="G582" s="1561"/>
      <c r="H582" s="1577"/>
      <c r="I582" s="1578"/>
      <c r="J582" s="1571"/>
      <c r="K582" s="1579"/>
      <c r="L582" s="1577"/>
      <c r="M582" s="1674"/>
      <c r="N582" s="1580"/>
      <c r="O582" s="1577"/>
    </row>
    <row r="583" spans="1:15">
      <c r="A583" t="s">
        <v>2012</v>
      </c>
      <c r="B583" t="s">
        <v>1852</v>
      </c>
      <c r="C583" s="1577"/>
      <c r="D583" s="1581" t="s">
        <v>1918</v>
      </c>
      <c r="E583" s="280">
        <v>4</v>
      </c>
      <c r="F583" s="280" t="s">
        <v>761</v>
      </c>
      <c r="G583" s="1561"/>
      <c r="H583" s="1577"/>
      <c r="I583" s="1578"/>
      <c r="J583" s="1571"/>
      <c r="K583" s="1579"/>
      <c r="L583" s="1577"/>
      <c r="M583" s="1674"/>
      <c r="N583" s="1580"/>
      <c r="O583" s="1577"/>
    </row>
    <row r="584" spans="1:15">
      <c r="A584" t="s">
        <v>2012</v>
      </c>
      <c r="B584" t="s">
        <v>1852</v>
      </c>
      <c r="C584" s="1577"/>
      <c r="D584" s="1581" t="s">
        <v>1919</v>
      </c>
      <c r="E584" s="280">
        <v>4</v>
      </c>
      <c r="F584" s="280" t="s">
        <v>761</v>
      </c>
      <c r="G584" s="1561"/>
      <c r="H584" s="1577"/>
      <c r="I584" s="1578"/>
      <c r="J584" s="1571"/>
      <c r="K584" s="1579"/>
      <c r="L584" s="1577"/>
      <c r="M584" s="1674"/>
      <c r="N584" s="1580"/>
      <c r="O584" s="1577"/>
    </row>
    <row r="585" spans="1:15">
      <c r="A585" t="s">
        <v>2012</v>
      </c>
      <c r="B585" t="s">
        <v>1852</v>
      </c>
      <c r="C585" s="1561"/>
      <c r="D585" s="1581" t="s">
        <v>1920</v>
      </c>
      <c r="E585" s="280">
        <v>2</v>
      </c>
      <c r="F585" s="280" t="s">
        <v>761</v>
      </c>
      <c r="G585" s="1561"/>
      <c r="H585" s="1561"/>
      <c r="I585" s="1562"/>
      <c r="J585" s="1562"/>
      <c r="K585" s="1582"/>
      <c r="L585" s="1561"/>
      <c r="M585" s="1674"/>
      <c r="N585" s="1561"/>
      <c r="O585" s="1561"/>
    </row>
    <row r="586" spans="1:15">
      <c r="A586" t="s">
        <v>2012</v>
      </c>
      <c r="B586" t="s">
        <v>1852</v>
      </c>
      <c r="C586" s="1561"/>
      <c r="D586" s="1581" t="s">
        <v>1921</v>
      </c>
      <c r="E586" s="280">
        <v>2</v>
      </c>
      <c r="F586" s="280" t="s">
        <v>761</v>
      </c>
      <c r="G586" s="1561"/>
      <c r="H586" s="1561"/>
      <c r="I586" s="1562"/>
      <c r="J586" s="1562"/>
      <c r="K586" s="1582"/>
      <c r="L586" s="1561" t="s">
        <v>111</v>
      </c>
      <c r="M586" s="1674"/>
      <c r="N586" s="1561"/>
      <c r="O586" s="1561"/>
    </row>
    <row r="587" spans="1:15">
      <c r="A587" t="s">
        <v>2012</v>
      </c>
      <c r="B587" t="s">
        <v>1852</v>
      </c>
      <c r="C587" s="1561"/>
      <c r="D587" s="1581" t="s">
        <v>1922</v>
      </c>
      <c r="E587" s="280">
        <v>10</v>
      </c>
      <c r="F587" s="280" t="s">
        <v>761</v>
      </c>
      <c r="G587" s="1561"/>
      <c r="H587" s="1561"/>
      <c r="I587" s="1562"/>
      <c r="J587" s="1562"/>
      <c r="K587" s="1582"/>
      <c r="L587" s="1561"/>
      <c r="M587" s="1674"/>
      <c r="N587" s="1561"/>
      <c r="O587" s="1561"/>
    </row>
    <row r="588" spans="1:15">
      <c r="A588" t="s">
        <v>2012</v>
      </c>
      <c r="B588" t="s">
        <v>1852</v>
      </c>
      <c r="C588" s="1561"/>
      <c r="D588" s="1581" t="s">
        <v>1923</v>
      </c>
      <c r="E588" s="280">
        <v>15</v>
      </c>
      <c r="F588" s="280" t="s">
        <v>1841</v>
      </c>
      <c r="G588" s="1561"/>
      <c r="H588" s="1561"/>
      <c r="I588" s="1583"/>
      <c r="J588" s="1562"/>
      <c r="K588" s="1582"/>
      <c r="L588" s="1561"/>
      <c r="M588" s="1674"/>
      <c r="N588" s="1561"/>
      <c r="O588" s="1561"/>
    </row>
    <row r="589" spans="1:15">
      <c r="A589" t="s">
        <v>2012</v>
      </c>
      <c r="B589" t="s">
        <v>1852</v>
      </c>
      <c r="C589" s="1561"/>
      <c r="D589" s="1581" t="s">
        <v>1924</v>
      </c>
      <c r="E589" s="280">
        <v>15</v>
      </c>
      <c r="F589" s="280" t="s">
        <v>1841</v>
      </c>
      <c r="G589" s="1561"/>
      <c r="H589" s="1561"/>
      <c r="I589" s="1579"/>
      <c r="J589" s="1579"/>
      <c r="K589" s="1579"/>
      <c r="L589" s="1675"/>
      <c r="M589" s="1674"/>
      <c r="N589" s="1561"/>
      <c r="O589" s="1561"/>
    </row>
    <row r="590" spans="1:15">
      <c r="A590" t="s">
        <v>2012</v>
      </c>
      <c r="B590" t="s">
        <v>1852</v>
      </c>
      <c r="C590" s="1561"/>
      <c r="D590" s="1581" t="s">
        <v>1925</v>
      </c>
      <c r="E590" s="280">
        <v>6</v>
      </c>
      <c r="F590" s="280" t="s">
        <v>1793</v>
      </c>
      <c r="G590" s="1561"/>
      <c r="H590" s="1561"/>
      <c r="I590" s="1579"/>
      <c r="J590" s="1579"/>
      <c r="K590" s="1579"/>
      <c r="L590" s="1561"/>
      <c r="M590" s="1674"/>
      <c r="N590" s="1561"/>
      <c r="O590" s="1561"/>
    </row>
    <row r="591" spans="1:15">
      <c r="A591" t="s">
        <v>2012</v>
      </c>
      <c r="B591" t="s">
        <v>1852</v>
      </c>
      <c r="C591" s="1561"/>
      <c r="D591" s="1581" t="s">
        <v>1926</v>
      </c>
      <c r="E591" s="280">
        <v>6</v>
      </c>
      <c r="F591" s="280" t="s">
        <v>1927</v>
      </c>
      <c r="G591" s="1561"/>
      <c r="H591" s="1561"/>
      <c r="I591" s="1579"/>
      <c r="J591" s="1579"/>
      <c r="K591" s="1579"/>
      <c r="L591" s="1561"/>
      <c r="M591" s="1674"/>
      <c r="N591" s="1561"/>
      <c r="O591" s="1561"/>
    </row>
    <row r="592" spans="1:15">
      <c r="A592" t="s">
        <v>2012</v>
      </c>
      <c r="B592" t="s">
        <v>1852</v>
      </c>
      <c r="C592" s="1561"/>
      <c r="D592" s="1581" t="s">
        <v>1928</v>
      </c>
      <c r="E592" s="280">
        <v>30</v>
      </c>
      <c r="F592" s="280" t="s">
        <v>1700</v>
      </c>
      <c r="G592" s="1561"/>
      <c r="H592" s="1561"/>
      <c r="I592" s="1583"/>
      <c r="J592" s="1562"/>
      <c r="K592" s="1582"/>
      <c r="L592" s="1561"/>
      <c r="M592" s="1674"/>
      <c r="N592" s="1561"/>
      <c r="O592" s="1561"/>
    </row>
    <row r="593" spans="1:15">
      <c r="A593" t="s">
        <v>2012</v>
      </c>
      <c r="B593" t="s">
        <v>1852</v>
      </c>
      <c r="C593" s="1561"/>
      <c r="D593" s="1581" t="s">
        <v>2013</v>
      </c>
      <c r="E593" s="280">
        <v>30</v>
      </c>
      <c r="F593" s="280" t="s">
        <v>1700</v>
      </c>
      <c r="G593" s="1561"/>
      <c r="H593" s="1561"/>
      <c r="I593" s="1579"/>
      <c r="J593" s="1579"/>
      <c r="K593" s="1579"/>
      <c r="L593" s="1561"/>
      <c r="M593" s="1674"/>
      <c r="N593" s="1561"/>
      <c r="O593" s="1561"/>
    </row>
    <row r="594" spans="1:15">
      <c r="A594" t="s">
        <v>2012</v>
      </c>
      <c r="B594" t="s">
        <v>1852</v>
      </c>
      <c r="C594" s="1561"/>
      <c r="D594" s="1676" t="s">
        <v>1929</v>
      </c>
      <c r="E594" s="280">
        <v>20</v>
      </c>
      <c r="F594" s="280" t="s">
        <v>1747</v>
      </c>
      <c r="G594" s="1561"/>
      <c r="H594" s="1561"/>
      <c r="I594" s="1562"/>
      <c r="J594" s="1562"/>
      <c r="K594" s="1582"/>
      <c r="L594" s="1561"/>
      <c r="M594" s="1674"/>
      <c r="N594" s="1561"/>
      <c r="O594" s="1561"/>
    </row>
    <row r="595" spans="1:15">
      <c r="A595" t="s">
        <v>2012</v>
      </c>
      <c r="B595" t="s">
        <v>1852</v>
      </c>
      <c r="C595" s="1561"/>
      <c r="D595" s="1581" t="s">
        <v>1930</v>
      </c>
      <c r="E595" s="280">
        <v>15</v>
      </c>
      <c r="F595" s="280" t="s">
        <v>1747</v>
      </c>
      <c r="G595" s="1561"/>
      <c r="H595" s="1561"/>
      <c r="I595" s="1583"/>
      <c r="J595" s="1562"/>
      <c r="K595" s="1582"/>
      <c r="L595" s="1561"/>
      <c r="M595" s="1674"/>
      <c r="N595" s="1561"/>
      <c r="O595" s="1561"/>
    </row>
    <row r="596" spans="1:15">
      <c r="A596" t="s">
        <v>2012</v>
      </c>
      <c r="B596" t="s">
        <v>1852</v>
      </c>
      <c r="C596" s="1561"/>
      <c r="D596" s="1581" t="s">
        <v>1931</v>
      </c>
      <c r="E596" s="280">
        <v>15</v>
      </c>
      <c r="F596" s="280" t="s">
        <v>1747</v>
      </c>
      <c r="G596" s="1561"/>
      <c r="H596" s="1561"/>
      <c r="I596" s="1562"/>
      <c r="J596" s="1562"/>
      <c r="K596" s="1562"/>
      <c r="L596" s="1561"/>
      <c r="M596" s="1674"/>
      <c r="N596" s="1561"/>
      <c r="O596" s="1561"/>
    </row>
    <row r="597" spans="1:15">
      <c r="A597" t="s">
        <v>2012</v>
      </c>
      <c r="B597" t="s">
        <v>1852</v>
      </c>
      <c r="C597" s="1561"/>
      <c r="D597" s="1581" t="s">
        <v>1932</v>
      </c>
      <c r="E597" s="280">
        <v>20</v>
      </c>
      <c r="F597" s="280" t="s">
        <v>1747</v>
      </c>
      <c r="G597" s="1561"/>
      <c r="H597" s="1561"/>
      <c r="I597" s="1579"/>
      <c r="J597" s="1579"/>
      <c r="K597" s="1579"/>
      <c r="L597" s="1561"/>
      <c r="M597" s="1674"/>
      <c r="N597" s="1561"/>
      <c r="O597" s="1561"/>
    </row>
    <row r="598" spans="1:15">
      <c r="A598" t="s">
        <v>2012</v>
      </c>
      <c r="B598" t="s">
        <v>1852</v>
      </c>
      <c r="C598" s="1561"/>
      <c r="D598" s="1581" t="s">
        <v>1933</v>
      </c>
      <c r="E598" s="280">
        <v>10</v>
      </c>
      <c r="F598" s="280" t="s">
        <v>1747</v>
      </c>
      <c r="G598" s="1561"/>
      <c r="H598" s="1561"/>
      <c r="I598" s="1562"/>
      <c r="J598" s="1562"/>
      <c r="K598" s="1582"/>
      <c r="L598" s="1561"/>
      <c r="M598" s="1674"/>
      <c r="N598" s="1561"/>
      <c r="O598" s="1561"/>
    </row>
    <row r="599" spans="1:15">
      <c r="A599" t="s">
        <v>2012</v>
      </c>
      <c r="B599" t="s">
        <v>1852</v>
      </c>
      <c r="C599" s="1561"/>
      <c r="D599" s="1581" t="s">
        <v>1934</v>
      </c>
      <c r="E599" s="280">
        <v>20</v>
      </c>
      <c r="F599" s="280" t="s">
        <v>761</v>
      </c>
      <c r="G599" s="1561"/>
      <c r="H599" s="1561"/>
      <c r="I599" s="1562"/>
      <c r="J599" s="1562"/>
      <c r="K599" s="1582"/>
      <c r="L599" s="1561"/>
      <c r="M599" s="1674"/>
      <c r="N599" s="1561"/>
      <c r="O599" s="1561"/>
    </row>
    <row r="600" spans="1:15">
      <c r="A600" t="s">
        <v>2012</v>
      </c>
      <c r="B600" t="s">
        <v>1852</v>
      </c>
      <c r="C600" s="1561"/>
      <c r="D600" s="1581" t="s">
        <v>1783</v>
      </c>
      <c r="E600" s="280">
        <v>3</v>
      </c>
      <c r="F600" s="280" t="s">
        <v>1051</v>
      </c>
      <c r="G600" s="1561"/>
      <c r="H600" s="1561"/>
      <c r="I600" s="1562"/>
      <c r="J600" s="1562"/>
      <c r="K600" s="1582"/>
      <c r="L600" s="1561"/>
      <c r="M600" s="1674"/>
      <c r="N600" s="1561"/>
      <c r="O600" s="1561"/>
    </row>
    <row r="601" spans="1:15">
      <c r="A601" t="s">
        <v>2012</v>
      </c>
      <c r="B601" t="s">
        <v>1852</v>
      </c>
      <c r="C601" s="1561"/>
      <c r="D601" s="1581" t="s">
        <v>475</v>
      </c>
      <c r="E601" s="280">
        <v>30</v>
      </c>
      <c r="F601" s="280" t="s">
        <v>761</v>
      </c>
      <c r="G601" s="1561"/>
      <c r="H601" s="1561"/>
      <c r="I601" s="1562"/>
      <c r="J601" s="1562"/>
      <c r="K601" s="1582"/>
      <c r="L601" s="1561"/>
      <c r="M601" s="1674"/>
      <c r="N601" s="1561"/>
      <c r="O601" s="1561"/>
    </row>
    <row r="602" spans="1:15">
      <c r="A602" t="s">
        <v>2012</v>
      </c>
      <c r="B602" t="s">
        <v>1852</v>
      </c>
      <c r="C602" s="1561"/>
      <c r="D602" s="1581" t="s">
        <v>1935</v>
      </c>
      <c r="E602" s="280">
        <v>12</v>
      </c>
      <c r="F602" s="280" t="s">
        <v>761</v>
      </c>
      <c r="G602" s="1561"/>
      <c r="H602" s="1561"/>
      <c r="I602" s="1562"/>
      <c r="J602" s="1562"/>
      <c r="K602" s="1582"/>
      <c r="L602" s="1561"/>
      <c r="M602" s="1674"/>
      <c r="N602" s="1561"/>
      <c r="O602" s="1561"/>
    </row>
    <row r="603" spans="1:15">
      <c r="A603" t="s">
        <v>2012</v>
      </c>
      <c r="B603" t="s">
        <v>1852</v>
      </c>
      <c r="C603" s="1561"/>
      <c r="D603" s="1581" t="s">
        <v>1936</v>
      </c>
      <c r="E603" s="280">
        <v>15</v>
      </c>
      <c r="F603" s="280" t="s">
        <v>761</v>
      </c>
      <c r="G603" s="1561"/>
      <c r="H603" s="1561"/>
      <c r="I603" s="1562"/>
      <c r="J603" s="1562"/>
      <c r="K603" s="1582"/>
      <c r="L603" s="1561"/>
      <c r="M603" s="1674"/>
      <c r="N603" s="1561"/>
      <c r="O603" s="1561"/>
    </row>
    <row r="604" spans="1:15">
      <c r="A604" t="s">
        <v>2012</v>
      </c>
      <c r="B604" t="s">
        <v>1852</v>
      </c>
      <c r="C604" s="1561"/>
      <c r="D604" s="1581" t="s">
        <v>1937</v>
      </c>
      <c r="E604" s="280">
        <v>15</v>
      </c>
      <c r="F604" s="280" t="s">
        <v>761</v>
      </c>
      <c r="G604" s="1561"/>
      <c r="H604" s="1561"/>
      <c r="I604" s="1562"/>
      <c r="J604" s="1562"/>
      <c r="K604" s="1582"/>
      <c r="L604" s="1561"/>
      <c r="M604" s="1674"/>
      <c r="N604" s="1561"/>
      <c r="O604" s="1561"/>
    </row>
    <row r="605" spans="1:15">
      <c r="A605" t="s">
        <v>2012</v>
      </c>
      <c r="B605" t="s">
        <v>1852</v>
      </c>
      <c r="C605" s="1561"/>
      <c r="D605" s="1677" t="s">
        <v>1938</v>
      </c>
      <c r="E605" s="280">
        <v>2</v>
      </c>
      <c r="F605" s="280" t="s">
        <v>761</v>
      </c>
      <c r="G605" s="1561"/>
      <c r="H605" s="1561"/>
      <c r="I605" s="1562"/>
      <c r="J605" s="1562"/>
      <c r="K605" s="1582"/>
      <c r="L605" s="1561"/>
      <c r="M605" s="1674" t="s">
        <v>111</v>
      </c>
      <c r="N605" s="1561"/>
      <c r="O605" s="1561"/>
    </row>
    <row r="606" spans="1:15">
      <c r="A606" t="s">
        <v>2012</v>
      </c>
      <c r="B606" t="s">
        <v>1852</v>
      </c>
      <c r="C606" s="1561"/>
      <c r="D606" s="1581" t="s">
        <v>1939</v>
      </c>
      <c r="E606" s="280">
        <v>2</v>
      </c>
      <c r="F606" s="280" t="s">
        <v>1700</v>
      </c>
      <c r="G606" s="1561"/>
      <c r="H606" s="1561"/>
      <c r="I606" s="1562"/>
      <c r="J606" s="1562"/>
      <c r="K606" s="1582"/>
      <c r="L606" s="1561"/>
      <c r="M606" s="1674"/>
      <c r="N606" s="1561"/>
      <c r="O606" s="1561"/>
    </row>
    <row r="607" spans="1:15">
      <c r="A607" t="s">
        <v>2012</v>
      </c>
      <c r="B607" t="s">
        <v>1852</v>
      </c>
      <c r="C607" s="1577"/>
      <c r="D607" s="1581" t="s">
        <v>1940</v>
      </c>
      <c r="E607" s="280">
        <v>2</v>
      </c>
      <c r="F607" s="280" t="s">
        <v>1700</v>
      </c>
      <c r="G607" s="1577"/>
      <c r="H607" s="1577"/>
      <c r="I607" s="1571"/>
      <c r="J607" s="1571"/>
      <c r="K607" s="1579"/>
      <c r="L607" s="1577"/>
      <c r="M607" s="1674"/>
      <c r="N607" s="1577"/>
      <c r="O607" s="1577"/>
    </row>
    <row r="608" spans="1:15">
      <c r="A608" t="s">
        <v>2012</v>
      </c>
      <c r="B608" t="s">
        <v>1852</v>
      </c>
      <c r="C608" s="1577"/>
      <c r="D608" s="1581" t="s">
        <v>1941</v>
      </c>
      <c r="E608" s="280">
        <v>24</v>
      </c>
      <c r="F608" s="280" t="s">
        <v>761</v>
      </c>
      <c r="G608" s="1577"/>
      <c r="H608" s="1577"/>
      <c r="I608" s="1571"/>
      <c r="J608" s="1571"/>
      <c r="K608" s="1579"/>
      <c r="L608" s="1577"/>
      <c r="M608" s="1674"/>
      <c r="N608" s="1577"/>
      <c r="O608" s="1577"/>
    </row>
    <row r="609" spans="1:15">
      <c r="A609" t="s">
        <v>2012</v>
      </c>
      <c r="B609" t="s">
        <v>1852</v>
      </c>
      <c r="C609" s="1577"/>
      <c r="D609" s="1581" t="s">
        <v>1942</v>
      </c>
      <c r="E609" s="280">
        <v>1</v>
      </c>
      <c r="F609" s="280" t="s">
        <v>1700</v>
      </c>
      <c r="G609" s="1577"/>
      <c r="H609" s="1577"/>
      <c r="I609" s="1571"/>
      <c r="J609" s="1571"/>
      <c r="K609" s="1579"/>
      <c r="L609" s="1577"/>
      <c r="M609" s="1674"/>
      <c r="N609" s="1577"/>
      <c r="O609" s="1577"/>
    </row>
    <row r="610" spans="1:15">
      <c r="A610" t="s">
        <v>2012</v>
      </c>
      <c r="B610" t="s">
        <v>1852</v>
      </c>
      <c r="C610" s="1577"/>
      <c r="D610" s="1581" t="s">
        <v>479</v>
      </c>
      <c r="E610" s="280">
        <v>10</v>
      </c>
      <c r="F610" s="280" t="s">
        <v>1700</v>
      </c>
      <c r="G610" s="1577"/>
      <c r="H610" s="1678"/>
      <c r="I610" s="1571"/>
      <c r="J610" s="1571"/>
      <c r="K610" s="1579"/>
      <c r="L610" s="1577"/>
      <c r="M610" s="1674"/>
      <c r="N610" s="1577"/>
      <c r="O610" s="1577"/>
    </row>
    <row r="611" spans="1:15">
      <c r="A611" t="s">
        <v>2012</v>
      </c>
      <c r="B611" t="s">
        <v>1852</v>
      </c>
      <c r="C611" s="1577"/>
      <c r="D611" s="1581" t="s">
        <v>1943</v>
      </c>
      <c r="E611" s="280">
        <v>10</v>
      </c>
      <c r="F611" s="280" t="s">
        <v>761</v>
      </c>
      <c r="G611" s="1679"/>
      <c r="H611" s="1571"/>
      <c r="I611" s="1578"/>
      <c r="J611" s="1571"/>
      <c r="K611" s="1579"/>
      <c r="L611" s="1565"/>
      <c r="M611" s="1688"/>
      <c r="N611" s="1580"/>
      <c r="O611" s="1571"/>
    </row>
    <row r="612" spans="1:15">
      <c r="A612" t="s">
        <v>2012</v>
      </c>
      <c r="B612" t="s">
        <v>1852</v>
      </c>
      <c r="C612" s="1577"/>
      <c r="D612" s="1581" t="s">
        <v>1945</v>
      </c>
      <c r="E612" s="280">
        <v>5</v>
      </c>
      <c r="F612" s="280" t="s">
        <v>1841</v>
      </c>
      <c r="G612" s="1571"/>
      <c r="H612" s="1571"/>
      <c r="I612" s="1571"/>
      <c r="J612" s="1571"/>
      <c r="K612" s="1571"/>
      <c r="L612" s="1577"/>
      <c r="M612" s="1681"/>
      <c r="N612" s="1577"/>
      <c r="O612" s="1571"/>
    </row>
    <row r="613" spans="1:15">
      <c r="A613" t="s">
        <v>2012</v>
      </c>
      <c r="B613" t="s">
        <v>1852</v>
      </c>
      <c r="C613" s="1577"/>
      <c r="D613" s="1581" t="s">
        <v>1946</v>
      </c>
      <c r="E613" s="280">
        <v>5</v>
      </c>
      <c r="F613" s="280" t="s">
        <v>1841</v>
      </c>
      <c r="G613" s="1679"/>
      <c r="H613" s="1571"/>
      <c r="I613" s="1571"/>
      <c r="J613" s="1571"/>
      <c r="K613" s="1571"/>
      <c r="L613" s="1577"/>
      <c r="M613" s="1681"/>
      <c r="N613" s="1577"/>
      <c r="O613" s="1571"/>
    </row>
    <row r="614" spans="1:15">
      <c r="A614" t="s">
        <v>2012</v>
      </c>
      <c r="B614" t="s">
        <v>1852</v>
      </c>
      <c r="C614" s="1577"/>
      <c r="D614" s="1581" t="s">
        <v>1947</v>
      </c>
      <c r="E614" s="280">
        <v>30</v>
      </c>
      <c r="F614" s="280" t="s">
        <v>761</v>
      </c>
      <c r="G614" s="1679"/>
      <c r="H614" s="1571"/>
      <c r="I614" s="1571"/>
      <c r="J614" s="1571"/>
      <c r="K614" s="1571"/>
      <c r="L614" s="1577"/>
      <c r="M614" s="1681"/>
      <c r="N614" s="1577"/>
      <c r="O614" s="1571"/>
    </row>
    <row r="615" spans="1:15">
      <c r="A615" t="s">
        <v>2012</v>
      </c>
      <c r="B615" t="s">
        <v>1852</v>
      </c>
      <c r="C615" s="1577"/>
      <c r="D615" s="1581" t="s">
        <v>1948</v>
      </c>
      <c r="E615" s="280">
        <v>30</v>
      </c>
      <c r="F615" s="280" t="s">
        <v>761</v>
      </c>
      <c r="G615" s="1679"/>
      <c r="H615" s="1571"/>
      <c r="I615" s="1571"/>
      <c r="J615" s="1571"/>
      <c r="K615" s="1571"/>
      <c r="L615" s="1577"/>
      <c r="M615" s="1681"/>
      <c r="N615" s="1577"/>
      <c r="O615" s="1571"/>
    </row>
    <row r="616" spans="1:15">
      <c r="A616" t="s">
        <v>2012</v>
      </c>
      <c r="B616" t="s">
        <v>1852</v>
      </c>
      <c r="C616" s="1577"/>
      <c r="D616" s="1581" t="s">
        <v>1949</v>
      </c>
      <c r="E616" s="280">
        <v>30</v>
      </c>
      <c r="F616" s="280" t="s">
        <v>1700</v>
      </c>
      <c r="G616" s="1679"/>
      <c r="H616" s="1571"/>
      <c r="I616" s="1571"/>
      <c r="J616" s="1571"/>
      <c r="K616" s="1571"/>
      <c r="L616" s="1577"/>
      <c r="M616" s="1681"/>
      <c r="N616" s="1577"/>
      <c r="O616" s="1571"/>
    </row>
    <row r="617" spans="1:15">
      <c r="A617" t="s">
        <v>2012</v>
      </c>
      <c r="B617" t="s">
        <v>1852</v>
      </c>
      <c r="C617" s="1577"/>
      <c r="D617" s="1581" t="s">
        <v>183</v>
      </c>
      <c r="E617" s="280">
        <v>3</v>
      </c>
      <c r="F617" s="280" t="s">
        <v>1700</v>
      </c>
      <c r="G617" s="1679"/>
      <c r="H617" s="1571"/>
      <c r="I617" s="1571"/>
      <c r="J617" s="1571"/>
      <c r="K617" s="1571"/>
      <c r="L617" s="1577"/>
      <c r="M617" s="1681"/>
      <c r="N617" s="1577"/>
      <c r="O617" s="1571"/>
    </row>
    <row r="618" spans="1:15">
      <c r="A618" t="s">
        <v>2012</v>
      </c>
      <c r="B618" t="s">
        <v>1852</v>
      </c>
      <c r="C618" s="1577"/>
      <c r="D618" s="1581" t="s">
        <v>1950</v>
      </c>
      <c r="E618" s="280">
        <v>3</v>
      </c>
      <c r="F618" s="280" t="s">
        <v>761</v>
      </c>
      <c r="G618" s="1679"/>
      <c r="H618" s="1571"/>
      <c r="I618" s="1571"/>
      <c r="J618" s="1571"/>
      <c r="K618" s="1571"/>
      <c r="L618" s="1577"/>
      <c r="M618" s="1681"/>
      <c r="N618" s="1577"/>
      <c r="O618" s="1571"/>
    </row>
    <row r="619" spans="1:15">
      <c r="A619" t="s">
        <v>2012</v>
      </c>
      <c r="B619" t="s">
        <v>1852</v>
      </c>
      <c r="C619" s="1577"/>
      <c r="D619" s="1581" t="s">
        <v>1612</v>
      </c>
      <c r="E619" s="280">
        <v>6</v>
      </c>
      <c r="F619" s="280" t="s">
        <v>761</v>
      </c>
      <c r="G619" s="1679"/>
      <c r="H619" s="1571"/>
      <c r="I619" s="1571"/>
      <c r="J619" s="1571"/>
      <c r="K619" s="1571"/>
      <c r="L619" s="1577"/>
      <c r="M619" s="1681"/>
      <c r="N619" s="1577"/>
      <c r="O619" s="1571"/>
    </row>
    <row r="620" spans="1:15">
      <c r="A620" t="s">
        <v>2012</v>
      </c>
      <c r="B620" t="s">
        <v>1852</v>
      </c>
      <c r="C620" s="1577"/>
      <c r="D620" s="1581" t="s">
        <v>1951</v>
      </c>
      <c r="E620" s="280">
        <v>15</v>
      </c>
      <c r="F620" s="280" t="s">
        <v>1952</v>
      </c>
      <c r="G620" s="1679"/>
      <c r="H620" s="1571"/>
      <c r="I620" s="1571"/>
      <c r="J620" s="1571"/>
      <c r="K620" s="1571"/>
      <c r="L620" s="1577"/>
      <c r="M620" s="1681"/>
      <c r="N620" s="1577"/>
      <c r="O620" s="1571"/>
    </row>
    <row r="621" spans="1:15">
      <c r="A621" t="s">
        <v>2012</v>
      </c>
      <c r="B621" t="s">
        <v>1852</v>
      </c>
      <c r="C621" s="1577"/>
      <c r="D621" s="1581" t="s">
        <v>1953</v>
      </c>
      <c r="E621" s="280">
        <v>3</v>
      </c>
      <c r="F621" s="280" t="s">
        <v>1700</v>
      </c>
      <c r="G621" s="1679"/>
      <c r="H621" s="1571"/>
      <c r="I621" s="1571"/>
      <c r="J621" s="1571"/>
      <c r="K621" s="1571"/>
      <c r="L621" s="1577"/>
      <c r="M621" s="1681"/>
      <c r="N621" s="1577"/>
      <c r="O621" s="1571"/>
    </row>
    <row r="622" spans="1:15">
      <c r="A622" t="s">
        <v>2012</v>
      </c>
      <c r="B622" t="s">
        <v>1852</v>
      </c>
      <c r="C622" s="1577"/>
      <c r="D622" s="1581" t="s">
        <v>1954</v>
      </c>
      <c r="E622" s="280">
        <v>6</v>
      </c>
      <c r="F622" s="280" t="s">
        <v>761</v>
      </c>
      <c r="G622" s="1679"/>
      <c r="H622" s="1571"/>
      <c r="I622" s="1571"/>
      <c r="J622" s="1571"/>
      <c r="K622" s="1571"/>
      <c r="L622" s="1577"/>
      <c r="M622" s="1681"/>
      <c r="N622" s="1577"/>
      <c r="O622" s="1571"/>
    </row>
    <row r="623" spans="1:15">
      <c r="A623" t="s">
        <v>2012</v>
      </c>
      <c r="B623" t="s">
        <v>1852</v>
      </c>
      <c r="C623" s="1577"/>
      <c r="D623" s="1581" t="s">
        <v>178</v>
      </c>
      <c r="E623" s="280">
        <v>10</v>
      </c>
      <c r="F623" s="280" t="s">
        <v>2014</v>
      </c>
      <c r="G623" s="1679"/>
      <c r="H623" s="1571"/>
      <c r="I623" s="1571"/>
      <c r="J623" s="1571"/>
      <c r="K623" s="1571"/>
      <c r="L623" s="1577"/>
      <c r="M623" s="1681"/>
      <c r="N623" s="1577"/>
      <c r="O623" s="1571"/>
    </row>
    <row r="624" spans="1:15">
      <c r="A624" t="s">
        <v>2012</v>
      </c>
      <c r="B624" t="s">
        <v>1852</v>
      </c>
      <c r="C624" s="1577"/>
      <c r="D624" s="1581" t="s">
        <v>1955</v>
      </c>
      <c r="E624" s="280">
        <v>10</v>
      </c>
      <c r="F624" s="280" t="s">
        <v>761</v>
      </c>
      <c r="G624" s="1679"/>
      <c r="H624" s="1571"/>
      <c r="I624" s="1571"/>
      <c r="J624" s="1571"/>
      <c r="K624" s="1571"/>
      <c r="L624" s="1577"/>
      <c r="M624" s="1681"/>
      <c r="N624" s="1577"/>
      <c r="O624" s="1571"/>
    </row>
    <row r="625" spans="1:15">
      <c r="A625" t="s">
        <v>2012</v>
      </c>
      <c r="B625" t="s">
        <v>1852</v>
      </c>
      <c r="C625" s="1577"/>
      <c r="D625" s="1581" t="s">
        <v>1956</v>
      </c>
      <c r="E625" s="280">
        <v>2</v>
      </c>
      <c r="F625" s="280" t="s">
        <v>761</v>
      </c>
      <c r="G625" s="1679"/>
      <c r="H625" s="1571"/>
      <c r="I625" s="1571"/>
      <c r="J625" s="1571"/>
      <c r="K625" s="1571"/>
      <c r="L625" s="1577"/>
      <c r="M625" s="1681"/>
      <c r="N625" s="1577"/>
      <c r="O625" s="1571"/>
    </row>
    <row r="626" spans="1:15">
      <c r="A626" t="s">
        <v>2012</v>
      </c>
      <c r="B626" t="s">
        <v>1852</v>
      </c>
      <c r="C626" s="1577"/>
      <c r="D626" s="1581" t="s">
        <v>2015</v>
      </c>
      <c r="E626" s="280">
        <v>5</v>
      </c>
      <c r="F626" s="280" t="s">
        <v>1767</v>
      </c>
      <c r="G626" s="1679"/>
      <c r="H626" s="1571"/>
      <c r="I626" s="1571"/>
      <c r="J626" s="1571"/>
      <c r="K626" s="1571"/>
      <c r="L626" s="1577"/>
      <c r="M626" s="1689"/>
      <c r="N626" s="1577"/>
      <c r="O626" s="1571"/>
    </row>
    <row r="627" spans="1:15">
      <c r="A627" t="s">
        <v>2012</v>
      </c>
      <c r="B627" t="s">
        <v>1852</v>
      </c>
      <c r="C627" s="1577"/>
      <c r="D627" s="1581" t="s">
        <v>1957</v>
      </c>
      <c r="E627" s="280">
        <v>30</v>
      </c>
      <c r="F627" s="280" t="s">
        <v>1767</v>
      </c>
      <c r="G627" s="1679"/>
      <c r="H627" s="1571"/>
      <c r="I627" s="1571"/>
      <c r="J627" s="1571"/>
      <c r="K627" s="1571"/>
      <c r="L627" s="1577"/>
      <c r="M627" s="1689"/>
      <c r="N627" s="1577"/>
      <c r="O627" s="1571"/>
    </row>
    <row r="628" spans="1:15">
      <c r="A628" t="s">
        <v>2012</v>
      </c>
      <c r="B628" t="s">
        <v>1852</v>
      </c>
      <c r="C628" s="1577"/>
      <c r="D628" s="1581" t="s">
        <v>1958</v>
      </c>
      <c r="E628" s="280">
        <v>30</v>
      </c>
      <c r="F628" s="280" t="s">
        <v>1767</v>
      </c>
      <c r="G628" s="1679"/>
      <c r="H628" s="1571"/>
      <c r="I628" s="1571"/>
      <c r="J628" s="1571"/>
      <c r="K628" s="1571"/>
      <c r="L628" s="1577"/>
      <c r="M628" s="1689"/>
      <c r="N628" s="1577"/>
      <c r="O628" s="1571"/>
    </row>
    <row r="629" spans="1:15">
      <c r="A629" t="s">
        <v>2012</v>
      </c>
      <c r="B629" t="s">
        <v>1852</v>
      </c>
      <c r="C629" s="1577"/>
      <c r="D629" s="1581" t="s">
        <v>1959</v>
      </c>
      <c r="E629" s="280">
        <v>30</v>
      </c>
      <c r="F629" s="280" t="s">
        <v>1767</v>
      </c>
      <c r="G629" s="1679"/>
      <c r="H629" s="1571"/>
      <c r="I629" s="1571"/>
      <c r="J629" s="1571"/>
      <c r="K629" s="1571"/>
      <c r="L629" s="1577"/>
      <c r="M629" s="1689"/>
      <c r="N629" s="1577"/>
      <c r="O629" s="1571"/>
    </row>
    <row r="630" spans="1:15">
      <c r="A630" t="s">
        <v>2012</v>
      </c>
      <c r="B630" t="s">
        <v>1852</v>
      </c>
      <c r="C630" s="1577"/>
      <c r="D630" s="1581" t="s">
        <v>1960</v>
      </c>
      <c r="E630" s="280">
        <v>5</v>
      </c>
      <c r="F630" s="280" t="s">
        <v>1961</v>
      </c>
      <c r="G630" s="1679"/>
      <c r="H630" s="1571"/>
      <c r="I630" s="1571"/>
      <c r="J630" s="1571"/>
      <c r="K630" s="1571"/>
      <c r="L630" s="1577"/>
      <c r="M630" s="1689"/>
      <c r="N630" s="1577"/>
      <c r="O630" s="1571"/>
    </row>
    <row r="631" spans="1:15">
      <c r="A631" t="s">
        <v>2012</v>
      </c>
      <c r="B631" t="s">
        <v>1852</v>
      </c>
      <c r="C631" s="1577"/>
      <c r="D631" s="1581" t="s">
        <v>1962</v>
      </c>
      <c r="E631" s="280">
        <v>10</v>
      </c>
      <c r="F631" s="280" t="s">
        <v>1963</v>
      </c>
      <c r="G631" s="1679"/>
      <c r="H631" s="1571"/>
      <c r="I631" s="1571"/>
      <c r="J631" s="1571"/>
      <c r="K631" s="1571"/>
      <c r="L631" s="1577"/>
      <c r="M631" s="1689"/>
      <c r="N631" s="1577"/>
      <c r="O631" s="1571"/>
    </row>
    <row r="632" spans="1:15">
      <c r="A632" t="s">
        <v>2012</v>
      </c>
      <c r="B632" t="s">
        <v>1852</v>
      </c>
      <c r="C632" s="1577"/>
      <c r="D632" s="1581" t="s">
        <v>1964</v>
      </c>
      <c r="E632" s="280">
        <v>10</v>
      </c>
      <c r="F632" s="280" t="s">
        <v>1963</v>
      </c>
      <c r="G632" s="1679"/>
      <c r="H632" s="1571"/>
      <c r="I632" s="1571"/>
      <c r="J632" s="1571"/>
      <c r="K632" s="1571"/>
      <c r="L632" s="1577"/>
      <c r="M632" s="1689"/>
      <c r="N632" s="1577"/>
      <c r="O632" s="1571"/>
    </row>
    <row r="633" spans="1:15">
      <c r="A633" t="s">
        <v>2012</v>
      </c>
      <c r="B633" t="s">
        <v>1852</v>
      </c>
      <c r="C633" s="1577"/>
      <c r="D633" s="1581" t="s">
        <v>1965</v>
      </c>
      <c r="E633" s="280">
        <v>10</v>
      </c>
      <c r="F633" s="280" t="s">
        <v>1963</v>
      </c>
      <c r="G633" s="1679"/>
      <c r="H633" s="1571"/>
      <c r="I633" s="1571"/>
      <c r="J633" s="1571"/>
      <c r="K633" s="1571"/>
      <c r="L633" s="1577"/>
      <c r="M633" s="1689"/>
      <c r="N633" s="1577"/>
      <c r="O633" s="1571"/>
    </row>
    <row r="634" spans="1:15">
      <c r="A634" t="s">
        <v>2012</v>
      </c>
      <c r="B634" t="s">
        <v>1852</v>
      </c>
      <c r="C634" s="1577"/>
      <c r="D634" s="1581" t="s">
        <v>2016</v>
      </c>
      <c r="E634" s="280">
        <v>3</v>
      </c>
      <c r="F634" s="280" t="s">
        <v>1057</v>
      </c>
      <c r="G634" s="1679"/>
      <c r="H634" s="1571"/>
      <c r="I634" s="1571"/>
      <c r="J634" s="1571"/>
      <c r="K634" s="1571"/>
      <c r="L634" s="1577"/>
      <c r="M634" s="1689"/>
      <c r="N634" s="1577"/>
      <c r="O634" s="1571"/>
    </row>
    <row r="635" spans="1:15">
      <c r="A635" t="s">
        <v>2012</v>
      </c>
      <c r="B635" t="s">
        <v>1852</v>
      </c>
      <c r="C635" s="1577"/>
      <c r="D635" s="1581" t="s">
        <v>2017</v>
      </c>
      <c r="E635" s="280">
        <v>2</v>
      </c>
      <c r="F635" s="280" t="s">
        <v>761</v>
      </c>
      <c r="G635" s="1679"/>
      <c r="H635" s="1571"/>
      <c r="I635" s="1571"/>
      <c r="J635" s="1571"/>
      <c r="K635" s="1571"/>
      <c r="L635" s="1577"/>
      <c r="M635" s="1689"/>
      <c r="N635" s="1577"/>
      <c r="O635" s="1571"/>
    </row>
    <row r="636" spans="1:15">
      <c r="A636" t="s">
        <v>2012</v>
      </c>
      <c r="B636" t="s">
        <v>1852</v>
      </c>
      <c r="C636" s="1577"/>
      <c r="D636" s="1581" t="s">
        <v>1808</v>
      </c>
      <c r="E636" s="280">
        <v>12</v>
      </c>
      <c r="F636" s="280" t="s">
        <v>1967</v>
      </c>
      <c r="G636" s="1679"/>
      <c r="H636" s="1571"/>
      <c r="I636" s="1571"/>
      <c r="J636" s="1571"/>
      <c r="K636" s="1571"/>
      <c r="L636" s="1577"/>
      <c r="M636" s="1689"/>
      <c r="N636" s="1577"/>
      <c r="O636" s="1571"/>
    </row>
    <row r="637" spans="1:15">
      <c r="A637" t="s">
        <v>2012</v>
      </c>
      <c r="B637" t="s">
        <v>1852</v>
      </c>
      <c r="C637" s="1577"/>
      <c r="D637" s="1581" t="s">
        <v>1968</v>
      </c>
      <c r="E637" s="280">
        <v>50</v>
      </c>
      <c r="F637" s="280" t="s">
        <v>761</v>
      </c>
      <c r="G637" s="1679"/>
      <c r="H637" s="1571"/>
      <c r="I637" s="1571"/>
      <c r="J637" s="1571"/>
      <c r="K637" s="1571"/>
      <c r="L637" s="1577"/>
      <c r="M637" s="1689"/>
      <c r="N637" s="1577"/>
      <c r="O637" s="1571"/>
    </row>
    <row r="638" spans="1:15">
      <c r="A638" t="s">
        <v>2012</v>
      </c>
      <c r="B638" t="s">
        <v>1852</v>
      </c>
      <c r="C638" s="1577"/>
      <c r="D638" s="1581" t="s">
        <v>1969</v>
      </c>
      <c r="E638" s="280">
        <v>100</v>
      </c>
      <c r="F638" s="280" t="s">
        <v>761</v>
      </c>
      <c r="G638" s="1679"/>
      <c r="H638" s="1571"/>
      <c r="I638" s="1571"/>
      <c r="J638" s="1571"/>
      <c r="K638" s="1571"/>
      <c r="L638" s="1577"/>
      <c r="M638" s="1689"/>
      <c r="N638" s="1577"/>
      <c r="O638" s="1571"/>
    </row>
    <row r="639" spans="1:15">
      <c r="A639" t="s">
        <v>2012</v>
      </c>
      <c r="B639" t="s">
        <v>1852</v>
      </c>
      <c r="C639" s="1577"/>
      <c r="D639" s="1581" t="s">
        <v>1970</v>
      </c>
      <c r="E639" s="280">
        <v>30</v>
      </c>
      <c r="F639" s="280" t="s">
        <v>1793</v>
      </c>
      <c r="G639" s="1679"/>
      <c r="H639" s="1571"/>
      <c r="I639" s="1571"/>
      <c r="J639" s="1571"/>
      <c r="K639" s="1571"/>
      <c r="L639" s="1577"/>
      <c r="M639" s="1689"/>
      <c r="N639" s="1577"/>
      <c r="O639" s="1571"/>
    </row>
    <row r="640" spans="1:15">
      <c r="A640" t="s">
        <v>2012</v>
      </c>
      <c r="B640" t="s">
        <v>1852</v>
      </c>
      <c r="C640" s="1577"/>
      <c r="D640" s="1581" t="s">
        <v>1716</v>
      </c>
      <c r="E640" s="280">
        <v>30</v>
      </c>
      <c r="F640" s="280" t="s">
        <v>761</v>
      </c>
      <c r="G640" s="1679"/>
      <c r="H640" s="1571"/>
      <c r="I640" s="1571"/>
      <c r="J640" s="1571"/>
      <c r="K640" s="1571"/>
      <c r="L640" s="1577"/>
      <c r="M640" s="1689"/>
      <c r="N640" s="1577"/>
      <c r="O640" s="1571"/>
    </row>
    <row r="641" spans="1:15">
      <c r="A641" t="s">
        <v>2012</v>
      </c>
      <c r="B641" t="s">
        <v>1852</v>
      </c>
      <c r="C641" s="1577"/>
      <c r="D641" s="1581" t="s">
        <v>1971</v>
      </c>
      <c r="E641" s="280">
        <v>100</v>
      </c>
      <c r="F641" s="280" t="s">
        <v>1972</v>
      </c>
      <c r="G641" s="1679"/>
      <c r="H641" s="1571"/>
      <c r="I641" s="1571"/>
      <c r="J641" s="1571"/>
      <c r="K641" s="1571"/>
      <c r="L641" s="1577"/>
      <c r="M641" s="1689"/>
      <c r="N641" s="1577"/>
      <c r="O641" s="1571"/>
    </row>
    <row r="642" spans="1:15">
      <c r="A642" t="s">
        <v>2012</v>
      </c>
      <c r="B642" t="s">
        <v>1852</v>
      </c>
      <c r="C642" s="1577"/>
      <c r="D642" s="1581" t="s">
        <v>506</v>
      </c>
      <c r="E642" s="280">
        <v>50</v>
      </c>
      <c r="F642" s="280" t="s">
        <v>1967</v>
      </c>
      <c r="G642" s="1679"/>
      <c r="H642" s="1571"/>
      <c r="I642" s="1571"/>
      <c r="J642" s="1571"/>
      <c r="K642" s="1571"/>
      <c r="L642" s="1577"/>
      <c r="M642" s="1689"/>
      <c r="N642" s="1577"/>
      <c r="O642" s="1571"/>
    </row>
    <row r="643" spans="1:15">
      <c r="A643" t="s">
        <v>2012</v>
      </c>
      <c r="B643" t="s">
        <v>1852</v>
      </c>
      <c r="C643" s="1577"/>
      <c r="D643" s="1581" t="s">
        <v>2018</v>
      </c>
      <c r="E643" s="280">
        <v>20</v>
      </c>
      <c r="F643" s="280" t="s">
        <v>761</v>
      </c>
      <c r="G643" s="1679"/>
      <c r="H643" s="1571"/>
      <c r="I643" s="1571"/>
      <c r="J643" s="1571"/>
      <c r="K643" s="1571"/>
      <c r="L643" s="1577"/>
      <c r="M643" s="1689"/>
      <c r="N643" s="1577"/>
      <c r="O643" s="1571"/>
    </row>
    <row r="644" spans="1:15">
      <c r="A644" t="s">
        <v>2012</v>
      </c>
      <c r="B644" t="s">
        <v>1852</v>
      </c>
      <c r="C644" s="1577"/>
      <c r="D644" s="1581" t="s">
        <v>1718</v>
      </c>
      <c r="E644" s="280">
        <v>20</v>
      </c>
      <c r="F644" s="280" t="s">
        <v>761</v>
      </c>
      <c r="G644" s="1679"/>
      <c r="H644" s="1571"/>
      <c r="I644" s="1571"/>
      <c r="J644" s="1571"/>
      <c r="K644" s="1571"/>
      <c r="L644" s="1577"/>
      <c r="M644" s="1689"/>
      <c r="N644" s="1577"/>
      <c r="O644" s="1571"/>
    </row>
    <row r="645" spans="1:15">
      <c r="A645" t="s">
        <v>2012</v>
      </c>
      <c r="B645" t="s">
        <v>1852</v>
      </c>
      <c r="C645" s="1577"/>
      <c r="D645" s="1581" t="s">
        <v>1973</v>
      </c>
      <c r="E645" s="280">
        <v>6</v>
      </c>
      <c r="F645" s="280" t="s">
        <v>1967</v>
      </c>
      <c r="G645" s="1679"/>
      <c r="H645" s="1571"/>
      <c r="I645" s="1571"/>
      <c r="J645" s="1571"/>
      <c r="K645" s="1571"/>
      <c r="L645" s="1577"/>
      <c r="M645" s="1689"/>
      <c r="N645" s="1577"/>
      <c r="O645" s="1571"/>
    </row>
    <row r="646" spans="1:15">
      <c r="A646" t="s">
        <v>2012</v>
      </c>
      <c r="B646" t="s">
        <v>1852</v>
      </c>
      <c r="C646" s="1577"/>
      <c r="D646" s="1581" t="s">
        <v>1974</v>
      </c>
      <c r="E646" s="280">
        <v>20</v>
      </c>
      <c r="F646" s="280" t="s">
        <v>1967</v>
      </c>
      <c r="G646" s="1679"/>
      <c r="H646" s="1571"/>
      <c r="I646" s="1571"/>
      <c r="J646" s="1571"/>
      <c r="K646" s="1571"/>
      <c r="L646" s="1577"/>
      <c r="M646" s="1689"/>
      <c r="N646" s="1577"/>
      <c r="O646" s="1571"/>
    </row>
    <row r="647" spans="1:15">
      <c r="A647" t="s">
        <v>2012</v>
      </c>
      <c r="B647" t="s">
        <v>1852</v>
      </c>
      <c r="C647" s="1577"/>
      <c r="D647" s="1581" t="s">
        <v>1975</v>
      </c>
      <c r="E647" s="280">
        <v>30</v>
      </c>
      <c r="F647" s="280" t="s">
        <v>1793</v>
      </c>
      <c r="G647" s="1679"/>
      <c r="H647" s="1571"/>
      <c r="I647" s="1571"/>
      <c r="J647" s="1571"/>
      <c r="K647" s="1571"/>
      <c r="L647" s="1577"/>
      <c r="M647" s="1689"/>
      <c r="N647" s="1577"/>
      <c r="O647" s="1571"/>
    </row>
    <row r="648" spans="1:15">
      <c r="A648" t="s">
        <v>2012</v>
      </c>
      <c r="B648" t="s">
        <v>1852</v>
      </c>
      <c r="C648" s="1577"/>
      <c r="D648" s="1581" t="s">
        <v>1976</v>
      </c>
      <c r="E648" s="280">
        <v>20</v>
      </c>
      <c r="F648" s="280" t="s">
        <v>761</v>
      </c>
      <c r="G648" s="1679"/>
      <c r="H648" s="1571"/>
      <c r="I648" s="1571"/>
      <c r="J648" s="1571"/>
      <c r="K648" s="1571"/>
      <c r="L648" s="1577"/>
      <c r="M648" s="1689"/>
      <c r="N648" s="1577"/>
      <c r="O648" s="1571"/>
    </row>
    <row r="649" spans="1:15">
      <c r="A649" t="s">
        <v>2012</v>
      </c>
      <c r="B649" t="s">
        <v>1852</v>
      </c>
      <c r="C649" s="1577"/>
      <c r="D649" s="1581" t="s">
        <v>1977</v>
      </c>
      <c r="E649" s="280">
        <v>20</v>
      </c>
      <c r="F649" s="280" t="s">
        <v>761</v>
      </c>
      <c r="G649" s="1679"/>
      <c r="H649" s="1571"/>
      <c r="I649" s="1571"/>
      <c r="J649" s="1571"/>
      <c r="K649" s="1571"/>
      <c r="L649" s="1577"/>
      <c r="M649" s="1689"/>
      <c r="N649" s="1577"/>
      <c r="O649" s="1571"/>
    </row>
    <row r="650" spans="1:15">
      <c r="A650" t="s">
        <v>2012</v>
      </c>
      <c r="B650" t="s">
        <v>1852</v>
      </c>
      <c r="C650" s="1577"/>
      <c r="D650" s="1581" t="s">
        <v>1978</v>
      </c>
      <c r="E650" s="280">
        <v>15</v>
      </c>
      <c r="F650" s="280" t="s">
        <v>1841</v>
      </c>
      <c r="G650" s="1679"/>
      <c r="H650" s="1571"/>
      <c r="I650" s="1571"/>
      <c r="J650" s="1571"/>
      <c r="K650" s="1571"/>
      <c r="L650" s="1577"/>
      <c r="M650" s="1689"/>
      <c r="N650" s="1577"/>
      <c r="O650" s="1571"/>
    </row>
    <row r="651" spans="1:15">
      <c r="A651" t="s">
        <v>2012</v>
      </c>
      <c r="B651" t="s">
        <v>1852</v>
      </c>
      <c r="C651" s="1577"/>
      <c r="D651" s="1581" t="s">
        <v>1860</v>
      </c>
      <c r="E651" s="280">
        <v>10</v>
      </c>
      <c r="F651" s="280" t="s">
        <v>1700</v>
      </c>
      <c r="G651" s="1679"/>
      <c r="H651" s="1571"/>
      <c r="I651" s="1571"/>
      <c r="J651" s="1571"/>
      <c r="K651" s="1571"/>
      <c r="L651" s="1577"/>
      <c r="M651" s="1689"/>
      <c r="N651" s="1577"/>
      <c r="O651" s="1571"/>
    </row>
    <row r="652" spans="1:15">
      <c r="A652" t="s">
        <v>2012</v>
      </c>
      <c r="B652" t="s">
        <v>1852</v>
      </c>
      <c r="C652" s="1577"/>
      <c r="D652" s="1581" t="s">
        <v>2019</v>
      </c>
      <c r="E652" s="280">
        <v>2</v>
      </c>
      <c r="F652" s="280" t="s">
        <v>1700</v>
      </c>
      <c r="G652" s="1679"/>
      <c r="H652" s="1571"/>
      <c r="I652" s="1571"/>
      <c r="J652" s="1571"/>
      <c r="K652" s="1571"/>
      <c r="L652" s="1577"/>
      <c r="M652" s="1689"/>
      <c r="N652" s="1577"/>
      <c r="O652" s="1571"/>
    </row>
    <row r="653" spans="1:15">
      <c r="A653" t="s">
        <v>2012</v>
      </c>
      <c r="B653" t="s">
        <v>1852</v>
      </c>
      <c r="C653" s="1577"/>
      <c r="D653" s="1581" t="s">
        <v>2011</v>
      </c>
      <c r="E653" s="280">
        <v>2</v>
      </c>
      <c r="F653" s="280" t="s">
        <v>761</v>
      </c>
      <c r="G653" s="1679"/>
      <c r="H653" s="1571"/>
      <c r="I653" s="1571"/>
      <c r="J653" s="1571"/>
      <c r="K653" s="1571"/>
      <c r="L653" s="1577"/>
      <c r="M653" s="1689"/>
      <c r="N653" s="1577"/>
      <c r="O653" s="1571"/>
    </row>
    <row r="654" spans="1:15">
      <c r="A654" t="s">
        <v>2012</v>
      </c>
      <c r="B654" t="s">
        <v>1852</v>
      </c>
      <c r="C654" s="1577"/>
      <c r="D654" s="1581" t="s">
        <v>1790</v>
      </c>
      <c r="E654" s="280">
        <v>5</v>
      </c>
      <c r="F654" s="280">
        <v>180</v>
      </c>
      <c r="G654" s="1679"/>
      <c r="H654" s="1571"/>
      <c r="I654" s="1571"/>
      <c r="J654" s="1571"/>
      <c r="K654" s="1571"/>
      <c r="L654" s="1577"/>
      <c r="M654" s="1689"/>
      <c r="N654" s="1577"/>
      <c r="O654" s="1571"/>
    </row>
    <row r="655" spans="1:15">
      <c r="A655" t="s">
        <v>2012</v>
      </c>
      <c r="B655" t="s">
        <v>1852</v>
      </c>
      <c r="C655" s="1577"/>
      <c r="D655" s="1581" t="s">
        <v>1979</v>
      </c>
      <c r="E655" s="280">
        <v>50</v>
      </c>
      <c r="F655" s="280" t="s">
        <v>1841</v>
      </c>
      <c r="G655" s="1679"/>
      <c r="H655" s="1571"/>
      <c r="I655" s="1571"/>
      <c r="J655" s="1571"/>
      <c r="K655" s="1571"/>
      <c r="L655" s="1577"/>
      <c r="M655" s="1689"/>
      <c r="N655" s="1577"/>
      <c r="O655" s="1571"/>
    </row>
    <row r="656" spans="1:15">
      <c r="A656" t="s">
        <v>2012</v>
      </c>
      <c r="B656" t="s">
        <v>1852</v>
      </c>
      <c r="C656" s="1577"/>
      <c r="D656" s="1581" t="s">
        <v>1980</v>
      </c>
      <c r="E656" s="280">
        <v>100</v>
      </c>
      <c r="F656" s="280" t="s">
        <v>1841</v>
      </c>
      <c r="G656" s="1679"/>
      <c r="H656" s="1571"/>
      <c r="I656" s="1571"/>
      <c r="J656" s="1571"/>
      <c r="K656" s="1571"/>
      <c r="L656" s="1577"/>
      <c r="M656" s="1689"/>
      <c r="N656" s="1577"/>
      <c r="O656" s="1571"/>
    </row>
    <row r="657" spans="1:15">
      <c r="A657" t="s">
        <v>2012</v>
      </c>
      <c r="B657" t="s">
        <v>1852</v>
      </c>
      <c r="C657" s="1577"/>
      <c r="D657" s="1581" t="s">
        <v>1981</v>
      </c>
      <c r="E657" s="280">
        <v>30</v>
      </c>
      <c r="F657" s="280" t="s">
        <v>1793</v>
      </c>
      <c r="G657" s="1679"/>
      <c r="H657" s="1571"/>
      <c r="I657" s="1571"/>
      <c r="J657" s="1571"/>
      <c r="K657" s="1571"/>
      <c r="L657" s="1577"/>
      <c r="M657" s="1689"/>
      <c r="N657" s="1577"/>
      <c r="O657" s="1571"/>
    </row>
    <row r="658" spans="1:15">
      <c r="A658" t="s">
        <v>2012</v>
      </c>
      <c r="B658" t="s">
        <v>1852</v>
      </c>
      <c r="C658" s="1577"/>
      <c r="D658" s="1581" t="s">
        <v>1982</v>
      </c>
      <c r="E658" s="280">
        <v>10</v>
      </c>
      <c r="F658" s="280" t="s">
        <v>1967</v>
      </c>
      <c r="G658" s="1679"/>
      <c r="H658" s="1571"/>
      <c r="I658" s="1571"/>
      <c r="J658" s="1571"/>
      <c r="K658" s="1571"/>
      <c r="L658" s="1577"/>
      <c r="M658" s="1689"/>
      <c r="N658" s="1577"/>
      <c r="O658" s="1571"/>
    </row>
    <row r="659" spans="1:15">
      <c r="A659" t="s">
        <v>2012</v>
      </c>
      <c r="B659" t="s">
        <v>1852</v>
      </c>
      <c r="C659" s="1577"/>
      <c r="D659" s="1581" t="s">
        <v>188</v>
      </c>
      <c r="E659" s="280">
        <v>2</v>
      </c>
      <c r="F659" s="280" t="s">
        <v>1793</v>
      </c>
      <c r="G659" s="1679"/>
      <c r="H659" s="1571"/>
      <c r="I659" s="1571"/>
      <c r="J659" s="1571"/>
      <c r="K659" s="1571"/>
      <c r="L659" s="1577"/>
      <c r="M659" s="1689"/>
      <c r="N659" s="1577"/>
      <c r="O659" s="1571"/>
    </row>
    <row r="660" spans="1:15">
      <c r="A660" t="s">
        <v>2012</v>
      </c>
      <c r="B660" t="s">
        <v>1852</v>
      </c>
      <c r="C660" s="1577"/>
      <c r="D660" s="1581" t="s">
        <v>1984</v>
      </c>
      <c r="E660" s="280">
        <v>10</v>
      </c>
      <c r="F660" s="280" t="s">
        <v>761</v>
      </c>
      <c r="G660" s="1679"/>
      <c r="H660" s="1571"/>
      <c r="I660" s="1571"/>
      <c r="J660" s="1571"/>
      <c r="K660" s="1571"/>
      <c r="L660" s="1577"/>
      <c r="M660" s="1689"/>
      <c r="N660" s="1577"/>
      <c r="O660" s="1571"/>
    </row>
    <row r="661" spans="1:15">
      <c r="A661" t="s">
        <v>2012</v>
      </c>
      <c r="B661" t="s">
        <v>1852</v>
      </c>
      <c r="C661" s="1577"/>
      <c r="D661" s="1581" t="s">
        <v>2020</v>
      </c>
      <c r="E661" s="280">
        <v>2</v>
      </c>
      <c r="F661" s="280" t="s">
        <v>1051</v>
      </c>
      <c r="G661" s="1679"/>
      <c r="H661" s="1571"/>
      <c r="I661" s="1571"/>
      <c r="J661" s="1571"/>
      <c r="K661" s="1571"/>
      <c r="L661" s="1577"/>
      <c r="M661" s="1689"/>
      <c r="N661" s="1577"/>
      <c r="O661" s="1571"/>
    </row>
    <row r="662" spans="1:15">
      <c r="A662" t="s">
        <v>2012</v>
      </c>
      <c r="B662" t="s">
        <v>1852</v>
      </c>
      <c r="C662" s="1577"/>
      <c r="D662" s="1581" t="s">
        <v>1987</v>
      </c>
      <c r="E662" s="280">
        <v>5</v>
      </c>
      <c r="F662" s="280" t="s">
        <v>1841</v>
      </c>
      <c r="G662" s="1679"/>
      <c r="H662" s="1571"/>
      <c r="I662" s="1571"/>
      <c r="J662" s="1571"/>
      <c r="K662" s="1571"/>
      <c r="L662" s="1577"/>
      <c r="M662" s="1689"/>
      <c r="N662" s="1577"/>
      <c r="O662" s="1571"/>
    </row>
    <row r="663" spans="1:15">
      <c r="A663" t="s">
        <v>2012</v>
      </c>
      <c r="B663" t="s">
        <v>1852</v>
      </c>
      <c r="C663" s="1577"/>
      <c r="D663" s="1581" t="s">
        <v>1988</v>
      </c>
      <c r="E663" s="280">
        <v>10</v>
      </c>
      <c r="F663" s="280" t="s">
        <v>1989</v>
      </c>
      <c r="G663" s="1679"/>
      <c r="H663" s="1571"/>
      <c r="I663" s="1571"/>
      <c r="J663" s="1571"/>
      <c r="K663" s="1571"/>
      <c r="L663" s="1577"/>
      <c r="M663" s="1689"/>
      <c r="N663" s="1577"/>
      <c r="O663" s="1571"/>
    </row>
    <row r="664" spans="1:15">
      <c r="A664" t="s">
        <v>2012</v>
      </c>
      <c r="B664" t="s">
        <v>1852</v>
      </c>
      <c r="C664" s="1577"/>
      <c r="D664" s="1581" t="s">
        <v>1991</v>
      </c>
      <c r="E664" s="280">
        <v>20</v>
      </c>
      <c r="F664" s="280" t="s">
        <v>1636</v>
      </c>
      <c r="G664" s="1679"/>
      <c r="H664" s="1571"/>
      <c r="I664" s="1571"/>
      <c r="J664" s="1571"/>
      <c r="K664" s="1571"/>
      <c r="L664" s="1577"/>
      <c r="M664" s="1689"/>
      <c r="N664" s="1577"/>
      <c r="O664" s="1571"/>
    </row>
    <row r="665" spans="1:15">
      <c r="A665" t="s">
        <v>2012</v>
      </c>
      <c r="B665" t="s">
        <v>1852</v>
      </c>
      <c r="C665" s="1577"/>
      <c r="D665" s="1581" t="s">
        <v>1836</v>
      </c>
      <c r="E665" s="280">
        <v>100</v>
      </c>
      <c r="F665" s="280" t="s">
        <v>761</v>
      </c>
      <c r="G665" s="1679"/>
      <c r="H665" s="1571"/>
      <c r="I665" s="1571"/>
      <c r="J665" s="1571"/>
      <c r="K665" s="1571"/>
      <c r="L665" s="1577"/>
      <c r="M665" s="1689"/>
      <c r="N665" s="1577"/>
      <c r="O665" s="1571"/>
    </row>
    <row r="666" spans="1:15">
      <c r="A666" t="s">
        <v>2012</v>
      </c>
      <c r="B666" t="s">
        <v>1852</v>
      </c>
      <c r="C666" s="1577"/>
      <c r="D666" s="1581" t="s">
        <v>2021</v>
      </c>
      <c r="E666" s="280">
        <v>150</v>
      </c>
      <c r="F666" s="280" t="s">
        <v>761</v>
      </c>
      <c r="G666" s="1679"/>
      <c r="H666" s="1571"/>
      <c r="I666" s="1571"/>
      <c r="J666" s="1571"/>
      <c r="K666" s="1571"/>
      <c r="L666" s="1577"/>
      <c r="M666" s="1689"/>
      <c r="N666" s="1577"/>
      <c r="O666" s="1571"/>
    </row>
    <row r="667" spans="1:15">
      <c r="A667" t="s">
        <v>2012</v>
      </c>
      <c r="B667" t="s">
        <v>1852</v>
      </c>
      <c r="C667" s="1577"/>
      <c r="D667" s="1581" t="s">
        <v>1992</v>
      </c>
      <c r="E667" s="280">
        <v>300</v>
      </c>
      <c r="F667" s="280" t="s">
        <v>761</v>
      </c>
      <c r="G667" s="1679"/>
      <c r="H667" s="1571"/>
      <c r="I667" s="1571"/>
      <c r="J667" s="1571"/>
      <c r="K667" s="1571"/>
      <c r="L667" s="1577"/>
      <c r="M667" s="1689"/>
      <c r="N667" s="1577"/>
      <c r="O667" s="1571"/>
    </row>
    <row r="668" spans="1:15">
      <c r="A668" t="s">
        <v>2012</v>
      </c>
      <c r="B668" t="s">
        <v>1852</v>
      </c>
      <c r="C668" s="1577"/>
      <c r="D668" s="1581" t="s">
        <v>1993</v>
      </c>
      <c r="E668" s="280">
        <v>40</v>
      </c>
      <c r="F668" s="280" t="s">
        <v>1636</v>
      </c>
      <c r="G668" s="1679"/>
      <c r="H668" s="1571"/>
      <c r="I668" s="1571"/>
      <c r="J668" s="1571"/>
      <c r="K668" s="1571"/>
      <c r="L668" s="1577"/>
      <c r="M668" s="1689"/>
      <c r="N668" s="1577"/>
      <c r="O668" s="1571"/>
    </row>
    <row r="669" spans="1:15">
      <c r="A669" t="s">
        <v>2012</v>
      </c>
      <c r="B669" t="s">
        <v>1852</v>
      </c>
      <c r="C669" s="1577"/>
      <c r="D669" s="1581" t="s">
        <v>2011</v>
      </c>
      <c r="E669" s="280">
        <v>2</v>
      </c>
      <c r="F669" s="280" t="s">
        <v>761</v>
      </c>
      <c r="G669" s="1679"/>
      <c r="H669" s="1571"/>
      <c r="I669" s="1571"/>
      <c r="J669" s="1571"/>
      <c r="K669" s="1571"/>
      <c r="L669" s="1577"/>
      <c r="M669" s="1689"/>
      <c r="N669" s="1577"/>
      <c r="O669" s="1571"/>
    </row>
    <row r="670" spans="1:15">
      <c r="A670" t="s">
        <v>2012</v>
      </c>
      <c r="B670" t="s">
        <v>1852</v>
      </c>
      <c r="C670" s="1577"/>
      <c r="D670" s="1581" t="s">
        <v>2022</v>
      </c>
      <c r="E670" s="280">
        <v>20</v>
      </c>
      <c r="F670" s="280" t="s">
        <v>1841</v>
      </c>
      <c r="G670" s="1679"/>
      <c r="H670" s="1571"/>
      <c r="I670" s="1571"/>
      <c r="J670" s="1571"/>
      <c r="K670" s="1571"/>
      <c r="L670" s="1577"/>
      <c r="M670" s="1689"/>
      <c r="N670" s="1577"/>
      <c r="O670" s="1571"/>
    </row>
    <row r="671" spans="1:15">
      <c r="A671" t="s">
        <v>2012</v>
      </c>
      <c r="B671" t="s">
        <v>1852</v>
      </c>
      <c r="C671" s="1577"/>
      <c r="D671" s="1581" t="s">
        <v>1996</v>
      </c>
      <c r="E671" s="280">
        <v>30</v>
      </c>
      <c r="F671" s="280" t="s">
        <v>1841</v>
      </c>
      <c r="G671" s="1679"/>
      <c r="H671" s="1571"/>
      <c r="I671" s="1571"/>
      <c r="J671" s="1571"/>
      <c r="K671" s="1571"/>
      <c r="L671" s="1577"/>
      <c r="M671" s="1689"/>
      <c r="N671" s="1577"/>
      <c r="O671" s="1571"/>
    </row>
    <row r="672" spans="1:15">
      <c r="A672" t="s">
        <v>2012</v>
      </c>
      <c r="B672" t="s">
        <v>1852</v>
      </c>
      <c r="C672" s="1577"/>
      <c r="D672" s="1581" t="s">
        <v>1816</v>
      </c>
      <c r="E672" s="280">
        <v>15</v>
      </c>
      <c r="F672" s="280" t="s">
        <v>1793</v>
      </c>
      <c r="G672" s="1679"/>
      <c r="H672" s="1571"/>
      <c r="I672" s="1571"/>
      <c r="J672" s="1571"/>
      <c r="K672" s="1571"/>
      <c r="L672" s="1577"/>
      <c r="M672" s="1689"/>
      <c r="N672" s="1577"/>
      <c r="O672" s="1571"/>
    </row>
    <row r="673" spans="1:15">
      <c r="A673" t="s">
        <v>2012</v>
      </c>
      <c r="B673" t="s">
        <v>1852</v>
      </c>
      <c r="C673" s="1577"/>
      <c r="D673" s="1581" t="s">
        <v>1997</v>
      </c>
      <c r="E673" s="280">
        <v>2</v>
      </c>
      <c r="F673" s="280" t="s">
        <v>761</v>
      </c>
      <c r="G673" s="1679"/>
      <c r="H673" s="1571"/>
      <c r="I673" s="1571"/>
      <c r="J673" s="1571"/>
      <c r="K673" s="1571"/>
      <c r="L673" s="1577"/>
      <c r="M673" s="1689"/>
      <c r="N673" s="1577"/>
      <c r="O673" s="1571"/>
    </row>
    <row r="674" spans="1:15">
      <c r="A674" t="s">
        <v>2012</v>
      </c>
      <c r="B674" t="s">
        <v>1852</v>
      </c>
      <c r="C674" s="1577"/>
      <c r="D674" s="1581" t="s">
        <v>1998</v>
      </c>
      <c r="E674" s="280">
        <v>20</v>
      </c>
      <c r="F674" s="280" t="s">
        <v>761</v>
      </c>
      <c r="G674" s="1679"/>
      <c r="H674" s="1571"/>
      <c r="I674" s="1571"/>
      <c r="J674" s="1571"/>
      <c r="K674" s="1571"/>
      <c r="L674" s="1577"/>
      <c r="M674" s="1689"/>
      <c r="N674" s="1577"/>
      <c r="O674" s="1571"/>
    </row>
    <row r="675" spans="1:15">
      <c r="A675" t="s">
        <v>2012</v>
      </c>
      <c r="B675" t="s">
        <v>1852</v>
      </c>
      <c r="C675" s="1577"/>
      <c r="D675" s="1581" t="s">
        <v>1999</v>
      </c>
      <c r="E675" s="280">
        <v>5</v>
      </c>
      <c r="F675" s="280" t="s">
        <v>1841</v>
      </c>
      <c r="G675" s="1679"/>
      <c r="H675" s="1571"/>
      <c r="I675" s="1571"/>
      <c r="J675" s="1571"/>
      <c r="K675" s="1571"/>
      <c r="L675" s="1577"/>
      <c r="M675" s="1689"/>
      <c r="N675" s="1577"/>
      <c r="O675" s="1571"/>
    </row>
    <row r="676" spans="1:15">
      <c r="A676" t="s">
        <v>2012</v>
      </c>
      <c r="B676" t="s">
        <v>1852</v>
      </c>
      <c r="C676" s="1577"/>
      <c r="D676" s="1581" t="s">
        <v>2023</v>
      </c>
      <c r="E676" s="280">
        <v>10</v>
      </c>
      <c r="F676" s="280" t="s">
        <v>2001</v>
      </c>
      <c r="G676" s="1679"/>
      <c r="H676" s="1571"/>
      <c r="I676" s="1571"/>
      <c r="J676" s="1571"/>
      <c r="K676" s="1571"/>
      <c r="L676" s="1577"/>
      <c r="M676" s="1689"/>
      <c r="N676" s="1577"/>
      <c r="O676" s="1571"/>
    </row>
    <row r="677" spans="1:15">
      <c r="A677" t="s">
        <v>2012</v>
      </c>
      <c r="B677" t="s">
        <v>1852</v>
      </c>
      <c r="C677" s="1577"/>
      <c r="D677" s="1581" t="s">
        <v>2002</v>
      </c>
      <c r="E677" s="280">
        <v>30</v>
      </c>
      <c r="F677" s="280" t="s">
        <v>1967</v>
      </c>
      <c r="G677" s="1679"/>
      <c r="H677" s="1571"/>
      <c r="I677" s="1571"/>
      <c r="J677" s="1571"/>
      <c r="K677" s="1571"/>
      <c r="L677" s="1577"/>
      <c r="M677" s="1689"/>
      <c r="N677" s="1577"/>
      <c r="O677" s="1571"/>
    </row>
    <row r="678" spans="1:15">
      <c r="A678" t="s">
        <v>2012</v>
      </c>
      <c r="B678" t="s">
        <v>1852</v>
      </c>
      <c r="C678" s="1577"/>
      <c r="D678" s="1581" t="s">
        <v>2003</v>
      </c>
      <c r="E678" s="280">
        <v>10</v>
      </c>
      <c r="F678" s="280" t="s">
        <v>1700</v>
      </c>
      <c r="G678" s="1679"/>
      <c r="H678" s="1571"/>
      <c r="I678" s="1571"/>
      <c r="J678" s="1571"/>
      <c r="K678" s="1571"/>
      <c r="L678" s="1577"/>
      <c r="M678" s="1681"/>
      <c r="N678" s="1577"/>
      <c r="O678" s="1571"/>
    </row>
    <row r="679" spans="1:15">
      <c r="A679" t="s">
        <v>2012</v>
      </c>
      <c r="B679" t="s">
        <v>1852</v>
      </c>
      <c r="C679" s="1577"/>
      <c r="D679" s="1581" t="s">
        <v>2004</v>
      </c>
      <c r="E679" s="280">
        <v>30</v>
      </c>
      <c r="F679" s="280" t="s">
        <v>761</v>
      </c>
      <c r="G679" s="1679"/>
      <c r="H679" s="1571"/>
      <c r="I679" s="1571"/>
      <c r="J679" s="1571"/>
      <c r="K679" s="1571"/>
      <c r="L679" s="1577"/>
      <c r="M679" s="1681"/>
      <c r="N679" s="1577"/>
      <c r="O679" s="1571"/>
    </row>
    <row r="680" spans="1:15">
      <c r="A680" t="s">
        <v>2012</v>
      </c>
      <c r="B680" t="s">
        <v>1852</v>
      </c>
      <c r="C680" s="1577"/>
      <c r="D680" s="1581" t="s">
        <v>2005</v>
      </c>
      <c r="E680" s="280">
        <v>30</v>
      </c>
      <c r="F680" s="280" t="s">
        <v>761</v>
      </c>
      <c r="G680" s="1679"/>
      <c r="H680" s="1571"/>
      <c r="I680" s="1571"/>
      <c r="J680" s="1571"/>
      <c r="K680" s="1571"/>
      <c r="L680" s="1577"/>
      <c r="M680" s="1681"/>
      <c r="N680" s="1577"/>
      <c r="O680" s="1571"/>
    </row>
    <row r="681" spans="1:15">
      <c r="A681" t="s">
        <v>2012</v>
      </c>
      <c r="B681" t="s">
        <v>1852</v>
      </c>
      <c r="C681" s="1577"/>
      <c r="D681" s="1581" t="s">
        <v>2006</v>
      </c>
      <c r="E681" s="280">
        <v>1</v>
      </c>
      <c r="F681" s="280" t="s">
        <v>1841</v>
      </c>
      <c r="G681" s="1679"/>
      <c r="H681" s="1571"/>
      <c r="I681" s="1571"/>
      <c r="J681" s="1571"/>
      <c r="K681" s="1571"/>
      <c r="L681" s="1577"/>
      <c r="M681" s="1681"/>
      <c r="N681" s="1577"/>
      <c r="O681" s="1571"/>
    </row>
    <row r="682" spans="1:15">
      <c r="A682" t="s">
        <v>2012</v>
      </c>
      <c r="B682" t="s">
        <v>1852</v>
      </c>
      <c r="C682" s="1577"/>
      <c r="D682" s="1581" t="s">
        <v>2007</v>
      </c>
      <c r="E682" s="280">
        <v>5</v>
      </c>
      <c r="F682" s="280" t="s">
        <v>1961</v>
      </c>
      <c r="G682" s="1679"/>
      <c r="H682" s="1571"/>
      <c r="I682" s="1571"/>
      <c r="J682" s="1571"/>
      <c r="K682" s="1571"/>
      <c r="L682" s="1577"/>
      <c r="M682" s="1681"/>
      <c r="N682" s="1577"/>
      <c r="O682" s="1571"/>
    </row>
    <row r="686" spans="1:15" ht="40.5" customHeight="1">
      <c r="A686" s="438" t="s">
        <v>2090</v>
      </c>
      <c r="B686" s="342" t="s">
        <v>1852</v>
      </c>
      <c r="C686" s="1574" t="s">
        <v>1763</v>
      </c>
      <c r="D686" s="242" t="s">
        <v>2</v>
      </c>
      <c r="E686" s="1684"/>
      <c r="F686" s="1571" t="s">
        <v>1764</v>
      </c>
      <c r="G686" s="1571" t="s">
        <v>1</v>
      </c>
      <c r="H686" s="1672" t="s">
        <v>701</v>
      </c>
      <c r="I686" s="1672" t="s">
        <v>653</v>
      </c>
      <c r="J686" s="1672" t="s">
        <v>653</v>
      </c>
      <c r="K686" s="1565" t="s">
        <v>748</v>
      </c>
      <c r="L686" s="1673">
        <v>35000</v>
      </c>
      <c r="M686" s="1533" t="s">
        <v>1765</v>
      </c>
      <c r="N686" s="1565" t="s">
        <v>703</v>
      </c>
    </row>
    <row r="687" spans="1:15" ht="27">
      <c r="A687" s="438" t="s">
        <v>2090</v>
      </c>
      <c r="B687" s="342" t="s">
        <v>1852</v>
      </c>
      <c r="C687" s="1571" t="s">
        <v>704</v>
      </c>
      <c r="D687" s="1581" t="s">
        <v>2091</v>
      </c>
      <c r="E687" s="280">
        <v>50</v>
      </c>
      <c r="F687" s="280" t="s">
        <v>1747</v>
      </c>
      <c r="G687" s="1561"/>
      <c r="H687" s="1577"/>
      <c r="I687" s="1578"/>
      <c r="J687" s="1571"/>
      <c r="K687" s="1579"/>
      <c r="L687" s="1577"/>
      <c r="M687" s="1674"/>
      <c r="N687" s="1580"/>
      <c r="O687" s="1577"/>
    </row>
    <row r="688" spans="1:15" ht="27">
      <c r="A688" s="438" t="s">
        <v>2090</v>
      </c>
      <c r="B688" s="342" t="s">
        <v>1852</v>
      </c>
      <c r="C688" s="1577"/>
      <c r="D688" s="1581" t="s">
        <v>2076</v>
      </c>
      <c r="E688" s="280">
        <v>15</v>
      </c>
      <c r="F688" s="280" t="s">
        <v>761</v>
      </c>
      <c r="G688" s="1561"/>
      <c r="H688" s="1577"/>
      <c r="I688" s="1578"/>
      <c r="J688" s="1571"/>
      <c r="K688" s="1579"/>
      <c r="L688" s="1577"/>
      <c r="M688" s="1674"/>
      <c r="N688" s="1580"/>
      <c r="O688" s="1577"/>
    </row>
    <row r="689" spans="1:15" ht="27">
      <c r="A689" s="438" t="s">
        <v>2090</v>
      </c>
      <c r="B689" s="342" t="s">
        <v>1852</v>
      </c>
      <c r="C689" s="1577"/>
      <c r="D689" s="1581" t="s">
        <v>2092</v>
      </c>
      <c r="E689" s="280">
        <v>20</v>
      </c>
      <c r="F689" s="280" t="s">
        <v>761</v>
      </c>
      <c r="G689" s="1561"/>
      <c r="H689" s="1577"/>
      <c r="I689" s="1578"/>
      <c r="J689" s="1571"/>
      <c r="K689" s="1579"/>
      <c r="L689" s="1577"/>
      <c r="M689" s="1674"/>
      <c r="N689" s="1580"/>
      <c r="O689" s="1577"/>
    </row>
    <row r="690" spans="1:15" ht="27">
      <c r="A690" s="438" t="s">
        <v>2090</v>
      </c>
      <c r="B690" s="342" t="s">
        <v>1852</v>
      </c>
      <c r="C690" s="1561"/>
      <c r="D690" s="1581" t="s">
        <v>2093</v>
      </c>
      <c r="E690" s="280">
        <v>15</v>
      </c>
      <c r="F690" s="280" t="s">
        <v>761</v>
      </c>
      <c r="G690" s="1561"/>
      <c r="H690" s="1561"/>
      <c r="I690" s="1562"/>
      <c r="J690" s="1562"/>
      <c r="K690" s="1582"/>
      <c r="L690" s="1561"/>
      <c r="M690" s="1674"/>
      <c r="N690" s="1561"/>
      <c r="O690" s="1561"/>
    </row>
    <row r="691" spans="1:15" ht="27">
      <c r="A691" s="438" t="s">
        <v>2090</v>
      </c>
      <c r="B691" s="342" t="s">
        <v>1852</v>
      </c>
      <c r="C691" s="1561"/>
      <c r="D691" s="1581" t="s">
        <v>2094</v>
      </c>
      <c r="E691" s="280">
        <v>15</v>
      </c>
      <c r="F691" s="280" t="s">
        <v>1057</v>
      </c>
      <c r="G691" s="1561"/>
      <c r="H691" s="1561"/>
      <c r="I691" s="1562"/>
      <c r="J691" s="1562"/>
      <c r="K691" s="1582"/>
      <c r="L691" s="1561" t="s">
        <v>111</v>
      </c>
      <c r="M691" s="1674"/>
      <c r="N691" s="1561"/>
      <c r="O691" s="1561"/>
    </row>
    <row r="692" spans="1:15" ht="27">
      <c r="A692" s="438" t="s">
        <v>2090</v>
      </c>
      <c r="B692" s="342" t="s">
        <v>1852</v>
      </c>
      <c r="C692" s="1561"/>
      <c r="D692" s="1581" t="s">
        <v>1492</v>
      </c>
      <c r="E692" s="280">
        <v>10</v>
      </c>
      <c r="F692" s="280" t="s">
        <v>1057</v>
      </c>
      <c r="G692" s="1561"/>
      <c r="H692" s="1561"/>
      <c r="I692" s="1562"/>
      <c r="J692" s="1562"/>
      <c r="K692" s="1582"/>
      <c r="L692" s="1561"/>
      <c r="M692" s="1674"/>
      <c r="N692" s="1561"/>
      <c r="O692" s="1561"/>
    </row>
    <row r="693" spans="1:15" ht="27">
      <c r="A693" s="438" t="s">
        <v>2090</v>
      </c>
      <c r="B693" s="342" t="s">
        <v>1852</v>
      </c>
      <c r="C693" s="1561"/>
      <c r="D693" s="1581" t="s">
        <v>2095</v>
      </c>
      <c r="E693" s="280">
        <v>6</v>
      </c>
      <c r="F693" s="280" t="s">
        <v>1057</v>
      </c>
      <c r="G693" s="1561"/>
      <c r="H693" s="1561"/>
      <c r="I693" s="1583"/>
      <c r="J693" s="1562"/>
      <c r="K693" s="1582"/>
      <c r="L693" s="1561"/>
      <c r="M693" s="1674"/>
      <c r="N693" s="1561"/>
      <c r="O693" s="1561"/>
    </row>
    <row r="694" spans="1:15" ht="27">
      <c r="A694" s="438" t="s">
        <v>2090</v>
      </c>
      <c r="B694" s="342" t="s">
        <v>1852</v>
      </c>
      <c r="C694" s="1561"/>
      <c r="D694" s="1581" t="s">
        <v>2096</v>
      </c>
      <c r="E694" s="280">
        <v>2</v>
      </c>
      <c r="F694" s="280" t="s">
        <v>1636</v>
      </c>
      <c r="G694" s="1561"/>
      <c r="H694" s="1561"/>
      <c r="I694" s="1579"/>
      <c r="J694" s="1579"/>
      <c r="K694" s="1579"/>
      <c r="L694" s="1675"/>
      <c r="M694" s="1674"/>
      <c r="N694" s="1561"/>
      <c r="O694" s="1561"/>
    </row>
    <row r="695" spans="1:15" ht="27">
      <c r="A695" s="438" t="s">
        <v>2090</v>
      </c>
      <c r="B695" s="342" t="s">
        <v>1852</v>
      </c>
      <c r="C695" s="1561"/>
      <c r="D695" s="1581" t="s">
        <v>2097</v>
      </c>
      <c r="E695" s="280">
        <v>2</v>
      </c>
      <c r="F695" s="280" t="s">
        <v>1636</v>
      </c>
      <c r="G695" s="1561"/>
      <c r="H695" s="1561"/>
      <c r="I695" s="1579"/>
      <c r="J695" s="1579"/>
      <c r="K695" s="1579"/>
      <c r="L695" s="1561"/>
      <c r="M695" s="1674"/>
      <c r="N695" s="1561"/>
      <c r="O695" s="1561"/>
    </row>
    <row r="696" spans="1:15" ht="27">
      <c r="A696" s="438" t="s">
        <v>2090</v>
      </c>
      <c r="B696" s="342" t="s">
        <v>1852</v>
      </c>
      <c r="C696" s="1561"/>
      <c r="D696" s="1581" t="s">
        <v>2098</v>
      </c>
      <c r="E696" s="280">
        <v>2</v>
      </c>
      <c r="F696" s="280" t="s">
        <v>1636</v>
      </c>
      <c r="G696" s="1561"/>
      <c r="H696" s="1561"/>
      <c r="I696" s="1579"/>
      <c r="J696" s="1579"/>
      <c r="K696" s="1579"/>
      <c r="L696" s="1561"/>
      <c r="M696" s="1674"/>
      <c r="N696" s="1561"/>
      <c r="O696" s="1561"/>
    </row>
    <row r="697" spans="1:15" ht="27">
      <c r="A697" s="438" t="s">
        <v>2090</v>
      </c>
      <c r="B697" s="342" t="s">
        <v>1852</v>
      </c>
      <c r="C697" s="1561"/>
      <c r="D697" s="1581" t="s">
        <v>2099</v>
      </c>
      <c r="E697" s="280">
        <v>2</v>
      </c>
      <c r="F697" s="280" t="s">
        <v>1057</v>
      </c>
      <c r="G697" s="1561"/>
      <c r="H697" s="1561"/>
      <c r="I697" s="1583"/>
      <c r="J697" s="1562"/>
      <c r="K697" s="1582"/>
      <c r="L697" s="1561"/>
      <c r="M697" s="1674"/>
      <c r="N697" s="1561"/>
      <c r="O697" s="1561"/>
    </row>
    <row r="698" spans="1:15" ht="27">
      <c r="A698" s="438" t="s">
        <v>2090</v>
      </c>
      <c r="B698" s="342" t="s">
        <v>1852</v>
      </c>
      <c r="C698" s="1561"/>
      <c r="D698" s="1581" t="s">
        <v>2100</v>
      </c>
      <c r="E698" s="280">
        <v>5</v>
      </c>
      <c r="F698" s="280" t="s">
        <v>1057</v>
      </c>
      <c r="G698" s="1561"/>
      <c r="H698" s="1561"/>
      <c r="I698" s="1579"/>
      <c r="J698" s="1579"/>
      <c r="K698" s="1579"/>
      <c r="L698" s="1561"/>
      <c r="M698" s="1674"/>
      <c r="N698" s="1561"/>
      <c r="O698" s="1561"/>
    </row>
    <row r="699" spans="1:15" ht="27">
      <c r="A699" s="438" t="s">
        <v>2090</v>
      </c>
      <c r="B699" s="342" t="s">
        <v>1852</v>
      </c>
      <c r="C699" s="1561"/>
      <c r="D699" s="1676" t="s">
        <v>2101</v>
      </c>
      <c r="E699" s="280">
        <v>2</v>
      </c>
      <c r="F699" s="280" t="s">
        <v>1057</v>
      </c>
      <c r="G699" s="1561"/>
      <c r="H699" s="1561"/>
      <c r="I699" s="1562"/>
      <c r="J699" s="1562"/>
      <c r="K699" s="1582"/>
      <c r="L699" s="1561"/>
      <c r="M699" s="1674"/>
      <c r="N699" s="1561"/>
      <c r="O699" s="1561"/>
    </row>
    <row r="700" spans="1:15" ht="27">
      <c r="A700" s="438" t="s">
        <v>2090</v>
      </c>
      <c r="B700" s="342" t="s">
        <v>1852</v>
      </c>
      <c r="C700" s="1561"/>
      <c r="D700" s="1581" t="s">
        <v>2102</v>
      </c>
      <c r="E700" s="280">
        <v>2</v>
      </c>
      <c r="F700" s="280" t="s">
        <v>1057</v>
      </c>
      <c r="G700" s="1561"/>
      <c r="H700" s="1561"/>
      <c r="I700" s="1583"/>
      <c r="J700" s="1562"/>
      <c r="K700" s="1582"/>
      <c r="L700" s="1561"/>
      <c r="M700" s="1674"/>
      <c r="N700" s="1561"/>
      <c r="O700" s="1561"/>
    </row>
    <row r="701" spans="1:15" ht="27">
      <c r="A701" s="438" t="s">
        <v>2090</v>
      </c>
      <c r="B701" s="342" t="s">
        <v>1852</v>
      </c>
      <c r="C701" s="1561"/>
      <c r="D701" s="1581" t="s">
        <v>2103</v>
      </c>
      <c r="E701" s="280">
        <v>2</v>
      </c>
      <c r="F701" s="280" t="s">
        <v>1057</v>
      </c>
      <c r="G701" s="1561"/>
      <c r="H701" s="1561"/>
      <c r="I701" s="1562"/>
      <c r="J701" s="1562"/>
      <c r="K701" s="1562"/>
      <c r="L701" s="1561"/>
      <c r="M701" s="1674"/>
      <c r="N701" s="1561"/>
      <c r="O701" s="1561"/>
    </row>
    <row r="702" spans="1:15" ht="27">
      <c r="A702" s="438" t="s">
        <v>2090</v>
      </c>
      <c r="B702" s="342" t="s">
        <v>1852</v>
      </c>
      <c r="C702" s="1561"/>
      <c r="D702" s="1581" t="s">
        <v>2104</v>
      </c>
      <c r="E702" s="280">
        <v>50</v>
      </c>
      <c r="F702" s="280" t="s">
        <v>761</v>
      </c>
      <c r="G702" s="1561"/>
      <c r="H702" s="1561"/>
      <c r="I702" s="1579"/>
      <c r="J702" s="1579"/>
      <c r="K702" s="1579"/>
      <c r="L702" s="1561"/>
      <c r="M702" s="1674"/>
      <c r="N702" s="1561"/>
      <c r="O702" s="1561"/>
    </row>
    <row r="703" spans="1:15" ht="27">
      <c r="A703" s="438" t="s">
        <v>2090</v>
      </c>
      <c r="B703" s="342" t="s">
        <v>1852</v>
      </c>
      <c r="C703" s="1561"/>
      <c r="D703" s="1581" t="s">
        <v>2105</v>
      </c>
      <c r="E703" s="280">
        <v>50</v>
      </c>
      <c r="F703" s="280" t="s">
        <v>761</v>
      </c>
      <c r="G703" s="1561"/>
      <c r="H703" s="1561"/>
      <c r="I703" s="1562"/>
      <c r="J703" s="1562"/>
      <c r="K703" s="1582"/>
      <c r="L703" s="1561"/>
      <c r="M703" s="1674"/>
      <c r="N703" s="1561"/>
      <c r="O703" s="1561"/>
    </row>
    <row r="704" spans="1:15" ht="27">
      <c r="A704" s="438" t="s">
        <v>2090</v>
      </c>
      <c r="B704" s="342" t="s">
        <v>1852</v>
      </c>
      <c r="C704" s="1561"/>
      <c r="D704" s="1581" t="s">
        <v>2106</v>
      </c>
      <c r="E704" s="280">
        <v>2</v>
      </c>
      <c r="F704" s="280" t="s">
        <v>1636</v>
      </c>
      <c r="G704" s="1561"/>
      <c r="H704" s="1561"/>
      <c r="I704" s="1562"/>
      <c r="J704" s="1562"/>
      <c r="K704" s="1582"/>
      <c r="L704" s="1561"/>
      <c r="M704" s="1674"/>
      <c r="N704" s="1561"/>
      <c r="O704" s="1561"/>
    </row>
    <row r="705" spans="1:15" ht="27">
      <c r="A705" s="438" t="s">
        <v>2090</v>
      </c>
      <c r="B705" s="342" t="s">
        <v>1852</v>
      </c>
      <c r="C705" s="1561"/>
      <c r="D705" s="1581" t="s">
        <v>2107</v>
      </c>
      <c r="E705" s="280">
        <v>1</v>
      </c>
      <c r="F705" s="280" t="s">
        <v>1636</v>
      </c>
      <c r="G705" s="1561"/>
      <c r="H705" s="1561"/>
      <c r="I705" s="1562"/>
      <c r="J705" s="1562"/>
      <c r="K705" s="1582"/>
      <c r="L705" s="1561"/>
      <c r="M705" s="1674"/>
      <c r="N705" s="1561"/>
      <c r="O705" s="1561"/>
    </row>
    <row r="706" spans="1:15" ht="27">
      <c r="A706" s="438" t="s">
        <v>2090</v>
      </c>
      <c r="B706" s="342" t="s">
        <v>1852</v>
      </c>
      <c r="C706" s="1561"/>
      <c r="D706" s="1581" t="s">
        <v>2108</v>
      </c>
      <c r="E706" s="280">
        <v>50</v>
      </c>
      <c r="F706" s="280" t="s">
        <v>1747</v>
      </c>
      <c r="G706" s="1561"/>
      <c r="H706" s="1561"/>
      <c r="I706" s="1562"/>
      <c r="J706" s="1562"/>
      <c r="K706" s="1582"/>
      <c r="L706" s="1561"/>
      <c r="M706" s="1674"/>
      <c r="N706" s="1561"/>
      <c r="O706" s="1561"/>
    </row>
    <row r="707" spans="1:15" ht="27">
      <c r="A707" s="438" t="s">
        <v>2090</v>
      </c>
      <c r="B707" s="342" t="s">
        <v>1852</v>
      </c>
      <c r="C707" s="1561"/>
      <c r="D707" s="1581" t="s">
        <v>2109</v>
      </c>
      <c r="E707" s="280">
        <v>2</v>
      </c>
      <c r="F707" s="280" t="s">
        <v>1636</v>
      </c>
      <c r="G707" s="1561"/>
      <c r="H707" s="1561"/>
      <c r="I707" s="1562"/>
      <c r="J707" s="1562"/>
      <c r="K707" s="1582"/>
      <c r="L707" s="1561"/>
      <c r="M707" s="1674"/>
      <c r="N707" s="1561"/>
      <c r="O707" s="1561"/>
    </row>
    <row r="708" spans="1:15" ht="27">
      <c r="A708" s="438" t="s">
        <v>2090</v>
      </c>
      <c r="B708" s="342" t="s">
        <v>1852</v>
      </c>
      <c r="C708" s="1561"/>
      <c r="D708" s="1581" t="s">
        <v>2110</v>
      </c>
      <c r="E708" s="280">
        <v>2</v>
      </c>
      <c r="F708" s="280" t="s">
        <v>1636</v>
      </c>
      <c r="G708" s="1561"/>
      <c r="H708" s="1561"/>
      <c r="I708" s="1562"/>
      <c r="J708" s="1562"/>
      <c r="K708" s="1582"/>
      <c r="L708" s="1561"/>
      <c r="M708" s="1674"/>
      <c r="N708" s="1561"/>
      <c r="O708" s="1561"/>
    </row>
    <row r="709" spans="1:15" ht="27">
      <c r="A709" s="438" t="s">
        <v>2090</v>
      </c>
      <c r="B709" s="342" t="s">
        <v>1852</v>
      </c>
      <c r="C709" s="1561"/>
      <c r="D709" s="1581" t="s">
        <v>2111</v>
      </c>
      <c r="E709" s="280">
        <v>2</v>
      </c>
      <c r="F709" s="280" t="s">
        <v>1636</v>
      </c>
      <c r="G709" s="1561"/>
      <c r="H709" s="1561"/>
      <c r="I709" s="1562"/>
      <c r="J709" s="1562"/>
      <c r="K709" s="1582"/>
      <c r="L709" s="1561"/>
      <c r="M709" s="1674"/>
      <c r="N709" s="1561"/>
      <c r="O709" s="1561"/>
    </row>
    <row r="710" spans="1:15" ht="27">
      <c r="A710" s="438" t="s">
        <v>2090</v>
      </c>
      <c r="B710" s="342" t="s">
        <v>1852</v>
      </c>
      <c r="C710" s="1561"/>
      <c r="D710" s="1677" t="s">
        <v>2112</v>
      </c>
      <c r="E710" s="280">
        <v>2</v>
      </c>
      <c r="F710" s="280" t="s">
        <v>1057</v>
      </c>
      <c r="G710" s="1561"/>
      <c r="H710" s="1561"/>
      <c r="I710" s="1562"/>
      <c r="J710" s="1562"/>
      <c r="K710" s="1582"/>
      <c r="L710" s="1561"/>
      <c r="M710" s="1674" t="s">
        <v>111</v>
      </c>
      <c r="N710" s="1561"/>
      <c r="O710" s="1561"/>
    </row>
    <row r="711" spans="1:15" ht="27">
      <c r="A711" s="438" t="s">
        <v>2090</v>
      </c>
      <c r="B711" s="342" t="s">
        <v>1852</v>
      </c>
      <c r="C711" s="1561"/>
      <c r="D711" s="1581" t="s">
        <v>2113</v>
      </c>
      <c r="E711" s="280">
        <v>2</v>
      </c>
      <c r="F711" s="280" t="s">
        <v>1636</v>
      </c>
      <c r="G711" s="1561"/>
      <c r="H711" s="1561"/>
      <c r="I711" s="1562"/>
      <c r="J711" s="1562"/>
      <c r="K711" s="1582"/>
      <c r="L711" s="1561"/>
      <c r="M711" s="1674"/>
      <c r="N711" s="1561"/>
      <c r="O711" s="1561"/>
    </row>
    <row r="712" spans="1:15" ht="27">
      <c r="A712" s="438" t="s">
        <v>2090</v>
      </c>
      <c r="B712" s="342" t="s">
        <v>1852</v>
      </c>
      <c r="C712" s="1577"/>
      <c r="D712" s="1581" t="s">
        <v>2114</v>
      </c>
      <c r="E712" s="280">
        <v>2</v>
      </c>
      <c r="F712" s="280" t="s">
        <v>1636</v>
      </c>
      <c r="G712" s="1577"/>
      <c r="H712" s="1577"/>
      <c r="I712" s="1571"/>
      <c r="J712" s="1571"/>
      <c r="K712" s="1579"/>
      <c r="L712" s="1577"/>
      <c r="M712" s="1674"/>
      <c r="N712" s="1577"/>
      <c r="O712" s="1577"/>
    </row>
    <row r="713" spans="1:15" ht="27">
      <c r="A713" s="438" t="s">
        <v>2090</v>
      </c>
      <c r="B713" s="342" t="s">
        <v>1852</v>
      </c>
      <c r="C713" s="1577"/>
      <c r="D713" s="1581" t="s">
        <v>2115</v>
      </c>
      <c r="E713" s="280">
        <v>20</v>
      </c>
      <c r="F713" s="280" t="s">
        <v>1700</v>
      </c>
      <c r="G713" s="1577"/>
      <c r="H713" s="1577"/>
      <c r="I713" s="1571"/>
      <c r="J713" s="1571"/>
      <c r="K713" s="1579"/>
      <c r="L713" s="1577"/>
      <c r="M713" s="1674"/>
      <c r="N713" s="1577"/>
      <c r="O713" s="1577"/>
    </row>
    <row r="714" spans="1:15" ht="27">
      <c r="A714" s="438" t="s">
        <v>2090</v>
      </c>
      <c r="B714" s="342" t="s">
        <v>1852</v>
      </c>
      <c r="C714" s="1577"/>
      <c r="D714" s="1581" t="s">
        <v>2116</v>
      </c>
      <c r="E714" s="280">
        <v>15</v>
      </c>
      <c r="F714" s="280" t="s">
        <v>1700</v>
      </c>
      <c r="G714" s="1577"/>
      <c r="H714" s="1577"/>
      <c r="I714" s="1571"/>
      <c r="J714" s="1571"/>
      <c r="K714" s="1579"/>
      <c r="L714" s="1577"/>
      <c r="M714" s="1674"/>
      <c r="N714" s="1577"/>
      <c r="O714" s="1577"/>
    </row>
    <row r="715" spans="1:15" ht="27">
      <c r="A715" s="438" t="s">
        <v>2090</v>
      </c>
      <c r="B715" s="342" t="s">
        <v>1852</v>
      </c>
      <c r="C715" s="1577"/>
      <c r="D715" s="1581" t="s">
        <v>2117</v>
      </c>
      <c r="E715" s="280">
        <v>15</v>
      </c>
      <c r="F715" s="280" t="s">
        <v>1700</v>
      </c>
      <c r="G715" s="1577"/>
      <c r="H715" s="1678"/>
      <c r="I715" s="1571"/>
      <c r="J715" s="1571"/>
      <c r="K715" s="1579"/>
      <c r="L715" s="1577"/>
      <c r="M715" s="1674"/>
      <c r="N715" s="1577"/>
      <c r="O715" s="1577"/>
    </row>
    <row r="716" spans="1:15" ht="27">
      <c r="A716" s="438" t="s">
        <v>2090</v>
      </c>
      <c r="B716" s="342" t="s">
        <v>1852</v>
      </c>
      <c r="C716" s="1577"/>
      <c r="D716" s="1581" t="s">
        <v>2118</v>
      </c>
      <c r="E716" s="280">
        <v>200</v>
      </c>
      <c r="F716" s="280" t="s">
        <v>761</v>
      </c>
      <c r="G716" s="1679"/>
      <c r="H716" s="1571"/>
      <c r="I716" s="1578"/>
      <c r="J716" s="1571"/>
      <c r="K716" s="1579"/>
      <c r="L716" s="1565"/>
      <c r="M716" s="1680"/>
      <c r="N716" s="1580"/>
      <c r="O716" s="1571"/>
    </row>
    <row r="717" spans="1:15" ht="27">
      <c r="A717" s="438" t="s">
        <v>2090</v>
      </c>
      <c r="B717" s="342" t="s">
        <v>1852</v>
      </c>
      <c r="C717" s="1577"/>
      <c r="D717" s="1581" t="s">
        <v>2119</v>
      </c>
      <c r="E717" s="280">
        <v>200</v>
      </c>
      <c r="F717" s="280" t="s">
        <v>761</v>
      </c>
      <c r="G717" s="1571"/>
      <c r="H717" s="1571"/>
      <c r="I717" s="1571"/>
      <c r="J717" s="1571"/>
      <c r="K717" s="1571"/>
      <c r="L717" s="1577"/>
      <c r="M717" s="1681"/>
      <c r="N717" s="1577"/>
      <c r="O717" s="1571"/>
    </row>
    <row r="718" spans="1:15" ht="27">
      <c r="A718" s="438" t="s">
        <v>2090</v>
      </c>
      <c r="B718" s="342" t="s">
        <v>1852</v>
      </c>
      <c r="C718" s="1577"/>
      <c r="D718" s="1581" t="s">
        <v>2120</v>
      </c>
      <c r="E718" s="280">
        <v>50</v>
      </c>
      <c r="F718" s="280" t="s">
        <v>761</v>
      </c>
      <c r="G718" s="1679"/>
      <c r="H718" s="1571"/>
      <c r="I718" s="1571"/>
      <c r="J718" s="1571"/>
      <c r="K718" s="1571"/>
      <c r="L718" s="1577"/>
      <c r="M718" s="1681"/>
      <c r="N718" s="1577"/>
      <c r="O718" s="1571"/>
    </row>
    <row r="719" spans="1:15" ht="27">
      <c r="A719" s="438" t="s">
        <v>2090</v>
      </c>
      <c r="B719" s="342" t="s">
        <v>1852</v>
      </c>
      <c r="C719" s="1577"/>
      <c r="D719" s="1581" t="s">
        <v>2121</v>
      </c>
      <c r="E719" s="280">
        <v>50</v>
      </c>
      <c r="F719" s="280" t="s">
        <v>1057</v>
      </c>
      <c r="G719" s="1679"/>
      <c r="H719" s="1571"/>
      <c r="I719" s="1571"/>
      <c r="J719" s="1571"/>
      <c r="K719" s="1571"/>
      <c r="L719" s="1577"/>
      <c r="M719" s="1681"/>
      <c r="N719" s="1577"/>
      <c r="O719" s="1571"/>
    </row>
    <row r="720" spans="1:15" ht="27">
      <c r="A720" s="438" t="s">
        <v>2090</v>
      </c>
      <c r="B720" s="342" t="s">
        <v>1852</v>
      </c>
      <c r="C720" s="1577"/>
      <c r="D720" s="1581" t="s">
        <v>2122</v>
      </c>
      <c r="E720" s="280">
        <v>1</v>
      </c>
      <c r="F720" s="280" t="s">
        <v>761</v>
      </c>
      <c r="G720" s="1679"/>
      <c r="H720" s="1571"/>
      <c r="I720" s="1571"/>
      <c r="J720" s="1571"/>
      <c r="K720" s="1571"/>
      <c r="L720" s="1577"/>
      <c r="M720" s="1681"/>
      <c r="N720" s="1577"/>
      <c r="O720" s="1571"/>
    </row>
    <row r="721" spans="1:15" ht="27">
      <c r="A721" s="438" t="s">
        <v>2090</v>
      </c>
      <c r="B721" s="342" t="s">
        <v>1852</v>
      </c>
      <c r="C721" s="1577"/>
      <c r="D721" s="1581" t="s">
        <v>2123</v>
      </c>
      <c r="E721" s="280">
        <v>1</v>
      </c>
      <c r="F721" s="280" t="s">
        <v>761</v>
      </c>
      <c r="G721" s="1679"/>
      <c r="H721" s="1571"/>
      <c r="I721" s="1571"/>
      <c r="J721" s="1571"/>
      <c r="K721" s="1571"/>
      <c r="L721" s="1577"/>
      <c r="M721" s="1681"/>
      <c r="N721" s="1577"/>
      <c r="O721" s="1571"/>
    </row>
    <row r="722" spans="1:15" ht="27">
      <c r="A722" s="438" t="s">
        <v>2090</v>
      </c>
      <c r="B722" s="342" t="s">
        <v>1852</v>
      </c>
      <c r="C722" s="1577"/>
      <c r="D722" s="1581" t="s">
        <v>2124</v>
      </c>
      <c r="E722" s="280">
        <v>1</v>
      </c>
      <c r="F722" s="280" t="s">
        <v>1057</v>
      </c>
      <c r="G722" s="1679"/>
      <c r="H722" s="1571"/>
      <c r="I722" s="1571"/>
      <c r="J722" s="1571"/>
      <c r="K722" s="1571"/>
      <c r="L722" s="1577"/>
      <c r="M722" s="1681"/>
      <c r="N722" s="1577"/>
      <c r="O722" s="1571"/>
    </row>
    <row r="723" spans="1:15" ht="27">
      <c r="A723" s="438" t="s">
        <v>2090</v>
      </c>
      <c r="B723" s="342" t="s">
        <v>1852</v>
      </c>
      <c r="C723" s="1577"/>
      <c r="D723" s="1581" t="s">
        <v>2125</v>
      </c>
      <c r="E723" s="280">
        <v>1</v>
      </c>
      <c r="F723" s="280" t="s">
        <v>1700</v>
      </c>
      <c r="G723" s="1679"/>
      <c r="H723" s="1571"/>
      <c r="I723" s="1571"/>
      <c r="J723" s="1571"/>
      <c r="K723" s="1571"/>
      <c r="L723" s="1577"/>
      <c r="M723" s="1681"/>
      <c r="N723" s="1577"/>
      <c r="O723" s="1571"/>
    </row>
    <row r="724" spans="1:15" ht="27">
      <c r="A724" s="438" t="s">
        <v>2090</v>
      </c>
      <c r="B724" s="342" t="s">
        <v>1852</v>
      </c>
      <c r="C724" s="1577"/>
      <c r="D724" s="1581" t="s">
        <v>2126</v>
      </c>
      <c r="E724" s="280">
        <v>1</v>
      </c>
      <c r="F724" s="280" t="s">
        <v>1747</v>
      </c>
      <c r="G724" s="1679"/>
      <c r="H724" s="1571"/>
      <c r="I724" s="1571"/>
      <c r="J724" s="1571"/>
      <c r="K724" s="1571"/>
      <c r="L724" s="1577"/>
      <c r="M724" s="1681"/>
      <c r="N724" s="1577"/>
      <c r="O724" s="1571"/>
    </row>
    <row r="725" spans="1:15" ht="27">
      <c r="A725" s="438" t="s">
        <v>2090</v>
      </c>
      <c r="B725" s="342" t="s">
        <v>1852</v>
      </c>
      <c r="C725" s="1577"/>
      <c r="D725" s="1581" t="s">
        <v>2127</v>
      </c>
      <c r="E725" s="280">
        <v>10</v>
      </c>
      <c r="F725" s="280" t="s">
        <v>1057</v>
      </c>
      <c r="G725" s="1679"/>
      <c r="H725" s="1571"/>
      <c r="I725" s="1571"/>
      <c r="J725" s="1571"/>
      <c r="K725" s="1571"/>
      <c r="L725" s="1577"/>
      <c r="M725" s="1681"/>
      <c r="N725" s="1577"/>
      <c r="O725" s="1571"/>
    </row>
    <row r="726" spans="1:15" ht="27">
      <c r="A726" s="438" t="s">
        <v>2090</v>
      </c>
      <c r="B726" s="342" t="s">
        <v>1852</v>
      </c>
      <c r="C726" s="1577"/>
      <c r="D726" s="1581" t="s">
        <v>2128</v>
      </c>
      <c r="E726" s="280">
        <v>10</v>
      </c>
      <c r="F726" s="280" t="s">
        <v>2129</v>
      </c>
      <c r="G726" s="1679"/>
      <c r="H726" s="1571"/>
      <c r="I726" s="1571"/>
      <c r="J726" s="1571"/>
      <c r="K726" s="1571"/>
      <c r="L726" s="1577"/>
      <c r="M726" s="1681"/>
      <c r="N726" s="1577"/>
      <c r="O726" s="1571"/>
    </row>
    <row r="727" spans="1:15" ht="27">
      <c r="A727" s="438" t="s">
        <v>2090</v>
      </c>
      <c r="B727" s="342" t="s">
        <v>1852</v>
      </c>
      <c r="C727" s="1577"/>
      <c r="D727" s="1581" t="s">
        <v>2130</v>
      </c>
      <c r="E727" s="280">
        <v>1</v>
      </c>
      <c r="F727" s="280" t="s">
        <v>2131</v>
      </c>
      <c r="G727" s="1679"/>
      <c r="H727" s="1571"/>
      <c r="I727" s="1571"/>
      <c r="J727" s="1571"/>
      <c r="K727" s="1571"/>
      <c r="L727" s="1577"/>
      <c r="M727" s="1681"/>
      <c r="N727" s="1577"/>
      <c r="O727" s="1571"/>
    </row>
    <row r="730" spans="1:15" ht="38.25">
      <c r="A730" s="564" t="s">
        <v>2145</v>
      </c>
      <c r="B730" s="302" t="s">
        <v>1852</v>
      </c>
      <c r="C730" s="1671" t="s">
        <v>2132</v>
      </c>
      <c r="D730" s="242" t="s">
        <v>2</v>
      </c>
      <c r="E730" s="1684"/>
      <c r="F730" s="1571" t="s">
        <v>1764</v>
      </c>
      <c r="G730" s="1571" t="s">
        <v>1</v>
      </c>
      <c r="H730" s="1672" t="s">
        <v>675</v>
      </c>
      <c r="I730" s="1672" t="s">
        <v>599</v>
      </c>
      <c r="J730" s="1672" t="s">
        <v>599</v>
      </c>
      <c r="K730" s="1565" t="s">
        <v>748</v>
      </c>
      <c r="L730" s="1673">
        <v>11250</v>
      </c>
      <c r="M730" s="1533" t="s">
        <v>1765</v>
      </c>
      <c r="N730" s="1565" t="s">
        <v>703</v>
      </c>
    </row>
    <row r="731" spans="1:15" ht="27">
      <c r="A731" s="564" t="s">
        <v>2145</v>
      </c>
      <c r="B731" s="302" t="s">
        <v>1852</v>
      </c>
      <c r="C731" s="1571" t="s">
        <v>2043</v>
      </c>
      <c r="D731" s="1695" t="s">
        <v>752</v>
      </c>
      <c r="E731" s="1682"/>
      <c r="F731" s="1683"/>
      <c r="G731" s="1571"/>
      <c r="H731" s="1571"/>
      <c r="I731" s="1672"/>
      <c r="J731" s="1672"/>
      <c r="K731" s="1672"/>
      <c r="L731" s="1565"/>
      <c r="M731" s="1673"/>
      <c r="N731" s="1533"/>
      <c r="O731" s="1565"/>
    </row>
    <row r="732" spans="1:15" ht="27">
      <c r="A732" s="564" t="s">
        <v>2145</v>
      </c>
      <c r="B732" s="302" t="s">
        <v>1852</v>
      </c>
      <c r="C732" s="1577"/>
      <c r="D732" s="1581" t="s">
        <v>2133</v>
      </c>
      <c r="E732" s="280"/>
      <c r="F732" s="280" t="s">
        <v>2063</v>
      </c>
      <c r="G732" s="1561"/>
      <c r="H732" s="1577"/>
      <c r="I732" s="1578"/>
      <c r="J732" s="1571"/>
      <c r="K732" s="1579"/>
      <c r="L732" s="1577"/>
      <c r="M732" s="1674"/>
      <c r="N732" s="1580"/>
      <c r="O732" s="1577"/>
    </row>
    <row r="733" spans="1:15" ht="27">
      <c r="A733" s="564" t="s">
        <v>2145</v>
      </c>
      <c r="B733" s="302" t="s">
        <v>1852</v>
      </c>
      <c r="C733" s="1577"/>
      <c r="D733" s="1581" t="s">
        <v>2134</v>
      </c>
      <c r="E733" s="280"/>
      <c r="F733" s="280" t="s">
        <v>1793</v>
      </c>
      <c r="G733" s="1561"/>
      <c r="H733" s="1577"/>
      <c r="I733" s="1578"/>
      <c r="J733" s="1571"/>
      <c r="K733" s="1579"/>
      <c r="L733" s="1577"/>
      <c r="M733" s="1674"/>
      <c r="N733" s="1580"/>
      <c r="O733" s="1577"/>
    </row>
    <row r="734" spans="1:15" ht="27">
      <c r="A734" s="564" t="s">
        <v>2145</v>
      </c>
      <c r="B734" s="302" t="s">
        <v>1852</v>
      </c>
      <c r="C734" s="1561"/>
      <c r="D734" s="1581" t="s">
        <v>2135</v>
      </c>
      <c r="E734" s="280"/>
      <c r="F734" s="280" t="s">
        <v>761</v>
      </c>
      <c r="G734" s="1561"/>
      <c r="H734" s="1561"/>
      <c r="I734" s="1562"/>
      <c r="J734" s="1562"/>
      <c r="K734" s="1582"/>
      <c r="L734" s="1561"/>
      <c r="M734" s="1674"/>
      <c r="N734" s="1561"/>
      <c r="O734" s="1561"/>
    </row>
    <row r="735" spans="1:15" ht="27">
      <c r="A735" s="564" t="s">
        <v>2145</v>
      </c>
      <c r="B735" s="302" t="s">
        <v>1852</v>
      </c>
      <c r="C735" s="1561"/>
      <c r="D735" s="1581" t="s">
        <v>2136</v>
      </c>
      <c r="E735" s="280"/>
      <c r="F735" s="280" t="s">
        <v>761</v>
      </c>
      <c r="G735" s="1561"/>
      <c r="H735" s="1561"/>
      <c r="I735" s="1562"/>
      <c r="J735" s="1562"/>
      <c r="K735" s="1582"/>
      <c r="L735" s="1561" t="s">
        <v>111</v>
      </c>
      <c r="M735" s="1674"/>
      <c r="N735" s="1561"/>
      <c r="O735" s="1561"/>
    </row>
    <row r="736" spans="1:15" ht="27">
      <c r="A736" s="564" t="s">
        <v>2145</v>
      </c>
      <c r="B736" s="302" t="s">
        <v>1852</v>
      </c>
      <c r="C736" s="1561"/>
      <c r="D736" s="1581" t="s">
        <v>2137</v>
      </c>
      <c r="E736" s="280"/>
      <c r="F736" s="280" t="s">
        <v>761</v>
      </c>
      <c r="G736" s="1561"/>
      <c r="H736" s="1561"/>
      <c r="I736" s="1562"/>
      <c r="J736" s="1562"/>
      <c r="K736" s="1582"/>
      <c r="L736" s="1561"/>
      <c r="M736" s="1674"/>
      <c r="N736" s="1561"/>
      <c r="O736" s="1561"/>
    </row>
    <row r="737" spans="1:15" ht="27">
      <c r="A737" s="564" t="s">
        <v>2145</v>
      </c>
      <c r="B737" s="302" t="s">
        <v>1852</v>
      </c>
      <c r="C737" s="1561"/>
      <c r="D737" s="1581" t="s">
        <v>2138</v>
      </c>
      <c r="E737" s="280"/>
      <c r="F737" s="280" t="s">
        <v>761</v>
      </c>
      <c r="G737" s="1561"/>
      <c r="H737" s="1561"/>
      <c r="I737" s="1583"/>
      <c r="J737" s="1562"/>
      <c r="K737" s="1582"/>
      <c r="L737" s="1561"/>
      <c r="M737" s="1674"/>
      <c r="N737" s="1561"/>
      <c r="O737" s="1561"/>
    </row>
    <row r="738" spans="1:15" ht="27">
      <c r="A738" s="564" t="s">
        <v>2145</v>
      </c>
      <c r="B738" s="302" t="s">
        <v>1852</v>
      </c>
      <c r="C738" s="1561"/>
      <c r="D738" s="1581" t="s">
        <v>2139</v>
      </c>
      <c r="E738" s="280"/>
      <c r="F738" s="280" t="s">
        <v>761</v>
      </c>
      <c r="G738" s="1561"/>
      <c r="H738" s="1561"/>
      <c r="I738" s="1579"/>
      <c r="J738" s="1579"/>
      <c r="K738" s="1579"/>
      <c r="L738" s="1675"/>
      <c r="M738" s="1674"/>
      <c r="N738" s="1561"/>
      <c r="O738" s="1561"/>
    </row>
    <row r="739" spans="1:15" ht="27">
      <c r="A739" s="564" t="s">
        <v>2145</v>
      </c>
      <c r="B739" s="302" t="s">
        <v>1852</v>
      </c>
      <c r="C739" s="1561"/>
      <c r="D739" s="1581" t="s">
        <v>2140</v>
      </c>
      <c r="E739" s="280"/>
      <c r="F739" s="280" t="s">
        <v>761</v>
      </c>
      <c r="G739" s="1561"/>
      <c r="H739" s="1561"/>
      <c r="I739" s="1579"/>
      <c r="J739" s="1579"/>
      <c r="K739" s="1579"/>
      <c r="L739" s="1561"/>
      <c r="M739" s="1674"/>
      <c r="N739" s="1561"/>
      <c r="O739" s="1561"/>
    </row>
    <row r="740" spans="1:15" ht="27">
      <c r="A740" s="564" t="s">
        <v>2145</v>
      </c>
      <c r="B740" s="302" t="s">
        <v>1852</v>
      </c>
      <c r="C740" s="1561"/>
      <c r="D740" s="1581" t="s">
        <v>2141</v>
      </c>
      <c r="E740" s="280"/>
      <c r="F740" s="280" t="s">
        <v>761</v>
      </c>
      <c r="G740" s="1561"/>
      <c r="H740" s="1561"/>
      <c r="I740" s="1579"/>
      <c r="J740" s="1579"/>
      <c r="K740" s="1579"/>
      <c r="L740" s="1561"/>
      <c r="M740" s="1674"/>
      <c r="N740" s="1561"/>
      <c r="O740" s="1561"/>
    </row>
    <row r="741" spans="1:15" ht="27">
      <c r="A741" s="564" t="s">
        <v>2145</v>
      </c>
      <c r="B741" s="302" t="s">
        <v>1852</v>
      </c>
      <c r="C741" s="1561"/>
      <c r="D741" s="1581" t="s">
        <v>2142</v>
      </c>
      <c r="E741" s="280"/>
      <c r="F741" s="280" t="s">
        <v>761</v>
      </c>
      <c r="G741" s="1561"/>
      <c r="H741" s="1561"/>
      <c r="I741" s="1583"/>
      <c r="J741" s="1562"/>
      <c r="K741" s="1582"/>
      <c r="L741" s="1561"/>
      <c r="M741" s="1674"/>
      <c r="N741" s="1561"/>
      <c r="O741" s="1561"/>
    </row>
    <row r="742" spans="1:15" ht="27">
      <c r="A742" s="564" t="s">
        <v>2145</v>
      </c>
      <c r="B742" s="302" t="s">
        <v>1852</v>
      </c>
      <c r="C742" s="1561"/>
      <c r="D742" s="1581" t="s">
        <v>2143</v>
      </c>
      <c r="E742" s="280"/>
      <c r="F742" s="280" t="s">
        <v>761</v>
      </c>
      <c r="G742" s="1561"/>
      <c r="H742" s="1561"/>
      <c r="I742" s="1579"/>
      <c r="J742" s="1579"/>
      <c r="K742" s="1579"/>
      <c r="L742" s="1561"/>
      <c r="M742" s="1674"/>
      <c r="N742" s="1561"/>
      <c r="O742" s="1561"/>
    </row>
    <row r="743" spans="1:15" ht="27">
      <c r="A743" s="564" t="s">
        <v>2145</v>
      </c>
      <c r="B743" s="302" t="s">
        <v>1852</v>
      </c>
      <c r="C743" s="1561"/>
      <c r="D743" s="1676" t="s">
        <v>2144</v>
      </c>
      <c r="E743" s="280"/>
      <c r="F743" s="280" t="s">
        <v>761</v>
      </c>
      <c r="G743" s="1561"/>
      <c r="H743" s="1561"/>
      <c r="I743" s="1562"/>
      <c r="J743" s="1562"/>
      <c r="K743" s="1582"/>
      <c r="L743" s="1561"/>
      <c r="M743" s="1674"/>
      <c r="N743" s="1561"/>
      <c r="O743" s="1561"/>
    </row>
    <row r="744" spans="1:15" ht="27">
      <c r="A744" s="564" t="s">
        <v>2145</v>
      </c>
      <c r="B744" s="302" t="s">
        <v>1852</v>
      </c>
      <c r="C744" s="1561"/>
      <c r="D744" s="1581" t="s">
        <v>1368</v>
      </c>
      <c r="E744" s="280"/>
      <c r="F744" s="280" t="s">
        <v>1793</v>
      </c>
      <c r="G744" s="1561"/>
      <c r="H744" s="1561"/>
      <c r="I744" s="1583"/>
      <c r="J744" s="1562"/>
      <c r="K744" s="1582"/>
      <c r="L744" s="1561"/>
      <c r="M744" s="1674"/>
      <c r="N744" s="1561"/>
      <c r="O744" s="1561"/>
    </row>
    <row r="747" spans="1:15" ht="38.25">
      <c r="A747" s="564" t="s">
        <v>2145</v>
      </c>
      <c r="B747" s="302" t="s">
        <v>1852</v>
      </c>
      <c r="C747" s="1671" t="s">
        <v>2146</v>
      </c>
      <c r="D747" s="242" t="s">
        <v>2</v>
      </c>
      <c r="E747" s="1684"/>
      <c r="F747" s="1571" t="s">
        <v>1764</v>
      </c>
      <c r="G747" s="1571" t="s">
        <v>1</v>
      </c>
      <c r="H747" s="1672" t="s">
        <v>701</v>
      </c>
      <c r="I747" s="1672" t="s">
        <v>653</v>
      </c>
      <c r="J747" s="1672" t="s">
        <v>653</v>
      </c>
      <c r="K747" s="1565" t="s">
        <v>748</v>
      </c>
      <c r="L747" s="1673">
        <v>11250</v>
      </c>
      <c r="M747" s="1533" t="s">
        <v>1765</v>
      </c>
      <c r="N747" s="1565" t="s">
        <v>703</v>
      </c>
    </row>
    <row r="748" spans="1:15" ht="27">
      <c r="A748" s="564" t="s">
        <v>2145</v>
      </c>
      <c r="B748" s="302" t="s">
        <v>1852</v>
      </c>
      <c r="C748" s="1571" t="s">
        <v>2147</v>
      </c>
      <c r="D748" s="1695" t="s">
        <v>752</v>
      </c>
      <c r="E748" s="1682"/>
      <c r="F748" s="1683"/>
      <c r="G748" s="1571"/>
      <c r="H748" s="1571"/>
      <c r="I748" s="1672"/>
      <c r="J748" s="1672"/>
      <c r="K748" s="1672"/>
      <c r="L748" s="1565"/>
      <c r="M748" s="1673"/>
      <c r="N748" s="1533"/>
      <c r="O748" s="1565"/>
    </row>
    <row r="749" spans="1:15" ht="27">
      <c r="A749" s="564" t="s">
        <v>2145</v>
      </c>
      <c r="B749" s="302" t="s">
        <v>1852</v>
      </c>
      <c r="C749" s="1577"/>
      <c r="D749" s="1581" t="s">
        <v>2133</v>
      </c>
      <c r="E749" s="280"/>
      <c r="F749" s="280" t="s">
        <v>2063</v>
      </c>
      <c r="G749" s="1561"/>
      <c r="H749" s="1577"/>
      <c r="I749" s="1578"/>
      <c r="J749" s="1571"/>
      <c r="K749" s="1579"/>
      <c r="L749" s="1577"/>
      <c r="M749" s="1674"/>
      <c r="N749" s="1580"/>
      <c r="O749" s="1577"/>
    </row>
    <row r="750" spans="1:15" ht="27">
      <c r="A750" s="564" t="s">
        <v>2145</v>
      </c>
      <c r="B750" s="302" t="s">
        <v>1852</v>
      </c>
      <c r="C750" s="1577"/>
      <c r="D750" s="1581" t="s">
        <v>2134</v>
      </c>
      <c r="E750" s="280"/>
      <c r="F750" s="280" t="s">
        <v>1793</v>
      </c>
      <c r="G750" s="1561"/>
      <c r="H750" s="1577"/>
      <c r="I750" s="1578"/>
      <c r="J750" s="1571"/>
      <c r="K750" s="1579"/>
      <c r="L750" s="1577"/>
      <c r="M750" s="1674"/>
      <c r="N750" s="1580"/>
      <c r="O750" s="1577"/>
    </row>
    <row r="751" spans="1:15" ht="27">
      <c r="A751" s="564" t="s">
        <v>2145</v>
      </c>
      <c r="B751" s="302" t="s">
        <v>1852</v>
      </c>
      <c r="C751" s="1577"/>
      <c r="D751" s="1581" t="s">
        <v>2148</v>
      </c>
      <c r="E751" s="280"/>
      <c r="F751" s="280" t="s">
        <v>1789</v>
      </c>
      <c r="G751" s="1561"/>
      <c r="H751" s="1577"/>
      <c r="I751" s="1578"/>
      <c r="J751" s="1571"/>
      <c r="K751" s="1579"/>
      <c r="L751" s="1577"/>
      <c r="M751" s="1674"/>
      <c r="N751" s="1580"/>
      <c r="O751" s="1577"/>
    </row>
    <row r="752" spans="1:15" ht="27">
      <c r="A752" s="564" t="s">
        <v>2145</v>
      </c>
      <c r="B752" s="302" t="s">
        <v>1852</v>
      </c>
      <c r="C752" s="1561"/>
      <c r="D752" s="1581" t="s">
        <v>2135</v>
      </c>
      <c r="E752" s="280"/>
      <c r="F752" s="280" t="s">
        <v>761</v>
      </c>
      <c r="G752" s="1561"/>
      <c r="H752" s="1561"/>
      <c r="I752" s="1562"/>
      <c r="J752" s="1562"/>
      <c r="K752" s="1582"/>
      <c r="L752" s="1561"/>
      <c r="M752" s="1674"/>
      <c r="N752" s="1561"/>
      <c r="O752" s="1561"/>
    </row>
    <row r="753" spans="1:15" ht="27">
      <c r="A753" s="564" t="s">
        <v>2145</v>
      </c>
      <c r="B753" s="302" t="s">
        <v>1852</v>
      </c>
      <c r="C753" s="1561"/>
      <c r="D753" s="1581" t="s">
        <v>2149</v>
      </c>
      <c r="E753" s="280"/>
      <c r="F753" s="280" t="s">
        <v>1667</v>
      </c>
      <c r="G753" s="1561"/>
      <c r="H753" s="1561"/>
      <c r="I753" s="1562"/>
      <c r="J753" s="1562"/>
      <c r="K753" s="1582"/>
      <c r="L753" s="1561"/>
      <c r="M753" s="1674"/>
      <c r="N753" s="1561"/>
      <c r="O753" s="1561"/>
    </row>
    <row r="754" spans="1:15" ht="27">
      <c r="A754" s="564" t="s">
        <v>2145</v>
      </c>
      <c r="B754" s="302" t="s">
        <v>1852</v>
      </c>
      <c r="C754" s="1561"/>
      <c r="D754" s="1581" t="s">
        <v>2136</v>
      </c>
      <c r="E754" s="280"/>
      <c r="F754" s="280" t="s">
        <v>761</v>
      </c>
      <c r="G754" s="1561"/>
      <c r="H754" s="1561"/>
      <c r="I754" s="1562"/>
      <c r="J754" s="1562"/>
      <c r="K754" s="1582"/>
      <c r="L754" s="1561" t="s">
        <v>111</v>
      </c>
      <c r="M754" s="1674"/>
      <c r="N754" s="1561"/>
      <c r="O754" s="1561"/>
    </row>
    <row r="755" spans="1:15" ht="27">
      <c r="A755" s="564" t="s">
        <v>2145</v>
      </c>
      <c r="B755" s="302" t="s">
        <v>1852</v>
      </c>
      <c r="C755" s="1561"/>
      <c r="D755" s="1581" t="s">
        <v>2150</v>
      </c>
      <c r="E755" s="280"/>
      <c r="F755" s="280" t="s">
        <v>761</v>
      </c>
      <c r="G755" s="1561"/>
      <c r="H755" s="1561"/>
      <c r="I755" s="1562"/>
      <c r="J755" s="1562"/>
      <c r="K755" s="1582"/>
      <c r="L755" s="1561"/>
      <c r="M755" s="1674"/>
      <c r="N755" s="1561"/>
      <c r="O755" s="1561"/>
    </row>
    <row r="756" spans="1:15" ht="27">
      <c r="A756" s="564" t="s">
        <v>2145</v>
      </c>
      <c r="B756" s="302" t="s">
        <v>1852</v>
      </c>
      <c r="C756" s="1561"/>
      <c r="D756" s="1581" t="s">
        <v>2137</v>
      </c>
      <c r="E756" s="280"/>
      <c r="F756" s="280" t="s">
        <v>761</v>
      </c>
      <c r="G756" s="1561"/>
      <c r="H756" s="1561"/>
      <c r="I756" s="1562"/>
      <c r="J756" s="1562"/>
      <c r="K756" s="1582"/>
      <c r="L756" s="1561"/>
      <c r="M756" s="1674"/>
      <c r="N756" s="1561"/>
      <c r="O756" s="1561"/>
    </row>
    <row r="757" spans="1:15" ht="27">
      <c r="A757" s="564" t="s">
        <v>2145</v>
      </c>
      <c r="B757" s="302" t="s">
        <v>1852</v>
      </c>
      <c r="C757" s="1561"/>
      <c r="D757" s="1581" t="s">
        <v>2151</v>
      </c>
      <c r="E757" s="280"/>
      <c r="F757" s="280" t="s">
        <v>1700</v>
      </c>
      <c r="G757" s="1561"/>
      <c r="H757" s="1561"/>
      <c r="I757" s="1562"/>
      <c r="J757" s="1562"/>
      <c r="K757" s="1582"/>
      <c r="L757" s="1561"/>
      <c r="M757" s="1674"/>
      <c r="N757" s="1561"/>
      <c r="O757" s="1561"/>
    </row>
    <row r="758" spans="1:15" ht="27">
      <c r="A758" s="564" t="s">
        <v>2145</v>
      </c>
      <c r="B758" s="302" t="s">
        <v>1852</v>
      </c>
      <c r="C758" s="1561"/>
      <c r="D758" s="1581" t="s">
        <v>2138</v>
      </c>
      <c r="E758" s="280"/>
      <c r="F758" s="280" t="s">
        <v>761</v>
      </c>
      <c r="G758" s="1561"/>
      <c r="H758" s="1561"/>
      <c r="I758" s="1583"/>
      <c r="J758" s="1562"/>
      <c r="K758" s="1582"/>
      <c r="L758" s="1561"/>
      <c r="M758" s="1674"/>
      <c r="N758" s="1561"/>
      <c r="O758" s="1561"/>
    </row>
    <row r="759" spans="1:15" ht="27">
      <c r="A759" s="564" t="s">
        <v>2145</v>
      </c>
      <c r="B759" s="302" t="s">
        <v>1852</v>
      </c>
      <c r="C759" s="1561"/>
      <c r="D759" s="1581" t="s">
        <v>2139</v>
      </c>
      <c r="E759" s="280"/>
      <c r="F759" s="280" t="s">
        <v>761</v>
      </c>
      <c r="G759" s="1561"/>
      <c r="H759" s="1561"/>
      <c r="I759" s="1579"/>
      <c r="J759" s="1579"/>
      <c r="K759" s="1579"/>
      <c r="L759" s="1675"/>
      <c r="M759" s="1674"/>
      <c r="N759" s="1561"/>
      <c r="O759" s="1561"/>
    </row>
    <row r="760" spans="1:15" ht="27">
      <c r="A760" s="564" t="s">
        <v>2145</v>
      </c>
      <c r="B760" s="302" t="s">
        <v>1852</v>
      </c>
      <c r="C760" s="1561"/>
      <c r="D760" s="1581" t="s">
        <v>2140</v>
      </c>
      <c r="E760" s="280"/>
      <c r="F760" s="280" t="s">
        <v>761</v>
      </c>
      <c r="G760" s="1561"/>
      <c r="H760" s="1561"/>
      <c r="I760" s="1579"/>
      <c r="J760" s="1579"/>
      <c r="K760" s="1579"/>
      <c r="L760" s="1561"/>
      <c r="M760" s="1674"/>
      <c r="N760" s="1561"/>
      <c r="O760" s="1561"/>
    </row>
    <row r="761" spans="1:15" ht="27">
      <c r="A761" s="564" t="s">
        <v>2145</v>
      </c>
      <c r="B761" s="302" t="s">
        <v>1852</v>
      </c>
      <c r="C761" s="1561"/>
      <c r="D761" s="1581" t="s">
        <v>2141</v>
      </c>
      <c r="E761" s="280"/>
      <c r="F761" s="280" t="s">
        <v>761</v>
      </c>
      <c r="G761" s="1561"/>
      <c r="H761" s="1561"/>
      <c r="I761" s="1579"/>
      <c r="J761" s="1579"/>
      <c r="K761" s="1579"/>
      <c r="L761" s="1561"/>
      <c r="M761" s="1674"/>
      <c r="N761" s="1561"/>
      <c r="O761" s="1561"/>
    </row>
    <row r="762" spans="1:15" ht="27">
      <c r="A762" s="564" t="s">
        <v>2145</v>
      </c>
      <c r="B762" s="302" t="s">
        <v>1852</v>
      </c>
      <c r="C762" s="1561"/>
      <c r="D762" s="1581" t="s">
        <v>2142</v>
      </c>
      <c r="E762" s="280"/>
      <c r="F762" s="280" t="s">
        <v>761</v>
      </c>
      <c r="G762" s="1561"/>
      <c r="H762" s="1561"/>
      <c r="I762" s="1583"/>
      <c r="J762" s="1562"/>
      <c r="K762" s="1582"/>
      <c r="L762" s="1561"/>
      <c r="M762" s="1674"/>
      <c r="N762" s="1561"/>
      <c r="O762" s="1561"/>
    </row>
    <row r="763" spans="1:15" ht="27">
      <c r="A763" s="564" t="s">
        <v>2145</v>
      </c>
      <c r="B763" s="302" t="s">
        <v>1852</v>
      </c>
      <c r="C763" s="1561"/>
      <c r="D763" s="1581" t="s">
        <v>2143</v>
      </c>
      <c r="E763" s="280"/>
      <c r="F763" s="280" t="s">
        <v>761</v>
      </c>
      <c r="G763" s="1561"/>
      <c r="H763" s="1561"/>
      <c r="I763" s="1579"/>
      <c r="J763" s="1579"/>
      <c r="K763" s="1579"/>
      <c r="L763" s="1561"/>
      <c r="M763" s="1674"/>
      <c r="N763" s="1561"/>
      <c r="O763" s="1561"/>
    </row>
    <row r="764" spans="1:15" ht="27">
      <c r="A764" s="564" t="s">
        <v>2145</v>
      </c>
      <c r="B764" s="302" t="s">
        <v>1852</v>
      </c>
      <c r="C764" s="1561"/>
      <c r="D764" s="1676" t="s">
        <v>2144</v>
      </c>
      <c r="E764" s="280"/>
      <c r="F764" s="280" t="s">
        <v>761</v>
      </c>
      <c r="G764" s="1561"/>
      <c r="H764" s="1561"/>
      <c r="I764" s="1562"/>
      <c r="J764" s="1562"/>
      <c r="K764" s="1582"/>
      <c r="L764" s="1561"/>
      <c r="M764" s="1674"/>
      <c r="N764" s="1561"/>
      <c r="O764" s="1561"/>
    </row>
    <row r="765" spans="1:15" ht="27">
      <c r="A765" s="564" t="s">
        <v>2145</v>
      </c>
      <c r="B765" s="302" t="s">
        <v>1852</v>
      </c>
      <c r="C765" s="1561"/>
      <c r="D765" s="1676" t="s">
        <v>2152</v>
      </c>
      <c r="E765" s="280"/>
      <c r="F765" s="280" t="s">
        <v>1667</v>
      </c>
      <c r="G765" s="1561"/>
      <c r="H765" s="1561"/>
      <c r="I765" s="1562"/>
      <c r="J765" s="1562"/>
      <c r="K765" s="1582"/>
      <c r="L765" s="1561"/>
      <c r="M765" s="1674"/>
      <c r="N765" s="1561"/>
      <c r="O765" s="1561"/>
    </row>
    <row r="766" spans="1:15" ht="27">
      <c r="A766" s="564" t="s">
        <v>2145</v>
      </c>
      <c r="B766" s="302" t="s">
        <v>1852</v>
      </c>
      <c r="C766" s="1561"/>
      <c r="D766" s="1676" t="s">
        <v>2153</v>
      </c>
      <c r="E766" s="280"/>
      <c r="F766" s="280" t="s">
        <v>761</v>
      </c>
      <c r="G766" s="1561"/>
      <c r="H766" s="1561"/>
      <c r="I766" s="1562"/>
      <c r="J766" s="1562"/>
      <c r="K766" s="1582"/>
      <c r="L766" s="1561"/>
      <c r="M766" s="1674"/>
      <c r="N766" s="1561"/>
      <c r="O766" s="1561"/>
    </row>
    <row r="767" spans="1:15" ht="27">
      <c r="A767" s="564" t="s">
        <v>2145</v>
      </c>
      <c r="B767" s="302" t="s">
        <v>1852</v>
      </c>
      <c r="C767" s="1561"/>
      <c r="D767" s="1676" t="s">
        <v>2154</v>
      </c>
      <c r="E767" s="280"/>
      <c r="F767" s="280" t="s">
        <v>761</v>
      </c>
      <c r="G767" s="1561"/>
      <c r="H767" s="1561"/>
      <c r="I767" s="1562"/>
      <c r="J767" s="1562"/>
      <c r="K767" s="1582"/>
      <c r="L767" s="1561"/>
      <c r="M767" s="1674"/>
      <c r="N767" s="1561"/>
      <c r="O767" s="1561"/>
    </row>
    <row r="768" spans="1:15" ht="27">
      <c r="A768" s="564" t="s">
        <v>2145</v>
      </c>
      <c r="B768" s="302" t="s">
        <v>1852</v>
      </c>
      <c r="C768" s="1561"/>
      <c r="D768" s="1676" t="s">
        <v>2155</v>
      </c>
      <c r="E768" s="280"/>
      <c r="F768" s="280" t="s">
        <v>1700</v>
      </c>
      <c r="G768" s="1561"/>
      <c r="H768" s="1561"/>
      <c r="I768" s="1562"/>
      <c r="J768" s="1562"/>
      <c r="K768" s="1582"/>
      <c r="L768" s="1561"/>
      <c r="M768" s="1674"/>
      <c r="N768" s="1561"/>
      <c r="O768" s="1561"/>
    </row>
    <row r="769" spans="1:15" ht="27">
      <c r="A769" s="564" t="s">
        <v>2145</v>
      </c>
      <c r="B769" s="302" t="s">
        <v>1852</v>
      </c>
      <c r="C769" s="1561"/>
      <c r="D769" s="1676" t="s">
        <v>2156</v>
      </c>
      <c r="E769" s="280"/>
      <c r="F769" s="280" t="s">
        <v>1667</v>
      </c>
      <c r="G769" s="1561"/>
      <c r="H769" s="1561"/>
      <c r="I769" s="1562"/>
      <c r="J769" s="1562"/>
      <c r="K769" s="1582"/>
      <c r="L769" s="1561"/>
      <c r="M769" s="1674"/>
      <c r="N769" s="1561"/>
      <c r="O769" s="1561"/>
    </row>
    <row r="770" spans="1:15" ht="27">
      <c r="A770" s="564" t="s">
        <v>2145</v>
      </c>
      <c r="B770" s="302" t="s">
        <v>1852</v>
      </c>
      <c r="C770" s="1561"/>
      <c r="D770" s="1676" t="s">
        <v>2157</v>
      </c>
      <c r="E770" s="280"/>
      <c r="F770" s="280" t="s">
        <v>1793</v>
      </c>
      <c r="G770" s="1561"/>
      <c r="H770" s="1561"/>
      <c r="I770" s="1562"/>
      <c r="J770" s="1562"/>
      <c r="K770" s="1582"/>
      <c r="L770" s="1561"/>
      <c r="M770" s="1674"/>
      <c r="N770" s="1561"/>
      <c r="O770" s="1561"/>
    </row>
    <row r="771" spans="1:15" ht="27">
      <c r="A771" s="564" t="s">
        <v>2145</v>
      </c>
      <c r="B771" s="302" t="s">
        <v>1852</v>
      </c>
      <c r="C771" s="1561"/>
      <c r="D771" s="1581" t="s">
        <v>1368</v>
      </c>
      <c r="E771" s="280"/>
      <c r="F771" s="280" t="s">
        <v>1793</v>
      </c>
      <c r="G771" s="1561"/>
      <c r="H771" s="1561"/>
      <c r="I771" s="1583"/>
      <c r="J771" s="1562"/>
      <c r="K771" s="1582"/>
      <c r="L771" s="1561"/>
      <c r="M771" s="1674"/>
      <c r="N771" s="1561"/>
      <c r="O771" s="1561"/>
    </row>
    <row r="774" spans="1:15" ht="38.25">
      <c r="A774" s="564" t="s">
        <v>2160</v>
      </c>
      <c r="B774" s="302" t="s">
        <v>1852</v>
      </c>
      <c r="C774" s="1671" t="s">
        <v>2158</v>
      </c>
      <c r="D774" s="242" t="s">
        <v>2</v>
      </c>
      <c r="E774" s="1684"/>
      <c r="F774" s="1571" t="s">
        <v>1764</v>
      </c>
      <c r="G774" s="1571" t="s">
        <v>1</v>
      </c>
      <c r="H774" s="1672" t="s">
        <v>675</v>
      </c>
      <c r="I774" s="1672" t="s">
        <v>599</v>
      </c>
      <c r="J774" s="1672" t="s">
        <v>599</v>
      </c>
      <c r="K774" s="1565" t="s">
        <v>748</v>
      </c>
      <c r="L774" s="1673">
        <v>2000</v>
      </c>
      <c r="M774" s="1533" t="s">
        <v>1765</v>
      </c>
      <c r="N774" s="1565" t="s">
        <v>703</v>
      </c>
    </row>
    <row r="775" spans="1:15" ht="27">
      <c r="A775" s="564" t="s">
        <v>2160</v>
      </c>
      <c r="B775" s="302" t="s">
        <v>1852</v>
      </c>
      <c r="C775" s="1571" t="s">
        <v>2043</v>
      </c>
      <c r="D775" s="1569" t="s">
        <v>1766</v>
      </c>
      <c r="E775" s="1698">
        <v>5</v>
      </c>
      <c r="F775" s="1699" t="s">
        <v>1767</v>
      </c>
      <c r="G775" s="1571"/>
      <c r="H775" s="1571"/>
      <c r="I775" s="1672"/>
      <c r="J775" s="1672"/>
      <c r="K775" s="1672"/>
      <c r="L775" s="1565"/>
      <c r="M775" s="1673"/>
      <c r="N775" s="1533"/>
      <c r="O775" s="1565"/>
    </row>
    <row r="776" spans="1:15" ht="27">
      <c r="A776" s="564" t="s">
        <v>2160</v>
      </c>
      <c r="B776" s="302" t="s">
        <v>1852</v>
      </c>
      <c r="C776" s="1696"/>
      <c r="D776" s="1581" t="s">
        <v>1768</v>
      </c>
      <c r="E776" s="1698">
        <v>5</v>
      </c>
      <c r="F776" s="1699" t="s">
        <v>1767</v>
      </c>
      <c r="G776" s="1561"/>
      <c r="H776" s="1577"/>
      <c r="I776" s="1578"/>
      <c r="J776" s="1571"/>
      <c r="K776" s="1579"/>
      <c r="L776" s="1577"/>
      <c r="M776" s="1674"/>
      <c r="N776" s="1580"/>
      <c r="O776" s="1577"/>
    </row>
    <row r="777" spans="1:15" ht="27">
      <c r="A777" s="564" t="s">
        <v>2160</v>
      </c>
      <c r="B777" s="302" t="s">
        <v>1852</v>
      </c>
      <c r="C777" s="1577"/>
      <c r="D777" s="1581" t="s">
        <v>1769</v>
      </c>
      <c r="E777" s="1698">
        <v>5</v>
      </c>
      <c r="F777" s="1699" t="s">
        <v>1767</v>
      </c>
      <c r="G777" s="1561"/>
      <c r="H777" s="1577"/>
      <c r="I777" s="1578"/>
      <c r="J777" s="1571"/>
      <c r="K777" s="1579"/>
      <c r="L777" s="1577"/>
      <c r="M777" s="1674"/>
      <c r="N777" s="1580"/>
      <c r="O777" s="1577"/>
    </row>
    <row r="778" spans="1:15" ht="27">
      <c r="A778" s="564" t="s">
        <v>2160</v>
      </c>
      <c r="B778" s="302" t="s">
        <v>1852</v>
      </c>
      <c r="C778" s="1577"/>
      <c r="D778" s="1581" t="s">
        <v>1770</v>
      </c>
      <c r="E778" s="1698">
        <v>5</v>
      </c>
      <c r="F778" s="1699" t="s">
        <v>1767</v>
      </c>
      <c r="G778" s="1561"/>
      <c r="H778" s="1577"/>
      <c r="I778" s="1578"/>
      <c r="J778" s="1571"/>
      <c r="K778" s="1579"/>
      <c r="L778" s="1577"/>
      <c r="M778" s="1674"/>
      <c r="N778" s="1580"/>
      <c r="O778" s="1577"/>
    </row>
    <row r="779" spans="1:15" ht="27">
      <c r="A779" s="564" t="s">
        <v>2160</v>
      </c>
      <c r="B779" s="302" t="s">
        <v>1852</v>
      </c>
      <c r="C779" s="1561"/>
      <c r="D779" s="1581" t="s">
        <v>1771</v>
      </c>
      <c r="E779" s="1698">
        <v>5</v>
      </c>
      <c r="F779" s="1699" t="s">
        <v>1767</v>
      </c>
      <c r="G779" s="1561"/>
      <c r="H779" s="1561"/>
      <c r="I779" s="1562"/>
      <c r="J779" s="1562"/>
      <c r="K779" s="1582"/>
      <c r="L779" s="1561"/>
      <c r="M779" s="1674"/>
      <c r="N779" s="1561"/>
      <c r="O779" s="1561"/>
    </row>
    <row r="780" spans="1:15" ht="27">
      <c r="A780" s="564" t="s">
        <v>2160</v>
      </c>
      <c r="B780" s="302" t="s">
        <v>1852</v>
      </c>
      <c r="C780" s="1561"/>
      <c r="D780" s="1581" t="s">
        <v>1783</v>
      </c>
      <c r="E780" s="1698">
        <v>2</v>
      </c>
      <c r="F780" s="1699" t="s">
        <v>761</v>
      </c>
      <c r="G780" s="1561"/>
      <c r="H780" s="1561"/>
      <c r="I780" s="1562"/>
      <c r="J780" s="1562"/>
      <c r="K780" s="1582"/>
      <c r="L780" s="1561" t="s">
        <v>111</v>
      </c>
      <c r="M780" s="1674"/>
      <c r="N780" s="1561"/>
      <c r="O780" s="1561"/>
    </row>
    <row r="781" spans="1:15" ht="27">
      <c r="A781" s="564" t="s">
        <v>2160</v>
      </c>
      <c r="B781" s="302" t="s">
        <v>1852</v>
      </c>
      <c r="C781" s="1561"/>
      <c r="D781" s="1581" t="s">
        <v>2159</v>
      </c>
      <c r="E781" s="1698">
        <v>5</v>
      </c>
      <c r="F781" s="1699" t="s">
        <v>761</v>
      </c>
      <c r="G781" s="1561"/>
      <c r="H781" s="1561"/>
      <c r="I781" s="1562"/>
      <c r="J781" s="1562"/>
      <c r="K781" s="1582"/>
      <c r="L781" s="1561"/>
      <c r="M781" s="1674"/>
      <c r="N781" s="1561"/>
      <c r="O781" s="1561"/>
    </row>
    <row r="782" spans="1:15" ht="27">
      <c r="A782" s="564" t="s">
        <v>2160</v>
      </c>
      <c r="B782" s="302" t="s">
        <v>1852</v>
      </c>
      <c r="C782" s="1561"/>
      <c r="D782" s="1581" t="s">
        <v>1774</v>
      </c>
      <c r="E782" s="1698">
        <v>4</v>
      </c>
      <c r="F782" s="1699" t="s">
        <v>761</v>
      </c>
      <c r="G782" s="1561"/>
      <c r="H782" s="1561"/>
      <c r="I782" s="1583"/>
      <c r="J782" s="1562"/>
      <c r="K782" s="1582"/>
      <c r="L782" s="1561"/>
      <c r="M782" s="1674"/>
      <c r="N782" s="1561"/>
      <c r="O782" s="1561"/>
    </row>
    <row r="783" spans="1:15" ht="27">
      <c r="A783" s="564" t="s">
        <v>2160</v>
      </c>
      <c r="B783" s="302" t="s">
        <v>1852</v>
      </c>
      <c r="C783" s="1561"/>
      <c r="D783" s="1581" t="s">
        <v>1855</v>
      </c>
      <c r="E783" s="1698">
        <v>20</v>
      </c>
      <c r="F783" s="1699" t="s">
        <v>761</v>
      </c>
      <c r="G783" s="1561"/>
      <c r="H783" s="1561"/>
      <c r="I783" s="1579"/>
      <c r="J783" s="1579"/>
      <c r="K783" s="1579"/>
      <c r="L783" s="1675"/>
      <c r="M783" s="1674"/>
      <c r="N783" s="1561"/>
      <c r="O783" s="1561"/>
    </row>
    <row r="784" spans="1:15" ht="27">
      <c r="A784" s="564" t="s">
        <v>2160</v>
      </c>
      <c r="B784" s="302" t="s">
        <v>1852</v>
      </c>
      <c r="C784" s="1561"/>
      <c r="D784" s="1581" t="s">
        <v>1784</v>
      </c>
      <c r="E784" s="1698">
        <v>5</v>
      </c>
      <c r="F784" s="1699" t="s">
        <v>761</v>
      </c>
      <c r="G784" s="1561"/>
      <c r="H784" s="1561"/>
      <c r="I784" s="1579"/>
      <c r="J784" s="1579"/>
      <c r="K784" s="1579"/>
      <c r="L784" s="1561"/>
      <c r="M784" s="1674"/>
      <c r="N784" s="1561"/>
      <c r="O784" s="1561"/>
    </row>
    <row r="785" spans="1:15" ht="27">
      <c r="A785" s="564" t="s">
        <v>2160</v>
      </c>
      <c r="B785" s="302" t="s">
        <v>1852</v>
      </c>
      <c r="C785" s="1561"/>
      <c r="D785" s="1581" t="s">
        <v>1785</v>
      </c>
      <c r="E785" s="1698">
        <v>2</v>
      </c>
      <c r="F785" s="1699" t="s">
        <v>755</v>
      </c>
      <c r="G785" s="1561"/>
      <c r="H785" s="1561"/>
      <c r="I785" s="1579"/>
      <c r="J785" s="1579"/>
      <c r="K785" s="1579"/>
      <c r="L785" s="1561"/>
      <c r="M785" s="1674"/>
      <c r="N785" s="1561"/>
      <c r="O785" s="1561"/>
    </row>
    <row r="786" spans="1:15" ht="27">
      <c r="A786" s="564" t="s">
        <v>2160</v>
      </c>
      <c r="B786" s="302" t="s">
        <v>1852</v>
      </c>
      <c r="C786" s="1561"/>
      <c r="D786" s="1581" t="s">
        <v>1786</v>
      </c>
      <c r="E786" s="1698">
        <v>2</v>
      </c>
      <c r="F786" s="1699" t="s">
        <v>755</v>
      </c>
      <c r="G786" s="1561"/>
      <c r="H786" s="1561"/>
      <c r="I786" s="1583"/>
      <c r="J786" s="1562"/>
      <c r="K786" s="1582"/>
      <c r="L786" s="1561"/>
      <c r="M786" s="1674"/>
      <c r="N786" s="1561"/>
      <c r="O786" s="1561"/>
    </row>
    <row r="787" spans="1:15" ht="27">
      <c r="A787" s="564" t="s">
        <v>2160</v>
      </c>
      <c r="B787" s="302" t="s">
        <v>1852</v>
      </c>
      <c r="C787" s="1561"/>
      <c r="D787" s="1581" t="s">
        <v>1787</v>
      </c>
      <c r="E787" s="1700">
        <v>3</v>
      </c>
      <c r="F787" s="1701" t="s">
        <v>755</v>
      </c>
      <c r="G787" s="1561"/>
      <c r="H787" s="1561"/>
      <c r="I787" s="1579"/>
      <c r="J787" s="1579"/>
      <c r="K787" s="1579"/>
      <c r="L787" s="1561"/>
      <c r="M787" s="1674"/>
      <c r="N787" s="1561"/>
      <c r="O787" s="1561"/>
    </row>
    <row r="788" spans="1:15" ht="27">
      <c r="A788" s="564" t="s">
        <v>2160</v>
      </c>
      <c r="B788" s="302" t="s">
        <v>1852</v>
      </c>
      <c r="C788" s="1561"/>
      <c r="D788" s="1676" t="s">
        <v>1851</v>
      </c>
      <c r="E788" s="280"/>
      <c r="F788" s="280"/>
      <c r="G788" s="1561"/>
      <c r="H788" s="1561"/>
      <c r="I788" s="1562"/>
      <c r="J788" s="1562"/>
      <c r="K788" s="1582"/>
      <c r="L788" s="1561"/>
      <c r="M788" s="1674"/>
      <c r="N788" s="1561"/>
      <c r="O788" s="1561"/>
    </row>
    <row r="791" spans="1:15" ht="38.25">
      <c r="A791" s="564" t="s">
        <v>2160</v>
      </c>
      <c r="B791" s="302" t="s">
        <v>1852</v>
      </c>
      <c r="C791" s="1671" t="s">
        <v>2158</v>
      </c>
      <c r="D791" s="242" t="s">
        <v>2</v>
      </c>
      <c r="E791" s="1684"/>
      <c r="F791" s="1571" t="s">
        <v>1764</v>
      </c>
      <c r="G791" s="1571" t="s">
        <v>1</v>
      </c>
      <c r="H791" s="1672" t="s">
        <v>701</v>
      </c>
      <c r="I791" s="1672" t="s">
        <v>653</v>
      </c>
      <c r="J791" s="1672" t="s">
        <v>653</v>
      </c>
      <c r="K791" s="1565" t="s">
        <v>748</v>
      </c>
      <c r="L791" s="1673">
        <v>2000</v>
      </c>
      <c r="M791" s="1533" t="s">
        <v>1765</v>
      </c>
      <c r="N791" s="1565" t="s">
        <v>703</v>
      </c>
    </row>
    <row r="792" spans="1:15" ht="27">
      <c r="A792" s="564" t="s">
        <v>2160</v>
      </c>
      <c r="B792" s="302" t="s">
        <v>1852</v>
      </c>
      <c r="C792" s="1571" t="s">
        <v>2147</v>
      </c>
      <c r="D792" s="1569" t="s">
        <v>1766</v>
      </c>
      <c r="E792" s="1698">
        <v>5</v>
      </c>
      <c r="F792" s="1699" t="s">
        <v>1767</v>
      </c>
      <c r="G792" s="1571"/>
      <c r="H792" s="1571"/>
      <c r="I792" s="1672"/>
      <c r="J792" s="1672"/>
      <c r="K792" s="1672"/>
      <c r="L792" s="1565"/>
      <c r="M792" s="1673"/>
      <c r="N792" s="1533"/>
      <c r="O792" s="1565"/>
    </row>
    <row r="793" spans="1:15" ht="27">
      <c r="A793" s="564" t="s">
        <v>2160</v>
      </c>
      <c r="B793" s="302" t="s">
        <v>1852</v>
      </c>
      <c r="C793" s="1696"/>
      <c r="D793" s="1581" t="s">
        <v>1768</v>
      </c>
      <c r="E793" s="1698">
        <v>5</v>
      </c>
      <c r="F793" s="1699" t="s">
        <v>1767</v>
      </c>
      <c r="G793" s="1561"/>
      <c r="H793" s="1577"/>
      <c r="I793" s="1578"/>
      <c r="J793" s="1571"/>
      <c r="K793" s="1579"/>
      <c r="L793" s="1577"/>
      <c r="M793" s="1674"/>
      <c r="N793" s="1580"/>
      <c r="O793" s="1577"/>
    </row>
    <row r="794" spans="1:15" ht="27">
      <c r="A794" s="564" t="s">
        <v>2160</v>
      </c>
      <c r="B794" s="302" t="s">
        <v>1852</v>
      </c>
      <c r="C794" s="1577"/>
      <c r="D794" s="1581" t="s">
        <v>1769</v>
      </c>
      <c r="E794" s="1698">
        <v>5</v>
      </c>
      <c r="F794" s="1699" t="s">
        <v>1767</v>
      </c>
      <c r="G794" s="1561"/>
      <c r="H794" s="1577"/>
      <c r="I794" s="1578"/>
      <c r="J794" s="1571"/>
      <c r="K794" s="1579"/>
      <c r="L794" s="1577"/>
      <c r="M794" s="1674"/>
      <c r="N794" s="1580"/>
      <c r="O794" s="1577"/>
    </row>
    <row r="795" spans="1:15" ht="27">
      <c r="A795" s="564" t="s">
        <v>2160</v>
      </c>
      <c r="B795" s="302" t="s">
        <v>1852</v>
      </c>
      <c r="C795" s="1577"/>
      <c r="D795" s="1581" t="s">
        <v>1770</v>
      </c>
      <c r="E795" s="1698">
        <v>5</v>
      </c>
      <c r="F795" s="1699" t="s">
        <v>1767</v>
      </c>
      <c r="G795" s="1561"/>
      <c r="H795" s="1577"/>
      <c r="I795" s="1578"/>
      <c r="J795" s="1571"/>
      <c r="K795" s="1579"/>
      <c r="L795" s="1577"/>
      <c r="M795" s="1674"/>
      <c r="N795" s="1580"/>
      <c r="O795" s="1577"/>
    </row>
    <row r="796" spans="1:15" ht="27">
      <c r="A796" s="564" t="s">
        <v>2160</v>
      </c>
      <c r="B796" s="302" t="s">
        <v>1852</v>
      </c>
      <c r="C796" s="1561"/>
      <c r="D796" s="1581" t="s">
        <v>1771</v>
      </c>
      <c r="E796" s="1698">
        <v>5</v>
      </c>
      <c r="F796" s="1699" t="s">
        <v>1767</v>
      </c>
      <c r="G796" s="1561"/>
      <c r="H796" s="1561"/>
      <c r="I796" s="1562"/>
      <c r="J796" s="1562"/>
      <c r="K796" s="1582"/>
      <c r="L796" s="1561"/>
      <c r="M796" s="1674"/>
      <c r="N796" s="1561"/>
      <c r="O796" s="1561"/>
    </row>
    <row r="797" spans="1:15" ht="27">
      <c r="A797" s="564" t="s">
        <v>2160</v>
      </c>
      <c r="B797" s="302" t="s">
        <v>1852</v>
      </c>
      <c r="C797" s="1561"/>
      <c r="D797" s="1581" t="s">
        <v>1783</v>
      </c>
      <c r="E797" s="1698">
        <v>2</v>
      </c>
      <c r="F797" s="1699" t="s">
        <v>761</v>
      </c>
      <c r="G797" s="1561"/>
      <c r="H797" s="1561"/>
      <c r="I797" s="1562"/>
      <c r="J797" s="1562"/>
      <c r="K797" s="1582"/>
      <c r="L797" s="1561" t="s">
        <v>111</v>
      </c>
      <c r="M797" s="1674"/>
      <c r="N797" s="1561"/>
      <c r="O797" s="1561"/>
    </row>
    <row r="798" spans="1:15" ht="27">
      <c r="A798" s="564" t="s">
        <v>2160</v>
      </c>
      <c r="B798" s="302" t="s">
        <v>1852</v>
      </c>
      <c r="C798" s="1561"/>
      <c r="D798" s="1581" t="s">
        <v>2159</v>
      </c>
      <c r="E798" s="1698">
        <v>5</v>
      </c>
      <c r="F798" s="1699" t="s">
        <v>761</v>
      </c>
      <c r="G798" s="1561"/>
      <c r="H798" s="1561"/>
      <c r="I798" s="1562"/>
      <c r="J798" s="1562"/>
      <c r="K798" s="1582"/>
      <c r="L798" s="1561"/>
      <c r="M798" s="1674"/>
      <c r="N798" s="1561"/>
      <c r="O798" s="1561"/>
    </row>
    <row r="799" spans="1:15" ht="27">
      <c r="A799" s="564" t="s">
        <v>2160</v>
      </c>
      <c r="B799" s="302" t="s">
        <v>1852</v>
      </c>
      <c r="C799" s="1561"/>
      <c r="D799" s="1581" t="s">
        <v>1774</v>
      </c>
      <c r="E799" s="1698">
        <v>4</v>
      </c>
      <c r="F799" s="1699" t="s">
        <v>761</v>
      </c>
      <c r="G799" s="1561"/>
      <c r="H799" s="1561"/>
      <c r="I799" s="1583"/>
      <c r="J799" s="1562"/>
      <c r="K799" s="1582"/>
      <c r="L799" s="1561"/>
      <c r="M799" s="1674"/>
      <c r="N799" s="1561"/>
      <c r="O799" s="1561"/>
    </row>
    <row r="800" spans="1:15" ht="27">
      <c r="A800" s="564" t="s">
        <v>2160</v>
      </c>
      <c r="B800" s="302" t="s">
        <v>1852</v>
      </c>
      <c r="C800" s="1561"/>
      <c r="D800" s="1581" t="s">
        <v>1855</v>
      </c>
      <c r="E800" s="1698">
        <v>20</v>
      </c>
      <c r="F800" s="1699" t="s">
        <v>761</v>
      </c>
      <c r="G800" s="1561"/>
      <c r="H800" s="1561"/>
      <c r="I800" s="1579"/>
      <c r="J800" s="1579"/>
      <c r="K800" s="1579"/>
      <c r="L800" s="1675"/>
      <c r="M800" s="1674"/>
      <c r="N800" s="1561"/>
      <c r="O800" s="1561"/>
    </row>
    <row r="801" spans="1:15" ht="27">
      <c r="A801" s="564" t="s">
        <v>2160</v>
      </c>
      <c r="B801" s="302" t="s">
        <v>1852</v>
      </c>
      <c r="C801" s="1561"/>
      <c r="D801" s="1581" t="s">
        <v>1784</v>
      </c>
      <c r="E801" s="1698">
        <v>5</v>
      </c>
      <c r="F801" s="1699" t="s">
        <v>761</v>
      </c>
      <c r="G801" s="1561"/>
      <c r="H801" s="1561"/>
      <c r="I801" s="1579"/>
      <c r="J801" s="1579"/>
      <c r="K801" s="1579"/>
      <c r="L801" s="1561"/>
      <c r="M801" s="1674"/>
      <c r="N801" s="1561"/>
      <c r="O801" s="1561"/>
    </row>
    <row r="802" spans="1:15" ht="27">
      <c r="A802" s="564" t="s">
        <v>2160</v>
      </c>
      <c r="B802" s="302" t="s">
        <v>1852</v>
      </c>
      <c r="C802" s="1561"/>
      <c r="D802" s="1581" t="s">
        <v>1785</v>
      </c>
      <c r="E802" s="1698">
        <v>2</v>
      </c>
      <c r="F802" s="1699" t="s">
        <v>755</v>
      </c>
      <c r="G802" s="1561"/>
      <c r="H802" s="1561"/>
      <c r="I802" s="1579"/>
      <c r="J802" s="1579"/>
      <c r="K802" s="1579"/>
      <c r="L802" s="1561"/>
      <c r="M802" s="1674"/>
      <c r="N802" s="1561"/>
      <c r="O802" s="1561"/>
    </row>
    <row r="803" spans="1:15" ht="27">
      <c r="A803" s="564" t="s">
        <v>2160</v>
      </c>
      <c r="B803" s="302" t="s">
        <v>1852</v>
      </c>
      <c r="C803" s="1561"/>
      <c r="D803" s="1581" t="s">
        <v>1786</v>
      </c>
      <c r="E803" s="1698">
        <v>2</v>
      </c>
      <c r="F803" s="1699" t="s">
        <v>755</v>
      </c>
      <c r="G803" s="1561"/>
      <c r="H803" s="1561"/>
      <c r="I803" s="1583"/>
      <c r="J803" s="1562"/>
      <c r="K803" s="1582"/>
      <c r="L803" s="1561"/>
      <c r="M803" s="1674"/>
      <c r="N803" s="1561"/>
      <c r="O803" s="1561"/>
    </row>
    <row r="804" spans="1:15" ht="27">
      <c r="A804" s="564" t="s">
        <v>2160</v>
      </c>
      <c r="B804" s="302" t="s">
        <v>1852</v>
      </c>
      <c r="C804" s="1561"/>
      <c r="D804" s="1581" t="s">
        <v>1787</v>
      </c>
      <c r="E804" s="1700">
        <v>3</v>
      </c>
      <c r="F804" s="1701" t="s">
        <v>755</v>
      </c>
      <c r="G804" s="1561"/>
      <c r="H804" s="1561"/>
      <c r="I804" s="1579"/>
      <c r="J804" s="1579"/>
      <c r="K804" s="1579"/>
      <c r="L804" s="1561"/>
      <c r="M804" s="1674"/>
      <c r="N804" s="1561"/>
      <c r="O804" s="1561"/>
    </row>
    <row r="805" spans="1:15" ht="27">
      <c r="A805" s="564" t="s">
        <v>2160</v>
      </c>
      <c r="B805" s="302" t="s">
        <v>1852</v>
      </c>
      <c r="C805" s="1561"/>
      <c r="D805" s="1676" t="s">
        <v>1851</v>
      </c>
      <c r="E805" s="280"/>
      <c r="F805" s="280"/>
      <c r="G805" s="1561"/>
      <c r="H805" s="1561"/>
      <c r="I805" s="1562"/>
      <c r="J805" s="1562"/>
      <c r="K805" s="1582"/>
      <c r="L805" s="1561"/>
      <c r="M805" s="1674"/>
      <c r="N805" s="1561"/>
      <c r="O805" s="1561"/>
    </row>
    <row r="808" spans="1:15" ht="38.25">
      <c r="A808" s="564" t="s">
        <v>2195</v>
      </c>
      <c r="B808" s="302" t="s">
        <v>1852</v>
      </c>
      <c r="C808" s="1671" t="s">
        <v>2161</v>
      </c>
      <c r="D808" s="242" t="s">
        <v>2</v>
      </c>
      <c r="E808" s="1684"/>
      <c r="F808" s="1571" t="s">
        <v>1764</v>
      </c>
      <c r="G808" s="1571" t="s">
        <v>1</v>
      </c>
      <c r="H808" s="1672" t="s">
        <v>675</v>
      </c>
      <c r="I808" s="1672" t="s">
        <v>599</v>
      </c>
      <c r="J808" s="1672" t="s">
        <v>599</v>
      </c>
      <c r="K808" s="1565" t="s">
        <v>748</v>
      </c>
      <c r="L808" s="1673">
        <v>25000</v>
      </c>
      <c r="M808" s="1533" t="s">
        <v>1765</v>
      </c>
      <c r="N808" s="1565" t="s">
        <v>703</v>
      </c>
    </row>
    <row r="809" spans="1:15">
      <c r="A809" s="564" t="s">
        <v>2195</v>
      </c>
      <c r="B809" s="302" t="s">
        <v>1852</v>
      </c>
      <c r="C809" s="1571" t="s">
        <v>735</v>
      </c>
      <c r="D809" s="1581" t="s">
        <v>2015</v>
      </c>
      <c r="E809" s="280">
        <v>3</v>
      </c>
      <c r="F809" s="280" t="s">
        <v>2162</v>
      </c>
      <c r="G809" s="1561"/>
      <c r="H809" s="1577"/>
      <c r="I809" s="1578"/>
      <c r="J809" s="1571"/>
      <c r="K809" s="1579"/>
      <c r="L809" s="1577"/>
      <c r="M809" s="1674"/>
      <c r="N809" s="1580"/>
      <c r="O809" s="1577"/>
    </row>
    <row r="810" spans="1:15">
      <c r="A810" s="564" t="s">
        <v>2195</v>
      </c>
      <c r="B810" s="302" t="s">
        <v>1852</v>
      </c>
      <c r="C810" s="1577"/>
      <c r="D810" s="1581" t="s">
        <v>2163</v>
      </c>
      <c r="E810" s="280">
        <v>3</v>
      </c>
      <c r="F810" s="280" t="s">
        <v>2162</v>
      </c>
      <c r="G810" s="1561"/>
      <c r="H810" s="1577"/>
      <c r="I810" s="1578"/>
      <c r="J810" s="1571"/>
      <c r="K810" s="1579"/>
      <c r="L810" s="1577"/>
      <c r="M810" s="1674"/>
      <c r="N810" s="1580"/>
      <c r="O810" s="1577"/>
    </row>
    <row r="811" spans="1:15">
      <c r="A811" s="564" t="s">
        <v>2195</v>
      </c>
      <c r="B811" s="302" t="s">
        <v>1852</v>
      </c>
      <c r="C811" s="1577"/>
      <c r="D811" s="1581" t="s">
        <v>2164</v>
      </c>
      <c r="E811" s="280">
        <v>20</v>
      </c>
      <c r="F811" s="280" t="s">
        <v>855</v>
      </c>
      <c r="G811" s="1561"/>
      <c r="H811" s="1577"/>
      <c r="I811" s="1578"/>
      <c r="J811" s="1571"/>
      <c r="K811" s="1579"/>
      <c r="L811" s="1577"/>
      <c r="M811" s="1674"/>
      <c r="N811" s="1580"/>
      <c r="O811" s="1577"/>
    </row>
    <row r="812" spans="1:15">
      <c r="A812" s="564" t="s">
        <v>2195</v>
      </c>
      <c r="B812" s="302" t="s">
        <v>1852</v>
      </c>
      <c r="C812" s="1561"/>
      <c r="D812" s="1581" t="s">
        <v>173</v>
      </c>
      <c r="E812" s="280">
        <v>5</v>
      </c>
      <c r="F812" s="280" t="s">
        <v>855</v>
      </c>
      <c r="G812" s="1561"/>
      <c r="H812" s="1561"/>
      <c r="I812" s="1562"/>
      <c r="J812" s="1562"/>
      <c r="K812" s="1582"/>
      <c r="L812" s="1561"/>
      <c r="M812" s="1674"/>
      <c r="N812" s="1561"/>
      <c r="O812" s="1561"/>
    </row>
    <row r="813" spans="1:15">
      <c r="A813" s="564" t="s">
        <v>2195</v>
      </c>
      <c r="B813" s="302" t="s">
        <v>1852</v>
      </c>
      <c r="C813" s="1561"/>
      <c r="D813" s="1581" t="s">
        <v>2165</v>
      </c>
      <c r="E813" s="280">
        <v>3</v>
      </c>
      <c r="F813" s="280" t="s">
        <v>855</v>
      </c>
      <c r="G813" s="1561"/>
      <c r="H813" s="1561"/>
      <c r="I813" s="1562"/>
      <c r="J813" s="1562"/>
      <c r="K813" s="1582"/>
      <c r="L813" s="1561" t="s">
        <v>111</v>
      </c>
      <c r="M813" s="1674"/>
      <c r="N813" s="1561"/>
      <c r="O813" s="1561"/>
    </row>
    <row r="814" spans="1:15">
      <c r="A814" s="564" t="s">
        <v>2195</v>
      </c>
      <c r="B814" s="302" t="s">
        <v>1852</v>
      </c>
      <c r="C814" s="1561"/>
      <c r="D814" s="1581" t="s">
        <v>478</v>
      </c>
      <c r="E814" s="280">
        <v>2</v>
      </c>
      <c r="F814" s="280" t="s">
        <v>855</v>
      </c>
      <c r="G814" s="1561"/>
      <c r="H814" s="1561"/>
      <c r="I814" s="1562"/>
      <c r="J814" s="1562"/>
      <c r="K814" s="1582"/>
      <c r="L814" s="1561"/>
      <c r="M814" s="1674"/>
      <c r="N814" s="1561"/>
      <c r="O814" s="1561"/>
    </row>
    <row r="815" spans="1:15">
      <c r="A815" s="564" t="s">
        <v>2195</v>
      </c>
      <c r="B815" s="302" t="s">
        <v>1852</v>
      </c>
      <c r="C815" s="1561"/>
      <c r="D815" s="1581" t="s">
        <v>2166</v>
      </c>
      <c r="E815" s="280">
        <v>3</v>
      </c>
      <c r="F815" s="280" t="s">
        <v>855</v>
      </c>
      <c r="G815" s="1561"/>
      <c r="H815" s="1561"/>
      <c r="I815" s="1583"/>
      <c r="J815" s="1562"/>
      <c r="K815" s="1582"/>
      <c r="L815" s="1561"/>
      <c r="M815" s="1674"/>
      <c r="N815" s="1561"/>
      <c r="O815" s="1561"/>
    </row>
    <row r="816" spans="1:15">
      <c r="A816" s="564" t="s">
        <v>2195</v>
      </c>
      <c r="B816" s="302" t="s">
        <v>1852</v>
      </c>
      <c r="C816" s="1561"/>
      <c r="D816" s="1581" t="s">
        <v>176</v>
      </c>
      <c r="E816" s="280">
        <v>2</v>
      </c>
      <c r="F816" s="280" t="s">
        <v>855</v>
      </c>
      <c r="G816" s="1561"/>
      <c r="H816" s="1561"/>
      <c r="I816" s="1579"/>
      <c r="J816" s="1579"/>
      <c r="K816" s="1579"/>
      <c r="L816" s="1675"/>
      <c r="M816" s="1674"/>
      <c r="N816" s="1561"/>
      <c r="O816" s="1561"/>
    </row>
    <row r="817" spans="1:15">
      <c r="A817" s="564" t="s">
        <v>2195</v>
      </c>
      <c r="B817" s="302" t="s">
        <v>1852</v>
      </c>
      <c r="C817" s="1561"/>
      <c r="D817" s="1581" t="s">
        <v>2007</v>
      </c>
      <c r="E817" s="280">
        <v>2</v>
      </c>
      <c r="F817" s="280" t="s">
        <v>855</v>
      </c>
      <c r="G817" s="1561"/>
      <c r="H817" s="1561"/>
      <c r="I817" s="1579"/>
      <c r="J817" s="1579"/>
      <c r="K817" s="1579"/>
      <c r="L817" s="1561"/>
      <c r="M817" s="1674"/>
      <c r="N817" s="1561"/>
      <c r="O817" s="1561"/>
    </row>
    <row r="818" spans="1:15">
      <c r="A818" s="564" t="s">
        <v>2195</v>
      </c>
      <c r="B818" s="302" t="s">
        <v>1852</v>
      </c>
      <c r="C818" s="1561"/>
      <c r="D818" s="1581" t="s">
        <v>497</v>
      </c>
      <c r="E818" s="280">
        <v>2</v>
      </c>
      <c r="F818" s="280" t="s">
        <v>855</v>
      </c>
      <c r="G818" s="1561"/>
      <c r="H818" s="1561"/>
      <c r="I818" s="1579"/>
      <c r="J818" s="1579"/>
      <c r="K818" s="1579"/>
      <c r="L818" s="1561"/>
      <c r="M818" s="1674"/>
      <c r="N818" s="1561"/>
      <c r="O818" s="1561"/>
    </row>
    <row r="819" spans="1:15">
      <c r="A819" s="564" t="s">
        <v>2195</v>
      </c>
      <c r="B819" s="302" t="s">
        <v>1852</v>
      </c>
      <c r="C819" s="1561"/>
      <c r="D819" s="1581" t="s">
        <v>772</v>
      </c>
      <c r="E819" s="280">
        <v>2</v>
      </c>
      <c r="F819" s="280" t="s">
        <v>855</v>
      </c>
      <c r="G819" s="1561"/>
      <c r="H819" s="1561"/>
      <c r="I819" s="1583"/>
      <c r="J819" s="1562"/>
      <c r="K819" s="1582"/>
      <c r="L819" s="1561"/>
      <c r="M819" s="1674"/>
      <c r="N819" s="1561"/>
      <c r="O819" s="1561"/>
    </row>
    <row r="820" spans="1:15">
      <c r="A820" s="564" t="s">
        <v>2195</v>
      </c>
      <c r="B820" s="302" t="s">
        <v>1852</v>
      </c>
      <c r="C820" s="1561"/>
      <c r="D820" s="1581" t="s">
        <v>183</v>
      </c>
      <c r="E820" s="280">
        <v>1</v>
      </c>
      <c r="F820" s="280" t="s">
        <v>2167</v>
      </c>
      <c r="G820" s="1561"/>
      <c r="H820" s="1561"/>
      <c r="I820" s="1579"/>
      <c r="J820" s="1579"/>
      <c r="K820" s="1579"/>
      <c r="L820" s="1561"/>
      <c r="M820" s="1674"/>
      <c r="N820" s="1561"/>
      <c r="O820" s="1561"/>
    </row>
    <row r="821" spans="1:15">
      <c r="A821" s="564" t="s">
        <v>2195</v>
      </c>
      <c r="B821" s="302" t="s">
        <v>1852</v>
      </c>
      <c r="C821" s="1561"/>
      <c r="D821" s="1676" t="s">
        <v>2168</v>
      </c>
      <c r="E821" s="280">
        <v>3</v>
      </c>
      <c r="F821" s="280" t="s">
        <v>855</v>
      </c>
      <c r="G821" s="1561"/>
      <c r="H821" s="1561"/>
      <c r="I821" s="1562"/>
      <c r="J821" s="1562"/>
      <c r="K821" s="1582"/>
      <c r="L821" s="1561"/>
      <c r="M821" s="1674"/>
      <c r="N821" s="1561"/>
      <c r="O821" s="1561"/>
    </row>
    <row r="822" spans="1:15">
      <c r="A822" s="564" t="s">
        <v>2195</v>
      </c>
      <c r="B822" s="302" t="s">
        <v>1852</v>
      </c>
      <c r="C822" s="1561"/>
      <c r="D822" s="1581" t="s">
        <v>2169</v>
      </c>
      <c r="E822" s="280">
        <v>5</v>
      </c>
      <c r="F822" s="280" t="s">
        <v>855</v>
      </c>
      <c r="G822" s="1561"/>
      <c r="H822" s="1561"/>
      <c r="I822" s="1583"/>
      <c r="J822" s="1562"/>
      <c r="K822" s="1582"/>
      <c r="L822" s="1561"/>
      <c r="M822" s="1674"/>
      <c r="N822" s="1561"/>
      <c r="O822" s="1561"/>
    </row>
    <row r="823" spans="1:15">
      <c r="A823" s="564" t="s">
        <v>2195</v>
      </c>
      <c r="B823" s="302" t="s">
        <v>1852</v>
      </c>
      <c r="C823" s="1561"/>
      <c r="D823" s="1581" t="s">
        <v>178</v>
      </c>
      <c r="E823" s="280">
        <v>2</v>
      </c>
      <c r="F823" s="280" t="s">
        <v>855</v>
      </c>
      <c r="G823" s="1561"/>
      <c r="H823" s="1561"/>
      <c r="I823" s="1562"/>
      <c r="J823" s="1562"/>
      <c r="K823" s="1562"/>
      <c r="L823" s="1561"/>
      <c r="M823" s="1674"/>
      <c r="N823" s="1561"/>
      <c r="O823" s="1561"/>
    </row>
    <row r="824" spans="1:15">
      <c r="A824" s="564" t="s">
        <v>2195</v>
      </c>
      <c r="B824" s="302" t="s">
        <v>1852</v>
      </c>
      <c r="C824" s="1561"/>
      <c r="D824" s="1581" t="s">
        <v>2170</v>
      </c>
      <c r="E824" s="280">
        <v>1</v>
      </c>
      <c r="F824" s="280" t="s">
        <v>2167</v>
      </c>
      <c r="G824" s="1561"/>
      <c r="H824" s="1561"/>
      <c r="I824" s="1579"/>
      <c r="J824" s="1579"/>
      <c r="K824" s="1579"/>
      <c r="L824" s="1561"/>
      <c r="M824" s="1674"/>
      <c r="N824" s="1561"/>
      <c r="O824" s="1561"/>
    </row>
    <row r="825" spans="1:15">
      <c r="A825" s="564" t="s">
        <v>2195</v>
      </c>
      <c r="B825" s="302" t="s">
        <v>1852</v>
      </c>
      <c r="C825" s="1561"/>
      <c r="D825" s="1581" t="s">
        <v>2171</v>
      </c>
      <c r="E825" s="280">
        <v>10</v>
      </c>
      <c r="F825" s="280" t="s">
        <v>855</v>
      </c>
      <c r="G825" s="1561"/>
      <c r="H825" s="1561"/>
      <c r="I825" s="1562"/>
      <c r="J825" s="1562"/>
      <c r="K825" s="1582"/>
      <c r="L825" s="1561"/>
      <c r="M825" s="1674"/>
      <c r="N825" s="1561"/>
      <c r="O825" s="1561"/>
    </row>
    <row r="826" spans="1:15">
      <c r="A826" s="564" t="s">
        <v>2195</v>
      </c>
      <c r="B826" s="302" t="s">
        <v>1852</v>
      </c>
      <c r="C826" s="1561"/>
      <c r="D826" s="1581" t="s">
        <v>2172</v>
      </c>
      <c r="E826" s="280">
        <v>10</v>
      </c>
      <c r="F826" s="280" t="s">
        <v>855</v>
      </c>
      <c r="G826" s="1561"/>
      <c r="H826" s="1561"/>
      <c r="I826" s="1562"/>
      <c r="J826" s="1562"/>
      <c r="K826" s="1582"/>
      <c r="L826" s="1561"/>
      <c r="M826" s="1674"/>
      <c r="N826" s="1561"/>
      <c r="O826" s="1561"/>
    </row>
    <row r="827" spans="1:15">
      <c r="A827" s="564" t="s">
        <v>2195</v>
      </c>
      <c r="B827" s="302" t="s">
        <v>1852</v>
      </c>
      <c r="C827" s="1561"/>
      <c r="D827" s="1581" t="s">
        <v>2173</v>
      </c>
      <c r="E827" s="280">
        <v>10</v>
      </c>
      <c r="F827" s="280" t="s">
        <v>855</v>
      </c>
      <c r="G827" s="1561"/>
      <c r="H827" s="1561"/>
      <c r="I827" s="1562"/>
      <c r="J827" s="1562"/>
      <c r="K827" s="1582"/>
      <c r="L827" s="1561"/>
      <c r="M827" s="1674"/>
      <c r="N827" s="1561"/>
      <c r="O827" s="1561"/>
    </row>
    <row r="828" spans="1:15">
      <c r="A828" s="564" t="s">
        <v>2195</v>
      </c>
      <c r="B828" s="302" t="s">
        <v>1852</v>
      </c>
      <c r="C828" s="1561"/>
      <c r="D828" s="1581" t="s">
        <v>2174</v>
      </c>
      <c r="E828" s="280">
        <v>3</v>
      </c>
      <c r="F828" s="280" t="s">
        <v>2175</v>
      </c>
      <c r="G828" s="1561"/>
      <c r="H828" s="1561"/>
      <c r="I828" s="1562"/>
      <c r="J828" s="1562"/>
      <c r="K828" s="1582"/>
      <c r="L828" s="1561"/>
      <c r="M828" s="1674"/>
      <c r="N828" s="1561"/>
      <c r="O828" s="1561"/>
    </row>
    <row r="829" spans="1:15">
      <c r="A829" s="564" t="s">
        <v>2195</v>
      </c>
      <c r="B829" s="302" t="s">
        <v>1852</v>
      </c>
      <c r="C829" s="1561"/>
      <c r="D829" s="1581" t="s">
        <v>1899</v>
      </c>
      <c r="E829" s="280">
        <v>200</v>
      </c>
      <c r="F829" s="280" t="s">
        <v>855</v>
      </c>
      <c r="G829" s="1561"/>
      <c r="H829" s="1561"/>
      <c r="I829" s="1562"/>
      <c r="J829" s="1562"/>
      <c r="K829" s="1582"/>
      <c r="L829" s="1561"/>
      <c r="M829" s="1674"/>
      <c r="N829" s="1561"/>
      <c r="O829" s="1561"/>
    </row>
    <row r="830" spans="1:15">
      <c r="A830" s="564" t="s">
        <v>2195</v>
      </c>
      <c r="B830" s="302" t="s">
        <v>1852</v>
      </c>
      <c r="C830" s="1561"/>
      <c r="D830" s="1581" t="s">
        <v>1896</v>
      </c>
      <c r="E830" s="280">
        <v>150</v>
      </c>
      <c r="F830" s="280" t="s">
        <v>855</v>
      </c>
      <c r="G830" s="1561"/>
      <c r="H830" s="1561"/>
      <c r="I830" s="1562"/>
      <c r="J830" s="1562"/>
      <c r="K830" s="1582"/>
      <c r="L830" s="1561"/>
      <c r="M830" s="1674"/>
      <c r="N830" s="1561"/>
      <c r="O830" s="1561"/>
    </row>
    <row r="831" spans="1:15">
      <c r="A831" s="564" t="s">
        <v>2195</v>
      </c>
      <c r="B831" s="302" t="s">
        <v>1852</v>
      </c>
      <c r="C831" s="1561"/>
      <c r="D831" s="1581" t="s">
        <v>1898</v>
      </c>
      <c r="E831" s="280">
        <v>80</v>
      </c>
      <c r="F831" s="280" t="s">
        <v>855</v>
      </c>
      <c r="G831" s="1561"/>
      <c r="H831" s="1561"/>
      <c r="I831" s="1562"/>
      <c r="J831" s="1562"/>
      <c r="K831" s="1582"/>
      <c r="L831" s="1561"/>
      <c r="M831" s="1674"/>
      <c r="N831" s="1561"/>
      <c r="O831" s="1561"/>
    </row>
    <row r="832" spans="1:15">
      <c r="A832" s="564" t="s">
        <v>2195</v>
      </c>
      <c r="B832" s="302" t="s">
        <v>1852</v>
      </c>
      <c r="C832" s="1561"/>
      <c r="D832" s="1581" t="s">
        <v>1897</v>
      </c>
      <c r="E832" s="280">
        <v>100</v>
      </c>
      <c r="F832" s="280" t="s">
        <v>855</v>
      </c>
      <c r="G832" s="1561"/>
      <c r="H832" s="1561"/>
      <c r="I832" s="1562"/>
      <c r="J832" s="1562"/>
      <c r="K832" s="1582"/>
      <c r="L832" s="1561"/>
      <c r="M832" s="1674"/>
      <c r="N832" s="1561"/>
      <c r="O832" s="1561"/>
    </row>
    <row r="833" spans="1:15">
      <c r="A833" s="564" t="s">
        <v>2195</v>
      </c>
      <c r="B833" s="302" t="s">
        <v>1852</v>
      </c>
      <c r="C833" s="1561"/>
      <c r="D833" s="1677" t="s">
        <v>2176</v>
      </c>
      <c r="E833" s="280">
        <v>100</v>
      </c>
      <c r="F833" s="280" t="s">
        <v>855</v>
      </c>
      <c r="G833" s="1561"/>
      <c r="H833" s="1561"/>
      <c r="I833" s="1562"/>
      <c r="J833" s="1562"/>
      <c r="K833" s="1582"/>
      <c r="L833" s="1561"/>
      <c r="M833" s="1674" t="s">
        <v>111</v>
      </c>
      <c r="N833" s="1561"/>
      <c r="O833" s="1561"/>
    </row>
    <row r="834" spans="1:15">
      <c r="A834" s="564" t="s">
        <v>2195</v>
      </c>
      <c r="B834" s="302" t="s">
        <v>1852</v>
      </c>
      <c r="C834" s="1561"/>
      <c r="D834" s="1581" t="s">
        <v>1808</v>
      </c>
      <c r="E834" s="280">
        <v>50</v>
      </c>
      <c r="F834" s="280" t="s">
        <v>855</v>
      </c>
      <c r="G834" s="1561"/>
      <c r="H834" s="1561"/>
      <c r="I834" s="1562"/>
      <c r="J834" s="1562"/>
      <c r="K834" s="1582"/>
      <c r="L834" s="1561"/>
      <c r="M834" s="1674"/>
      <c r="N834" s="1561"/>
      <c r="O834" s="1561"/>
    </row>
    <row r="835" spans="1:15">
      <c r="A835" s="564" t="s">
        <v>2195</v>
      </c>
      <c r="B835" s="302" t="s">
        <v>1852</v>
      </c>
      <c r="C835" s="1577"/>
      <c r="D835" s="1581" t="s">
        <v>2177</v>
      </c>
      <c r="E835" s="280">
        <v>30</v>
      </c>
      <c r="F835" s="280" t="s">
        <v>2178</v>
      </c>
      <c r="G835" s="1577"/>
      <c r="H835" s="1577"/>
      <c r="I835" s="1571"/>
      <c r="J835" s="1571"/>
      <c r="K835" s="1579"/>
      <c r="L835" s="1577"/>
      <c r="M835" s="1674"/>
      <c r="N835" s="1577"/>
      <c r="O835" s="1577"/>
    </row>
    <row r="836" spans="1:15">
      <c r="A836" s="564" t="s">
        <v>2195</v>
      </c>
      <c r="B836" s="302" t="s">
        <v>1852</v>
      </c>
      <c r="C836" s="1577"/>
      <c r="D836" s="1581" t="s">
        <v>1824</v>
      </c>
      <c r="E836" s="280">
        <v>10</v>
      </c>
      <c r="F836" s="280" t="s">
        <v>855</v>
      </c>
      <c r="G836" s="1577"/>
      <c r="H836" s="1577"/>
      <c r="I836" s="1571"/>
      <c r="J836" s="1571"/>
      <c r="K836" s="1579"/>
      <c r="L836" s="1577"/>
      <c r="M836" s="1674"/>
      <c r="N836" s="1577"/>
      <c r="O836" s="1577"/>
    </row>
    <row r="837" spans="1:15">
      <c r="A837" s="564" t="s">
        <v>2195</v>
      </c>
      <c r="B837" s="302" t="s">
        <v>1852</v>
      </c>
      <c r="C837" s="1577"/>
      <c r="D837" s="1581" t="s">
        <v>2179</v>
      </c>
      <c r="E837" s="280">
        <v>300</v>
      </c>
      <c r="F837" s="280" t="s">
        <v>855</v>
      </c>
      <c r="G837" s="1577"/>
      <c r="H837" s="1577"/>
      <c r="I837" s="1571"/>
      <c r="J837" s="1571"/>
      <c r="K837" s="1579"/>
      <c r="L837" s="1577"/>
      <c r="M837" s="1674"/>
      <c r="N837" s="1577"/>
      <c r="O837" s="1577"/>
    </row>
    <row r="838" spans="1:15">
      <c r="A838" s="564" t="s">
        <v>2195</v>
      </c>
      <c r="B838" s="302" t="s">
        <v>1852</v>
      </c>
      <c r="C838" s="1577"/>
      <c r="D838" s="1581" t="s">
        <v>1031</v>
      </c>
      <c r="E838" s="280">
        <v>5</v>
      </c>
      <c r="F838" s="280" t="s">
        <v>2175</v>
      </c>
      <c r="G838" s="1577"/>
      <c r="H838" s="1678"/>
      <c r="I838" s="1571"/>
      <c r="J838" s="1571"/>
      <c r="K838" s="1579"/>
      <c r="L838" s="1577"/>
      <c r="M838" s="1674"/>
      <c r="N838" s="1577"/>
      <c r="O838" s="1577"/>
    </row>
    <row r="839" spans="1:15">
      <c r="A839" s="564" t="s">
        <v>2195</v>
      </c>
      <c r="B839" s="302" t="s">
        <v>1852</v>
      </c>
      <c r="C839" s="1577"/>
      <c r="D839" s="1581" t="s">
        <v>2180</v>
      </c>
      <c r="E839" s="280">
        <v>300</v>
      </c>
      <c r="F839" s="280" t="s">
        <v>855</v>
      </c>
      <c r="G839" s="1679"/>
      <c r="H839" s="1571"/>
      <c r="I839" s="1578"/>
      <c r="J839" s="1571"/>
      <c r="K839" s="1579"/>
      <c r="L839" s="1565"/>
      <c r="M839" s="1680"/>
      <c r="N839" s="1580"/>
      <c r="O839" s="1571"/>
    </row>
    <row r="840" spans="1:15">
      <c r="A840" s="564" t="s">
        <v>2195</v>
      </c>
      <c r="B840" s="302" t="s">
        <v>1852</v>
      </c>
      <c r="C840" s="1577"/>
      <c r="D840" s="1581" t="s">
        <v>2181</v>
      </c>
      <c r="E840" s="280">
        <v>300</v>
      </c>
      <c r="F840" s="280" t="s">
        <v>855</v>
      </c>
      <c r="G840" s="1571"/>
      <c r="H840" s="1571"/>
      <c r="I840" s="1571"/>
      <c r="J840" s="1571"/>
      <c r="K840" s="1571"/>
      <c r="L840" s="1577"/>
      <c r="M840" s="1681"/>
      <c r="N840" s="1577"/>
      <c r="O840" s="1571"/>
    </row>
    <row r="841" spans="1:15">
      <c r="A841" s="564" t="s">
        <v>2195</v>
      </c>
      <c r="B841" s="302" t="s">
        <v>1852</v>
      </c>
      <c r="C841" s="1577"/>
      <c r="D841" s="1581" t="s">
        <v>2182</v>
      </c>
      <c r="E841" s="280">
        <v>1000</v>
      </c>
      <c r="F841" s="280" t="s">
        <v>855</v>
      </c>
      <c r="G841" s="1679"/>
      <c r="H841" s="1571"/>
      <c r="I841" s="1571"/>
      <c r="J841" s="1571"/>
      <c r="K841" s="1571"/>
      <c r="L841" s="1577"/>
      <c r="M841" s="1681"/>
      <c r="N841" s="1577"/>
      <c r="O841" s="1571"/>
    </row>
    <row r="842" spans="1:15">
      <c r="A842" s="564" t="s">
        <v>2195</v>
      </c>
      <c r="B842" s="302" t="s">
        <v>1852</v>
      </c>
      <c r="C842" s="1577"/>
      <c r="D842" s="1581" t="s">
        <v>2183</v>
      </c>
      <c r="E842" s="280">
        <v>500</v>
      </c>
      <c r="F842" s="280" t="s">
        <v>855</v>
      </c>
      <c r="G842" s="1679"/>
      <c r="H842" s="1571"/>
      <c r="I842" s="1571"/>
      <c r="J842" s="1571"/>
      <c r="K842" s="1571"/>
      <c r="L842" s="1577"/>
      <c r="M842" s="1681"/>
      <c r="N842" s="1577"/>
      <c r="O842" s="1571"/>
    </row>
    <row r="843" spans="1:15">
      <c r="A843" s="564" t="s">
        <v>2195</v>
      </c>
      <c r="B843" s="302" t="s">
        <v>1852</v>
      </c>
      <c r="C843" s="1577"/>
      <c r="D843" s="1581" t="s">
        <v>2184</v>
      </c>
      <c r="E843" s="280">
        <v>500</v>
      </c>
      <c r="F843" s="280" t="s">
        <v>855</v>
      </c>
      <c r="G843" s="1679"/>
      <c r="H843" s="1571"/>
      <c r="I843" s="1571"/>
      <c r="J843" s="1571"/>
      <c r="K843" s="1571"/>
      <c r="L843" s="1577"/>
      <c r="M843" s="1681"/>
      <c r="N843" s="1577"/>
      <c r="O843" s="1571"/>
    </row>
    <row r="844" spans="1:15">
      <c r="A844" s="564" t="s">
        <v>2195</v>
      </c>
      <c r="B844" s="302" t="s">
        <v>1852</v>
      </c>
      <c r="C844" s="1577"/>
      <c r="D844" s="1581" t="s">
        <v>2185</v>
      </c>
      <c r="E844" s="280">
        <v>1000</v>
      </c>
      <c r="F844" s="280" t="s">
        <v>855</v>
      </c>
      <c r="G844" s="1679"/>
      <c r="H844" s="1571"/>
      <c r="I844" s="1571"/>
      <c r="J844" s="1571"/>
      <c r="K844" s="1571"/>
      <c r="L844" s="1577"/>
      <c r="M844" s="1681"/>
      <c r="N844" s="1577"/>
      <c r="O844" s="1571"/>
    </row>
    <row r="845" spans="1:15">
      <c r="A845" s="564" t="s">
        <v>2195</v>
      </c>
      <c r="B845" s="302" t="s">
        <v>1852</v>
      </c>
      <c r="C845" s="1577"/>
      <c r="D845" s="1581" t="s">
        <v>2186</v>
      </c>
      <c r="E845" s="280">
        <v>100</v>
      </c>
      <c r="F845" s="280" t="s">
        <v>855</v>
      </c>
      <c r="G845" s="1679"/>
      <c r="H845" s="1571"/>
      <c r="I845" s="1571"/>
      <c r="J845" s="1571"/>
      <c r="K845" s="1571"/>
      <c r="L845" s="1577"/>
      <c r="M845" s="1681"/>
      <c r="N845" s="1577"/>
      <c r="O845" s="1571"/>
    </row>
    <row r="846" spans="1:15">
      <c r="A846" s="564" t="s">
        <v>2195</v>
      </c>
      <c r="B846" s="302" t="s">
        <v>1852</v>
      </c>
      <c r="C846" s="1577"/>
      <c r="D846" s="1581" t="s">
        <v>2187</v>
      </c>
      <c r="E846" s="280">
        <v>5</v>
      </c>
      <c r="F846" s="280" t="s">
        <v>855</v>
      </c>
      <c r="G846" s="1679"/>
      <c r="H846" s="1571"/>
      <c r="I846" s="1571"/>
      <c r="J846" s="1571"/>
      <c r="K846" s="1571"/>
      <c r="L846" s="1577"/>
      <c r="M846" s="1681"/>
      <c r="N846" s="1577"/>
      <c r="O846" s="1571"/>
    </row>
    <row r="847" spans="1:15">
      <c r="A847" s="564" t="s">
        <v>2195</v>
      </c>
      <c r="B847" s="302" t="s">
        <v>1852</v>
      </c>
      <c r="C847" s="1577"/>
      <c r="D847" s="1581" t="s">
        <v>2188</v>
      </c>
      <c r="E847" s="280">
        <v>3</v>
      </c>
      <c r="F847" s="280" t="s">
        <v>2167</v>
      </c>
      <c r="G847" s="1679"/>
      <c r="H847" s="1571"/>
      <c r="I847" s="1571"/>
      <c r="J847" s="1571"/>
      <c r="K847" s="1571"/>
      <c r="L847" s="1577"/>
      <c r="M847" s="1681"/>
      <c r="N847" s="1577"/>
      <c r="O847" s="1571"/>
    </row>
    <row r="848" spans="1:15">
      <c r="A848" s="564" t="s">
        <v>2195</v>
      </c>
      <c r="B848" s="302" t="s">
        <v>1852</v>
      </c>
      <c r="C848" s="1577"/>
      <c r="D848" s="1581" t="s">
        <v>2189</v>
      </c>
      <c r="E848" s="280">
        <v>2</v>
      </c>
      <c r="F848" s="280" t="s">
        <v>2167</v>
      </c>
      <c r="G848" s="1679"/>
      <c r="H848" s="1571"/>
      <c r="I848" s="1571"/>
      <c r="J848" s="1571"/>
      <c r="K848" s="1571"/>
      <c r="L848" s="1577"/>
      <c r="M848" s="1681"/>
      <c r="N848" s="1577"/>
      <c r="O848" s="1571"/>
    </row>
    <row r="849" spans="1:15">
      <c r="A849" s="564" t="s">
        <v>2195</v>
      </c>
      <c r="B849" s="302" t="s">
        <v>1852</v>
      </c>
      <c r="C849" s="1577"/>
      <c r="D849" s="1581" t="s">
        <v>2190</v>
      </c>
      <c r="E849" s="280">
        <v>20</v>
      </c>
      <c r="F849" s="280" t="s">
        <v>855</v>
      </c>
      <c r="G849" s="1679"/>
      <c r="H849" s="1571"/>
      <c r="I849" s="1571"/>
      <c r="J849" s="1571"/>
      <c r="K849" s="1571"/>
      <c r="L849" s="1577"/>
      <c r="M849" s="1681"/>
      <c r="N849" s="1577"/>
      <c r="O849" s="1571"/>
    </row>
    <row r="850" spans="1:15">
      <c r="A850" s="564" t="s">
        <v>2195</v>
      </c>
      <c r="B850" s="302" t="s">
        <v>1852</v>
      </c>
      <c r="C850" s="1577"/>
      <c r="D850" s="1581" t="s">
        <v>2191</v>
      </c>
      <c r="E850" s="280">
        <v>10</v>
      </c>
      <c r="F850" s="280" t="s">
        <v>2192</v>
      </c>
      <c r="G850" s="1679"/>
      <c r="H850" s="1571"/>
      <c r="I850" s="1571"/>
      <c r="J850" s="1571"/>
      <c r="K850" s="1571"/>
      <c r="L850" s="1577"/>
      <c r="M850" s="1681"/>
      <c r="N850" s="1577"/>
      <c r="O850" s="1571"/>
    </row>
    <row r="851" spans="1:15">
      <c r="A851" s="564" t="s">
        <v>2195</v>
      </c>
      <c r="B851" s="302" t="s">
        <v>1852</v>
      </c>
      <c r="C851" s="1577"/>
      <c r="D851" s="1581" t="s">
        <v>2130</v>
      </c>
      <c r="E851" s="280">
        <v>1</v>
      </c>
      <c r="F851" s="280" t="s">
        <v>2193</v>
      </c>
      <c r="G851" s="1679"/>
      <c r="H851" s="1571"/>
      <c r="I851" s="1571"/>
      <c r="J851" s="1571"/>
      <c r="K851" s="1571"/>
      <c r="L851" s="1577"/>
      <c r="M851" s="1681"/>
      <c r="N851" s="1577"/>
      <c r="O851" s="1571"/>
    </row>
    <row r="852" spans="1:15">
      <c r="A852" s="564" t="s">
        <v>2195</v>
      </c>
      <c r="B852" s="302" t="s">
        <v>1852</v>
      </c>
      <c r="C852" s="1577"/>
      <c r="D852" s="1581" t="s">
        <v>2194</v>
      </c>
      <c r="E852" s="280">
        <v>50</v>
      </c>
      <c r="F852" s="280" t="s">
        <v>855</v>
      </c>
      <c r="G852" s="1679"/>
      <c r="H852" s="1571"/>
      <c r="I852" s="1571"/>
      <c r="J852" s="1571"/>
      <c r="K852" s="1571"/>
      <c r="L852" s="1577"/>
      <c r="M852" s="1681"/>
      <c r="N852" s="1577"/>
      <c r="O852" s="1571"/>
    </row>
    <row r="855" spans="1:15" ht="38.25">
      <c r="A855" s="564" t="s">
        <v>2195</v>
      </c>
      <c r="B855" s="302" t="s">
        <v>1852</v>
      </c>
      <c r="C855" s="1671" t="s">
        <v>2161</v>
      </c>
      <c r="D855" s="242" t="s">
        <v>2</v>
      </c>
      <c r="E855" s="1684"/>
      <c r="F855" s="1571" t="s">
        <v>1764</v>
      </c>
      <c r="G855" s="1571" t="s">
        <v>1</v>
      </c>
      <c r="H855" s="1672" t="s">
        <v>2196</v>
      </c>
      <c r="I855" s="1672" t="s">
        <v>653</v>
      </c>
      <c r="J855" s="1672" t="s">
        <v>653</v>
      </c>
      <c r="K855" s="1565" t="s">
        <v>748</v>
      </c>
      <c r="L855" s="1673">
        <v>25000</v>
      </c>
      <c r="M855" s="1533" t="s">
        <v>1765</v>
      </c>
      <c r="N855" s="1565" t="s">
        <v>703</v>
      </c>
    </row>
    <row r="856" spans="1:15">
      <c r="A856" s="564" t="s">
        <v>2195</v>
      </c>
      <c r="B856" s="302" t="s">
        <v>1852</v>
      </c>
      <c r="C856" s="1571" t="s">
        <v>704</v>
      </c>
      <c r="D856" s="1581" t="s">
        <v>2015</v>
      </c>
      <c r="E856" s="280">
        <v>3</v>
      </c>
      <c r="F856" s="280" t="s">
        <v>2162</v>
      </c>
      <c r="G856" s="1561"/>
      <c r="H856" s="1577"/>
      <c r="I856" s="1578"/>
      <c r="J856" s="1571"/>
      <c r="K856" s="1579"/>
      <c r="L856" s="1577"/>
      <c r="M856" s="1674"/>
      <c r="N856" s="1580"/>
      <c r="O856" s="1577"/>
    </row>
    <row r="857" spans="1:15">
      <c r="A857" s="564" t="s">
        <v>2195</v>
      </c>
      <c r="B857" s="302" t="s">
        <v>1852</v>
      </c>
      <c r="C857" s="1577"/>
      <c r="D857" s="1581" t="s">
        <v>2163</v>
      </c>
      <c r="E857" s="280">
        <v>3</v>
      </c>
      <c r="F857" s="280" t="s">
        <v>2162</v>
      </c>
      <c r="G857" s="1561"/>
      <c r="H857" s="1577"/>
      <c r="I857" s="1578"/>
      <c r="J857" s="1571"/>
      <c r="K857" s="1579"/>
      <c r="L857" s="1577"/>
      <c r="M857" s="1674"/>
      <c r="N857" s="1580"/>
      <c r="O857" s="1577"/>
    </row>
    <row r="858" spans="1:15">
      <c r="A858" s="564" t="s">
        <v>2195</v>
      </c>
      <c r="B858" s="302" t="s">
        <v>1852</v>
      </c>
      <c r="C858" s="1577"/>
      <c r="D858" s="1581" t="s">
        <v>2164</v>
      </c>
      <c r="E858" s="280">
        <v>20</v>
      </c>
      <c r="F858" s="280" t="s">
        <v>855</v>
      </c>
      <c r="G858" s="1561"/>
      <c r="H858" s="1577"/>
      <c r="I858" s="1578"/>
      <c r="J858" s="1571"/>
      <c r="K858" s="1579"/>
      <c r="L858" s="1577"/>
      <c r="M858" s="1674"/>
      <c r="N858" s="1580"/>
      <c r="O858" s="1577"/>
    </row>
    <row r="859" spans="1:15">
      <c r="A859" s="564" t="s">
        <v>2195</v>
      </c>
      <c r="B859" s="302" t="s">
        <v>1852</v>
      </c>
      <c r="C859" s="1561"/>
      <c r="D859" s="1581" t="s">
        <v>173</v>
      </c>
      <c r="E859" s="280">
        <v>5</v>
      </c>
      <c r="F859" s="280" t="s">
        <v>855</v>
      </c>
      <c r="G859" s="1561"/>
      <c r="H859" s="1561"/>
      <c r="I859" s="1562"/>
      <c r="J859" s="1562"/>
      <c r="K859" s="1582"/>
      <c r="L859" s="1561"/>
      <c r="M859" s="1674"/>
      <c r="N859" s="1561"/>
      <c r="O859" s="1561"/>
    </row>
    <row r="860" spans="1:15">
      <c r="A860" s="564" t="s">
        <v>2195</v>
      </c>
      <c r="B860" s="302" t="s">
        <v>1852</v>
      </c>
      <c r="C860" s="1561"/>
      <c r="D860" s="1581" t="s">
        <v>2165</v>
      </c>
      <c r="E860" s="280">
        <v>3</v>
      </c>
      <c r="F860" s="280" t="s">
        <v>855</v>
      </c>
      <c r="G860" s="1561"/>
      <c r="H860" s="1561"/>
      <c r="I860" s="1562"/>
      <c r="J860" s="1562"/>
      <c r="K860" s="1582"/>
      <c r="L860" s="1561" t="s">
        <v>111</v>
      </c>
      <c r="M860" s="1674"/>
      <c r="N860" s="1561"/>
      <c r="O860" s="1561"/>
    </row>
    <row r="861" spans="1:15">
      <c r="A861" s="564" t="s">
        <v>2195</v>
      </c>
      <c r="B861" s="302" t="s">
        <v>1852</v>
      </c>
      <c r="C861" s="1561"/>
      <c r="D861" s="1581" t="s">
        <v>478</v>
      </c>
      <c r="E861" s="280">
        <v>2</v>
      </c>
      <c r="F861" s="280" t="s">
        <v>855</v>
      </c>
      <c r="G861" s="1561"/>
      <c r="H861" s="1561"/>
      <c r="I861" s="1562"/>
      <c r="J861" s="1562"/>
      <c r="K861" s="1582"/>
      <c r="L861" s="1561"/>
      <c r="M861" s="1674"/>
      <c r="N861" s="1561"/>
      <c r="O861" s="1561"/>
    </row>
    <row r="862" spans="1:15">
      <c r="A862" s="564" t="s">
        <v>2195</v>
      </c>
      <c r="B862" s="302" t="s">
        <v>1852</v>
      </c>
      <c r="C862" s="1561"/>
      <c r="D862" s="1581" t="s">
        <v>2166</v>
      </c>
      <c r="E862" s="280">
        <v>3</v>
      </c>
      <c r="F862" s="280" t="s">
        <v>855</v>
      </c>
      <c r="G862" s="1561"/>
      <c r="H862" s="1561"/>
      <c r="I862" s="1583"/>
      <c r="J862" s="1562"/>
      <c r="K862" s="1582"/>
      <c r="L862" s="1561"/>
      <c r="M862" s="1674"/>
      <c r="N862" s="1561"/>
      <c r="O862" s="1561"/>
    </row>
    <row r="863" spans="1:15">
      <c r="A863" s="564" t="s">
        <v>2195</v>
      </c>
      <c r="B863" s="302" t="s">
        <v>1852</v>
      </c>
      <c r="C863" s="1561"/>
      <c r="D863" s="1581" t="s">
        <v>176</v>
      </c>
      <c r="E863" s="280">
        <v>2</v>
      </c>
      <c r="F863" s="280" t="s">
        <v>855</v>
      </c>
      <c r="G863" s="1561"/>
      <c r="H863" s="1561"/>
      <c r="I863" s="1579"/>
      <c r="J863" s="1579"/>
      <c r="K863" s="1579"/>
      <c r="L863" s="1675"/>
      <c r="M863" s="1674"/>
      <c r="N863" s="1561"/>
      <c r="O863" s="1561"/>
    </row>
    <row r="864" spans="1:15">
      <c r="A864" s="564" t="s">
        <v>2195</v>
      </c>
      <c r="B864" s="302" t="s">
        <v>1852</v>
      </c>
      <c r="C864" s="1561"/>
      <c r="D864" s="1581" t="s">
        <v>2007</v>
      </c>
      <c r="E864" s="280">
        <v>2</v>
      </c>
      <c r="F864" s="280" t="s">
        <v>855</v>
      </c>
      <c r="G864" s="1561"/>
      <c r="H864" s="1561"/>
      <c r="I864" s="1579"/>
      <c r="J864" s="1579"/>
      <c r="K864" s="1579"/>
      <c r="L864" s="1561"/>
      <c r="M864" s="1674"/>
      <c r="N864" s="1561"/>
      <c r="O864" s="1561"/>
    </row>
    <row r="865" spans="1:15">
      <c r="A865" s="564" t="s">
        <v>2195</v>
      </c>
      <c r="B865" s="302" t="s">
        <v>1852</v>
      </c>
      <c r="C865" s="1561"/>
      <c r="D865" s="1581" t="s">
        <v>497</v>
      </c>
      <c r="E865" s="280">
        <v>2</v>
      </c>
      <c r="F865" s="280" t="s">
        <v>855</v>
      </c>
      <c r="G865" s="1561"/>
      <c r="H865" s="1561"/>
      <c r="I865" s="1579"/>
      <c r="J865" s="1579"/>
      <c r="K865" s="1579"/>
      <c r="L865" s="1561"/>
      <c r="M865" s="1674"/>
      <c r="N865" s="1561"/>
      <c r="O865" s="1561"/>
    </row>
    <row r="866" spans="1:15">
      <c r="A866" s="564" t="s">
        <v>2195</v>
      </c>
      <c r="B866" s="302" t="s">
        <v>1852</v>
      </c>
      <c r="C866" s="1561"/>
      <c r="D866" s="1581" t="s">
        <v>772</v>
      </c>
      <c r="E866" s="280">
        <v>2</v>
      </c>
      <c r="F866" s="280" t="s">
        <v>855</v>
      </c>
      <c r="G866" s="1561"/>
      <c r="H866" s="1561"/>
      <c r="I866" s="1583"/>
      <c r="J866" s="1562"/>
      <c r="K866" s="1582"/>
      <c r="L866" s="1561"/>
      <c r="M866" s="1674"/>
      <c r="N866" s="1561"/>
      <c r="O866" s="1561"/>
    </row>
    <row r="867" spans="1:15">
      <c r="A867" s="564" t="s">
        <v>2195</v>
      </c>
      <c r="B867" s="302" t="s">
        <v>1852</v>
      </c>
      <c r="C867" s="1561"/>
      <c r="D867" s="1581" t="s">
        <v>183</v>
      </c>
      <c r="E867" s="280">
        <v>1</v>
      </c>
      <c r="F867" s="280" t="s">
        <v>2167</v>
      </c>
      <c r="G867" s="1561"/>
      <c r="H867" s="1561"/>
      <c r="I867" s="1579"/>
      <c r="J867" s="1579"/>
      <c r="K867" s="1579"/>
      <c r="L867" s="1561"/>
      <c r="M867" s="1674"/>
      <c r="N867" s="1561"/>
      <c r="O867" s="1561"/>
    </row>
    <row r="868" spans="1:15">
      <c r="A868" s="564" t="s">
        <v>2195</v>
      </c>
      <c r="B868" s="302" t="s">
        <v>1852</v>
      </c>
      <c r="C868" s="1561"/>
      <c r="D868" s="1676" t="s">
        <v>2168</v>
      </c>
      <c r="E868" s="280">
        <v>3</v>
      </c>
      <c r="F868" s="280" t="s">
        <v>855</v>
      </c>
      <c r="G868" s="1561"/>
      <c r="H868" s="1561"/>
      <c r="I868" s="1562"/>
      <c r="J868" s="1562"/>
      <c r="K868" s="1582"/>
      <c r="L868" s="1561"/>
      <c r="M868" s="1674"/>
      <c r="N868" s="1561"/>
      <c r="O868" s="1561"/>
    </row>
    <row r="869" spans="1:15">
      <c r="A869" s="564" t="s">
        <v>2195</v>
      </c>
      <c r="B869" s="302" t="s">
        <v>1852</v>
      </c>
      <c r="C869" s="1561"/>
      <c r="D869" s="1581" t="s">
        <v>2169</v>
      </c>
      <c r="E869" s="280">
        <v>5</v>
      </c>
      <c r="F869" s="280" t="s">
        <v>855</v>
      </c>
      <c r="G869" s="1561"/>
      <c r="H869" s="1561"/>
      <c r="I869" s="1583"/>
      <c r="J869" s="1562"/>
      <c r="K869" s="1582"/>
      <c r="L869" s="1561"/>
      <c r="M869" s="1674"/>
      <c r="N869" s="1561"/>
      <c r="O869" s="1561"/>
    </row>
    <row r="870" spans="1:15">
      <c r="A870" s="564" t="s">
        <v>2195</v>
      </c>
      <c r="B870" s="302" t="s">
        <v>1852</v>
      </c>
      <c r="C870" s="1561"/>
      <c r="D870" s="1581" t="s">
        <v>178</v>
      </c>
      <c r="E870" s="280">
        <v>2</v>
      </c>
      <c r="F870" s="280" t="s">
        <v>855</v>
      </c>
      <c r="G870" s="1561"/>
      <c r="H870" s="1561"/>
      <c r="I870" s="1562"/>
      <c r="J870" s="1562"/>
      <c r="K870" s="1562"/>
      <c r="L870" s="1561"/>
      <c r="M870" s="1674"/>
      <c r="N870" s="1561"/>
      <c r="O870" s="1561"/>
    </row>
    <row r="871" spans="1:15">
      <c r="A871" s="564" t="s">
        <v>2195</v>
      </c>
      <c r="B871" s="302" t="s">
        <v>1852</v>
      </c>
      <c r="C871" s="1561"/>
      <c r="D871" s="1581" t="s">
        <v>2170</v>
      </c>
      <c r="E871" s="280">
        <v>10</v>
      </c>
      <c r="F871" s="280" t="s">
        <v>2167</v>
      </c>
      <c r="G871" s="1561"/>
      <c r="H871" s="1561"/>
      <c r="I871" s="1579"/>
      <c r="J871" s="1579"/>
      <c r="K871" s="1579"/>
      <c r="L871" s="1561"/>
      <c r="M871" s="1674"/>
      <c r="N871" s="1561"/>
      <c r="O871" s="1561"/>
    </row>
    <row r="872" spans="1:15">
      <c r="A872" s="564" t="s">
        <v>2195</v>
      </c>
      <c r="B872" s="302" t="s">
        <v>1852</v>
      </c>
      <c r="C872" s="1561"/>
      <c r="D872" s="1581" t="s">
        <v>2171</v>
      </c>
      <c r="E872" s="280">
        <v>10</v>
      </c>
      <c r="F872" s="280" t="s">
        <v>855</v>
      </c>
      <c r="G872" s="1561"/>
      <c r="H872" s="1561"/>
      <c r="I872" s="1562"/>
      <c r="J872" s="1562"/>
      <c r="K872" s="1582"/>
      <c r="L872" s="1561"/>
      <c r="M872" s="1674"/>
      <c r="N872" s="1561"/>
      <c r="O872" s="1561"/>
    </row>
    <row r="873" spans="1:15">
      <c r="A873" s="564" t="s">
        <v>2195</v>
      </c>
      <c r="B873" s="302" t="s">
        <v>1852</v>
      </c>
      <c r="C873" s="1561"/>
      <c r="D873" s="1581" t="s">
        <v>2172</v>
      </c>
      <c r="E873" s="280">
        <v>10</v>
      </c>
      <c r="F873" s="280" t="s">
        <v>855</v>
      </c>
      <c r="G873" s="1561"/>
      <c r="H873" s="1561"/>
      <c r="I873" s="1562"/>
      <c r="J873" s="1562"/>
      <c r="K873" s="1582"/>
      <c r="L873" s="1561"/>
      <c r="M873" s="1674"/>
      <c r="N873" s="1561"/>
      <c r="O873" s="1561"/>
    </row>
    <row r="874" spans="1:15">
      <c r="A874" s="564" t="s">
        <v>2195</v>
      </c>
      <c r="B874" s="302" t="s">
        <v>1852</v>
      </c>
      <c r="C874" s="1561"/>
      <c r="D874" s="1581" t="s">
        <v>2173</v>
      </c>
      <c r="E874" s="280">
        <v>10</v>
      </c>
      <c r="F874" s="280" t="s">
        <v>855</v>
      </c>
      <c r="G874" s="1561"/>
      <c r="H874" s="1561"/>
      <c r="I874" s="1562"/>
      <c r="J874" s="1562"/>
      <c r="K874" s="1582"/>
      <c r="L874" s="1561"/>
      <c r="M874" s="1674"/>
      <c r="N874" s="1561"/>
      <c r="O874" s="1561"/>
    </row>
    <row r="875" spans="1:15">
      <c r="A875" s="564" t="s">
        <v>2195</v>
      </c>
      <c r="B875" s="302" t="s">
        <v>1852</v>
      </c>
      <c r="C875" s="1561"/>
      <c r="D875" s="1581" t="s">
        <v>2174</v>
      </c>
      <c r="E875" s="280">
        <v>5</v>
      </c>
      <c r="F875" s="280" t="s">
        <v>2175</v>
      </c>
      <c r="G875" s="1561"/>
      <c r="H875" s="1561"/>
      <c r="I875" s="1562"/>
      <c r="J875" s="1562"/>
      <c r="K875" s="1582"/>
      <c r="L875" s="1561"/>
      <c r="M875" s="1674"/>
      <c r="N875" s="1561"/>
      <c r="O875" s="1561"/>
    </row>
    <row r="876" spans="1:15">
      <c r="A876" s="564" t="s">
        <v>2195</v>
      </c>
      <c r="B876" s="302" t="s">
        <v>1852</v>
      </c>
      <c r="C876" s="1561"/>
      <c r="D876" s="1581" t="s">
        <v>2052</v>
      </c>
      <c r="E876" s="280">
        <v>300</v>
      </c>
      <c r="F876" s="280" t="s">
        <v>855</v>
      </c>
      <c r="G876" s="1561"/>
      <c r="H876" s="1561"/>
      <c r="I876" s="1562"/>
      <c r="J876" s="1562"/>
      <c r="K876" s="1582"/>
      <c r="L876" s="1561"/>
      <c r="M876" s="1674"/>
      <c r="N876" s="1561"/>
      <c r="O876" s="1561"/>
    </row>
    <row r="877" spans="1:15">
      <c r="A877" s="564" t="s">
        <v>2195</v>
      </c>
      <c r="B877" s="302" t="s">
        <v>1852</v>
      </c>
      <c r="C877" s="1561"/>
      <c r="D877" s="1581" t="s">
        <v>1896</v>
      </c>
      <c r="E877" s="280">
        <v>200</v>
      </c>
      <c r="F877" s="280" t="s">
        <v>855</v>
      </c>
      <c r="G877" s="1561"/>
      <c r="H877" s="1561"/>
      <c r="I877" s="1562"/>
      <c r="J877" s="1562"/>
      <c r="K877" s="1582"/>
      <c r="L877" s="1561"/>
      <c r="M877" s="1674"/>
      <c r="N877" s="1561"/>
      <c r="O877" s="1561"/>
    </row>
    <row r="878" spans="1:15">
      <c r="A878" s="564" t="s">
        <v>2195</v>
      </c>
      <c r="B878" s="302" t="s">
        <v>1852</v>
      </c>
      <c r="C878" s="1561"/>
      <c r="D878" s="1581" t="s">
        <v>1898</v>
      </c>
      <c r="E878" s="280">
        <v>50</v>
      </c>
      <c r="F878" s="280" t="s">
        <v>855</v>
      </c>
      <c r="G878" s="1561"/>
      <c r="H878" s="1561"/>
      <c r="I878" s="1562"/>
      <c r="J878" s="1562"/>
      <c r="K878" s="1582"/>
      <c r="L878" s="1561"/>
      <c r="M878" s="1674"/>
      <c r="N878" s="1561"/>
      <c r="O878" s="1561"/>
    </row>
    <row r="879" spans="1:15">
      <c r="A879" s="564" t="s">
        <v>2195</v>
      </c>
      <c r="B879" s="302" t="s">
        <v>1852</v>
      </c>
      <c r="C879" s="1561"/>
      <c r="D879" s="1581" t="s">
        <v>1897</v>
      </c>
      <c r="E879" s="280">
        <v>200</v>
      </c>
      <c r="F879" s="280" t="s">
        <v>855</v>
      </c>
      <c r="G879" s="1561"/>
      <c r="H879" s="1561"/>
      <c r="I879" s="1562"/>
      <c r="J879" s="1562"/>
      <c r="K879" s="1582"/>
      <c r="L879" s="1561"/>
      <c r="M879" s="1674" t="s">
        <v>111</v>
      </c>
      <c r="N879" s="1561"/>
      <c r="O879" s="1561"/>
    </row>
    <row r="880" spans="1:15">
      <c r="A880" s="564" t="s">
        <v>2195</v>
      </c>
      <c r="B880" s="302" t="s">
        <v>1852</v>
      </c>
      <c r="C880" s="1561"/>
      <c r="D880" s="1677" t="s">
        <v>2176</v>
      </c>
      <c r="E880" s="280">
        <v>100</v>
      </c>
      <c r="F880" s="280" t="s">
        <v>855</v>
      </c>
      <c r="G880" s="1561"/>
      <c r="H880" s="1561"/>
      <c r="I880" s="1562"/>
      <c r="J880" s="1562"/>
      <c r="K880" s="1582"/>
      <c r="L880" s="1561"/>
      <c r="M880" s="1674"/>
      <c r="N880" s="1561"/>
      <c r="O880" s="1561"/>
    </row>
    <row r="881" spans="1:15">
      <c r="A881" s="564" t="s">
        <v>2195</v>
      </c>
      <c r="B881" s="302" t="s">
        <v>1852</v>
      </c>
      <c r="C881" s="1577"/>
      <c r="D881" s="1581" t="s">
        <v>1808</v>
      </c>
      <c r="E881" s="280">
        <v>50</v>
      </c>
      <c r="F881" s="280" t="s">
        <v>855</v>
      </c>
      <c r="G881" s="1577"/>
      <c r="H881" s="1577"/>
      <c r="I881" s="1571"/>
      <c r="J881" s="1571"/>
      <c r="K881" s="1579"/>
      <c r="L881" s="1577"/>
      <c r="M881" s="1674"/>
      <c r="N881" s="1577"/>
      <c r="O881" s="1577"/>
    </row>
    <row r="882" spans="1:15">
      <c r="A882" s="564" t="s">
        <v>2195</v>
      </c>
      <c r="B882" s="302" t="s">
        <v>1852</v>
      </c>
      <c r="C882" s="1577"/>
      <c r="D882" s="1581" t="s">
        <v>2177</v>
      </c>
      <c r="E882" s="280">
        <v>30</v>
      </c>
      <c r="F882" s="280" t="s">
        <v>2178</v>
      </c>
      <c r="G882" s="1577"/>
      <c r="H882" s="1577"/>
      <c r="I882" s="1571"/>
      <c r="J882" s="1571"/>
      <c r="K882" s="1579"/>
      <c r="L882" s="1577"/>
      <c r="M882" s="1674"/>
      <c r="N882" s="1577"/>
      <c r="O882" s="1577"/>
    </row>
    <row r="883" spans="1:15">
      <c r="A883" s="564" t="s">
        <v>2195</v>
      </c>
      <c r="B883" s="302" t="s">
        <v>1852</v>
      </c>
      <c r="C883" s="1577"/>
      <c r="D883" s="1581" t="s">
        <v>1903</v>
      </c>
      <c r="E883" s="280">
        <v>5</v>
      </c>
      <c r="F883" s="280" t="s">
        <v>1793</v>
      </c>
      <c r="G883" s="1577"/>
      <c r="H883" s="1577"/>
      <c r="I883" s="1571"/>
      <c r="J883" s="1571"/>
      <c r="K883" s="1579"/>
      <c r="L883" s="1577"/>
      <c r="M883" s="1674"/>
      <c r="N883" s="1577"/>
      <c r="O883" s="1577"/>
    </row>
    <row r="884" spans="1:15">
      <c r="A884" s="564" t="s">
        <v>2195</v>
      </c>
      <c r="B884" s="302" t="s">
        <v>1852</v>
      </c>
      <c r="C884" s="1577"/>
      <c r="D884" s="1581" t="s">
        <v>2179</v>
      </c>
      <c r="E884" s="280">
        <v>20</v>
      </c>
      <c r="F884" s="280" t="s">
        <v>795</v>
      </c>
      <c r="G884" s="1577"/>
      <c r="H884" s="1678"/>
      <c r="I884" s="1571"/>
      <c r="J884" s="1571"/>
      <c r="K884" s="1579"/>
      <c r="L884" s="1577"/>
      <c r="M884" s="1674"/>
      <c r="N884" s="1577"/>
      <c r="O884" s="1577"/>
    </row>
    <row r="885" spans="1:15">
      <c r="A885" s="564" t="s">
        <v>2195</v>
      </c>
      <c r="B885" s="302" t="s">
        <v>1852</v>
      </c>
      <c r="C885" s="1577"/>
      <c r="D885" s="1581" t="s">
        <v>1906</v>
      </c>
      <c r="E885" s="280">
        <v>2</v>
      </c>
      <c r="F885" s="280" t="s">
        <v>2175</v>
      </c>
      <c r="G885" s="1679"/>
      <c r="H885" s="1571"/>
      <c r="I885" s="1578"/>
      <c r="J885" s="1571"/>
      <c r="K885" s="1579"/>
      <c r="L885" s="1565"/>
      <c r="M885" s="1680"/>
      <c r="N885" s="1580"/>
      <c r="O885" s="1571"/>
    </row>
    <row r="886" spans="1:15">
      <c r="A886" s="564" t="s">
        <v>2195</v>
      </c>
      <c r="B886" s="302" t="s">
        <v>1852</v>
      </c>
      <c r="C886" s="1577"/>
      <c r="D886" s="1581" t="s">
        <v>2180</v>
      </c>
      <c r="E886" s="280">
        <v>300</v>
      </c>
      <c r="F886" s="280" t="s">
        <v>855</v>
      </c>
      <c r="G886" s="1571"/>
      <c r="H886" s="1571"/>
      <c r="I886" s="1571"/>
      <c r="J886" s="1571"/>
      <c r="K886" s="1571"/>
      <c r="L886" s="1577"/>
      <c r="M886" s="1681"/>
      <c r="N886" s="1577"/>
      <c r="O886" s="1571"/>
    </row>
    <row r="887" spans="1:15">
      <c r="A887" s="564" t="s">
        <v>2195</v>
      </c>
      <c r="B887" s="302" t="s">
        <v>1852</v>
      </c>
      <c r="C887" s="1577"/>
      <c r="D887" s="1581" t="s">
        <v>2181</v>
      </c>
      <c r="E887" s="280">
        <v>300</v>
      </c>
      <c r="F887" s="280" t="s">
        <v>855</v>
      </c>
      <c r="G887" s="1679"/>
      <c r="H887" s="1571"/>
      <c r="I887" s="1571"/>
      <c r="J887" s="1571"/>
      <c r="K887" s="1571"/>
      <c r="L887" s="1577"/>
      <c r="M887" s="1681"/>
      <c r="N887" s="1577"/>
      <c r="O887" s="1571"/>
    </row>
    <row r="888" spans="1:15">
      <c r="A888" s="564" t="s">
        <v>2195</v>
      </c>
      <c r="B888" s="302" t="s">
        <v>1852</v>
      </c>
      <c r="C888" s="1577"/>
      <c r="D888" s="1581" t="s">
        <v>2182</v>
      </c>
      <c r="E888" s="280">
        <v>1000</v>
      </c>
      <c r="F888" s="280" t="s">
        <v>855</v>
      </c>
      <c r="G888" s="1679"/>
      <c r="H888" s="1571"/>
      <c r="I888" s="1571"/>
      <c r="J888" s="1571"/>
      <c r="K888" s="1571"/>
      <c r="L888" s="1577"/>
      <c r="M888" s="1681"/>
      <c r="N888" s="1577"/>
      <c r="O888" s="1571"/>
    </row>
    <row r="889" spans="1:15">
      <c r="A889" s="564" t="s">
        <v>2195</v>
      </c>
      <c r="B889" s="302" t="s">
        <v>1852</v>
      </c>
      <c r="C889" s="1577"/>
      <c r="D889" s="1581" t="s">
        <v>2183</v>
      </c>
      <c r="E889" s="280">
        <v>500</v>
      </c>
      <c r="F889" s="280" t="s">
        <v>855</v>
      </c>
      <c r="G889" s="1679"/>
      <c r="H889" s="1571"/>
      <c r="I889" s="1571"/>
      <c r="J889" s="1571"/>
      <c r="K889" s="1571"/>
      <c r="L889" s="1577"/>
      <c r="M889" s="1681"/>
      <c r="N889" s="1577"/>
      <c r="O889" s="1571"/>
    </row>
    <row r="890" spans="1:15">
      <c r="A890" s="564" t="s">
        <v>2195</v>
      </c>
      <c r="B890" s="302" t="s">
        <v>1852</v>
      </c>
      <c r="C890" s="1577"/>
      <c r="D890" s="1581" t="s">
        <v>2184</v>
      </c>
      <c r="E890" s="280">
        <v>500</v>
      </c>
      <c r="F890" s="280" t="s">
        <v>855</v>
      </c>
      <c r="G890" s="1679"/>
      <c r="H890" s="1571"/>
      <c r="I890" s="1571"/>
      <c r="J890" s="1571"/>
      <c r="K890" s="1571"/>
      <c r="L890" s="1577"/>
      <c r="M890" s="1681"/>
      <c r="N890" s="1577"/>
      <c r="O890" s="1571"/>
    </row>
    <row r="891" spans="1:15">
      <c r="A891" s="564" t="s">
        <v>2195</v>
      </c>
      <c r="B891" s="302" t="s">
        <v>1852</v>
      </c>
      <c r="C891" s="1577"/>
      <c r="D891" s="1581" t="s">
        <v>2185</v>
      </c>
      <c r="E891" s="280">
        <v>500</v>
      </c>
      <c r="F891" s="280" t="s">
        <v>855</v>
      </c>
      <c r="G891" s="1679"/>
      <c r="H891" s="1571"/>
      <c r="I891" s="1571"/>
      <c r="J891" s="1571"/>
      <c r="K891" s="1571"/>
      <c r="L891" s="1577"/>
      <c r="M891" s="1681"/>
      <c r="N891" s="1577"/>
      <c r="O891" s="1571"/>
    </row>
    <row r="892" spans="1:15">
      <c r="A892" s="564" t="s">
        <v>2195</v>
      </c>
      <c r="B892" s="302" t="s">
        <v>1852</v>
      </c>
      <c r="C892" s="1577"/>
      <c r="D892" s="1581" t="s">
        <v>2197</v>
      </c>
      <c r="E892" s="280">
        <v>20</v>
      </c>
      <c r="F892" s="280" t="s">
        <v>855</v>
      </c>
      <c r="G892" s="1679"/>
      <c r="H892" s="1571"/>
      <c r="I892" s="1571"/>
      <c r="J892" s="1571"/>
      <c r="K892" s="1571"/>
      <c r="L892" s="1577"/>
      <c r="M892" s="1681"/>
      <c r="N892" s="1577"/>
      <c r="O892" s="1571"/>
    </row>
    <row r="893" spans="1:15">
      <c r="A893" s="564" t="s">
        <v>2195</v>
      </c>
      <c r="B893" s="302" t="s">
        <v>1852</v>
      </c>
      <c r="C893" s="1577"/>
      <c r="D893" s="1581" t="s">
        <v>2198</v>
      </c>
      <c r="E893" s="280">
        <v>25</v>
      </c>
      <c r="F893" s="280" t="s">
        <v>855</v>
      </c>
      <c r="G893" s="1679"/>
      <c r="H893" s="1571"/>
      <c r="I893" s="1571"/>
      <c r="J893" s="1571"/>
      <c r="K893" s="1571"/>
      <c r="L893" s="1577"/>
      <c r="M893" s="1681"/>
      <c r="N893" s="1577"/>
      <c r="O893" s="1571"/>
    </row>
    <row r="894" spans="1:15">
      <c r="A894" s="564" t="s">
        <v>2195</v>
      </c>
      <c r="B894" s="302" t="s">
        <v>1852</v>
      </c>
      <c r="C894" s="1577"/>
      <c r="D894" s="1581" t="s">
        <v>2188</v>
      </c>
      <c r="E894" s="280">
        <v>3</v>
      </c>
      <c r="F894" s="280" t="s">
        <v>2167</v>
      </c>
      <c r="G894" s="1679"/>
      <c r="H894" s="1571"/>
      <c r="I894" s="1571"/>
      <c r="J894" s="1571"/>
      <c r="K894" s="1571"/>
      <c r="L894" s="1577"/>
      <c r="M894" s="1681"/>
      <c r="N894" s="1577"/>
      <c r="O894" s="1571"/>
    </row>
    <row r="895" spans="1:15">
      <c r="A895" s="564" t="s">
        <v>2195</v>
      </c>
      <c r="B895" s="302" t="s">
        <v>1852</v>
      </c>
      <c r="C895" s="1577"/>
      <c r="D895" s="1581" t="s">
        <v>2189</v>
      </c>
      <c r="E895" s="280">
        <v>2</v>
      </c>
      <c r="F895" s="280" t="s">
        <v>2167</v>
      </c>
      <c r="G895" s="1679"/>
      <c r="H895" s="1571"/>
      <c r="I895" s="1571"/>
      <c r="J895" s="1571"/>
      <c r="K895" s="1571"/>
      <c r="L895" s="1577"/>
      <c r="M895" s="1681"/>
      <c r="N895" s="1577"/>
      <c r="O895" s="1571"/>
    </row>
    <row r="896" spans="1:15">
      <c r="A896" s="564" t="s">
        <v>2195</v>
      </c>
      <c r="B896" s="302" t="s">
        <v>1852</v>
      </c>
      <c r="C896" s="1577"/>
      <c r="D896" s="1581" t="s">
        <v>2199</v>
      </c>
      <c r="E896" s="280">
        <v>20</v>
      </c>
      <c r="F896" s="280" t="s">
        <v>761</v>
      </c>
      <c r="G896" s="1679"/>
      <c r="H896" s="1571"/>
      <c r="I896" s="1571"/>
      <c r="J896" s="1571"/>
      <c r="K896" s="1571"/>
      <c r="L896" s="1577"/>
      <c r="M896" s="1681"/>
      <c r="N896" s="1577"/>
      <c r="O896" s="1571"/>
    </row>
    <row r="897" spans="1:15">
      <c r="A897" s="564" t="s">
        <v>2195</v>
      </c>
      <c r="B897" s="302" t="s">
        <v>1852</v>
      </c>
      <c r="C897" s="1577"/>
      <c r="D897" s="1581" t="s">
        <v>2200</v>
      </c>
      <c r="E897" s="280">
        <v>4</v>
      </c>
      <c r="F897" s="280" t="s">
        <v>761</v>
      </c>
      <c r="G897" s="1679"/>
      <c r="H897" s="1571"/>
      <c r="I897" s="1571"/>
      <c r="J897" s="1571"/>
      <c r="K897" s="1571"/>
      <c r="L897" s="1577"/>
      <c r="M897" s="1681"/>
      <c r="N897" s="1577"/>
      <c r="O897" s="1571"/>
    </row>
    <row r="898" spans="1:15">
      <c r="A898" s="564" t="s">
        <v>2195</v>
      </c>
      <c r="B898" s="302" t="s">
        <v>1852</v>
      </c>
      <c r="C898" s="1577"/>
      <c r="D898" s="1581" t="s">
        <v>2201</v>
      </c>
      <c r="E898" s="280">
        <v>15</v>
      </c>
      <c r="F898" s="280" t="s">
        <v>1793</v>
      </c>
      <c r="G898" s="1679"/>
      <c r="H898" s="1571"/>
      <c r="I898" s="1571"/>
      <c r="J898" s="1571"/>
      <c r="K898" s="1571"/>
      <c r="L898" s="1577"/>
      <c r="M898" s="1681"/>
      <c r="N898" s="1577"/>
      <c r="O898" s="1571"/>
    </row>
    <row r="899" spans="1:15">
      <c r="A899" s="564" t="s">
        <v>2195</v>
      </c>
      <c r="B899" s="302" t="s">
        <v>1852</v>
      </c>
      <c r="C899" s="1577"/>
      <c r="D899" s="1581" t="s">
        <v>2202</v>
      </c>
      <c r="E899" s="280">
        <v>50</v>
      </c>
      <c r="F899" s="280" t="s">
        <v>855</v>
      </c>
      <c r="G899" s="1679"/>
      <c r="H899" s="1571"/>
      <c r="I899" s="1571"/>
      <c r="J899" s="1571"/>
      <c r="K899" s="1571"/>
      <c r="L899" s="1577"/>
      <c r="M899" s="1681"/>
      <c r="N899" s="1577"/>
      <c r="O899" s="1571"/>
    </row>
    <row r="900" spans="1:15">
      <c r="A900" s="564" t="s">
        <v>2195</v>
      </c>
      <c r="B900" s="302" t="s">
        <v>1852</v>
      </c>
      <c r="C900" s="1577"/>
      <c r="D900" s="1581" t="s">
        <v>2191</v>
      </c>
      <c r="E900" s="280">
        <v>10</v>
      </c>
      <c r="F900" s="280" t="s">
        <v>2192</v>
      </c>
      <c r="G900" s="1679"/>
      <c r="H900" s="1571"/>
      <c r="I900" s="1571"/>
      <c r="J900" s="1571"/>
      <c r="K900" s="1571"/>
      <c r="L900" s="1577"/>
      <c r="M900" s="1681"/>
      <c r="N900" s="1577"/>
      <c r="O900" s="1571"/>
    </row>
    <row r="910" spans="1:15" ht="28.5" customHeight="1">
      <c r="L910" s="2383">
        <f>SUM(L6:L908)</f>
        <v>1011653.7</v>
      </c>
    </row>
  </sheetData>
  <mergeCells count="8">
    <mergeCell ref="D250:F250"/>
    <mergeCell ref="D283:F283"/>
    <mergeCell ref="E64:F64"/>
    <mergeCell ref="N2:N3"/>
    <mergeCell ref="C2:G2"/>
    <mergeCell ref="H2:J2"/>
    <mergeCell ref="K2:L2"/>
    <mergeCell ref="M2:M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B8D7D-C583-4F75-8A74-9870188EC150}">
  <sheetPr>
    <tabColor rgb="FFFFC000"/>
  </sheetPr>
  <dimension ref="A2:R148"/>
  <sheetViews>
    <sheetView zoomScale="70" zoomScaleNormal="70" workbookViewId="0">
      <pane ySplit="4" topLeftCell="A137" activePane="bottomLeft" state="frozen"/>
      <selection pane="bottomLeft" activeCell="L148" sqref="L148"/>
    </sheetView>
  </sheetViews>
  <sheetFormatPr defaultRowHeight="15"/>
  <cols>
    <col min="3" max="3" width="21.42578125" customWidth="1"/>
    <col min="4" max="4" width="26.85546875" customWidth="1"/>
    <col min="5" max="5" width="26" customWidth="1"/>
    <col min="6" max="6" width="24.140625" customWidth="1"/>
    <col min="7" max="7" width="11.7109375" customWidth="1"/>
    <col min="8" max="8" width="13.7109375" customWidth="1"/>
    <col min="9" max="9" width="11.85546875" bestFit="1" customWidth="1"/>
    <col min="10" max="10" width="12.5703125" customWidth="1"/>
    <col min="11" max="11" width="30.28515625" customWidth="1"/>
    <col min="12" max="12" width="15.5703125" style="99" customWidth="1"/>
    <col min="13" max="13" width="16.28515625" customWidth="1"/>
    <col min="14" max="14" width="12.85546875" customWidth="1"/>
    <col min="18" max="18" width="10.28515625" bestFit="1" customWidth="1"/>
  </cols>
  <sheetData>
    <row r="2" spans="1:18">
      <c r="C2" s="2627" t="s">
        <v>30</v>
      </c>
      <c r="D2" s="2627"/>
      <c r="E2" s="2627"/>
      <c r="F2" s="2627"/>
      <c r="G2" s="2627"/>
      <c r="H2" s="2628" t="s">
        <v>29</v>
      </c>
      <c r="I2" s="2628"/>
      <c r="J2" s="2628"/>
      <c r="K2" s="2627" t="s">
        <v>28</v>
      </c>
      <c r="L2" s="2627"/>
      <c r="M2" s="2628" t="s">
        <v>27</v>
      </c>
      <c r="N2" s="2628" t="s">
        <v>26</v>
      </c>
    </row>
    <row r="3" spans="1:18" ht="72">
      <c r="C3" s="10" t="s">
        <v>25</v>
      </c>
      <c r="D3" s="13" t="s">
        <v>24</v>
      </c>
      <c r="E3" s="12" t="s">
        <v>23</v>
      </c>
      <c r="F3" s="10" t="s">
        <v>22</v>
      </c>
      <c r="G3" s="11" t="s">
        <v>21</v>
      </c>
      <c r="H3" s="11" t="s">
        <v>20</v>
      </c>
      <c r="I3" s="11" t="s">
        <v>19</v>
      </c>
      <c r="J3" s="11" t="s">
        <v>18</v>
      </c>
      <c r="K3" s="10" t="s">
        <v>17</v>
      </c>
      <c r="L3" s="159" t="s">
        <v>16</v>
      </c>
      <c r="M3" s="2628"/>
      <c r="N3" s="2628"/>
    </row>
    <row r="4" spans="1:18">
      <c r="C4" s="9" t="s">
        <v>15</v>
      </c>
      <c r="D4" s="9" t="s">
        <v>14</v>
      </c>
      <c r="E4" s="9" t="s">
        <v>13</v>
      </c>
      <c r="F4" s="9" t="s">
        <v>12</v>
      </c>
      <c r="G4" s="9" t="s">
        <v>11</v>
      </c>
      <c r="H4" s="9" t="s">
        <v>10</v>
      </c>
      <c r="I4" s="9" t="s">
        <v>9</v>
      </c>
      <c r="J4" s="9" t="s">
        <v>8</v>
      </c>
      <c r="K4" s="9" t="s">
        <v>7</v>
      </c>
      <c r="L4" s="160" t="s">
        <v>6</v>
      </c>
      <c r="M4" s="9" t="s">
        <v>5</v>
      </c>
      <c r="N4" s="9" t="s">
        <v>4</v>
      </c>
    </row>
    <row r="5" spans="1:18">
      <c r="C5" s="213" t="s">
        <v>629</v>
      </c>
      <c r="D5" s="194"/>
      <c r="E5" s="194"/>
      <c r="F5" s="194"/>
      <c r="G5" s="195"/>
      <c r="H5" s="194"/>
      <c r="I5" s="194"/>
      <c r="J5" s="194"/>
      <c r="K5" s="194"/>
      <c r="L5" s="1702"/>
      <c r="M5" s="194"/>
      <c r="N5" s="194"/>
    </row>
    <row r="6" spans="1:18" s="483" customFormat="1" ht="19.5" customHeight="1">
      <c r="A6" s="301" t="s">
        <v>590</v>
      </c>
      <c r="B6" s="302" t="s">
        <v>589</v>
      </c>
      <c r="C6" s="393" t="s">
        <v>630</v>
      </c>
      <c r="D6" s="395" t="s">
        <v>2</v>
      </c>
      <c r="E6" s="394" t="s">
        <v>631</v>
      </c>
      <c r="F6" s="393" t="s">
        <v>593</v>
      </c>
      <c r="G6" s="396" t="s">
        <v>1</v>
      </c>
      <c r="H6" s="486" t="s">
        <v>576</v>
      </c>
      <c r="I6" s="486" t="s">
        <v>576</v>
      </c>
      <c r="J6" s="487" t="s">
        <v>594</v>
      </c>
      <c r="K6" s="395" t="s">
        <v>578</v>
      </c>
      <c r="L6" s="399">
        <v>30000</v>
      </c>
      <c r="M6" s="393" t="s">
        <v>632</v>
      </c>
      <c r="N6" s="393"/>
    </row>
    <row r="7" spans="1:18" s="483" customFormat="1" ht="19.5" customHeight="1">
      <c r="A7" s="301"/>
      <c r="B7" s="302"/>
      <c r="C7" s="393"/>
      <c r="D7" s="395"/>
      <c r="E7" s="394"/>
      <c r="F7" s="393"/>
      <c r="G7" s="396"/>
      <c r="H7" s="875"/>
      <c r="I7" s="875"/>
      <c r="J7" s="487"/>
      <c r="K7" s="395"/>
      <c r="L7" s="399"/>
      <c r="M7" s="393"/>
      <c r="N7" s="393"/>
    </row>
    <row r="8" spans="1:18" s="483" customFormat="1" ht="54">
      <c r="A8" s="301" t="s">
        <v>1023</v>
      </c>
      <c r="B8" s="302" t="s">
        <v>1024</v>
      </c>
      <c r="C8" s="595" t="s">
        <v>1283</v>
      </c>
      <c r="D8" s="309" t="s">
        <v>2</v>
      </c>
      <c r="E8" s="391"/>
      <c r="F8" s="308" t="s">
        <v>674</v>
      </c>
      <c r="G8" s="313" t="s">
        <v>1</v>
      </c>
      <c r="H8" s="602" t="s">
        <v>675</v>
      </c>
      <c r="I8" s="602" t="s">
        <v>599</v>
      </c>
      <c r="J8" s="602" t="s">
        <v>599</v>
      </c>
      <c r="K8" s="308" t="s">
        <v>748</v>
      </c>
      <c r="L8" s="1703"/>
      <c r="M8" s="309" t="s">
        <v>659</v>
      </c>
      <c r="N8" s="308" t="s">
        <v>703</v>
      </c>
      <c r="R8" s="411">
        <v>7000</v>
      </c>
    </row>
    <row r="9" spans="1:18" s="483" customFormat="1" ht="19.5" customHeight="1">
      <c r="A9" s="301" t="s">
        <v>1023</v>
      </c>
      <c r="B9" s="302" t="s">
        <v>1024</v>
      </c>
      <c r="C9" s="313"/>
      <c r="D9" s="310" t="s">
        <v>1027</v>
      </c>
      <c r="E9" s="304" t="s">
        <v>1094</v>
      </c>
      <c r="F9" s="308" t="s">
        <v>674</v>
      </c>
      <c r="G9" s="313" t="s">
        <v>1</v>
      </c>
      <c r="H9" s="604" t="s">
        <v>1028</v>
      </c>
      <c r="I9" s="604" t="s">
        <v>991</v>
      </c>
      <c r="J9" s="604" t="s">
        <v>991</v>
      </c>
      <c r="K9" s="308" t="s">
        <v>98</v>
      </c>
      <c r="L9" s="1704">
        <v>960</v>
      </c>
      <c r="M9" s="322"/>
      <c r="N9" s="318"/>
    </row>
    <row r="10" spans="1:18" s="483" customFormat="1" ht="19.5" customHeight="1">
      <c r="A10" s="301" t="s">
        <v>1023</v>
      </c>
      <c r="B10" s="302" t="s">
        <v>1024</v>
      </c>
      <c r="C10" s="318"/>
      <c r="D10" s="310" t="s">
        <v>760</v>
      </c>
      <c r="E10" s="304" t="s">
        <v>262</v>
      </c>
      <c r="F10" s="308" t="s">
        <v>674</v>
      </c>
      <c r="G10" s="313" t="s">
        <v>1</v>
      </c>
      <c r="H10" s="604" t="s">
        <v>1028</v>
      </c>
      <c r="I10" s="604" t="s">
        <v>991</v>
      </c>
      <c r="J10" s="604" t="s">
        <v>991</v>
      </c>
      <c r="K10" s="308" t="s">
        <v>98</v>
      </c>
      <c r="L10" s="1704">
        <v>107</v>
      </c>
      <c r="M10" s="322"/>
      <c r="N10" s="318"/>
    </row>
    <row r="11" spans="1:18" s="483" customFormat="1" ht="19.5" customHeight="1">
      <c r="A11" s="301" t="s">
        <v>1023</v>
      </c>
      <c r="B11" s="302" t="s">
        <v>1024</v>
      </c>
      <c r="C11" s="306"/>
      <c r="D11" s="603" t="s">
        <v>1029</v>
      </c>
      <c r="E11" s="304" t="s">
        <v>1095</v>
      </c>
      <c r="F11" s="308" t="s">
        <v>674</v>
      </c>
      <c r="G11" s="313" t="s">
        <v>1</v>
      </c>
      <c r="H11" s="604" t="s">
        <v>1028</v>
      </c>
      <c r="I11" s="604" t="s">
        <v>991</v>
      </c>
      <c r="J11" s="604" t="s">
        <v>991</v>
      </c>
      <c r="K11" s="308" t="s">
        <v>98</v>
      </c>
      <c r="L11" s="1704">
        <v>2070</v>
      </c>
      <c r="M11" s="306"/>
      <c r="N11" s="306"/>
    </row>
    <row r="12" spans="1:18" s="483" customFormat="1" ht="19.5" customHeight="1">
      <c r="A12" s="301" t="s">
        <v>1023</v>
      </c>
      <c r="B12" s="302" t="s">
        <v>1024</v>
      </c>
      <c r="C12" s="306"/>
      <c r="D12" s="603" t="s">
        <v>1030</v>
      </c>
      <c r="E12" s="304" t="s">
        <v>267</v>
      </c>
      <c r="F12" s="308" t="s">
        <v>674</v>
      </c>
      <c r="G12" s="313" t="s">
        <v>1</v>
      </c>
      <c r="H12" s="604" t="s">
        <v>1028</v>
      </c>
      <c r="I12" s="604" t="s">
        <v>991</v>
      </c>
      <c r="J12" s="604" t="s">
        <v>991</v>
      </c>
      <c r="K12" s="308" t="s">
        <v>98</v>
      </c>
      <c r="L12" s="1704">
        <v>175</v>
      </c>
      <c r="M12" s="306"/>
      <c r="N12" s="306"/>
    </row>
    <row r="13" spans="1:18" s="483" customFormat="1" ht="19.5" customHeight="1">
      <c r="A13" s="301" t="s">
        <v>1023</v>
      </c>
      <c r="B13" s="302" t="s">
        <v>1024</v>
      </c>
      <c r="C13" s="306"/>
      <c r="D13" s="603" t="s">
        <v>1031</v>
      </c>
      <c r="E13" s="304" t="s">
        <v>266</v>
      </c>
      <c r="F13" s="308" t="s">
        <v>674</v>
      </c>
      <c r="G13" s="313" t="s">
        <v>1</v>
      </c>
      <c r="H13" s="604" t="s">
        <v>1028</v>
      </c>
      <c r="I13" s="604" t="s">
        <v>991</v>
      </c>
      <c r="J13" s="604" t="s">
        <v>991</v>
      </c>
      <c r="K13" s="308" t="s">
        <v>98</v>
      </c>
      <c r="L13" s="1704">
        <v>438</v>
      </c>
      <c r="M13" s="306"/>
      <c r="N13" s="306"/>
    </row>
    <row r="14" spans="1:18" s="483" customFormat="1" ht="19.5" customHeight="1">
      <c r="A14" s="301" t="s">
        <v>1023</v>
      </c>
      <c r="B14" s="302" t="s">
        <v>1024</v>
      </c>
      <c r="C14" s="306"/>
      <c r="D14" s="603" t="s">
        <v>1032</v>
      </c>
      <c r="E14" s="304" t="s">
        <v>1096</v>
      </c>
      <c r="F14" s="308" t="s">
        <v>674</v>
      </c>
      <c r="G14" s="313" t="s">
        <v>1</v>
      </c>
      <c r="H14" s="604" t="s">
        <v>1028</v>
      </c>
      <c r="I14" s="604" t="s">
        <v>991</v>
      </c>
      <c r="J14" s="604" t="s">
        <v>991</v>
      </c>
      <c r="K14" s="308" t="s">
        <v>98</v>
      </c>
      <c r="L14" s="1704">
        <v>450</v>
      </c>
      <c r="M14" s="306"/>
      <c r="N14" s="306"/>
    </row>
    <row r="15" spans="1:18" s="483" customFormat="1" ht="19.5" customHeight="1">
      <c r="A15" s="301" t="s">
        <v>1023</v>
      </c>
      <c r="B15" s="302" t="s">
        <v>1024</v>
      </c>
      <c r="C15" s="306"/>
      <c r="D15" s="603" t="s">
        <v>1033</v>
      </c>
      <c r="E15" s="304" t="s">
        <v>1074</v>
      </c>
      <c r="F15" s="308" t="s">
        <v>674</v>
      </c>
      <c r="G15" s="313" t="s">
        <v>1</v>
      </c>
      <c r="H15" s="604" t="s">
        <v>1028</v>
      </c>
      <c r="I15" s="604" t="s">
        <v>991</v>
      </c>
      <c r="J15" s="604" t="s">
        <v>991</v>
      </c>
      <c r="K15" s="308" t="s">
        <v>98</v>
      </c>
      <c r="L15" s="1704">
        <v>1750</v>
      </c>
      <c r="M15" s="306"/>
      <c r="N15" s="306"/>
    </row>
    <row r="16" spans="1:18" s="483" customFormat="1" ht="19.5" customHeight="1">
      <c r="A16" s="301" t="s">
        <v>1023</v>
      </c>
      <c r="B16" s="302" t="s">
        <v>1024</v>
      </c>
      <c r="C16" s="306"/>
      <c r="D16" s="603" t="s">
        <v>1034</v>
      </c>
      <c r="E16" s="304" t="s">
        <v>1097</v>
      </c>
      <c r="F16" s="308" t="s">
        <v>674</v>
      </c>
      <c r="G16" s="313" t="s">
        <v>1</v>
      </c>
      <c r="H16" s="604" t="s">
        <v>1028</v>
      </c>
      <c r="I16" s="604" t="s">
        <v>991</v>
      </c>
      <c r="J16" s="604" t="s">
        <v>991</v>
      </c>
      <c r="K16" s="308" t="s">
        <v>98</v>
      </c>
      <c r="L16" s="1704">
        <v>1050</v>
      </c>
      <c r="M16" s="306" t="s">
        <v>111</v>
      </c>
      <c r="N16" s="306"/>
    </row>
    <row r="17" spans="1:15" s="483" customFormat="1" ht="13.5">
      <c r="A17" s="301" t="s">
        <v>1023</v>
      </c>
      <c r="B17" s="302" t="s">
        <v>1024</v>
      </c>
      <c r="C17" s="2640" t="s">
        <v>1284</v>
      </c>
      <c r="D17" s="309" t="s">
        <v>2</v>
      </c>
      <c r="E17" s="391"/>
      <c r="L17" s="1703"/>
    </row>
    <row r="18" spans="1:15" s="483" customFormat="1" ht="40.5">
      <c r="A18" s="301" t="s">
        <v>1023</v>
      </c>
      <c r="B18" s="302" t="s">
        <v>1024</v>
      </c>
      <c r="C18" s="2641"/>
      <c r="D18" s="865" t="s">
        <v>1035</v>
      </c>
      <c r="E18" s="304" t="s">
        <v>1098</v>
      </c>
      <c r="F18" s="866" t="s">
        <v>674</v>
      </c>
      <c r="G18" s="867" t="s">
        <v>1</v>
      </c>
      <c r="H18" s="602" t="s">
        <v>675</v>
      </c>
      <c r="I18" s="602" t="s">
        <v>599</v>
      </c>
      <c r="J18" s="602" t="s">
        <v>599</v>
      </c>
      <c r="K18" s="866" t="s">
        <v>748</v>
      </c>
      <c r="L18" s="1705">
        <v>38000</v>
      </c>
      <c r="M18" s="309" t="s">
        <v>659</v>
      </c>
      <c r="N18" s="308" t="s">
        <v>703</v>
      </c>
    </row>
    <row r="19" spans="1:15" s="483" customFormat="1" ht="19.5" customHeight="1">
      <c r="A19" s="301"/>
      <c r="B19" s="302"/>
      <c r="C19" s="393"/>
      <c r="D19" s="395"/>
      <c r="E19" s="394"/>
      <c r="F19" s="393"/>
      <c r="G19" s="396"/>
      <c r="H19" s="875"/>
      <c r="I19" s="875"/>
      <c r="J19" s="487"/>
      <c r="K19" s="395"/>
      <c r="L19" s="399"/>
      <c r="M19" s="393"/>
      <c r="N19" s="393"/>
    </row>
    <row r="20" spans="1:15" s="483" customFormat="1" ht="19.5" customHeight="1">
      <c r="A20" s="301"/>
      <c r="B20" s="302"/>
      <c r="C20" s="393"/>
      <c r="D20" s="395"/>
      <c r="E20" s="394"/>
      <c r="F20" s="393"/>
      <c r="G20" s="396"/>
      <c r="H20" s="875"/>
      <c r="I20" s="875"/>
      <c r="J20" s="487"/>
      <c r="K20" s="395"/>
      <c r="L20" s="399"/>
      <c r="M20" s="393"/>
      <c r="N20" s="393"/>
    </row>
    <row r="21" spans="1:15" s="483" customFormat="1" ht="19.5" customHeight="1">
      <c r="A21" s="301" t="s">
        <v>1086</v>
      </c>
      <c r="B21" s="302" t="s">
        <v>1087</v>
      </c>
      <c r="C21" s="610" t="s">
        <v>2</v>
      </c>
      <c r="D21" s="739" t="s">
        <v>1092</v>
      </c>
      <c r="E21" s="740"/>
      <c r="F21" s="740"/>
      <c r="G21" s="868"/>
      <c r="H21" s="740"/>
      <c r="I21" s="613"/>
      <c r="J21" s="613"/>
      <c r="K21" s="613"/>
      <c r="L21" s="1013"/>
      <c r="M21" s="531"/>
      <c r="N21" s="393"/>
    </row>
    <row r="22" spans="1:15" s="483" customFormat="1" ht="19.5" customHeight="1">
      <c r="A22" s="301" t="s">
        <v>1086</v>
      </c>
      <c r="B22" s="302" t="s">
        <v>1087</v>
      </c>
      <c r="C22" s="531"/>
      <c r="D22" s="734" t="s">
        <v>1093</v>
      </c>
      <c r="E22" s="610"/>
      <c r="F22" s="610" t="s">
        <v>422</v>
      </c>
      <c r="G22" s="611" t="s">
        <v>1084</v>
      </c>
      <c r="H22" s="611">
        <v>46205</v>
      </c>
      <c r="I22" s="612">
        <v>46376</v>
      </c>
      <c r="J22" s="613" t="s">
        <v>1090</v>
      </c>
      <c r="K22" s="613" t="s">
        <v>98</v>
      </c>
      <c r="L22" s="735">
        <v>6500</v>
      </c>
      <c r="M22" s="610" t="s">
        <v>99</v>
      </c>
      <c r="N22" s="393"/>
    </row>
    <row r="23" spans="1:15" s="483" customFormat="1" ht="19.5" customHeight="1">
      <c r="A23" s="301"/>
      <c r="B23" s="302"/>
      <c r="C23" s="393"/>
      <c r="D23" s="395"/>
      <c r="E23" s="394"/>
      <c r="F23" s="393"/>
      <c r="G23" s="396"/>
      <c r="H23" s="875"/>
      <c r="I23" s="875"/>
      <c r="J23" s="487"/>
      <c r="K23" s="395"/>
      <c r="L23" s="399"/>
      <c r="M23" s="393"/>
      <c r="N23" s="393"/>
    </row>
    <row r="24" spans="1:15" s="483" customFormat="1" ht="19.5" customHeight="1">
      <c r="A24" s="301" t="s">
        <v>2041</v>
      </c>
      <c r="B24" s="302" t="s">
        <v>1852</v>
      </c>
      <c r="C24" s="1671" t="s">
        <v>1877</v>
      </c>
      <c r="D24" s="242" t="s">
        <v>2</v>
      </c>
      <c r="E24" s="1684"/>
      <c r="F24" s="1565" t="s">
        <v>674</v>
      </c>
      <c r="G24" s="1571" t="s">
        <v>1</v>
      </c>
      <c r="H24" s="1672" t="s">
        <v>675</v>
      </c>
      <c r="I24" s="1672" t="s">
        <v>1654</v>
      </c>
      <c r="J24" s="1672" t="s">
        <v>1878</v>
      </c>
      <c r="K24" s="1565" t="s">
        <v>748</v>
      </c>
      <c r="L24" s="1706">
        <v>150000</v>
      </c>
      <c r="M24" s="1533"/>
      <c r="N24" s="1565" t="s">
        <v>1879</v>
      </c>
    </row>
    <row r="25" spans="1:15" s="483" customFormat="1" ht="19.5" customHeight="1">
      <c r="A25" s="301" t="s">
        <v>2041</v>
      </c>
      <c r="B25" s="302" t="s">
        <v>1852</v>
      </c>
      <c r="C25" s="1571"/>
      <c r="D25" s="1560" t="s">
        <v>1880</v>
      </c>
      <c r="E25" s="280">
        <v>32</v>
      </c>
      <c r="F25" s="1570" t="s">
        <v>1881</v>
      </c>
      <c r="G25" s="1561"/>
      <c r="H25" s="1577"/>
      <c r="I25" s="1578"/>
      <c r="J25" s="1571"/>
      <c r="K25" s="1579"/>
      <c r="L25" s="1707"/>
      <c r="M25" s="1674"/>
      <c r="N25" s="1580"/>
      <c r="O25" s="1577"/>
    </row>
    <row r="26" spans="1:15" s="483" customFormat="1" ht="19.5" customHeight="1">
      <c r="A26" s="301" t="s">
        <v>2041</v>
      </c>
      <c r="B26" s="302" t="s">
        <v>1852</v>
      </c>
      <c r="C26" s="1577"/>
      <c r="D26" s="1560" t="s">
        <v>1882</v>
      </c>
      <c r="E26" s="280">
        <v>20</v>
      </c>
      <c r="F26" s="1570" t="s">
        <v>1883</v>
      </c>
      <c r="G26" s="1561"/>
      <c r="H26" s="1577"/>
      <c r="I26" s="1578"/>
      <c r="J26" s="1571"/>
      <c r="K26" s="1579"/>
      <c r="L26" s="1707"/>
      <c r="M26" s="1674"/>
      <c r="N26" s="1580"/>
      <c r="O26" s="1577"/>
    </row>
    <row r="27" spans="1:15" s="483" customFormat="1" ht="19.5" customHeight="1">
      <c r="A27" s="301" t="s">
        <v>2041</v>
      </c>
      <c r="B27" s="302" t="s">
        <v>1852</v>
      </c>
      <c r="C27" s="1561"/>
      <c r="D27" s="1581" t="s">
        <v>1884</v>
      </c>
      <c r="E27" s="280">
        <v>60</v>
      </c>
      <c r="F27" s="280" t="s">
        <v>1885</v>
      </c>
      <c r="G27" s="1561"/>
      <c r="H27" s="1561"/>
      <c r="I27" s="1562"/>
      <c r="J27" s="1562"/>
      <c r="K27" s="1582"/>
      <c r="L27" s="1708" t="s">
        <v>111</v>
      </c>
      <c r="M27" s="1674"/>
      <c r="N27" s="1561"/>
      <c r="O27" s="1561"/>
    </row>
    <row r="28" spans="1:15" s="483" customFormat="1" ht="19.5" customHeight="1">
      <c r="A28" s="301" t="s">
        <v>2041</v>
      </c>
      <c r="B28" s="302" t="s">
        <v>1852</v>
      </c>
      <c r="C28" s="1671"/>
      <c r="D28" s="1569" t="s">
        <v>1886</v>
      </c>
      <c r="E28" s="1533">
        <v>20</v>
      </c>
      <c r="F28" s="1533" t="s">
        <v>1887</v>
      </c>
      <c r="G28" s="1565"/>
      <c r="H28" s="1571"/>
      <c r="I28" s="1672"/>
      <c r="J28" s="1672"/>
      <c r="K28" s="1672"/>
      <c r="L28" s="1709"/>
      <c r="M28" s="1673"/>
      <c r="N28" s="1533"/>
      <c r="O28" s="1565"/>
    </row>
    <row r="29" spans="1:15" s="455" customFormat="1" ht="14.25" customHeight="1">
      <c r="A29" s="301" t="s">
        <v>2041</v>
      </c>
      <c r="B29" s="302" t="s">
        <v>1852</v>
      </c>
      <c r="C29" s="1571"/>
      <c r="D29" s="1560" t="s">
        <v>1888</v>
      </c>
      <c r="E29" s="280">
        <v>2</v>
      </c>
      <c r="F29" s="1570" t="s">
        <v>1057</v>
      </c>
      <c r="G29" s="1561"/>
      <c r="H29" s="1577"/>
      <c r="I29" s="1578"/>
      <c r="J29" s="1571"/>
      <c r="K29" s="1579"/>
      <c r="L29" s="1707"/>
      <c r="M29" s="1674"/>
      <c r="N29" s="1580"/>
      <c r="O29" s="1577"/>
    </row>
    <row r="30" spans="1:15" s="455" customFormat="1" ht="26.25" customHeight="1">
      <c r="A30" s="301" t="s">
        <v>2041</v>
      </c>
      <c r="B30" s="302" t="s">
        <v>1852</v>
      </c>
      <c r="C30" s="1686" t="s">
        <v>1889</v>
      </c>
      <c r="D30" s="280" t="s">
        <v>2</v>
      </c>
      <c r="E30" s="1358"/>
      <c r="F30" s="1565" t="s">
        <v>674</v>
      </c>
      <c r="G30" s="1571" t="s">
        <v>1</v>
      </c>
      <c r="H30" s="1672" t="s">
        <v>675</v>
      </c>
      <c r="I30" s="1672" t="s">
        <v>1654</v>
      </c>
      <c r="J30" s="1672" t="s">
        <v>1655</v>
      </c>
      <c r="K30" s="1565" t="s">
        <v>748</v>
      </c>
      <c r="L30" s="1706">
        <v>260000</v>
      </c>
      <c r="M30" s="1533"/>
      <c r="N30" s="1565" t="s">
        <v>1879</v>
      </c>
    </row>
    <row r="31" spans="1:15" s="455" customFormat="1" ht="14.25" customHeight="1">
      <c r="A31" s="301" t="s">
        <v>2041</v>
      </c>
      <c r="B31" s="302" t="s">
        <v>1852</v>
      </c>
      <c r="C31" s="1686"/>
      <c r="D31" s="280" t="s">
        <v>1890</v>
      </c>
      <c r="E31" s="280"/>
      <c r="F31" s="280"/>
      <c r="G31" s="1565"/>
      <c r="H31" s="1571"/>
      <c r="I31" s="1672"/>
      <c r="J31" s="1672"/>
      <c r="K31" s="1672"/>
      <c r="L31" s="1709"/>
      <c r="M31" s="1673"/>
      <c r="N31" s="1533"/>
      <c r="O31" s="1565"/>
    </row>
    <row r="32" spans="1:15" s="455" customFormat="1" ht="14.25" customHeight="1">
      <c r="A32" s="301" t="s">
        <v>2041</v>
      </c>
      <c r="B32" s="302" t="s">
        <v>1852</v>
      </c>
      <c r="C32" s="1686"/>
      <c r="D32" s="280" t="s">
        <v>1891</v>
      </c>
      <c r="E32" s="280"/>
      <c r="F32" s="280"/>
      <c r="G32" s="1565"/>
      <c r="H32" s="1571"/>
      <c r="I32" s="1672"/>
      <c r="J32" s="1672"/>
      <c r="K32" s="1672"/>
      <c r="L32" s="1709"/>
      <c r="M32" s="1673"/>
      <c r="N32" s="1533"/>
      <c r="O32" s="1565"/>
    </row>
    <row r="33" spans="1:15" s="455" customFormat="1" ht="14.25" customHeight="1">
      <c r="A33" s="301" t="s">
        <v>2041</v>
      </c>
      <c r="B33" s="302" t="s">
        <v>1852</v>
      </c>
      <c r="C33" s="1686"/>
      <c r="D33" s="280" t="s">
        <v>1892</v>
      </c>
      <c r="E33" s="280">
        <v>2000</v>
      </c>
      <c r="F33" s="280" t="s">
        <v>761</v>
      </c>
      <c r="G33" s="1565"/>
      <c r="H33" s="1571"/>
      <c r="I33" s="1672"/>
      <c r="J33" s="1672"/>
      <c r="K33" s="1672"/>
      <c r="L33" s="1709"/>
      <c r="M33" s="1673"/>
      <c r="N33" s="1533"/>
      <c r="O33" s="1565"/>
    </row>
    <row r="34" spans="1:15" s="455" customFormat="1" ht="14.25" customHeight="1">
      <c r="A34" s="301" t="s">
        <v>2041</v>
      </c>
      <c r="B34" s="302" t="s">
        <v>1852</v>
      </c>
      <c r="C34" s="1686"/>
      <c r="D34" s="280" t="s">
        <v>1893</v>
      </c>
      <c r="E34" s="280">
        <v>2000</v>
      </c>
      <c r="F34" s="280" t="s">
        <v>761</v>
      </c>
      <c r="G34" s="1565"/>
      <c r="H34" s="1571"/>
      <c r="I34" s="1672"/>
      <c r="J34" s="1672"/>
      <c r="K34" s="1672"/>
      <c r="L34" s="1709"/>
      <c r="M34" s="1673"/>
      <c r="N34" s="1533"/>
      <c r="O34" s="1565"/>
    </row>
    <row r="35" spans="1:15" s="355" customFormat="1" ht="14.25" customHeight="1">
      <c r="A35" s="301" t="s">
        <v>2041</v>
      </c>
      <c r="B35" s="302" t="s">
        <v>1852</v>
      </c>
      <c r="C35" s="1686"/>
      <c r="D35" s="280" t="s">
        <v>1894</v>
      </c>
      <c r="E35" s="280">
        <v>1000</v>
      </c>
      <c r="F35" s="280" t="s">
        <v>761</v>
      </c>
      <c r="G35" s="1565"/>
      <c r="H35" s="1571"/>
      <c r="I35" s="1672"/>
      <c r="J35" s="1672"/>
      <c r="K35" s="1672"/>
      <c r="L35" s="1709"/>
      <c r="M35" s="1673"/>
      <c r="N35" s="1533"/>
      <c r="O35" s="1565"/>
    </row>
    <row r="36" spans="1:15" s="355" customFormat="1" ht="14.25" customHeight="1">
      <c r="A36" s="301" t="s">
        <v>2041</v>
      </c>
      <c r="B36" s="302" t="s">
        <v>1852</v>
      </c>
      <c r="C36" s="1686"/>
      <c r="D36" s="280" t="s">
        <v>1895</v>
      </c>
      <c r="E36" s="280">
        <v>1000</v>
      </c>
      <c r="F36" s="280" t="s">
        <v>761</v>
      </c>
      <c r="G36" s="1565"/>
      <c r="H36" s="1571"/>
      <c r="I36" s="1672"/>
      <c r="J36" s="1672"/>
      <c r="K36" s="1672"/>
      <c r="L36" s="1709"/>
      <c r="M36" s="1673"/>
      <c r="N36" s="1533"/>
      <c r="O36" s="1565"/>
    </row>
    <row r="37" spans="1:15" s="355" customFormat="1" ht="14.25" customHeight="1">
      <c r="A37" s="301" t="s">
        <v>2041</v>
      </c>
      <c r="B37" s="302" t="s">
        <v>1852</v>
      </c>
      <c r="C37" s="1686"/>
      <c r="D37" s="280" t="s">
        <v>1896</v>
      </c>
      <c r="E37" s="280">
        <v>1000</v>
      </c>
      <c r="F37" s="280" t="s">
        <v>761</v>
      </c>
      <c r="G37" s="1565"/>
      <c r="H37" s="1571"/>
      <c r="I37" s="1672"/>
      <c r="J37" s="1672"/>
      <c r="K37" s="1672"/>
      <c r="L37" s="1709"/>
      <c r="M37" s="1673"/>
      <c r="N37" s="1533"/>
      <c r="O37" s="1565"/>
    </row>
    <row r="38" spans="1:15" s="355" customFormat="1" ht="14.25" customHeight="1">
      <c r="A38" s="301" t="s">
        <v>2041</v>
      </c>
      <c r="B38" s="302" t="s">
        <v>1852</v>
      </c>
      <c r="C38" s="1686"/>
      <c r="D38" s="280" t="s">
        <v>1897</v>
      </c>
      <c r="E38" s="280">
        <v>400</v>
      </c>
      <c r="F38" s="280" t="s">
        <v>761</v>
      </c>
      <c r="G38" s="1565"/>
      <c r="H38" s="1571"/>
      <c r="I38" s="1672"/>
      <c r="J38" s="1672"/>
      <c r="K38" s="1672"/>
      <c r="L38" s="1709"/>
      <c r="M38" s="1673"/>
      <c r="N38" s="1533"/>
      <c r="O38" s="1565"/>
    </row>
    <row r="39" spans="1:15" s="355" customFormat="1" ht="14.25" customHeight="1">
      <c r="A39" s="301" t="s">
        <v>2041</v>
      </c>
      <c r="B39" s="302" t="s">
        <v>1852</v>
      </c>
      <c r="C39" s="1686"/>
      <c r="D39" s="280" t="s">
        <v>1898</v>
      </c>
      <c r="E39" s="280">
        <v>100</v>
      </c>
      <c r="F39" s="280" t="s">
        <v>761</v>
      </c>
      <c r="G39" s="1565"/>
      <c r="H39" s="1571"/>
      <c r="I39" s="1672"/>
      <c r="J39" s="1672"/>
      <c r="K39" s="1672"/>
      <c r="L39" s="1709"/>
      <c r="M39" s="1673"/>
      <c r="N39" s="1533"/>
      <c r="O39" s="1565"/>
    </row>
    <row r="40" spans="1:15" s="355" customFormat="1" ht="14.25" customHeight="1">
      <c r="A40" s="301" t="s">
        <v>2041</v>
      </c>
      <c r="B40" s="302" t="s">
        <v>1852</v>
      </c>
      <c r="C40" s="1686"/>
      <c r="D40" s="280" t="s">
        <v>1899</v>
      </c>
      <c r="E40" s="280">
        <v>2000</v>
      </c>
      <c r="F40" s="280" t="s">
        <v>1747</v>
      </c>
      <c r="G40" s="1565"/>
      <c r="H40" s="1571"/>
      <c r="I40" s="1672"/>
      <c r="J40" s="1672"/>
      <c r="K40" s="1672"/>
      <c r="L40" s="1709"/>
      <c r="M40" s="1673"/>
      <c r="N40" s="1533"/>
      <c r="O40" s="1565"/>
    </row>
    <row r="41" spans="1:15" s="355" customFormat="1" ht="14.25" customHeight="1">
      <c r="A41" s="301" t="s">
        <v>2041</v>
      </c>
      <c r="B41" s="302" t="s">
        <v>1852</v>
      </c>
      <c r="C41" s="1686"/>
      <c r="D41" s="280" t="s">
        <v>1900</v>
      </c>
      <c r="E41" s="280">
        <v>200</v>
      </c>
      <c r="F41" s="280" t="s">
        <v>761</v>
      </c>
      <c r="G41" s="1565"/>
      <c r="H41" s="1571"/>
      <c r="I41" s="1672"/>
      <c r="J41" s="1672"/>
      <c r="K41" s="1672"/>
      <c r="L41" s="1709"/>
      <c r="M41" s="1673"/>
      <c r="N41" s="1533"/>
      <c r="O41" s="1565"/>
    </row>
    <row r="42" spans="1:15" s="355" customFormat="1" ht="14.25" customHeight="1">
      <c r="A42" s="301" t="s">
        <v>2041</v>
      </c>
      <c r="B42" s="302" t="s">
        <v>1852</v>
      </c>
      <c r="C42" s="1686"/>
      <c r="D42" s="280" t="s">
        <v>1901</v>
      </c>
      <c r="E42" s="280">
        <v>14</v>
      </c>
      <c r="F42" s="280" t="s">
        <v>1636</v>
      </c>
      <c r="G42" s="1565"/>
      <c r="H42" s="1571"/>
      <c r="I42" s="1672"/>
      <c r="J42" s="1672"/>
      <c r="K42" s="1672"/>
      <c r="L42" s="1709"/>
      <c r="M42" s="1673"/>
      <c r="N42" s="1533"/>
      <c r="O42" s="1565"/>
    </row>
    <row r="43" spans="1:15" s="355" customFormat="1" ht="14.25" customHeight="1">
      <c r="A43" s="301" t="s">
        <v>2041</v>
      </c>
      <c r="B43" s="302" t="s">
        <v>1852</v>
      </c>
      <c r="C43" s="1686"/>
      <c r="D43" s="280" t="s">
        <v>1902</v>
      </c>
      <c r="E43" s="280">
        <v>14</v>
      </c>
      <c r="F43" s="280" t="s">
        <v>1636</v>
      </c>
      <c r="G43" s="1565"/>
      <c r="H43" s="1571"/>
      <c r="I43" s="1672"/>
      <c r="J43" s="1672"/>
      <c r="K43" s="1672"/>
      <c r="L43" s="1709"/>
      <c r="M43" s="1673"/>
      <c r="N43" s="1533"/>
      <c r="O43" s="1565"/>
    </row>
    <row r="44" spans="1:15" s="355" customFormat="1" ht="14.25" customHeight="1">
      <c r="A44" s="301" t="s">
        <v>2041</v>
      </c>
      <c r="B44" s="302" t="s">
        <v>1852</v>
      </c>
      <c r="C44" s="1686"/>
      <c r="D44" s="280" t="s">
        <v>1903</v>
      </c>
      <c r="E44" s="280">
        <v>20</v>
      </c>
      <c r="F44" s="280" t="s">
        <v>761</v>
      </c>
      <c r="G44" s="1565"/>
      <c r="H44" s="1571"/>
      <c r="I44" s="1672"/>
      <c r="J44" s="1672"/>
      <c r="K44" s="1672"/>
      <c r="L44" s="1709"/>
      <c r="M44" s="1673"/>
      <c r="N44" s="1533"/>
      <c r="O44" s="1565"/>
    </row>
    <row r="45" spans="1:15" s="355" customFormat="1" ht="27" customHeight="1">
      <c r="A45" s="301" t="s">
        <v>2041</v>
      </c>
      <c r="B45" s="302" t="s">
        <v>1852</v>
      </c>
      <c r="C45" s="1686"/>
      <c r="D45" s="280" t="s">
        <v>1904</v>
      </c>
      <c r="E45" s="280">
        <v>20</v>
      </c>
      <c r="F45" s="280" t="s">
        <v>1793</v>
      </c>
      <c r="G45" s="1565"/>
      <c r="H45" s="1571"/>
      <c r="I45" s="1672"/>
      <c r="J45" s="1672"/>
      <c r="K45" s="1672"/>
      <c r="L45" s="1709"/>
      <c r="M45" s="1673"/>
      <c r="N45" s="1533"/>
      <c r="O45" s="1565"/>
    </row>
    <row r="46" spans="1:15" s="355" customFormat="1" ht="14.25" customHeight="1">
      <c r="A46" s="301" t="s">
        <v>2041</v>
      </c>
      <c r="B46" s="302" t="s">
        <v>1852</v>
      </c>
      <c r="C46" s="1686"/>
      <c r="D46" s="280" t="s">
        <v>1905</v>
      </c>
      <c r="E46" s="280">
        <v>120</v>
      </c>
      <c r="F46" s="280" t="s">
        <v>761</v>
      </c>
      <c r="G46" s="1565"/>
      <c r="H46" s="1571"/>
      <c r="I46" s="1672"/>
      <c r="J46" s="1672"/>
      <c r="K46" s="1672"/>
      <c r="L46" s="1709"/>
      <c r="M46" s="1673"/>
      <c r="N46" s="1533"/>
      <c r="O46" s="1565"/>
    </row>
    <row r="47" spans="1:15" s="355" customFormat="1" ht="14.25" customHeight="1">
      <c r="A47" s="301" t="s">
        <v>2041</v>
      </c>
      <c r="B47" s="302" t="s">
        <v>1852</v>
      </c>
      <c r="C47" s="1686"/>
      <c r="D47" s="280" t="s">
        <v>1906</v>
      </c>
      <c r="E47" s="280">
        <v>10</v>
      </c>
      <c r="F47" s="280" t="s">
        <v>1636</v>
      </c>
      <c r="G47" s="1565"/>
      <c r="H47" s="1571"/>
      <c r="I47" s="1672"/>
      <c r="J47" s="1672"/>
      <c r="K47" s="1672"/>
      <c r="L47" s="1709"/>
      <c r="M47" s="1673"/>
      <c r="N47" s="1533"/>
      <c r="O47" s="1565"/>
    </row>
    <row r="48" spans="1:15" s="355" customFormat="1" ht="14.25" customHeight="1">
      <c r="A48" s="301" t="s">
        <v>2041</v>
      </c>
      <c r="B48" s="302" t="s">
        <v>1852</v>
      </c>
      <c r="C48" s="1686"/>
      <c r="D48" s="280" t="s">
        <v>1907</v>
      </c>
      <c r="E48" s="280">
        <v>6</v>
      </c>
      <c r="F48" s="280" t="s">
        <v>1793</v>
      </c>
      <c r="G48" s="1565"/>
      <c r="H48" s="1571"/>
      <c r="I48" s="1672"/>
      <c r="J48" s="1672"/>
      <c r="K48" s="1672"/>
      <c r="L48" s="1709"/>
      <c r="M48" s="1673"/>
      <c r="N48" s="1533"/>
      <c r="O48" s="1565"/>
    </row>
    <row r="49" spans="1:15" s="355" customFormat="1" ht="14.25" customHeight="1">
      <c r="A49" s="301" t="s">
        <v>2041</v>
      </c>
      <c r="B49" s="302" t="s">
        <v>1852</v>
      </c>
      <c r="C49" s="1686"/>
      <c r="D49" s="280" t="s">
        <v>1908</v>
      </c>
      <c r="E49" s="280">
        <v>40</v>
      </c>
      <c r="F49" s="280" t="s">
        <v>1909</v>
      </c>
      <c r="G49" s="1565"/>
      <c r="H49" s="1571"/>
      <c r="I49" s="1672"/>
      <c r="J49" s="1672"/>
      <c r="K49" s="1672"/>
      <c r="L49" s="1709"/>
      <c r="M49" s="1673"/>
      <c r="N49" s="1533"/>
      <c r="O49" s="1565"/>
    </row>
    <row r="50" spans="1:15" s="355" customFormat="1" ht="14.25" customHeight="1">
      <c r="A50" s="301" t="s">
        <v>2041</v>
      </c>
      <c r="B50" s="302" t="s">
        <v>1852</v>
      </c>
      <c r="C50" s="1686"/>
      <c r="D50" s="280" t="s">
        <v>1910</v>
      </c>
      <c r="E50" s="280">
        <v>40</v>
      </c>
      <c r="F50" s="280" t="s">
        <v>1747</v>
      </c>
      <c r="G50" s="1565"/>
      <c r="H50" s="1571"/>
      <c r="I50" s="1672"/>
      <c r="J50" s="1672"/>
      <c r="K50" s="1672"/>
      <c r="L50" s="1709"/>
      <c r="M50" s="1673"/>
      <c r="N50" s="1533"/>
      <c r="O50" s="1565"/>
    </row>
    <row r="51" spans="1:15" s="355" customFormat="1" ht="14.25" customHeight="1">
      <c r="A51" s="301" t="s">
        <v>2041</v>
      </c>
      <c r="B51" s="302" t="s">
        <v>1852</v>
      </c>
      <c r="C51" s="1686"/>
      <c r="D51" s="280" t="s">
        <v>1911</v>
      </c>
      <c r="E51" s="280">
        <v>40</v>
      </c>
      <c r="F51" s="280" t="s">
        <v>1909</v>
      </c>
      <c r="G51" s="1565"/>
      <c r="H51" s="1571"/>
      <c r="I51" s="1672"/>
      <c r="J51" s="1672"/>
      <c r="K51" s="1672"/>
      <c r="L51" s="1709"/>
      <c r="M51" s="1673"/>
      <c r="N51" s="1533"/>
      <c r="O51" s="1565"/>
    </row>
    <row r="52" spans="1:15" s="355" customFormat="1" ht="22.5" customHeight="1">
      <c r="A52" s="301" t="s">
        <v>2041</v>
      </c>
      <c r="B52" s="302" t="s">
        <v>1852</v>
      </c>
      <c r="C52" s="1686"/>
      <c r="D52" s="280" t="s">
        <v>1912</v>
      </c>
      <c r="E52" s="280">
        <v>40</v>
      </c>
      <c r="F52" s="280" t="s">
        <v>1909</v>
      </c>
      <c r="G52" s="1565"/>
      <c r="H52" s="1571"/>
      <c r="I52" s="1672"/>
      <c r="J52" s="1672"/>
      <c r="K52" s="1672"/>
      <c r="L52" s="1709"/>
      <c r="M52" s="1673"/>
      <c r="N52" s="1533"/>
      <c r="O52" s="1565"/>
    </row>
    <row r="53" spans="1:15" s="355" customFormat="1" ht="14.25" customHeight="1">
      <c r="A53" s="301" t="s">
        <v>2041</v>
      </c>
      <c r="B53" s="302" t="s">
        <v>1852</v>
      </c>
      <c r="C53" s="1686"/>
      <c r="D53" s="280" t="s">
        <v>1913</v>
      </c>
      <c r="E53" s="280">
        <v>40</v>
      </c>
      <c r="F53" s="280" t="s">
        <v>1909</v>
      </c>
      <c r="G53" s="1565"/>
      <c r="H53" s="1571"/>
      <c r="I53" s="1672"/>
      <c r="J53" s="1672"/>
      <c r="K53" s="1672"/>
      <c r="L53" s="1709"/>
      <c r="M53" s="1673"/>
      <c r="N53" s="1533"/>
      <c r="O53" s="1565"/>
    </row>
    <row r="54" spans="1:15" s="355" customFormat="1" ht="14.25" customHeight="1">
      <c r="A54" s="301" t="s">
        <v>2041</v>
      </c>
      <c r="B54" s="302" t="s">
        <v>1852</v>
      </c>
      <c r="C54" s="1686"/>
      <c r="D54" s="280" t="s">
        <v>1716</v>
      </c>
      <c r="E54" s="280">
        <v>20</v>
      </c>
      <c r="F54" s="280" t="s">
        <v>1914</v>
      </c>
      <c r="G54" s="1565"/>
      <c r="H54" s="1571"/>
      <c r="I54" s="1672"/>
      <c r="J54" s="1672"/>
      <c r="K54" s="1672"/>
      <c r="L54" s="1709"/>
      <c r="M54" s="1673"/>
      <c r="N54" s="1533"/>
      <c r="O54" s="1565"/>
    </row>
    <row r="55" spans="1:15" s="355" customFormat="1" ht="13.5">
      <c r="A55" s="301" t="s">
        <v>2041</v>
      </c>
      <c r="B55" s="302" t="s">
        <v>1852</v>
      </c>
      <c r="C55" s="1686"/>
      <c r="D55" s="280" t="s">
        <v>1808</v>
      </c>
      <c r="E55" s="280">
        <v>30</v>
      </c>
      <c r="F55" s="280" t="s">
        <v>1793</v>
      </c>
      <c r="G55" s="1565"/>
      <c r="H55" s="1571"/>
      <c r="I55" s="1672"/>
      <c r="J55" s="1672"/>
      <c r="K55" s="1672"/>
      <c r="L55" s="1709"/>
      <c r="M55" s="1673"/>
      <c r="N55" s="1533"/>
      <c r="O55" s="1565"/>
    </row>
    <row r="56" spans="1:15" s="355" customFormat="1" ht="25.5">
      <c r="A56" s="301" t="s">
        <v>2041</v>
      </c>
      <c r="B56" s="302" t="s">
        <v>1852</v>
      </c>
      <c r="C56" s="2636" t="s">
        <v>1915</v>
      </c>
      <c r="D56" s="1533" t="s">
        <v>2</v>
      </c>
      <c r="E56" s="1684"/>
      <c r="F56" s="1571" t="s">
        <v>1764</v>
      </c>
      <c r="G56" s="1571" t="s">
        <v>1</v>
      </c>
      <c r="H56" s="1672" t="s">
        <v>675</v>
      </c>
      <c r="I56" s="1672" t="s">
        <v>599</v>
      </c>
      <c r="J56" s="1672" t="s">
        <v>599</v>
      </c>
      <c r="K56" s="1565" t="s">
        <v>748</v>
      </c>
      <c r="L56" s="1706">
        <v>10000</v>
      </c>
      <c r="M56" s="1533"/>
      <c r="N56" s="1565" t="s">
        <v>703</v>
      </c>
    </row>
    <row r="57" spans="1:15" s="355" customFormat="1" ht="13.5">
      <c r="C57" s="2637"/>
      <c r="D57" s="1576" t="s">
        <v>1916</v>
      </c>
      <c r="E57" s="280">
        <v>20</v>
      </c>
      <c r="F57" s="1576" t="s">
        <v>926</v>
      </c>
      <c r="G57" s="1561"/>
      <c r="H57" s="1577"/>
      <c r="I57" s="1578"/>
      <c r="J57" s="1571"/>
      <c r="K57" s="1579"/>
      <c r="L57" s="1707"/>
      <c r="M57" s="1674"/>
      <c r="N57" s="1580"/>
      <c r="O57" s="1577"/>
    </row>
    <row r="58" spans="1:15" s="355" customFormat="1" ht="13.5">
      <c r="A58" s="513"/>
      <c r="B58" s="302"/>
      <c r="C58" s="531"/>
      <c r="D58" s="532"/>
      <c r="E58" s="337"/>
      <c r="F58" s="532"/>
      <c r="G58" s="533"/>
      <c r="H58" s="619"/>
      <c r="I58" s="619"/>
      <c r="J58" s="619"/>
      <c r="K58" s="532"/>
      <c r="L58" s="620"/>
      <c r="M58" s="532"/>
      <c r="N58" s="352"/>
      <c r="O58" s="342"/>
    </row>
    <row r="59" spans="1:15" s="355" customFormat="1" ht="13.5">
      <c r="A59" s="513"/>
      <c r="B59" s="302"/>
      <c r="C59" s="438"/>
      <c r="D59" s="344"/>
      <c r="E59" s="344"/>
      <c r="F59" s="438"/>
      <c r="G59" s="441"/>
      <c r="H59" s="504"/>
      <c r="I59" s="504"/>
      <c r="J59" s="504"/>
      <c r="K59" s="438"/>
      <c r="L59" s="505"/>
      <c r="M59" s="438"/>
      <c r="N59" s="352"/>
      <c r="O59" s="348"/>
    </row>
    <row r="60" spans="1:15" s="355" customFormat="1">
      <c r="A60" t="s">
        <v>2040</v>
      </c>
      <c r="B60" s="302" t="s">
        <v>1852</v>
      </c>
      <c r="C60" s="1690" t="s">
        <v>1470</v>
      </c>
      <c r="D60" s="1560"/>
      <c r="E60" s="2638"/>
      <c r="F60" s="2639"/>
      <c r="G60" s="1561"/>
      <c r="H60" s="1577"/>
      <c r="I60" s="1578"/>
      <c r="J60" s="1571"/>
      <c r="K60" s="1579"/>
      <c r="L60" s="1707"/>
      <c r="M60" s="1674"/>
      <c r="N60" s="1580"/>
      <c r="O60" s="1577"/>
    </row>
    <row r="61" spans="1:15" s="355" customFormat="1" ht="25.5">
      <c r="A61" t="s">
        <v>2040</v>
      </c>
      <c r="B61" s="302" t="s">
        <v>1852</v>
      </c>
      <c r="C61" s="1671" t="s">
        <v>2024</v>
      </c>
      <c r="D61" s="242" t="s">
        <v>2</v>
      </c>
      <c r="E61" s="1684"/>
      <c r="F61" s="1565" t="s">
        <v>674</v>
      </c>
      <c r="G61" s="1571" t="s">
        <v>1</v>
      </c>
      <c r="H61" s="1672" t="s">
        <v>675</v>
      </c>
      <c r="I61" s="1672" t="s">
        <v>1654</v>
      </c>
      <c r="J61" s="1672" t="s">
        <v>830</v>
      </c>
      <c r="K61" s="1565" t="s">
        <v>748</v>
      </c>
      <c r="L61" s="1706">
        <v>75000</v>
      </c>
      <c r="M61" s="1533"/>
      <c r="N61" s="1565" t="s">
        <v>1879</v>
      </c>
    </row>
    <row r="62" spans="1:15" s="355" customFormat="1">
      <c r="A62" t="s">
        <v>2040</v>
      </c>
      <c r="B62" s="302" t="s">
        <v>1852</v>
      </c>
      <c r="C62" s="1571"/>
      <c r="D62" s="1560" t="s">
        <v>2025</v>
      </c>
      <c r="E62" s="1691">
        <v>1</v>
      </c>
      <c r="F62" s="1691" t="s">
        <v>1051</v>
      </c>
      <c r="G62" s="1561"/>
      <c r="H62" s="1577"/>
      <c r="I62" s="1578"/>
      <c r="J62" s="1571"/>
      <c r="K62" s="1579"/>
      <c r="L62" s="1707"/>
      <c r="M62" s="1674"/>
      <c r="N62" s="1580"/>
      <c r="O62" s="1577"/>
    </row>
    <row r="63" spans="1:15" s="355" customFormat="1">
      <c r="A63" t="s">
        <v>2040</v>
      </c>
      <c r="B63" s="302" t="s">
        <v>1852</v>
      </c>
      <c r="C63" s="1577"/>
      <c r="D63" s="1560" t="s">
        <v>2026</v>
      </c>
      <c r="E63" s="1692">
        <v>2</v>
      </c>
      <c r="F63" s="1692" t="s">
        <v>1051</v>
      </c>
      <c r="G63" s="1561"/>
      <c r="H63" s="1577"/>
      <c r="I63" s="1578"/>
      <c r="J63" s="1571"/>
      <c r="K63" s="1579"/>
      <c r="L63" s="1707"/>
      <c r="M63" s="1674"/>
      <c r="N63" s="1580"/>
      <c r="O63" s="1577"/>
    </row>
    <row r="64" spans="1:15" s="355" customFormat="1">
      <c r="A64" t="s">
        <v>2040</v>
      </c>
      <c r="B64" s="302" t="s">
        <v>1852</v>
      </c>
      <c r="C64" s="1561"/>
      <c r="D64" s="1676" t="s">
        <v>2027</v>
      </c>
      <c r="E64" s="1691">
        <v>1</v>
      </c>
      <c r="F64" s="1691" t="s">
        <v>1051</v>
      </c>
      <c r="G64" s="1561"/>
      <c r="H64" s="1561"/>
      <c r="I64" s="1562"/>
      <c r="J64" s="1562"/>
      <c r="K64" s="1582"/>
      <c r="L64" s="1708"/>
      <c r="M64" s="1674"/>
      <c r="N64" s="1561"/>
      <c r="O64" s="1561"/>
    </row>
    <row r="65" spans="1:15" s="355" customFormat="1">
      <c r="A65" t="s">
        <v>2040</v>
      </c>
      <c r="B65" s="302" t="s">
        <v>1852</v>
      </c>
      <c r="C65" s="1671"/>
      <c r="D65" s="1569" t="s">
        <v>2028</v>
      </c>
      <c r="E65" s="1691">
        <v>1</v>
      </c>
      <c r="F65" s="1691" t="s">
        <v>1051</v>
      </c>
      <c r="G65" s="1565"/>
      <c r="H65" s="1571"/>
      <c r="I65" s="1672"/>
      <c r="J65" s="1672"/>
      <c r="K65" s="1672"/>
      <c r="L65" s="1709"/>
      <c r="M65" s="1673"/>
      <c r="N65" s="1533"/>
      <c r="O65" s="1565"/>
    </row>
    <row r="66" spans="1:15" s="355" customFormat="1">
      <c r="A66" t="s">
        <v>2040</v>
      </c>
      <c r="B66" s="302" t="s">
        <v>1852</v>
      </c>
      <c r="C66" s="1571"/>
      <c r="D66" s="1560" t="s">
        <v>2029</v>
      </c>
      <c r="E66" s="1691">
        <v>3</v>
      </c>
      <c r="F66" s="1691" t="s">
        <v>1051</v>
      </c>
      <c r="G66" s="1561"/>
      <c r="H66" s="1577"/>
      <c r="I66" s="1578"/>
      <c r="J66" s="1571"/>
      <c r="K66" s="1579"/>
      <c r="L66" s="1707"/>
      <c r="M66" s="1674"/>
      <c r="N66" s="1580"/>
      <c r="O66" s="1577"/>
    </row>
    <row r="67" spans="1:15" s="355" customFormat="1">
      <c r="A67" t="s">
        <v>2040</v>
      </c>
      <c r="B67" s="302" t="s">
        <v>1852</v>
      </c>
      <c r="C67" s="1577"/>
      <c r="D67" s="1560" t="s">
        <v>2030</v>
      </c>
      <c r="E67" s="1691">
        <v>6</v>
      </c>
      <c r="F67" s="1691" t="s">
        <v>1051</v>
      </c>
      <c r="G67" s="1561"/>
      <c r="H67" s="1577"/>
      <c r="I67" s="1578"/>
      <c r="J67" s="1571"/>
      <c r="K67" s="1579"/>
      <c r="L67" s="1707"/>
      <c r="M67" s="1674"/>
      <c r="N67" s="1580"/>
      <c r="O67" s="1577"/>
    </row>
    <row r="68" spans="1:15" s="355" customFormat="1">
      <c r="A68" t="s">
        <v>2040</v>
      </c>
      <c r="B68" s="302" t="s">
        <v>1852</v>
      </c>
      <c r="C68" s="1561"/>
      <c r="D68" s="1676" t="s">
        <v>2031</v>
      </c>
      <c r="E68" s="1691">
        <v>2</v>
      </c>
      <c r="F68" s="1691" t="s">
        <v>1051</v>
      </c>
      <c r="G68" s="1561"/>
      <c r="H68" s="1561"/>
      <c r="I68" s="1562"/>
      <c r="J68" s="1562"/>
      <c r="K68" s="1582"/>
      <c r="L68" s="1708"/>
      <c r="M68" s="1674"/>
      <c r="N68" s="1561"/>
      <c r="O68" s="1561"/>
    </row>
    <row r="69" spans="1:15" s="355" customFormat="1">
      <c r="A69" t="s">
        <v>2040</v>
      </c>
      <c r="B69" s="302" t="s">
        <v>1852</v>
      </c>
      <c r="C69" s="1671"/>
      <c r="D69" s="1569" t="s">
        <v>2032</v>
      </c>
      <c r="E69" s="1691">
        <v>2</v>
      </c>
      <c r="F69" s="1691" t="s">
        <v>1051</v>
      </c>
      <c r="G69" s="1565"/>
      <c r="H69" s="1571"/>
      <c r="I69" s="1672"/>
      <c r="J69" s="1672"/>
      <c r="K69" s="1672"/>
      <c r="L69" s="1709"/>
      <c r="M69" s="1673"/>
      <c r="N69" s="1533"/>
      <c r="O69" s="1565"/>
    </row>
    <row r="70" spans="1:15" s="355" customFormat="1">
      <c r="A70" t="s">
        <v>2040</v>
      </c>
      <c r="B70" s="302" t="s">
        <v>1852</v>
      </c>
      <c r="C70" s="1571"/>
      <c r="D70" s="1560" t="s">
        <v>2033</v>
      </c>
      <c r="E70" s="1691">
        <v>2</v>
      </c>
      <c r="F70" s="1691" t="s">
        <v>1051</v>
      </c>
      <c r="G70" s="1561"/>
      <c r="H70" s="1577"/>
      <c r="I70" s="1578"/>
      <c r="J70" s="1571"/>
      <c r="K70" s="1579"/>
      <c r="L70" s="1707"/>
      <c r="M70" s="1674"/>
      <c r="N70" s="1580"/>
      <c r="O70" s="1577"/>
    </row>
    <row r="71" spans="1:15" s="355" customFormat="1">
      <c r="A71" t="s">
        <v>2040</v>
      </c>
      <c r="B71" s="302" t="s">
        <v>1852</v>
      </c>
      <c r="C71" s="1577"/>
      <c r="D71" s="1560" t="s">
        <v>2034</v>
      </c>
      <c r="E71" s="1691">
        <v>1</v>
      </c>
      <c r="F71" s="1691" t="s">
        <v>1051</v>
      </c>
      <c r="G71" s="1561"/>
      <c r="H71" s="1577"/>
      <c r="I71" s="1578"/>
      <c r="J71" s="1571"/>
      <c r="K71" s="1579"/>
      <c r="L71" s="1707"/>
      <c r="M71" s="1674"/>
      <c r="N71" s="1580"/>
      <c r="O71" s="1577"/>
    </row>
    <row r="72" spans="1:15" s="355" customFormat="1">
      <c r="A72" t="s">
        <v>2040</v>
      </c>
      <c r="B72" s="302" t="s">
        <v>1852</v>
      </c>
      <c r="C72" s="1561"/>
      <c r="D72" s="1676" t="s">
        <v>2035</v>
      </c>
      <c r="E72" s="1691">
        <v>3</v>
      </c>
      <c r="F72" s="1691" t="s">
        <v>1051</v>
      </c>
      <c r="G72" s="1561"/>
      <c r="H72" s="1561"/>
      <c r="I72" s="1562"/>
      <c r="J72" s="1562"/>
      <c r="K72" s="1582"/>
      <c r="L72" s="1708"/>
      <c r="M72" s="1674"/>
      <c r="N72" s="1561"/>
      <c r="O72" s="1561"/>
    </row>
    <row r="73" spans="1:15" s="355" customFormat="1">
      <c r="A73" t="s">
        <v>2040</v>
      </c>
      <c r="B73" s="302" t="s">
        <v>1852</v>
      </c>
      <c r="C73" s="1671"/>
      <c r="D73" s="1569" t="s">
        <v>2036</v>
      </c>
      <c r="E73" s="1691">
        <v>2</v>
      </c>
      <c r="F73" s="1691" t="s">
        <v>1051</v>
      </c>
      <c r="G73" s="1565"/>
      <c r="H73" s="1571"/>
      <c r="I73" s="1672"/>
      <c r="J73" s="1672"/>
      <c r="K73" s="1672"/>
      <c r="L73" s="1709"/>
      <c r="M73" s="1673"/>
      <c r="N73" s="1533"/>
      <c r="O73" s="1565"/>
    </row>
    <row r="74" spans="1:15" s="355" customFormat="1">
      <c r="A74" t="s">
        <v>2040</v>
      </c>
      <c r="B74" s="302" t="s">
        <v>1852</v>
      </c>
      <c r="C74" s="1571"/>
      <c r="D74" s="1560" t="s">
        <v>2037</v>
      </c>
      <c r="E74" s="1693">
        <v>1</v>
      </c>
      <c r="F74" s="1694" t="s">
        <v>1051</v>
      </c>
      <c r="G74" s="1561"/>
      <c r="H74" s="1577"/>
      <c r="I74" s="1578"/>
      <c r="J74" s="1571"/>
      <c r="K74" s="1579"/>
      <c r="L74" s="1707"/>
      <c r="M74" s="1674"/>
      <c r="N74" s="1580"/>
      <c r="O74" s="1577"/>
    </row>
    <row r="75" spans="1:15" s="355" customFormat="1">
      <c r="A75" t="s">
        <v>2040</v>
      </c>
      <c r="B75" s="302" t="s">
        <v>1852</v>
      </c>
      <c r="C75" s="1577"/>
      <c r="D75" s="1560" t="s">
        <v>1369</v>
      </c>
      <c r="E75" s="280">
        <v>10</v>
      </c>
      <c r="F75" s="1570" t="s">
        <v>1051</v>
      </c>
      <c r="G75" s="1561"/>
      <c r="H75" s="1577"/>
      <c r="I75" s="1578"/>
      <c r="J75" s="1571"/>
      <c r="K75" s="1579"/>
      <c r="L75" s="1707"/>
      <c r="M75" s="1674"/>
      <c r="N75" s="1580"/>
      <c r="O75" s="1577"/>
    </row>
    <row r="76" spans="1:15" s="355" customFormat="1">
      <c r="A76" t="s">
        <v>2040</v>
      </c>
      <c r="B76" s="302" t="s">
        <v>1852</v>
      </c>
      <c r="C76" s="1577"/>
      <c r="D76" s="1560" t="s">
        <v>2038</v>
      </c>
      <c r="E76" s="280">
        <v>50</v>
      </c>
      <c r="F76" s="1570" t="s">
        <v>761</v>
      </c>
      <c r="G76" s="1561"/>
      <c r="H76" s="1577"/>
      <c r="I76" s="1578"/>
      <c r="J76" s="1571"/>
      <c r="K76" s="1579"/>
      <c r="L76" s="1707"/>
      <c r="M76" s="1674"/>
      <c r="N76" s="1580"/>
      <c r="O76" s="1577"/>
    </row>
    <row r="77" spans="1:15" s="355" customFormat="1">
      <c r="A77" t="s">
        <v>2040</v>
      </c>
      <c r="B77" s="302" t="s">
        <v>1852</v>
      </c>
      <c r="C77" s="1561"/>
      <c r="D77" s="1581" t="s">
        <v>1994</v>
      </c>
      <c r="E77" s="280">
        <v>15</v>
      </c>
      <c r="F77" s="280" t="s">
        <v>2039</v>
      </c>
      <c r="G77" s="1561"/>
      <c r="H77" s="1561"/>
      <c r="I77" s="1562"/>
      <c r="J77" s="1562"/>
      <c r="K77" s="1582"/>
      <c r="L77" s="1708"/>
      <c r="M77" s="1674"/>
      <c r="N77" s="1561"/>
      <c r="O77" s="1561"/>
    </row>
    <row r="78" spans="1:15" s="355" customFormat="1" ht="13.5">
      <c r="A78" s="513"/>
      <c r="B78" s="302"/>
      <c r="C78" s="438"/>
      <c r="D78" s="344"/>
      <c r="E78" s="352"/>
      <c r="F78" s="617"/>
      <c r="G78" s="441"/>
      <c r="H78" s="504"/>
      <c r="I78" s="504"/>
      <c r="J78" s="504"/>
      <c r="K78" s="438"/>
      <c r="L78" s="505"/>
      <c r="M78" s="438"/>
      <c r="O78" s="348"/>
    </row>
    <row r="79" spans="1:15" s="355" customFormat="1" ht="13.5">
      <c r="A79" s="438"/>
      <c r="B79" s="302"/>
      <c r="C79" s="438"/>
      <c r="D79" s="349"/>
      <c r="E79" s="352"/>
      <c r="F79" s="617"/>
      <c r="G79" s="441"/>
      <c r="H79" s="504"/>
      <c r="I79" s="504"/>
      <c r="J79" s="504"/>
      <c r="K79" s="438"/>
      <c r="L79" s="505"/>
      <c r="M79" s="438"/>
      <c r="O79" s="348"/>
    </row>
    <row r="80" spans="1:15" s="355" customFormat="1" ht="13.5">
      <c r="A80" s="438"/>
      <c r="B80" s="302"/>
      <c r="C80" s="438"/>
      <c r="D80" s="349"/>
      <c r="E80" s="352"/>
      <c r="F80" s="360"/>
      <c r="G80" s="438"/>
      <c r="H80" s="441"/>
      <c r="I80" s="504"/>
      <c r="J80" s="504"/>
      <c r="K80" s="504"/>
      <c r="L80" s="519"/>
      <c r="M80" s="507"/>
      <c r="N80" s="438"/>
      <c r="O80" s="348"/>
    </row>
    <row r="81" spans="1:15" s="355" customFormat="1" ht="40.5">
      <c r="A81" s="438" t="s">
        <v>2090</v>
      </c>
      <c r="B81" s="302" t="s">
        <v>1852</v>
      </c>
      <c r="C81" s="1671" t="s">
        <v>2042</v>
      </c>
      <c r="D81" s="242" t="s">
        <v>2</v>
      </c>
      <c r="E81" s="1684"/>
      <c r="F81" s="1571" t="s">
        <v>1764</v>
      </c>
      <c r="G81" s="1571" t="s">
        <v>1</v>
      </c>
      <c r="H81" s="1672" t="s">
        <v>675</v>
      </c>
      <c r="I81" s="1672" t="s">
        <v>599</v>
      </c>
      <c r="J81" s="1672" t="s">
        <v>599</v>
      </c>
      <c r="K81" s="1565" t="s">
        <v>748</v>
      </c>
      <c r="L81" s="1706">
        <v>35000</v>
      </c>
      <c r="M81" s="1533" t="s">
        <v>99</v>
      </c>
      <c r="N81" s="1565" t="s">
        <v>703</v>
      </c>
    </row>
    <row r="82" spans="1:15" s="355" customFormat="1" ht="40.5">
      <c r="A82" s="438" t="s">
        <v>2090</v>
      </c>
      <c r="B82" s="302" t="s">
        <v>1852</v>
      </c>
      <c r="C82" s="1571" t="s">
        <v>2043</v>
      </c>
      <c r="D82" s="1695" t="s">
        <v>2044</v>
      </c>
      <c r="E82" s="1682"/>
      <c r="F82" s="1683"/>
      <c r="G82" s="1571"/>
      <c r="H82" s="1571"/>
      <c r="I82" s="1672"/>
      <c r="J82" s="1672"/>
      <c r="K82" s="1672"/>
      <c r="L82" s="1709"/>
      <c r="M82" s="1673"/>
      <c r="N82" s="1533"/>
      <c r="O82" s="1565"/>
    </row>
    <row r="83" spans="1:15" s="355" customFormat="1" ht="40.5">
      <c r="A83" s="438" t="s">
        <v>2090</v>
      </c>
      <c r="B83" s="302" t="s">
        <v>1852</v>
      </c>
      <c r="C83" s="1696"/>
      <c r="D83" s="1581" t="s">
        <v>1971</v>
      </c>
      <c r="E83" s="280">
        <v>50</v>
      </c>
      <c r="F83" s="280" t="s">
        <v>1720</v>
      </c>
      <c r="G83" s="1561"/>
      <c r="H83" s="1577"/>
      <c r="I83" s="1578"/>
      <c r="J83" s="1571"/>
      <c r="K83" s="1579"/>
      <c r="L83" s="1707"/>
      <c r="M83" s="1674"/>
      <c r="N83" s="1580"/>
      <c r="O83" s="1577"/>
    </row>
    <row r="84" spans="1:15" s="355" customFormat="1" ht="40.5">
      <c r="A84" s="438" t="s">
        <v>2090</v>
      </c>
      <c r="B84" s="302" t="s">
        <v>1852</v>
      </c>
      <c r="C84" s="1577"/>
      <c r="D84" s="1581" t="s">
        <v>2045</v>
      </c>
      <c r="E84" s="280">
        <v>64</v>
      </c>
      <c r="F84" s="280" t="s">
        <v>1720</v>
      </c>
      <c r="G84" s="1561"/>
      <c r="H84" s="1577"/>
      <c r="I84" s="1578"/>
      <c r="J84" s="1571"/>
      <c r="K84" s="1579"/>
      <c r="L84" s="1707"/>
      <c r="M84" s="1674"/>
      <c r="N84" s="1580"/>
      <c r="O84" s="1577"/>
    </row>
    <row r="85" spans="1:15" s="355" customFormat="1" ht="40.5">
      <c r="A85" s="438" t="s">
        <v>2090</v>
      </c>
      <c r="B85" s="302" t="s">
        <v>1852</v>
      </c>
      <c r="C85" s="1577"/>
      <c r="D85" s="1581" t="s">
        <v>2046</v>
      </c>
      <c r="E85" s="280">
        <v>28</v>
      </c>
      <c r="F85" s="280" t="s">
        <v>1793</v>
      </c>
      <c r="G85" s="1561"/>
      <c r="H85" s="1577"/>
      <c r="I85" s="1578"/>
      <c r="J85" s="1571"/>
      <c r="K85" s="1579"/>
      <c r="L85" s="1707"/>
      <c r="M85" s="1674"/>
      <c r="N85" s="1580"/>
      <c r="O85" s="1577"/>
    </row>
    <row r="86" spans="1:15" s="355" customFormat="1" ht="40.5">
      <c r="A86" s="438" t="s">
        <v>2090</v>
      </c>
      <c r="B86" s="302" t="s">
        <v>1852</v>
      </c>
      <c r="C86" s="1561"/>
      <c r="D86" s="1581" t="s">
        <v>2047</v>
      </c>
      <c r="E86" s="280">
        <v>28</v>
      </c>
      <c r="F86" s="280" t="s">
        <v>1793</v>
      </c>
      <c r="G86" s="1561"/>
      <c r="H86" s="1561"/>
      <c r="I86" s="1562"/>
      <c r="J86" s="1562"/>
      <c r="K86" s="1582"/>
      <c r="L86" s="1708"/>
      <c r="M86" s="1674"/>
      <c r="N86" s="1561"/>
      <c r="O86" s="1561"/>
    </row>
    <row r="87" spans="1:15" s="355" customFormat="1" ht="40.5">
      <c r="A87" s="438" t="s">
        <v>2090</v>
      </c>
      <c r="B87" s="302" t="s">
        <v>1852</v>
      </c>
      <c r="C87" s="1561"/>
      <c r="D87" s="1581" t="s">
        <v>2048</v>
      </c>
      <c r="E87" s="280">
        <v>8</v>
      </c>
      <c r="F87" s="280" t="s">
        <v>1636</v>
      </c>
      <c r="G87" s="1561"/>
      <c r="H87" s="1561"/>
      <c r="I87" s="1562"/>
      <c r="J87" s="1562"/>
      <c r="K87" s="1582"/>
      <c r="L87" s="1708" t="s">
        <v>111</v>
      </c>
      <c r="M87" s="1674"/>
      <c r="N87" s="1561"/>
      <c r="O87" s="1561"/>
    </row>
    <row r="88" spans="1:15" s="355" customFormat="1" ht="40.5">
      <c r="A88" s="438" t="s">
        <v>2090</v>
      </c>
      <c r="B88" s="302" t="s">
        <v>1852</v>
      </c>
      <c r="C88" s="1561"/>
      <c r="D88" s="1581" t="s">
        <v>1836</v>
      </c>
      <c r="E88" s="280">
        <v>92</v>
      </c>
      <c r="F88" s="280" t="s">
        <v>761</v>
      </c>
      <c r="G88" s="1561"/>
      <c r="H88" s="1561"/>
      <c r="I88" s="1562"/>
      <c r="J88" s="1562"/>
      <c r="K88" s="1582"/>
      <c r="L88" s="1708"/>
      <c r="M88" s="1674"/>
      <c r="N88" s="1561"/>
      <c r="O88" s="1561"/>
    </row>
    <row r="89" spans="1:15" ht="40.5">
      <c r="A89" s="438" t="s">
        <v>2090</v>
      </c>
      <c r="B89" s="302" t="s">
        <v>1852</v>
      </c>
      <c r="C89" s="1561"/>
      <c r="D89" s="1581" t="s">
        <v>2049</v>
      </c>
      <c r="E89" s="280">
        <v>94</v>
      </c>
      <c r="F89" s="280" t="s">
        <v>761</v>
      </c>
      <c r="G89" s="1561"/>
      <c r="H89" s="1561"/>
      <c r="I89" s="1583"/>
      <c r="J89" s="1562"/>
      <c r="K89" s="1582"/>
      <c r="L89" s="1708"/>
      <c r="M89" s="1674"/>
      <c r="N89" s="1561"/>
      <c r="O89" s="1561"/>
    </row>
    <row r="90" spans="1:15" ht="40.5">
      <c r="A90" s="438" t="s">
        <v>2090</v>
      </c>
      <c r="B90" s="302" t="s">
        <v>1852</v>
      </c>
      <c r="C90" s="1561"/>
      <c r="D90" s="1581" t="s">
        <v>2050</v>
      </c>
      <c r="E90" s="280">
        <v>11</v>
      </c>
      <c r="F90" s="280" t="s">
        <v>1841</v>
      </c>
      <c r="G90" s="1561"/>
      <c r="H90" s="1561"/>
      <c r="I90" s="1579"/>
      <c r="J90" s="1579"/>
      <c r="K90" s="1579"/>
      <c r="L90" s="1710"/>
      <c r="M90" s="1674"/>
      <c r="N90" s="1561"/>
      <c r="O90" s="1561"/>
    </row>
    <row r="91" spans="1:15" ht="40.5">
      <c r="A91" s="438" t="s">
        <v>2090</v>
      </c>
      <c r="B91" s="302" t="s">
        <v>1852</v>
      </c>
      <c r="C91" s="1561"/>
      <c r="D91" s="1581" t="s">
        <v>2051</v>
      </c>
      <c r="E91" s="280">
        <v>12</v>
      </c>
      <c r="F91" s="280" t="s">
        <v>1841</v>
      </c>
      <c r="G91" s="1561"/>
      <c r="H91" s="1561"/>
      <c r="I91" s="1579"/>
      <c r="J91" s="1579"/>
      <c r="K91" s="1579"/>
      <c r="L91" s="1708"/>
      <c r="M91" s="1674"/>
      <c r="N91" s="1561"/>
      <c r="O91" s="1561"/>
    </row>
    <row r="92" spans="1:15" ht="40.5">
      <c r="A92" s="438" t="s">
        <v>2090</v>
      </c>
      <c r="B92" s="302" t="s">
        <v>1852</v>
      </c>
      <c r="C92" s="1561"/>
      <c r="D92" s="1581" t="s">
        <v>2052</v>
      </c>
      <c r="E92" s="280">
        <v>57</v>
      </c>
      <c r="F92" s="280" t="s">
        <v>1747</v>
      </c>
      <c r="G92" s="1561"/>
      <c r="H92" s="1561"/>
      <c r="I92" s="1579"/>
      <c r="J92" s="1579"/>
      <c r="K92" s="1579"/>
      <c r="L92" s="1708"/>
      <c r="M92" s="1674"/>
      <c r="N92" s="1561"/>
      <c r="O92" s="1561"/>
    </row>
    <row r="93" spans="1:15" ht="40.5">
      <c r="A93" s="438" t="s">
        <v>2090</v>
      </c>
      <c r="B93" s="302" t="s">
        <v>1852</v>
      </c>
      <c r="C93" s="1561"/>
      <c r="D93" s="1581" t="s">
        <v>2053</v>
      </c>
      <c r="E93" s="280">
        <v>30</v>
      </c>
      <c r="F93" s="280" t="s">
        <v>761</v>
      </c>
      <c r="G93" s="1561"/>
      <c r="H93" s="1561"/>
      <c r="I93" s="1583"/>
      <c r="J93" s="1562"/>
      <c r="K93" s="1582"/>
      <c r="L93" s="1708"/>
      <c r="M93" s="1674"/>
      <c r="N93" s="1561"/>
      <c r="O93" s="1561"/>
    </row>
    <row r="94" spans="1:15" ht="40.5">
      <c r="A94" s="438" t="s">
        <v>2090</v>
      </c>
      <c r="B94" s="302" t="s">
        <v>1852</v>
      </c>
      <c r="C94" s="1561"/>
      <c r="D94" s="1581" t="s">
        <v>2054</v>
      </c>
      <c r="E94" s="280">
        <v>15</v>
      </c>
      <c r="F94" s="280" t="s">
        <v>1793</v>
      </c>
      <c r="G94" s="1561"/>
      <c r="H94" s="1561"/>
      <c r="I94" s="1579"/>
      <c r="J94" s="1579"/>
      <c r="K94" s="1579"/>
      <c r="L94" s="1708"/>
      <c r="M94" s="1674"/>
      <c r="N94" s="1561"/>
      <c r="O94" s="1561"/>
    </row>
    <row r="95" spans="1:15" ht="40.5">
      <c r="A95" s="438" t="s">
        <v>2090</v>
      </c>
      <c r="B95" s="302" t="s">
        <v>1852</v>
      </c>
      <c r="C95" s="1561"/>
      <c r="D95" s="1676" t="s">
        <v>2055</v>
      </c>
      <c r="E95" s="280">
        <v>12</v>
      </c>
      <c r="F95" s="280" t="s">
        <v>761</v>
      </c>
      <c r="G95" s="1561"/>
      <c r="H95" s="1561"/>
      <c r="I95" s="1562"/>
      <c r="J95" s="1562"/>
      <c r="K95" s="1582"/>
      <c r="L95" s="1708"/>
      <c r="M95" s="1674"/>
      <c r="N95" s="1561"/>
      <c r="O95" s="1561"/>
    </row>
    <row r="96" spans="1:15" ht="40.5">
      <c r="A96" s="438" t="s">
        <v>2090</v>
      </c>
      <c r="B96" s="302" t="s">
        <v>1852</v>
      </c>
      <c r="C96" s="1561"/>
      <c r="D96" s="1581" t="s">
        <v>2056</v>
      </c>
      <c r="E96" s="280">
        <v>13</v>
      </c>
      <c r="F96" s="280" t="s">
        <v>761</v>
      </c>
      <c r="G96" s="1561"/>
      <c r="H96" s="1561"/>
      <c r="I96" s="1583"/>
      <c r="J96" s="1562"/>
      <c r="K96" s="1582"/>
      <c r="L96" s="1708"/>
      <c r="M96" s="1674"/>
      <c r="N96" s="1561"/>
      <c r="O96" s="1561"/>
    </row>
    <row r="97" spans="1:15" ht="40.5">
      <c r="A97" s="438" t="s">
        <v>2090</v>
      </c>
      <c r="B97" s="302" t="s">
        <v>1852</v>
      </c>
      <c r="C97" s="1561"/>
      <c r="D97" s="1581" t="s">
        <v>2057</v>
      </c>
      <c r="E97" s="280">
        <v>14</v>
      </c>
      <c r="F97" s="280" t="s">
        <v>761</v>
      </c>
      <c r="G97" s="1561"/>
      <c r="H97" s="1561"/>
      <c r="I97" s="1562"/>
      <c r="J97" s="1562"/>
      <c r="K97" s="1562"/>
      <c r="L97" s="1708"/>
      <c r="M97" s="1674"/>
      <c r="N97" s="1561"/>
      <c r="O97" s="1561"/>
    </row>
    <row r="98" spans="1:15" ht="40.5">
      <c r="A98" s="438" t="s">
        <v>2090</v>
      </c>
      <c r="B98" s="302" t="s">
        <v>1852</v>
      </c>
      <c r="C98" s="1561"/>
      <c r="D98" s="1581" t="s">
        <v>1808</v>
      </c>
      <c r="E98" s="280">
        <v>12</v>
      </c>
      <c r="F98" s="280" t="s">
        <v>761</v>
      </c>
      <c r="G98" s="1561"/>
      <c r="H98" s="1561"/>
      <c r="I98" s="1579"/>
      <c r="J98" s="1579"/>
      <c r="K98" s="1579"/>
      <c r="L98" s="1708"/>
      <c r="M98" s="1674"/>
      <c r="N98" s="1561"/>
      <c r="O98" s="1561"/>
    </row>
    <row r="99" spans="1:15" ht="40.5">
      <c r="A99" s="438" t="s">
        <v>2090</v>
      </c>
      <c r="B99" s="302" t="s">
        <v>1852</v>
      </c>
      <c r="C99" s="1571"/>
      <c r="D99" s="1695" t="s">
        <v>2058</v>
      </c>
      <c r="E99" s="242"/>
      <c r="F99" s="1683"/>
      <c r="G99" s="1571"/>
      <c r="H99" s="1571"/>
      <c r="I99" s="1672"/>
      <c r="J99" s="1672"/>
      <c r="K99" s="1672"/>
      <c r="L99" s="1709"/>
      <c r="M99" s="1673"/>
      <c r="N99" s="1533"/>
      <c r="O99" s="1565"/>
    </row>
    <row r="100" spans="1:15" ht="40.5">
      <c r="A100" s="438" t="s">
        <v>2090</v>
      </c>
      <c r="B100" s="302" t="s">
        <v>1852</v>
      </c>
      <c r="C100" s="1561"/>
      <c r="D100" s="1581" t="s">
        <v>2059</v>
      </c>
      <c r="E100" s="280">
        <v>1</v>
      </c>
      <c r="F100" s="280" t="s">
        <v>1636</v>
      </c>
      <c r="G100" s="1571"/>
      <c r="H100" s="1571"/>
      <c r="I100" s="1672"/>
      <c r="J100" s="1672"/>
      <c r="K100" s="1672"/>
      <c r="L100" s="1709"/>
      <c r="M100" s="1673"/>
      <c r="N100" s="1533"/>
      <c r="O100" s="1565"/>
    </row>
    <row r="101" spans="1:15" ht="40.5">
      <c r="A101" s="438" t="s">
        <v>2090</v>
      </c>
      <c r="B101" s="302" t="s">
        <v>1852</v>
      </c>
      <c r="C101" s="1561"/>
      <c r="D101" s="1581" t="s">
        <v>2060</v>
      </c>
      <c r="E101" s="280">
        <v>29</v>
      </c>
      <c r="F101" s="280" t="s">
        <v>1670</v>
      </c>
      <c r="G101" s="1561"/>
      <c r="H101" s="1561"/>
      <c r="I101" s="1579"/>
      <c r="J101" s="1579"/>
      <c r="K101" s="1579"/>
      <c r="L101" s="1708"/>
      <c r="M101" s="1674"/>
      <c r="N101" s="1561"/>
      <c r="O101" s="1561"/>
    </row>
    <row r="102" spans="1:15" ht="40.5">
      <c r="A102" s="438" t="s">
        <v>2090</v>
      </c>
      <c r="B102" s="302" t="s">
        <v>1852</v>
      </c>
      <c r="C102" s="1571"/>
      <c r="D102" s="1695" t="s">
        <v>752</v>
      </c>
      <c r="E102" s="242"/>
      <c r="F102" s="1683"/>
      <c r="G102" s="1571"/>
      <c r="H102" s="1571"/>
      <c r="I102" s="1672"/>
      <c r="J102" s="1672"/>
      <c r="K102" s="1672"/>
      <c r="L102" s="1709"/>
      <c r="M102" s="1673"/>
      <c r="N102" s="1533"/>
      <c r="O102" s="1565"/>
    </row>
    <row r="103" spans="1:15" ht="40.5">
      <c r="A103" s="438" t="s">
        <v>2090</v>
      </c>
      <c r="B103" s="302" t="s">
        <v>1852</v>
      </c>
      <c r="C103" s="1561"/>
      <c r="D103" s="1581" t="s">
        <v>474</v>
      </c>
      <c r="E103" s="280">
        <v>5</v>
      </c>
      <c r="F103" s="280" t="s">
        <v>761</v>
      </c>
      <c r="G103" s="1561"/>
      <c r="H103" s="1561"/>
      <c r="I103" s="1562"/>
      <c r="J103" s="1562"/>
      <c r="K103" s="1582"/>
      <c r="L103" s="1708"/>
      <c r="M103" s="1674"/>
      <c r="N103" s="1561"/>
      <c r="O103" s="1561"/>
    </row>
    <row r="104" spans="1:15" ht="40.5">
      <c r="A104" s="438" t="s">
        <v>2090</v>
      </c>
      <c r="B104" s="302" t="s">
        <v>1852</v>
      </c>
      <c r="C104" s="1561"/>
      <c r="D104" s="1581" t="s">
        <v>1803</v>
      </c>
      <c r="E104" s="280">
        <v>7</v>
      </c>
      <c r="F104" s="280" t="s">
        <v>1700</v>
      </c>
      <c r="G104" s="1561"/>
      <c r="H104" s="1561"/>
      <c r="I104" s="1562"/>
      <c r="J104" s="1562"/>
      <c r="K104" s="1582"/>
      <c r="L104" s="1708"/>
      <c r="M104" s="1674"/>
      <c r="N104" s="1561"/>
      <c r="O104" s="1561"/>
    </row>
    <row r="105" spans="1:15" ht="14.25" customHeight="1">
      <c r="A105" s="438" t="s">
        <v>2090</v>
      </c>
      <c r="B105" s="302" t="s">
        <v>1852</v>
      </c>
      <c r="C105" s="1561"/>
      <c r="D105" s="1581" t="s">
        <v>2061</v>
      </c>
      <c r="E105" s="280">
        <v>6</v>
      </c>
      <c r="F105" s="280" t="s">
        <v>761</v>
      </c>
      <c r="G105" s="1561"/>
      <c r="H105" s="1561"/>
      <c r="I105" s="1562"/>
      <c r="J105" s="1562"/>
      <c r="K105" s="1582"/>
      <c r="L105" s="1708"/>
      <c r="M105" s="1674"/>
      <c r="N105" s="1561"/>
      <c r="O105" s="1561"/>
    </row>
    <row r="106" spans="1:15" ht="14.25" customHeight="1">
      <c r="A106" s="438" t="s">
        <v>2090</v>
      </c>
      <c r="B106" s="302" t="s">
        <v>1852</v>
      </c>
      <c r="C106" s="1561"/>
      <c r="D106" s="1581" t="s">
        <v>770</v>
      </c>
      <c r="E106" s="280">
        <v>6</v>
      </c>
      <c r="F106" s="280" t="s">
        <v>755</v>
      </c>
      <c r="G106" s="1561"/>
      <c r="H106" s="1561"/>
      <c r="I106" s="1562"/>
      <c r="J106" s="1562"/>
      <c r="K106" s="1582"/>
      <c r="L106" s="1708"/>
      <c r="M106" s="1674"/>
      <c r="N106" s="1561"/>
      <c r="O106" s="1561"/>
    </row>
    <row r="107" spans="1:15" ht="14.25" customHeight="1">
      <c r="A107" s="438" t="s">
        <v>2090</v>
      </c>
      <c r="B107" s="302" t="s">
        <v>1852</v>
      </c>
      <c r="C107" s="1561"/>
      <c r="D107" s="1581" t="s">
        <v>2062</v>
      </c>
      <c r="E107" s="280">
        <v>4</v>
      </c>
      <c r="F107" s="280" t="s">
        <v>2063</v>
      </c>
      <c r="G107" s="1561"/>
      <c r="H107" s="1561"/>
      <c r="I107" s="1562"/>
      <c r="J107" s="1562"/>
      <c r="K107" s="1582"/>
      <c r="L107" s="1708"/>
      <c r="M107" s="1674"/>
      <c r="N107" s="1561"/>
      <c r="O107" s="1561"/>
    </row>
    <row r="108" spans="1:15" ht="14.25" customHeight="1">
      <c r="A108" s="438" t="s">
        <v>2090</v>
      </c>
      <c r="B108" s="302" t="s">
        <v>1852</v>
      </c>
      <c r="C108" s="1561"/>
      <c r="D108" s="1677" t="s">
        <v>502</v>
      </c>
      <c r="E108" s="280">
        <v>8</v>
      </c>
      <c r="F108" s="280" t="s">
        <v>1636</v>
      </c>
      <c r="G108" s="1561"/>
      <c r="H108" s="1561"/>
      <c r="I108" s="1562"/>
      <c r="J108" s="1562"/>
      <c r="K108" s="1582"/>
      <c r="L108" s="1708"/>
      <c r="M108" s="1674"/>
      <c r="N108" s="1561"/>
      <c r="O108" s="1561"/>
    </row>
    <row r="109" spans="1:15" ht="14.25" customHeight="1">
      <c r="A109" s="438" t="s">
        <v>2090</v>
      </c>
      <c r="B109" s="302" t="s">
        <v>1852</v>
      </c>
      <c r="C109" s="1561"/>
      <c r="D109" s="1581" t="s">
        <v>1613</v>
      </c>
      <c r="E109" s="280">
        <v>3</v>
      </c>
      <c r="F109" s="280" t="s">
        <v>761</v>
      </c>
      <c r="G109" s="1561"/>
      <c r="H109" s="1561"/>
      <c r="I109" s="1562"/>
      <c r="J109" s="1562"/>
      <c r="K109" s="1582"/>
      <c r="L109" s="1708"/>
      <c r="M109" s="1674"/>
      <c r="N109" s="1561"/>
      <c r="O109" s="1561"/>
    </row>
    <row r="110" spans="1:15" ht="14.25" customHeight="1">
      <c r="A110" s="438" t="s">
        <v>2090</v>
      </c>
      <c r="B110" s="302" t="s">
        <v>1852</v>
      </c>
      <c r="C110" s="1577"/>
      <c r="D110" s="1581" t="s">
        <v>475</v>
      </c>
      <c r="E110" s="280">
        <v>31</v>
      </c>
      <c r="F110" s="280" t="s">
        <v>761</v>
      </c>
      <c r="G110" s="1577"/>
      <c r="H110" s="1577"/>
      <c r="I110" s="1571"/>
      <c r="J110" s="1571"/>
      <c r="K110" s="1579"/>
      <c r="L110" s="1707"/>
      <c r="M110" s="1674"/>
      <c r="N110" s="1577"/>
      <c r="O110" s="1577"/>
    </row>
    <row r="111" spans="1:15" ht="14.25" customHeight="1">
      <c r="A111" s="438" t="s">
        <v>2090</v>
      </c>
      <c r="B111" s="302" t="s">
        <v>1852</v>
      </c>
      <c r="C111" s="1577"/>
      <c r="D111" s="1581" t="s">
        <v>183</v>
      </c>
      <c r="E111" s="280">
        <v>10</v>
      </c>
      <c r="F111" s="280" t="s">
        <v>761</v>
      </c>
      <c r="G111" s="1577"/>
      <c r="H111" s="1577"/>
      <c r="I111" s="1571"/>
      <c r="J111" s="1571"/>
      <c r="K111" s="1579"/>
      <c r="L111" s="1707"/>
      <c r="M111" s="1674"/>
      <c r="N111" s="1577"/>
      <c r="O111" s="1577"/>
    </row>
    <row r="112" spans="1:15" ht="14.25" customHeight="1">
      <c r="A112" s="438" t="s">
        <v>2090</v>
      </c>
      <c r="B112" s="302" t="s">
        <v>1852</v>
      </c>
      <c r="C112" s="1577"/>
      <c r="D112" s="1581" t="s">
        <v>2064</v>
      </c>
      <c r="E112" s="280">
        <v>9</v>
      </c>
      <c r="F112" s="280" t="s">
        <v>761</v>
      </c>
      <c r="G112" s="1697"/>
      <c r="H112" s="1678"/>
      <c r="I112" s="1571"/>
      <c r="J112" s="1571"/>
      <c r="K112" s="1579"/>
      <c r="L112" s="1707"/>
      <c r="M112" s="1674"/>
      <c r="N112" s="1577"/>
      <c r="O112" s="1577"/>
    </row>
    <row r="113" spans="1:15" ht="14.25" customHeight="1">
      <c r="A113" s="438" t="s">
        <v>2090</v>
      </c>
      <c r="B113" s="302" t="s">
        <v>1852</v>
      </c>
      <c r="C113" s="1577"/>
      <c r="D113" s="1581" t="s">
        <v>2065</v>
      </c>
      <c r="E113" s="280">
        <v>14</v>
      </c>
      <c r="F113" s="280" t="s">
        <v>761</v>
      </c>
      <c r="G113" s="1697"/>
      <c r="H113" s="1678"/>
      <c r="I113" s="1571"/>
      <c r="J113" s="1571"/>
      <c r="K113" s="1579"/>
      <c r="L113" s="1707"/>
      <c r="M113" s="1674"/>
      <c r="N113" s="1577"/>
      <c r="O113" s="1577"/>
    </row>
    <row r="114" spans="1:15" ht="14.25" customHeight="1">
      <c r="A114" s="438" t="s">
        <v>2090</v>
      </c>
      <c r="B114" s="302" t="s">
        <v>1852</v>
      </c>
      <c r="C114" s="1577"/>
      <c r="D114" s="1581" t="s">
        <v>2066</v>
      </c>
      <c r="E114" s="280">
        <v>4</v>
      </c>
      <c r="F114" s="280" t="s">
        <v>1700</v>
      </c>
      <c r="G114" s="1679"/>
      <c r="H114" s="1571"/>
      <c r="I114" s="1578"/>
      <c r="J114" s="1571"/>
      <c r="K114" s="1579"/>
      <c r="L114" s="1709"/>
      <c r="M114" s="1680"/>
      <c r="N114" s="1580"/>
      <c r="O114" s="1571"/>
    </row>
    <row r="115" spans="1:15" ht="14.25" customHeight="1">
      <c r="A115" s="438" t="s">
        <v>2090</v>
      </c>
      <c r="B115" s="302" t="s">
        <v>1852</v>
      </c>
      <c r="C115" s="1577"/>
      <c r="D115" s="1581" t="s">
        <v>772</v>
      </c>
      <c r="E115" s="280">
        <v>8</v>
      </c>
      <c r="F115" s="280" t="s">
        <v>761</v>
      </c>
      <c r="G115" s="1571"/>
      <c r="H115" s="1571"/>
      <c r="I115" s="1571"/>
      <c r="J115" s="1571"/>
      <c r="K115" s="1571"/>
      <c r="L115" s="1707"/>
      <c r="M115" s="1681"/>
      <c r="N115" s="1577"/>
      <c r="O115" s="1571"/>
    </row>
    <row r="116" spans="1:15" ht="14.25" customHeight="1">
      <c r="A116" s="438" t="s">
        <v>2090</v>
      </c>
      <c r="B116" s="302" t="s">
        <v>1852</v>
      </c>
      <c r="C116" s="1577"/>
      <c r="D116" s="1581" t="s">
        <v>2067</v>
      </c>
      <c r="E116" s="280">
        <v>5</v>
      </c>
      <c r="F116" s="280" t="s">
        <v>761</v>
      </c>
      <c r="G116" s="1679"/>
      <c r="H116" s="1571"/>
      <c r="I116" s="1571"/>
      <c r="J116" s="1571"/>
      <c r="K116" s="1571"/>
      <c r="L116" s="1707"/>
      <c r="M116" s="1681"/>
      <c r="N116" s="1577"/>
      <c r="O116" s="1571"/>
    </row>
    <row r="117" spans="1:15" ht="14.25" customHeight="1">
      <c r="A117" s="438" t="s">
        <v>2090</v>
      </c>
      <c r="B117" s="302" t="s">
        <v>1852</v>
      </c>
      <c r="C117" s="1577"/>
      <c r="D117" s="1581" t="s">
        <v>2068</v>
      </c>
      <c r="E117" s="280">
        <v>50</v>
      </c>
      <c r="F117" s="280" t="s">
        <v>761</v>
      </c>
      <c r="G117" s="1679"/>
      <c r="H117" s="1571"/>
      <c r="I117" s="1571"/>
      <c r="J117" s="1571"/>
      <c r="K117" s="1571"/>
      <c r="L117" s="1707"/>
      <c r="M117" s="1681"/>
      <c r="N117" s="1577"/>
      <c r="O117" s="1571"/>
    </row>
    <row r="118" spans="1:15" ht="14.25" customHeight="1">
      <c r="A118" s="438" t="s">
        <v>2090</v>
      </c>
      <c r="B118" s="302" t="s">
        <v>1852</v>
      </c>
      <c r="C118" s="1577"/>
      <c r="D118" s="1581" t="s">
        <v>2069</v>
      </c>
      <c r="E118" s="280">
        <v>50</v>
      </c>
      <c r="F118" s="280" t="s">
        <v>761</v>
      </c>
      <c r="G118" s="1679"/>
      <c r="H118" s="1571"/>
      <c r="I118" s="1571"/>
      <c r="J118" s="1571"/>
      <c r="K118" s="1571"/>
      <c r="L118" s="1707"/>
      <c r="M118" s="1681"/>
      <c r="N118" s="1577"/>
      <c r="O118" s="1571"/>
    </row>
    <row r="119" spans="1:15" ht="14.25" customHeight="1">
      <c r="A119" s="438" t="s">
        <v>2090</v>
      </c>
      <c r="B119" s="302" t="s">
        <v>1852</v>
      </c>
      <c r="C119" s="1577"/>
      <c r="D119" s="1581" t="s">
        <v>2070</v>
      </c>
      <c r="E119" s="280">
        <v>4</v>
      </c>
      <c r="F119" s="280" t="s">
        <v>761</v>
      </c>
      <c r="G119" s="1679"/>
      <c r="H119" s="1571"/>
      <c r="I119" s="1571"/>
      <c r="J119" s="1571"/>
      <c r="K119" s="1571"/>
      <c r="L119" s="1707"/>
      <c r="M119" s="1681"/>
      <c r="N119" s="1577"/>
      <c r="O119" s="1571"/>
    </row>
    <row r="120" spans="1:15" ht="14.25" customHeight="1">
      <c r="A120" s="438" t="s">
        <v>2090</v>
      </c>
      <c r="B120" s="302" t="s">
        <v>1852</v>
      </c>
      <c r="C120" s="1577"/>
      <c r="D120" s="1581" t="s">
        <v>2071</v>
      </c>
      <c r="E120" s="280">
        <v>2</v>
      </c>
      <c r="F120" s="280" t="s">
        <v>761</v>
      </c>
      <c r="G120" s="1679"/>
      <c r="H120" s="1571"/>
      <c r="I120" s="1571"/>
      <c r="J120" s="1571"/>
      <c r="K120" s="1571"/>
      <c r="L120" s="1707"/>
      <c r="M120" s="1681"/>
      <c r="N120" s="1577"/>
      <c r="O120" s="1571"/>
    </row>
    <row r="121" spans="1:15" ht="14.25" customHeight="1">
      <c r="A121" s="438" t="s">
        <v>2090</v>
      </c>
      <c r="B121" s="302" t="s">
        <v>1852</v>
      </c>
      <c r="C121" s="1577"/>
      <c r="D121" s="1581" t="s">
        <v>1934</v>
      </c>
      <c r="E121" s="280">
        <v>1</v>
      </c>
      <c r="F121" s="280" t="s">
        <v>761</v>
      </c>
      <c r="G121" s="1679"/>
      <c r="H121" s="1571"/>
      <c r="I121" s="1571"/>
      <c r="J121" s="1571"/>
      <c r="K121" s="1571"/>
      <c r="L121" s="1707"/>
      <c r="M121" s="1681"/>
      <c r="N121" s="1577"/>
      <c r="O121" s="1571"/>
    </row>
    <row r="122" spans="1:15" ht="14.25" customHeight="1">
      <c r="A122" s="438" t="s">
        <v>2090</v>
      </c>
      <c r="B122" s="302" t="s">
        <v>1852</v>
      </c>
      <c r="C122" s="1577"/>
      <c r="D122" s="1581" t="s">
        <v>2072</v>
      </c>
      <c r="E122" s="280">
        <v>1</v>
      </c>
      <c r="F122" s="280" t="s">
        <v>761</v>
      </c>
      <c r="G122" s="1679"/>
      <c r="H122" s="1571"/>
      <c r="I122" s="1571"/>
      <c r="J122" s="1571"/>
      <c r="K122" s="1571"/>
      <c r="L122" s="1707"/>
      <c r="M122" s="1681"/>
      <c r="N122" s="1577"/>
      <c r="O122" s="1571"/>
    </row>
    <row r="123" spans="1:15" ht="14.25" customHeight="1">
      <c r="A123" s="438" t="s">
        <v>2090</v>
      </c>
      <c r="B123" s="302" t="s">
        <v>1852</v>
      </c>
      <c r="C123" s="1577"/>
      <c r="D123" s="1695" t="s">
        <v>2073</v>
      </c>
      <c r="E123" s="280"/>
      <c r="F123" s="280"/>
      <c r="G123" s="1571"/>
      <c r="H123" s="1571"/>
      <c r="I123" s="1672"/>
      <c r="J123" s="1672"/>
      <c r="K123" s="1672"/>
      <c r="L123" s="1709"/>
      <c r="M123" s="1673"/>
      <c r="N123" s="1533"/>
      <c r="O123" s="1565"/>
    </row>
    <row r="124" spans="1:15" s="1" customFormat="1" ht="14.25" customHeight="1">
      <c r="A124" s="438" t="s">
        <v>2090</v>
      </c>
      <c r="B124" s="302" t="s">
        <v>1852</v>
      </c>
      <c r="C124" s="1577"/>
      <c r="D124" s="1581" t="s">
        <v>2074</v>
      </c>
      <c r="E124" s="280">
        <v>13</v>
      </c>
      <c r="F124" s="280" t="s">
        <v>2075</v>
      </c>
      <c r="G124" s="1679"/>
      <c r="H124" s="1571"/>
      <c r="I124" s="1571"/>
      <c r="J124" s="1571"/>
      <c r="K124" s="1571"/>
      <c r="L124" s="1707"/>
      <c r="M124" s="1681"/>
      <c r="N124" s="1577"/>
      <c r="O124" s="1571"/>
    </row>
    <row r="125" spans="1:15" s="1" customFormat="1" ht="14.25" customHeight="1">
      <c r="A125" s="438" t="s">
        <v>2090</v>
      </c>
      <c r="B125" s="302" t="s">
        <v>1852</v>
      </c>
      <c r="C125" s="1577"/>
      <c r="D125" s="1581" t="s">
        <v>1492</v>
      </c>
      <c r="E125" s="280">
        <v>3</v>
      </c>
      <c r="F125" s="280" t="s">
        <v>761</v>
      </c>
      <c r="G125" s="1679"/>
      <c r="H125" s="1571"/>
      <c r="I125" s="1571"/>
      <c r="J125" s="1571"/>
      <c r="K125" s="1571"/>
      <c r="L125" s="1707"/>
      <c r="M125" s="1681"/>
      <c r="N125" s="1577"/>
      <c r="O125" s="1571"/>
    </row>
    <row r="126" spans="1:15" ht="40.5">
      <c r="A126" s="438" t="s">
        <v>2090</v>
      </c>
      <c r="B126" s="302" t="s">
        <v>1852</v>
      </c>
      <c r="C126" s="1577"/>
      <c r="D126" s="1581" t="s">
        <v>2076</v>
      </c>
      <c r="E126" s="280">
        <v>1</v>
      </c>
      <c r="F126" s="280" t="s">
        <v>1789</v>
      </c>
      <c r="G126" s="1679"/>
      <c r="H126" s="1571"/>
      <c r="I126" s="1571"/>
      <c r="J126" s="1571"/>
      <c r="K126" s="1571"/>
      <c r="L126" s="1707"/>
      <c r="M126" s="1681"/>
      <c r="N126" s="1577"/>
      <c r="O126" s="1571"/>
    </row>
    <row r="127" spans="1:15" ht="40.5">
      <c r="A127" s="438" t="s">
        <v>2090</v>
      </c>
      <c r="B127" s="302" t="s">
        <v>1852</v>
      </c>
      <c r="C127" s="1577"/>
      <c r="D127" s="1581" t="s">
        <v>2077</v>
      </c>
      <c r="E127" s="280">
        <v>2</v>
      </c>
      <c r="F127" s="280" t="s">
        <v>761</v>
      </c>
      <c r="G127" s="1679"/>
      <c r="H127" s="1571"/>
      <c r="I127" s="1571"/>
      <c r="J127" s="1571"/>
      <c r="K127" s="1571"/>
      <c r="L127" s="1707"/>
      <c r="M127" s="1681"/>
      <c r="N127" s="1577"/>
      <c r="O127" s="1571"/>
    </row>
    <row r="128" spans="1:15" ht="40.5">
      <c r="A128" s="438" t="s">
        <v>2090</v>
      </c>
      <c r="B128" s="302" t="s">
        <v>1852</v>
      </c>
      <c r="C128" s="1577"/>
      <c r="D128" s="1581" t="s">
        <v>2078</v>
      </c>
      <c r="E128" s="280">
        <v>3</v>
      </c>
      <c r="F128" s="280" t="s">
        <v>2075</v>
      </c>
      <c r="G128" s="1679"/>
      <c r="H128" s="1571"/>
      <c r="I128" s="1571"/>
      <c r="J128" s="1571"/>
      <c r="K128" s="1571"/>
      <c r="L128" s="1707"/>
      <c r="M128" s="1681"/>
      <c r="N128" s="1577"/>
      <c r="O128" s="1571"/>
    </row>
    <row r="129" spans="1:15" ht="40.5">
      <c r="A129" s="438" t="s">
        <v>2090</v>
      </c>
      <c r="B129" s="302" t="s">
        <v>1852</v>
      </c>
      <c r="C129" s="1577"/>
      <c r="D129" s="1581" t="s">
        <v>2079</v>
      </c>
      <c r="E129" s="280">
        <v>20</v>
      </c>
      <c r="F129" s="280" t="s">
        <v>761</v>
      </c>
      <c r="G129" s="1679"/>
      <c r="H129" s="1571"/>
      <c r="I129" s="1571"/>
      <c r="J129" s="1571"/>
      <c r="K129" s="1571"/>
      <c r="L129" s="1707"/>
      <c r="M129" s="1681"/>
      <c r="N129" s="1577"/>
      <c r="O129" s="1571"/>
    </row>
    <row r="130" spans="1:15" ht="40.5">
      <c r="A130" s="438" t="s">
        <v>2090</v>
      </c>
      <c r="B130" s="302" t="s">
        <v>1852</v>
      </c>
      <c r="C130" s="1577"/>
      <c r="D130" s="1581" t="s">
        <v>2080</v>
      </c>
      <c r="E130" s="280">
        <v>11</v>
      </c>
      <c r="F130" s="280" t="s">
        <v>761</v>
      </c>
      <c r="G130" s="1679"/>
      <c r="H130" s="1571"/>
      <c r="I130" s="1571"/>
      <c r="J130" s="1571"/>
      <c r="K130" s="1571"/>
      <c r="L130" s="1707"/>
      <c r="M130" s="1681"/>
      <c r="N130" s="1577"/>
      <c r="O130" s="1571"/>
    </row>
    <row r="131" spans="1:15" ht="40.5">
      <c r="A131" s="438" t="s">
        <v>2090</v>
      </c>
      <c r="B131" s="302" t="s">
        <v>1852</v>
      </c>
      <c r="C131" s="1577"/>
      <c r="D131" s="1581" t="s">
        <v>2081</v>
      </c>
      <c r="E131" s="280">
        <v>2</v>
      </c>
      <c r="F131" s="280" t="s">
        <v>1747</v>
      </c>
      <c r="G131" s="1679"/>
      <c r="H131" s="1571"/>
      <c r="I131" s="1571"/>
      <c r="J131" s="1571"/>
      <c r="K131" s="1571"/>
      <c r="L131" s="1707"/>
      <c r="M131" s="1681"/>
      <c r="N131" s="1577"/>
      <c r="O131" s="1571"/>
    </row>
    <row r="132" spans="1:15" ht="40.5">
      <c r="A132" s="438" t="s">
        <v>2090</v>
      </c>
      <c r="B132" s="302" t="s">
        <v>1852</v>
      </c>
      <c r="C132" s="1577"/>
      <c r="D132" s="1581" t="s">
        <v>2082</v>
      </c>
      <c r="E132" s="280">
        <v>9</v>
      </c>
      <c r="F132" s="280" t="s">
        <v>761</v>
      </c>
      <c r="G132" s="1679"/>
      <c r="H132" s="1571"/>
      <c r="I132" s="1571"/>
      <c r="J132" s="1571"/>
      <c r="K132" s="1571"/>
      <c r="L132" s="1707"/>
      <c r="M132" s="1681"/>
      <c r="N132" s="1577"/>
      <c r="O132" s="1571"/>
    </row>
    <row r="133" spans="1:15" ht="40.5">
      <c r="A133" s="438" t="s">
        <v>2090</v>
      </c>
      <c r="B133" s="302" t="s">
        <v>1852</v>
      </c>
      <c r="C133" s="1577"/>
      <c r="D133" s="1581" t="s">
        <v>2083</v>
      </c>
      <c r="E133" s="280">
        <v>40</v>
      </c>
      <c r="F133" s="280" t="s">
        <v>2084</v>
      </c>
      <c r="G133" s="1679"/>
      <c r="H133" s="1571"/>
      <c r="I133" s="1571"/>
      <c r="J133" s="1571"/>
      <c r="K133" s="1571"/>
      <c r="L133" s="1707"/>
      <c r="M133" s="1681"/>
      <c r="N133" s="1577"/>
      <c r="O133" s="1571"/>
    </row>
    <row r="134" spans="1:15" ht="40.5">
      <c r="A134" s="438" t="s">
        <v>2090</v>
      </c>
      <c r="B134" s="302" t="s">
        <v>1852</v>
      </c>
      <c r="C134" s="1577"/>
      <c r="D134" s="1695" t="s">
        <v>2085</v>
      </c>
      <c r="E134" s="280"/>
      <c r="F134" s="280"/>
      <c r="G134" s="1679"/>
      <c r="H134" s="1571"/>
      <c r="I134" s="1571"/>
      <c r="J134" s="1571"/>
      <c r="K134" s="1571"/>
      <c r="L134" s="1707"/>
      <c r="M134" s="1681"/>
      <c r="N134" s="1577"/>
      <c r="O134" s="1571"/>
    </row>
    <row r="135" spans="1:15" ht="40.5">
      <c r="A135" s="438" t="s">
        <v>2090</v>
      </c>
      <c r="B135" s="302" t="s">
        <v>1852</v>
      </c>
      <c r="C135" s="1577"/>
      <c r="D135" s="1581" t="s">
        <v>2086</v>
      </c>
      <c r="E135" s="280">
        <v>6</v>
      </c>
      <c r="F135" s="280" t="s">
        <v>761</v>
      </c>
      <c r="G135" s="1679"/>
      <c r="H135" s="1571"/>
      <c r="I135" s="1571"/>
      <c r="J135" s="1571"/>
      <c r="K135" s="1571"/>
      <c r="L135" s="1707"/>
      <c r="M135" s="1681"/>
      <c r="N135" s="1577"/>
      <c r="O135" s="1571"/>
    </row>
    <row r="136" spans="1:15" ht="40.5">
      <c r="A136" s="438" t="s">
        <v>2090</v>
      </c>
      <c r="B136" s="302" t="s">
        <v>1852</v>
      </c>
      <c r="C136" s="1577"/>
      <c r="D136" s="1581" t="s">
        <v>2087</v>
      </c>
      <c r="E136" s="280">
        <v>6</v>
      </c>
      <c r="F136" s="280" t="s">
        <v>761</v>
      </c>
      <c r="G136" s="1679"/>
      <c r="H136" s="1571"/>
      <c r="I136" s="1571"/>
      <c r="J136" s="1571"/>
      <c r="K136" s="1571"/>
      <c r="L136" s="1707"/>
      <c r="M136" s="1681"/>
      <c r="N136" s="1577"/>
      <c r="O136" s="1571"/>
    </row>
    <row r="137" spans="1:15" ht="40.5">
      <c r="A137" s="438" t="s">
        <v>2090</v>
      </c>
      <c r="B137" s="302" t="s">
        <v>1852</v>
      </c>
      <c r="C137" s="1577"/>
      <c r="D137" s="1581" t="s">
        <v>2088</v>
      </c>
      <c r="E137" s="280">
        <v>1</v>
      </c>
      <c r="F137" s="280" t="s">
        <v>761</v>
      </c>
      <c r="G137" s="1679"/>
      <c r="H137" s="1571"/>
      <c r="I137" s="1571"/>
      <c r="J137" s="1571"/>
      <c r="K137" s="1571"/>
      <c r="L137" s="1707"/>
      <c r="M137" s="1681"/>
      <c r="N137" s="1577"/>
      <c r="O137" s="1571"/>
    </row>
    <row r="138" spans="1:15" ht="40.5">
      <c r="A138" s="438" t="s">
        <v>2090</v>
      </c>
      <c r="B138" s="302" t="s">
        <v>1852</v>
      </c>
      <c r="C138" s="1577"/>
      <c r="D138" s="1581" t="s">
        <v>2089</v>
      </c>
      <c r="E138" s="280">
        <v>15</v>
      </c>
      <c r="F138" s="280" t="s">
        <v>761</v>
      </c>
      <c r="G138" s="1679"/>
      <c r="H138" s="1571"/>
      <c r="I138" s="1571"/>
      <c r="J138" s="1571"/>
      <c r="K138" s="1571"/>
      <c r="L138" s="1707"/>
      <c r="M138" s="1681"/>
      <c r="N138" s="1577"/>
      <c r="O138" s="1571"/>
    </row>
    <row r="148" spans="12:12" ht="23.25" customHeight="1">
      <c r="L148" s="2384">
        <f>SUM(L6:L147)</f>
        <v>611500</v>
      </c>
    </row>
  </sheetData>
  <mergeCells count="8">
    <mergeCell ref="C56:C57"/>
    <mergeCell ref="E60:F60"/>
    <mergeCell ref="N2:N3"/>
    <mergeCell ref="C17:C18"/>
    <mergeCell ref="C2:G2"/>
    <mergeCell ref="H2:J2"/>
    <mergeCell ref="K2:L2"/>
    <mergeCell ref="M2:M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CBB18-B1C1-4F8E-AFDA-7C22CA29B85B}">
  <sheetPr>
    <tabColor rgb="FFFFC000"/>
  </sheetPr>
  <dimension ref="A2:O62"/>
  <sheetViews>
    <sheetView workbookViewId="0">
      <pane ySplit="4" topLeftCell="A47" activePane="bottomLeft" state="frozen"/>
      <selection activeCell="B1" sqref="B1"/>
      <selection pane="bottomLeft" activeCell="L62" sqref="L62"/>
    </sheetView>
  </sheetViews>
  <sheetFormatPr defaultRowHeight="15"/>
  <cols>
    <col min="3" max="3" width="27.28515625" customWidth="1"/>
    <col min="4" max="4" width="20.5703125" customWidth="1"/>
    <col min="5" max="5" width="26" customWidth="1"/>
    <col min="6" max="6" width="16.7109375" customWidth="1"/>
    <col min="7" max="7" width="11.7109375" customWidth="1"/>
    <col min="8" max="8" width="13.7109375" customWidth="1"/>
    <col min="9" max="9" width="10.28515625" customWidth="1"/>
    <col min="10" max="10" width="12.5703125" customWidth="1"/>
    <col min="11" max="11" width="23.140625" customWidth="1"/>
    <col min="12" max="12" width="15" customWidth="1"/>
    <col min="13" max="13" width="13.7109375" customWidth="1"/>
  </cols>
  <sheetData>
    <row r="2" spans="1:15">
      <c r="C2" s="2627" t="s">
        <v>30</v>
      </c>
      <c r="D2" s="2627"/>
      <c r="E2" s="2627"/>
      <c r="F2" s="2627"/>
      <c r="G2" s="2627"/>
      <c r="H2" s="2628" t="s">
        <v>29</v>
      </c>
      <c r="I2" s="2628"/>
      <c r="J2" s="2628"/>
      <c r="K2" s="2627" t="s">
        <v>28</v>
      </c>
      <c r="L2" s="2627"/>
      <c r="M2" s="2628" t="s">
        <v>27</v>
      </c>
      <c r="N2" s="2628" t="s">
        <v>26</v>
      </c>
    </row>
    <row r="3" spans="1:15" ht="72">
      <c r="C3" s="10" t="s">
        <v>25</v>
      </c>
      <c r="D3" s="13" t="s">
        <v>24</v>
      </c>
      <c r="E3" s="12" t="s">
        <v>23</v>
      </c>
      <c r="F3" s="10" t="s">
        <v>22</v>
      </c>
      <c r="G3" s="11" t="s">
        <v>21</v>
      </c>
      <c r="H3" s="11" t="s">
        <v>20</v>
      </c>
      <c r="I3" s="11" t="s">
        <v>19</v>
      </c>
      <c r="J3" s="11" t="s">
        <v>18</v>
      </c>
      <c r="K3" s="10" t="s">
        <v>17</v>
      </c>
      <c r="L3" s="10" t="s">
        <v>16</v>
      </c>
      <c r="M3" s="2628"/>
      <c r="N3" s="2628"/>
    </row>
    <row r="4" spans="1:15" ht="24">
      <c r="C4" s="9" t="s">
        <v>15</v>
      </c>
      <c r="D4" s="9" t="s">
        <v>14</v>
      </c>
      <c r="E4" s="9" t="s">
        <v>13</v>
      </c>
      <c r="F4" s="9" t="s">
        <v>12</v>
      </c>
      <c r="G4" s="9" t="s">
        <v>11</v>
      </c>
      <c r="H4" s="9" t="s">
        <v>10</v>
      </c>
      <c r="I4" s="9" t="s">
        <v>9</v>
      </c>
      <c r="J4" s="9" t="s">
        <v>8</v>
      </c>
      <c r="K4" s="9" t="s">
        <v>7</v>
      </c>
      <c r="L4" s="9" t="s">
        <v>6</v>
      </c>
      <c r="M4" s="9" t="s">
        <v>5</v>
      </c>
      <c r="N4" s="9" t="s">
        <v>4</v>
      </c>
    </row>
    <row r="5" spans="1:15" ht="14.25" customHeight="1">
      <c r="C5" s="2642"/>
      <c r="D5" s="2643"/>
      <c r="E5" s="104"/>
      <c r="F5" s="104"/>
      <c r="G5" s="104"/>
      <c r="H5" s="104"/>
      <c r="I5" s="104"/>
      <c r="J5" s="104"/>
      <c r="K5" s="104"/>
      <c r="L5" s="104"/>
      <c r="M5" s="104"/>
      <c r="N5" s="104"/>
      <c r="O5" s="105"/>
    </row>
    <row r="6" spans="1:15" s="355" customFormat="1" ht="31.5" customHeight="1">
      <c r="A6" s="355" t="s">
        <v>121</v>
      </c>
      <c r="B6" s="355" t="s">
        <v>102</v>
      </c>
      <c r="C6" s="444" t="s">
        <v>164</v>
      </c>
      <c r="D6" s="438" t="s">
        <v>2</v>
      </c>
      <c r="E6" s="539" t="s">
        <v>94</v>
      </c>
      <c r="F6" s="438" t="s">
        <v>3</v>
      </c>
      <c r="G6" s="441" t="s">
        <v>1</v>
      </c>
      <c r="H6" s="504" t="s">
        <v>95</v>
      </c>
      <c r="I6" s="504" t="s">
        <v>96</v>
      </c>
      <c r="J6" s="504" t="s">
        <v>97</v>
      </c>
      <c r="K6" s="438" t="s">
        <v>98</v>
      </c>
      <c r="L6" s="507">
        <v>1009650</v>
      </c>
      <c r="M6" s="438" t="s">
        <v>0</v>
      </c>
      <c r="N6" s="348"/>
    </row>
    <row r="7" spans="1:15" s="355" customFormat="1" ht="27">
      <c r="A7" s="355" t="s">
        <v>121</v>
      </c>
      <c r="B7" s="355" t="s">
        <v>102</v>
      </c>
      <c r="C7" s="444"/>
      <c r="D7" s="324" t="s">
        <v>165</v>
      </c>
      <c r="E7" s="570"/>
      <c r="F7" s="438"/>
      <c r="G7" s="441"/>
      <c r="H7" s="504"/>
      <c r="I7" s="504"/>
      <c r="J7" s="504"/>
      <c r="K7" s="438" t="s">
        <v>104</v>
      </c>
      <c r="L7" s="507"/>
      <c r="M7" s="438"/>
      <c r="N7" s="348"/>
    </row>
    <row r="8" spans="1:15" s="355" customFormat="1" ht="14.25" customHeight="1">
      <c r="A8" s="355" t="s">
        <v>121</v>
      </c>
      <c r="B8" s="355" t="s">
        <v>102</v>
      </c>
      <c r="C8" s="444"/>
      <c r="D8" s="324" t="s">
        <v>166</v>
      </c>
      <c r="E8" s="570" t="s">
        <v>203</v>
      </c>
      <c r="F8" s="438"/>
      <c r="G8" s="441"/>
      <c r="H8" s="504"/>
      <c r="I8" s="504"/>
      <c r="J8" s="504"/>
      <c r="K8" s="438" t="s">
        <v>159</v>
      </c>
      <c r="L8" s="507"/>
      <c r="M8" s="438"/>
      <c r="N8" s="348"/>
    </row>
    <row r="9" spans="1:15" s="355" customFormat="1" ht="24" customHeight="1">
      <c r="A9" s="355" t="s">
        <v>121</v>
      </c>
      <c r="B9" s="355" t="s">
        <v>102</v>
      </c>
      <c r="C9" s="444"/>
      <c r="D9" s="594" t="s">
        <v>167</v>
      </c>
      <c r="E9" s="570" t="s">
        <v>203</v>
      </c>
      <c r="F9" s="438"/>
      <c r="G9" s="441"/>
      <c r="H9" s="504"/>
      <c r="I9" s="504"/>
      <c r="J9" s="504"/>
      <c r="K9" s="438" t="s">
        <v>153</v>
      </c>
      <c r="L9" s="507"/>
      <c r="M9" s="438"/>
      <c r="N9" s="348"/>
    </row>
    <row r="10" spans="1:15" s="355" customFormat="1" ht="14.25" customHeight="1">
      <c r="A10" s="355" t="s">
        <v>121</v>
      </c>
      <c r="B10" s="355" t="s">
        <v>102</v>
      </c>
      <c r="C10" s="444"/>
      <c r="D10" s="324" t="s">
        <v>168</v>
      </c>
      <c r="E10" s="570" t="s">
        <v>203</v>
      </c>
      <c r="F10" s="438"/>
      <c r="G10" s="441"/>
      <c r="H10" s="504"/>
      <c r="I10" s="504"/>
      <c r="J10" s="504"/>
      <c r="K10" s="438" t="s">
        <v>155</v>
      </c>
      <c r="L10" s="507"/>
      <c r="M10" s="438"/>
      <c r="N10" s="348"/>
    </row>
    <row r="11" spans="1:15" s="355" customFormat="1" ht="14.25" customHeight="1">
      <c r="A11" s="355" t="s">
        <v>121</v>
      </c>
      <c r="B11" s="355" t="s">
        <v>102</v>
      </c>
      <c r="C11" s="444"/>
      <c r="D11" s="324" t="s">
        <v>169</v>
      </c>
      <c r="E11" s="570" t="s">
        <v>204</v>
      </c>
      <c r="F11" s="438"/>
      <c r="G11" s="441"/>
      <c r="H11" s="504"/>
      <c r="I11" s="504"/>
      <c r="J11" s="504"/>
      <c r="K11" s="438" t="s">
        <v>156</v>
      </c>
      <c r="L11" s="507"/>
      <c r="M11" s="438"/>
      <c r="N11" s="348"/>
    </row>
    <row r="12" spans="1:15" s="355" customFormat="1" ht="14.25" customHeight="1">
      <c r="C12" s="444"/>
      <c r="D12" s="324"/>
      <c r="E12" s="428"/>
      <c r="F12" s="438"/>
      <c r="G12" s="441"/>
      <c r="H12" s="504"/>
      <c r="I12" s="504"/>
      <c r="J12" s="504"/>
      <c r="K12" s="438" t="s">
        <v>121</v>
      </c>
      <c r="L12" s="507"/>
      <c r="M12" s="438"/>
      <c r="N12" s="348"/>
    </row>
    <row r="13" spans="1:15" s="355" customFormat="1" ht="14.25" customHeight="1">
      <c r="A13" s="355" t="s">
        <v>121</v>
      </c>
      <c r="B13" s="355" t="s">
        <v>102</v>
      </c>
      <c r="C13" s="444" t="s">
        <v>201</v>
      </c>
      <c r="D13" s="438" t="s">
        <v>2</v>
      </c>
      <c r="E13" s="539" t="s">
        <v>94</v>
      </c>
      <c r="F13" s="438" t="s">
        <v>3</v>
      </c>
      <c r="G13" s="441" t="s">
        <v>1</v>
      </c>
      <c r="H13" s="504" t="s">
        <v>95</v>
      </c>
      <c r="I13" s="504" t="s">
        <v>96</v>
      </c>
      <c r="J13" s="504" t="s">
        <v>97</v>
      </c>
      <c r="K13" s="438" t="s">
        <v>98</v>
      </c>
      <c r="L13" s="507">
        <v>9180</v>
      </c>
      <c r="M13" s="438" t="s">
        <v>0</v>
      </c>
      <c r="N13" s="348"/>
    </row>
    <row r="14" spans="1:15" s="355" customFormat="1" ht="14.25" customHeight="1">
      <c r="A14" s="355" t="s">
        <v>121</v>
      </c>
      <c r="B14" s="355" t="s">
        <v>102</v>
      </c>
      <c r="C14" s="444" t="s">
        <v>1277</v>
      </c>
      <c r="D14" s="434" t="s">
        <v>202</v>
      </c>
      <c r="E14" s="572" t="s">
        <v>205</v>
      </c>
      <c r="F14" s="438"/>
      <c r="G14" s="441"/>
      <c r="H14" s="504"/>
      <c r="I14" s="504"/>
      <c r="J14" s="504"/>
      <c r="K14" s="438" t="s">
        <v>104</v>
      </c>
      <c r="L14" s="507"/>
      <c r="M14" s="438"/>
      <c r="N14" s="348"/>
    </row>
    <row r="15" spans="1:15" s="355" customFormat="1" ht="14.25" customHeight="1">
      <c r="C15" s="444"/>
      <c r="D15" s="434"/>
      <c r="E15" s="448"/>
      <c r="F15" s="438"/>
      <c r="G15" s="441"/>
      <c r="H15" s="504"/>
      <c r="I15" s="504"/>
      <c r="J15" s="504"/>
      <c r="K15" s="438" t="s">
        <v>159</v>
      </c>
      <c r="L15" s="507"/>
      <c r="M15" s="438"/>
      <c r="N15" s="348"/>
    </row>
    <row r="16" spans="1:15" s="355" customFormat="1" ht="14.25" customHeight="1">
      <c r="C16" s="444"/>
      <c r="D16" s="434"/>
      <c r="E16" s="448"/>
      <c r="F16" s="438"/>
      <c r="G16" s="441"/>
      <c r="H16" s="504"/>
      <c r="I16" s="504"/>
      <c r="J16" s="504"/>
      <c r="K16" s="438" t="s">
        <v>153</v>
      </c>
      <c r="L16" s="507"/>
      <c r="M16" s="438"/>
      <c r="N16" s="348"/>
    </row>
    <row r="17" spans="1:15" s="355" customFormat="1" ht="27">
      <c r="C17" s="434"/>
      <c r="D17" s="434"/>
      <c r="E17" s="448"/>
      <c r="F17" s="437"/>
      <c r="G17" s="438"/>
      <c r="H17" s="439"/>
      <c r="I17" s="439"/>
      <c r="J17" s="439"/>
      <c r="K17" s="438" t="s">
        <v>155</v>
      </c>
      <c r="L17" s="440"/>
      <c r="M17" s="440"/>
      <c r="N17" s="438"/>
    </row>
    <row r="18" spans="1:15" s="355" customFormat="1" ht="14.25" customHeight="1">
      <c r="C18" s="434"/>
      <c r="D18" s="434"/>
      <c r="E18" s="448"/>
      <c r="F18" s="437"/>
      <c r="G18" s="441"/>
      <c r="H18" s="442"/>
      <c r="I18" s="442"/>
      <c r="J18" s="439"/>
      <c r="K18" s="438" t="s">
        <v>156</v>
      </c>
      <c r="L18" s="443"/>
      <c r="M18" s="440"/>
      <c r="N18" s="438"/>
    </row>
    <row r="19" spans="1:15" s="355" customFormat="1" ht="14.25" customHeight="1">
      <c r="C19" s="434"/>
      <c r="D19" s="434"/>
      <c r="E19" s="448"/>
      <c r="F19" s="437"/>
      <c r="G19" s="441"/>
      <c r="H19" s="442"/>
      <c r="I19" s="442"/>
      <c r="J19" s="439"/>
      <c r="K19" s="438" t="s">
        <v>121</v>
      </c>
      <c r="L19" s="443"/>
      <c r="M19" s="440"/>
      <c r="N19" s="438"/>
    </row>
    <row r="20" spans="1:15" s="355" customFormat="1" ht="14.25" customHeight="1">
      <c r="C20" s="438"/>
      <c r="D20" s="324"/>
      <c r="E20" s="358"/>
      <c r="F20" s="358"/>
      <c r="G20" s="438"/>
      <c r="H20" s="441"/>
      <c r="I20" s="504"/>
      <c r="J20" s="504"/>
      <c r="K20" s="504"/>
      <c r="L20" s="438"/>
      <c r="M20" s="507"/>
      <c r="N20" s="438"/>
      <c r="O20" s="728"/>
    </row>
    <row r="21" spans="1:15" s="355" customFormat="1" ht="14.25" customHeight="1">
      <c r="A21" s="438" t="s">
        <v>388</v>
      </c>
      <c r="B21" s="355" t="s">
        <v>102</v>
      </c>
      <c r="C21" s="444" t="s">
        <v>201</v>
      </c>
      <c r="D21" s="438" t="s">
        <v>2</v>
      </c>
      <c r="E21" s="419" t="s">
        <v>94</v>
      </c>
      <c r="F21" s="438" t="s">
        <v>3</v>
      </c>
      <c r="G21" s="441" t="s">
        <v>1</v>
      </c>
      <c r="H21" s="504" t="s">
        <v>95</v>
      </c>
      <c r="I21" s="504" t="s">
        <v>96</v>
      </c>
      <c r="J21" s="504" t="s">
        <v>97</v>
      </c>
      <c r="K21" s="438" t="s">
        <v>98</v>
      </c>
      <c r="L21" s="505">
        <v>900000</v>
      </c>
      <c r="M21" s="438" t="s">
        <v>0</v>
      </c>
      <c r="N21" s="348"/>
    </row>
    <row r="22" spans="1:15" s="355" customFormat="1" ht="14.25" customHeight="1">
      <c r="A22" s="438" t="s">
        <v>388</v>
      </c>
      <c r="B22" s="355" t="s">
        <v>102</v>
      </c>
      <c r="C22" s="444"/>
      <c r="D22" s="324" t="s">
        <v>165</v>
      </c>
      <c r="E22" s="428"/>
      <c r="F22" s="438"/>
      <c r="G22" s="441"/>
      <c r="H22" s="504"/>
      <c r="I22" s="504"/>
      <c r="J22" s="504"/>
      <c r="K22" s="438" t="s">
        <v>104</v>
      </c>
      <c r="L22" s="507"/>
      <c r="M22" s="438"/>
      <c r="N22" s="348"/>
    </row>
    <row r="23" spans="1:15" s="355" customFormat="1" ht="14.25" customHeight="1">
      <c r="A23" s="438" t="s">
        <v>388</v>
      </c>
      <c r="B23" s="355" t="s">
        <v>102</v>
      </c>
      <c r="C23" s="444"/>
      <c r="D23" s="324" t="s">
        <v>268</v>
      </c>
      <c r="E23" s="445" t="s">
        <v>414</v>
      </c>
      <c r="F23" s="438"/>
      <c r="G23" s="441"/>
      <c r="H23" s="504"/>
      <c r="I23" s="504"/>
      <c r="J23" s="504"/>
      <c r="K23" s="438" t="s">
        <v>159</v>
      </c>
      <c r="L23" s="507"/>
      <c r="M23" s="438"/>
      <c r="N23" s="348"/>
    </row>
    <row r="24" spans="1:15" s="355" customFormat="1" ht="27" customHeight="1">
      <c r="A24" s="438" t="s">
        <v>388</v>
      </c>
      <c r="B24" s="355" t="s">
        <v>102</v>
      </c>
      <c r="C24" s="444"/>
      <c r="D24" s="729" t="s">
        <v>269</v>
      </c>
      <c r="E24" s="445" t="s">
        <v>414</v>
      </c>
      <c r="F24" s="438"/>
      <c r="G24" s="441"/>
      <c r="H24" s="504"/>
      <c r="I24" s="504"/>
      <c r="J24" s="504"/>
      <c r="K24" s="438" t="s">
        <v>385</v>
      </c>
      <c r="L24" s="507"/>
      <c r="M24" s="438"/>
      <c r="N24" s="348"/>
    </row>
    <row r="25" spans="1:15" s="355" customFormat="1" ht="14.25" customHeight="1">
      <c r="A25" s="438" t="s">
        <v>388</v>
      </c>
      <c r="B25" s="355" t="s">
        <v>102</v>
      </c>
      <c r="C25" s="434"/>
      <c r="D25" s="434" t="s">
        <v>271</v>
      </c>
      <c r="E25" s="445" t="s">
        <v>414</v>
      </c>
      <c r="F25" s="437"/>
      <c r="G25" s="438"/>
      <c r="H25" s="439"/>
      <c r="I25" s="439"/>
      <c r="J25" s="439"/>
      <c r="K25" s="438" t="s">
        <v>386</v>
      </c>
      <c r="L25" s="440"/>
      <c r="M25" s="440"/>
      <c r="N25" s="438"/>
    </row>
    <row r="26" spans="1:15" s="355" customFormat="1" ht="14.25" customHeight="1">
      <c r="A26" s="438" t="s">
        <v>388</v>
      </c>
      <c r="B26" s="355" t="s">
        <v>102</v>
      </c>
      <c r="C26" s="434"/>
      <c r="D26" s="434" t="s">
        <v>169</v>
      </c>
      <c r="E26" s="448" t="s">
        <v>415</v>
      </c>
      <c r="F26" s="437"/>
      <c r="G26" s="441"/>
      <c r="H26" s="442"/>
      <c r="I26" s="442"/>
      <c r="J26" s="439"/>
      <c r="K26" s="438" t="s">
        <v>387</v>
      </c>
      <c r="L26" s="443"/>
      <c r="M26" s="440"/>
      <c r="N26" s="438"/>
    </row>
    <row r="27" spans="1:15" s="355" customFormat="1" ht="14.25" customHeight="1">
      <c r="C27" s="434"/>
      <c r="D27" s="434"/>
      <c r="E27" s="448"/>
      <c r="F27" s="450"/>
      <c r="G27" s="437"/>
      <c r="H27" s="441"/>
      <c r="I27" s="442"/>
      <c r="J27" s="442"/>
      <c r="K27" s="439"/>
      <c r="M27" s="443"/>
      <c r="N27" s="440"/>
      <c r="O27" s="438"/>
    </row>
    <row r="28" spans="1:15" s="355" customFormat="1" ht="14.25" customHeight="1">
      <c r="A28" s="438" t="s">
        <v>426</v>
      </c>
      <c r="B28" s="355" t="s">
        <v>102</v>
      </c>
      <c r="C28" s="444" t="s">
        <v>434</v>
      </c>
      <c r="D28" s="438" t="s">
        <v>2</v>
      </c>
      <c r="E28" s="419" t="s">
        <v>94</v>
      </c>
      <c r="F28" s="438" t="s">
        <v>3</v>
      </c>
      <c r="G28" s="441" t="s">
        <v>1</v>
      </c>
      <c r="H28" s="504" t="s">
        <v>95</v>
      </c>
      <c r="I28" s="504" t="s">
        <v>96</v>
      </c>
      <c r="J28" s="504" t="s">
        <v>97</v>
      </c>
      <c r="K28" s="438" t="s">
        <v>98</v>
      </c>
      <c r="L28" s="507">
        <v>9900</v>
      </c>
      <c r="M28" s="438" t="s">
        <v>0</v>
      </c>
      <c r="N28" s="348"/>
    </row>
    <row r="29" spans="1:15" s="355" customFormat="1" ht="14.25" customHeight="1">
      <c r="A29" s="438" t="s">
        <v>426</v>
      </c>
      <c r="B29" s="355" t="s">
        <v>102</v>
      </c>
      <c r="C29" s="444" t="s">
        <v>1276</v>
      </c>
      <c r="D29" s="451" t="s">
        <v>202</v>
      </c>
      <c r="E29" s="452" t="s">
        <v>437</v>
      </c>
      <c r="F29" s="438"/>
      <c r="G29" s="441"/>
      <c r="H29" s="504"/>
      <c r="I29" s="504"/>
      <c r="J29" s="504"/>
      <c r="K29" s="438" t="s">
        <v>104</v>
      </c>
      <c r="L29" s="507"/>
      <c r="M29" s="438"/>
      <c r="N29" s="348"/>
    </row>
    <row r="30" spans="1:15" s="355" customFormat="1" ht="14.25" customHeight="1">
      <c r="C30" s="444"/>
      <c r="D30" s="438"/>
      <c r="E30" s="569"/>
      <c r="F30" s="438"/>
      <c r="G30" s="441"/>
      <c r="H30" s="504"/>
      <c r="I30" s="504"/>
      <c r="J30" s="504"/>
      <c r="K30" s="438" t="s">
        <v>159</v>
      </c>
      <c r="L30" s="507"/>
      <c r="M30" s="438"/>
      <c r="N30" s="348"/>
    </row>
    <row r="31" spans="1:15" s="355" customFormat="1" ht="14.25" customHeight="1">
      <c r="C31" s="444"/>
      <c r="D31" s="438"/>
      <c r="E31" s="569"/>
      <c r="F31" s="438"/>
      <c r="G31" s="441"/>
      <c r="H31" s="504"/>
      <c r="I31" s="504"/>
      <c r="J31" s="504"/>
      <c r="K31" s="438" t="s">
        <v>435</v>
      </c>
      <c r="L31" s="507"/>
      <c r="M31" s="438"/>
      <c r="N31" s="348"/>
    </row>
    <row r="32" spans="1:15" s="355" customFormat="1" ht="14.25" customHeight="1">
      <c r="C32" s="444"/>
      <c r="D32" s="438"/>
      <c r="E32" s="569"/>
      <c r="F32" s="438"/>
      <c r="G32" s="441"/>
      <c r="H32" s="504"/>
      <c r="I32" s="504"/>
      <c r="J32" s="504"/>
      <c r="K32" s="438" t="s">
        <v>436</v>
      </c>
      <c r="L32" s="507"/>
      <c r="M32" s="438"/>
      <c r="N32" s="348"/>
    </row>
    <row r="33" spans="1:15" s="355" customFormat="1" ht="14.25" customHeight="1">
      <c r="C33" s="444"/>
      <c r="D33" s="438"/>
      <c r="E33" s="569"/>
      <c r="F33" s="569"/>
      <c r="G33" s="438"/>
      <c r="H33" s="441"/>
      <c r="I33" s="504"/>
      <c r="J33" s="504"/>
      <c r="K33" s="504"/>
      <c r="M33" s="507"/>
      <c r="N33" s="438"/>
      <c r="O33" s="348"/>
    </row>
    <row r="34" spans="1:15" s="355" customFormat="1" ht="14.25" customHeight="1">
      <c r="C34" s="400"/>
      <c r="D34" s="400"/>
      <c r="E34" s="401"/>
      <c r="F34" s="402"/>
      <c r="G34" s="402"/>
      <c r="H34" s="403"/>
      <c r="I34" s="403"/>
      <c r="J34" s="403"/>
      <c r="K34" s="402"/>
      <c r="L34" s="408"/>
      <c r="M34" s="402"/>
      <c r="N34" s="405"/>
    </row>
    <row r="35" spans="1:15" s="355" customFormat="1" ht="14.25" customHeight="1">
      <c r="A35" s="438" t="s">
        <v>438</v>
      </c>
      <c r="B35" s="355" t="s">
        <v>102</v>
      </c>
      <c r="C35" s="444" t="s">
        <v>201</v>
      </c>
      <c r="D35" s="438" t="s">
        <v>2</v>
      </c>
      <c r="E35" s="419" t="s">
        <v>94</v>
      </c>
      <c r="F35" s="438" t="s">
        <v>3</v>
      </c>
      <c r="G35" s="441" t="s">
        <v>1</v>
      </c>
      <c r="H35" s="504" t="s">
        <v>95</v>
      </c>
      <c r="I35" s="504" t="s">
        <v>96</v>
      </c>
      <c r="J35" s="504" t="s">
        <v>97</v>
      </c>
      <c r="K35" s="438" t="s">
        <v>98</v>
      </c>
      <c r="L35" s="507">
        <v>250000</v>
      </c>
      <c r="M35" s="438" t="s">
        <v>0</v>
      </c>
      <c r="N35" s="348"/>
    </row>
    <row r="36" spans="1:15" s="355" customFormat="1" ht="14.25" customHeight="1">
      <c r="A36" s="438" t="s">
        <v>438</v>
      </c>
      <c r="B36" s="355" t="s">
        <v>102</v>
      </c>
      <c r="C36" s="444"/>
      <c r="D36" s="324" t="s">
        <v>165</v>
      </c>
      <c r="E36" s="428"/>
      <c r="F36" s="438"/>
      <c r="G36" s="441"/>
      <c r="H36" s="504"/>
      <c r="I36" s="504"/>
      <c r="J36" s="504"/>
      <c r="K36" s="438" t="s">
        <v>104</v>
      </c>
      <c r="L36" s="507"/>
      <c r="M36" s="438"/>
      <c r="N36" s="348"/>
    </row>
    <row r="37" spans="1:15" s="355" customFormat="1" ht="14.25" customHeight="1">
      <c r="A37" s="438" t="s">
        <v>438</v>
      </c>
      <c r="B37" s="355" t="s">
        <v>102</v>
      </c>
      <c r="C37" s="444"/>
      <c r="D37" s="324" t="s">
        <v>268</v>
      </c>
      <c r="E37" s="428" t="s">
        <v>447</v>
      </c>
      <c r="F37" s="438"/>
      <c r="G37" s="441"/>
      <c r="H37" s="504"/>
      <c r="I37" s="504"/>
      <c r="J37" s="504"/>
      <c r="K37" s="438" t="s">
        <v>159</v>
      </c>
      <c r="L37" s="507"/>
      <c r="M37" s="438"/>
      <c r="N37" s="348"/>
    </row>
    <row r="38" spans="1:15" s="355" customFormat="1" ht="30.75" customHeight="1">
      <c r="A38" s="438" t="s">
        <v>438</v>
      </c>
      <c r="B38" s="355" t="s">
        <v>102</v>
      </c>
      <c r="C38" s="444"/>
      <c r="D38" s="729" t="s">
        <v>167</v>
      </c>
      <c r="E38" s="428" t="s">
        <v>447</v>
      </c>
      <c r="F38" s="438"/>
      <c r="G38" s="441"/>
      <c r="H38" s="504"/>
      <c r="I38" s="504"/>
      <c r="J38" s="504"/>
      <c r="K38" s="438" t="s">
        <v>441</v>
      </c>
      <c r="L38" s="507"/>
      <c r="M38" s="438"/>
      <c r="N38" s="348"/>
    </row>
    <row r="39" spans="1:15" s="355" customFormat="1" ht="14.25" customHeight="1">
      <c r="A39" s="438" t="s">
        <v>438</v>
      </c>
      <c r="B39" s="355" t="s">
        <v>102</v>
      </c>
      <c r="C39" s="434"/>
      <c r="D39" s="324" t="s">
        <v>271</v>
      </c>
      <c r="E39" s="428" t="s">
        <v>448</v>
      </c>
      <c r="F39" s="437"/>
      <c r="G39" s="438"/>
      <c r="H39" s="439"/>
      <c r="I39" s="439"/>
      <c r="J39" s="439"/>
      <c r="K39" s="438" t="s">
        <v>442</v>
      </c>
      <c r="L39" s="440"/>
      <c r="M39" s="440"/>
      <c r="N39" s="438"/>
    </row>
    <row r="40" spans="1:15" s="355" customFormat="1" ht="14.25" customHeight="1">
      <c r="A40" s="438" t="s">
        <v>438</v>
      </c>
      <c r="B40" s="355" t="s">
        <v>102</v>
      </c>
      <c r="C40" s="434"/>
      <c r="D40" s="451" t="s">
        <v>169</v>
      </c>
      <c r="E40" s="453" t="s">
        <v>449</v>
      </c>
      <c r="F40" s="437"/>
      <c r="G40" s="441"/>
      <c r="H40" s="442"/>
      <c r="I40" s="442"/>
      <c r="J40" s="439"/>
      <c r="K40" s="438" t="s">
        <v>443</v>
      </c>
      <c r="L40" s="443"/>
      <c r="M40" s="440"/>
      <c r="N40" s="438"/>
    </row>
    <row r="41" spans="1:15" s="355" customFormat="1" ht="14.25" customHeight="1">
      <c r="C41" s="434"/>
      <c r="D41" s="434"/>
      <c r="E41" s="448"/>
      <c r="F41" s="437"/>
      <c r="G41" s="441"/>
      <c r="H41" s="442"/>
      <c r="I41" s="442"/>
      <c r="J41" s="439"/>
      <c r="L41" s="443"/>
      <c r="M41" s="440"/>
      <c r="N41" s="438"/>
    </row>
    <row r="42" spans="1:15" s="355" customFormat="1" ht="14.25" customHeight="1" thickBot="1">
      <c r="C42" s="730"/>
      <c r="D42" s="730"/>
      <c r="E42" s="730"/>
      <c r="F42" s="730"/>
      <c r="G42" s="730"/>
      <c r="H42" s="731"/>
      <c r="I42" s="731"/>
      <c r="J42" s="731"/>
      <c r="K42" s="732"/>
      <c r="L42" s="352"/>
      <c r="M42" s="736"/>
      <c r="N42" s="733"/>
      <c r="O42" s="731"/>
    </row>
    <row r="43" spans="1:15" s="355" customFormat="1" ht="14.25" customHeight="1" thickTop="1">
      <c r="A43" s="564" t="s">
        <v>1086</v>
      </c>
      <c r="B43" s="355" t="s">
        <v>1087</v>
      </c>
      <c r="C43" s="610" t="s">
        <v>2</v>
      </c>
      <c r="D43" s="737" t="s">
        <v>1099</v>
      </c>
      <c r="E43" s="738"/>
      <c r="F43" s="739"/>
      <c r="G43" s="740"/>
      <c r="H43" s="741"/>
      <c r="I43" s="741"/>
      <c r="J43" s="741"/>
      <c r="K43" s="613"/>
      <c r="L43" s="610"/>
      <c r="M43" s="531"/>
      <c r="N43" s="405"/>
    </row>
    <row r="44" spans="1:15" s="355" customFormat="1" ht="27" customHeight="1">
      <c r="A44" s="564" t="s">
        <v>1086</v>
      </c>
      <c r="B44" s="355" t="s">
        <v>1087</v>
      </c>
      <c r="C44" s="531"/>
      <c r="D44" s="734" t="s">
        <v>1100</v>
      </c>
      <c r="F44" s="610" t="s">
        <v>422</v>
      </c>
      <c r="G44" s="611" t="s">
        <v>1084</v>
      </c>
      <c r="H44" s="611">
        <v>46205</v>
      </c>
      <c r="I44" s="612">
        <v>46376</v>
      </c>
      <c r="J44" s="613" t="s">
        <v>1090</v>
      </c>
      <c r="K44" s="613" t="s">
        <v>98</v>
      </c>
      <c r="L44" s="735">
        <v>90000</v>
      </c>
      <c r="M44" s="610" t="s">
        <v>99</v>
      </c>
      <c r="N44" s="531"/>
      <c r="O44" s="405"/>
    </row>
    <row r="45" spans="1:15" s="355" customFormat="1" ht="14.25" customHeight="1">
      <c r="C45" s="400"/>
      <c r="D45" s="400"/>
      <c r="E45" s="401"/>
      <c r="F45" s="402"/>
      <c r="G45" s="402"/>
      <c r="H45" s="403"/>
      <c r="I45" s="403"/>
      <c r="J45" s="403"/>
      <c r="K45" s="402"/>
      <c r="L45" s="408"/>
      <c r="M45" s="402"/>
      <c r="N45" s="405"/>
    </row>
    <row r="46" spans="1:15" s="355" customFormat="1" ht="14.25" customHeight="1">
      <c r="C46" s="400"/>
      <c r="D46" s="400"/>
      <c r="E46" s="401"/>
      <c r="F46" s="402"/>
      <c r="G46" s="402"/>
      <c r="H46" s="403"/>
      <c r="I46" s="403"/>
      <c r="J46" s="403"/>
      <c r="K46" s="402"/>
      <c r="L46" s="408"/>
      <c r="M46" s="402"/>
      <c r="N46" s="405"/>
    </row>
    <row r="47" spans="1:15" s="355" customFormat="1" ht="14.25" customHeight="1">
      <c r="C47" s="400"/>
      <c r="D47" s="400"/>
      <c r="E47" s="401"/>
      <c r="F47" s="402"/>
      <c r="G47" s="402"/>
      <c r="H47" s="403"/>
      <c r="I47" s="403"/>
      <c r="J47" s="403"/>
      <c r="K47" s="402"/>
      <c r="L47" s="408"/>
      <c r="M47" s="402"/>
      <c r="N47" s="405"/>
    </row>
    <row r="48" spans="1:15" ht="14.25" customHeight="1">
      <c r="C48" s="8"/>
      <c r="D48" s="8"/>
      <c r="E48" s="7"/>
      <c r="F48" s="6"/>
      <c r="G48" s="6"/>
      <c r="H48" s="5"/>
      <c r="I48" s="5"/>
      <c r="J48" s="5"/>
      <c r="K48" s="6"/>
      <c r="L48" s="4"/>
      <c r="M48" s="6"/>
      <c r="N48" s="2"/>
    </row>
    <row r="49" spans="3:14" ht="14.25" customHeight="1">
      <c r="C49" s="8"/>
      <c r="D49" s="8"/>
      <c r="E49" s="7"/>
      <c r="F49" s="6"/>
      <c r="G49" s="6"/>
      <c r="H49" s="5"/>
      <c r="I49" s="5"/>
      <c r="J49" s="5"/>
      <c r="K49" s="6"/>
      <c r="L49" s="4"/>
      <c r="M49" s="6"/>
      <c r="N49" s="2"/>
    </row>
    <row r="50" spans="3:14" ht="14.25" customHeight="1">
      <c r="C50" s="8"/>
      <c r="D50" s="8"/>
      <c r="E50" s="7"/>
      <c r="F50" s="6"/>
      <c r="G50" s="6"/>
      <c r="H50" s="5"/>
      <c r="I50" s="5"/>
      <c r="J50" s="5"/>
      <c r="K50" s="6"/>
      <c r="L50" s="4"/>
      <c r="M50" s="6"/>
      <c r="N50" s="2"/>
    </row>
    <row r="51" spans="3:14" ht="14.25" customHeight="1">
      <c r="C51" s="8"/>
      <c r="D51" s="8"/>
      <c r="E51" s="7"/>
      <c r="F51" s="6"/>
      <c r="G51" s="6"/>
      <c r="H51" s="5"/>
      <c r="I51" s="5"/>
      <c r="J51" s="5"/>
      <c r="K51" s="6"/>
      <c r="L51" s="4"/>
      <c r="M51" s="6"/>
      <c r="N51" s="2"/>
    </row>
    <row r="52" spans="3:14" ht="14.25" customHeight="1">
      <c r="C52" s="8"/>
      <c r="D52" s="8"/>
      <c r="E52" s="7"/>
      <c r="F52" s="6"/>
      <c r="G52" s="6"/>
      <c r="H52" s="5"/>
      <c r="I52" s="5"/>
      <c r="J52" s="5"/>
      <c r="K52" s="6"/>
      <c r="L52" s="4"/>
      <c r="M52" s="6"/>
      <c r="N52" s="2"/>
    </row>
    <row r="53" spans="3:14" ht="14.25" customHeight="1">
      <c r="C53" s="8"/>
      <c r="D53" s="8"/>
      <c r="E53" s="7"/>
      <c r="F53" s="6"/>
      <c r="G53" s="6"/>
      <c r="H53" s="5"/>
      <c r="I53" s="5"/>
      <c r="J53" s="5"/>
      <c r="K53" s="6"/>
      <c r="L53" s="4"/>
      <c r="M53" s="6"/>
      <c r="N53" s="2"/>
    </row>
    <row r="54" spans="3:14" ht="14.25" customHeight="1">
      <c r="C54" s="8"/>
      <c r="D54" s="8"/>
      <c r="E54" s="7"/>
      <c r="F54" s="6"/>
      <c r="G54" s="6"/>
      <c r="H54" s="5"/>
      <c r="I54" s="5"/>
      <c r="J54" s="5"/>
      <c r="K54" s="6"/>
      <c r="L54" s="4"/>
      <c r="M54" s="6"/>
      <c r="N54" s="2"/>
    </row>
    <row r="55" spans="3:14" ht="14.25" customHeight="1">
      <c r="C55" s="8"/>
      <c r="D55" s="8"/>
      <c r="E55" s="7"/>
      <c r="F55" s="6"/>
      <c r="G55" s="6"/>
      <c r="H55" s="5"/>
      <c r="I55" s="5"/>
      <c r="J55" s="5"/>
      <c r="K55" s="6"/>
      <c r="L55" s="4"/>
      <c r="M55" s="6"/>
      <c r="N55" s="2"/>
    </row>
    <row r="56" spans="3:14" ht="14.25" customHeight="1">
      <c r="C56" s="8"/>
      <c r="D56" s="8"/>
      <c r="E56" s="7"/>
      <c r="F56" s="6"/>
      <c r="G56" s="6"/>
      <c r="H56" s="5"/>
      <c r="I56" s="5"/>
      <c r="J56" s="5"/>
      <c r="K56" s="6"/>
      <c r="L56" s="4"/>
      <c r="M56" s="3"/>
      <c r="N56" s="2"/>
    </row>
    <row r="57" spans="3:14" ht="14.25" customHeight="1">
      <c r="C57" s="8"/>
      <c r="D57" s="8"/>
      <c r="E57" s="7"/>
      <c r="F57" s="6"/>
      <c r="G57" s="5"/>
      <c r="H57" s="5"/>
      <c r="I57" s="5"/>
      <c r="J57" s="5"/>
      <c r="K57" s="4"/>
      <c r="L57" s="4"/>
      <c r="M57" s="3"/>
      <c r="N57" s="2"/>
    </row>
    <row r="58" spans="3:14" ht="14.25" customHeight="1">
      <c r="C58" s="19"/>
      <c r="D58" s="19"/>
      <c r="E58" s="19"/>
      <c r="F58" s="19"/>
      <c r="G58" s="19"/>
      <c r="H58" s="19"/>
      <c r="I58" s="19"/>
      <c r="J58" s="19"/>
      <c r="K58" s="19"/>
      <c r="L58" s="19"/>
      <c r="M58" s="19"/>
      <c r="N58" s="19"/>
    </row>
    <row r="59" spans="3:14" ht="14.25" customHeight="1">
      <c r="C59" s="31"/>
      <c r="D59" s="27"/>
      <c r="E59" s="20"/>
      <c r="F59" s="28"/>
      <c r="G59" s="28"/>
      <c r="H59" s="26"/>
      <c r="I59" s="26"/>
      <c r="J59" s="26"/>
      <c r="K59" s="28"/>
      <c r="L59" s="29"/>
      <c r="M59" s="28"/>
      <c r="N59" s="27"/>
    </row>
    <row r="60" spans="3:14" s="1" customFormat="1" ht="14.25" customHeight="1">
      <c r="C60" s="31"/>
      <c r="D60" s="27"/>
      <c r="E60" s="21"/>
      <c r="F60" s="28"/>
      <c r="G60" s="28"/>
      <c r="H60" s="26"/>
      <c r="I60" s="26"/>
      <c r="J60" s="26"/>
      <c r="K60" s="28"/>
      <c r="L60" s="29"/>
      <c r="M60" s="28"/>
      <c r="N60" s="27"/>
    </row>
    <row r="61" spans="3:14" s="1" customFormat="1" ht="14.25" customHeight="1">
      <c r="C61" s="30"/>
      <c r="D61" s="25"/>
      <c r="E61" s="21"/>
      <c r="F61" s="22"/>
      <c r="G61" s="22"/>
      <c r="H61" s="23"/>
      <c r="I61" s="23"/>
      <c r="J61" s="23"/>
      <c r="K61" s="22"/>
      <c r="L61" s="24"/>
      <c r="M61" s="22"/>
      <c r="N61" s="25"/>
    </row>
    <row r="62" spans="3:14">
      <c r="L62" s="2386">
        <f>SUM(L6:L60)</f>
        <v>2268730</v>
      </c>
    </row>
  </sheetData>
  <mergeCells count="6">
    <mergeCell ref="N2:N3"/>
    <mergeCell ref="C5:D5"/>
    <mergeCell ref="C2:G2"/>
    <mergeCell ref="H2:J2"/>
    <mergeCell ref="K2:L2"/>
    <mergeCell ref="M2:M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50F9D-D0D1-4CFE-A56A-66DF28CBCD81}">
  <sheetPr>
    <tabColor rgb="FFFFC000"/>
  </sheetPr>
  <dimension ref="A2:O62"/>
  <sheetViews>
    <sheetView topLeftCell="B1" workbookViewId="0">
      <pane ySplit="4" topLeftCell="A49" activePane="bottomLeft" state="frozen"/>
      <selection activeCell="B1" sqref="B1"/>
      <selection pane="bottomLeft" activeCell="L62" sqref="L62"/>
    </sheetView>
  </sheetViews>
  <sheetFormatPr defaultRowHeight="15"/>
  <cols>
    <col min="3" max="3" width="35.28515625" customWidth="1"/>
    <col min="4" max="4" width="16.85546875" customWidth="1"/>
    <col min="5" max="5" width="26" customWidth="1"/>
    <col min="6" max="6" width="16.7109375" customWidth="1"/>
    <col min="7" max="7" width="11.7109375" customWidth="1"/>
    <col min="8" max="8" width="13.7109375" customWidth="1"/>
    <col min="10" max="10" width="12.5703125" customWidth="1"/>
    <col min="11" max="11" width="14.5703125" customWidth="1"/>
    <col min="12" max="12" width="18.140625" customWidth="1"/>
    <col min="13" max="13" width="13.7109375" customWidth="1"/>
  </cols>
  <sheetData>
    <row r="2" spans="1:15">
      <c r="C2" s="2627" t="s">
        <v>30</v>
      </c>
      <c r="D2" s="2627"/>
      <c r="E2" s="2627"/>
      <c r="F2" s="2627"/>
      <c r="G2" s="2627"/>
      <c r="H2" s="2628" t="s">
        <v>29</v>
      </c>
      <c r="I2" s="2628"/>
      <c r="J2" s="2628"/>
      <c r="K2" s="2627" t="s">
        <v>28</v>
      </c>
      <c r="L2" s="2627"/>
      <c r="M2" s="2628" t="s">
        <v>27</v>
      </c>
      <c r="N2" s="2628" t="s">
        <v>26</v>
      </c>
    </row>
    <row r="3" spans="1:15" ht="72">
      <c r="C3" s="10" t="s">
        <v>25</v>
      </c>
      <c r="D3" s="13" t="s">
        <v>24</v>
      </c>
      <c r="E3" s="12" t="s">
        <v>23</v>
      </c>
      <c r="F3" s="10" t="s">
        <v>22</v>
      </c>
      <c r="G3" s="11" t="s">
        <v>21</v>
      </c>
      <c r="H3" s="11" t="s">
        <v>20</v>
      </c>
      <c r="I3" s="11" t="s">
        <v>19</v>
      </c>
      <c r="J3" s="11" t="s">
        <v>18</v>
      </c>
      <c r="K3" s="10" t="s">
        <v>17</v>
      </c>
      <c r="L3" s="10" t="s">
        <v>16</v>
      </c>
      <c r="M3" s="2628"/>
      <c r="N3" s="2628"/>
    </row>
    <row r="4" spans="1:15" ht="24">
      <c r="C4" s="9" t="s">
        <v>15</v>
      </c>
      <c r="D4" s="9" t="s">
        <v>14</v>
      </c>
      <c r="E4" s="9" t="s">
        <v>13</v>
      </c>
      <c r="F4" s="9" t="s">
        <v>12</v>
      </c>
      <c r="G4" s="9" t="s">
        <v>11</v>
      </c>
      <c r="H4" s="9" t="s">
        <v>10</v>
      </c>
      <c r="I4" s="9" t="s">
        <v>9</v>
      </c>
      <c r="J4" s="9" t="s">
        <v>8</v>
      </c>
      <c r="K4" s="9" t="s">
        <v>7</v>
      </c>
      <c r="L4" s="9" t="s">
        <v>6</v>
      </c>
      <c r="M4" s="9" t="s">
        <v>5</v>
      </c>
      <c r="N4" s="9" t="s">
        <v>4</v>
      </c>
    </row>
    <row r="5" spans="1:15" s="355" customFormat="1" ht="14.25" customHeight="1">
      <c r="C5" s="2645" t="s">
        <v>149</v>
      </c>
      <c r="D5" s="2646"/>
      <c r="E5" s="760"/>
      <c r="F5" s="760"/>
      <c r="G5" s="760"/>
      <c r="H5" s="760"/>
      <c r="I5" s="760"/>
      <c r="J5" s="760"/>
      <c r="K5" s="760"/>
      <c r="L5" s="760"/>
      <c r="M5" s="760"/>
      <c r="N5" s="760"/>
      <c r="O5" s="761"/>
    </row>
    <row r="6" spans="1:15" s="355" customFormat="1" ht="14.25" customHeight="1">
      <c r="C6" s="616" t="s">
        <v>152</v>
      </c>
      <c r="D6" s="759"/>
      <c r="E6" s="759"/>
      <c r="F6" s="759"/>
      <c r="G6" s="759"/>
      <c r="H6" s="759"/>
      <c r="I6" s="759"/>
      <c r="J6" s="759"/>
      <c r="K6" s="759"/>
      <c r="L6" s="759"/>
      <c r="M6" s="759"/>
      <c r="N6" s="759"/>
      <c r="O6" s="762"/>
    </row>
    <row r="7" spans="1:15" s="355" customFormat="1" ht="25.5" customHeight="1">
      <c r="A7" s="438" t="s">
        <v>121</v>
      </c>
      <c r="B7" s="546" t="s">
        <v>102</v>
      </c>
      <c r="C7" s="444" t="s">
        <v>150</v>
      </c>
      <c r="D7" s="438" t="s">
        <v>2</v>
      </c>
      <c r="E7" s="419" t="s">
        <v>94</v>
      </c>
      <c r="F7" s="438" t="s">
        <v>116</v>
      </c>
      <c r="G7" s="441" t="s">
        <v>1</v>
      </c>
      <c r="H7" s="504" t="s">
        <v>117</v>
      </c>
      <c r="I7" s="504" t="s">
        <v>118</v>
      </c>
      <c r="J7" s="504" t="s">
        <v>119</v>
      </c>
      <c r="K7" s="438" t="s">
        <v>151</v>
      </c>
      <c r="L7" s="507"/>
      <c r="M7" s="438" t="s">
        <v>99</v>
      </c>
      <c r="O7" s="348"/>
    </row>
    <row r="8" spans="1:15" s="355" customFormat="1" ht="14.25" customHeight="1">
      <c r="A8" s="355" t="s">
        <v>121</v>
      </c>
      <c r="B8" s="355" t="s">
        <v>102</v>
      </c>
      <c r="C8" s="2647" t="s">
        <v>206</v>
      </c>
      <c r="D8" s="344" t="s">
        <v>1278</v>
      </c>
      <c r="E8" s="344" t="s">
        <v>1279</v>
      </c>
      <c r="F8" s="438" t="s">
        <v>116</v>
      </c>
      <c r="G8" s="441" t="s">
        <v>1</v>
      </c>
      <c r="H8" s="504" t="s">
        <v>117</v>
      </c>
      <c r="I8" s="504" t="s">
        <v>118</v>
      </c>
      <c r="J8" s="504" t="s">
        <v>119</v>
      </c>
      <c r="K8" s="438" t="s">
        <v>151</v>
      </c>
      <c r="L8" s="505">
        <v>1001216</v>
      </c>
      <c r="M8" s="438" t="s">
        <v>99</v>
      </c>
      <c r="N8" s="348"/>
      <c r="O8" s="348"/>
    </row>
    <row r="9" spans="1:15" s="355" customFormat="1" ht="14.25" customHeight="1">
      <c r="A9" s="355" t="s">
        <v>121</v>
      </c>
      <c r="B9" s="355" t="s">
        <v>102</v>
      </c>
      <c r="C9" s="2648"/>
      <c r="D9" s="324"/>
      <c r="E9" s="349" t="s">
        <v>154</v>
      </c>
      <c r="F9" s="438"/>
      <c r="G9" s="441"/>
      <c r="H9" s="504"/>
      <c r="I9" s="504"/>
      <c r="J9" s="504"/>
      <c r="K9" s="438" t="s">
        <v>104</v>
      </c>
      <c r="L9" s="507"/>
      <c r="M9" s="438"/>
      <c r="N9" s="348"/>
      <c r="O9" s="348"/>
    </row>
    <row r="10" spans="1:15" s="355" customFormat="1" ht="14.25" customHeight="1">
      <c r="A10" s="355" t="s">
        <v>121</v>
      </c>
      <c r="B10" s="355" t="s">
        <v>102</v>
      </c>
      <c r="C10" s="2649"/>
      <c r="D10" s="763"/>
      <c r="E10" s="2644"/>
      <c r="F10" s="2644"/>
      <c r="G10" s="438"/>
      <c r="H10" s="441"/>
      <c r="I10" s="504"/>
      <c r="J10" s="504"/>
      <c r="K10" s="504"/>
      <c r="L10" s="438"/>
      <c r="M10" s="507"/>
      <c r="N10" s="438"/>
      <c r="O10" s="728"/>
    </row>
    <row r="11" spans="1:15" s="355" customFormat="1" ht="14.25" customHeight="1">
      <c r="C11" s="352"/>
      <c r="D11" s="764"/>
      <c r="E11" s="2644"/>
      <c r="F11" s="2644"/>
      <c r="G11" s="438"/>
      <c r="H11" s="441"/>
      <c r="I11" s="504"/>
      <c r="J11" s="504"/>
      <c r="K11" s="504"/>
      <c r="L11" s="438"/>
      <c r="M11" s="507"/>
      <c r="N11" s="438"/>
      <c r="O11" s="728"/>
    </row>
    <row r="12" spans="1:15" s="355" customFormat="1" ht="14.25" customHeight="1">
      <c r="A12" s="438" t="s">
        <v>388</v>
      </c>
      <c r="B12" s="302" t="s">
        <v>102</v>
      </c>
      <c r="C12" s="444" t="s">
        <v>382</v>
      </c>
      <c r="D12" s="549" t="s">
        <v>2</v>
      </c>
      <c r="E12" s="531" t="s">
        <v>94</v>
      </c>
      <c r="F12" s="438" t="s">
        <v>383</v>
      </c>
      <c r="G12" s="441" t="s">
        <v>1</v>
      </c>
      <c r="H12" s="504" t="s">
        <v>117</v>
      </c>
      <c r="I12" s="504" t="s">
        <v>118</v>
      </c>
      <c r="J12" s="504" t="s">
        <v>119</v>
      </c>
      <c r="K12" s="438" t="s">
        <v>384</v>
      </c>
      <c r="L12" s="505">
        <v>1000000</v>
      </c>
      <c r="M12" s="438" t="s">
        <v>99</v>
      </c>
      <c r="N12" s="348"/>
      <c r="O12" s="731"/>
    </row>
    <row r="13" spans="1:15" s="355" customFormat="1" ht="14.25" customHeight="1">
      <c r="A13" s="438" t="s">
        <v>388</v>
      </c>
      <c r="B13" s="302" t="s">
        <v>102</v>
      </c>
      <c r="C13" s="438" t="s">
        <v>152</v>
      </c>
      <c r="D13" s="349" t="s">
        <v>390</v>
      </c>
      <c r="E13" s="352" t="s">
        <v>389</v>
      </c>
      <c r="F13" s="438"/>
      <c r="G13" s="441"/>
      <c r="H13" s="504"/>
      <c r="I13" s="504"/>
      <c r="J13" s="504"/>
      <c r="K13" s="438" t="s">
        <v>104</v>
      </c>
      <c r="L13" s="507"/>
      <c r="M13" s="438"/>
      <c r="N13" s="348"/>
      <c r="O13" s="765"/>
    </row>
    <row r="14" spans="1:15" s="355" customFormat="1" ht="14.25" customHeight="1">
      <c r="A14" s="438" t="s">
        <v>388</v>
      </c>
      <c r="B14" s="302" t="s">
        <v>102</v>
      </c>
      <c r="C14" s="438" t="s">
        <v>385</v>
      </c>
      <c r="D14" s="766"/>
      <c r="E14" s="352"/>
      <c r="F14" s="438"/>
      <c r="G14" s="441"/>
      <c r="H14" s="504"/>
      <c r="I14" s="504"/>
      <c r="J14" s="504"/>
      <c r="K14" s="438"/>
      <c r="L14" s="507"/>
      <c r="M14" s="438"/>
      <c r="N14" s="348"/>
      <c r="O14" s="765"/>
    </row>
    <row r="15" spans="1:15" s="355" customFormat="1" ht="14.25" customHeight="1">
      <c r="A15" s="438" t="s">
        <v>388</v>
      </c>
      <c r="B15" s="302" t="s">
        <v>102</v>
      </c>
      <c r="C15" s="438" t="s">
        <v>386</v>
      </c>
      <c r="D15" s="767"/>
      <c r="E15" s="592"/>
      <c r="F15" s="592"/>
      <c r="G15" s="437"/>
      <c r="H15" s="438"/>
      <c r="I15" s="439"/>
      <c r="J15" s="439"/>
      <c r="K15" s="439"/>
      <c r="L15" s="438"/>
      <c r="M15" s="440"/>
      <c r="N15" s="440"/>
      <c r="O15" s="352"/>
    </row>
    <row r="16" spans="1:15" s="355" customFormat="1" ht="14.25" customHeight="1">
      <c r="A16" s="438" t="s">
        <v>388</v>
      </c>
      <c r="B16" s="302" t="s">
        <v>102</v>
      </c>
      <c r="C16" s="438" t="s">
        <v>387</v>
      </c>
      <c r="D16" s="767"/>
      <c r="E16" s="592"/>
      <c r="F16" s="592"/>
      <c r="G16" s="437"/>
      <c r="H16" s="441"/>
      <c r="I16" s="442"/>
      <c r="J16" s="442"/>
      <c r="K16" s="439"/>
      <c r="L16" s="438"/>
      <c r="M16" s="443"/>
      <c r="N16" s="440"/>
      <c r="O16" s="352"/>
    </row>
    <row r="17" spans="1:15" s="355" customFormat="1" ht="24.75" customHeight="1">
      <c r="C17" s="531"/>
      <c r="D17" s="532"/>
      <c r="E17" s="531"/>
      <c r="F17" s="532"/>
      <c r="G17" s="533"/>
      <c r="H17" s="619"/>
      <c r="I17" s="619"/>
      <c r="J17" s="619"/>
      <c r="K17" s="532"/>
      <c r="L17" s="620"/>
      <c r="M17" s="532"/>
      <c r="N17" s="352"/>
      <c r="O17" s="342"/>
    </row>
    <row r="18" spans="1:15" s="355" customFormat="1" ht="14.25" customHeight="1">
      <c r="A18" s="438" t="s">
        <v>417</v>
      </c>
      <c r="B18" s="302" t="s">
        <v>102</v>
      </c>
      <c r="C18" s="444" t="s">
        <v>382</v>
      </c>
      <c r="D18" s="438" t="s">
        <v>2</v>
      </c>
      <c r="E18" s="419" t="s">
        <v>94</v>
      </c>
      <c r="F18" s="438" t="s">
        <v>383</v>
      </c>
      <c r="G18" s="441" t="s">
        <v>1</v>
      </c>
      <c r="H18" s="504" t="s">
        <v>117</v>
      </c>
      <c r="I18" s="504" t="s">
        <v>118</v>
      </c>
      <c r="J18" s="504" t="s">
        <v>119</v>
      </c>
      <c r="K18" s="438" t="s">
        <v>384</v>
      </c>
      <c r="L18" s="505">
        <v>1501050</v>
      </c>
      <c r="M18" s="438" t="s">
        <v>99</v>
      </c>
      <c r="N18" s="348"/>
    </row>
    <row r="19" spans="1:15" s="355" customFormat="1" ht="14.25" customHeight="1">
      <c r="A19" s="438" t="s">
        <v>417</v>
      </c>
      <c r="B19" s="302" t="s">
        <v>102</v>
      </c>
      <c r="C19" s="438" t="s">
        <v>152</v>
      </c>
      <c r="D19" s="768" t="s">
        <v>390</v>
      </c>
      <c r="E19" s="355" t="s">
        <v>420</v>
      </c>
      <c r="F19" s="438"/>
      <c r="G19" s="441"/>
      <c r="H19" s="504"/>
      <c r="I19" s="504"/>
      <c r="J19" s="504"/>
      <c r="K19" s="438" t="s">
        <v>104</v>
      </c>
      <c r="L19" s="507"/>
      <c r="M19" s="438"/>
      <c r="N19" s="348"/>
    </row>
    <row r="20" spans="1:15" s="355" customFormat="1" ht="14.25" customHeight="1">
      <c r="A20" s="438" t="s">
        <v>417</v>
      </c>
      <c r="B20" s="302" t="s">
        <v>102</v>
      </c>
      <c r="C20" s="438" t="s">
        <v>416</v>
      </c>
      <c r="D20" s="419"/>
      <c r="F20" s="769"/>
      <c r="G20" s="438"/>
      <c r="H20" s="441"/>
      <c r="I20" s="504"/>
      <c r="J20" s="504"/>
      <c r="K20" s="504"/>
      <c r="L20" s="438"/>
      <c r="M20" s="507"/>
      <c r="N20" s="438"/>
      <c r="O20" s="348"/>
    </row>
    <row r="21" spans="1:15" s="355" customFormat="1" ht="14.25" customHeight="1">
      <c r="A21" s="438" t="s">
        <v>417</v>
      </c>
      <c r="B21" s="302" t="s">
        <v>102</v>
      </c>
      <c r="C21" s="438" t="s">
        <v>387</v>
      </c>
      <c r="D21" s="451"/>
      <c r="E21" s="419"/>
      <c r="F21" s="769"/>
      <c r="G21" s="438"/>
      <c r="H21" s="441"/>
      <c r="I21" s="504"/>
      <c r="J21" s="504"/>
      <c r="K21" s="504"/>
      <c r="L21" s="438"/>
      <c r="M21" s="507"/>
      <c r="N21" s="438"/>
      <c r="O21" s="348"/>
    </row>
    <row r="22" spans="1:15" s="355" customFormat="1" ht="14.25" customHeight="1">
      <c r="D22" s="324"/>
      <c r="E22" s="349"/>
      <c r="F22" s="360"/>
      <c r="G22" s="438"/>
      <c r="H22" s="441"/>
      <c r="I22" s="504"/>
      <c r="J22" s="504"/>
      <c r="K22" s="504"/>
      <c r="L22" s="438"/>
      <c r="M22" s="507"/>
      <c r="N22" s="438"/>
      <c r="O22" s="348"/>
    </row>
    <row r="23" spans="1:15" s="355" customFormat="1" ht="14.25" customHeight="1">
      <c r="C23" s="438"/>
      <c r="D23" s="350"/>
      <c r="E23" s="350"/>
      <c r="F23" s="350"/>
      <c r="G23" s="350"/>
      <c r="H23" s="352"/>
      <c r="I23" s="352"/>
      <c r="J23" s="352"/>
      <c r="K23" s="352"/>
      <c r="L23" s="352"/>
      <c r="M23" s="770"/>
      <c r="N23" s="352"/>
      <c r="O23" s="352"/>
    </row>
    <row r="24" spans="1:15" s="355" customFormat="1" ht="14.25" customHeight="1">
      <c r="A24" s="438" t="s">
        <v>438</v>
      </c>
      <c r="B24" s="302" t="s">
        <v>102</v>
      </c>
      <c r="C24" s="444" t="s">
        <v>382</v>
      </c>
      <c r="D24" s="438" t="s">
        <v>2</v>
      </c>
      <c r="E24" s="419" t="s">
        <v>94</v>
      </c>
      <c r="F24" s="438" t="s">
        <v>383</v>
      </c>
      <c r="G24" s="441" t="s">
        <v>1</v>
      </c>
      <c r="H24" s="504" t="s">
        <v>117</v>
      </c>
      <c r="I24" s="504" t="s">
        <v>118</v>
      </c>
      <c r="J24" s="504" t="s">
        <v>119</v>
      </c>
      <c r="K24" s="438" t="s">
        <v>384</v>
      </c>
      <c r="L24" s="505">
        <v>1000000</v>
      </c>
      <c r="M24" s="438" t="s">
        <v>99</v>
      </c>
      <c r="N24" s="348"/>
    </row>
    <row r="25" spans="1:15" s="355" customFormat="1" ht="14.25" customHeight="1">
      <c r="A25" s="438" t="s">
        <v>438</v>
      </c>
      <c r="B25" s="302" t="s">
        <v>102</v>
      </c>
      <c r="C25" s="438" t="s">
        <v>152</v>
      </c>
      <c r="D25" s="324"/>
      <c r="E25" s="349" t="s">
        <v>450</v>
      </c>
      <c r="F25" s="438"/>
      <c r="G25" s="441"/>
      <c r="H25" s="504"/>
      <c r="I25" s="504"/>
      <c r="J25" s="504"/>
      <c r="K25" s="438" t="s">
        <v>104</v>
      </c>
      <c r="L25" s="507"/>
      <c r="M25" s="438"/>
      <c r="N25" s="348"/>
    </row>
    <row r="26" spans="1:15" s="355" customFormat="1" ht="14.25" customHeight="1">
      <c r="A26" s="438" t="s">
        <v>438</v>
      </c>
      <c r="B26" s="302" t="s">
        <v>102</v>
      </c>
      <c r="C26" s="438" t="s">
        <v>441</v>
      </c>
      <c r="D26" s="324"/>
      <c r="E26" s="766" t="s">
        <v>154</v>
      </c>
      <c r="F26" s="438"/>
      <c r="G26" s="441"/>
      <c r="H26" s="504"/>
      <c r="I26" s="504"/>
      <c r="J26" s="504"/>
      <c r="K26" s="438"/>
      <c r="L26" s="507"/>
      <c r="M26" s="438"/>
      <c r="N26" s="348"/>
    </row>
    <row r="27" spans="1:15" s="355" customFormat="1" ht="14.25" customHeight="1">
      <c r="A27" s="438" t="s">
        <v>438</v>
      </c>
      <c r="B27" s="302" t="s">
        <v>102</v>
      </c>
      <c r="C27" s="438" t="s">
        <v>442</v>
      </c>
      <c r="D27" s="324"/>
      <c r="E27" s="349"/>
      <c r="F27" s="437"/>
      <c r="G27" s="438"/>
      <c r="H27" s="439"/>
      <c r="I27" s="439"/>
      <c r="J27" s="439"/>
      <c r="K27" s="438"/>
      <c r="L27" s="440"/>
      <c r="M27" s="440"/>
      <c r="N27" s="438"/>
    </row>
    <row r="28" spans="1:15" s="355" customFormat="1" ht="14.25" customHeight="1">
      <c r="A28" s="438" t="s">
        <v>438</v>
      </c>
      <c r="B28" s="302" t="s">
        <v>102</v>
      </c>
      <c r="C28" s="438" t="s">
        <v>443</v>
      </c>
      <c r="D28" s="451"/>
      <c r="E28" s="419"/>
      <c r="F28" s="437"/>
      <c r="G28" s="441"/>
      <c r="H28" s="442"/>
      <c r="I28" s="442"/>
      <c r="J28" s="439"/>
      <c r="K28" s="438"/>
      <c r="L28" s="443"/>
      <c r="M28" s="440"/>
      <c r="N28" s="438"/>
    </row>
    <row r="29" spans="1:15" s="355" customFormat="1" ht="14.25" customHeight="1">
      <c r="D29" s="434"/>
      <c r="E29" s="435"/>
      <c r="F29" s="436"/>
      <c r="G29" s="437"/>
      <c r="H29" s="441"/>
      <c r="I29" s="442"/>
      <c r="J29" s="442"/>
      <c r="K29" s="439"/>
      <c r="L29" s="438"/>
      <c r="M29" s="443"/>
      <c r="N29" s="440"/>
      <c r="O29" s="438"/>
    </row>
    <row r="30" spans="1:15" s="355" customFormat="1" ht="24.75" customHeight="1">
      <c r="A30" s="438" t="s">
        <v>461</v>
      </c>
      <c r="B30" s="302" t="s">
        <v>102</v>
      </c>
      <c r="C30" s="531" t="s">
        <v>382</v>
      </c>
      <c r="D30" s="532" t="s">
        <v>2</v>
      </c>
      <c r="E30" s="337" t="s">
        <v>94</v>
      </c>
      <c r="F30" s="532" t="s">
        <v>116</v>
      </c>
      <c r="G30" s="533" t="s">
        <v>1</v>
      </c>
      <c r="H30" s="619" t="s">
        <v>117</v>
      </c>
      <c r="I30" s="619" t="s">
        <v>118</v>
      </c>
      <c r="J30" s="619" t="s">
        <v>119</v>
      </c>
      <c r="K30" s="532" t="s">
        <v>98</v>
      </c>
      <c r="L30" s="620">
        <v>3001050</v>
      </c>
      <c r="M30" s="532" t="s">
        <v>99</v>
      </c>
      <c r="N30" s="342"/>
    </row>
    <row r="31" spans="1:15" s="355" customFormat="1" ht="14.25" customHeight="1">
      <c r="A31" s="438" t="s">
        <v>461</v>
      </c>
      <c r="B31" s="302" t="s">
        <v>102</v>
      </c>
      <c r="C31" s="438" t="s">
        <v>396</v>
      </c>
      <c r="D31" s="324"/>
      <c r="E31" s="344" t="s">
        <v>459</v>
      </c>
      <c r="F31" s="438"/>
      <c r="G31" s="441"/>
      <c r="H31" s="504"/>
      <c r="I31" s="504"/>
      <c r="J31" s="504"/>
      <c r="K31" s="438" t="s">
        <v>104</v>
      </c>
      <c r="L31" s="507"/>
      <c r="M31" s="438"/>
      <c r="N31" s="348"/>
    </row>
    <row r="32" spans="1:15" s="355" customFormat="1" ht="14.25" customHeight="1">
      <c r="A32" s="438" t="s">
        <v>461</v>
      </c>
      <c r="B32" s="302" t="s">
        <v>102</v>
      </c>
      <c r="C32" s="438" t="s">
        <v>159</v>
      </c>
      <c r="D32" s="324"/>
      <c r="E32" s="349" t="s">
        <v>154</v>
      </c>
      <c r="F32" s="360"/>
      <c r="G32" s="438"/>
      <c r="H32" s="441"/>
      <c r="I32" s="504"/>
      <c r="J32" s="504"/>
      <c r="K32" s="504"/>
      <c r="L32" s="438"/>
      <c r="M32" s="507"/>
      <c r="N32" s="438"/>
      <c r="O32" s="348"/>
    </row>
    <row r="33" spans="1:15" s="355" customFormat="1" ht="14.25" customHeight="1">
      <c r="A33" s="438" t="s">
        <v>461</v>
      </c>
      <c r="B33" s="302" t="s">
        <v>102</v>
      </c>
      <c r="C33" s="438" t="s">
        <v>159</v>
      </c>
      <c r="D33" s="324"/>
      <c r="E33" s="349"/>
      <c r="F33" s="360"/>
      <c r="G33" s="438"/>
      <c r="H33" s="441"/>
      <c r="I33" s="504"/>
      <c r="J33" s="504"/>
      <c r="K33" s="504"/>
      <c r="L33" s="438"/>
      <c r="M33" s="507"/>
      <c r="N33" s="438"/>
      <c r="O33" s="348"/>
    </row>
    <row r="34" spans="1:15" s="355" customFormat="1" ht="14.25" customHeight="1">
      <c r="A34" s="438" t="s">
        <v>461</v>
      </c>
      <c r="B34" s="302" t="s">
        <v>102</v>
      </c>
      <c r="C34" s="438" t="s">
        <v>460</v>
      </c>
      <c r="D34" s="324"/>
      <c r="E34" s="349"/>
      <c r="F34" s="360"/>
      <c r="G34" s="438"/>
      <c r="H34" s="441"/>
      <c r="I34" s="504"/>
      <c r="J34" s="504"/>
      <c r="K34" s="504"/>
      <c r="L34" s="438"/>
      <c r="M34" s="507"/>
      <c r="N34" s="438"/>
      <c r="O34" s="348"/>
    </row>
    <row r="35" spans="1:15" s="355" customFormat="1" ht="14.25" customHeight="1">
      <c r="D35" s="350"/>
      <c r="E35" s="351"/>
      <c r="F35" s="771"/>
      <c r="G35" s="350"/>
      <c r="H35" s="352"/>
      <c r="I35" s="352"/>
      <c r="J35" s="352"/>
      <c r="K35" s="352"/>
      <c r="L35" s="352"/>
      <c r="M35" s="770"/>
      <c r="N35" s="352"/>
      <c r="O35" s="352"/>
    </row>
    <row r="36" spans="1:15" s="355" customFormat="1" ht="14.25" customHeight="1">
      <c r="C36" s="400"/>
      <c r="D36" s="400"/>
      <c r="E36" s="401"/>
      <c r="F36" s="402"/>
      <c r="G36" s="402"/>
      <c r="H36" s="403"/>
      <c r="I36" s="403"/>
      <c r="J36" s="403"/>
      <c r="K36" s="402"/>
      <c r="L36" s="408"/>
      <c r="M36" s="402"/>
      <c r="N36" s="405"/>
    </row>
    <row r="37" spans="1:15" s="355" customFormat="1" ht="14.25" customHeight="1">
      <c r="C37" s="400"/>
      <c r="D37" s="400"/>
      <c r="E37" s="401"/>
      <c r="F37" s="402"/>
      <c r="G37" s="402"/>
      <c r="H37" s="403"/>
      <c r="I37" s="403"/>
      <c r="J37" s="403"/>
      <c r="K37" s="402"/>
      <c r="L37" s="408"/>
      <c r="M37" s="402"/>
      <c r="N37" s="405"/>
    </row>
    <row r="38" spans="1:15" s="355" customFormat="1" ht="14.25" customHeight="1">
      <c r="C38" s="400"/>
      <c r="D38" s="400"/>
      <c r="E38" s="401"/>
      <c r="F38" s="402"/>
      <c r="G38" s="402"/>
      <c r="H38" s="403"/>
      <c r="I38" s="403"/>
      <c r="J38" s="403"/>
      <c r="K38" s="402"/>
      <c r="L38" s="408"/>
      <c r="M38" s="402"/>
      <c r="N38" s="405"/>
    </row>
    <row r="39" spans="1:15" s="355" customFormat="1" ht="14.25" customHeight="1">
      <c r="C39" s="400"/>
      <c r="D39" s="400"/>
      <c r="E39" s="401"/>
      <c r="F39" s="402"/>
      <c r="G39" s="402"/>
      <c r="H39" s="403"/>
      <c r="I39" s="403"/>
      <c r="J39" s="403"/>
      <c r="K39" s="402"/>
      <c r="L39" s="408"/>
      <c r="M39" s="402"/>
      <c r="N39" s="405"/>
    </row>
    <row r="40" spans="1:15" s="355" customFormat="1" ht="14.25" customHeight="1">
      <c r="C40" s="400"/>
      <c r="D40" s="400"/>
      <c r="E40" s="401"/>
      <c r="F40" s="402"/>
      <c r="G40" s="402"/>
      <c r="H40" s="403"/>
      <c r="I40" s="403"/>
      <c r="J40" s="403"/>
      <c r="K40" s="402"/>
      <c r="L40" s="408"/>
      <c r="M40" s="402"/>
      <c r="N40" s="405"/>
    </row>
    <row r="41" spans="1:15" s="355" customFormat="1" ht="14.25" customHeight="1">
      <c r="C41" s="400"/>
      <c r="D41" s="400"/>
      <c r="E41" s="401"/>
      <c r="F41" s="402"/>
      <c r="G41" s="402"/>
      <c r="H41" s="403"/>
      <c r="I41" s="403"/>
      <c r="J41" s="403"/>
      <c r="K41" s="402"/>
      <c r="L41" s="408"/>
      <c r="M41" s="402"/>
      <c r="N41" s="405"/>
    </row>
    <row r="42" spans="1:15" s="355" customFormat="1" ht="14.25" customHeight="1">
      <c r="C42" s="400"/>
      <c r="D42" s="400"/>
      <c r="E42" s="401"/>
      <c r="F42" s="402"/>
      <c r="G42" s="402"/>
      <c r="H42" s="403"/>
      <c r="I42" s="403"/>
      <c r="J42" s="403"/>
      <c r="K42" s="402"/>
      <c r="L42" s="408"/>
      <c r="M42" s="402"/>
      <c r="N42" s="405"/>
    </row>
    <row r="43" spans="1:15" s="355" customFormat="1" ht="14.25" customHeight="1">
      <c r="C43" s="400"/>
      <c r="D43" s="400"/>
      <c r="E43" s="401"/>
      <c r="F43" s="402"/>
      <c r="G43" s="402"/>
      <c r="H43" s="403"/>
      <c r="I43" s="403"/>
      <c r="J43" s="403"/>
      <c r="K43" s="402"/>
      <c r="L43" s="408"/>
      <c r="M43" s="402"/>
      <c r="N43" s="405"/>
    </row>
    <row r="44" spans="1:15" s="355" customFormat="1" ht="14.25" customHeight="1">
      <c r="C44" s="400"/>
      <c r="D44" s="400"/>
      <c r="E44" s="401"/>
      <c r="F44" s="402"/>
      <c r="G44" s="402"/>
      <c r="H44" s="403"/>
      <c r="I44" s="403"/>
      <c r="J44" s="403"/>
      <c r="K44" s="402"/>
      <c r="L44" s="408"/>
      <c r="M44" s="402"/>
      <c r="N44" s="405"/>
    </row>
    <row r="45" spans="1:15" s="355" customFormat="1" ht="14.25" customHeight="1">
      <c r="C45" s="400"/>
      <c r="D45" s="400"/>
      <c r="E45" s="401"/>
      <c r="F45" s="402"/>
      <c r="G45" s="402"/>
      <c r="H45" s="403"/>
      <c r="I45" s="403"/>
      <c r="J45" s="403"/>
      <c r="K45" s="402"/>
      <c r="L45" s="408"/>
      <c r="M45" s="402"/>
      <c r="N45" s="405"/>
    </row>
    <row r="46" spans="1:15" s="355" customFormat="1" ht="14.25" customHeight="1">
      <c r="C46" s="400"/>
      <c r="D46" s="400"/>
      <c r="E46" s="401"/>
      <c r="F46" s="402"/>
      <c r="G46" s="402"/>
      <c r="H46" s="403"/>
      <c r="I46" s="403"/>
      <c r="J46" s="403"/>
      <c r="K46" s="402"/>
      <c r="L46" s="408"/>
      <c r="M46" s="402"/>
      <c r="N46" s="405"/>
    </row>
    <row r="47" spans="1:15" s="355" customFormat="1" ht="14.25" customHeight="1">
      <c r="C47" s="400"/>
      <c r="D47" s="400"/>
      <c r="E47" s="401"/>
      <c r="F47" s="402"/>
      <c r="G47" s="402"/>
      <c r="H47" s="403"/>
      <c r="I47" s="403"/>
      <c r="J47" s="403"/>
      <c r="K47" s="402"/>
      <c r="L47" s="408"/>
      <c r="M47" s="402"/>
      <c r="N47" s="405"/>
    </row>
    <row r="48" spans="1:15" s="355" customFormat="1" ht="14.25" customHeight="1">
      <c r="C48" s="400"/>
      <c r="D48" s="400"/>
      <c r="E48" s="401"/>
      <c r="F48" s="402"/>
      <c r="G48" s="402"/>
      <c r="H48" s="403"/>
      <c r="I48" s="403"/>
      <c r="J48" s="403"/>
      <c r="K48" s="402"/>
      <c r="L48" s="408"/>
      <c r="M48" s="402"/>
      <c r="N48" s="405"/>
    </row>
    <row r="49" spans="3:14" s="355" customFormat="1" ht="14.25" customHeight="1">
      <c r="C49" s="400"/>
      <c r="D49" s="400"/>
      <c r="E49" s="401"/>
      <c r="F49" s="402"/>
      <c r="G49" s="402"/>
      <c r="H49" s="403"/>
      <c r="I49" s="403"/>
      <c r="J49" s="403"/>
      <c r="K49" s="402"/>
      <c r="L49" s="408"/>
      <c r="M49" s="402"/>
      <c r="N49" s="405"/>
    </row>
    <row r="50" spans="3:14" s="355" customFormat="1" ht="14.25" customHeight="1">
      <c r="C50" s="400"/>
      <c r="D50" s="400"/>
      <c r="E50" s="401"/>
      <c r="F50" s="402"/>
      <c r="G50" s="402"/>
      <c r="H50" s="403"/>
      <c r="I50" s="403"/>
      <c r="J50" s="403"/>
      <c r="K50" s="402"/>
      <c r="L50" s="408"/>
      <c r="M50" s="402"/>
      <c r="N50" s="405"/>
    </row>
    <row r="51" spans="3:14" s="355" customFormat="1" ht="14.25" customHeight="1">
      <c r="C51" s="400"/>
      <c r="D51" s="400"/>
      <c r="E51" s="401"/>
      <c r="F51" s="402"/>
      <c r="G51" s="402"/>
      <c r="H51" s="403"/>
      <c r="I51" s="403"/>
      <c r="J51" s="403"/>
      <c r="K51" s="402"/>
      <c r="L51" s="408"/>
      <c r="M51" s="402"/>
      <c r="N51" s="405"/>
    </row>
    <row r="52" spans="3:14" s="355" customFormat="1" ht="14.25" customHeight="1">
      <c r="C52" s="400"/>
      <c r="D52" s="400"/>
      <c r="E52" s="401"/>
      <c r="F52" s="402"/>
      <c r="G52" s="402"/>
      <c r="H52" s="403"/>
      <c r="I52" s="403"/>
      <c r="J52" s="403"/>
      <c r="K52" s="402"/>
      <c r="L52" s="408"/>
      <c r="M52" s="402"/>
      <c r="N52" s="405"/>
    </row>
    <row r="53" spans="3:14" s="355" customFormat="1" ht="14.25" customHeight="1">
      <c r="C53" s="400"/>
      <c r="D53" s="400"/>
      <c r="E53" s="401"/>
      <c r="F53" s="402"/>
      <c r="G53" s="402"/>
      <c r="H53" s="403"/>
      <c r="I53" s="403"/>
      <c r="J53" s="403"/>
      <c r="K53" s="402"/>
      <c r="L53" s="408"/>
      <c r="M53" s="402"/>
      <c r="N53" s="405"/>
    </row>
    <row r="54" spans="3:14" s="355" customFormat="1" ht="14.25" customHeight="1">
      <c r="C54" s="400"/>
      <c r="D54" s="400"/>
      <c r="E54" s="401"/>
      <c r="F54" s="402"/>
      <c r="G54" s="402"/>
      <c r="H54" s="403"/>
      <c r="I54" s="403"/>
      <c r="J54" s="403"/>
      <c r="K54" s="402"/>
      <c r="L54" s="408"/>
      <c r="M54" s="402"/>
      <c r="N54" s="405"/>
    </row>
    <row r="55" spans="3:14" s="355" customFormat="1" ht="14.25" customHeight="1">
      <c r="C55" s="400"/>
      <c r="D55" s="400"/>
      <c r="E55" s="401"/>
      <c r="F55" s="402"/>
      <c r="G55" s="402"/>
      <c r="H55" s="403"/>
      <c r="I55" s="403"/>
      <c r="J55" s="403"/>
      <c r="K55" s="402"/>
      <c r="L55" s="408"/>
      <c r="M55" s="402"/>
      <c r="N55" s="405"/>
    </row>
    <row r="56" spans="3:14" s="355" customFormat="1" ht="14.25" customHeight="1">
      <c r="C56" s="400"/>
      <c r="D56" s="400"/>
      <c r="E56" s="401"/>
      <c r="F56" s="402"/>
      <c r="G56" s="402"/>
      <c r="H56" s="403"/>
      <c r="I56" s="403"/>
      <c r="J56" s="403"/>
      <c r="K56" s="402"/>
      <c r="L56" s="408"/>
      <c r="M56" s="407"/>
      <c r="N56" s="405"/>
    </row>
    <row r="57" spans="3:14" s="355" customFormat="1" ht="14.25" customHeight="1">
      <c r="C57" s="400"/>
      <c r="D57" s="400"/>
      <c r="E57" s="401"/>
      <c r="F57" s="402"/>
      <c r="G57" s="403"/>
      <c r="H57" s="403"/>
      <c r="I57" s="403"/>
      <c r="J57" s="403"/>
      <c r="K57" s="408"/>
      <c r="L57" s="408"/>
      <c r="M57" s="407"/>
      <c r="N57" s="405"/>
    </row>
    <row r="58" spans="3:14" s="355" customFormat="1" ht="14.25" customHeight="1">
      <c r="C58" s="352"/>
      <c r="D58" s="352"/>
      <c r="E58" s="352"/>
      <c r="F58" s="352"/>
      <c r="G58" s="352"/>
      <c r="H58" s="352"/>
      <c r="I58" s="352"/>
      <c r="J58" s="352"/>
      <c r="K58" s="352"/>
      <c r="L58" s="352"/>
      <c r="M58" s="352"/>
      <c r="N58" s="352"/>
    </row>
    <row r="59" spans="3:14" s="355" customFormat="1" ht="14.25" customHeight="1">
      <c r="C59" s="367"/>
      <c r="D59" s="368"/>
      <c r="E59" s="618"/>
      <c r="F59" s="370"/>
      <c r="G59" s="370"/>
      <c r="H59" s="371"/>
      <c r="I59" s="371"/>
      <c r="J59" s="371"/>
      <c r="K59" s="370"/>
      <c r="L59" s="593"/>
      <c r="M59" s="370"/>
      <c r="N59" s="368"/>
    </row>
    <row r="60" spans="3:14" s="302" customFormat="1" ht="14.25" customHeight="1">
      <c r="C60" s="367"/>
      <c r="D60" s="368"/>
      <c r="E60" s="373"/>
      <c r="F60" s="370"/>
      <c r="G60" s="370"/>
      <c r="H60" s="371"/>
      <c r="I60" s="371"/>
      <c r="J60" s="371"/>
      <c r="K60" s="370"/>
      <c r="L60" s="593"/>
      <c r="M60" s="370"/>
      <c r="N60" s="368"/>
    </row>
    <row r="61" spans="3:14" s="302" customFormat="1" ht="14.25" customHeight="1">
      <c r="C61" s="374"/>
      <c r="D61" s="375"/>
      <c r="E61" s="373"/>
      <c r="F61" s="376"/>
      <c r="G61" s="376"/>
      <c r="H61" s="377"/>
      <c r="I61" s="377"/>
      <c r="J61" s="377"/>
      <c r="K61" s="376"/>
      <c r="L61" s="772"/>
      <c r="M61" s="376"/>
      <c r="N61" s="375"/>
    </row>
    <row r="62" spans="3:14" s="355" customFormat="1" ht="15.75">
      <c r="L62" s="2387">
        <f>SUM(L7:L61)</f>
        <v>7503316</v>
      </c>
    </row>
  </sheetData>
  <mergeCells count="9">
    <mergeCell ref="M2:M3"/>
    <mergeCell ref="N2:N3"/>
    <mergeCell ref="E10:F10"/>
    <mergeCell ref="E11:F11"/>
    <mergeCell ref="C5:D5"/>
    <mergeCell ref="C8:C10"/>
    <mergeCell ref="C2:G2"/>
    <mergeCell ref="H2:J2"/>
    <mergeCell ref="K2:L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064A5-74E1-4502-92F4-440D7B598BE9}">
  <sheetPr>
    <tabColor rgb="FFFFC000"/>
  </sheetPr>
  <dimension ref="A2:O102"/>
  <sheetViews>
    <sheetView zoomScale="85" zoomScaleNormal="85" workbookViewId="0">
      <pane ySplit="4" topLeftCell="A5" activePane="bottomLeft" state="frozen"/>
      <selection pane="bottomLeft" activeCell="L7" sqref="L7"/>
    </sheetView>
  </sheetViews>
  <sheetFormatPr defaultRowHeight="15"/>
  <cols>
    <col min="3" max="3" width="21.42578125" customWidth="1"/>
    <col min="4" max="4" width="41.42578125" customWidth="1"/>
    <col min="5" max="5" width="26" customWidth="1"/>
    <col min="6" max="6" width="16.7109375" customWidth="1"/>
    <col min="7" max="7" width="11.7109375" customWidth="1"/>
    <col min="8" max="8" width="13.7109375" customWidth="1"/>
    <col min="9" max="9" width="14.7109375" customWidth="1"/>
    <col min="10" max="10" width="12.5703125" customWidth="1"/>
    <col min="11" max="11" width="18.5703125" customWidth="1"/>
    <col min="12" max="12" width="15.5703125" style="99" customWidth="1"/>
    <col min="13" max="13" width="16.28515625" customWidth="1"/>
    <col min="14" max="14" width="12.85546875" customWidth="1"/>
  </cols>
  <sheetData>
    <row r="2" spans="1:15">
      <c r="C2" s="2627" t="s">
        <v>30</v>
      </c>
      <c r="D2" s="2627"/>
      <c r="E2" s="2627"/>
      <c r="F2" s="2627"/>
      <c r="G2" s="2627"/>
      <c r="H2" s="2628" t="s">
        <v>29</v>
      </c>
      <c r="I2" s="2628"/>
      <c r="J2" s="2628"/>
      <c r="K2" s="2627" t="s">
        <v>28</v>
      </c>
      <c r="L2" s="2627"/>
      <c r="M2" s="2628" t="s">
        <v>27</v>
      </c>
      <c r="N2" s="2628" t="s">
        <v>26</v>
      </c>
    </row>
    <row r="3" spans="1:15" ht="72">
      <c r="C3" s="10" t="s">
        <v>25</v>
      </c>
      <c r="D3" s="13" t="s">
        <v>24</v>
      </c>
      <c r="E3" s="12" t="s">
        <v>23</v>
      </c>
      <c r="F3" s="10" t="s">
        <v>22</v>
      </c>
      <c r="G3" s="11" t="s">
        <v>21</v>
      </c>
      <c r="H3" s="11" t="s">
        <v>20</v>
      </c>
      <c r="I3" s="11" t="s">
        <v>19</v>
      </c>
      <c r="J3" s="11" t="s">
        <v>18</v>
      </c>
      <c r="K3" s="10" t="s">
        <v>17</v>
      </c>
      <c r="L3" s="159" t="s">
        <v>16</v>
      </c>
      <c r="M3" s="2628"/>
      <c r="N3" s="2628"/>
    </row>
    <row r="4" spans="1:15">
      <c r="C4" s="9" t="s">
        <v>15</v>
      </c>
      <c r="D4" s="9" t="s">
        <v>14</v>
      </c>
      <c r="E4" s="9" t="s">
        <v>13</v>
      </c>
      <c r="F4" s="9" t="s">
        <v>12</v>
      </c>
      <c r="G4" s="9" t="s">
        <v>11</v>
      </c>
      <c r="H4" s="9" t="s">
        <v>10</v>
      </c>
      <c r="I4" s="9" t="s">
        <v>9</v>
      </c>
      <c r="J4" s="9" t="s">
        <v>8</v>
      </c>
      <c r="K4" s="9" t="s">
        <v>7</v>
      </c>
      <c r="L4" s="160" t="s">
        <v>6</v>
      </c>
      <c r="M4" s="9" t="s">
        <v>5</v>
      </c>
      <c r="N4" s="9" t="s">
        <v>4</v>
      </c>
    </row>
    <row r="5" spans="1:15" s="355" customFormat="1" ht="13.5">
      <c r="C5" s="742" t="s">
        <v>1106</v>
      </c>
      <c r="D5" s="751"/>
      <c r="E5" s="752"/>
      <c r="F5" s="751"/>
      <c r="G5" s="751"/>
      <c r="H5" s="751"/>
      <c r="I5" s="751"/>
      <c r="J5" s="751"/>
      <c r="K5" s="751"/>
      <c r="L5" s="753"/>
      <c r="M5" s="751"/>
      <c r="N5" s="754"/>
    </row>
    <row r="6" spans="1:15" s="355" customFormat="1" ht="25.9" customHeight="1">
      <c r="A6" s="301"/>
      <c r="B6" s="302"/>
      <c r="C6" s="531"/>
      <c r="E6" s="740"/>
      <c r="F6" s="742"/>
      <c r="G6" s="740"/>
      <c r="H6" s="740"/>
      <c r="I6" s="740"/>
      <c r="J6" s="749"/>
      <c r="K6" s="750"/>
      <c r="L6" s="610"/>
      <c r="M6" s="610"/>
      <c r="N6" s="654"/>
    </row>
    <row r="7" spans="1:15" s="355" customFormat="1" ht="40.5">
      <c r="A7" s="301" t="s">
        <v>1108</v>
      </c>
      <c r="B7" s="302" t="s">
        <v>1087</v>
      </c>
      <c r="C7" s="531"/>
      <c r="D7" s="755" t="s">
        <v>1107</v>
      </c>
      <c r="F7" s="610" t="s">
        <v>1104</v>
      </c>
      <c r="G7" s="756" t="s">
        <v>1084</v>
      </c>
      <c r="H7" s="615">
        <v>46054</v>
      </c>
      <c r="I7" s="612">
        <v>46056</v>
      </c>
      <c r="J7" s="613" t="s">
        <v>1105</v>
      </c>
      <c r="K7" s="757" t="s">
        <v>98</v>
      </c>
      <c r="L7" s="758">
        <v>63000</v>
      </c>
      <c r="M7" s="610" t="s">
        <v>659</v>
      </c>
      <c r="N7" s="309"/>
      <c r="O7" s="499"/>
    </row>
    <row r="8" spans="1:15" s="355" customFormat="1" ht="13.5">
      <c r="A8" s="301"/>
      <c r="B8" s="302"/>
      <c r="C8" s="499"/>
      <c r="D8" s="391"/>
      <c r="E8" s="743"/>
      <c r="F8" s="743"/>
      <c r="G8" s="744"/>
      <c r="H8" s="497"/>
      <c r="I8" s="498"/>
      <c r="J8" s="498"/>
      <c r="K8" s="498"/>
      <c r="L8" s="499"/>
      <c r="M8" s="650"/>
      <c r="N8" s="309"/>
      <c r="O8" s="499"/>
    </row>
    <row r="9" spans="1:15" s="355" customFormat="1" ht="13.5">
      <c r="A9" s="301"/>
      <c r="B9" s="302"/>
      <c r="C9" s="502"/>
      <c r="D9" s="314"/>
      <c r="E9" s="501"/>
      <c r="F9" s="608"/>
      <c r="G9" s="654"/>
      <c r="H9" s="502"/>
      <c r="I9" s="652"/>
      <c r="J9" s="497"/>
      <c r="K9" s="653"/>
      <c r="L9" s="502"/>
      <c r="M9" s="538"/>
      <c r="N9" s="392"/>
      <c r="O9" s="502"/>
    </row>
    <row r="10" spans="1:15" s="355" customFormat="1" ht="13.5">
      <c r="A10" s="301"/>
      <c r="B10" s="302"/>
      <c r="C10" s="654"/>
      <c r="D10" s="391"/>
      <c r="E10" s="743"/>
      <c r="F10" s="743"/>
      <c r="G10" s="744"/>
      <c r="H10" s="654"/>
      <c r="I10" s="651"/>
      <c r="J10" s="651"/>
      <c r="K10" s="656"/>
      <c r="L10" s="654"/>
      <c r="M10" s="538"/>
      <c r="N10" s="654"/>
      <c r="O10" s="654"/>
    </row>
    <row r="11" spans="1:15" s="355" customFormat="1" ht="13.5">
      <c r="A11" s="301"/>
      <c r="B11" s="302"/>
      <c r="C11" s="654"/>
      <c r="D11" s="314"/>
      <c r="E11" s="501"/>
      <c r="F11" s="608"/>
      <c r="G11" s="654"/>
      <c r="H11" s="654"/>
      <c r="I11" s="651"/>
      <c r="J11" s="651"/>
      <c r="K11" s="656"/>
      <c r="L11" s="654"/>
      <c r="M11" s="538"/>
      <c r="N11" s="654"/>
      <c r="O11" s="654"/>
    </row>
    <row r="12" spans="1:15" s="355" customFormat="1" ht="13.5">
      <c r="A12" s="301"/>
      <c r="B12" s="302"/>
      <c r="C12" s="654"/>
      <c r="D12" s="391"/>
      <c r="E12" s="743"/>
      <c r="F12" s="743"/>
      <c r="G12" s="744"/>
      <c r="H12" s="654"/>
      <c r="I12" s="651"/>
      <c r="J12" s="651"/>
      <c r="K12" s="656"/>
      <c r="L12" s="654"/>
      <c r="M12" s="538"/>
      <c r="N12" s="654"/>
      <c r="O12" s="654"/>
    </row>
    <row r="13" spans="1:15" s="355" customFormat="1" ht="13.5">
      <c r="A13" s="301"/>
      <c r="B13" s="302"/>
      <c r="C13" s="654"/>
      <c r="D13" s="661"/>
      <c r="E13" s="501"/>
      <c r="F13" s="608"/>
      <c r="G13" s="661"/>
      <c r="H13" s="748"/>
      <c r="I13" s="661"/>
      <c r="J13" s="608"/>
      <c r="K13" s="656"/>
      <c r="L13" s="654"/>
      <c r="M13" s="538"/>
      <c r="N13" s="654"/>
      <c r="O13" s="654"/>
    </row>
    <row r="14" spans="1:15" s="355" customFormat="1" ht="13.5">
      <c r="A14" s="301"/>
      <c r="B14" s="302"/>
      <c r="C14" s="654"/>
      <c r="D14" s="745"/>
      <c r="E14" s="746"/>
      <c r="F14" s="746"/>
      <c r="G14" s="746"/>
      <c r="H14" s="746"/>
      <c r="I14" s="746"/>
      <c r="J14" s="746"/>
      <c r="K14" s="747"/>
      <c r="L14" s="654"/>
      <c r="M14" s="538"/>
      <c r="N14" s="654"/>
      <c r="O14" s="654"/>
    </row>
    <row r="15" spans="1:15" s="355" customFormat="1" ht="13.5">
      <c r="A15" s="301"/>
      <c r="B15" s="302"/>
      <c r="C15" s="654"/>
      <c r="D15" s="661"/>
      <c r="E15" s="661"/>
      <c r="F15" s="661"/>
      <c r="G15" s="748"/>
      <c r="H15" s="661"/>
      <c r="I15" s="608"/>
      <c r="J15" s="651"/>
      <c r="K15" s="656"/>
      <c r="L15" s="654"/>
      <c r="M15" s="538"/>
      <c r="N15" s="654"/>
      <c r="O15" s="654"/>
    </row>
    <row r="16" spans="1:15" s="355" customFormat="1" ht="13.5">
      <c r="A16" s="301"/>
      <c r="B16" s="302"/>
      <c r="C16" s="654"/>
      <c r="D16" s="661"/>
      <c r="E16" s="661"/>
      <c r="F16" s="661"/>
      <c r="G16" s="748"/>
      <c r="H16" s="661"/>
      <c r="I16" s="608"/>
      <c r="J16" s="651"/>
      <c r="K16" s="656"/>
      <c r="L16" s="654"/>
      <c r="M16" s="538"/>
      <c r="N16" s="654"/>
      <c r="O16" s="654"/>
    </row>
    <row r="17" spans="1:15" s="355" customFormat="1" ht="13.5">
      <c r="A17" s="301"/>
      <c r="B17" s="302"/>
      <c r="C17" s="654"/>
      <c r="D17" s="661"/>
      <c r="E17" s="661"/>
      <c r="F17" s="661"/>
      <c r="G17" s="748"/>
      <c r="H17" s="661"/>
      <c r="I17" s="608"/>
      <c r="J17" s="651"/>
      <c r="K17" s="656"/>
      <c r="L17" s="654"/>
      <c r="M17" s="538"/>
      <c r="N17" s="654"/>
      <c r="O17" s="654"/>
    </row>
    <row r="18" spans="1:15" s="355" customFormat="1" ht="13.5">
      <c r="A18" s="301"/>
      <c r="B18" s="302"/>
      <c r="C18" s="654"/>
      <c r="D18" s="661"/>
      <c r="E18" s="661"/>
      <c r="F18" s="661"/>
      <c r="G18" s="748"/>
      <c r="H18" s="661"/>
      <c r="I18" s="608"/>
      <c r="J18" s="651"/>
      <c r="K18" s="656"/>
      <c r="L18" s="654"/>
      <c r="M18" s="538"/>
      <c r="N18" s="654"/>
      <c r="O18" s="654"/>
    </row>
    <row r="19" spans="1:15" s="355" customFormat="1" ht="13.5">
      <c r="A19" s="301"/>
      <c r="B19" s="302"/>
      <c r="C19" s="654"/>
      <c r="D19" s="661"/>
      <c r="E19" s="661"/>
      <c r="F19" s="661"/>
      <c r="G19" s="608"/>
      <c r="H19" s="654"/>
      <c r="I19" s="651"/>
      <c r="J19" s="651"/>
      <c r="K19" s="656"/>
      <c r="L19" s="654"/>
      <c r="M19" s="538"/>
      <c r="N19" s="654"/>
      <c r="O19" s="654"/>
    </row>
    <row r="20" spans="1:15" s="355" customFormat="1" ht="13.5">
      <c r="A20" s="301"/>
      <c r="B20" s="302"/>
      <c r="C20" s="654"/>
      <c r="D20" s="661"/>
      <c r="E20" s="661"/>
      <c r="F20" s="661"/>
      <c r="G20" s="608"/>
      <c r="H20" s="654"/>
      <c r="I20" s="651"/>
      <c r="J20" s="651"/>
      <c r="K20" s="656"/>
      <c r="L20" s="654"/>
      <c r="M20" s="538"/>
      <c r="N20" s="654"/>
      <c r="O20" s="654"/>
    </row>
    <row r="21" spans="1:15" s="355" customFormat="1" ht="13.5">
      <c r="A21" s="301"/>
      <c r="B21" s="302"/>
      <c r="C21" s="654"/>
      <c r="D21" s="661"/>
      <c r="E21" s="661"/>
      <c r="F21" s="661"/>
      <c r="G21" s="608"/>
      <c r="H21" s="654"/>
      <c r="I21" s="651"/>
      <c r="J21" s="651"/>
      <c r="K21" s="656"/>
      <c r="L21" s="654"/>
      <c r="M21" s="538"/>
      <c r="N21" s="654"/>
      <c r="O21" s="654"/>
    </row>
    <row r="22" spans="1:15" s="355" customFormat="1" ht="13.5">
      <c r="A22" s="301"/>
      <c r="B22" s="302"/>
      <c r="C22" s="654"/>
      <c r="D22" s="661"/>
      <c r="E22" s="661"/>
      <c r="F22" s="661"/>
      <c r="G22" s="608"/>
      <c r="H22" s="654"/>
      <c r="I22" s="651"/>
      <c r="J22" s="651"/>
      <c r="K22" s="656"/>
      <c r="L22" s="654"/>
      <c r="M22" s="538"/>
      <c r="N22" s="654"/>
      <c r="O22" s="654"/>
    </row>
    <row r="23" spans="1:15" s="355" customFormat="1" ht="13.5">
      <c r="A23" s="301"/>
      <c r="B23" s="302"/>
      <c r="C23" s="654"/>
      <c r="D23" s="661"/>
      <c r="E23" s="661"/>
      <c r="F23" s="661"/>
      <c r="G23" s="608"/>
      <c r="H23" s="654"/>
      <c r="I23" s="651"/>
      <c r="J23" s="651"/>
      <c r="K23" s="656"/>
      <c r="L23" s="654"/>
      <c r="M23" s="538"/>
      <c r="N23" s="654"/>
      <c r="O23" s="654"/>
    </row>
    <row r="24" spans="1:15" s="355" customFormat="1" ht="13.5">
      <c r="A24" s="301"/>
      <c r="B24" s="302"/>
      <c r="C24" s="654"/>
      <c r="D24" s="661"/>
      <c r="E24" s="661"/>
      <c r="F24" s="661"/>
      <c r="G24" s="608"/>
      <c r="H24" s="654"/>
      <c r="I24" s="651"/>
      <c r="J24" s="651"/>
      <c r="K24" s="656"/>
      <c r="L24" s="654"/>
      <c r="M24" s="538"/>
      <c r="N24" s="654"/>
      <c r="O24" s="654"/>
    </row>
    <row r="25" spans="1:15" s="355" customFormat="1" ht="13.5">
      <c r="A25" s="301"/>
      <c r="B25" s="302"/>
      <c r="C25" s="654"/>
      <c r="D25" s="661"/>
      <c r="E25" s="661"/>
      <c r="F25" s="661"/>
      <c r="G25" s="608"/>
      <c r="H25" s="654"/>
      <c r="I25" s="651"/>
      <c r="J25" s="651"/>
      <c r="K25" s="656"/>
      <c r="L25" s="654"/>
      <c r="M25" s="538"/>
      <c r="N25" s="654"/>
      <c r="O25" s="654"/>
    </row>
    <row r="26" spans="1:15" s="355" customFormat="1" ht="13.5">
      <c r="A26" s="301"/>
      <c r="B26" s="302"/>
      <c r="C26" s="654"/>
      <c r="D26" s="661"/>
      <c r="E26" s="661"/>
      <c r="F26" s="661"/>
      <c r="G26" s="608"/>
      <c r="H26" s="654"/>
      <c r="I26" s="651"/>
      <c r="J26" s="651"/>
      <c r="K26" s="656"/>
      <c r="L26" s="654"/>
      <c r="M26" s="538"/>
      <c r="N26" s="654"/>
      <c r="O26" s="654"/>
    </row>
    <row r="27" spans="1:15" s="355" customFormat="1" ht="13.5">
      <c r="A27" s="301"/>
      <c r="B27" s="302"/>
      <c r="C27" s="654"/>
      <c r="D27" s="661"/>
      <c r="E27" s="661"/>
      <c r="F27" s="661"/>
      <c r="G27" s="608"/>
      <c r="H27" s="654"/>
      <c r="I27" s="651"/>
      <c r="J27" s="651"/>
      <c r="K27" s="656"/>
      <c r="L27" s="654"/>
      <c r="M27" s="538"/>
      <c r="N27" s="654"/>
      <c r="O27" s="654"/>
    </row>
    <row r="28" spans="1:15" s="355" customFormat="1" ht="14.25" customHeight="1">
      <c r="A28" s="301"/>
      <c r="B28" s="302"/>
      <c r="C28" s="654"/>
      <c r="D28" s="661"/>
      <c r="E28" s="661"/>
      <c r="F28" s="661"/>
      <c r="G28" s="608"/>
      <c r="H28" s="654"/>
      <c r="I28" s="651"/>
      <c r="J28" s="651"/>
      <c r="K28" s="656"/>
      <c r="L28" s="654"/>
      <c r="M28" s="538"/>
      <c r="N28" s="654"/>
      <c r="O28" s="654"/>
    </row>
    <row r="29" spans="1:15" s="355" customFormat="1" ht="22.5" customHeight="1">
      <c r="A29" s="513"/>
      <c r="B29" s="302"/>
      <c r="C29" s="531"/>
      <c r="D29" s="532"/>
      <c r="E29" s="337"/>
      <c r="F29" s="532"/>
      <c r="G29" s="533"/>
      <c r="H29" s="619"/>
      <c r="I29" s="619"/>
      <c r="J29" s="619"/>
      <c r="K29" s="532"/>
      <c r="L29" s="2389">
        <f>SUM(L7:L28)</f>
        <v>63000</v>
      </c>
      <c r="M29" s="532"/>
      <c r="N29" s="352"/>
      <c r="O29" s="342"/>
    </row>
    <row r="30" spans="1:15" ht="14.25" customHeight="1">
      <c r="A30" s="125"/>
      <c r="B30" s="63"/>
      <c r="C30" s="58"/>
      <c r="D30" s="96"/>
      <c r="E30" s="97"/>
      <c r="F30" s="58"/>
      <c r="G30" s="59"/>
      <c r="H30" s="60"/>
      <c r="I30" s="60"/>
      <c r="J30" s="60"/>
      <c r="K30" s="58"/>
      <c r="L30" s="64"/>
      <c r="M30" s="58"/>
      <c r="N30" s="19"/>
      <c r="O30" s="62"/>
    </row>
    <row r="31" spans="1:15" ht="14.25" customHeight="1">
      <c r="A31" s="125"/>
      <c r="B31" s="63"/>
      <c r="C31" s="58"/>
      <c r="D31" s="79"/>
      <c r="E31" s="81"/>
      <c r="F31" s="58"/>
      <c r="G31" s="59"/>
      <c r="H31" s="60"/>
      <c r="I31" s="60"/>
      <c r="J31" s="60"/>
      <c r="K31" s="58"/>
      <c r="L31" s="64"/>
      <c r="M31" s="58"/>
      <c r="N31" s="19"/>
      <c r="O31" s="62"/>
    </row>
    <row r="32" spans="1:15">
      <c r="A32" s="125"/>
      <c r="B32" s="63"/>
      <c r="C32" s="58"/>
      <c r="D32" s="79"/>
      <c r="E32" s="81"/>
      <c r="F32" s="58"/>
      <c r="G32" s="59"/>
      <c r="H32" s="60"/>
      <c r="I32" s="60"/>
      <c r="J32" s="60"/>
      <c r="K32" s="58"/>
      <c r="L32" s="64"/>
      <c r="M32" s="58"/>
      <c r="N32" s="19"/>
      <c r="O32" s="62"/>
    </row>
    <row r="33" spans="1:15">
      <c r="A33" s="125"/>
      <c r="B33" s="63"/>
      <c r="C33" s="58"/>
      <c r="D33" s="78"/>
      <c r="E33" s="79"/>
      <c r="F33" s="58"/>
      <c r="G33" s="59"/>
      <c r="H33" s="60"/>
      <c r="I33" s="60"/>
      <c r="J33" s="60"/>
      <c r="K33" s="58"/>
      <c r="L33" s="64"/>
      <c r="M33" s="58"/>
      <c r="N33" s="19"/>
      <c r="O33" s="62"/>
    </row>
    <row r="34" spans="1:15">
      <c r="C34" s="58"/>
      <c r="D34" s="90"/>
      <c r="E34" s="94"/>
      <c r="F34" s="90"/>
      <c r="G34" s="91"/>
      <c r="H34" s="91"/>
      <c r="I34" s="91"/>
      <c r="J34" s="91"/>
      <c r="K34" s="92"/>
      <c r="L34" s="101"/>
      <c r="M34" s="91"/>
      <c r="N34" s="19"/>
      <c r="O34" s="91"/>
    </row>
    <row r="35" spans="1:15">
      <c r="A35" s="125"/>
      <c r="B35" s="63"/>
      <c r="C35" s="86"/>
      <c r="D35" s="87"/>
      <c r="E35" s="95"/>
      <c r="F35" s="87"/>
      <c r="G35" s="88"/>
      <c r="H35" s="89"/>
      <c r="I35" s="89"/>
      <c r="J35" s="89"/>
      <c r="K35" s="87"/>
      <c r="L35" s="98"/>
      <c r="M35" s="87"/>
      <c r="N35" s="19"/>
      <c r="O35" s="77"/>
    </row>
    <row r="36" spans="1:15">
      <c r="A36" s="125"/>
      <c r="B36" s="63"/>
      <c r="C36" s="58"/>
      <c r="D36" s="96"/>
      <c r="E36" s="96"/>
      <c r="F36" s="58"/>
      <c r="G36" s="59"/>
      <c r="H36" s="60"/>
      <c r="I36" s="60"/>
      <c r="J36" s="60"/>
      <c r="K36" s="58"/>
      <c r="L36" s="64"/>
      <c r="M36" s="58"/>
      <c r="N36" s="19"/>
      <c r="O36" s="62"/>
    </row>
    <row r="37" spans="1:15">
      <c r="A37" s="125"/>
      <c r="B37" s="63"/>
      <c r="C37" s="58"/>
      <c r="D37" s="78"/>
      <c r="E37" s="79"/>
      <c r="F37" s="80"/>
      <c r="G37" s="58"/>
      <c r="H37" s="59"/>
      <c r="I37" s="60"/>
      <c r="J37" s="60"/>
      <c r="K37" s="60"/>
      <c r="L37" s="100"/>
      <c r="M37" s="61"/>
      <c r="N37" s="58"/>
      <c r="O37" s="62"/>
    </row>
    <row r="38" spans="1:15">
      <c r="A38" s="125"/>
      <c r="B38" s="63"/>
      <c r="C38" s="58"/>
      <c r="D38" s="78"/>
      <c r="E38" s="79"/>
      <c r="F38" s="80"/>
      <c r="G38" s="58"/>
      <c r="H38" s="59"/>
      <c r="I38" s="60"/>
      <c r="J38" s="60"/>
      <c r="K38" s="60"/>
      <c r="L38" s="100"/>
      <c r="M38" s="61"/>
      <c r="N38" s="58"/>
      <c r="O38" s="62"/>
    </row>
    <row r="39" spans="1:15">
      <c r="A39" s="125"/>
      <c r="B39" s="63"/>
      <c r="C39" s="58"/>
      <c r="D39" s="78"/>
      <c r="E39" s="79"/>
      <c r="F39" s="80"/>
      <c r="G39" s="58"/>
      <c r="H39" s="59"/>
      <c r="I39" s="60"/>
      <c r="J39" s="60"/>
      <c r="K39" s="60"/>
      <c r="L39" s="100"/>
      <c r="M39" s="61"/>
      <c r="N39" s="58"/>
      <c r="O39" s="62"/>
    </row>
    <row r="40" spans="1:15">
      <c r="A40" s="125"/>
      <c r="B40" s="63"/>
      <c r="C40" s="58"/>
      <c r="D40" s="90"/>
      <c r="E40" s="94"/>
      <c r="F40" s="90"/>
      <c r="G40" s="90"/>
      <c r="H40" s="91"/>
      <c r="I40" s="91"/>
      <c r="J40" s="91"/>
      <c r="K40" s="91"/>
      <c r="L40" s="101"/>
      <c r="M40" s="93"/>
      <c r="N40" s="91"/>
      <c r="O40" s="124"/>
    </row>
    <row r="41" spans="1:15">
      <c r="A41" s="125"/>
      <c r="B41" s="63"/>
      <c r="C41" s="86"/>
      <c r="D41" s="87"/>
      <c r="E41" s="95"/>
      <c r="F41" s="87"/>
      <c r="G41" s="88"/>
      <c r="H41" s="89"/>
      <c r="I41" s="89"/>
      <c r="J41" s="89"/>
      <c r="K41" s="87"/>
      <c r="L41" s="98"/>
      <c r="M41" s="87"/>
      <c r="N41" s="19"/>
      <c r="O41" s="77"/>
    </row>
    <row r="42" spans="1:15">
      <c r="A42" s="125"/>
      <c r="B42" s="63"/>
      <c r="C42" s="58"/>
      <c r="D42" s="138"/>
      <c r="E42" s="96"/>
      <c r="F42" s="58"/>
      <c r="G42" s="59"/>
      <c r="H42" s="60"/>
      <c r="I42" s="60"/>
      <c r="J42" s="60"/>
      <c r="K42" s="58"/>
      <c r="L42" s="64"/>
      <c r="M42" s="58"/>
      <c r="N42" s="19"/>
      <c r="O42" s="62"/>
    </row>
    <row r="43" spans="1:15">
      <c r="A43" s="125"/>
      <c r="B43" s="63"/>
      <c r="C43" s="58"/>
      <c r="D43" s="79"/>
      <c r="E43" s="79"/>
      <c r="F43" s="58"/>
      <c r="G43" s="59"/>
      <c r="H43" s="60"/>
      <c r="I43" s="60"/>
      <c r="J43" s="60"/>
      <c r="K43" s="58"/>
      <c r="L43" s="64"/>
      <c r="M43" s="58"/>
      <c r="N43" s="19"/>
      <c r="O43" s="62"/>
    </row>
    <row r="44" spans="1:15">
      <c r="A44" s="125"/>
      <c r="B44" s="63"/>
      <c r="C44" s="58"/>
      <c r="D44" s="78"/>
      <c r="E44" s="79"/>
      <c r="F44" s="80"/>
      <c r="G44" s="58"/>
      <c r="H44" s="59"/>
      <c r="I44" s="60"/>
      <c r="J44" s="60"/>
      <c r="K44" s="60"/>
      <c r="L44" s="100"/>
      <c r="M44" s="61"/>
      <c r="N44" s="58"/>
      <c r="O44" s="62"/>
    </row>
    <row r="45" spans="1:15">
      <c r="A45" s="125"/>
      <c r="B45" s="63"/>
      <c r="C45" s="58"/>
      <c r="D45" s="78"/>
      <c r="E45" s="79"/>
      <c r="F45" s="80"/>
      <c r="G45" s="58"/>
      <c r="H45" s="59"/>
      <c r="I45" s="60"/>
      <c r="J45" s="60"/>
      <c r="K45" s="60"/>
      <c r="L45" s="100"/>
      <c r="M45" s="61"/>
      <c r="N45" s="58"/>
      <c r="O45" s="62"/>
    </row>
    <row r="46" spans="1:15">
      <c r="C46" s="58"/>
      <c r="D46" s="90"/>
      <c r="E46" s="94"/>
      <c r="F46" s="90"/>
      <c r="G46" s="90"/>
      <c r="H46" s="91"/>
      <c r="I46" s="91"/>
      <c r="J46" s="91"/>
      <c r="K46" s="91"/>
      <c r="L46" s="101"/>
      <c r="M46" s="93"/>
      <c r="N46" s="91"/>
      <c r="O46" s="124"/>
    </row>
    <row r="47" spans="1:15">
      <c r="C47" s="58"/>
      <c r="D47" s="90"/>
      <c r="E47" s="94"/>
      <c r="F47" s="90"/>
      <c r="G47" s="90"/>
      <c r="H47" s="91"/>
      <c r="I47" s="91"/>
      <c r="J47" s="91"/>
      <c r="K47" s="91"/>
      <c r="L47" s="101"/>
      <c r="M47" s="93"/>
      <c r="N47" s="91"/>
      <c r="O47" s="124"/>
    </row>
    <row r="48" spans="1:15">
      <c r="A48" s="125"/>
      <c r="B48" s="63"/>
      <c r="C48" s="86"/>
      <c r="D48" s="87"/>
      <c r="E48" s="86"/>
      <c r="F48" s="87"/>
      <c r="G48" s="88"/>
      <c r="H48" s="89"/>
      <c r="I48" s="89"/>
      <c r="J48" s="89"/>
      <c r="K48" s="87"/>
      <c r="L48" s="98"/>
      <c r="M48" s="87"/>
      <c r="N48" s="77"/>
    </row>
    <row r="49" spans="1:15">
      <c r="A49" s="125"/>
      <c r="B49" s="63"/>
      <c r="C49" s="58"/>
      <c r="D49" s="139"/>
      <c r="E49" s="19"/>
      <c r="F49" s="58"/>
      <c r="G49" s="59"/>
      <c r="H49" s="60"/>
      <c r="I49" s="60"/>
      <c r="J49" s="60"/>
      <c r="K49" s="58"/>
      <c r="L49" s="64"/>
      <c r="M49" s="58"/>
      <c r="N49" s="62"/>
    </row>
    <row r="50" spans="1:15">
      <c r="A50" s="125"/>
      <c r="B50" s="63"/>
      <c r="C50" s="58"/>
      <c r="D50" s="81"/>
      <c r="E50" s="19"/>
      <c r="F50" s="81"/>
      <c r="G50" s="58"/>
      <c r="H50" s="59"/>
      <c r="I50" s="60"/>
      <c r="J50" s="60"/>
      <c r="K50" s="60"/>
      <c r="L50" s="100"/>
      <c r="M50" s="61"/>
      <c r="N50" s="58"/>
      <c r="O50" s="62"/>
    </row>
    <row r="51" spans="1:15">
      <c r="A51" s="125"/>
      <c r="B51" s="63"/>
      <c r="C51" s="58"/>
      <c r="D51" s="78"/>
      <c r="E51" s="81"/>
      <c r="F51" s="81"/>
      <c r="G51" s="58"/>
      <c r="H51" s="59"/>
      <c r="I51" s="60"/>
      <c r="J51" s="60"/>
      <c r="K51" s="60"/>
      <c r="L51" s="100"/>
      <c r="M51" s="61"/>
      <c r="N51" s="58"/>
      <c r="O51" s="62"/>
    </row>
    <row r="52" spans="1:15">
      <c r="A52" s="125"/>
      <c r="B52" s="63"/>
      <c r="C52" s="58"/>
      <c r="D52" s="78"/>
      <c r="E52" s="81"/>
      <c r="F52" s="81"/>
      <c r="G52" s="58"/>
      <c r="H52" s="59"/>
      <c r="I52" s="60"/>
      <c r="J52" s="60"/>
      <c r="K52" s="60"/>
      <c r="L52" s="100"/>
      <c r="M52" s="61"/>
      <c r="N52" s="58"/>
      <c r="O52" s="62"/>
    </row>
    <row r="53" spans="1:15">
      <c r="C53" s="58"/>
      <c r="D53" s="90"/>
      <c r="E53" s="94"/>
      <c r="F53" s="90"/>
      <c r="G53" s="90"/>
      <c r="H53" s="91"/>
      <c r="I53" s="91"/>
      <c r="J53" s="91"/>
      <c r="K53" s="91"/>
      <c r="L53" s="101"/>
      <c r="M53" s="93"/>
      <c r="N53" s="91"/>
      <c r="O53" s="124"/>
    </row>
    <row r="54" spans="1:15">
      <c r="A54" s="58"/>
      <c r="B54" s="63"/>
      <c r="C54" s="86"/>
      <c r="D54" s="87"/>
      <c r="E54" s="95"/>
      <c r="F54" s="87"/>
      <c r="G54" s="88"/>
      <c r="H54" s="89"/>
      <c r="I54" s="89"/>
      <c r="J54" s="89"/>
      <c r="K54" s="87"/>
      <c r="L54" s="98"/>
      <c r="M54" s="87"/>
      <c r="O54" s="77"/>
    </row>
    <row r="55" spans="1:15">
      <c r="A55" s="58"/>
      <c r="B55" s="63"/>
      <c r="C55" s="58"/>
      <c r="D55" s="96"/>
      <c r="E55" s="19"/>
      <c r="F55" s="109"/>
      <c r="G55" s="59"/>
      <c r="H55" s="60"/>
      <c r="I55" s="60"/>
      <c r="J55" s="60"/>
      <c r="K55" s="58"/>
      <c r="L55" s="64"/>
      <c r="M55" s="58"/>
      <c r="O55" s="62"/>
    </row>
    <row r="56" spans="1:15">
      <c r="A56" s="58"/>
      <c r="B56" s="63"/>
      <c r="C56" s="58"/>
      <c r="D56" s="79"/>
      <c r="E56" s="19"/>
      <c r="F56" s="109"/>
      <c r="G56" s="59"/>
      <c r="H56" s="60"/>
      <c r="I56" s="60"/>
      <c r="J56" s="60"/>
      <c r="K56" s="58"/>
      <c r="L56" s="64"/>
      <c r="M56" s="58"/>
      <c r="O56" s="62"/>
    </row>
    <row r="57" spans="1:15">
      <c r="A57" s="58"/>
      <c r="B57" s="63"/>
      <c r="C57" s="58"/>
      <c r="D57" s="79"/>
      <c r="E57" s="19"/>
      <c r="F57" s="80"/>
      <c r="G57" s="58"/>
      <c r="H57" s="59"/>
      <c r="I57" s="60"/>
      <c r="J57" s="60"/>
      <c r="K57" s="60"/>
      <c r="L57" s="100"/>
      <c r="M57" s="61"/>
      <c r="N57" s="58"/>
      <c r="O57" s="62"/>
    </row>
    <row r="58" spans="1:15">
      <c r="A58" s="58"/>
      <c r="B58" s="63"/>
      <c r="C58" s="58"/>
      <c r="D58" s="78"/>
      <c r="E58" s="79"/>
      <c r="F58" s="81"/>
      <c r="G58" s="58"/>
      <c r="H58" s="59"/>
      <c r="I58" s="60"/>
      <c r="J58" s="60"/>
      <c r="K58" s="60"/>
      <c r="L58" s="100"/>
      <c r="M58" s="61"/>
      <c r="N58" s="58"/>
      <c r="O58" s="62"/>
    </row>
    <row r="59" spans="1:15">
      <c r="D59" s="90"/>
      <c r="E59" s="94"/>
      <c r="F59" s="90"/>
      <c r="G59" s="90"/>
      <c r="H59" s="91"/>
      <c r="I59" s="91"/>
      <c r="J59" s="91"/>
      <c r="K59" s="91"/>
      <c r="L59" s="101"/>
      <c r="M59" s="93"/>
      <c r="N59" s="91"/>
      <c r="O59" s="91"/>
    </row>
    <row r="60" spans="1:15">
      <c r="C60" s="58"/>
      <c r="D60" s="90"/>
      <c r="E60" s="94"/>
      <c r="F60" s="90"/>
      <c r="G60" s="90"/>
      <c r="H60" s="91"/>
      <c r="I60" s="91"/>
      <c r="J60" s="91"/>
      <c r="K60" s="91"/>
      <c r="L60" s="101"/>
      <c r="M60" s="93"/>
      <c r="N60" s="91"/>
      <c r="O60" s="124"/>
    </row>
    <row r="61" spans="1:15">
      <c r="C61" s="58"/>
      <c r="D61" s="90"/>
      <c r="E61" s="94"/>
      <c r="F61" s="90"/>
      <c r="G61" s="90"/>
      <c r="H61" s="91"/>
      <c r="I61" s="91"/>
      <c r="J61" s="91"/>
      <c r="K61" s="91"/>
      <c r="L61" s="101"/>
      <c r="M61" s="93"/>
      <c r="N61" s="91"/>
      <c r="O61" s="124"/>
    </row>
    <row r="62" spans="1:15">
      <c r="C62" s="58"/>
      <c r="D62" s="90"/>
      <c r="E62" s="94"/>
      <c r="F62" s="90"/>
      <c r="G62" s="90"/>
      <c r="H62" s="91"/>
      <c r="I62" s="91"/>
      <c r="J62" s="91"/>
      <c r="K62" s="91"/>
      <c r="L62" s="101"/>
      <c r="M62" s="93"/>
      <c r="N62" s="91"/>
      <c r="O62" s="124"/>
    </row>
    <row r="63" spans="1:15">
      <c r="C63" s="58"/>
      <c r="D63" s="90"/>
      <c r="E63" s="94"/>
      <c r="F63" s="90"/>
      <c r="G63" s="90"/>
      <c r="H63" s="91"/>
      <c r="I63" s="91"/>
      <c r="J63" s="91"/>
      <c r="K63" s="91"/>
      <c r="L63" s="101"/>
      <c r="M63" s="93"/>
      <c r="N63" s="91"/>
      <c r="O63" s="124"/>
    </row>
    <row r="64" spans="1:15">
      <c r="C64" s="58"/>
      <c r="D64" s="90"/>
      <c r="E64" s="94"/>
      <c r="F64" s="90"/>
      <c r="G64" s="90"/>
      <c r="H64" s="91"/>
      <c r="I64" s="91"/>
      <c r="J64" s="91"/>
      <c r="K64" s="91"/>
      <c r="L64" s="101"/>
      <c r="M64" s="93"/>
      <c r="N64" s="91"/>
      <c r="O64" s="124"/>
    </row>
    <row r="65" spans="3:15">
      <c r="C65" s="58"/>
      <c r="D65" s="90"/>
      <c r="E65" s="94"/>
      <c r="F65" s="90"/>
      <c r="G65" s="90"/>
      <c r="H65" s="91"/>
      <c r="I65" s="91"/>
      <c r="J65" s="91"/>
      <c r="K65" s="91"/>
      <c r="L65" s="101"/>
      <c r="M65" s="93"/>
      <c r="N65" s="91"/>
      <c r="O65" s="124"/>
    </row>
    <row r="66" spans="3:15">
      <c r="C66" s="58"/>
      <c r="D66" s="90"/>
      <c r="E66" s="94"/>
      <c r="F66" s="90"/>
      <c r="G66" s="90"/>
      <c r="H66" s="91"/>
      <c r="I66" s="91"/>
      <c r="J66" s="91"/>
      <c r="K66" s="91"/>
      <c r="L66" s="216">
        <f>SUM(L6:L65)</f>
        <v>126000</v>
      </c>
      <c r="M66" s="93"/>
      <c r="N66" s="91"/>
      <c r="O66" s="124"/>
    </row>
    <row r="67" spans="3:15">
      <c r="C67" s="58"/>
      <c r="D67" s="90"/>
      <c r="E67" s="94"/>
      <c r="F67" s="90"/>
      <c r="G67" s="90"/>
      <c r="H67" s="91"/>
      <c r="I67" s="91"/>
      <c r="J67" s="91"/>
      <c r="K67" s="91"/>
      <c r="L67" s="101"/>
      <c r="M67" s="93"/>
      <c r="N67" s="91"/>
      <c r="O67" s="124"/>
    </row>
    <row r="68" spans="3:15">
      <c r="C68" s="58"/>
      <c r="D68" s="90"/>
      <c r="E68" s="94"/>
      <c r="F68" s="90"/>
      <c r="G68" s="90"/>
      <c r="H68" s="91"/>
      <c r="I68" s="91"/>
      <c r="J68" s="91"/>
      <c r="K68" s="91"/>
      <c r="L68" s="101"/>
      <c r="M68" s="93"/>
      <c r="N68" s="91"/>
      <c r="O68" s="124"/>
    </row>
    <row r="69" spans="3:15">
      <c r="C69" s="8"/>
      <c r="D69" s="8"/>
      <c r="E69" s="7"/>
      <c r="F69" s="6"/>
      <c r="G69" s="6"/>
      <c r="H69" s="5"/>
      <c r="I69" s="5"/>
      <c r="J69" s="5"/>
      <c r="K69" s="6"/>
      <c r="L69" s="178"/>
      <c r="M69" s="6"/>
      <c r="N69" s="2"/>
    </row>
    <row r="70" spans="3:15">
      <c r="C70" s="8"/>
      <c r="D70" s="8"/>
      <c r="E70" s="7"/>
      <c r="F70" s="6"/>
      <c r="G70" s="6"/>
      <c r="H70" s="5"/>
      <c r="I70" s="5"/>
      <c r="J70" s="5"/>
      <c r="K70" s="6"/>
      <c r="L70" s="178"/>
      <c r="M70" s="6"/>
      <c r="N70" s="2"/>
    </row>
    <row r="71" spans="3:15">
      <c r="C71" s="8"/>
      <c r="D71" s="8"/>
      <c r="E71" s="7"/>
      <c r="F71" s="6"/>
      <c r="G71" s="6"/>
      <c r="H71" s="5"/>
      <c r="I71" s="5"/>
      <c r="J71" s="5"/>
      <c r="K71" s="6"/>
      <c r="L71" s="178"/>
      <c r="M71" s="6"/>
      <c r="N71" s="2"/>
    </row>
    <row r="72" spans="3:15">
      <c r="C72" s="8"/>
      <c r="D72" s="8"/>
      <c r="E72" s="7"/>
      <c r="F72" s="6"/>
      <c r="G72" s="6"/>
      <c r="H72" s="5"/>
      <c r="I72" s="5"/>
      <c r="J72" s="5"/>
      <c r="K72" s="6"/>
      <c r="L72" s="178"/>
      <c r="M72" s="6"/>
      <c r="N72" s="2"/>
    </row>
    <row r="73" spans="3:15">
      <c r="C73" s="8"/>
      <c r="D73" s="8"/>
      <c r="E73" s="7"/>
      <c r="F73" s="6"/>
      <c r="G73" s="6"/>
      <c r="H73" s="5"/>
      <c r="I73" s="5"/>
      <c r="J73" s="5"/>
      <c r="K73" s="6"/>
      <c r="L73" s="178"/>
      <c r="M73" s="6"/>
      <c r="N73" s="2"/>
    </row>
    <row r="74" spans="3:15">
      <c r="C74" s="8"/>
      <c r="D74" s="8"/>
      <c r="E74" s="7"/>
      <c r="F74" s="6"/>
      <c r="G74" s="6"/>
      <c r="H74" s="5"/>
      <c r="I74" s="5"/>
      <c r="J74" s="5"/>
      <c r="K74" s="6"/>
      <c r="L74" s="178"/>
      <c r="M74" s="6"/>
      <c r="N74" s="2"/>
    </row>
    <row r="75" spans="3:15">
      <c r="C75" s="8"/>
      <c r="D75" s="8"/>
      <c r="E75" s="7"/>
      <c r="F75" s="6"/>
      <c r="G75" s="6"/>
      <c r="H75" s="5"/>
      <c r="I75" s="5"/>
      <c r="J75" s="5"/>
      <c r="K75" s="6"/>
      <c r="L75" s="178"/>
      <c r="M75" s="6"/>
      <c r="N75" s="2"/>
    </row>
    <row r="76" spans="3:15">
      <c r="C76" s="8"/>
      <c r="D76" s="8"/>
      <c r="E76" s="7"/>
      <c r="F76" s="6"/>
      <c r="G76" s="6"/>
      <c r="H76" s="5"/>
      <c r="I76" s="5"/>
      <c r="J76" s="5"/>
      <c r="K76" s="6"/>
      <c r="L76" s="108"/>
      <c r="M76" s="6"/>
      <c r="N76" s="2"/>
    </row>
    <row r="77" spans="3:15">
      <c r="C77" s="8"/>
      <c r="D77" s="8"/>
      <c r="E77" s="7"/>
      <c r="F77" s="6"/>
      <c r="G77" s="6"/>
      <c r="H77" s="5"/>
      <c r="I77" s="5"/>
      <c r="J77" s="5"/>
      <c r="K77" s="6"/>
      <c r="L77" s="178"/>
      <c r="M77" s="6"/>
      <c r="N77" s="2"/>
    </row>
    <row r="78" spans="3:15">
      <c r="C78" s="8"/>
      <c r="D78" s="8"/>
      <c r="E78" s="7"/>
      <c r="F78" s="6"/>
      <c r="G78" s="6"/>
      <c r="H78" s="5"/>
      <c r="I78" s="5"/>
      <c r="J78" s="5"/>
      <c r="K78" s="6"/>
      <c r="L78" s="178"/>
      <c r="M78" s="6"/>
      <c r="N78" s="2"/>
    </row>
    <row r="79" spans="3:15">
      <c r="C79" s="8"/>
      <c r="D79" s="8"/>
      <c r="E79" s="7"/>
      <c r="F79" s="6"/>
      <c r="G79" s="6"/>
      <c r="H79" s="5"/>
      <c r="I79" s="5"/>
      <c r="J79" s="5"/>
      <c r="K79" s="6"/>
      <c r="L79" s="178"/>
      <c r="M79" s="6"/>
      <c r="N79" s="2"/>
    </row>
    <row r="80" spans="3:15">
      <c r="C80" s="8"/>
      <c r="D80" s="8"/>
      <c r="E80" s="7"/>
      <c r="F80" s="6"/>
      <c r="G80" s="6"/>
      <c r="H80" s="5"/>
      <c r="I80" s="5"/>
      <c r="J80" s="5"/>
      <c r="K80" s="6"/>
      <c r="L80" s="178"/>
      <c r="M80" s="6"/>
      <c r="N80" s="2"/>
    </row>
    <row r="81" spans="3:14">
      <c r="C81" s="8"/>
      <c r="D81" s="8"/>
      <c r="E81" s="7"/>
      <c r="F81" s="6"/>
      <c r="G81" s="6"/>
      <c r="H81" s="5"/>
      <c r="I81" s="5"/>
      <c r="J81" s="5"/>
      <c r="K81" s="6"/>
      <c r="L81" s="178"/>
      <c r="M81" s="6"/>
      <c r="N81" s="2"/>
    </row>
    <row r="82" spans="3:14" ht="14.25" customHeight="1">
      <c r="C82" s="8"/>
      <c r="D82" s="8"/>
      <c r="E82" s="7"/>
      <c r="F82" s="6"/>
      <c r="G82" s="6"/>
      <c r="H82" s="5"/>
      <c r="I82" s="5"/>
      <c r="J82" s="5"/>
      <c r="K82" s="6"/>
      <c r="L82" s="178"/>
      <c r="M82" s="6"/>
      <c r="N82" s="2"/>
    </row>
    <row r="83" spans="3:14" ht="14.25" customHeight="1">
      <c r="C83" s="8"/>
      <c r="D83" s="8"/>
      <c r="E83" s="7"/>
      <c r="F83" s="6"/>
      <c r="G83" s="6"/>
      <c r="H83" s="5"/>
      <c r="I83" s="5"/>
      <c r="J83" s="5"/>
      <c r="K83" s="6"/>
      <c r="L83" s="178"/>
      <c r="M83" s="6"/>
      <c r="N83" s="2"/>
    </row>
    <row r="84" spans="3:14" ht="14.25" customHeight="1">
      <c r="C84" s="8"/>
      <c r="D84" s="8"/>
      <c r="E84" s="7"/>
      <c r="F84" s="6"/>
      <c r="G84" s="6"/>
      <c r="H84" s="5"/>
      <c r="I84" s="5"/>
      <c r="J84" s="5"/>
      <c r="K84" s="6"/>
      <c r="L84" s="178"/>
      <c r="M84" s="6"/>
      <c r="N84" s="2"/>
    </row>
    <row r="85" spans="3:14" ht="14.25" customHeight="1">
      <c r="C85" s="8"/>
      <c r="D85" s="8"/>
      <c r="E85" s="7"/>
      <c r="F85" s="6"/>
      <c r="G85" s="6"/>
      <c r="H85" s="5"/>
      <c r="I85" s="5"/>
      <c r="J85" s="5"/>
      <c r="K85" s="6"/>
      <c r="L85" s="178"/>
      <c r="M85" s="6"/>
      <c r="N85" s="2"/>
    </row>
    <row r="86" spans="3:14" ht="14.25" customHeight="1">
      <c r="C86" s="8"/>
      <c r="D86" s="8"/>
      <c r="E86" s="7"/>
      <c r="F86" s="6"/>
      <c r="G86" s="6"/>
      <c r="H86" s="5"/>
      <c r="I86" s="5"/>
      <c r="J86" s="5"/>
      <c r="K86" s="6"/>
      <c r="L86" s="178"/>
      <c r="M86" s="6"/>
      <c r="N86" s="2"/>
    </row>
    <row r="87" spans="3:14" ht="14.25" customHeight="1">
      <c r="C87" s="8"/>
      <c r="D87" s="8"/>
      <c r="E87" s="7"/>
      <c r="F87" s="6"/>
      <c r="G87" s="6"/>
      <c r="H87" s="5"/>
      <c r="I87" s="5"/>
      <c r="J87" s="5"/>
      <c r="K87" s="6"/>
      <c r="L87" s="178"/>
      <c r="M87" s="6"/>
      <c r="N87" s="2"/>
    </row>
    <row r="88" spans="3:14" ht="14.25" customHeight="1">
      <c r="C88" s="8"/>
      <c r="D88" s="8"/>
      <c r="E88" s="7"/>
      <c r="F88" s="6"/>
      <c r="G88" s="6"/>
      <c r="H88" s="5"/>
      <c r="I88" s="5"/>
      <c r="J88" s="5"/>
      <c r="K88" s="6"/>
      <c r="L88" s="178"/>
      <c r="M88" s="6"/>
      <c r="N88" s="2"/>
    </row>
    <row r="89" spans="3:14" ht="14.25" customHeight="1">
      <c r="C89" s="8"/>
      <c r="D89" s="8"/>
      <c r="E89" s="7"/>
      <c r="F89" s="6"/>
      <c r="G89" s="6"/>
      <c r="H89" s="5"/>
      <c r="I89" s="5"/>
      <c r="J89" s="5"/>
      <c r="K89" s="6"/>
      <c r="L89" s="178"/>
      <c r="M89" s="6"/>
      <c r="N89" s="2"/>
    </row>
    <row r="90" spans="3:14" ht="14.25" customHeight="1">
      <c r="C90" s="8"/>
      <c r="D90" s="8"/>
      <c r="E90" s="7"/>
      <c r="F90" s="6"/>
      <c r="G90" s="6"/>
      <c r="H90" s="5"/>
      <c r="I90" s="5"/>
      <c r="J90" s="5"/>
      <c r="K90" s="6"/>
      <c r="L90" s="178"/>
      <c r="M90" s="6"/>
      <c r="N90" s="2"/>
    </row>
    <row r="91" spans="3:14" ht="14.25" customHeight="1">
      <c r="C91" s="8"/>
      <c r="D91" s="8"/>
      <c r="E91" s="7"/>
      <c r="F91" s="6"/>
      <c r="G91" s="6"/>
      <c r="H91" s="5"/>
      <c r="I91" s="5"/>
      <c r="J91" s="5"/>
      <c r="K91" s="6"/>
      <c r="L91" s="178"/>
      <c r="M91" s="6"/>
      <c r="N91" s="2"/>
    </row>
    <row r="92" spans="3:14" ht="14.25" customHeight="1">
      <c r="C92" s="8"/>
      <c r="D92" s="8"/>
      <c r="E92" s="7"/>
      <c r="F92" s="6"/>
      <c r="G92" s="6"/>
      <c r="H92" s="5"/>
      <c r="I92" s="5"/>
      <c r="J92" s="5"/>
      <c r="K92" s="6"/>
      <c r="L92" s="178"/>
      <c r="M92" s="6"/>
      <c r="N92" s="2"/>
    </row>
    <row r="93" spans="3:14" ht="14.25" customHeight="1">
      <c r="C93" s="8"/>
      <c r="D93" s="8"/>
      <c r="E93" s="7"/>
      <c r="F93" s="6"/>
      <c r="G93" s="6"/>
      <c r="H93" s="5"/>
      <c r="I93" s="5"/>
      <c r="J93" s="5"/>
      <c r="K93" s="6"/>
      <c r="L93" s="178"/>
      <c r="M93" s="6"/>
      <c r="N93" s="2"/>
    </row>
    <row r="94" spans="3:14" ht="14.25" customHeight="1">
      <c r="C94" s="8"/>
      <c r="D94" s="8"/>
      <c r="E94" s="7"/>
      <c r="F94" s="6"/>
      <c r="G94" s="6"/>
      <c r="H94" s="5"/>
      <c r="I94" s="5"/>
      <c r="J94" s="5"/>
      <c r="K94" s="6"/>
      <c r="L94" s="178"/>
      <c r="M94" s="6"/>
      <c r="N94" s="2"/>
    </row>
    <row r="95" spans="3:14" ht="14.25" customHeight="1">
      <c r="C95" s="8"/>
      <c r="D95" s="8"/>
      <c r="E95" s="7"/>
      <c r="F95" s="6"/>
      <c r="G95" s="6"/>
      <c r="H95" s="5"/>
      <c r="I95" s="5"/>
      <c r="J95" s="5"/>
      <c r="K95" s="6"/>
      <c r="L95" s="178"/>
      <c r="M95" s="6"/>
      <c r="N95" s="2"/>
    </row>
    <row r="96" spans="3:14" ht="14.25" customHeight="1">
      <c r="C96" s="8"/>
      <c r="D96" s="8"/>
      <c r="E96" s="7"/>
      <c r="F96" s="6"/>
      <c r="G96" s="6"/>
      <c r="H96" s="5"/>
      <c r="I96" s="5"/>
      <c r="J96" s="5"/>
      <c r="K96" s="6"/>
      <c r="L96" s="178"/>
      <c r="M96" s="6"/>
      <c r="N96" s="2"/>
    </row>
    <row r="97" spans="3:14" ht="14.25" customHeight="1">
      <c r="C97" s="8"/>
      <c r="D97" s="8"/>
      <c r="E97" s="7"/>
      <c r="F97" s="6"/>
      <c r="G97" s="6"/>
      <c r="H97" s="5"/>
      <c r="I97" s="5"/>
      <c r="J97" s="5"/>
      <c r="K97" s="6"/>
      <c r="L97" s="178"/>
      <c r="M97" s="3"/>
      <c r="N97" s="2"/>
    </row>
    <row r="98" spans="3:14" ht="14.25" customHeight="1">
      <c r="C98" s="8"/>
      <c r="D98" s="8"/>
      <c r="E98" s="7"/>
      <c r="F98" s="6"/>
      <c r="G98" s="5"/>
      <c r="H98" s="5"/>
      <c r="I98" s="5"/>
      <c r="J98" s="5"/>
      <c r="K98" s="4"/>
      <c r="L98" s="178"/>
      <c r="M98" s="3"/>
      <c r="N98" s="2"/>
    </row>
    <row r="99" spans="3:14" ht="14.25" customHeight="1">
      <c r="C99" s="19"/>
      <c r="D99" s="19"/>
      <c r="E99" s="19"/>
      <c r="F99" s="19"/>
      <c r="G99" s="19"/>
      <c r="H99" s="19"/>
      <c r="I99" s="19"/>
      <c r="J99" s="19"/>
      <c r="K99" s="19"/>
      <c r="L99" s="146"/>
      <c r="M99" s="19"/>
      <c r="N99" s="19"/>
    </row>
    <row r="100" spans="3:14" ht="14.25" customHeight="1">
      <c r="C100" s="31"/>
      <c r="D100" s="27"/>
      <c r="E100" s="20"/>
      <c r="F100" s="28"/>
      <c r="G100" s="28"/>
      <c r="H100" s="26"/>
      <c r="I100" s="26"/>
      <c r="J100" s="26"/>
      <c r="K100" s="28"/>
      <c r="L100" s="179"/>
      <c r="M100" s="28"/>
      <c r="N100" s="27"/>
    </row>
    <row r="101" spans="3:14" s="1" customFormat="1" ht="14.25" customHeight="1">
      <c r="C101" s="31"/>
      <c r="D101" s="27"/>
      <c r="E101" s="21"/>
      <c r="F101" s="28"/>
      <c r="G101" s="28"/>
      <c r="H101" s="26"/>
      <c r="I101" s="26"/>
      <c r="J101" s="26"/>
      <c r="K101" s="28"/>
      <c r="L101" s="179"/>
      <c r="M101" s="28"/>
      <c r="N101" s="27"/>
    </row>
    <row r="102" spans="3:14" s="1" customFormat="1" ht="14.25" customHeight="1">
      <c r="C102" s="30"/>
      <c r="D102" s="25"/>
      <c r="E102" s="21"/>
      <c r="F102" s="22"/>
      <c r="G102" s="22"/>
      <c r="H102" s="23"/>
      <c r="I102" s="23"/>
      <c r="J102" s="23"/>
      <c r="K102" s="22"/>
      <c r="L102" s="180"/>
      <c r="M102" s="22"/>
      <c r="N102" s="25"/>
    </row>
  </sheetData>
  <mergeCells count="5">
    <mergeCell ref="C2:G2"/>
    <mergeCell ref="H2:J2"/>
    <mergeCell ref="K2:L2"/>
    <mergeCell ref="M2:M3"/>
    <mergeCell ref="N2:N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A4D52-48D7-44C1-969B-14C7E80D1C1B}">
  <sheetPr>
    <tabColor rgb="FFFFC000"/>
  </sheetPr>
  <dimension ref="A2:O70"/>
  <sheetViews>
    <sheetView zoomScale="70" zoomScaleNormal="70" workbookViewId="0">
      <pane ySplit="4" topLeftCell="A20" activePane="bottomLeft" state="frozen"/>
      <selection pane="bottomLeft" activeCell="L34" sqref="L34"/>
    </sheetView>
  </sheetViews>
  <sheetFormatPr defaultRowHeight="15"/>
  <cols>
    <col min="3" max="3" width="31.85546875" customWidth="1"/>
    <col min="4" max="4" width="53"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style="99" customWidth="1"/>
    <col min="13" max="13" width="16.28515625" customWidth="1"/>
    <col min="14" max="14" width="12.85546875" customWidth="1"/>
  </cols>
  <sheetData>
    <row r="2" spans="1:15">
      <c r="C2" s="2627" t="s">
        <v>30</v>
      </c>
      <c r="D2" s="2627"/>
      <c r="E2" s="2627"/>
      <c r="F2" s="2627"/>
      <c r="G2" s="2627"/>
      <c r="H2" s="2628" t="s">
        <v>29</v>
      </c>
      <c r="I2" s="2628"/>
      <c r="J2" s="2628"/>
      <c r="K2" s="2627" t="s">
        <v>28</v>
      </c>
      <c r="L2" s="2627"/>
      <c r="M2" s="2628" t="s">
        <v>27</v>
      </c>
      <c r="N2" s="2628" t="s">
        <v>26</v>
      </c>
    </row>
    <row r="3" spans="1:15" ht="72">
      <c r="C3" s="10" t="s">
        <v>25</v>
      </c>
      <c r="D3" s="13" t="s">
        <v>24</v>
      </c>
      <c r="E3" s="12" t="s">
        <v>23</v>
      </c>
      <c r="F3" s="10" t="s">
        <v>22</v>
      </c>
      <c r="G3" s="11" t="s">
        <v>21</v>
      </c>
      <c r="H3" s="11" t="s">
        <v>20</v>
      </c>
      <c r="I3" s="11" t="s">
        <v>19</v>
      </c>
      <c r="J3" s="11" t="s">
        <v>18</v>
      </c>
      <c r="K3" s="10" t="s">
        <v>17</v>
      </c>
      <c r="L3" s="159" t="s">
        <v>16</v>
      </c>
      <c r="M3" s="2628"/>
      <c r="N3" s="2628"/>
    </row>
    <row r="4" spans="1:15">
      <c r="C4" s="9" t="s">
        <v>15</v>
      </c>
      <c r="D4" s="9" t="s">
        <v>14</v>
      </c>
      <c r="E4" s="9" t="s">
        <v>13</v>
      </c>
      <c r="F4" s="9" t="s">
        <v>12</v>
      </c>
      <c r="G4" s="9" t="s">
        <v>11</v>
      </c>
      <c r="H4" s="9" t="s">
        <v>10</v>
      </c>
      <c r="I4" s="9" t="s">
        <v>9</v>
      </c>
      <c r="J4" s="9" t="s">
        <v>8</v>
      </c>
      <c r="K4" s="9" t="s">
        <v>7</v>
      </c>
      <c r="L4" s="160" t="s">
        <v>6</v>
      </c>
      <c r="M4" s="9" t="s">
        <v>5</v>
      </c>
      <c r="N4" s="9" t="s">
        <v>4</v>
      </c>
    </row>
    <row r="5" spans="1:15" s="355" customFormat="1" ht="13.5">
      <c r="C5" s="616"/>
      <c r="D5" s="751"/>
      <c r="E5" s="752"/>
      <c r="F5" s="751"/>
      <c r="G5" s="751"/>
      <c r="H5" s="751"/>
      <c r="I5" s="751"/>
      <c r="J5" s="751"/>
      <c r="K5" s="751"/>
      <c r="L5" s="753"/>
      <c r="M5" s="751"/>
      <c r="N5" s="754"/>
    </row>
    <row r="6" spans="1:15" s="355" customFormat="1" ht="42.75" customHeight="1">
      <c r="A6" s="301" t="s">
        <v>649</v>
      </c>
      <c r="B6" s="302" t="s">
        <v>650</v>
      </c>
      <c r="C6" s="773" t="s">
        <v>673</v>
      </c>
      <c r="D6" s="309" t="s">
        <v>2</v>
      </c>
      <c r="E6" s="501"/>
      <c r="F6" s="499" t="s">
        <v>674</v>
      </c>
      <c r="G6" s="497" t="s">
        <v>1</v>
      </c>
      <c r="H6" s="774" t="s">
        <v>675</v>
      </c>
      <c r="I6" s="774" t="s">
        <v>653</v>
      </c>
      <c r="J6" s="774" t="s">
        <v>653</v>
      </c>
      <c r="K6" s="499" t="s">
        <v>676</v>
      </c>
      <c r="L6" s="538">
        <v>1000000</v>
      </c>
      <c r="M6" s="309" t="s">
        <v>659</v>
      </c>
      <c r="N6" s="654"/>
    </row>
    <row r="7" spans="1:15" s="355" customFormat="1" ht="14.25" customHeight="1">
      <c r="A7" s="301" t="s">
        <v>649</v>
      </c>
      <c r="B7" s="302" t="s">
        <v>650</v>
      </c>
      <c r="C7" s="499"/>
      <c r="D7" s="314" t="s">
        <v>677</v>
      </c>
      <c r="E7" s="501">
        <v>2</v>
      </c>
      <c r="F7" s="608"/>
      <c r="G7" s="497"/>
      <c r="H7" s="497"/>
      <c r="I7" s="498"/>
      <c r="J7" s="498"/>
      <c r="K7" s="498"/>
      <c r="L7" s="499"/>
      <c r="M7" s="650"/>
      <c r="N7" s="309"/>
      <c r="O7" s="499"/>
    </row>
    <row r="8" spans="1:15" s="355" customFormat="1" ht="40.5">
      <c r="A8" s="301" t="s">
        <v>649</v>
      </c>
      <c r="B8" s="302" t="s">
        <v>650</v>
      </c>
      <c r="C8" s="499"/>
      <c r="D8" s="391" t="s">
        <v>678</v>
      </c>
      <c r="E8" s="743"/>
      <c r="F8" s="743"/>
      <c r="G8" s="744"/>
      <c r="H8" s="497"/>
      <c r="I8" s="498"/>
      <c r="J8" s="498"/>
      <c r="K8" s="498"/>
      <c r="L8" s="499"/>
      <c r="M8" s="650"/>
      <c r="N8" s="309"/>
      <c r="O8" s="499"/>
    </row>
    <row r="9" spans="1:15" s="355" customFormat="1" ht="13.5">
      <c r="A9" s="301" t="s">
        <v>649</v>
      </c>
      <c r="B9" s="302" t="s">
        <v>650</v>
      </c>
      <c r="C9" s="502"/>
      <c r="D9" s="314" t="s">
        <v>679</v>
      </c>
      <c r="E9" s="501">
        <v>2</v>
      </c>
      <c r="F9" s="608"/>
      <c r="G9" s="654"/>
      <c r="H9" s="502"/>
      <c r="I9" s="652"/>
      <c r="J9" s="497"/>
      <c r="K9" s="653"/>
      <c r="L9" s="502"/>
      <c r="M9" s="538"/>
      <c r="N9" s="392"/>
      <c r="O9" s="502"/>
    </row>
    <row r="10" spans="1:15" s="355" customFormat="1" ht="40.5">
      <c r="A10" s="301" t="s">
        <v>649</v>
      </c>
      <c r="B10" s="302" t="s">
        <v>650</v>
      </c>
      <c r="C10" s="654"/>
      <c r="D10" s="391" t="s">
        <v>680</v>
      </c>
      <c r="E10" s="743"/>
      <c r="F10" s="743"/>
      <c r="G10" s="744"/>
      <c r="H10" s="654"/>
      <c r="I10" s="651"/>
      <c r="J10" s="651"/>
      <c r="K10" s="656"/>
      <c r="L10" s="654"/>
      <c r="M10" s="538"/>
      <c r="N10" s="654"/>
      <c r="O10" s="654"/>
    </row>
    <row r="11" spans="1:15" s="355" customFormat="1" ht="13.5">
      <c r="A11" s="301" t="s">
        <v>649</v>
      </c>
      <c r="B11" s="302" t="s">
        <v>650</v>
      </c>
      <c r="C11" s="654"/>
      <c r="D11" s="314" t="s">
        <v>681</v>
      </c>
      <c r="E11" s="501">
        <v>1</v>
      </c>
      <c r="F11" s="608"/>
      <c r="G11" s="654"/>
      <c r="H11" s="654"/>
      <c r="I11" s="651"/>
      <c r="J11" s="651"/>
      <c r="K11" s="656"/>
      <c r="L11" s="654"/>
      <c r="M11" s="538"/>
      <c r="N11" s="654"/>
      <c r="O11" s="654"/>
    </row>
    <row r="12" spans="1:15" s="355" customFormat="1" ht="54">
      <c r="A12" s="301" t="s">
        <v>649</v>
      </c>
      <c r="B12" s="302" t="s">
        <v>650</v>
      </c>
      <c r="C12" s="654"/>
      <c r="D12" s="391" t="s">
        <v>682</v>
      </c>
      <c r="E12" s="392"/>
      <c r="F12" s="392"/>
      <c r="G12" s="392"/>
      <c r="H12" s="2346"/>
      <c r="I12" s="651"/>
      <c r="J12" s="651"/>
      <c r="K12" s="656"/>
      <c r="L12" s="654"/>
      <c r="M12" s="538"/>
      <c r="N12" s="654"/>
      <c r="O12" s="654"/>
    </row>
    <row r="13" spans="1:15" s="355" customFormat="1" ht="13.5">
      <c r="A13" s="301" t="s">
        <v>649</v>
      </c>
      <c r="B13" s="302" t="s">
        <v>650</v>
      </c>
      <c r="C13" s="654"/>
      <c r="D13" s="501" t="s">
        <v>683</v>
      </c>
      <c r="E13" s="661">
        <v>2</v>
      </c>
      <c r="F13" s="661"/>
      <c r="G13" s="661"/>
      <c r="H13" s="748"/>
      <c r="I13" s="661"/>
      <c r="J13" s="608"/>
      <c r="K13" s="656"/>
      <c r="L13" s="654"/>
      <c r="M13" s="538"/>
      <c r="N13" s="654"/>
      <c r="O13" s="654"/>
    </row>
    <row r="14" spans="1:15" s="355" customFormat="1" ht="40.5">
      <c r="A14" s="301" t="s">
        <v>649</v>
      </c>
      <c r="B14" s="302" t="s">
        <v>650</v>
      </c>
      <c r="C14" s="654"/>
      <c r="D14" s="745" t="s">
        <v>684</v>
      </c>
      <c r="E14" s="661"/>
      <c r="F14" s="661"/>
      <c r="G14" s="661"/>
      <c r="H14" s="746"/>
      <c r="I14" s="746"/>
      <c r="J14" s="746"/>
      <c r="K14" s="747"/>
      <c r="L14" s="654"/>
      <c r="M14" s="538"/>
      <c r="N14" s="654"/>
      <c r="O14" s="654"/>
    </row>
    <row r="15" spans="1:15" s="355" customFormat="1" ht="13.5">
      <c r="A15" s="301" t="s">
        <v>649</v>
      </c>
      <c r="B15" s="302" t="s">
        <v>650</v>
      </c>
      <c r="C15" s="654"/>
      <c r="D15" s="501" t="s">
        <v>685</v>
      </c>
      <c r="E15" s="661"/>
      <c r="F15" s="661"/>
      <c r="G15" s="661"/>
      <c r="H15" s="608"/>
      <c r="I15" s="608"/>
      <c r="J15" s="651"/>
      <c r="K15" s="656"/>
      <c r="L15" s="654"/>
      <c r="M15" s="538"/>
      <c r="N15" s="654"/>
      <c r="O15" s="654"/>
    </row>
    <row r="16" spans="1:15" s="355" customFormat="1" ht="13.5">
      <c r="A16" s="301" t="s">
        <v>649</v>
      </c>
      <c r="B16" s="302" t="s">
        <v>650</v>
      </c>
      <c r="C16" s="654"/>
      <c r="D16" s="501" t="s">
        <v>686</v>
      </c>
      <c r="E16" s="661"/>
      <c r="F16" s="661"/>
      <c r="G16" s="661"/>
      <c r="H16" s="608"/>
      <c r="I16" s="608"/>
      <c r="J16" s="651"/>
      <c r="K16" s="656"/>
      <c r="L16" s="654"/>
      <c r="M16" s="538"/>
      <c r="N16" s="654"/>
      <c r="O16" s="654"/>
    </row>
    <row r="17" spans="1:15" s="355" customFormat="1" ht="27">
      <c r="A17" s="301" t="s">
        <v>649</v>
      </c>
      <c r="B17" s="302" t="s">
        <v>650</v>
      </c>
      <c r="C17" s="654"/>
      <c r="D17" s="501" t="s">
        <v>687</v>
      </c>
      <c r="E17" s="661"/>
      <c r="F17" s="661"/>
      <c r="G17" s="661"/>
      <c r="H17" s="608"/>
      <c r="I17" s="608"/>
      <c r="J17" s="651"/>
      <c r="K17" s="656"/>
      <c r="L17" s="654"/>
      <c r="M17" s="538"/>
      <c r="N17" s="654"/>
      <c r="O17" s="654"/>
    </row>
    <row r="18" spans="1:15" s="355" customFormat="1" ht="27">
      <c r="A18" s="301" t="s">
        <v>649</v>
      </c>
      <c r="B18" s="302" t="s">
        <v>650</v>
      </c>
      <c r="C18" s="654"/>
      <c r="D18" s="501" t="s">
        <v>688</v>
      </c>
      <c r="E18" s="661"/>
      <c r="F18" s="661"/>
      <c r="G18" s="661"/>
      <c r="H18" s="608"/>
      <c r="I18" s="608"/>
      <c r="J18" s="651"/>
      <c r="K18" s="656"/>
      <c r="L18" s="654"/>
      <c r="M18" s="538"/>
      <c r="N18" s="654"/>
      <c r="O18" s="654"/>
    </row>
    <row r="19" spans="1:15" s="355" customFormat="1" ht="27">
      <c r="A19" s="301" t="s">
        <v>649</v>
      </c>
      <c r="B19" s="302" t="s">
        <v>650</v>
      </c>
      <c r="C19" s="654"/>
      <c r="D19" s="501" t="s">
        <v>689</v>
      </c>
      <c r="E19" s="661"/>
      <c r="F19" s="661"/>
      <c r="G19" s="661"/>
      <c r="H19" s="2346"/>
      <c r="I19" s="651"/>
      <c r="J19" s="651"/>
      <c r="K19" s="656"/>
      <c r="L19" s="654"/>
      <c r="M19" s="538"/>
      <c r="N19" s="654"/>
      <c r="O19" s="654"/>
    </row>
    <row r="20" spans="1:15" s="355" customFormat="1" ht="13.5">
      <c r="A20" s="301" t="s">
        <v>649</v>
      </c>
      <c r="B20" s="302" t="s">
        <v>650</v>
      </c>
      <c r="C20" s="654"/>
      <c r="D20" s="501" t="s">
        <v>690</v>
      </c>
      <c r="E20" s="661"/>
      <c r="F20" s="661"/>
      <c r="G20" s="661"/>
      <c r="H20" s="2346"/>
      <c r="I20" s="651"/>
      <c r="J20" s="651"/>
      <c r="K20" s="656"/>
      <c r="L20" s="654"/>
      <c r="M20" s="538"/>
      <c r="N20" s="654"/>
      <c r="O20" s="654"/>
    </row>
    <row r="21" spans="1:15" s="355" customFormat="1" ht="13.5">
      <c r="A21" s="301" t="s">
        <v>649</v>
      </c>
      <c r="B21" s="302" t="s">
        <v>650</v>
      </c>
      <c r="C21" s="654"/>
      <c r="D21" s="501" t="s">
        <v>691</v>
      </c>
      <c r="E21" s="661"/>
      <c r="F21" s="661"/>
      <c r="G21" s="661"/>
      <c r="H21" s="2346"/>
      <c r="I21" s="651"/>
      <c r="J21" s="651"/>
      <c r="K21" s="656"/>
      <c r="L21" s="654"/>
      <c r="M21" s="538"/>
      <c r="N21" s="654"/>
      <c r="O21" s="654"/>
    </row>
    <row r="22" spans="1:15" s="355" customFormat="1" ht="27">
      <c r="A22" s="301" t="s">
        <v>649</v>
      </c>
      <c r="B22" s="302" t="s">
        <v>650</v>
      </c>
      <c r="C22" s="654"/>
      <c r="D22" s="501" t="s">
        <v>692</v>
      </c>
      <c r="E22" s="661"/>
      <c r="F22" s="661"/>
      <c r="G22" s="661"/>
      <c r="H22" s="2346"/>
      <c r="I22" s="651"/>
      <c r="J22" s="651"/>
      <c r="K22" s="656"/>
      <c r="L22" s="654"/>
      <c r="M22" s="538"/>
      <c r="N22" s="654"/>
      <c r="O22" s="654"/>
    </row>
    <row r="23" spans="1:15" s="355" customFormat="1" ht="13.5">
      <c r="A23" s="301" t="s">
        <v>649</v>
      </c>
      <c r="B23" s="302" t="s">
        <v>650</v>
      </c>
      <c r="C23" s="654"/>
      <c r="D23" s="501" t="s">
        <v>693</v>
      </c>
      <c r="E23" s="661"/>
      <c r="F23" s="661"/>
      <c r="G23" s="661"/>
      <c r="H23" s="2346"/>
      <c r="I23" s="651"/>
      <c r="J23" s="651"/>
      <c r="K23" s="656"/>
      <c r="L23" s="654"/>
      <c r="M23" s="538"/>
      <c r="N23" s="654"/>
      <c r="O23" s="654"/>
    </row>
    <row r="24" spans="1:15" s="355" customFormat="1" ht="13.5">
      <c r="A24" s="301" t="s">
        <v>649</v>
      </c>
      <c r="B24" s="302" t="s">
        <v>650</v>
      </c>
      <c r="C24" s="654"/>
      <c r="D24" s="501" t="s">
        <v>694</v>
      </c>
      <c r="E24" s="661"/>
      <c r="F24" s="661"/>
      <c r="G24" s="661"/>
      <c r="H24" s="2346"/>
      <c r="I24" s="651"/>
      <c r="J24" s="651"/>
      <c r="K24" s="656"/>
      <c r="L24" s="654"/>
      <c r="M24" s="538"/>
      <c r="N24" s="654"/>
      <c r="O24" s="654"/>
    </row>
    <row r="25" spans="1:15" s="355" customFormat="1" ht="13.5">
      <c r="A25" s="301" t="s">
        <v>649</v>
      </c>
      <c r="B25" s="302" t="s">
        <v>650</v>
      </c>
      <c r="C25" s="654"/>
      <c r="D25" s="501" t="s">
        <v>695</v>
      </c>
      <c r="E25" s="661"/>
      <c r="F25" s="661"/>
      <c r="G25" s="661"/>
      <c r="H25" s="2346"/>
      <c r="I25" s="651"/>
      <c r="J25" s="651"/>
      <c r="K25" s="656"/>
      <c r="L25" s="654"/>
      <c r="M25" s="538"/>
      <c r="N25" s="654"/>
      <c r="O25" s="654"/>
    </row>
    <row r="26" spans="1:15" s="355" customFormat="1" ht="13.5">
      <c r="A26" s="301" t="s">
        <v>649</v>
      </c>
      <c r="B26" s="302" t="s">
        <v>650</v>
      </c>
      <c r="C26" s="654"/>
      <c r="D26" s="501" t="s">
        <v>696</v>
      </c>
      <c r="E26" s="661"/>
      <c r="F26" s="661"/>
      <c r="G26" s="661"/>
      <c r="H26" s="2346"/>
      <c r="I26" s="651"/>
      <c r="J26" s="651"/>
      <c r="K26" s="656"/>
      <c r="L26" s="654"/>
      <c r="M26" s="538"/>
      <c r="N26" s="654"/>
      <c r="O26" s="654"/>
    </row>
    <row r="27" spans="1:15" s="355" customFormat="1" ht="13.5">
      <c r="A27" s="301" t="s">
        <v>649</v>
      </c>
      <c r="B27" s="302" t="s">
        <v>650</v>
      </c>
      <c r="C27" s="654"/>
      <c r="D27" s="501" t="s">
        <v>697</v>
      </c>
      <c r="E27" s="661"/>
      <c r="F27" s="661"/>
      <c r="G27" s="661"/>
      <c r="H27" s="2346"/>
      <c r="I27" s="651"/>
      <c r="J27" s="651"/>
      <c r="K27" s="656"/>
      <c r="L27" s="654"/>
      <c r="M27" s="538"/>
      <c r="N27" s="654"/>
      <c r="O27" s="654"/>
    </row>
    <row r="28" spans="1:15" s="355" customFormat="1" ht="14.25" customHeight="1">
      <c r="A28" s="301" t="s">
        <v>649</v>
      </c>
      <c r="B28" s="302" t="s">
        <v>650</v>
      </c>
      <c r="C28" s="654"/>
      <c r="D28" s="501" t="s">
        <v>698</v>
      </c>
      <c r="E28" s="661"/>
      <c r="F28" s="661"/>
      <c r="G28" s="661"/>
      <c r="H28" s="2346"/>
      <c r="I28" s="651"/>
      <c r="J28" s="651"/>
      <c r="K28" s="656"/>
      <c r="L28" s="654"/>
      <c r="M28" s="538"/>
      <c r="N28" s="654"/>
      <c r="O28" s="654"/>
    </row>
    <row r="29" spans="1:15" s="355" customFormat="1" ht="13.5">
      <c r="C29" s="438"/>
      <c r="D29" s="350"/>
      <c r="E29" s="351"/>
      <c r="F29" s="350"/>
      <c r="G29" s="350"/>
      <c r="H29" s="352"/>
      <c r="I29" s="352"/>
      <c r="J29" s="352"/>
      <c r="K29" s="352"/>
      <c r="L29" s="409"/>
      <c r="M29" s="770"/>
      <c r="N29" s="352"/>
    </row>
    <row r="30" spans="1:15" s="355" customFormat="1" ht="13.5">
      <c r="C30" s="438"/>
      <c r="D30" s="350"/>
      <c r="E30" s="351"/>
      <c r="F30" s="350"/>
      <c r="G30" s="350"/>
      <c r="H30" s="352"/>
      <c r="I30" s="352"/>
      <c r="J30" s="352"/>
      <c r="K30" s="352"/>
      <c r="L30" s="409"/>
      <c r="M30" s="770"/>
      <c r="N30" s="352"/>
    </row>
    <row r="31" spans="1:15" s="355" customFormat="1" ht="13.5">
      <c r="C31" s="438"/>
      <c r="D31" s="350"/>
      <c r="E31" s="351"/>
      <c r="F31" s="350"/>
      <c r="G31" s="350"/>
      <c r="H31" s="352"/>
      <c r="I31" s="352"/>
      <c r="J31" s="352"/>
      <c r="K31" s="352"/>
      <c r="L31" s="409"/>
      <c r="M31" s="770"/>
      <c r="N31" s="352"/>
    </row>
    <row r="32" spans="1:15" s="355" customFormat="1" ht="13.5">
      <c r="C32" s="438"/>
      <c r="D32" s="350"/>
      <c r="E32" s="351"/>
      <c r="F32" s="350"/>
      <c r="G32" s="350"/>
      <c r="H32" s="352"/>
      <c r="I32" s="352"/>
      <c r="J32" s="352"/>
      <c r="K32" s="352"/>
      <c r="L32" s="409"/>
      <c r="M32" s="770"/>
      <c r="N32" s="352"/>
    </row>
    <row r="33" spans="3:15" s="355" customFormat="1" ht="13.5">
      <c r="C33" s="438"/>
      <c r="D33" s="350"/>
      <c r="E33" s="351"/>
      <c r="F33" s="350"/>
      <c r="G33" s="350"/>
      <c r="H33" s="352"/>
      <c r="I33" s="352"/>
      <c r="J33" s="352"/>
      <c r="K33" s="352"/>
      <c r="L33" s="409"/>
      <c r="M33" s="770"/>
      <c r="N33" s="352"/>
    </row>
    <row r="34" spans="3:15" s="355" customFormat="1" ht="15.75">
      <c r="C34" s="438"/>
      <c r="D34" s="350"/>
      <c r="E34" s="351"/>
      <c r="F34" s="350"/>
      <c r="G34" s="350"/>
      <c r="H34" s="352"/>
      <c r="I34" s="352"/>
      <c r="J34" s="352"/>
      <c r="K34" s="352"/>
      <c r="L34" s="2390">
        <f>SUM(L6:L33)</f>
        <v>1000000</v>
      </c>
      <c r="M34" s="770"/>
      <c r="N34" s="352"/>
    </row>
    <row r="35" spans="3:15" s="355" customFormat="1" ht="13.5">
      <c r="C35" s="438"/>
      <c r="D35" s="350"/>
      <c r="E35" s="351"/>
      <c r="F35" s="350"/>
      <c r="G35" s="350"/>
      <c r="H35" s="352"/>
      <c r="I35" s="352"/>
      <c r="J35" s="352"/>
      <c r="K35" s="352"/>
      <c r="L35" s="409"/>
      <c r="M35" s="770"/>
      <c r="N35" s="352"/>
    </row>
    <row r="36" spans="3:15">
      <c r="C36" s="58"/>
      <c r="D36" s="90"/>
      <c r="E36" s="94"/>
      <c r="F36" s="90"/>
      <c r="G36" s="90"/>
      <c r="H36" s="91"/>
      <c r="I36" s="91"/>
      <c r="J36" s="91"/>
      <c r="K36" s="91"/>
      <c r="L36" s="101"/>
      <c r="M36" s="93"/>
      <c r="N36" s="91"/>
      <c r="O36" s="124"/>
    </row>
    <row r="37" spans="3:15">
      <c r="C37" s="8"/>
      <c r="D37" s="8"/>
      <c r="E37" s="7"/>
      <c r="F37" s="6"/>
      <c r="G37" s="6"/>
      <c r="H37" s="5"/>
      <c r="I37" s="5"/>
      <c r="J37" s="5"/>
      <c r="K37" s="6"/>
      <c r="L37" s="178"/>
      <c r="M37" s="6"/>
      <c r="N37" s="2"/>
    </row>
    <row r="38" spans="3:15">
      <c r="C38" s="8"/>
      <c r="D38" s="8"/>
      <c r="E38" s="7"/>
      <c r="F38" s="6"/>
      <c r="G38" s="6"/>
      <c r="H38" s="5"/>
      <c r="I38" s="5"/>
      <c r="J38" s="5"/>
      <c r="K38" s="6"/>
      <c r="L38" s="178"/>
      <c r="M38" s="6"/>
      <c r="N38" s="2"/>
    </row>
    <row r="39" spans="3:15">
      <c r="C39" s="8"/>
      <c r="D39" s="8"/>
      <c r="E39" s="7"/>
      <c r="F39" s="6"/>
      <c r="G39" s="6"/>
      <c r="H39" s="5"/>
      <c r="I39" s="5"/>
      <c r="J39" s="5"/>
      <c r="K39" s="6"/>
      <c r="L39" s="178"/>
      <c r="M39" s="6"/>
      <c r="N39" s="2"/>
    </row>
    <row r="40" spans="3:15">
      <c r="C40" s="8"/>
      <c r="D40" s="8"/>
      <c r="E40" s="7"/>
      <c r="F40" s="6"/>
      <c r="G40" s="6"/>
      <c r="H40" s="5"/>
      <c r="I40" s="5"/>
      <c r="J40" s="5"/>
      <c r="K40" s="6"/>
      <c r="L40" s="178"/>
      <c r="M40" s="6"/>
      <c r="N40" s="2"/>
    </row>
    <row r="41" spans="3:15">
      <c r="C41" s="8"/>
      <c r="D41" s="8"/>
      <c r="E41" s="7"/>
      <c r="F41" s="6"/>
      <c r="G41" s="6"/>
      <c r="H41" s="5"/>
      <c r="I41" s="5"/>
      <c r="J41" s="5"/>
      <c r="K41" s="6"/>
      <c r="L41" s="178"/>
      <c r="M41" s="6"/>
      <c r="N41" s="2"/>
    </row>
    <row r="42" spans="3:15">
      <c r="C42" s="8"/>
      <c r="D42" s="8"/>
      <c r="E42" s="7"/>
      <c r="F42" s="6"/>
      <c r="G42" s="6"/>
      <c r="H42" s="5"/>
      <c r="I42" s="5"/>
      <c r="J42" s="5"/>
      <c r="K42" s="6"/>
      <c r="L42" s="178"/>
      <c r="M42" s="6"/>
      <c r="N42" s="2"/>
    </row>
    <row r="43" spans="3:15">
      <c r="C43" s="8"/>
      <c r="D43" s="8"/>
      <c r="E43" s="7"/>
      <c r="F43" s="6"/>
      <c r="G43" s="6"/>
      <c r="H43" s="5"/>
      <c r="I43" s="5"/>
      <c r="J43" s="5"/>
      <c r="K43" s="6"/>
      <c r="L43" s="178"/>
      <c r="M43" s="6"/>
      <c r="N43" s="2"/>
    </row>
    <row r="44" spans="3:15">
      <c r="C44" s="8"/>
      <c r="D44" s="8"/>
      <c r="E44" s="7"/>
      <c r="F44" s="6"/>
      <c r="G44" s="6"/>
      <c r="H44" s="5"/>
      <c r="I44" s="5"/>
      <c r="J44" s="5"/>
      <c r="K44" s="6"/>
      <c r="L44" s="108"/>
      <c r="M44" s="6"/>
      <c r="N44" s="2"/>
    </row>
    <row r="45" spans="3:15">
      <c r="C45" s="8"/>
      <c r="D45" s="8"/>
      <c r="E45" s="7"/>
      <c r="F45" s="6"/>
      <c r="G45" s="6"/>
      <c r="H45" s="5"/>
      <c r="I45" s="5"/>
      <c r="J45" s="5"/>
      <c r="K45" s="6"/>
      <c r="L45" s="178"/>
      <c r="M45" s="6"/>
      <c r="N45" s="2"/>
    </row>
    <row r="46" spans="3:15">
      <c r="C46" s="8"/>
      <c r="D46" s="8"/>
      <c r="E46" s="7"/>
      <c r="F46" s="6"/>
      <c r="G46" s="6"/>
      <c r="H46" s="5"/>
      <c r="I46" s="5"/>
      <c r="J46" s="5"/>
      <c r="K46" s="6"/>
      <c r="L46" s="178"/>
      <c r="M46" s="6"/>
      <c r="N46" s="2"/>
    </row>
    <row r="47" spans="3:15">
      <c r="C47" s="8"/>
      <c r="D47" s="8"/>
      <c r="E47" s="7"/>
      <c r="F47" s="6"/>
      <c r="G47" s="6"/>
      <c r="H47" s="5"/>
      <c r="I47" s="5"/>
      <c r="J47" s="5"/>
      <c r="K47" s="6"/>
      <c r="L47" s="178"/>
      <c r="M47" s="6"/>
      <c r="N47" s="2"/>
    </row>
    <row r="48" spans="3:15">
      <c r="C48" s="8"/>
      <c r="D48" s="8"/>
      <c r="E48" s="7"/>
      <c r="F48" s="6"/>
      <c r="G48" s="6"/>
      <c r="H48" s="5"/>
      <c r="I48" s="5"/>
      <c r="J48" s="5"/>
      <c r="K48" s="6"/>
      <c r="L48" s="178"/>
      <c r="M48" s="6"/>
      <c r="N48" s="2"/>
    </row>
    <row r="49" spans="3:14">
      <c r="C49" s="8"/>
      <c r="D49" s="8"/>
      <c r="E49" s="7"/>
      <c r="F49" s="6"/>
      <c r="G49" s="6"/>
      <c r="H49" s="5"/>
      <c r="I49" s="5"/>
      <c r="J49" s="5"/>
      <c r="K49" s="6"/>
      <c r="L49" s="178"/>
      <c r="M49" s="6"/>
      <c r="N49" s="2"/>
    </row>
    <row r="50" spans="3:14" ht="14.25" customHeight="1">
      <c r="C50" s="8"/>
      <c r="D50" s="8"/>
      <c r="E50" s="7"/>
      <c r="F50" s="6"/>
      <c r="G50" s="6"/>
      <c r="H50" s="5"/>
      <c r="I50" s="5"/>
      <c r="J50" s="5"/>
      <c r="K50" s="6"/>
      <c r="L50" s="178"/>
      <c r="M50" s="6"/>
      <c r="N50" s="2"/>
    </row>
    <row r="51" spans="3:14" ht="14.25" customHeight="1">
      <c r="C51" s="8"/>
      <c r="D51" s="8"/>
      <c r="E51" s="7"/>
      <c r="F51" s="6"/>
      <c r="G51" s="6"/>
      <c r="H51" s="5"/>
      <c r="I51" s="5"/>
      <c r="J51" s="5"/>
      <c r="K51" s="6"/>
      <c r="L51" s="178"/>
      <c r="M51" s="6"/>
      <c r="N51" s="2"/>
    </row>
    <row r="52" spans="3:14" ht="14.25" customHeight="1">
      <c r="C52" s="8"/>
      <c r="D52" s="8"/>
      <c r="E52" s="7"/>
      <c r="F52" s="6"/>
      <c r="G52" s="6"/>
      <c r="H52" s="5"/>
      <c r="I52" s="5"/>
      <c r="J52" s="5"/>
      <c r="K52" s="6"/>
      <c r="L52" s="178"/>
      <c r="M52" s="6"/>
      <c r="N52" s="2"/>
    </row>
    <row r="53" spans="3:14" ht="14.25" customHeight="1">
      <c r="C53" s="8"/>
      <c r="D53" s="8"/>
      <c r="E53" s="7"/>
      <c r="F53" s="6"/>
      <c r="G53" s="6"/>
      <c r="H53" s="5"/>
      <c r="I53" s="5"/>
      <c r="J53" s="5"/>
      <c r="K53" s="6"/>
      <c r="L53" s="178"/>
      <c r="M53" s="6"/>
      <c r="N53" s="2"/>
    </row>
    <row r="54" spans="3:14" ht="14.25" customHeight="1">
      <c r="C54" s="8"/>
      <c r="D54" s="8"/>
      <c r="E54" s="7"/>
      <c r="F54" s="6"/>
      <c r="G54" s="6"/>
      <c r="H54" s="5"/>
      <c r="I54" s="5"/>
      <c r="J54" s="5"/>
      <c r="K54" s="6"/>
      <c r="L54" s="178"/>
      <c r="M54" s="6"/>
      <c r="N54" s="2"/>
    </row>
    <row r="55" spans="3:14" ht="14.25" customHeight="1">
      <c r="C55" s="8"/>
      <c r="D55" s="8"/>
      <c r="E55" s="7"/>
      <c r="F55" s="6"/>
      <c r="G55" s="6"/>
      <c r="H55" s="5"/>
      <c r="I55" s="5"/>
      <c r="J55" s="5"/>
      <c r="K55" s="6"/>
      <c r="L55" s="178"/>
      <c r="M55" s="6"/>
      <c r="N55" s="2"/>
    </row>
    <row r="56" spans="3:14" ht="14.25" customHeight="1">
      <c r="C56" s="8"/>
      <c r="D56" s="8"/>
      <c r="E56" s="7"/>
      <c r="F56" s="6"/>
      <c r="G56" s="6"/>
      <c r="H56" s="5"/>
      <c r="I56" s="5"/>
      <c r="J56" s="5"/>
      <c r="K56" s="6"/>
      <c r="L56" s="178"/>
      <c r="M56" s="6"/>
      <c r="N56" s="2"/>
    </row>
    <row r="57" spans="3:14" ht="14.25" customHeight="1">
      <c r="C57" s="8"/>
      <c r="D57" s="8"/>
      <c r="E57" s="7"/>
      <c r="F57" s="6"/>
      <c r="G57" s="6"/>
      <c r="H57" s="5"/>
      <c r="I57" s="5"/>
      <c r="J57" s="5"/>
      <c r="K57" s="6"/>
      <c r="L57" s="178"/>
      <c r="M57" s="6"/>
      <c r="N57" s="2"/>
    </row>
    <row r="58" spans="3:14" ht="14.25" customHeight="1">
      <c r="C58" s="8"/>
      <c r="D58" s="8"/>
      <c r="E58" s="7"/>
      <c r="F58" s="6"/>
      <c r="G58" s="6"/>
      <c r="H58" s="5"/>
      <c r="I58" s="5"/>
      <c r="J58" s="5"/>
      <c r="K58" s="6"/>
      <c r="L58" s="178"/>
      <c r="M58" s="6"/>
      <c r="N58" s="2"/>
    </row>
    <row r="59" spans="3:14" ht="14.25" customHeight="1">
      <c r="C59" s="8"/>
      <c r="D59" s="8"/>
      <c r="E59" s="7"/>
      <c r="F59" s="6"/>
      <c r="G59" s="6"/>
      <c r="H59" s="5"/>
      <c r="I59" s="5"/>
      <c r="J59" s="5"/>
      <c r="K59" s="6"/>
      <c r="L59" s="178"/>
      <c r="M59" s="6"/>
      <c r="N59" s="2"/>
    </row>
    <row r="60" spans="3:14" ht="14.25" customHeight="1">
      <c r="C60" s="8"/>
      <c r="D60" s="8"/>
      <c r="E60" s="7"/>
      <c r="F60" s="6"/>
      <c r="G60" s="6"/>
      <c r="H60" s="5"/>
      <c r="I60" s="5"/>
      <c r="J60" s="5"/>
      <c r="K60" s="6"/>
      <c r="L60" s="178"/>
      <c r="M60" s="6"/>
      <c r="N60" s="2"/>
    </row>
    <row r="61" spans="3:14" ht="14.25" customHeight="1">
      <c r="C61" s="8"/>
      <c r="D61" s="8"/>
      <c r="E61" s="7"/>
      <c r="F61" s="6"/>
      <c r="G61" s="6"/>
      <c r="H61" s="5"/>
      <c r="I61" s="5"/>
      <c r="J61" s="5"/>
      <c r="K61" s="6"/>
      <c r="L61" s="178"/>
      <c r="M61" s="6"/>
      <c r="N61" s="2"/>
    </row>
    <row r="62" spans="3:14" ht="14.25" customHeight="1">
      <c r="C62" s="8"/>
      <c r="D62" s="8"/>
      <c r="E62" s="7"/>
      <c r="F62" s="6"/>
      <c r="G62" s="6"/>
      <c r="H62" s="5"/>
      <c r="I62" s="5"/>
      <c r="J62" s="5"/>
      <c r="K62" s="6"/>
      <c r="L62" s="178"/>
      <c r="M62" s="6"/>
      <c r="N62" s="2"/>
    </row>
    <row r="63" spans="3:14" ht="14.25" customHeight="1">
      <c r="C63" s="8"/>
      <c r="D63" s="8"/>
      <c r="E63" s="7"/>
      <c r="F63" s="6"/>
      <c r="G63" s="6"/>
      <c r="H63" s="5"/>
      <c r="I63" s="5"/>
      <c r="J63" s="5"/>
      <c r="K63" s="6"/>
      <c r="L63" s="178"/>
      <c r="M63" s="6"/>
      <c r="N63" s="2"/>
    </row>
    <row r="64" spans="3:14" ht="14.25" customHeight="1">
      <c r="C64" s="8"/>
      <c r="D64" s="8"/>
      <c r="E64" s="7"/>
      <c r="F64" s="6"/>
      <c r="G64" s="6"/>
      <c r="H64" s="5"/>
      <c r="I64" s="5"/>
      <c r="J64" s="5"/>
      <c r="K64" s="6"/>
      <c r="L64" s="178"/>
      <c r="M64" s="6"/>
      <c r="N64" s="2"/>
    </row>
    <row r="65" spans="3:14" ht="14.25" customHeight="1">
      <c r="C65" s="8"/>
      <c r="D65" s="8"/>
      <c r="E65" s="7"/>
      <c r="F65" s="6"/>
      <c r="G65" s="6"/>
      <c r="H65" s="5"/>
      <c r="I65" s="5"/>
      <c r="J65" s="5"/>
      <c r="K65" s="6"/>
      <c r="L65" s="178"/>
      <c r="M65" s="3"/>
      <c r="N65" s="2"/>
    </row>
    <row r="66" spans="3:14" ht="14.25" customHeight="1">
      <c r="C66" s="8"/>
      <c r="D66" s="8"/>
      <c r="E66" s="7"/>
      <c r="F66" s="6"/>
      <c r="G66" s="5"/>
      <c r="H66" s="5"/>
      <c r="I66" s="5"/>
      <c r="J66" s="5"/>
      <c r="K66" s="4"/>
      <c r="L66" s="178"/>
      <c r="M66" s="3"/>
      <c r="N66" s="2"/>
    </row>
    <row r="67" spans="3:14" ht="14.25" customHeight="1">
      <c r="C67" s="19"/>
      <c r="D67" s="19"/>
      <c r="E67" s="19"/>
      <c r="F67" s="19"/>
      <c r="G67" s="19"/>
      <c r="H67" s="19"/>
      <c r="I67" s="19"/>
      <c r="J67" s="19"/>
      <c r="K67" s="19"/>
      <c r="L67" s="146"/>
      <c r="M67" s="19"/>
      <c r="N67" s="19"/>
    </row>
    <row r="68" spans="3:14" ht="14.25" customHeight="1">
      <c r="C68" s="31"/>
      <c r="D68" s="27"/>
      <c r="E68" s="20"/>
      <c r="F68" s="28"/>
      <c r="G68" s="28"/>
      <c r="H68" s="26"/>
      <c r="I68" s="26"/>
      <c r="J68" s="26"/>
      <c r="K68" s="28"/>
      <c r="L68" s="179"/>
      <c r="M68" s="28"/>
      <c r="N68" s="27"/>
    </row>
    <row r="69" spans="3:14" s="1" customFormat="1" ht="14.25" customHeight="1">
      <c r="C69" s="31"/>
      <c r="D69" s="27"/>
      <c r="E69" s="21"/>
      <c r="F69" s="28"/>
      <c r="G69" s="28"/>
      <c r="H69" s="26"/>
      <c r="I69" s="26"/>
      <c r="J69" s="26"/>
      <c r="K69" s="28"/>
      <c r="L69" s="179"/>
      <c r="M69" s="28"/>
      <c r="N69" s="27"/>
    </row>
    <row r="70" spans="3:14" s="1" customFormat="1" ht="14.25" customHeight="1">
      <c r="C70" s="30"/>
      <c r="D70" s="25"/>
      <c r="E70" s="21"/>
      <c r="F70" s="22"/>
      <c r="G70" s="22"/>
      <c r="H70" s="23"/>
      <c r="I70" s="23"/>
      <c r="J70" s="23"/>
      <c r="K70" s="22"/>
      <c r="L70" s="180"/>
      <c r="M70" s="22"/>
      <c r="N70" s="25"/>
    </row>
  </sheetData>
  <mergeCells count="5">
    <mergeCell ref="C2:G2"/>
    <mergeCell ref="H2:J2"/>
    <mergeCell ref="K2:L2"/>
    <mergeCell ref="M2:M3"/>
    <mergeCell ref="N2:N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06A37-3F13-4150-B2B5-DC0A799AB304}">
  <sheetPr>
    <tabColor rgb="FFFFC000"/>
  </sheetPr>
  <dimension ref="A2:O102"/>
  <sheetViews>
    <sheetView workbookViewId="0">
      <pane ySplit="4" topLeftCell="A5" activePane="bottomLeft" state="frozen"/>
      <selection pane="bottomLeft" activeCell="L18" sqref="L18"/>
    </sheetView>
  </sheetViews>
  <sheetFormatPr defaultRowHeight="15"/>
  <cols>
    <col min="3" max="3" width="21.42578125" customWidth="1"/>
    <col min="4" max="4" width="20.5703125"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style="99" customWidth="1"/>
    <col min="13" max="13" width="16.28515625" customWidth="1"/>
    <col min="14" max="14" width="12.85546875" customWidth="1"/>
  </cols>
  <sheetData>
    <row r="2" spans="1:15">
      <c r="C2" s="2627" t="s">
        <v>30</v>
      </c>
      <c r="D2" s="2627"/>
      <c r="E2" s="2627"/>
      <c r="F2" s="2627"/>
      <c r="G2" s="2627"/>
      <c r="H2" s="2628" t="s">
        <v>29</v>
      </c>
      <c r="I2" s="2628"/>
      <c r="J2" s="2628"/>
      <c r="K2" s="2627" t="s">
        <v>28</v>
      </c>
      <c r="L2" s="2627"/>
      <c r="M2" s="2628" t="s">
        <v>27</v>
      </c>
      <c r="N2" s="2628" t="s">
        <v>26</v>
      </c>
    </row>
    <row r="3" spans="1:15" ht="72">
      <c r="C3" s="10" t="s">
        <v>25</v>
      </c>
      <c r="D3" s="13" t="s">
        <v>24</v>
      </c>
      <c r="E3" s="12" t="s">
        <v>23</v>
      </c>
      <c r="F3" s="10" t="s">
        <v>22</v>
      </c>
      <c r="G3" s="11" t="s">
        <v>21</v>
      </c>
      <c r="H3" s="11" t="s">
        <v>20</v>
      </c>
      <c r="I3" s="11" t="s">
        <v>19</v>
      </c>
      <c r="J3" s="11" t="s">
        <v>18</v>
      </c>
      <c r="K3" s="10" t="s">
        <v>17</v>
      </c>
      <c r="L3" s="159" t="s">
        <v>16</v>
      </c>
      <c r="M3" s="2628"/>
      <c r="N3" s="2628"/>
    </row>
    <row r="4" spans="1:15">
      <c r="C4" s="9" t="s">
        <v>15</v>
      </c>
      <c r="D4" s="9" t="s">
        <v>14</v>
      </c>
      <c r="E4" s="9" t="s">
        <v>13</v>
      </c>
      <c r="F4" s="9" t="s">
        <v>12</v>
      </c>
      <c r="G4" s="9" t="s">
        <v>11</v>
      </c>
      <c r="H4" s="9" t="s">
        <v>10</v>
      </c>
      <c r="I4" s="9" t="s">
        <v>9</v>
      </c>
      <c r="J4" s="9" t="s">
        <v>8</v>
      </c>
      <c r="K4" s="9" t="s">
        <v>7</v>
      </c>
      <c r="L4" s="160" t="s">
        <v>6</v>
      </c>
      <c r="M4" s="9" t="s">
        <v>5</v>
      </c>
      <c r="N4" s="9" t="s">
        <v>4</v>
      </c>
    </row>
    <row r="5" spans="1:15">
      <c r="C5" s="102"/>
      <c r="D5" s="9"/>
      <c r="E5" s="83"/>
      <c r="F5" s="9"/>
      <c r="G5" s="9"/>
      <c r="H5" s="9"/>
      <c r="I5" s="9"/>
      <c r="J5" s="9"/>
      <c r="K5" s="9"/>
      <c r="L5" s="160"/>
      <c r="M5" s="9"/>
      <c r="N5" s="84"/>
    </row>
    <row r="6" spans="1:15" s="783" customFormat="1" ht="25.9" customHeight="1">
      <c r="A6" s="776" t="s">
        <v>649</v>
      </c>
      <c r="B6" s="777" t="s">
        <v>650</v>
      </c>
      <c r="C6" s="778" t="s">
        <v>1280</v>
      </c>
      <c r="D6" s="782" t="s">
        <v>658</v>
      </c>
      <c r="E6" s="779"/>
      <c r="F6" s="779" t="s">
        <v>422</v>
      </c>
      <c r="G6" s="829" t="s">
        <v>1</v>
      </c>
      <c r="H6" s="780" t="s">
        <v>652</v>
      </c>
      <c r="I6" s="780" t="s">
        <v>653</v>
      </c>
      <c r="J6" s="780" t="s">
        <v>654</v>
      </c>
      <c r="K6" s="781" t="s">
        <v>648</v>
      </c>
      <c r="L6" s="830">
        <v>16200000</v>
      </c>
      <c r="M6" s="782" t="s">
        <v>659</v>
      </c>
      <c r="N6" s="781"/>
    </row>
    <row r="7" spans="1:15" s="783" customFormat="1" ht="14.25" customHeight="1">
      <c r="A7" s="791"/>
      <c r="B7" s="777"/>
      <c r="C7" s="831"/>
      <c r="D7" s="832"/>
      <c r="E7" s="795"/>
      <c r="F7" s="791"/>
      <c r="G7" s="797"/>
      <c r="H7" s="833"/>
      <c r="I7" s="833"/>
      <c r="J7" s="833"/>
      <c r="K7" s="791"/>
      <c r="L7" s="834"/>
      <c r="M7" s="791"/>
      <c r="N7" s="784"/>
      <c r="O7" s="785"/>
    </row>
    <row r="8" spans="1:15" s="783" customFormat="1" ht="14.25" customHeight="1">
      <c r="A8" s="791"/>
      <c r="B8" s="777"/>
      <c r="C8" s="791"/>
      <c r="D8" s="786"/>
      <c r="E8" s="784"/>
      <c r="F8" s="791"/>
      <c r="G8" s="797"/>
      <c r="H8" s="833"/>
      <c r="I8" s="833"/>
      <c r="J8" s="833"/>
      <c r="K8" s="791"/>
      <c r="L8" s="834"/>
      <c r="M8" s="791"/>
      <c r="N8" s="784"/>
      <c r="O8" s="785"/>
    </row>
    <row r="9" spans="1:15" s="783" customFormat="1" ht="14.25" customHeight="1">
      <c r="A9" s="791"/>
      <c r="B9" s="777"/>
      <c r="C9" s="791"/>
      <c r="D9" s="786"/>
      <c r="E9" s="784"/>
      <c r="F9" s="791"/>
      <c r="G9" s="797"/>
      <c r="H9" s="833"/>
      <c r="I9" s="833"/>
      <c r="J9" s="833"/>
      <c r="K9" s="791"/>
      <c r="L9" s="834"/>
      <c r="M9" s="791"/>
      <c r="N9" s="784"/>
      <c r="O9" s="785"/>
    </row>
    <row r="10" spans="1:15" s="783" customFormat="1" ht="14.25" customHeight="1">
      <c r="A10" s="791"/>
      <c r="B10" s="777"/>
      <c r="C10" s="791"/>
      <c r="D10" s="787"/>
      <c r="E10" s="788"/>
      <c r="F10" s="789"/>
      <c r="G10" s="791"/>
      <c r="H10" s="797"/>
      <c r="I10" s="833"/>
      <c r="J10" s="833"/>
      <c r="K10" s="833"/>
      <c r="L10" s="835"/>
      <c r="M10" s="836"/>
      <c r="N10" s="791"/>
      <c r="O10" s="785"/>
    </row>
    <row r="11" spans="1:15" s="783" customFormat="1" ht="14.25" customHeight="1">
      <c r="A11" s="791"/>
      <c r="B11" s="777"/>
      <c r="C11" s="791"/>
      <c r="D11" s="787"/>
      <c r="E11" s="788"/>
      <c r="F11" s="789"/>
      <c r="G11" s="790"/>
      <c r="H11" s="791"/>
      <c r="I11" s="792"/>
      <c r="J11" s="792"/>
      <c r="K11" s="792"/>
      <c r="L11" s="835"/>
      <c r="M11" s="793"/>
      <c r="N11" s="793"/>
      <c r="O11" s="791"/>
    </row>
    <row r="12" spans="1:15" s="783" customFormat="1" ht="14.25" customHeight="1">
      <c r="A12" s="791"/>
      <c r="B12" s="777"/>
      <c r="C12" s="791"/>
      <c r="D12" s="794"/>
      <c r="E12" s="795"/>
      <c r="F12" s="796"/>
      <c r="G12" s="790"/>
      <c r="H12" s="797"/>
      <c r="I12" s="798"/>
      <c r="J12" s="798"/>
      <c r="K12" s="792"/>
      <c r="L12" s="835"/>
      <c r="M12" s="799"/>
      <c r="N12" s="793"/>
      <c r="O12" s="791"/>
    </row>
    <row r="13" spans="1:15" s="783" customFormat="1" ht="14.25" customHeight="1">
      <c r="A13" s="776"/>
      <c r="B13" s="777"/>
      <c r="D13" s="800"/>
      <c r="E13" s="801"/>
      <c r="F13" s="802"/>
      <c r="G13" s="790"/>
      <c r="H13" s="797"/>
      <c r="I13" s="798"/>
      <c r="J13" s="798"/>
      <c r="K13" s="792"/>
      <c r="L13" s="835"/>
      <c r="M13" s="799"/>
      <c r="N13" s="793"/>
      <c r="O13" s="791"/>
    </row>
    <row r="14" spans="1:15" s="783" customFormat="1" ht="14.25" customHeight="1">
      <c r="A14" s="776"/>
      <c r="B14" s="777"/>
      <c r="C14" s="803"/>
      <c r="D14" s="803"/>
      <c r="E14" s="804"/>
      <c r="F14" s="803"/>
      <c r="G14" s="803"/>
      <c r="H14" s="805"/>
      <c r="I14" s="805"/>
      <c r="J14" s="805"/>
      <c r="K14" s="805"/>
      <c r="L14" s="837"/>
      <c r="M14" s="838"/>
      <c r="N14" s="805"/>
      <c r="O14" s="805"/>
    </row>
    <row r="15" spans="1:15" s="783" customFormat="1" ht="14.25" customHeight="1">
      <c r="A15" s="776"/>
      <c r="B15" s="777"/>
      <c r="C15" s="839"/>
      <c r="D15" s="806"/>
      <c r="E15" s="807"/>
      <c r="F15" s="808"/>
      <c r="G15" s="809"/>
      <c r="H15" s="810"/>
      <c r="I15" s="810"/>
      <c r="J15" s="806"/>
      <c r="K15" s="806"/>
      <c r="L15" s="811"/>
      <c r="M15" s="812"/>
      <c r="N15" s="806"/>
      <c r="O15" s="784"/>
    </row>
    <row r="16" spans="1:15" s="783" customFormat="1" ht="14.25" customHeight="1">
      <c r="A16" s="776"/>
      <c r="B16" s="777"/>
      <c r="C16" s="813"/>
      <c r="D16" s="813"/>
      <c r="E16" s="814"/>
      <c r="F16" s="808"/>
      <c r="G16" s="815"/>
      <c r="H16" s="816"/>
      <c r="I16" s="816"/>
      <c r="J16" s="817"/>
      <c r="K16" s="808"/>
      <c r="L16" s="818"/>
      <c r="M16" s="813"/>
      <c r="N16" s="813"/>
    </row>
    <row r="17" spans="1:15" s="783" customFormat="1" ht="14.25" customHeight="1">
      <c r="A17" s="776"/>
      <c r="B17" s="777"/>
      <c r="C17" s="813"/>
      <c r="D17" s="813"/>
      <c r="E17" s="814"/>
      <c r="F17" s="808"/>
      <c r="G17" s="815"/>
      <c r="H17" s="816"/>
      <c r="I17" s="816"/>
      <c r="J17" s="813"/>
      <c r="K17" s="819"/>
      <c r="L17" s="818"/>
      <c r="M17" s="808"/>
      <c r="N17" s="813"/>
    </row>
    <row r="18" spans="1:15" s="783" customFormat="1" ht="14.25" customHeight="1">
      <c r="A18" s="776"/>
      <c r="B18" s="777"/>
      <c r="C18" s="813"/>
      <c r="D18" s="813"/>
      <c r="E18" s="814"/>
      <c r="F18" s="808"/>
      <c r="G18" s="815"/>
      <c r="H18" s="813"/>
      <c r="I18" s="813"/>
      <c r="J18" s="813"/>
      <c r="K18" s="813"/>
      <c r="L18" s="2391">
        <f>SUM(L6:L17)</f>
        <v>16200000</v>
      </c>
      <c r="M18" s="813"/>
      <c r="N18" s="813"/>
    </row>
    <row r="19" spans="1:15" s="783" customFormat="1" ht="14.25" customHeight="1">
      <c r="A19" s="840"/>
      <c r="B19" s="777"/>
      <c r="C19" s="840"/>
      <c r="D19" s="820"/>
      <c r="E19" s="821"/>
      <c r="F19" s="840"/>
      <c r="G19" s="841"/>
      <c r="H19" s="842"/>
      <c r="I19" s="842"/>
      <c r="J19" s="842"/>
      <c r="K19" s="840"/>
      <c r="L19" s="843"/>
      <c r="M19" s="840"/>
      <c r="N19" s="822"/>
    </row>
    <row r="20" spans="1:15" s="783" customFormat="1" ht="14.25" customHeight="1">
      <c r="A20" s="840"/>
      <c r="B20" s="777"/>
      <c r="C20" s="840"/>
      <c r="D20" s="823"/>
      <c r="E20" s="824"/>
      <c r="F20" s="825"/>
      <c r="G20" s="840"/>
      <c r="H20" s="841"/>
      <c r="I20" s="842"/>
      <c r="J20" s="842"/>
      <c r="K20" s="842"/>
      <c r="L20" s="844"/>
      <c r="M20" s="845"/>
      <c r="N20" s="840"/>
      <c r="O20" s="822"/>
    </row>
    <row r="21" spans="1:15" s="783" customFormat="1" ht="14.25" customHeight="1">
      <c r="A21" s="840"/>
      <c r="B21" s="777"/>
      <c r="D21" s="823"/>
      <c r="E21" s="824"/>
      <c r="F21" s="825"/>
      <c r="G21" s="840"/>
      <c r="H21" s="841"/>
      <c r="I21" s="842"/>
      <c r="J21" s="842"/>
      <c r="K21" s="842"/>
      <c r="L21" s="844"/>
      <c r="M21" s="845"/>
      <c r="N21" s="840"/>
      <c r="O21" s="822"/>
    </row>
    <row r="22" spans="1:15" s="783" customFormat="1" ht="27" customHeight="1">
      <c r="A22" s="840"/>
      <c r="B22" s="777"/>
      <c r="C22" s="846"/>
      <c r="D22" s="847"/>
      <c r="E22" s="826"/>
      <c r="F22" s="847"/>
      <c r="G22" s="848"/>
      <c r="H22" s="849"/>
      <c r="I22" s="849"/>
      <c r="J22" s="849"/>
      <c r="K22" s="847"/>
      <c r="L22" s="850"/>
      <c r="M22" s="847"/>
      <c r="N22" s="784"/>
      <c r="O22" s="827"/>
    </row>
    <row r="23" spans="1:15" s="783" customFormat="1" ht="14.25" customHeight="1">
      <c r="A23" s="840"/>
      <c r="B23" s="777"/>
      <c r="C23" s="791"/>
      <c r="D23" s="828"/>
      <c r="E23" s="828"/>
      <c r="F23" s="791"/>
      <c r="G23" s="797"/>
      <c r="H23" s="833"/>
      <c r="I23" s="833"/>
      <c r="J23" s="833"/>
      <c r="K23" s="791"/>
      <c r="L23" s="834"/>
      <c r="M23" s="791"/>
      <c r="N23" s="784"/>
      <c r="O23" s="785"/>
    </row>
    <row r="24" spans="1:15" ht="14.25" customHeight="1">
      <c r="A24" s="125"/>
      <c r="B24" s="63"/>
      <c r="C24" s="58"/>
      <c r="D24" s="78"/>
      <c r="E24" s="79"/>
      <c r="F24" s="58"/>
      <c r="G24" s="59"/>
      <c r="H24" s="60"/>
      <c r="I24" s="60"/>
      <c r="J24" s="60"/>
      <c r="K24" s="58"/>
      <c r="L24" s="64"/>
      <c r="M24" s="58"/>
      <c r="N24" s="19"/>
      <c r="O24" s="62"/>
    </row>
    <row r="25" spans="1:15" ht="14.25" customHeight="1">
      <c r="A25" s="125"/>
      <c r="B25" s="63"/>
      <c r="C25" s="58"/>
      <c r="D25" s="78"/>
      <c r="E25" s="79"/>
      <c r="F25" s="58"/>
      <c r="G25" s="59"/>
      <c r="H25" s="60"/>
      <c r="I25" s="60"/>
      <c r="J25" s="60"/>
      <c r="K25" s="58"/>
      <c r="L25" s="64"/>
      <c r="M25" s="58"/>
      <c r="N25" s="19"/>
      <c r="O25" s="62"/>
    </row>
    <row r="26" spans="1:15" ht="14.25" customHeight="1">
      <c r="A26" s="125"/>
      <c r="B26" s="63"/>
      <c r="C26" s="58"/>
      <c r="D26" s="78"/>
      <c r="E26" s="79"/>
      <c r="F26" s="58"/>
      <c r="G26" s="59"/>
      <c r="H26" s="60"/>
      <c r="I26" s="60"/>
      <c r="J26" s="60"/>
      <c r="K26" s="58"/>
      <c r="L26" s="64"/>
      <c r="M26" s="58"/>
      <c r="N26" s="19"/>
      <c r="O26" s="62"/>
    </row>
    <row r="27" spans="1:15" ht="14.25" customHeight="1">
      <c r="A27" s="125"/>
      <c r="B27" s="63"/>
      <c r="C27" s="58"/>
      <c r="D27" s="90"/>
      <c r="E27" s="94"/>
      <c r="F27" s="90"/>
      <c r="G27" s="90"/>
      <c r="H27" s="91"/>
      <c r="I27" s="91"/>
      <c r="J27" s="91"/>
      <c r="K27" s="91"/>
      <c r="L27" s="101"/>
      <c r="M27" s="93"/>
      <c r="N27" s="91"/>
      <c r="O27" s="91"/>
    </row>
    <row r="28" spans="1:15" ht="14.25" customHeight="1">
      <c r="A28" s="125"/>
      <c r="B28" s="63"/>
      <c r="C28" s="58"/>
      <c r="D28" s="90"/>
      <c r="E28" s="94"/>
      <c r="F28" s="90"/>
      <c r="G28" s="90"/>
      <c r="H28" s="91"/>
      <c r="I28" s="91"/>
      <c r="J28" s="91"/>
      <c r="K28" s="91"/>
      <c r="L28" s="101"/>
      <c r="M28" s="93"/>
      <c r="N28" s="91"/>
      <c r="O28" s="124"/>
    </row>
    <row r="29" spans="1:15" ht="22.5" customHeight="1">
      <c r="A29" s="125"/>
      <c r="B29" s="63"/>
      <c r="C29" s="86"/>
      <c r="D29" s="87"/>
      <c r="E29" s="95"/>
      <c r="F29" s="87"/>
      <c r="G29" s="88"/>
      <c r="H29" s="89"/>
      <c r="I29" s="89"/>
      <c r="J29" s="89"/>
      <c r="K29" s="87"/>
      <c r="L29" s="98"/>
      <c r="M29" s="87"/>
      <c r="N29" s="19"/>
      <c r="O29" s="77"/>
    </row>
    <row r="30" spans="1:15" ht="14.25" customHeight="1">
      <c r="A30" s="125"/>
      <c r="B30" s="63"/>
      <c r="C30" s="58"/>
      <c r="D30" s="96"/>
      <c r="E30" s="97"/>
      <c r="F30" s="58"/>
      <c r="G30" s="59"/>
      <c r="H30" s="60"/>
      <c r="I30" s="60"/>
      <c r="J30" s="60"/>
      <c r="K30" s="58"/>
      <c r="L30" s="64"/>
      <c r="M30" s="58"/>
      <c r="N30" s="19"/>
      <c r="O30" s="62"/>
    </row>
    <row r="31" spans="1:15" ht="14.25" customHeight="1">
      <c r="A31" s="125"/>
      <c r="B31" s="63"/>
      <c r="C31" s="58"/>
      <c r="D31" s="79"/>
      <c r="E31" s="81"/>
      <c r="F31" s="58"/>
      <c r="G31" s="59"/>
      <c r="H31" s="60"/>
      <c r="I31" s="60"/>
      <c r="J31" s="60"/>
      <c r="K31" s="58"/>
      <c r="L31" s="64"/>
      <c r="M31" s="58"/>
      <c r="N31" s="19"/>
      <c r="O31" s="62"/>
    </row>
    <row r="32" spans="1:15">
      <c r="A32" s="125"/>
      <c r="B32" s="63"/>
      <c r="C32" s="58"/>
      <c r="D32" s="79"/>
      <c r="E32" s="81"/>
      <c r="F32" s="58"/>
      <c r="G32" s="59"/>
      <c r="H32" s="60"/>
      <c r="I32" s="60"/>
      <c r="J32" s="60"/>
      <c r="K32" s="58"/>
      <c r="L32" s="64"/>
      <c r="M32" s="58"/>
      <c r="N32" s="19"/>
      <c r="O32" s="62"/>
    </row>
    <row r="33" spans="1:15">
      <c r="A33" s="125"/>
      <c r="B33" s="63"/>
      <c r="C33" s="58"/>
      <c r="D33" s="78"/>
      <c r="E33" s="79"/>
      <c r="F33" s="58"/>
      <c r="G33" s="59"/>
      <c r="H33" s="60"/>
      <c r="I33" s="60"/>
      <c r="J33" s="60"/>
      <c r="K33" s="58"/>
      <c r="L33" s="64"/>
      <c r="M33" s="58"/>
      <c r="N33" s="19"/>
      <c r="O33" s="62"/>
    </row>
    <row r="34" spans="1:15">
      <c r="C34" s="58"/>
      <c r="D34" s="90"/>
      <c r="E34" s="94"/>
      <c r="F34" s="90"/>
      <c r="G34" s="91"/>
      <c r="H34" s="91"/>
      <c r="I34" s="91"/>
      <c r="J34" s="91"/>
      <c r="K34" s="92"/>
      <c r="L34" s="101"/>
      <c r="M34" s="91"/>
      <c r="N34" s="19"/>
      <c r="O34" s="91"/>
    </row>
    <row r="35" spans="1:15">
      <c r="A35" s="125"/>
      <c r="B35" s="63"/>
      <c r="C35" s="86"/>
      <c r="D35" s="87"/>
      <c r="E35" s="95"/>
      <c r="F35" s="87"/>
      <c r="G35" s="88"/>
      <c r="H35" s="89"/>
      <c r="I35" s="89"/>
      <c r="J35" s="89"/>
      <c r="K35" s="87"/>
      <c r="L35" s="98"/>
      <c r="M35" s="87"/>
      <c r="N35" s="19"/>
      <c r="O35" s="77"/>
    </row>
    <row r="36" spans="1:15">
      <c r="A36" s="125"/>
      <c r="B36" s="63"/>
      <c r="C36" s="58"/>
      <c r="D36" s="96"/>
      <c r="E36" s="96"/>
      <c r="F36" s="58"/>
      <c r="G36" s="59"/>
      <c r="H36" s="60"/>
      <c r="I36" s="60"/>
      <c r="J36" s="60"/>
      <c r="K36" s="58"/>
      <c r="L36" s="64"/>
      <c r="M36" s="58"/>
      <c r="N36" s="19"/>
      <c r="O36" s="62"/>
    </row>
    <row r="37" spans="1:15">
      <c r="A37" s="125"/>
      <c r="B37" s="63"/>
      <c r="C37" s="58"/>
      <c r="D37" s="78"/>
      <c r="E37" s="79"/>
      <c r="F37" s="80"/>
      <c r="G37" s="58"/>
      <c r="H37" s="59"/>
      <c r="I37" s="60"/>
      <c r="J37" s="60"/>
      <c r="K37" s="60"/>
      <c r="L37" s="100"/>
      <c r="M37" s="61"/>
      <c r="N37" s="58"/>
      <c r="O37" s="62"/>
    </row>
    <row r="38" spans="1:15">
      <c r="A38" s="125"/>
      <c r="B38" s="63"/>
      <c r="C38" s="58"/>
      <c r="D38" s="78"/>
      <c r="E38" s="79"/>
      <c r="F38" s="80"/>
      <c r="G38" s="58"/>
      <c r="H38" s="59"/>
      <c r="I38" s="60"/>
      <c r="J38" s="60"/>
      <c r="K38" s="60"/>
      <c r="L38" s="100"/>
      <c r="M38" s="61"/>
      <c r="N38" s="58"/>
      <c r="O38" s="62"/>
    </row>
    <row r="39" spans="1:15">
      <c r="A39" s="125"/>
      <c r="B39" s="63"/>
      <c r="C39" s="58"/>
      <c r="D39" s="78"/>
      <c r="E39" s="79"/>
      <c r="F39" s="80"/>
      <c r="G39" s="58"/>
      <c r="H39" s="59"/>
      <c r="I39" s="60"/>
      <c r="J39" s="60"/>
      <c r="K39" s="60"/>
      <c r="L39" s="100"/>
      <c r="M39" s="61"/>
      <c r="N39" s="58"/>
      <c r="O39" s="62"/>
    </row>
    <row r="40" spans="1:15">
      <c r="A40" s="125"/>
      <c r="B40" s="63"/>
      <c r="C40" s="58"/>
      <c r="D40" s="90"/>
      <c r="E40" s="94"/>
      <c r="F40" s="90"/>
      <c r="G40" s="90"/>
      <c r="H40" s="91"/>
      <c r="I40" s="91"/>
      <c r="J40" s="91"/>
      <c r="K40" s="91"/>
      <c r="L40" s="101"/>
      <c r="M40" s="93"/>
      <c r="N40" s="91"/>
      <c r="O40" s="124"/>
    </row>
    <row r="41" spans="1:15">
      <c r="A41" s="125"/>
      <c r="B41" s="63"/>
      <c r="C41" s="86"/>
      <c r="D41" s="87"/>
      <c r="E41" s="95"/>
      <c r="F41" s="87"/>
      <c r="G41" s="88"/>
      <c r="H41" s="89"/>
      <c r="I41" s="89"/>
      <c r="J41" s="89"/>
      <c r="K41" s="87"/>
      <c r="L41" s="98"/>
      <c r="M41" s="87"/>
      <c r="N41" s="19"/>
      <c r="O41" s="77"/>
    </row>
    <row r="42" spans="1:15">
      <c r="A42" s="125"/>
      <c r="B42" s="63"/>
      <c r="C42" s="58"/>
      <c r="D42" s="138"/>
      <c r="E42" s="96"/>
      <c r="F42" s="58"/>
      <c r="G42" s="59"/>
      <c r="H42" s="60"/>
      <c r="I42" s="60"/>
      <c r="J42" s="60"/>
      <c r="K42" s="58"/>
      <c r="L42" s="64"/>
      <c r="M42" s="58"/>
      <c r="N42" s="19"/>
      <c r="O42" s="62"/>
    </row>
    <row r="43" spans="1:15">
      <c r="A43" s="125"/>
      <c r="B43" s="63"/>
      <c r="C43" s="58"/>
      <c r="D43" s="79"/>
      <c r="E43" s="79"/>
      <c r="F43" s="58"/>
      <c r="G43" s="59"/>
      <c r="H43" s="60"/>
      <c r="I43" s="60"/>
      <c r="J43" s="60"/>
      <c r="K43" s="58"/>
      <c r="L43" s="64"/>
      <c r="M43" s="58"/>
      <c r="N43" s="19"/>
      <c r="O43" s="62"/>
    </row>
    <row r="44" spans="1:15">
      <c r="A44" s="125"/>
      <c r="B44" s="63"/>
      <c r="C44" s="58"/>
      <c r="D44" s="78"/>
      <c r="E44" s="79"/>
      <c r="F44" s="80"/>
      <c r="G44" s="58"/>
      <c r="H44" s="59"/>
      <c r="I44" s="60"/>
      <c r="J44" s="60"/>
      <c r="K44" s="60"/>
      <c r="L44" s="100"/>
      <c r="M44" s="61"/>
      <c r="N44" s="58"/>
      <c r="O44" s="62"/>
    </row>
    <row r="45" spans="1:15">
      <c r="A45" s="125"/>
      <c r="B45" s="63"/>
      <c r="C45" s="58"/>
      <c r="D45" s="78"/>
      <c r="E45" s="79"/>
      <c r="F45" s="80"/>
      <c r="G45" s="58"/>
      <c r="H45" s="59"/>
      <c r="I45" s="60"/>
      <c r="J45" s="60"/>
      <c r="K45" s="60"/>
      <c r="L45" s="100"/>
      <c r="M45" s="61"/>
      <c r="N45" s="58"/>
      <c r="O45" s="62"/>
    </row>
    <row r="46" spans="1:15">
      <c r="C46" s="58"/>
      <c r="D46" s="90"/>
      <c r="E46" s="94"/>
      <c r="F46" s="90"/>
      <c r="G46" s="90"/>
      <c r="H46" s="91"/>
      <c r="I46" s="91"/>
      <c r="J46" s="91"/>
      <c r="K46" s="91"/>
      <c r="L46" s="101"/>
      <c r="M46" s="93"/>
      <c r="N46" s="91"/>
      <c r="O46" s="124"/>
    </row>
    <row r="47" spans="1:15">
      <c r="C47" s="58"/>
      <c r="D47" s="90"/>
      <c r="E47" s="94"/>
      <c r="F47" s="90"/>
      <c r="G47" s="90"/>
      <c r="H47" s="91"/>
      <c r="I47" s="91"/>
      <c r="J47" s="91"/>
      <c r="K47" s="91"/>
      <c r="L47" s="101"/>
      <c r="M47" s="93"/>
      <c r="N47" s="91"/>
      <c r="O47" s="124"/>
    </row>
    <row r="48" spans="1:15">
      <c r="A48" s="125"/>
      <c r="B48" s="63"/>
      <c r="C48" s="86"/>
      <c r="D48" s="87"/>
      <c r="E48" s="86"/>
      <c r="F48" s="87"/>
      <c r="G48" s="88"/>
      <c r="H48" s="89"/>
      <c r="I48" s="89"/>
      <c r="J48" s="89"/>
      <c r="K48" s="87"/>
      <c r="L48" s="98"/>
      <c r="M48" s="87"/>
      <c r="N48" s="77"/>
    </row>
    <row r="49" spans="1:15">
      <c r="A49" s="125"/>
      <c r="B49" s="63"/>
      <c r="C49" s="58"/>
      <c r="D49" s="139"/>
      <c r="E49" s="19"/>
      <c r="F49" s="58"/>
      <c r="G49" s="59"/>
      <c r="H49" s="60"/>
      <c r="I49" s="60"/>
      <c r="J49" s="60"/>
      <c r="K49" s="58"/>
      <c r="L49" s="64"/>
      <c r="M49" s="58"/>
      <c r="N49" s="62"/>
    </row>
    <row r="50" spans="1:15">
      <c r="A50" s="125"/>
      <c r="B50" s="63"/>
      <c r="C50" s="58"/>
      <c r="D50" s="81"/>
      <c r="E50" s="19"/>
      <c r="F50" s="81"/>
      <c r="G50" s="58"/>
      <c r="H50" s="59"/>
      <c r="I50" s="60"/>
      <c r="J50" s="60"/>
      <c r="K50" s="60"/>
      <c r="L50" s="100"/>
      <c r="M50" s="61"/>
      <c r="N50" s="58"/>
      <c r="O50" s="62"/>
    </row>
    <row r="51" spans="1:15">
      <c r="A51" s="125"/>
      <c r="B51" s="63"/>
      <c r="C51" s="58"/>
      <c r="D51" s="78"/>
      <c r="E51" s="81"/>
      <c r="F51" s="81"/>
      <c r="G51" s="58"/>
      <c r="H51" s="59"/>
      <c r="I51" s="60"/>
      <c r="J51" s="60"/>
      <c r="K51" s="60"/>
      <c r="L51" s="100"/>
      <c r="M51" s="61"/>
      <c r="N51" s="58"/>
      <c r="O51" s="62"/>
    </row>
    <row r="52" spans="1:15">
      <c r="A52" s="125"/>
      <c r="B52" s="63"/>
      <c r="C52" s="58"/>
      <c r="D52" s="78"/>
      <c r="E52" s="81"/>
      <c r="F52" s="81"/>
      <c r="G52" s="58"/>
      <c r="H52" s="59"/>
      <c r="I52" s="60"/>
      <c r="J52" s="60"/>
      <c r="K52" s="60"/>
      <c r="L52" s="100"/>
      <c r="M52" s="61"/>
      <c r="N52" s="58"/>
      <c r="O52" s="62"/>
    </row>
    <row r="53" spans="1:15">
      <c r="C53" s="58"/>
      <c r="D53" s="90"/>
      <c r="E53" s="94"/>
      <c r="F53" s="90"/>
      <c r="G53" s="90"/>
      <c r="H53" s="91"/>
      <c r="I53" s="91"/>
      <c r="J53" s="91"/>
      <c r="K53" s="91"/>
      <c r="L53" s="101"/>
      <c r="M53" s="93"/>
      <c r="N53" s="91"/>
      <c r="O53" s="124"/>
    </row>
    <row r="54" spans="1:15">
      <c r="A54" s="58"/>
      <c r="B54" s="63"/>
      <c r="C54" s="86"/>
      <c r="D54" s="87"/>
      <c r="E54" s="95"/>
      <c r="F54" s="87"/>
      <c r="G54" s="88"/>
      <c r="H54" s="89"/>
      <c r="I54" s="89"/>
      <c r="J54" s="89"/>
      <c r="K54" s="87"/>
      <c r="L54" s="98"/>
      <c r="M54" s="87"/>
      <c r="O54" s="77"/>
    </row>
    <row r="55" spans="1:15">
      <c r="A55" s="58"/>
      <c r="B55" s="63"/>
      <c r="C55" s="58"/>
      <c r="D55" s="96"/>
      <c r="E55" s="19"/>
      <c r="F55" s="109"/>
      <c r="G55" s="59"/>
      <c r="H55" s="60"/>
      <c r="I55" s="60"/>
      <c r="J55" s="60"/>
      <c r="K55" s="58"/>
      <c r="L55" s="64"/>
      <c r="M55" s="58"/>
      <c r="O55" s="62"/>
    </row>
    <row r="56" spans="1:15">
      <c r="A56" s="58"/>
      <c r="B56" s="63"/>
      <c r="C56" s="58"/>
      <c r="D56" s="79"/>
      <c r="E56" s="19"/>
      <c r="F56" s="109"/>
      <c r="G56" s="59"/>
      <c r="H56" s="60"/>
      <c r="I56" s="60"/>
      <c r="J56" s="60"/>
      <c r="K56" s="58"/>
      <c r="L56" s="64"/>
      <c r="M56" s="58"/>
      <c r="O56" s="62"/>
    </row>
    <row r="57" spans="1:15">
      <c r="A57" s="58"/>
      <c r="B57" s="63"/>
      <c r="C57" s="58"/>
      <c r="D57" s="79"/>
      <c r="E57" s="19"/>
      <c r="F57" s="80"/>
      <c r="G57" s="58"/>
      <c r="H57" s="59"/>
      <c r="I57" s="60"/>
      <c r="J57" s="60"/>
      <c r="K57" s="60"/>
      <c r="L57" s="100"/>
      <c r="M57" s="61"/>
      <c r="N57" s="58"/>
      <c r="O57" s="62"/>
    </row>
    <row r="58" spans="1:15">
      <c r="A58" s="58"/>
      <c r="B58" s="63"/>
      <c r="C58" s="58"/>
      <c r="D58" s="78"/>
      <c r="E58" s="79"/>
      <c r="F58" s="81"/>
      <c r="G58" s="58"/>
      <c r="H58" s="59"/>
      <c r="I58" s="60"/>
      <c r="J58" s="60"/>
      <c r="K58" s="60"/>
      <c r="L58" s="100"/>
      <c r="M58" s="61"/>
      <c r="N58" s="58"/>
      <c r="O58" s="62"/>
    </row>
    <row r="59" spans="1:15">
      <c r="D59" s="90"/>
      <c r="E59" s="94"/>
      <c r="F59" s="90"/>
      <c r="G59" s="90"/>
      <c r="H59" s="91"/>
      <c r="I59" s="91"/>
      <c r="J59" s="91"/>
      <c r="K59" s="91"/>
      <c r="L59" s="101"/>
      <c r="M59" s="93"/>
      <c r="N59" s="91"/>
      <c r="O59" s="91"/>
    </row>
    <row r="60" spans="1:15">
      <c r="C60" s="58"/>
      <c r="D60" s="90"/>
      <c r="E60" s="94"/>
      <c r="F60" s="90"/>
      <c r="G60" s="90"/>
      <c r="H60" s="91"/>
      <c r="I60" s="91"/>
      <c r="J60" s="91"/>
      <c r="K60" s="91"/>
      <c r="L60" s="101"/>
      <c r="M60" s="93"/>
      <c r="N60" s="91"/>
      <c r="O60" s="124"/>
    </row>
    <row r="61" spans="1:15">
      <c r="C61" s="58"/>
      <c r="D61" s="90"/>
      <c r="E61" s="94"/>
      <c r="F61" s="90"/>
      <c r="G61" s="90"/>
      <c r="H61" s="91"/>
      <c r="I61" s="91"/>
      <c r="J61" s="91"/>
      <c r="K61" s="91"/>
      <c r="L61" s="101"/>
      <c r="M61" s="93"/>
      <c r="N61" s="91"/>
      <c r="O61" s="124"/>
    </row>
    <row r="62" spans="1:15">
      <c r="C62" s="58"/>
      <c r="D62" s="90"/>
      <c r="E62" s="94"/>
      <c r="F62" s="90"/>
      <c r="G62" s="90"/>
      <c r="H62" s="91"/>
      <c r="I62" s="91"/>
      <c r="J62" s="91"/>
      <c r="K62" s="91"/>
      <c r="L62" s="101"/>
      <c r="M62" s="93"/>
      <c r="N62" s="91"/>
      <c r="O62" s="124"/>
    </row>
    <row r="63" spans="1:15">
      <c r="C63" s="58"/>
      <c r="D63" s="90"/>
      <c r="E63" s="94"/>
      <c r="F63" s="90"/>
      <c r="G63" s="90"/>
      <c r="H63" s="91"/>
      <c r="I63" s="91"/>
      <c r="J63" s="91"/>
      <c r="K63" s="91"/>
      <c r="L63" s="101"/>
      <c r="M63" s="93"/>
      <c r="N63" s="91"/>
      <c r="O63" s="124"/>
    </row>
    <row r="64" spans="1:15">
      <c r="C64" s="58"/>
      <c r="D64" s="90"/>
      <c r="E64" s="94"/>
      <c r="F64" s="90"/>
      <c r="G64" s="90"/>
      <c r="H64" s="91"/>
      <c r="I64" s="91"/>
      <c r="J64" s="91"/>
      <c r="K64" s="91"/>
      <c r="L64" s="101"/>
      <c r="M64" s="93"/>
      <c r="N64" s="91"/>
      <c r="O64" s="124"/>
    </row>
    <row r="65" spans="3:15">
      <c r="C65" s="58"/>
      <c r="D65" s="90"/>
      <c r="E65" s="94"/>
      <c r="F65" s="90"/>
      <c r="G65" s="90"/>
      <c r="H65" s="91"/>
      <c r="I65" s="91"/>
      <c r="J65" s="91"/>
      <c r="K65" s="91"/>
      <c r="L65" s="101"/>
      <c r="M65" s="93"/>
      <c r="N65" s="91"/>
      <c r="O65" s="124"/>
    </row>
    <row r="66" spans="3:15">
      <c r="C66" s="58"/>
      <c r="D66" s="90"/>
      <c r="E66" s="94"/>
      <c r="F66" s="90"/>
      <c r="G66" s="90"/>
      <c r="H66" s="91"/>
      <c r="I66" s="91"/>
      <c r="J66" s="91"/>
      <c r="K66" s="91"/>
      <c r="L66" s="216">
        <f>SUM(L6:L65)</f>
        <v>32400000</v>
      </c>
      <c r="M66" s="93"/>
      <c r="N66" s="91"/>
      <c r="O66" s="124"/>
    </row>
    <row r="67" spans="3:15">
      <c r="C67" s="58"/>
      <c r="D67" s="90"/>
      <c r="E67" s="94"/>
      <c r="F67" s="90"/>
      <c r="G67" s="90"/>
      <c r="H67" s="91"/>
      <c r="I67" s="91"/>
      <c r="J67" s="91"/>
      <c r="K67" s="91"/>
      <c r="L67" s="101"/>
      <c r="M67" s="93"/>
      <c r="N67" s="91"/>
      <c r="O67" s="124"/>
    </row>
    <row r="68" spans="3:15">
      <c r="C68" s="58"/>
      <c r="D68" s="90"/>
      <c r="E68" s="94"/>
      <c r="F68" s="90"/>
      <c r="G68" s="90"/>
      <c r="H68" s="91"/>
      <c r="I68" s="91"/>
      <c r="J68" s="91"/>
      <c r="K68" s="91"/>
      <c r="L68" s="101"/>
      <c r="M68" s="93"/>
      <c r="N68" s="91"/>
      <c r="O68" s="124"/>
    </row>
    <row r="69" spans="3:15">
      <c r="C69" s="8"/>
      <c r="D69" s="8"/>
      <c r="E69" s="7"/>
      <c r="F69" s="6"/>
      <c r="G69" s="6"/>
      <c r="H69" s="5"/>
      <c r="I69" s="5"/>
      <c r="J69" s="5"/>
      <c r="K69" s="6"/>
      <c r="L69" s="178"/>
      <c r="M69" s="6"/>
      <c r="N69" s="2"/>
    </row>
    <row r="70" spans="3:15">
      <c r="C70" s="8"/>
      <c r="D70" s="8"/>
      <c r="E70" s="7"/>
      <c r="F70" s="6"/>
      <c r="G70" s="6"/>
      <c r="H70" s="5"/>
      <c r="I70" s="5"/>
      <c r="J70" s="5"/>
      <c r="K70" s="6"/>
      <c r="L70" s="178"/>
      <c r="M70" s="6"/>
      <c r="N70" s="2"/>
    </row>
    <row r="71" spans="3:15">
      <c r="C71" s="8"/>
      <c r="D71" s="8"/>
      <c r="E71" s="7"/>
      <c r="F71" s="6"/>
      <c r="G71" s="6"/>
      <c r="H71" s="5"/>
      <c r="I71" s="5"/>
      <c r="J71" s="5"/>
      <c r="K71" s="6"/>
      <c r="L71" s="178"/>
      <c r="M71" s="6"/>
      <c r="N71" s="2"/>
    </row>
    <row r="72" spans="3:15">
      <c r="C72" s="8"/>
      <c r="D72" s="8"/>
      <c r="E72" s="7"/>
      <c r="F72" s="6"/>
      <c r="G72" s="6"/>
      <c r="H72" s="5"/>
      <c r="I72" s="5"/>
      <c r="J72" s="5"/>
      <c r="K72" s="6"/>
      <c r="L72" s="178"/>
      <c r="M72" s="6"/>
      <c r="N72" s="2"/>
    </row>
    <row r="73" spans="3:15">
      <c r="C73" s="8"/>
      <c r="D73" s="8"/>
      <c r="E73" s="7"/>
      <c r="F73" s="6"/>
      <c r="G73" s="6"/>
      <c r="H73" s="5"/>
      <c r="I73" s="5"/>
      <c r="J73" s="5"/>
      <c r="K73" s="6"/>
      <c r="L73" s="178"/>
      <c r="M73" s="6"/>
      <c r="N73" s="2"/>
    </row>
    <row r="74" spans="3:15">
      <c r="C74" s="8"/>
      <c r="D74" s="8"/>
      <c r="E74" s="7"/>
      <c r="F74" s="6"/>
      <c r="G74" s="6"/>
      <c r="H74" s="5"/>
      <c r="I74" s="5"/>
      <c r="J74" s="5"/>
      <c r="K74" s="6"/>
      <c r="L74" s="178"/>
      <c r="M74" s="6"/>
      <c r="N74" s="2"/>
    </row>
    <row r="75" spans="3:15">
      <c r="C75" s="8"/>
      <c r="D75" s="8"/>
      <c r="E75" s="7"/>
      <c r="F75" s="6"/>
      <c r="G75" s="6"/>
      <c r="H75" s="5"/>
      <c r="I75" s="5"/>
      <c r="J75" s="5"/>
      <c r="K75" s="6"/>
      <c r="L75" s="178"/>
      <c r="M75" s="6"/>
      <c r="N75" s="2"/>
    </row>
    <row r="76" spans="3:15">
      <c r="C76" s="8"/>
      <c r="D76" s="8"/>
      <c r="E76" s="7"/>
      <c r="F76" s="6"/>
      <c r="G76" s="6"/>
      <c r="H76" s="5"/>
      <c r="I76" s="5"/>
      <c r="J76" s="5"/>
      <c r="K76" s="6"/>
      <c r="L76" s="108"/>
      <c r="M76" s="6"/>
      <c r="N76" s="2"/>
    </row>
    <row r="77" spans="3:15">
      <c r="C77" s="8"/>
      <c r="D77" s="8"/>
      <c r="E77" s="7"/>
      <c r="F77" s="6"/>
      <c r="G77" s="6"/>
      <c r="H77" s="5"/>
      <c r="I77" s="5"/>
      <c r="J77" s="5"/>
      <c r="K77" s="6"/>
      <c r="L77" s="178"/>
      <c r="M77" s="6"/>
      <c r="N77" s="2"/>
    </row>
    <row r="78" spans="3:15">
      <c r="C78" s="8"/>
      <c r="D78" s="8"/>
      <c r="E78" s="7"/>
      <c r="F78" s="6"/>
      <c r="G78" s="6"/>
      <c r="H78" s="5"/>
      <c r="I78" s="5"/>
      <c r="J78" s="5"/>
      <c r="K78" s="6"/>
      <c r="L78" s="178"/>
      <c r="M78" s="6"/>
      <c r="N78" s="2"/>
    </row>
    <row r="79" spans="3:15">
      <c r="C79" s="8"/>
      <c r="D79" s="8"/>
      <c r="E79" s="7"/>
      <c r="F79" s="6"/>
      <c r="G79" s="6"/>
      <c r="H79" s="5"/>
      <c r="I79" s="5"/>
      <c r="J79" s="5"/>
      <c r="K79" s="6"/>
      <c r="L79" s="178"/>
      <c r="M79" s="6"/>
      <c r="N79" s="2"/>
    </row>
    <row r="80" spans="3:15">
      <c r="C80" s="8"/>
      <c r="D80" s="8"/>
      <c r="E80" s="7"/>
      <c r="F80" s="6"/>
      <c r="G80" s="6"/>
      <c r="H80" s="5"/>
      <c r="I80" s="5"/>
      <c r="J80" s="5"/>
      <c r="K80" s="6"/>
      <c r="L80" s="178"/>
      <c r="M80" s="6"/>
      <c r="N80" s="2"/>
    </row>
    <row r="81" spans="3:14">
      <c r="C81" s="8"/>
      <c r="D81" s="8"/>
      <c r="E81" s="7"/>
      <c r="F81" s="6"/>
      <c r="G81" s="6"/>
      <c r="H81" s="5"/>
      <c r="I81" s="5"/>
      <c r="J81" s="5"/>
      <c r="K81" s="6"/>
      <c r="L81" s="178"/>
      <c r="M81" s="6"/>
      <c r="N81" s="2"/>
    </row>
    <row r="82" spans="3:14" ht="14.25" customHeight="1">
      <c r="C82" s="8"/>
      <c r="D82" s="8"/>
      <c r="E82" s="7"/>
      <c r="F82" s="6"/>
      <c r="G82" s="6"/>
      <c r="H82" s="5"/>
      <c r="I82" s="5"/>
      <c r="J82" s="5"/>
      <c r="K82" s="6"/>
      <c r="L82" s="178"/>
      <c r="M82" s="6"/>
      <c r="N82" s="2"/>
    </row>
    <row r="83" spans="3:14" ht="14.25" customHeight="1">
      <c r="C83" s="8"/>
      <c r="D83" s="8"/>
      <c r="E83" s="7"/>
      <c r="F83" s="6"/>
      <c r="G83" s="6"/>
      <c r="H83" s="5"/>
      <c r="I83" s="5"/>
      <c r="J83" s="5"/>
      <c r="K83" s="6"/>
      <c r="L83" s="178"/>
      <c r="M83" s="6"/>
      <c r="N83" s="2"/>
    </row>
    <row r="84" spans="3:14" ht="14.25" customHeight="1">
      <c r="C84" s="8"/>
      <c r="D84" s="8"/>
      <c r="E84" s="7"/>
      <c r="F84" s="6"/>
      <c r="G84" s="6"/>
      <c r="H84" s="5"/>
      <c r="I84" s="5"/>
      <c r="J84" s="5"/>
      <c r="K84" s="6"/>
      <c r="L84" s="178"/>
      <c r="M84" s="6"/>
      <c r="N84" s="2"/>
    </row>
    <row r="85" spans="3:14" ht="14.25" customHeight="1">
      <c r="C85" s="8"/>
      <c r="D85" s="8"/>
      <c r="E85" s="7"/>
      <c r="F85" s="6"/>
      <c r="G85" s="6"/>
      <c r="H85" s="5"/>
      <c r="I85" s="5"/>
      <c r="J85" s="5"/>
      <c r="K85" s="6"/>
      <c r="L85" s="178"/>
      <c r="M85" s="6"/>
      <c r="N85" s="2"/>
    </row>
    <row r="86" spans="3:14" ht="14.25" customHeight="1">
      <c r="C86" s="8"/>
      <c r="D86" s="8"/>
      <c r="E86" s="7"/>
      <c r="F86" s="6"/>
      <c r="G86" s="6"/>
      <c r="H86" s="5"/>
      <c r="I86" s="5"/>
      <c r="J86" s="5"/>
      <c r="K86" s="6"/>
      <c r="L86" s="178"/>
      <c r="M86" s="6"/>
      <c r="N86" s="2"/>
    </row>
    <row r="87" spans="3:14" ht="14.25" customHeight="1">
      <c r="C87" s="8"/>
      <c r="D87" s="8"/>
      <c r="E87" s="7"/>
      <c r="F87" s="6"/>
      <c r="G87" s="6"/>
      <c r="H87" s="5"/>
      <c r="I87" s="5"/>
      <c r="J87" s="5"/>
      <c r="K87" s="6"/>
      <c r="L87" s="178"/>
      <c r="M87" s="6"/>
      <c r="N87" s="2"/>
    </row>
    <row r="88" spans="3:14" ht="14.25" customHeight="1">
      <c r="C88" s="8"/>
      <c r="D88" s="8"/>
      <c r="E88" s="7"/>
      <c r="F88" s="6"/>
      <c r="G88" s="6"/>
      <c r="H88" s="5"/>
      <c r="I88" s="5"/>
      <c r="J88" s="5"/>
      <c r="K88" s="6"/>
      <c r="L88" s="178"/>
      <c r="M88" s="6"/>
      <c r="N88" s="2"/>
    </row>
    <row r="89" spans="3:14" ht="14.25" customHeight="1">
      <c r="C89" s="8"/>
      <c r="D89" s="8"/>
      <c r="E89" s="7"/>
      <c r="F89" s="6"/>
      <c r="G89" s="6"/>
      <c r="H89" s="5"/>
      <c r="I89" s="5"/>
      <c r="J89" s="5"/>
      <c r="K89" s="6"/>
      <c r="L89" s="178"/>
      <c r="M89" s="6"/>
      <c r="N89" s="2"/>
    </row>
    <row r="90" spans="3:14" ht="14.25" customHeight="1">
      <c r="C90" s="8"/>
      <c r="D90" s="8"/>
      <c r="E90" s="7"/>
      <c r="F90" s="6"/>
      <c r="G90" s="6"/>
      <c r="H90" s="5"/>
      <c r="I90" s="5"/>
      <c r="J90" s="5"/>
      <c r="K90" s="6"/>
      <c r="L90" s="178"/>
      <c r="M90" s="6"/>
      <c r="N90" s="2"/>
    </row>
    <row r="91" spans="3:14" ht="14.25" customHeight="1">
      <c r="C91" s="8"/>
      <c r="D91" s="8"/>
      <c r="E91" s="7"/>
      <c r="F91" s="6"/>
      <c r="G91" s="6"/>
      <c r="H91" s="5"/>
      <c r="I91" s="5"/>
      <c r="J91" s="5"/>
      <c r="K91" s="6"/>
      <c r="L91" s="178"/>
      <c r="M91" s="6"/>
      <c r="N91" s="2"/>
    </row>
    <row r="92" spans="3:14" ht="14.25" customHeight="1">
      <c r="C92" s="8"/>
      <c r="D92" s="8"/>
      <c r="E92" s="7"/>
      <c r="F92" s="6"/>
      <c r="G92" s="6"/>
      <c r="H92" s="5"/>
      <c r="I92" s="5"/>
      <c r="J92" s="5"/>
      <c r="K92" s="6"/>
      <c r="L92" s="178"/>
      <c r="M92" s="6"/>
      <c r="N92" s="2"/>
    </row>
    <row r="93" spans="3:14" ht="14.25" customHeight="1">
      <c r="C93" s="8"/>
      <c r="D93" s="8"/>
      <c r="E93" s="7"/>
      <c r="F93" s="6"/>
      <c r="G93" s="6"/>
      <c r="H93" s="5"/>
      <c r="I93" s="5"/>
      <c r="J93" s="5"/>
      <c r="K93" s="6"/>
      <c r="L93" s="178"/>
      <c r="M93" s="6"/>
      <c r="N93" s="2"/>
    </row>
    <row r="94" spans="3:14" ht="14.25" customHeight="1">
      <c r="C94" s="8"/>
      <c r="D94" s="8"/>
      <c r="E94" s="7"/>
      <c r="F94" s="6"/>
      <c r="G94" s="6"/>
      <c r="H94" s="5"/>
      <c r="I94" s="5"/>
      <c r="J94" s="5"/>
      <c r="K94" s="6"/>
      <c r="L94" s="178"/>
      <c r="M94" s="6"/>
      <c r="N94" s="2"/>
    </row>
    <row r="95" spans="3:14" ht="14.25" customHeight="1">
      <c r="C95" s="8"/>
      <c r="D95" s="8"/>
      <c r="E95" s="7"/>
      <c r="F95" s="6"/>
      <c r="G95" s="6"/>
      <c r="H95" s="5"/>
      <c r="I95" s="5"/>
      <c r="J95" s="5"/>
      <c r="K95" s="6"/>
      <c r="L95" s="178"/>
      <c r="M95" s="6"/>
      <c r="N95" s="2"/>
    </row>
    <row r="96" spans="3:14" ht="14.25" customHeight="1">
      <c r="C96" s="8"/>
      <c r="D96" s="8"/>
      <c r="E96" s="7"/>
      <c r="F96" s="6"/>
      <c r="G96" s="6"/>
      <c r="H96" s="5"/>
      <c r="I96" s="5"/>
      <c r="J96" s="5"/>
      <c r="K96" s="6"/>
      <c r="L96" s="178"/>
      <c r="M96" s="6"/>
      <c r="N96" s="2"/>
    </row>
    <row r="97" spans="3:14" ht="14.25" customHeight="1">
      <c r="C97" s="8"/>
      <c r="D97" s="8"/>
      <c r="E97" s="7"/>
      <c r="F97" s="6"/>
      <c r="G97" s="6"/>
      <c r="H97" s="5"/>
      <c r="I97" s="5"/>
      <c r="J97" s="5"/>
      <c r="K97" s="6"/>
      <c r="L97" s="178"/>
      <c r="M97" s="3"/>
      <c r="N97" s="2"/>
    </row>
    <row r="98" spans="3:14" ht="14.25" customHeight="1">
      <c r="C98" s="8"/>
      <c r="D98" s="8"/>
      <c r="E98" s="7"/>
      <c r="F98" s="6"/>
      <c r="G98" s="5"/>
      <c r="H98" s="5"/>
      <c r="I98" s="5"/>
      <c r="J98" s="5"/>
      <c r="K98" s="4"/>
      <c r="L98" s="178"/>
      <c r="M98" s="3"/>
      <c r="N98" s="2"/>
    </row>
    <row r="99" spans="3:14" ht="14.25" customHeight="1">
      <c r="C99" s="19"/>
      <c r="D99" s="19"/>
      <c r="E99" s="19"/>
      <c r="F99" s="19"/>
      <c r="G99" s="19"/>
      <c r="H99" s="19"/>
      <c r="I99" s="19"/>
      <c r="J99" s="19"/>
      <c r="K99" s="19"/>
      <c r="L99" s="146"/>
      <c r="M99" s="19"/>
      <c r="N99" s="19"/>
    </row>
    <row r="100" spans="3:14" ht="14.25" customHeight="1">
      <c r="C100" s="31"/>
      <c r="D100" s="27"/>
      <c r="E100" s="20"/>
      <c r="F100" s="28"/>
      <c r="G100" s="28"/>
      <c r="H100" s="26"/>
      <c r="I100" s="26"/>
      <c r="J100" s="26"/>
      <c r="K100" s="28"/>
      <c r="L100" s="179"/>
      <c r="M100" s="28"/>
      <c r="N100" s="27"/>
    </row>
    <row r="101" spans="3:14" s="1" customFormat="1" ht="14.25" customHeight="1">
      <c r="C101" s="31"/>
      <c r="D101" s="27"/>
      <c r="E101" s="21"/>
      <c r="F101" s="28"/>
      <c r="G101" s="28"/>
      <c r="H101" s="26"/>
      <c r="I101" s="26"/>
      <c r="J101" s="26"/>
      <c r="K101" s="28"/>
      <c r="L101" s="179"/>
      <c r="M101" s="28"/>
      <c r="N101" s="27"/>
    </row>
    <row r="102" spans="3:14" s="1" customFormat="1" ht="14.25" customHeight="1">
      <c r="C102" s="30"/>
      <c r="D102" s="25"/>
      <c r="E102" s="21"/>
      <c r="F102" s="22"/>
      <c r="G102" s="22"/>
      <c r="H102" s="23"/>
      <c r="I102" s="23"/>
      <c r="J102" s="23"/>
      <c r="K102" s="22"/>
      <c r="L102" s="180"/>
      <c r="M102" s="22"/>
      <c r="N102" s="25"/>
    </row>
  </sheetData>
  <mergeCells count="5">
    <mergeCell ref="C2:G2"/>
    <mergeCell ref="H2:J2"/>
    <mergeCell ref="K2:L2"/>
    <mergeCell ref="M2:M3"/>
    <mergeCell ref="N2:N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8CEA2-1F97-4A95-A757-F41A456AEF4B}">
  <sheetPr>
    <tabColor rgb="FFFFC000"/>
  </sheetPr>
  <dimension ref="A2:O102"/>
  <sheetViews>
    <sheetView topLeftCell="C1" workbookViewId="0">
      <pane ySplit="4" topLeftCell="A5" activePane="bottomLeft" state="frozen"/>
      <selection pane="bottomLeft" activeCell="L14" sqref="L14"/>
    </sheetView>
  </sheetViews>
  <sheetFormatPr defaultRowHeight="15"/>
  <cols>
    <col min="3" max="3" width="21.42578125" customWidth="1"/>
    <col min="4" max="4" width="20.5703125"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style="99" customWidth="1"/>
    <col min="13" max="13" width="16.28515625" customWidth="1"/>
    <col min="14" max="14" width="12.85546875" customWidth="1"/>
  </cols>
  <sheetData>
    <row r="2" spans="1:15">
      <c r="C2" s="2627" t="s">
        <v>30</v>
      </c>
      <c r="D2" s="2627"/>
      <c r="E2" s="2627"/>
      <c r="F2" s="2627"/>
      <c r="G2" s="2627"/>
      <c r="H2" s="2628" t="s">
        <v>29</v>
      </c>
      <c r="I2" s="2628"/>
      <c r="J2" s="2628"/>
      <c r="K2" s="2627" t="s">
        <v>28</v>
      </c>
      <c r="L2" s="2627"/>
      <c r="M2" s="2628" t="s">
        <v>27</v>
      </c>
      <c r="N2" s="2628" t="s">
        <v>26</v>
      </c>
    </row>
    <row r="3" spans="1:15" ht="72">
      <c r="C3" s="10" t="s">
        <v>25</v>
      </c>
      <c r="D3" s="13" t="s">
        <v>24</v>
      </c>
      <c r="E3" s="12" t="s">
        <v>23</v>
      </c>
      <c r="F3" s="10" t="s">
        <v>22</v>
      </c>
      <c r="G3" s="11" t="s">
        <v>21</v>
      </c>
      <c r="H3" s="11" t="s">
        <v>20</v>
      </c>
      <c r="I3" s="11" t="s">
        <v>19</v>
      </c>
      <c r="J3" s="11" t="s">
        <v>18</v>
      </c>
      <c r="K3" s="10" t="s">
        <v>17</v>
      </c>
      <c r="L3" s="159" t="s">
        <v>16</v>
      </c>
      <c r="M3" s="2628"/>
      <c r="N3" s="2628"/>
    </row>
    <row r="4" spans="1:15">
      <c r="C4" s="9" t="s">
        <v>15</v>
      </c>
      <c r="D4" s="9" t="s">
        <v>14</v>
      </c>
      <c r="E4" s="9" t="s">
        <v>13</v>
      </c>
      <c r="F4" s="9" t="s">
        <v>12</v>
      </c>
      <c r="G4" s="9" t="s">
        <v>11</v>
      </c>
      <c r="H4" s="9" t="s">
        <v>10</v>
      </c>
      <c r="I4" s="9" t="s">
        <v>9</v>
      </c>
      <c r="J4" s="9" t="s">
        <v>8</v>
      </c>
      <c r="K4" s="9" t="s">
        <v>7</v>
      </c>
      <c r="L4" s="160" t="s">
        <v>6</v>
      </c>
      <c r="M4" s="9" t="s">
        <v>5</v>
      </c>
      <c r="N4" s="9" t="s">
        <v>4</v>
      </c>
    </row>
    <row r="5" spans="1:15">
      <c r="C5" s="102"/>
      <c r="D5" s="9"/>
      <c r="E5" s="83"/>
      <c r="F5" s="9"/>
      <c r="G5" s="9"/>
      <c r="H5" s="9"/>
      <c r="I5" s="9"/>
      <c r="J5" s="9"/>
      <c r="K5" s="9"/>
      <c r="L5" s="160"/>
      <c r="M5" s="9"/>
      <c r="N5" s="84"/>
    </row>
    <row r="6" spans="1:15" s="355" customFormat="1" ht="25.9" customHeight="1">
      <c r="A6" s="301" t="s">
        <v>649</v>
      </c>
      <c r="B6" s="302" t="s">
        <v>650</v>
      </c>
      <c r="C6" s="410" t="s">
        <v>1281</v>
      </c>
      <c r="D6" s="309" t="s">
        <v>2</v>
      </c>
      <c r="E6" s="304"/>
      <c r="F6" s="304" t="s">
        <v>422</v>
      </c>
      <c r="G6" s="313" t="s">
        <v>1</v>
      </c>
      <c r="H6" s="320"/>
      <c r="I6" s="320"/>
      <c r="J6" s="320"/>
      <c r="K6" s="308" t="s">
        <v>648</v>
      </c>
      <c r="L6" s="853">
        <v>900000</v>
      </c>
      <c r="M6" s="306"/>
      <c r="N6" s="306"/>
    </row>
    <row r="7" spans="1:15" s="355" customFormat="1" ht="14.25" customHeight="1">
      <c r="A7" s="438"/>
      <c r="B7" s="302"/>
      <c r="C7" s="444"/>
      <c r="D7" s="549"/>
      <c r="E7" s="420"/>
      <c r="F7" s="438"/>
      <c r="G7" s="441"/>
      <c r="H7" s="504"/>
      <c r="I7" s="504"/>
      <c r="J7" s="504"/>
      <c r="K7" s="438"/>
      <c r="L7" s="505"/>
      <c r="M7" s="438"/>
      <c r="N7" s="352"/>
      <c r="O7" s="348"/>
    </row>
    <row r="8" spans="1:15" s="355" customFormat="1" ht="73.150000000000006" customHeight="1">
      <c r="A8" s="438" t="s">
        <v>1023</v>
      </c>
      <c r="B8" s="563" t="s">
        <v>1024</v>
      </c>
      <c r="C8" s="410" t="s">
        <v>1281</v>
      </c>
      <c r="D8" s="309" t="s">
        <v>1036</v>
      </c>
      <c r="E8" s="304"/>
      <c r="F8" s="851"/>
      <c r="G8" s="313" t="s">
        <v>1</v>
      </c>
      <c r="H8" s="307" t="s">
        <v>652</v>
      </c>
      <c r="I8" s="307" t="s">
        <v>653</v>
      </c>
      <c r="J8" s="307" t="s">
        <v>1037</v>
      </c>
      <c r="K8" s="308" t="s">
        <v>748</v>
      </c>
      <c r="L8" s="312">
        <v>225000</v>
      </c>
      <c r="M8" s="306"/>
      <c r="N8" s="852"/>
    </row>
    <row r="9" spans="1:15" ht="14.25" customHeight="1">
      <c r="A9" s="58"/>
      <c r="B9" s="63"/>
      <c r="C9" s="58"/>
      <c r="D9" s="79"/>
      <c r="E9" s="19"/>
      <c r="F9" s="58"/>
      <c r="G9" s="59"/>
      <c r="H9" s="60"/>
      <c r="I9" s="60"/>
      <c r="J9" s="60"/>
      <c r="K9" s="58"/>
      <c r="L9" s="64"/>
      <c r="M9" s="58"/>
      <c r="N9" s="19"/>
      <c r="O9" s="62"/>
    </row>
    <row r="10" spans="1:15" ht="14.25" customHeight="1">
      <c r="A10" s="58"/>
      <c r="B10" s="63"/>
      <c r="C10" s="58"/>
      <c r="D10" s="122"/>
      <c r="E10" s="81"/>
      <c r="F10" s="80"/>
      <c r="G10" s="58"/>
      <c r="H10" s="59"/>
      <c r="I10" s="60"/>
      <c r="J10" s="60"/>
      <c r="K10" s="60"/>
      <c r="L10" s="100"/>
      <c r="M10" s="61"/>
      <c r="N10" s="58"/>
      <c r="O10" s="62"/>
    </row>
    <row r="11" spans="1:15" ht="14.25" customHeight="1">
      <c r="A11" s="58"/>
      <c r="B11" s="63"/>
      <c r="C11" s="58"/>
      <c r="D11" s="122"/>
      <c r="E11" s="81"/>
      <c r="F11" s="80"/>
      <c r="G11" s="113"/>
      <c r="H11" s="114"/>
      <c r="I11" s="115"/>
      <c r="J11" s="115"/>
      <c r="K11" s="115"/>
      <c r="L11" s="100"/>
      <c r="M11" s="116"/>
      <c r="N11" s="116"/>
      <c r="O11" s="114"/>
    </row>
    <row r="12" spans="1:15" ht="14.25" customHeight="1">
      <c r="A12" s="58"/>
      <c r="B12" s="63"/>
      <c r="C12" s="58"/>
      <c r="D12" s="157"/>
      <c r="E12" s="82"/>
      <c r="F12" s="154"/>
      <c r="G12" s="113"/>
      <c r="H12" s="117"/>
      <c r="I12" s="118"/>
      <c r="J12" s="118"/>
      <c r="K12" s="115"/>
      <c r="L12" s="100"/>
      <c r="M12" s="119"/>
      <c r="N12" s="116"/>
      <c r="O12" s="114"/>
    </row>
    <row r="13" spans="1:15" ht="14.25" customHeight="1">
      <c r="A13" s="76"/>
      <c r="B13" s="63"/>
      <c r="D13" s="144"/>
      <c r="E13" s="145"/>
      <c r="F13" s="142"/>
      <c r="G13" s="113"/>
      <c r="H13" s="117"/>
      <c r="I13" s="118"/>
      <c r="J13" s="118"/>
      <c r="K13" s="115"/>
      <c r="L13" s="100"/>
      <c r="M13" s="119"/>
      <c r="N13" s="116"/>
      <c r="O13" s="114"/>
    </row>
    <row r="14" spans="1:15" ht="14.25" customHeight="1">
      <c r="A14" s="76"/>
      <c r="B14" s="63"/>
      <c r="C14" s="155"/>
      <c r="D14" s="155"/>
      <c r="E14" s="90"/>
      <c r="F14" s="155"/>
      <c r="G14" s="155"/>
      <c r="H14" s="103"/>
      <c r="I14" s="103"/>
      <c r="J14" s="103"/>
      <c r="K14" s="103"/>
      <c r="L14" s="2379">
        <f>SUM(L6:L13)</f>
        <v>1125000</v>
      </c>
      <c r="M14" s="156"/>
      <c r="N14" s="103"/>
      <c r="O14" s="103"/>
    </row>
    <row r="15" spans="1:15" ht="14.25" customHeight="1">
      <c r="A15" s="76"/>
      <c r="B15" s="63"/>
      <c r="C15" s="161"/>
      <c r="D15" s="162"/>
      <c r="E15" s="163"/>
      <c r="F15" s="164"/>
      <c r="G15" s="165"/>
      <c r="H15" s="166"/>
      <c r="I15" s="166"/>
      <c r="J15" s="162"/>
      <c r="K15" s="162"/>
      <c r="L15" s="176"/>
      <c r="M15" s="167"/>
      <c r="N15" s="162"/>
      <c r="O15" s="91"/>
    </row>
    <row r="16" spans="1:15" ht="14.25" customHeight="1">
      <c r="A16" s="76"/>
      <c r="B16" s="63"/>
      <c r="C16" s="168"/>
      <c r="D16" s="168"/>
      <c r="E16" s="169"/>
      <c r="F16" s="164"/>
      <c r="G16" s="170"/>
      <c r="H16" s="171"/>
      <c r="I16" s="171"/>
      <c r="J16" s="172"/>
      <c r="K16" s="164"/>
      <c r="L16" s="177"/>
      <c r="M16" s="168"/>
      <c r="N16" s="173"/>
    </row>
    <row r="17" spans="1:15" ht="14.25" customHeight="1">
      <c r="A17" s="76"/>
      <c r="B17" s="63"/>
      <c r="C17" s="168"/>
      <c r="D17" s="168"/>
      <c r="E17" s="169"/>
      <c r="F17" s="164"/>
      <c r="G17" s="170"/>
      <c r="H17" s="171"/>
      <c r="I17" s="171"/>
      <c r="J17" s="168"/>
      <c r="K17" s="174"/>
      <c r="L17" s="177"/>
      <c r="M17" s="164"/>
      <c r="N17" s="173"/>
    </row>
    <row r="18" spans="1:15" ht="14.25" customHeight="1">
      <c r="A18" s="76"/>
      <c r="B18" s="63"/>
      <c r="C18" s="168"/>
      <c r="D18" s="168"/>
      <c r="E18" s="169"/>
      <c r="F18" s="164"/>
      <c r="G18" s="170"/>
      <c r="H18" s="168"/>
      <c r="I18" s="168"/>
      <c r="J18" s="168"/>
      <c r="K18" s="168"/>
      <c r="L18" s="177"/>
      <c r="M18" s="168"/>
      <c r="N18" s="173"/>
    </row>
    <row r="19" spans="1:15" ht="14.25" customHeight="1">
      <c r="A19" s="125"/>
      <c r="B19" s="63"/>
      <c r="C19" s="125"/>
      <c r="D19" s="130"/>
      <c r="E19" s="135"/>
      <c r="F19" s="125"/>
      <c r="G19" s="126"/>
      <c r="H19" s="127"/>
      <c r="I19" s="127"/>
      <c r="J19" s="127"/>
      <c r="K19" s="125"/>
      <c r="L19" s="140"/>
      <c r="M19" s="125"/>
      <c r="N19" s="129"/>
    </row>
    <row r="20" spans="1:15" ht="14.25" customHeight="1">
      <c r="A20" s="125"/>
      <c r="B20" s="63"/>
      <c r="C20" s="125"/>
      <c r="D20" s="131"/>
      <c r="E20" s="132"/>
      <c r="F20" s="133"/>
      <c r="G20" s="125"/>
      <c r="H20" s="126"/>
      <c r="I20" s="127"/>
      <c r="J20" s="127"/>
      <c r="K20" s="127"/>
      <c r="L20" s="141"/>
      <c r="M20" s="128"/>
      <c r="N20" s="125"/>
      <c r="O20" s="129"/>
    </row>
    <row r="21" spans="1:15" ht="14.25" customHeight="1">
      <c r="A21" s="125"/>
      <c r="B21" s="63"/>
      <c r="D21" s="131"/>
      <c r="E21" s="132"/>
      <c r="F21" s="133"/>
      <c r="G21" s="125"/>
      <c r="H21" s="126"/>
      <c r="I21" s="127"/>
      <c r="J21" s="127"/>
      <c r="K21" s="127"/>
      <c r="L21" s="141"/>
      <c r="M21" s="128"/>
      <c r="N21" s="125"/>
      <c r="O21" s="129"/>
    </row>
    <row r="22" spans="1:15" ht="27" customHeight="1">
      <c r="A22" s="125"/>
      <c r="B22" s="63"/>
      <c r="C22" s="86"/>
      <c r="D22" s="87"/>
      <c r="E22" s="136"/>
      <c r="F22" s="87"/>
      <c r="G22" s="88"/>
      <c r="H22" s="89"/>
      <c r="I22" s="89"/>
      <c r="J22" s="89"/>
      <c r="K22" s="87"/>
      <c r="L22" s="98"/>
      <c r="M22" s="87"/>
      <c r="N22" s="19"/>
      <c r="O22" s="77"/>
    </row>
    <row r="23" spans="1:15" ht="14.25" customHeight="1">
      <c r="A23" s="125"/>
      <c r="B23" s="63"/>
      <c r="C23" s="58"/>
      <c r="D23" s="96"/>
      <c r="E23" s="96"/>
      <c r="F23" s="58"/>
      <c r="G23" s="59"/>
      <c r="H23" s="60"/>
      <c r="I23" s="60"/>
      <c r="J23" s="60"/>
      <c r="K23" s="58"/>
      <c r="L23" s="64"/>
      <c r="M23" s="58"/>
      <c r="N23" s="19"/>
      <c r="O23" s="62"/>
    </row>
    <row r="24" spans="1:15" ht="14.25" customHeight="1">
      <c r="A24" s="125"/>
      <c r="B24" s="63"/>
      <c r="C24" s="58"/>
      <c r="D24" s="78"/>
      <c r="E24" s="79"/>
      <c r="F24" s="58"/>
      <c r="G24" s="59"/>
      <c r="H24" s="60"/>
      <c r="I24" s="60"/>
      <c r="J24" s="60"/>
      <c r="K24" s="58"/>
      <c r="L24" s="64"/>
      <c r="M24" s="58"/>
      <c r="N24" s="19"/>
      <c r="O24" s="62"/>
    </row>
    <row r="25" spans="1:15" ht="14.25" customHeight="1">
      <c r="A25" s="125"/>
      <c r="B25" s="63"/>
      <c r="C25" s="58"/>
      <c r="D25" s="78"/>
      <c r="E25" s="79"/>
      <c r="F25" s="58"/>
      <c r="G25" s="59"/>
      <c r="H25" s="60"/>
      <c r="I25" s="60"/>
      <c r="J25" s="60"/>
      <c r="K25" s="58"/>
      <c r="L25" s="64"/>
      <c r="M25" s="58"/>
      <c r="N25" s="19"/>
      <c r="O25" s="62"/>
    </row>
    <row r="26" spans="1:15" ht="14.25" customHeight="1">
      <c r="A26" s="125"/>
      <c r="B26" s="63"/>
      <c r="C26" s="58"/>
      <c r="D26" s="78"/>
      <c r="E26" s="79"/>
      <c r="F26" s="58"/>
      <c r="G26" s="59"/>
      <c r="H26" s="60"/>
      <c r="I26" s="60"/>
      <c r="J26" s="60"/>
      <c r="K26" s="58"/>
      <c r="L26" s="64"/>
      <c r="M26" s="58"/>
      <c r="N26" s="19"/>
      <c r="O26" s="62"/>
    </row>
    <row r="27" spans="1:15" ht="14.25" customHeight="1">
      <c r="A27" s="125"/>
      <c r="B27" s="63"/>
      <c r="C27" s="58"/>
      <c r="D27" s="90"/>
      <c r="E27" s="94"/>
      <c r="F27" s="90"/>
      <c r="G27" s="90"/>
      <c r="H27" s="91"/>
      <c r="I27" s="91"/>
      <c r="J27" s="91"/>
      <c r="K27" s="91"/>
      <c r="L27" s="101"/>
      <c r="M27" s="93"/>
      <c r="N27" s="91"/>
      <c r="O27" s="91"/>
    </row>
    <row r="28" spans="1:15" ht="14.25" customHeight="1">
      <c r="A28" s="125"/>
      <c r="B28" s="63"/>
      <c r="C28" s="58"/>
      <c r="D28" s="90"/>
      <c r="E28" s="94"/>
      <c r="F28" s="90"/>
      <c r="G28" s="90"/>
      <c r="H28" s="91"/>
      <c r="I28" s="91"/>
      <c r="J28" s="91"/>
      <c r="K28" s="91"/>
      <c r="L28" s="101"/>
      <c r="M28" s="93"/>
      <c r="N28" s="91"/>
      <c r="O28" s="124"/>
    </row>
    <row r="29" spans="1:15" ht="22.5" customHeight="1">
      <c r="A29" s="125"/>
      <c r="B29" s="63"/>
      <c r="C29" s="86"/>
      <c r="D29" s="87"/>
      <c r="E29" s="95"/>
      <c r="F29" s="87"/>
      <c r="G29" s="88"/>
      <c r="H29" s="89"/>
      <c r="I29" s="89"/>
      <c r="J29" s="89"/>
      <c r="K29" s="87"/>
      <c r="L29" s="98"/>
      <c r="M29" s="87"/>
      <c r="N29" s="19"/>
      <c r="O29" s="77"/>
    </row>
    <row r="30" spans="1:15" ht="14.25" customHeight="1">
      <c r="A30" s="125"/>
      <c r="B30" s="63"/>
      <c r="C30" s="58"/>
      <c r="D30" s="96"/>
      <c r="E30" s="97"/>
      <c r="F30" s="58"/>
      <c r="G30" s="59"/>
      <c r="H30" s="60"/>
      <c r="I30" s="60"/>
      <c r="J30" s="60"/>
      <c r="K30" s="58"/>
      <c r="L30" s="64"/>
      <c r="M30" s="58"/>
      <c r="N30" s="19"/>
      <c r="O30" s="62"/>
    </row>
    <row r="31" spans="1:15" ht="14.25" customHeight="1">
      <c r="A31" s="125"/>
      <c r="B31" s="63"/>
      <c r="C31" s="58"/>
      <c r="D31" s="79"/>
      <c r="E31" s="81"/>
      <c r="F31" s="58"/>
      <c r="G31" s="59"/>
      <c r="H31" s="60"/>
      <c r="I31" s="60"/>
      <c r="J31" s="60"/>
      <c r="K31" s="58"/>
      <c r="L31" s="64"/>
      <c r="M31" s="58"/>
      <c r="N31" s="19"/>
      <c r="O31" s="62"/>
    </row>
    <row r="32" spans="1:15">
      <c r="A32" s="125"/>
      <c r="B32" s="63"/>
      <c r="C32" s="58"/>
      <c r="D32" s="79"/>
      <c r="E32" s="81"/>
      <c r="F32" s="58"/>
      <c r="G32" s="59"/>
      <c r="H32" s="60"/>
      <c r="I32" s="60"/>
      <c r="J32" s="60"/>
      <c r="K32" s="58"/>
      <c r="L32" s="64"/>
      <c r="M32" s="58"/>
      <c r="N32" s="19"/>
      <c r="O32" s="62"/>
    </row>
    <row r="33" spans="1:15">
      <c r="A33" s="125"/>
      <c r="B33" s="63"/>
      <c r="C33" s="58"/>
      <c r="D33" s="78"/>
      <c r="E33" s="79"/>
      <c r="F33" s="58"/>
      <c r="G33" s="59"/>
      <c r="H33" s="60"/>
      <c r="I33" s="60"/>
      <c r="J33" s="60"/>
      <c r="K33" s="58"/>
      <c r="L33" s="64"/>
      <c r="M33" s="58"/>
      <c r="N33" s="19"/>
      <c r="O33" s="62"/>
    </row>
    <row r="34" spans="1:15">
      <c r="C34" s="58"/>
      <c r="D34" s="90"/>
      <c r="E34" s="94"/>
      <c r="F34" s="90"/>
      <c r="G34" s="91"/>
      <c r="H34" s="91"/>
      <c r="I34" s="91"/>
      <c r="J34" s="91"/>
      <c r="K34" s="92"/>
      <c r="L34" s="101"/>
      <c r="M34" s="91"/>
      <c r="N34" s="19"/>
      <c r="O34" s="91"/>
    </row>
    <row r="35" spans="1:15">
      <c r="A35" s="125"/>
      <c r="B35" s="63"/>
      <c r="C35" s="86"/>
      <c r="D35" s="87"/>
      <c r="E35" s="95"/>
      <c r="F35" s="87"/>
      <c r="G35" s="88"/>
      <c r="H35" s="89"/>
      <c r="I35" s="89"/>
      <c r="J35" s="89"/>
      <c r="K35" s="87"/>
      <c r="L35" s="98"/>
      <c r="M35" s="87"/>
      <c r="N35" s="19"/>
      <c r="O35" s="77"/>
    </row>
    <row r="36" spans="1:15">
      <c r="A36" s="125"/>
      <c r="B36" s="63"/>
      <c r="C36" s="58"/>
      <c r="D36" s="96"/>
      <c r="E36" s="96"/>
      <c r="F36" s="58"/>
      <c r="G36" s="59"/>
      <c r="H36" s="60"/>
      <c r="I36" s="60"/>
      <c r="J36" s="60"/>
      <c r="K36" s="58"/>
      <c r="L36" s="64"/>
      <c r="M36" s="58"/>
      <c r="N36" s="19"/>
      <c r="O36" s="62"/>
    </row>
    <row r="37" spans="1:15">
      <c r="A37" s="125"/>
      <c r="B37" s="63"/>
      <c r="C37" s="58"/>
      <c r="D37" s="78"/>
      <c r="E37" s="79"/>
      <c r="F37" s="80"/>
      <c r="G37" s="58"/>
      <c r="H37" s="59"/>
      <c r="I37" s="60"/>
      <c r="J37" s="60"/>
      <c r="K37" s="60"/>
      <c r="L37" s="100"/>
      <c r="M37" s="61"/>
      <c r="N37" s="58"/>
      <c r="O37" s="62"/>
    </row>
    <row r="38" spans="1:15">
      <c r="A38" s="125"/>
      <c r="B38" s="63"/>
      <c r="C38" s="58"/>
      <c r="D38" s="78"/>
      <c r="E38" s="79"/>
      <c r="F38" s="80"/>
      <c r="G38" s="58"/>
      <c r="H38" s="59"/>
      <c r="I38" s="60"/>
      <c r="J38" s="60"/>
      <c r="K38" s="60"/>
      <c r="L38" s="100"/>
      <c r="M38" s="61"/>
      <c r="N38" s="58"/>
      <c r="O38" s="62"/>
    </row>
    <row r="39" spans="1:15">
      <c r="A39" s="125"/>
      <c r="B39" s="63"/>
      <c r="C39" s="58"/>
      <c r="D39" s="78"/>
      <c r="E39" s="79"/>
      <c r="F39" s="80"/>
      <c r="G39" s="58"/>
      <c r="H39" s="59"/>
      <c r="I39" s="60"/>
      <c r="J39" s="60"/>
      <c r="K39" s="60"/>
      <c r="L39" s="100"/>
      <c r="M39" s="61"/>
      <c r="N39" s="58"/>
      <c r="O39" s="62"/>
    </row>
    <row r="40" spans="1:15">
      <c r="A40" s="125"/>
      <c r="B40" s="63"/>
      <c r="C40" s="58"/>
      <c r="D40" s="90"/>
      <c r="E40" s="94"/>
      <c r="F40" s="90"/>
      <c r="G40" s="90"/>
      <c r="H40" s="91"/>
      <c r="I40" s="91"/>
      <c r="J40" s="91"/>
      <c r="K40" s="91"/>
      <c r="L40" s="101"/>
      <c r="M40" s="93"/>
      <c r="N40" s="91"/>
      <c r="O40" s="124"/>
    </row>
    <row r="41" spans="1:15">
      <c r="A41" s="125"/>
      <c r="B41" s="63"/>
      <c r="C41" s="86"/>
      <c r="D41" s="87"/>
      <c r="E41" s="95"/>
      <c r="F41" s="87"/>
      <c r="G41" s="88"/>
      <c r="H41" s="89"/>
      <c r="I41" s="89"/>
      <c r="J41" s="89"/>
      <c r="K41" s="87"/>
      <c r="L41" s="98"/>
      <c r="M41" s="87"/>
      <c r="N41" s="19"/>
      <c r="O41" s="77"/>
    </row>
    <row r="42" spans="1:15">
      <c r="A42" s="125"/>
      <c r="B42" s="63"/>
      <c r="C42" s="58"/>
      <c r="D42" s="138"/>
      <c r="E42" s="96"/>
      <c r="F42" s="58"/>
      <c r="G42" s="59"/>
      <c r="H42" s="60"/>
      <c r="I42" s="60"/>
      <c r="J42" s="60"/>
      <c r="K42" s="58"/>
      <c r="L42" s="64"/>
      <c r="M42" s="58"/>
      <c r="N42" s="19"/>
      <c r="O42" s="62"/>
    </row>
    <row r="43" spans="1:15">
      <c r="A43" s="125"/>
      <c r="B43" s="63"/>
      <c r="C43" s="58"/>
      <c r="D43" s="79"/>
      <c r="E43" s="79"/>
      <c r="F43" s="58"/>
      <c r="G43" s="59"/>
      <c r="H43" s="60"/>
      <c r="I43" s="60"/>
      <c r="J43" s="60"/>
      <c r="K43" s="58"/>
      <c r="L43" s="64"/>
      <c r="M43" s="58"/>
      <c r="N43" s="19"/>
      <c r="O43" s="62"/>
    </row>
    <row r="44" spans="1:15">
      <c r="A44" s="125"/>
      <c r="B44" s="63"/>
      <c r="C44" s="58"/>
      <c r="D44" s="78"/>
      <c r="E44" s="79"/>
      <c r="F44" s="80"/>
      <c r="G44" s="58"/>
      <c r="H44" s="59"/>
      <c r="I44" s="60"/>
      <c r="J44" s="60"/>
      <c r="K44" s="60"/>
      <c r="L44" s="100"/>
      <c r="M44" s="61"/>
      <c r="N44" s="58"/>
      <c r="O44" s="62"/>
    </row>
    <row r="45" spans="1:15">
      <c r="A45" s="125"/>
      <c r="B45" s="63"/>
      <c r="C45" s="58"/>
      <c r="D45" s="78"/>
      <c r="E45" s="79"/>
      <c r="F45" s="80"/>
      <c r="G45" s="58"/>
      <c r="H45" s="59"/>
      <c r="I45" s="60"/>
      <c r="J45" s="60"/>
      <c r="K45" s="60"/>
      <c r="L45" s="100"/>
      <c r="M45" s="61"/>
      <c r="N45" s="58"/>
      <c r="O45" s="62"/>
    </row>
    <row r="46" spans="1:15">
      <c r="C46" s="58"/>
      <c r="D46" s="90"/>
      <c r="E46" s="94"/>
      <c r="F46" s="90"/>
      <c r="G46" s="90"/>
      <c r="H46" s="91"/>
      <c r="I46" s="91"/>
      <c r="J46" s="91"/>
      <c r="K46" s="91"/>
      <c r="L46" s="101"/>
      <c r="M46" s="93"/>
      <c r="N46" s="91"/>
      <c r="O46" s="124"/>
    </row>
    <row r="47" spans="1:15">
      <c r="C47" s="58"/>
      <c r="D47" s="90"/>
      <c r="E47" s="94"/>
      <c r="F47" s="90"/>
      <c r="G47" s="90"/>
      <c r="H47" s="91"/>
      <c r="I47" s="91"/>
      <c r="J47" s="91"/>
      <c r="K47" s="91"/>
      <c r="L47" s="101"/>
      <c r="M47" s="93"/>
      <c r="N47" s="91"/>
      <c r="O47" s="124"/>
    </row>
    <row r="48" spans="1:15">
      <c r="A48" s="125"/>
      <c r="B48" s="63"/>
      <c r="C48" s="86"/>
      <c r="D48" s="87"/>
      <c r="E48" s="86"/>
      <c r="F48" s="87"/>
      <c r="G48" s="88"/>
      <c r="H48" s="89"/>
      <c r="I48" s="89"/>
      <c r="J48" s="89"/>
      <c r="K48" s="87"/>
      <c r="L48" s="98"/>
      <c r="M48" s="87"/>
      <c r="N48" s="77"/>
    </row>
    <row r="49" spans="1:15">
      <c r="A49" s="125"/>
      <c r="B49" s="63"/>
      <c r="C49" s="58"/>
      <c r="D49" s="139"/>
      <c r="E49" s="19"/>
      <c r="F49" s="58"/>
      <c r="G49" s="59"/>
      <c r="H49" s="60"/>
      <c r="I49" s="60"/>
      <c r="J49" s="60"/>
      <c r="K49" s="58"/>
      <c r="L49" s="64"/>
      <c r="M49" s="58"/>
      <c r="N49" s="62"/>
    </row>
    <row r="50" spans="1:15">
      <c r="A50" s="125"/>
      <c r="B50" s="63"/>
      <c r="C50" s="58"/>
      <c r="D50" s="81"/>
      <c r="E50" s="19"/>
      <c r="F50" s="81"/>
      <c r="G50" s="58"/>
      <c r="H50" s="59"/>
      <c r="I50" s="60"/>
      <c r="J50" s="60"/>
      <c r="K50" s="60"/>
      <c r="L50" s="100"/>
      <c r="M50" s="61"/>
      <c r="N50" s="58"/>
      <c r="O50" s="62"/>
    </row>
    <row r="51" spans="1:15">
      <c r="A51" s="125"/>
      <c r="B51" s="63"/>
      <c r="C51" s="58"/>
      <c r="D51" s="78"/>
      <c r="E51" s="81"/>
      <c r="F51" s="81"/>
      <c r="G51" s="58"/>
      <c r="H51" s="59"/>
      <c r="I51" s="60"/>
      <c r="J51" s="60"/>
      <c r="K51" s="60"/>
      <c r="L51" s="100"/>
      <c r="M51" s="61"/>
      <c r="N51" s="58"/>
      <c r="O51" s="62"/>
    </row>
    <row r="52" spans="1:15">
      <c r="A52" s="125"/>
      <c r="B52" s="63"/>
      <c r="C52" s="58"/>
      <c r="D52" s="78"/>
      <c r="E52" s="81"/>
      <c r="F52" s="81"/>
      <c r="G52" s="58"/>
      <c r="H52" s="59"/>
      <c r="I52" s="60"/>
      <c r="J52" s="60"/>
      <c r="K52" s="60"/>
      <c r="L52" s="100"/>
      <c r="M52" s="61"/>
      <c r="N52" s="58"/>
      <c r="O52" s="62"/>
    </row>
    <row r="53" spans="1:15">
      <c r="C53" s="58"/>
      <c r="D53" s="90"/>
      <c r="E53" s="94"/>
      <c r="F53" s="90"/>
      <c r="G53" s="90"/>
      <c r="H53" s="91"/>
      <c r="I53" s="91"/>
      <c r="J53" s="91"/>
      <c r="K53" s="91"/>
      <c r="L53" s="101"/>
      <c r="M53" s="93"/>
      <c r="N53" s="91"/>
      <c r="O53" s="124"/>
    </row>
    <row r="54" spans="1:15">
      <c r="A54" s="58"/>
      <c r="B54" s="63"/>
      <c r="C54" s="86"/>
      <c r="D54" s="87"/>
      <c r="E54" s="95"/>
      <c r="F54" s="87"/>
      <c r="G54" s="88"/>
      <c r="H54" s="89"/>
      <c r="I54" s="89"/>
      <c r="J54" s="89"/>
      <c r="K54" s="87"/>
      <c r="L54" s="98"/>
      <c r="M54" s="87"/>
      <c r="O54" s="77"/>
    </row>
    <row r="55" spans="1:15">
      <c r="A55" s="58"/>
      <c r="B55" s="63"/>
      <c r="C55" s="58"/>
      <c r="D55" s="96"/>
      <c r="E55" s="19"/>
      <c r="F55" s="109"/>
      <c r="G55" s="59"/>
      <c r="H55" s="60"/>
      <c r="I55" s="60"/>
      <c r="J55" s="60"/>
      <c r="K55" s="58"/>
      <c r="L55" s="64"/>
      <c r="M55" s="58"/>
      <c r="O55" s="62"/>
    </row>
    <row r="56" spans="1:15">
      <c r="A56" s="58"/>
      <c r="B56" s="63"/>
      <c r="C56" s="58"/>
      <c r="D56" s="79"/>
      <c r="E56" s="19"/>
      <c r="F56" s="109"/>
      <c r="G56" s="59"/>
      <c r="H56" s="60"/>
      <c r="I56" s="60"/>
      <c r="J56" s="60"/>
      <c r="K56" s="58"/>
      <c r="L56" s="64"/>
      <c r="M56" s="58"/>
      <c r="O56" s="62"/>
    </row>
    <row r="57" spans="1:15">
      <c r="A57" s="58"/>
      <c r="B57" s="63"/>
      <c r="C57" s="58"/>
      <c r="D57" s="79"/>
      <c r="E57" s="19"/>
      <c r="F57" s="80"/>
      <c r="G57" s="58"/>
      <c r="H57" s="59"/>
      <c r="I57" s="60"/>
      <c r="J57" s="60"/>
      <c r="K57" s="60"/>
      <c r="L57" s="100"/>
      <c r="M57" s="61"/>
      <c r="N57" s="58"/>
      <c r="O57" s="62"/>
    </row>
    <row r="58" spans="1:15">
      <c r="A58" s="58"/>
      <c r="B58" s="63"/>
      <c r="C58" s="58"/>
      <c r="D58" s="78"/>
      <c r="E58" s="79"/>
      <c r="F58" s="81"/>
      <c r="G58" s="58"/>
      <c r="H58" s="59"/>
      <c r="I58" s="60"/>
      <c r="J58" s="60"/>
      <c r="K58" s="60"/>
      <c r="L58" s="100"/>
      <c r="M58" s="61"/>
      <c r="N58" s="58"/>
      <c r="O58" s="62"/>
    </row>
    <row r="59" spans="1:15">
      <c r="D59" s="90"/>
      <c r="E59" s="94"/>
      <c r="F59" s="90"/>
      <c r="G59" s="90"/>
      <c r="H59" s="91"/>
      <c r="I59" s="91"/>
      <c r="J59" s="91"/>
      <c r="K59" s="91"/>
      <c r="L59" s="101"/>
      <c r="M59" s="93"/>
      <c r="N59" s="91"/>
      <c r="O59" s="91"/>
    </row>
    <row r="60" spans="1:15">
      <c r="C60" s="58"/>
      <c r="D60" s="90"/>
      <c r="E60" s="94"/>
      <c r="F60" s="90"/>
      <c r="G60" s="90"/>
      <c r="H60" s="91"/>
      <c r="I60" s="91"/>
      <c r="J60" s="91"/>
      <c r="K60" s="91"/>
      <c r="L60" s="101"/>
      <c r="M60" s="93"/>
      <c r="N60" s="91"/>
      <c r="O60" s="124"/>
    </row>
    <row r="61" spans="1:15">
      <c r="C61" s="58"/>
      <c r="D61" s="90"/>
      <c r="E61" s="94"/>
      <c r="F61" s="90"/>
      <c r="G61" s="90"/>
      <c r="H61" s="91"/>
      <c r="I61" s="91"/>
      <c r="J61" s="91"/>
      <c r="K61" s="91"/>
      <c r="L61" s="101"/>
      <c r="M61" s="93"/>
      <c r="N61" s="91"/>
      <c r="O61" s="124"/>
    </row>
    <row r="62" spans="1:15">
      <c r="C62" s="58"/>
      <c r="D62" s="90"/>
      <c r="E62" s="94"/>
      <c r="F62" s="90"/>
      <c r="G62" s="90"/>
      <c r="H62" s="91"/>
      <c r="I62" s="91"/>
      <c r="J62" s="91"/>
      <c r="K62" s="91"/>
      <c r="L62" s="101"/>
      <c r="M62" s="93"/>
      <c r="N62" s="91"/>
      <c r="O62" s="124"/>
    </row>
    <row r="63" spans="1:15">
      <c r="C63" s="58"/>
      <c r="D63" s="90"/>
      <c r="E63" s="94"/>
      <c r="F63" s="90"/>
      <c r="G63" s="90"/>
      <c r="H63" s="91"/>
      <c r="I63" s="91"/>
      <c r="J63" s="91"/>
      <c r="K63" s="91"/>
      <c r="L63" s="101"/>
      <c r="M63" s="93"/>
      <c r="N63" s="91"/>
      <c r="O63" s="124"/>
    </row>
    <row r="64" spans="1:15">
      <c r="C64" s="58"/>
      <c r="D64" s="90"/>
      <c r="E64" s="94"/>
      <c r="F64" s="90"/>
      <c r="G64" s="90"/>
      <c r="H64" s="91"/>
      <c r="I64" s="91"/>
      <c r="J64" s="91"/>
      <c r="K64" s="91"/>
      <c r="L64" s="101"/>
      <c r="M64" s="93"/>
      <c r="N64" s="91"/>
      <c r="O64" s="124"/>
    </row>
    <row r="65" spans="3:15">
      <c r="C65" s="58"/>
      <c r="D65" s="90"/>
      <c r="E65" s="94"/>
      <c r="F65" s="90"/>
      <c r="G65" s="90"/>
      <c r="H65" s="91"/>
      <c r="I65" s="91"/>
      <c r="J65" s="91"/>
      <c r="K65" s="91"/>
      <c r="L65" s="101"/>
      <c r="M65" s="93"/>
      <c r="N65" s="91"/>
      <c r="O65" s="124"/>
    </row>
    <row r="66" spans="3:15">
      <c r="C66" s="58"/>
      <c r="D66" s="90"/>
      <c r="E66" s="94"/>
      <c r="F66" s="90"/>
      <c r="G66" s="90"/>
      <c r="H66" s="91"/>
      <c r="I66" s="91"/>
      <c r="J66" s="91"/>
      <c r="K66" s="91"/>
      <c r="L66" s="216">
        <f>SUM(L6:L65)</f>
        <v>2250000</v>
      </c>
      <c r="M66" s="93"/>
      <c r="N66" s="91"/>
      <c r="O66" s="124"/>
    </row>
    <row r="67" spans="3:15">
      <c r="C67" s="58"/>
      <c r="D67" s="90"/>
      <c r="E67" s="94"/>
      <c r="F67" s="90"/>
      <c r="G67" s="90"/>
      <c r="H67" s="91"/>
      <c r="I67" s="91"/>
      <c r="J67" s="91"/>
      <c r="K67" s="91"/>
      <c r="L67" s="101"/>
      <c r="M67" s="93"/>
      <c r="N67" s="91"/>
      <c r="O67" s="124"/>
    </row>
    <row r="68" spans="3:15">
      <c r="C68" s="58"/>
      <c r="D68" s="90"/>
      <c r="E68" s="94"/>
      <c r="F68" s="90"/>
      <c r="G68" s="90"/>
      <c r="H68" s="91"/>
      <c r="I68" s="91"/>
      <c r="J68" s="91"/>
      <c r="K68" s="91"/>
      <c r="L68" s="101"/>
      <c r="M68" s="93"/>
      <c r="N68" s="91"/>
      <c r="O68" s="124"/>
    </row>
    <row r="69" spans="3:15">
      <c r="C69" s="8"/>
      <c r="D69" s="8"/>
      <c r="E69" s="7"/>
      <c r="F69" s="6"/>
      <c r="G69" s="6"/>
      <c r="H69" s="5"/>
      <c r="I69" s="5"/>
      <c r="J69" s="5"/>
      <c r="K69" s="6"/>
      <c r="L69" s="178"/>
      <c r="M69" s="6"/>
      <c r="N69" s="2"/>
    </row>
    <row r="70" spans="3:15">
      <c r="C70" s="8"/>
      <c r="D70" s="8"/>
      <c r="E70" s="7"/>
      <c r="F70" s="6"/>
      <c r="G70" s="6"/>
      <c r="H70" s="5"/>
      <c r="I70" s="5"/>
      <c r="J70" s="5"/>
      <c r="K70" s="6"/>
      <c r="L70" s="178"/>
      <c r="M70" s="6"/>
      <c r="N70" s="2"/>
    </row>
    <row r="71" spans="3:15">
      <c r="C71" s="8"/>
      <c r="D71" s="8"/>
      <c r="E71" s="7"/>
      <c r="F71" s="6"/>
      <c r="G71" s="6"/>
      <c r="H71" s="5"/>
      <c r="I71" s="5"/>
      <c r="J71" s="5"/>
      <c r="K71" s="6"/>
      <c r="L71" s="178"/>
      <c r="M71" s="6"/>
      <c r="N71" s="2"/>
    </row>
    <row r="72" spans="3:15">
      <c r="C72" s="8"/>
      <c r="D72" s="8"/>
      <c r="E72" s="7"/>
      <c r="F72" s="6"/>
      <c r="G72" s="6"/>
      <c r="H72" s="5"/>
      <c r="I72" s="5"/>
      <c r="J72" s="5"/>
      <c r="K72" s="6"/>
      <c r="L72" s="178"/>
      <c r="M72" s="6"/>
      <c r="N72" s="2"/>
    </row>
    <row r="73" spans="3:15">
      <c r="C73" s="8"/>
      <c r="D73" s="8"/>
      <c r="E73" s="7"/>
      <c r="F73" s="6"/>
      <c r="G73" s="6"/>
      <c r="H73" s="5"/>
      <c r="I73" s="5"/>
      <c r="J73" s="5"/>
      <c r="K73" s="6"/>
      <c r="L73" s="178"/>
      <c r="M73" s="6"/>
      <c r="N73" s="2"/>
    </row>
    <row r="74" spans="3:15">
      <c r="C74" s="8"/>
      <c r="D74" s="8"/>
      <c r="E74" s="7"/>
      <c r="F74" s="6"/>
      <c r="G74" s="6"/>
      <c r="H74" s="5"/>
      <c r="I74" s="5"/>
      <c r="J74" s="5"/>
      <c r="K74" s="6"/>
      <c r="L74" s="178"/>
      <c r="M74" s="6"/>
      <c r="N74" s="2"/>
    </row>
    <row r="75" spans="3:15">
      <c r="C75" s="8"/>
      <c r="D75" s="8"/>
      <c r="E75" s="7"/>
      <c r="F75" s="6"/>
      <c r="G75" s="6"/>
      <c r="H75" s="5"/>
      <c r="I75" s="5"/>
      <c r="J75" s="5"/>
      <c r="K75" s="6"/>
      <c r="L75" s="178"/>
      <c r="M75" s="6"/>
      <c r="N75" s="2"/>
    </row>
    <row r="76" spans="3:15">
      <c r="C76" s="8"/>
      <c r="D76" s="8"/>
      <c r="E76" s="7"/>
      <c r="F76" s="6"/>
      <c r="G76" s="6"/>
      <c r="H76" s="5"/>
      <c r="I76" s="5"/>
      <c r="J76" s="5"/>
      <c r="K76" s="6"/>
      <c r="L76" s="108"/>
      <c r="M76" s="6"/>
      <c r="N76" s="2"/>
    </row>
    <row r="77" spans="3:15">
      <c r="C77" s="8"/>
      <c r="D77" s="8"/>
      <c r="E77" s="7"/>
      <c r="F77" s="6"/>
      <c r="G77" s="6"/>
      <c r="H77" s="5"/>
      <c r="I77" s="5"/>
      <c r="J77" s="5"/>
      <c r="K77" s="6"/>
      <c r="L77" s="178"/>
      <c r="M77" s="6"/>
      <c r="N77" s="2"/>
    </row>
    <row r="78" spans="3:15">
      <c r="C78" s="8"/>
      <c r="D78" s="8"/>
      <c r="E78" s="7"/>
      <c r="F78" s="6"/>
      <c r="G78" s="6"/>
      <c r="H78" s="5"/>
      <c r="I78" s="5"/>
      <c r="J78" s="5"/>
      <c r="K78" s="6"/>
      <c r="L78" s="178"/>
      <c r="M78" s="6"/>
      <c r="N78" s="2"/>
    </row>
    <row r="79" spans="3:15">
      <c r="C79" s="8"/>
      <c r="D79" s="8"/>
      <c r="E79" s="7"/>
      <c r="F79" s="6"/>
      <c r="G79" s="6"/>
      <c r="H79" s="5"/>
      <c r="I79" s="5"/>
      <c r="J79" s="5"/>
      <c r="K79" s="6"/>
      <c r="L79" s="178"/>
      <c r="M79" s="6"/>
      <c r="N79" s="2"/>
    </row>
    <row r="80" spans="3:15">
      <c r="C80" s="8"/>
      <c r="D80" s="8"/>
      <c r="E80" s="7"/>
      <c r="F80" s="6"/>
      <c r="G80" s="6"/>
      <c r="H80" s="5"/>
      <c r="I80" s="5"/>
      <c r="J80" s="5"/>
      <c r="K80" s="6"/>
      <c r="L80" s="178"/>
      <c r="M80" s="6"/>
      <c r="N80" s="2"/>
    </row>
    <row r="81" spans="3:14">
      <c r="C81" s="8"/>
      <c r="D81" s="8"/>
      <c r="E81" s="7"/>
      <c r="F81" s="6"/>
      <c r="G81" s="6"/>
      <c r="H81" s="5"/>
      <c r="I81" s="5"/>
      <c r="J81" s="5"/>
      <c r="K81" s="6"/>
      <c r="L81" s="178"/>
      <c r="M81" s="6"/>
      <c r="N81" s="2"/>
    </row>
    <row r="82" spans="3:14" ht="14.25" customHeight="1">
      <c r="C82" s="8"/>
      <c r="D82" s="8"/>
      <c r="E82" s="7"/>
      <c r="F82" s="6"/>
      <c r="G82" s="6"/>
      <c r="H82" s="5"/>
      <c r="I82" s="5"/>
      <c r="J82" s="5"/>
      <c r="K82" s="6"/>
      <c r="L82" s="178"/>
      <c r="M82" s="6"/>
      <c r="N82" s="2"/>
    </row>
    <row r="83" spans="3:14" ht="14.25" customHeight="1">
      <c r="C83" s="8"/>
      <c r="D83" s="8"/>
      <c r="E83" s="7"/>
      <c r="F83" s="6"/>
      <c r="G83" s="6"/>
      <c r="H83" s="5"/>
      <c r="I83" s="5"/>
      <c r="J83" s="5"/>
      <c r="K83" s="6"/>
      <c r="L83" s="178"/>
      <c r="M83" s="6"/>
      <c r="N83" s="2"/>
    </row>
    <row r="84" spans="3:14" ht="14.25" customHeight="1">
      <c r="C84" s="8"/>
      <c r="D84" s="8"/>
      <c r="E84" s="7"/>
      <c r="F84" s="6"/>
      <c r="G84" s="6"/>
      <c r="H84" s="5"/>
      <c r="I84" s="5"/>
      <c r="J84" s="5"/>
      <c r="K84" s="6"/>
      <c r="L84" s="178"/>
      <c r="M84" s="6"/>
      <c r="N84" s="2"/>
    </row>
    <row r="85" spans="3:14" ht="14.25" customHeight="1">
      <c r="C85" s="8"/>
      <c r="D85" s="8"/>
      <c r="E85" s="7"/>
      <c r="F85" s="6"/>
      <c r="G85" s="6"/>
      <c r="H85" s="5"/>
      <c r="I85" s="5"/>
      <c r="J85" s="5"/>
      <c r="K85" s="6"/>
      <c r="L85" s="178"/>
      <c r="M85" s="6"/>
      <c r="N85" s="2"/>
    </row>
    <row r="86" spans="3:14" ht="14.25" customHeight="1">
      <c r="C86" s="8"/>
      <c r="D86" s="8"/>
      <c r="E86" s="7"/>
      <c r="F86" s="6"/>
      <c r="G86" s="6"/>
      <c r="H86" s="5"/>
      <c r="I86" s="5"/>
      <c r="J86" s="5"/>
      <c r="K86" s="6"/>
      <c r="L86" s="178"/>
      <c r="M86" s="6"/>
      <c r="N86" s="2"/>
    </row>
    <row r="87" spans="3:14" ht="14.25" customHeight="1">
      <c r="C87" s="8"/>
      <c r="D87" s="8"/>
      <c r="E87" s="7"/>
      <c r="F87" s="6"/>
      <c r="G87" s="6"/>
      <c r="H87" s="5"/>
      <c r="I87" s="5"/>
      <c r="J87" s="5"/>
      <c r="K87" s="6"/>
      <c r="L87" s="178"/>
      <c r="M87" s="6"/>
      <c r="N87" s="2"/>
    </row>
    <row r="88" spans="3:14" ht="14.25" customHeight="1">
      <c r="C88" s="8"/>
      <c r="D88" s="8"/>
      <c r="E88" s="7"/>
      <c r="F88" s="6"/>
      <c r="G88" s="6"/>
      <c r="H88" s="5"/>
      <c r="I88" s="5"/>
      <c r="J88" s="5"/>
      <c r="K88" s="6"/>
      <c r="L88" s="178"/>
      <c r="M88" s="6"/>
      <c r="N88" s="2"/>
    </row>
    <row r="89" spans="3:14" ht="14.25" customHeight="1">
      <c r="C89" s="8"/>
      <c r="D89" s="8"/>
      <c r="E89" s="7"/>
      <c r="F89" s="6"/>
      <c r="G89" s="6"/>
      <c r="H89" s="5"/>
      <c r="I89" s="5"/>
      <c r="J89" s="5"/>
      <c r="K89" s="6"/>
      <c r="L89" s="178"/>
      <c r="M89" s="6"/>
      <c r="N89" s="2"/>
    </row>
    <row r="90" spans="3:14" ht="14.25" customHeight="1">
      <c r="C90" s="8"/>
      <c r="D90" s="8"/>
      <c r="E90" s="7"/>
      <c r="F90" s="6"/>
      <c r="G90" s="6"/>
      <c r="H90" s="5"/>
      <c r="I90" s="5"/>
      <c r="J90" s="5"/>
      <c r="K90" s="6"/>
      <c r="L90" s="178"/>
      <c r="M90" s="6"/>
      <c r="N90" s="2"/>
    </row>
    <row r="91" spans="3:14" ht="14.25" customHeight="1">
      <c r="C91" s="8"/>
      <c r="D91" s="8"/>
      <c r="E91" s="7"/>
      <c r="F91" s="6"/>
      <c r="G91" s="6"/>
      <c r="H91" s="5"/>
      <c r="I91" s="5"/>
      <c r="J91" s="5"/>
      <c r="K91" s="6"/>
      <c r="L91" s="178"/>
      <c r="M91" s="6"/>
      <c r="N91" s="2"/>
    </row>
    <row r="92" spans="3:14" ht="14.25" customHeight="1">
      <c r="C92" s="8"/>
      <c r="D92" s="8"/>
      <c r="E92" s="7"/>
      <c r="F92" s="6"/>
      <c r="G92" s="6"/>
      <c r="H92" s="5"/>
      <c r="I92" s="5"/>
      <c r="J92" s="5"/>
      <c r="K92" s="6"/>
      <c r="L92" s="178"/>
      <c r="M92" s="6"/>
      <c r="N92" s="2"/>
    </row>
    <row r="93" spans="3:14" ht="14.25" customHeight="1">
      <c r="C93" s="8"/>
      <c r="D93" s="8"/>
      <c r="E93" s="7"/>
      <c r="F93" s="6"/>
      <c r="G93" s="6"/>
      <c r="H93" s="5"/>
      <c r="I93" s="5"/>
      <c r="J93" s="5"/>
      <c r="K93" s="6"/>
      <c r="L93" s="178"/>
      <c r="M93" s="6"/>
      <c r="N93" s="2"/>
    </row>
    <row r="94" spans="3:14" ht="14.25" customHeight="1">
      <c r="C94" s="8"/>
      <c r="D94" s="8"/>
      <c r="E94" s="7"/>
      <c r="F94" s="6"/>
      <c r="G94" s="6"/>
      <c r="H94" s="5"/>
      <c r="I94" s="5"/>
      <c r="J94" s="5"/>
      <c r="K94" s="6"/>
      <c r="L94" s="178"/>
      <c r="M94" s="6"/>
      <c r="N94" s="2"/>
    </row>
    <row r="95" spans="3:14" ht="14.25" customHeight="1">
      <c r="C95" s="8"/>
      <c r="D95" s="8"/>
      <c r="E95" s="7"/>
      <c r="F95" s="6"/>
      <c r="G95" s="6"/>
      <c r="H95" s="5"/>
      <c r="I95" s="5"/>
      <c r="J95" s="5"/>
      <c r="K95" s="6"/>
      <c r="L95" s="178"/>
      <c r="M95" s="6"/>
      <c r="N95" s="2"/>
    </row>
    <row r="96" spans="3:14" ht="14.25" customHeight="1">
      <c r="C96" s="8"/>
      <c r="D96" s="8"/>
      <c r="E96" s="7"/>
      <c r="F96" s="6"/>
      <c r="G96" s="6"/>
      <c r="H96" s="5"/>
      <c r="I96" s="5"/>
      <c r="J96" s="5"/>
      <c r="K96" s="6"/>
      <c r="L96" s="178"/>
      <c r="M96" s="6"/>
      <c r="N96" s="2"/>
    </row>
    <row r="97" spans="3:14" ht="14.25" customHeight="1">
      <c r="C97" s="8"/>
      <c r="D97" s="8"/>
      <c r="E97" s="7"/>
      <c r="F97" s="6"/>
      <c r="G97" s="6"/>
      <c r="H97" s="5"/>
      <c r="I97" s="5"/>
      <c r="J97" s="5"/>
      <c r="K97" s="6"/>
      <c r="L97" s="178"/>
      <c r="M97" s="3"/>
      <c r="N97" s="2"/>
    </row>
    <row r="98" spans="3:14" ht="14.25" customHeight="1">
      <c r="C98" s="8"/>
      <c r="D98" s="8"/>
      <c r="E98" s="7"/>
      <c r="F98" s="6"/>
      <c r="G98" s="5"/>
      <c r="H98" s="5"/>
      <c r="I98" s="5"/>
      <c r="J98" s="5"/>
      <c r="K98" s="4"/>
      <c r="L98" s="178"/>
      <c r="M98" s="3"/>
      <c r="N98" s="2"/>
    </row>
    <row r="99" spans="3:14" ht="14.25" customHeight="1">
      <c r="C99" s="19"/>
      <c r="D99" s="19"/>
      <c r="E99" s="19"/>
      <c r="F99" s="19"/>
      <c r="G99" s="19"/>
      <c r="H99" s="19"/>
      <c r="I99" s="19"/>
      <c r="J99" s="19"/>
      <c r="K99" s="19"/>
      <c r="L99" s="146"/>
      <c r="M99" s="19"/>
      <c r="N99" s="19"/>
    </row>
    <row r="100" spans="3:14" ht="14.25" customHeight="1">
      <c r="C100" s="31"/>
      <c r="D100" s="27"/>
      <c r="E100" s="20"/>
      <c r="F100" s="28"/>
      <c r="G100" s="28"/>
      <c r="H100" s="26"/>
      <c r="I100" s="26"/>
      <c r="J100" s="26"/>
      <c r="K100" s="28"/>
      <c r="L100" s="179"/>
      <c r="M100" s="28"/>
      <c r="N100" s="27"/>
    </row>
    <row r="101" spans="3:14" s="1" customFormat="1" ht="14.25" customHeight="1">
      <c r="C101" s="31"/>
      <c r="D101" s="27"/>
      <c r="E101" s="21"/>
      <c r="F101" s="28"/>
      <c r="G101" s="28"/>
      <c r="H101" s="26"/>
      <c r="I101" s="26"/>
      <c r="J101" s="26"/>
      <c r="K101" s="28"/>
      <c r="L101" s="179"/>
      <c r="M101" s="28"/>
      <c r="N101" s="27"/>
    </row>
    <row r="102" spans="3:14" s="1" customFormat="1" ht="14.25" customHeight="1">
      <c r="C102" s="30"/>
      <c r="D102" s="25"/>
      <c r="E102" s="21"/>
      <c r="F102" s="22"/>
      <c r="G102" s="22"/>
      <c r="H102" s="23"/>
      <c r="I102" s="23"/>
      <c r="J102" s="23"/>
      <c r="K102" s="22"/>
      <c r="L102" s="180"/>
      <c r="M102" s="22"/>
      <c r="N102" s="25"/>
    </row>
  </sheetData>
  <mergeCells count="5">
    <mergeCell ref="C2:G2"/>
    <mergeCell ref="H2:J2"/>
    <mergeCell ref="K2:L2"/>
    <mergeCell ref="M2:M3"/>
    <mergeCell ref="N2:N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B7908-41A5-4355-91BF-0AF4A6F041F5}">
  <sheetPr>
    <tabColor rgb="FFFFC000"/>
  </sheetPr>
  <dimension ref="A2:O102"/>
  <sheetViews>
    <sheetView zoomScale="87" workbookViewId="0">
      <pane ySplit="4" topLeftCell="A9" activePane="bottomLeft" state="frozen"/>
      <selection pane="bottomLeft" activeCell="L25" sqref="L25"/>
    </sheetView>
  </sheetViews>
  <sheetFormatPr defaultRowHeight="15"/>
  <cols>
    <col min="3" max="3" width="29.42578125" customWidth="1"/>
    <col min="4" max="4" width="20.5703125"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style="99" customWidth="1"/>
    <col min="13" max="13" width="16.28515625" customWidth="1"/>
    <col min="14" max="14" width="12.85546875" customWidth="1"/>
  </cols>
  <sheetData>
    <row r="2" spans="1:15">
      <c r="C2" s="2627" t="s">
        <v>30</v>
      </c>
      <c r="D2" s="2627"/>
      <c r="E2" s="2627"/>
      <c r="F2" s="2627"/>
      <c r="G2" s="2627"/>
      <c r="H2" s="2628" t="s">
        <v>29</v>
      </c>
      <c r="I2" s="2628"/>
      <c r="J2" s="2628"/>
      <c r="K2" s="2627" t="s">
        <v>28</v>
      </c>
      <c r="L2" s="2627"/>
      <c r="M2" s="2628" t="s">
        <v>27</v>
      </c>
      <c r="N2" s="2628" t="s">
        <v>26</v>
      </c>
    </row>
    <row r="3" spans="1:15" ht="72">
      <c r="C3" s="10" t="s">
        <v>25</v>
      </c>
      <c r="D3" s="13" t="s">
        <v>24</v>
      </c>
      <c r="E3" s="12" t="s">
        <v>23</v>
      </c>
      <c r="F3" s="10" t="s">
        <v>22</v>
      </c>
      <c r="G3" s="11" t="s">
        <v>21</v>
      </c>
      <c r="H3" s="11" t="s">
        <v>20</v>
      </c>
      <c r="I3" s="11" t="s">
        <v>19</v>
      </c>
      <c r="J3" s="11" t="s">
        <v>18</v>
      </c>
      <c r="K3" s="10" t="s">
        <v>17</v>
      </c>
      <c r="L3" s="159" t="s">
        <v>16</v>
      </c>
      <c r="M3" s="2628"/>
      <c r="N3" s="2628"/>
    </row>
    <row r="4" spans="1:15">
      <c r="C4" s="9" t="s">
        <v>15</v>
      </c>
      <c r="D4" s="9" t="s">
        <v>14</v>
      </c>
      <c r="E4" s="9" t="s">
        <v>13</v>
      </c>
      <c r="F4" s="9" t="s">
        <v>12</v>
      </c>
      <c r="G4" s="9" t="s">
        <v>11</v>
      </c>
      <c r="H4" s="9" t="s">
        <v>10</v>
      </c>
      <c r="I4" s="9" t="s">
        <v>9</v>
      </c>
      <c r="J4" s="9" t="s">
        <v>8</v>
      </c>
      <c r="K4" s="9" t="s">
        <v>7</v>
      </c>
      <c r="L4" s="160" t="s">
        <v>6</v>
      </c>
      <c r="M4" s="9" t="s">
        <v>5</v>
      </c>
      <c r="N4" s="9" t="s">
        <v>4</v>
      </c>
    </row>
    <row r="5" spans="1:15" s="355" customFormat="1" ht="13.5">
      <c r="C5" s="616" t="s">
        <v>451</v>
      </c>
      <c r="D5" s="751"/>
      <c r="E5" s="752"/>
      <c r="F5" s="751"/>
      <c r="G5" s="751"/>
      <c r="H5" s="751"/>
      <c r="I5" s="751"/>
      <c r="J5" s="751"/>
      <c r="K5" s="751"/>
      <c r="L5" s="753"/>
      <c r="M5" s="751"/>
      <c r="N5" s="754"/>
    </row>
    <row r="6" spans="1:15" s="355" customFormat="1" ht="14.25" customHeight="1">
      <c r="A6" s="301"/>
      <c r="B6" s="302"/>
      <c r="C6" s="2645" t="s">
        <v>149</v>
      </c>
      <c r="D6" s="2646"/>
      <c r="E6" s="2646"/>
      <c r="F6" s="2646"/>
      <c r="G6" s="2646"/>
      <c r="H6" s="2646"/>
      <c r="I6" s="2646"/>
      <c r="J6" s="2646"/>
      <c r="K6" s="2646"/>
      <c r="L6" s="2646"/>
      <c r="M6" s="2646"/>
      <c r="N6" s="2646"/>
      <c r="O6" s="2650"/>
    </row>
    <row r="7" spans="1:15" s="355" customFormat="1" ht="14.25" customHeight="1">
      <c r="A7" s="438" t="s">
        <v>438</v>
      </c>
      <c r="B7" s="302" t="s">
        <v>102</v>
      </c>
      <c r="C7" s="444" t="s">
        <v>444</v>
      </c>
      <c r="D7" s="549" t="s">
        <v>2</v>
      </c>
      <c r="E7" s="420" t="s">
        <v>94</v>
      </c>
      <c r="F7" s="438" t="s">
        <v>3</v>
      </c>
      <c r="G7" s="441" t="s">
        <v>1</v>
      </c>
      <c r="H7" s="504" t="s">
        <v>95</v>
      </c>
      <c r="I7" s="504" t="s">
        <v>96</v>
      </c>
      <c r="J7" s="504" t="s">
        <v>97</v>
      </c>
      <c r="K7" s="438" t="s">
        <v>98</v>
      </c>
      <c r="L7" s="505">
        <v>210000</v>
      </c>
      <c r="M7" s="438" t="s">
        <v>99</v>
      </c>
      <c r="N7" s="352"/>
      <c r="O7" s="348"/>
    </row>
    <row r="8" spans="1:15" s="355" customFormat="1" ht="14.25" customHeight="1">
      <c r="A8" s="438" t="s">
        <v>438</v>
      </c>
      <c r="B8" s="302" t="s">
        <v>102</v>
      </c>
      <c r="C8" s="438" t="s">
        <v>451</v>
      </c>
      <c r="D8" s="349" t="s">
        <v>394</v>
      </c>
      <c r="E8" s="352" t="s">
        <v>446</v>
      </c>
      <c r="F8" s="438"/>
      <c r="G8" s="441"/>
      <c r="H8" s="504"/>
      <c r="I8" s="504"/>
      <c r="J8" s="504"/>
      <c r="K8" s="438" t="s">
        <v>104</v>
      </c>
      <c r="L8" s="505"/>
      <c r="M8" s="438"/>
      <c r="N8" s="352"/>
      <c r="O8" s="348"/>
    </row>
    <row r="9" spans="1:15" s="355" customFormat="1" ht="14.25" customHeight="1">
      <c r="A9" s="438" t="s">
        <v>438</v>
      </c>
      <c r="B9" s="302" t="s">
        <v>102</v>
      </c>
      <c r="C9" s="438" t="s">
        <v>159</v>
      </c>
      <c r="D9" s="349" t="s">
        <v>395</v>
      </c>
      <c r="E9" s="352" t="s">
        <v>393</v>
      </c>
      <c r="F9" s="438"/>
      <c r="G9" s="441"/>
      <c r="H9" s="504"/>
      <c r="I9" s="504"/>
      <c r="J9" s="504"/>
      <c r="K9" s="438"/>
      <c r="L9" s="505"/>
      <c r="M9" s="438"/>
      <c r="N9" s="352"/>
      <c r="O9" s="348"/>
    </row>
    <row r="10" spans="1:15" s="355" customFormat="1" ht="14.25" customHeight="1">
      <c r="A10" s="438" t="s">
        <v>438</v>
      </c>
      <c r="B10" s="302" t="s">
        <v>102</v>
      </c>
      <c r="C10" s="438" t="s">
        <v>441</v>
      </c>
      <c r="D10" s="763"/>
      <c r="E10" s="358"/>
      <c r="F10" s="360"/>
      <c r="G10" s="438"/>
      <c r="H10" s="441"/>
      <c r="I10" s="504"/>
      <c r="J10" s="504"/>
      <c r="K10" s="504"/>
      <c r="L10" s="519"/>
      <c r="M10" s="507"/>
      <c r="N10" s="438"/>
      <c r="O10" s="348"/>
    </row>
    <row r="11" spans="1:15" s="355" customFormat="1" ht="14.25" customHeight="1">
      <c r="A11" s="438" t="s">
        <v>438</v>
      </c>
      <c r="B11" s="302" t="s">
        <v>102</v>
      </c>
      <c r="C11" s="438" t="s">
        <v>442</v>
      </c>
      <c r="D11" s="763"/>
      <c r="E11" s="358"/>
      <c r="F11" s="360"/>
      <c r="G11" s="437"/>
      <c r="H11" s="438"/>
      <c r="I11" s="439"/>
      <c r="J11" s="439"/>
      <c r="K11" s="439"/>
      <c r="L11" s="519"/>
      <c r="M11" s="440"/>
      <c r="N11" s="440"/>
      <c r="O11" s="438"/>
    </row>
    <row r="12" spans="1:15" s="355" customFormat="1" ht="14.25" customHeight="1">
      <c r="A12" s="438" t="s">
        <v>438</v>
      </c>
      <c r="B12" s="302" t="s">
        <v>102</v>
      </c>
      <c r="C12" s="438" t="s">
        <v>443</v>
      </c>
      <c r="D12" s="855"/>
      <c r="E12" s="420"/>
      <c r="F12" s="769"/>
      <c r="G12" s="437"/>
      <c r="H12" s="441"/>
      <c r="I12" s="442"/>
      <c r="J12" s="442"/>
      <c r="K12" s="439"/>
      <c r="L12" s="519"/>
      <c r="M12" s="443"/>
      <c r="N12" s="440"/>
      <c r="O12" s="438"/>
    </row>
    <row r="13" spans="1:15" s="355" customFormat="1" ht="14.25" customHeight="1">
      <c r="A13" s="301"/>
      <c r="B13" s="302"/>
      <c r="D13" s="767"/>
      <c r="E13" s="592"/>
      <c r="F13" s="436"/>
      <c r="G13" s="437"/>
      <c r="H13" s="441"/>
      <c r="I13" s="442"/>
      <c r="J13" s="442"/>
      <c r="K13" s="439"/>
      <c r="L13" s="519"/>
      <c r="M13" s="443"/>
      <c r="N13" s="440"/>
      <c r="O13" s="438"/>
    </row>
    <row r="14" spans="1:15" s="355" customFormat="1" ht="14.25" customHeight="1">
      <c r="A14" s="301"/>
      <c r="B14" s="302"/>
      <c r="C14" s="730"/>
      <c r="D14" s="730"/>
      <c r="E14" s="350"/>
      <c r="F14" s="730"/>
      <c r="G14" s="730"/>
      <c r="H14" s="731"/>
      <c r="I14" s="731"/>
      <c r="J14" s="731"/>
      <c r="K14" s="731"/>
      <c r="L14" s="32"/>
      <c r="M14" s="862"/>
      <c r="N14" s="731"/>
      <c r="O14" s="731"/>
    </row>
    <row r="15" spans="1:15" s="355" customFormat="1" ht="14.25" customHeight="1">
      <c r="A15" s="301" t="s">
        <v>590</v>
      </c>
      <c r="B15" s="302" t="s">
        <v>589</v>
      </c>
      <c r="C15" s="863" t="s">
        <v>588</v>
      </c>
      <c r="D15" s="856"/>
      <c r="E15" s="857"/>
      <c r="F15" s="395"/>
      <c r="G15" s="858"/>
      <c r="H15" s="859"/>
      <c r="I15" s="859"/>
      <c r="J15" s="856"/>
      <c r="K15" s="856"/>
      <c r="L15" s="860"/>
      <c r="M15" s="861"/>
      <c r="N15" s="856"/>
      <c r="O15" s="352"/>
    </row>
    <row r="16" spans="1:15" s="355" customFormat="1" ht="14.25" customHeight="1">
      <c r="A16" s="301" t="s">
        <v>590</v>
      </c>
      <c r="B16" s="302" t="s">
        <v>589</v>
      </c>
      <c r="C16" s="393" t="s">
        <v>572</v>
      </c>
      <c r="D16" s="393" t="s">
        <v>2</v>
      </c>
      <c r="E16" s="394" t="s">
        <v>573</v>
      </c>
      <c r="F16" s="395" t="s">
        <v>574</v>
      </c>
      <c r="G16" s="396" t="s">
        <v>1</v>
      </c>
      <c r="H16" s="397" t="s">
        <v>575</v>
      </c>
      <c r="I16" s="397" t="s">
        <v>576</v>
      </c>
      <c r="J16" s="487" t="s">
        <v>577</v>
      </c>
      <c r="K16" s="395" t="s">
        <v>578</v>
      </c>
      <c r="L16" s="399">
        <v>80000</v>
      </c>
      <c r="M16" s="393" t="s">
        <v>579</v>
      </c>
      <c r="N16" s="393" t="s">
        <v>580</v>
      </c>
    </row>
    <row r="17" spans="1:15" s="355" customFormat="1" ht="14.25" customHeight="1">
      <c r="A17" s="301" t="s">
        <v>590</v>
      </c>
      <c r="B17" s="302" t="s">
        <v>589</v>
      </c>
      <c r="C17" s="393" t="s">
        <v>581</v>
      </c>
      <c r="D17" s="393"/>
      <c r="E17" s="394" t="s">
        <v>582</v>
      </c>
      <c r="F17" s="395" t="s">
        <v>583</v>
      </c>
      <c r="G17" s="396"/>
      <c r="H17" s="397"/>
      <c r="I17" s="397"/>
      <c r="J17" s="393"/>
      <c r="K17" s="398" t="s">
        <v>451</v>
      </c>
      <c r="L17" s="399"/>
      <c r="M17" s="395" t="s">
        <v>584</v>
      </c>
      <c r="N17" s="393" t="s">
        <v>585</v>
      </c>
    </row>
    <row r="18" spans="1:15" s="355" customFormat="1" ht="14.25" customHeight="1">
      <c r="A18" s="301" t="s">
        <v>590</v>
      </c>
      <c r="B18" s="302" t="s">
        <v>589</v>
      </c>
      <c r="C18" s="393" t="s">
        <v>586</v>
      </c>
      <c r="D18" s="393"/>
      <c r="E18" s="394"/>
      <c r="F18" s="395"/>
      <c r="G18" s="396"/>
      <c r="H18" s="393"/>
      <c r="I18" s="393"/>
      <c r="J18" s="393"/>
      <c r="K18" s="393"/>
      <c r="L18" s="399"/>
      <c r="M18" s="393" t="s">
        <v>587</v>
      </c>
      <c r="N18" s="393"/>
    </row>
    <row r="19" spans="1:15" s="355" customFormat="1" ht="14.25" customHeight="1">
      <c r="A19" s="513"/>
      <c r="B19" s="302"/>
      <c r="C19" s="513"/>
      <c r="D19" s="324"/>
      <c r="E19" s="325"/>
      <c r="F19" s="513"/>
      <c r="G19" s="514"/>
      <c r="H19" s="515"/>
      <c r="I19" s="515"/>
      <c r="J19" s="515"/>
      <c r="K19" s="513"/>
      <c r="L19" s="516"/>
      <c r="M19" s="513"/>
      <c r="N19" s="329"/>
    </row>
    <row r="20" spans="1:15" s="355" customFormat="1" ht="14.25" customHeight="1">
      <c r="A20" s="513"/>
      <c r="B20" s="302"/>
      <c r="C20" s="513"/>
      <c r="D20" s="330"/>
      <c r="E20" s="331"/>
      <c r="F20" s="332"/>
      <c r="G20" s="513"/>
      <c r="H20" s="514"/>
      <c r="I20" s="515"/>
      <c r="J20" s="515"/>
      <c r="K20" s="515"/>
      <c r="L20" s="864"/>
      <c r="M20" s="517"/>
      <c r="N20" s="513"/>
      <c r="O20" s="329"/>
    </row>
    <row r="21" spans="1:15" s="355" customFormat="1" ht="63.6" customHeight="1">
      <c r="A21" s="438" t="s">
        <v>1023</v>
      </c>
      <c r="B21" s="563" t="s">
        <v>1024</v>
      </c>
      <c r="C21" s="410" t="s">
        <v>1282</v>
      </c>
      <c r="D21" s="309" t="s">
        <v>1038</v>
      </c>
      <c r="E21" s="304"/>
      <c r="F21" s="304"/>
      <c r="G21" s="313" t="s">
        <v>1</v>
      </c>
      <c r="H21" s="307" t="s">
        <v>652</v>
      </c>
      <c r="I21" s="307" t="s">
        <v>653</v>
      </c>
      <c r="J21" s="307" t="s">
        <v>1037</v>
      </c>
      <c r="K21" s="308" t="s">
        <v>748</v>
      </c>
      <c r="L21" s="312">
        <v>180000</v>
      </c>
      <c r="M21" s="306"/>
      <c r="N21" s="852"/>
    </row>
    <row r="22" spans="1:15" ht="27" customHeight="1">
      <c r="A22" s="125"/>
      <c r="B22" s="63"/>
      <c r="C22" s="86"/>
      <c r="D22" s="87"/>
      <c r="E22" s="136"/>
      <c r="F22" s="87"/>
      <c r="G22" s="88"/>
      <c r="H22" s="89"/>
      <c r="I22" s="89"/>
      <c r="J22" s="89"/>
      <c r="K22" s="87"/>
      <c r="L22" s="98"/>
      <c r="M22" s="87"/>
      <c r="N22" s="19"/>
      <c r="O22" s="77"/>
    </row>
    <row r="23" spans="1:15" ht="14.25" customHeight="1">
      <c r="A23" s="125"/>
      <c r="B23" s="63"/>
      <c r="C23" s="58"/>
      <c r="D23" s="96"/>
      <c r="E23" s="96"/>
      <c r="F23" s="58"/>
      <c r="G23" s="59"/>
      <c r="H23" s="60"/>
      <c r="I23" s="60"/>
      <c r="J23" s="60"/>
      <c r="K23" s="58"/>
      <c r="L23" s="64"/>
      <c r="M23" s="58"/>
      <c r="N23" s="19"/>
      <c r="O23" s="62"/>
    </row>
    <row r="24" spans="1:15" ht="14.25" customHeight="1">
      <c r="A24" s="125"/>
      <c r="B24" s="63"/>
      <c r="C24" s="58"/>
      <c r="D24" s="78"/>
      <c r="E24" s="79"/>
      <c r="F24" s="58"/>
      <c r="G24" s="59"/>
      <c r="H24" s="60"/>
      <c r="I24" s="60"/>
      <c r="J24" s="60"/>
      <c r="K24" s="58"/>
      <c r="L24" s="64"/>
      <c r="M24" s="58"/>
      <c r="N24" s="19"/>
      <c r="O24" s="62"/>
    </row>
    <row r="25" spans="1:15" ht="14.25" customHeight="1">
      <c r="A25" s="125"/>
      <c r="B25" s="63"/>
      <c r="C25" s="58"/>
      <c r="D25" s="78"/>
      <c r="E25" s="79"/>
      <c r="F25" s="58"/>
      <c r="G25" s="59"/>
      <c r="H25" s="60"/>
      <c r="I25" s="60"/>
      <c r="J25" s="60"/>
      <c r="K25" s="58"/>
      <c r="L25" s="2392">
        <f>SUM(L6:L24)</f>
        <v>470000</v>
      </c>
      <c r="M25" s="58"/>
      <c r="N25" s="19"/>
      <c r="O25" s="62"/>
    </row>
    <row r="26" spans="1:15" ht="14.25" customHeight="1">
      <c r="A26" s="125"/>
      <c r="B26" s="63"/>
      <c r="C26" s="58"/>
      <c r="D26" s="78"/>
      <c r="E26" s="79"/>
      <c r="F26" s="58"/>
      <c r="G26" s="59"/>
      <c r="H26" s="60"/>
      <c r="I26" s="60"/>
      <c r="J26" s="60"/>
      <c r="K26" s="58"/>
      <c r="L26" s="64"/>
      <c r="M26" s="58"/>
      <c r="N26" s="19"/>
      <c r="O26" s="62"/>
    </row>
    <row r="27" spans="1:15" ht="14.25" customHeight="1">
      <c r="A27" s="125"/>
      <c r="B27" s="63"/>
      <c r="C27" s="58"/>
      <c r="D27" s="90"/>
      <c r="E27" s="94"/>
      <c r="F27" s="90"/>
      <c r="G27" s="90"/>
      <c r="H27" s="91"/>
      <c r="I27" s="91"/>
      <c r="J27" s="91"/>
      <c r="K27" s="91"/>
      <c r="L27" s="101"/>
      <c r="M27" s="93"/>
      <c r="N27" s="91"/>
      <c r="O27" s="91"/>
    </row>
    <row r="28" spans="1:15" ht="14.25" customHeight="1">
      <c r="A28" s="125"/>
      <c r="B28" s="63"/>
      <c r="C28" s="58"/>
      <c r="D28" s="90"/>
      <c r="E28" s="94"/>
      <c r="F28" s="90"/>
      <c r="G28" s="90"/>
      <c r="H28" s="91"/>
      <c r="I28" s="91"/>
      <c r="J28" s="91"/>
      <c r="K28" s="91"/>
      <c r="L28" s="101"/>
      <c r="M28" s="93"/>
      <c r="N28" s="91"/>
      <c r="O28" s="124"/>
    </row>
    <row r="29" spans="1:15" ht="22.5" customHeight="1">
      <c r="A29" s="125"/>
      <c r="B29" s="63"/>
      <c r="C29" s="86"/>
      <c r="D29" s="87"/>
      <c r="E29" s="95"/>
      <c r="F29" s="87"/>
      <c r="G29" s="88"/>
      <c r="H29" s="89"/>
      <c r="I29" s="89"/>
      <c r="J29" s="89"/>
      <c r="K29" s="87"/>
      <c r="L29" s="98"/>
      <c r="M29" s="87"/>
      <c r="N29" s="19"/>
      <c r="O29" s="77"/>
    </row>
    <row r="30" spans="1:15" ht="14.25" customHeight="1">
      <c r="A30" s="125"/>
      <c r="B30" s="63"/>
      <c r="C30" s="58"/>
      <c r="D30" s="96"/>
      <c r="E30" s="97"/>
      <c r="F30" s="58"/>
      <c r="G30" s="59"/>
      <c r="H30" s="60"/>
      <c r="I30" s="60"/>
      <c r="J30" s="60"/>
      <c r="K30" s="58"/>
      <c r="L30" s="64"/>
      <c r="M30" s="58"/>
      <c r="N30" s="19"/>
      <c r="O30" s="62"/>
    </row>
    <row r="31" spans="1:15" ht="14.25" customHeight="1">
      <c r="A31" s="125"/>
      <c r="B31" s="63"/>
      <c r="C31" s="58"/>
      <c r="D31" s="79"/>
      <c r="E31" s="81"/>
      <c r="F31" s="58"/>
      <c r="G31" s="59"/>
      <c r="H31" s="60"/>
      <c r="I31" s="60"/>
      <c r="J31" s="60"/>
      <c r="K31" s="58"/>
      <c r="L31" s="64"/>
      <c r="M31" s="58"/>
      <c r="N31" s="19"/>
      <c r="O31" s="62"/>
    </row>
    <row r="32" spans="1:15">
      <c r="A32" s="125"/>
      <c r="B32" s="63"/>
      <c r="C32" s="58"/>
      <c r="D32" s="79"/>
      <c r="E32" s="81"/>
      <c r="F32" s="58"/>
      <c r="G32" s="59"/>
      <c r="H32" s="60"/>
      <c r="I32" s="60"/>
      <c r="J32" s="60"/>
      <c r="K32" s="58"/>
      <c r="L32" s="64"/>
      <c r="M32" s="58"/>
      <c r="N32" s="19"/>
      <c r="O32" s="62"/>
    </row>
    <row r="33" spans="1:15">
      <c r="A33" s="125"/>
      <c r="B33" s="63"/>
      <c r="C33" s="58"/>
      <c r="D33" s="78"/>
      <c r="E33" s="79"/>
      <c r="F33" s="58"/>
      <c r="G33" s="59"/>
      <c r="H33" s="60"/>
      <c r="I33" s="60"/>
      <c r="J33" s="60"/>
      <c r="K33" s="58"/>
      <c r="L33" s="64"/>
      <c r="M33" s="58"/>
      <c r="N33" s="19"/>
      <c r="O33" s="62"/>
    </row>
    <row r="34" spans="1:15">
      <c r="C34" s="58"/>
      <c r="D34" s="90"/>
      <c r="E34" s="94"/>
      <c r="F34" s="90"/>
      <c r="G34" s="91"/>
      <c r="H34" s="91"/>
      <c r="I34" s="91"/>
      <c r="J34" s="91"/>
      <c r="K34" s="92"/>
      <c r="L34" s="101"/>
      <c r="M34" s="91"/>
      <c r="N34" s="19"/>
      <c r="O34" s="91"/>
    </row>
    <row r="35" spans="1:15">
      <c r="A35" s="125"/>
      <c r="B35" s="63"/>
      <c r="C35" s="86"/>
      <c r="D35" s="87"/>
      <c r="E35" s="95"/>
      <c r="F35" s="87"/>
      <c r="G35" s="88"/>
      <c r="H35" s="89"/>
      <c r="I35" s="89"/>
      <c r="J35" s="89"/>
      <c r="K35" s="87"/>
      <c r="L35" s="98"/>
      <c r="M35" s="87"/>
      <c r="N35" s="19"/>
      <c r="O35" s="77"/>
    </row>
    <row r="36" spans="1:15">
      <c r="A36" s="125"/>
      <c r="B36" s="63"/>
      <c r="C36" s="58"/>
      <c r="D36" s="96"/>
      <c r="E36" s="96"/>
      <c r="F36" s="58"/>
      <c r="G36" s="59"/>
      <c r="H36" s="60"/>
      <c r="I36" s="60"/>
      <c r="J36" s="60"/>
      <c r="K36" s="58"/>
      <c r="L36" s="64"/>
      <c r="M36" s="58"/>
      <c r="N36" s="19"/>
      <c r="O36" s="62"/>
    </row>
    <row r="37" spans="1:15">
      <c r="A37" s="125"/>
      <c r="B37" s="63"/>
      <c r="C37" s="58"/>
      <c r="D37" s="78"/>
      <c r="E37" s="79"/>
      <c r="F37" s="80"/>
      <c r="G37" s="58"/>
      <c r="H37" s="59"/>
      <c r="I37" s="60"/>
      <c r="J37" s="60"/>
      <c r="K37" s="60"/>
      <c r="L37" s="100"/>
      <c r="M37" s="61"/>
      <c r="N37" s="58"/>
      <c r="O37" s="62"/>
    </row>
    <row r="38" spans="1:15">
      <c r="A38" s="125"/>
      <c r="B38" s="63"/>
      <c r="C38" s="58"/>
      <c r="D38" s="78"/>
      <c r="E38" s="79"/>
      <c r="F38" s="80"/>
      <c r="G38" s="58"/>
      <c r="H38" s="59"/>
      <c r="I38" s="60"/>
      <c r="J38" s="60"/>
      <c r="K38" s="60"/>
      <c r="L38" s="100"/>
      <c r="M38" s="61"/>
      <c r="N38" s="58"/>
      <c r="O38" s="62"/>
    </row>
    <row r="39" spans="1:15">
      <c r="A39" s="125"/>
      <c r="B39" s="63"/>
      <c r="C39" s="58"/>
      <c r="D39" s="78"/>
      <c r="E39" s="79"/>
      <c r="F39" s="80"/>
      <c r="G39" s="58"/>
      <c r="H39" s="59"/>
      <c r="I39" s="60"/>
      <c r="J39" s="60"/>
      <c r="K39" s="60"/>
      <c r="L39" s="100"/>
      <c r="M39" s="61"/>
      <c r="N39" s="58"/>
      <c r="O39" s="62"/>
    </row>
    <row r="40" spans="1:15">
      <c r="A40" s="125"/>
      <c r="B40" s="63"/>
      <c r="C40" s="58"/>
      <c r="D40" s="90"/>
      <c r="E40" s="94"/>
      <c r="F40" s="90"/>
      <c r="G40" s="90"/>
      <c r="H40" s="91"/>
      <c r="I40" s="91"/>
      <c r="J40" s="91"/>
      <c r="K40" s="91"/>
      <c r="L40" s="101"/>
      <c r="M40" s="93"/>
      <c r="N40" s="91"/>
      <c r="O40" s="124"/>
    </row>
    <row r="41" spans="1:15">
      <c r="A41" s="125"/>
      <c r="B41" s="63"/>
      <c r="C41" s="86"/>
      <c r="D41" s="87"/>
      <c r="E41" s="95"/>
      <c r="F41" s="87"/>
      <c r="G41" s="88"/>
      <c r="H41" s="89"/>
      <c r="I41" s="89"/>
      <c r="J41" s="89"/>
      <c r="K41" s="87"/>
      <c r="L41" s="98"/>
      <c r="M41" s="87"/>
      <c r="N41" s="19"/>
      <c r="O41" s="77"/>
    </row>
    <row r="42" spans="1:15">
      <c r="A42" s="125"/>
      <c r="B42" s="63"/>
      <c r="C42" s="58"/>
      <c r="D42" s="138"/>
      <c r="E42" s="96"/>
      <c r="F42" s="58"/>
      <c r="G42" s="59"/>
      <c r="H42" s="60"/>
      <c r="I42" s="60"/>
      <c r="J42" s="60"/>
      <c r="K42" s="58"/>
      <c r="L42" s="64"/>
      <c r="M42" s="58"/>
      <c r="N42" s="19"/>
      <c r="O42" s="62"/>
    </row>
    <row r="43" spans="1:15">
      <c r="A43" s="125"/>
      <c r="B43" s="63"/>
      <c r="C43" s="58"/>
      <c r="D43" s="79"/>
      <c r="E43" s="79"/>
      <c r="F43" s="58"/>
      <c r="G43" s="59"/>
      <c r="H43" s="60"/>
      <c r="I43" s="60"/>
      <c r="J43" s="60"/>
      <c r="K43" s="58"/>
      <c r="L43" s="64"/>
      <c r="M43" s="58"/>
      <c r="N43" s="19"/>
      <c r="O43" s="62"/>
    </row>
    <row r="44" spans="1:15">
      <c r="A44" s="125"/>
      <c r="B44" s="63"/>
      <c r="C44" s="58"/>
      <c r="D44" s="78"/>
      <c r="E44" s="79"/>
      <c r="F44" s="80"/>
      <c r="G44" s="58"/>
      <c r="H44" s="59"/>
      <c r="I44" s="60"/>
      <c r="J44" s="60"/>
      <c r="K44" s="60"/>
      <c r="L44" s="100"/>
      <c r="M44" s="61"/>
      <c r="N44" s="58"/>
      <c r="O44" s="62"/>
    </row>
    <row r="45" spans="1:15">
      <c r="A45" s="125"/>
      <c r="B45" s="63"/>
      <c r="C45" s="58"/>
      <c r="D45" s="78"/>
      <c r="E45" s="79"/>
      <c r="F45" s="80"/>
      <c r="G45" s="58"/>
      <c r="H45" s="59"/>
      <c r="I45" s="60"/>
      <c r="J45" s="60"/>
      <c r="K45" s="60"/>
      <c r="L45" s="100"/>
      <c r="M45" s="61"/>
      <c r="N45" s="58"/>
      <c r="O45" s="62"/>
    </row>
    <row r="46" spans="1:15">
      <c r="C46" s="58"/>
      <c r="D46" s="90"/>
      <c r="E46" s="94"/>
      <c r="F46" s="90"/>
      <c r="G46" s="90"/>
      <c r="H46" s="91"/>
      <c r="I46" s="91"/>
      <c r="J46" s="91"/>
      <c r="K46" s="91"/>
      <c r="L46" s="101"/>
      <c r="M46" s="93"/>
      <c r="N46" s="91"/>
      <c r="O46" s="124"/>
    </row>
    <row r="47" spans="1:15">
      <c r="C47" s="58"/>
      <c r="D47" s="90"/>
      <c r="E47" s="94"/>
      <c r="F47" s="90"/>
      <c r="G47" s="90"/>
      <c r="H47" s="91"/>
      <c r="I47" s="91"/>
      <c r="J47" s="91"/>
      <c r="K47" s="91"/>
      <c r="L47" s="101"/>
      <c r="M47" s="93"/>
      <c r="N47" s="91"/>
      <c r="O47" s="124"/>
    </row>
    <row r="48" spans="1:15">
      <c r="A48" s="125"/>
      <c r="B48" s="63"/>
      <c r="C48" s="86"/>
      <c r="D48" s="87"/>
      <c r="E48" s="86"/>
      <c r="F48" s="87"/>
      <c r="G48" s="88"/>
      <c r="H48" s="89"/>
      <c r="I48" s="89"/>
      <c r="J48" s="89"/>
      <c r="K48" s="87"/>
      <c r="L48" s="98"/>
      <c r="M48" s="87"/>
      <c r="N48" s="77"/>
    </row>
    <row r="49" spans="1:15">
      <c r="A49" s="125"/>
      <c r="B49" s="63"/>
      <c r="C49" s="58"/>
      <c r="D49" s="139"/>
      <c r="E49" s="19"/>
      <c r="F49" s="58"/>
      <c r="G49" s="59"/>
      <c r="H49" s="60"/>
      <c r="I49" s="60"/>
      <c r="J49" s="60"/>
      <c r="K49" s="58"/>
      <c r="L49" s="64"/>
      <c r="M49" s="58"/>
      <c r="N49" s="62"/>
    </row>
    <row r="50" spans="1:15">
      <c r="A50" s="125"/>
      <c r="B50" s="63"/>
      <c r="C50" s="58"/>
      <c r="D50" s="81"/>
      <c r="E50" s="19"/>
      <c r="F50" s="81"/>
      <c r="G50" s="58"/>
      <c r="H50" s="59"/>
      <c r="I50" s="60"/>
      <c r="J50" s="60"/>
      <c r="K50" s="60"/>
      <c r="L50" s="100"/>
      <c r="M50" s="61"/>
      <c r="N50" s="58"/>
      <c r="O50" s="62"/>
    </row>
    <row r="51" spans="1:15">
      <c r="A51" s="125"/>
      <c r="B51" s="63"/>
      <c r="C51" s="58"/>
      <c r="D51" s="78"/>
      <c r="E51" s="81"/>
      <c r="F51" s="81"/>
      <c r="G51" s="58"/>
      <c r="H51" s="59"/>
      <c r="I51" s="60"/>
      <c r="J51" s="60"/>
      <c r="K51" s="60"/>
      <c r="L51" s="100"/>
      <c r="M51" s="61"/>
      <c r="N51" s="58"/>
      <c r="O51" s="62"/>
    </row>
    <row r="52" spans="1:15">
      <c r="A52" s="125"/>
      <c r="B52" s="63"/>
      <c r="C52" s="58"/>
      <c r="D52" s="78"/>
      <c r="E52" s="81"/>
      <c r="F52" s="81"/>
      <c r="G52" s="58"/>
      <c r="H52" s="59"/>
      <c r="I52" s="60"/>
      <c r="J52" s="60"/>
      <c r="K52" s="60"/>
      <c r="L52" s="100"/>
      <c r="M52" s="61"/>
      <c r="N52" s="58"/>
      <c r="O52" s="62"/>
    </row>
    <row r="53" spans="1:15">
      <c r="C53" s="58"/>
      <c r="D53" s="90"/>
      <c r="E53" s="94"/>
      <c r="F53" s="90"/>
      <c r="G53" s="90"/>
      <c r="H53" s="91"/>
      <c r="I53" s="91"/>
      <c r="J53" s="91"/>
      <c r="K53" s="91"/>
      <c r="L53" s="101"/>
      <c r="M53" s="93"/>
      <c r="N53" s="91"/>
      <c r="O53" s="124"/>
    </row>
    <row r="54" spans="1:15">
      <c r="A54" s="58"/>
      <c r="B54" s="63"/>
      <c r="C54" s="86"/>
      <c r="D54" s="87"/>
      <c r="E54" s="95"/>
      <c r="F54" s="87"/>
      <c r="G54" s="88"/>
      <c r="H54" s="89"/>
      <c r="I54" s="89"/>
      <c r="J54" s="89"/>
      <c r="K54" s="87"/>
      <c r="L54" s="98"/>
      <c r="M54" s="87"/>
      <c r="O54" s="77"/>
    </row>
    <row r="55" spans="1:15">
      <c r="A55" s="58"/>
      <c r="B55" s="63"/>
      <c r="C55" s="58"/>
      <c r="D55" s="96"/>
      <c r="E55" s="19"/>
      <c r="F55" s="109"/>
      <c r="G55" s="59"/>
      <c r="H55" s="60"/>
      <c r="I55" s="60"/>
      <c r="J55" s="60"/>
      <c r="K55" s="58"/>
      <c r="L55" s="64"/>
      <c r="M55" s="58"/>
      <c r="O55" s="62"/>
    </row>
    <row r="56" spans="1:15">
      <c r="A56" s="58"/>
      <c r="B56" s="63"/>
      <c r="C56" s="58"/>
      <c r="D56" s="79"/>
      <c r="E56" s="19"/>
      <c r="F56" s="109"/>
      <c r="G56" s="59"/>
      <c r="H56" s="60"/>
      <c r="I56" s="60"/>
      <c r="J56" s="60"/>
      <c r="K56" s="58"/>
      <c r="L56" s="64"/>
      <c r="M56" s="58"/>
      <c r="O56" s="62"/>
    </row>
    <row r="57" spans="1:15">
      <c r="A57" s="58"/>
      <c r="B57" s="63"/>
      <c r="C57" s="58"/>
      <c r="D57" s="79"/>
      <c r="E57" s="19"/>
      <c r="F57" s="80"/>
      <c r="G57" s="58"/>
      <c r="H57" s="59"/>
      <c r="I57" s="60"/>
      <c r="J57" s="60"/>
      <c r="K57" s="60"/>
      <c r="L57" s="100"/>
      <c r="M57" s="61"/>
      <c r="N57" s="58"/>
      <c r="O57" s="62"/>
    </row>
    <row r="58" spans="1:15">
      <c r="A58" s="58"/>
      <c r="B58" s="63"/>
      <c r="C58" s="58"/>
      <c r="D58" s="78"/>
      <c r="E58" s="79"/>
      <c r="F58" s="81"/>
      <c r="G58" s="58"/>
      <c r="H58" s="59"/>
      <c r="I58" s="60"/>
      <c r="J58" s="60"/>
      <c r="K58" s="60"/>
      <c r="L58" s="100"/>
      <c r="M58" s="61"/>
      <c r="N58" s="58"/>
      <c r="O58" s="62"/>
    </row>
    <row r="59" spans="1:15">
      <c r="D59" s="90"/>
      <c r="E59" s="94"/>
      <c r="F59" s="90"/>
      <c r="G59" s="90"/>
      <c r="H59" s="91"/>
      <c r="I59" s="91"/>
      <c r="J59" s="91"/>
      <c r="K59" s="91"/>
      <c r="L59" s="101"/>
      <c r="M59" s="93"/>
      <c r="N59" s="91"/>
      <c r="O59" s="91"/>
    </row>
    <row r="60" spans="1:15">
      <c r="C60" s="58"/>
      <c r="D60" s="90"/>
      <c r="E60" s="94"/>
      <c r="F60" s="90"/>
      <c r="G60" s="90"/>
      <c r="H60" s="91"/>
      <c r="I60" s="91"/>
      <c r="J60" s="91"/>
      <c r="K60" s="91"/>
      <c r="L60" s="101"/>
      <c r="M60" s="93"/>
      <c r="N60" s="91"/>
      <c r="O60" s="124"/>
    </row>
    <row r="61" spans="1:15">
      <c r="C61" s="58"/>
      <c r="D61" s="90"/>
      <c r="E61" s="94"/>
      <c r="F61" s="90"/>
      <c r="G61" s="90"/>
      <c r="H61" s="91"/>
      <c r="I61" s="91"/>
      <c r="J61" s="91"/>
      <c r="K61" s="91"/>
      <c r="L61" s="101"/>
      <c r="M61" s="93"/>
      <c r="N61" s="91"/>
      <c r="O61" s="124"/>
    </row>
    <row r="62" spans="1:15">
      <c r="C62" s="58"/>
      <c r="D62" s="90"/>
      <c r="E62" s="94"/>
      <c r="F62" s="90"/>
      <c r="G62" s="90"/>
      <c r="H62" s="91"/>
      <c r="I62" s="91"/>
      <c r="J62" s="91"/>
      <c r="K62" s="91"/>
      <c r="L62" s="101"/>
      <c r="M62" s="93"/>
      <c r="N62" s="91"/>
      <c r="O62" s="124"/>
    </row>
    <row r="63" spans="1:15">
      <c r="C63" s="58"/>
      <c r="D63" s="90"/>
      <c r="E63" s="94"/>
      <c r="F63" s="90"/>
      <c r="G63" s="90"/>
      <c r="H63" s="91"/>
      <c r="I63" s="91"/>
      <c r="J63" s="91"/>
      <c r="K63" s="91"/>
      <c r="L63" s="101"/>
      <c r="M63" s="93"/>
      <c r="N63" s="91"/>
      <c r="O63" s="124"/>
    </row>
    <row r="64" spans="1:15">
      <c r="C64" s="58"/>
      <c r="D64" s="90"/>
      <c r="E64" s="94"/>
      <c r="F64" s="90"/>
      <c r="G64" s="90"/>
      <c r="H64" s="91"/>
      <c r="I64" s="91"/>
      <c r="J64" s="91"/>
      <c r="K64" s="91"/>
      <c r="L64" s="101"/>
      <c r="M64" s="93"/>
      <c r="N64" s="91"/>
      <c r="O64" s="124"/>
    </row>
    <row r="65" spans="3:15">
      <c r="C65" s="58"/>
      <c r="D65" s="90"/>
      <c r="E65" s="94"/>
      <c r="F65" s="90"/>
      <c r="G65" s="90"/>
      <c r="H65" s="91"/>
      <c r="I65" s="91"/>
      <c r="J65" s="91"/>
      <c r="K65" s="91"/>
      <c r="L65" s="101"/>
      <c r="M65" s="93"/>
      <c r="N65" s="91"/>
      <c r="O65" s="124"/>
    </row>
    <row r="66" spans="3:15">
      <c r="C66" s="58"/>
      <c r="D66" s="90"/>
      <c r="E66" s="94"/>
      <c r="F66" s="90"/>
      <c r="G66" s="90"/>
      <c r="H66" s="91"/>
      <c r="I66" s="91"/>
      <c r="J66" s="91"/>
      <c r="K66" s="91"/>
      <c r="L66" s="216">
        <f>SUM(L7:L65)</f>
        <v>940000</v>
      </c>
      <c r="M66" s="93"/>
      <c r="N66" s="91"/>
      <c r="O66" s="124"/>
    </row>
    <row r="67" spans="3:15">
      <c r="C67" s="58"/>
      <c r="D67" s="90"/>
      <c r="E67" s="94"/>
      <c r="F67" s="90"/>
      <c r="G67" s="90"/>
      <c r="H67" s="91"/>
      <c r="I67" s="91"/>
      <c r="J67" s="91"/>
      <c r="K67" s="91"/>
      <c r="L67" s="101"/>
      <c r="M67" s="93"/>
      <c r="N67" s="91"/>
      <c r="O67" s="124"/>
    </row>
    <row r="68" spans="3:15">
      <c r="C68" s="58"/>
      <c r="D68" s="90"/>
      <c r="E68" s="94"/>
      <c r="F68" s="90"/>
      <c r="G68" s="90"/>
      <c r="H68" s="91"/>
      <c r="I68" s="91"/>
      <c r="J68" s="91"/>
      <c r="K68" s="91"/>
      <c r="L68" s="101"/>
      <c r="M68" s="93"/>
      <c r="N68" s="91"/>
      <c r="O68" s="124"/>
    </row>
    <row r="69" spans="3:15">
      <c r="C69" s="8"/>
      <c r="D69" s="8"/>
      <c r="E69" s="7"/>
      <c r="F69" s="6"/>
      <c r="G69" s="6"/>
      <c r="H69" s="5"/>
      <c r="I69" s="5"/>
      <c r="J69" s="5"/>
      <c r="K69" s="6"/>
      <c r="L69" s="178"/>
      <c r="M69" s="6"/>
      <c r="N69" s="2"/>
    </row>
    <row r="70" spans="3:15">
      <c r="C70" s="8"/>
      <c r="D70" s="8"/>
      <c r="E70" s="7"/>
      <c r="F70" s="6"/>
      <c r="G70" s="6"/>
      <c r="H70" s="5"/>
      <c r="I70" s="5"/>
      <c r="J70" s="5"/>
      <c r="K70" s="6"/>
      <c r="L70" s="178"/>
      <c r="M70" s="6"/>
      <c r="N70" s="2"/>
    </row>
    <row r="71" spans="3:15">
      <c r="C71" s="8"/>
      <c r="D71" s="8"/>
      <c r="E71" s="7"/>
      <c r="F71" s="6"/>
      <c r="G71" s="6"/>
      <c r="H71" s="5"/>
      <c r="I71" s="5"/>
      <c r="J71" s="5"/>
      <c r="K71" s="6"/>
      <c r="L71" s="178"/>
      <c r="M71" s="6"/>
      <c r="N71" s="2"/>
    </row>
    <row r="72" spans="3:15">
      <c r="C72" s="8"/>
      <c r="D72" s="8"/>
      <c r="E72" s="7"/>
      <c r="F72" s="6"/>
      <c r="G72" s="6"/>
      <c r="H72" s="5"/>
      <c r="I72" s="5"/>
      <c r="J72" s="5"/>
      <c r="K72" s="6"/>
      <c r="L72" s="178"/>
      <c r="M72" s="6"/>
      <c r="N72" s="2"/>
    </row>
    <row r="73" spans="3:15">
      <c r="C73" s="8"/>
      <c r="D73" s="8"/>
      <c r="E73" s="7"/>
      <c r="F73" s="6"/>
      <c r="G73" s="6"/>
      <c r="H73" s="5"/>
      <c r="I73" s="5"/>
      <c r="J73" s="5"/>
      <c r="K73" s="6"/>
      <c r="L73" s="178"/>
      <c r="M73" s="6"/>
      <c r="N73" s="2"/>
    </row>
    <row r="74" spans="3:15">
      <c r="C74" s="8"/>
      <c r="D74" s="8"/>
      <c r="E74" s="7"/>
      <c r="F74" s="6"/>
      <c r="G74" s="6"/>
      <c r="H74" s="5"/>
      <c r="I74" s="5"/>
      <c r="J74" s="5"/>
      <c r="K74" s="6"/>
      <c r="L74" s="178"/>
      <c r="M74" s="6"/>
      <c r="N74" s="2"/>
    </row>
    <row r="75" spans="3:15">
      <c r="C75" s="8"/>
      <c r="D75" s="8"/>
      <c r="E75" s="7"/>
      <c r="F75" s="6"/>
      <c r="G75" s="6"/>
      <c r="H75" s="5"/>
      <c r="I75" s="5"/>
      <c r="J75" s="5"/>
      <c r="K75" s="6"/>
      <c r="L75" s="178"/>
      <c r="M75" s="6"/>
      <c r="N75" s="2"/>
    </row>
    <row r="76" spans="3:15">
      <c r="C76" s="8"/>
      <c r="D76" s="8"/>
      <c r="E76" s="7"/>
      <c r="F76" s="6"/>
      <c r="G76" s="6"/>
      <c r="H76" s="5"/>
      <c r="I76" s="5"/>
      <c r="J76" s="5"/>
      <c r="K76" s="6"/>
      <c r="L76" s="108"/>
      <c r="M76" s="6"/>
      <c r="N76" s="2"/>
    </row>
    <row r="77" spans="3:15">
      <c r="C77" s="8"/>
      <c r="D77" s="8"/>
      <c r="E77" s="7"/>
      <c r="F77" s="6"/>
      <c r="G77" s="6"/>
      <c r="H77" s="5"/>
      <c r="I77" s="5"/>
      <c r="J77" s="5"/>
      <c r="K77" s="6"/>
      <c r="L77" s="178"/>
      <c r="M77" s="6"/>
      <c r="N77" s="2"/>
    </row>
    <row r="78" spans="3:15">
      <c r="C78" s="8"/>
      <c r="D78" s="8"/>
      <c r="E78" s="7"/>
      <c r="F78" s="6"/>
      <c r="G78" s="6"/>
      <c r="H78" s="5"/>
      <c r="I78" s="5"/>
      <c r="J78" s="5"/>
      <c r="K78" s="6"/>
      <c r="L78" s="178"/>
      <c r="M78" s="6"/>
      <c r="N78" s="2"/>
    </row>
    <row r="79" spans="3:15">
      <c r="C79" s="8"/>
      <c r="D79" s="8"/>
      <c r="E79" s="7"/>
      <c r="F79" s="6"/>
      <c r="G79" s="6"/>
      <c r="H79" s="5"/>
      <c r="I79" s="5"/>
      <c r="J79" s="5"/>
      <c r="K79" s="6"/>
      <c r="L79" s="178"/>
      <c r="M79" s="6"/>
      <c r="N79" s="2"/>
    </row>
    <row r="80" spans="3:15">
      <c r="C80" s="8"/>
      <c r="D80" s="8"/>
      <c r="E80" s="7"/>
      <c r="F80" s="6"/>
      <c r="G80" s="6"/>
      <c r="H80" s="5"/>
      <c r="I80" s="5"/>
      <c r="J80" s="5"/>
      <c r="K80" s="6"/>
      <c r="L80" s="178"/>
      <c r="M80" s="6"/>
      <c r="N80" s="2"/>
    </row>
    <row r="81" spans="3:14">
      <c r="C81" s="8"/>
      <c r="D81" s="8"/>
      <c r="E81" s="7"/>
      <c r="F81" s="6"/>
      <c r="G81" s="6"/>
      <c r="H81" s="5"/>
      <c r="I81" s="5"/>
      <c r="J81" s="5"/>
      <c r="K81" s="6"/>
      <c r="L81" s="178"/>
      <c r="M81" s="6"/>
      <c r="N81" s="2"/>
    </row>
    <row r="82" spans="3:14" ht="14.25" customHeight="1">
      <c r="C82" s="8"/>
      <c r="D82" s="8"/>
      <c r="E82" s="7"/>
      <c r="F82" s="6"/>
      <c r="G82" s="6"/>
      <c r="H82" s="5"/>
      <c r="I82" s="5"/>
      <c r="J82" s="5"/>
      <c r="K82" s="6"/>
      <c r="L82" s="178"/>
      <c r="M82" s="6"/>
      <c r="N82" s="2"/>
    </row>
    <row r="83" spans="3:14" ht="14.25" customHeight="1">
      <c r="C83" s="8"/>
      <c r="D83" s="8"/>
      <c r="E83" s="7"/>
      <c r="F83" s="6"/>
      <c r="G83" s="6"/>
      <c r="H83" s="5"/>
      <c r="I83" s="5"/>
      <c r="J83" s="5"/>
      <c r="K83" s="6"/>
      <c r="L83" s="178"/>
      <c r="M83" s="6"/>
      <c r="N83" s="2"/>
    </row>
    <row r="84" spans="3:14" ht="14.25" customHeight="1">
      <c r="C84" s="8"/>
      <c r="D84" s="8"/>
      <c r="E84" s="7"/>
      <c r="F84" s="6"/>
      <c r="G84" s="6"/>
      <c r="H84" s="5"/>
      <c r="I84" s="5"/>
      <c r="J84" s="5"/>
      <c r="K84" s="6"/>
      <c r="L84" s="178"/>
      <c r="M84" s="6"/>
      <c r="N84" s="2"/>
    </row>
    <row r="85" spans="3:14" ht="14.25" customHeight="1">
      <c r="C85" s="8"/>
      <c r="D85" s="8"/>
      <c r="E85" s="7"/>
      <c r="F85" s="6"/>
      <c r="G85" s="6"/>
      <c r="H85" s="5"/>
      <c r="I85" s="5"/>
      <c r="J85" s="5"/>
      <c r="K85" s="6"/>
      <c r="L85" s="178"/>
      <c r="M85" s="6"/>
      <c r="N85" s="2"/>
    </row>
    <row r="86" spans="3:14" ht="14.25" customHeight="1">
      <c r="C86" s="8"/>
      <c r="D86" s="8"/>
      <c r="E86" s="7"/>
      <c r="F86" s="6"/>
      <c r="G86" s="6"/>
      <c r="H86" s="5"/>
      <c r="I86" s="5"/>
      <c r="J86" s="5"/>
      <c r="K86" s="6"/>
      <c r="L86" s="178"/>
      <c r="M86" s="6"/>
      <c r="N86" s="2"/>
    </row>
    <row r="87" spans="3:14" ht="14.25" customHeight="1">
      <c r="C87" s="8"/>
      <c r="D87" s="8"/>
      <c r="E87" s="7"/>
      <c r="F87" s="6"/>
      <c r="G87" s="6"/>
      <c r="H87" s="5"/>
      <c r="I87" s="5"/>
      <c r="J87" s="5"/>
      <c r="K87" s="6"/>
      <c r="L87" s="178"/>
      <c r="M87" s="6"/>
      <c r="N87" s="2"/>
    </row>
    <row r="88" spans="3:14" ht="14.25" customHeight="1">
      <c r="C88" s="8"/>
      <c r="D88" s="8"/>
      <c r="E88" s="7"/>
      <c r="F88" s="6"/>
      <c r="G88" s="6"/>
      <c r="H88" s="5"/>
      <c r="I88" s="5"/>
      <c r="J88" s="5"/>
      <c r="K88" s="6"/>
      <c r="L88" s="178"/>
      <c r="M88" s="6"/>
      <c r="N88" s="2"/>
    </row>
    <row r="89" spans="3:14" ht="14.25" customHeight="1">
      <c r="C89" s="8"/>
      <c r="D89" s="8"/>
      <c r="E89" s="7"/>
      <c r="F89" s="6"/>
      <c r="G89" s="6"/>
      <c r="H89" s="5"/>
      <c r="I89" s="5"/>
      <c r="J89" s="5"/>
      <c r="K89" s="6"/>
      <c r="L89" s="178"/>
      <c r="M89" s="6"/>
      <c r="N89" s="2"/>
    </row>
    <row r="90" spans="3:14" ht="14.25" customHeight="1">
      <c r="C90" s="8"/>
      <c r="D90" s="8"/>
      <c r="E90" s="7"/>
      <c r="F90" s="6"/>
      <c r="G90" s="6"/>
      <c r="H90" s="5"/>
      <c r="I90" s="5"/>
      <c r="J90" s="5"/>
      <c r="K90" s="6"/>
      <c r="L90" s="178"/>
      <c r="M90" s="6"/>
      <c r="N90" s="2"/>
    </row>
    <row r="91" spans="3:14" ht="14.25" customHeight="1">
      <c r="C91" s="8"/>
      <c r="D91" s="8"/>
      <c r="E91" s="7"/>
      <c r="F91" s="6"/>
      <c r="G91" s="6"/>
      <c r="H91" s="5"/>
      <c r="I91" s="5"/>
      <c r="J91" s="5"/>
      <c r="K91" s="6"/>
      <c r="L91" s="178"/>
      <c r="M91" s="6"/>
      <c r="N91" s="2"/>
    </row>
    <row r="92" spans="3:14" ht="14.25" customHeight="1">
      <c r="C92" s="8"/>
      <c r="D92" s="8"/>
      <c r="E92" s="7"/>
      <c r="F92" s="6"/>
      <c r="G92" s="6"/>
      <c r="H92" s="5"/>
      <c r="I92" s="5"/>
      <c r="J92" s="5"/>
      <c r="K92" s="6"/>
      <c r="L92" s="178"/>
      <c r="M92" s="6"/>
      <c r="N92" s="2"/>
    </row>
    <row r="93" spans="3:14" ht="14.25" customHeight="1">
      <c r="C93" s="8"/>
      <c r="D93" s="8"/>
      <c r="E93" s="7"/>
      <c r="F93" s="6"/>
      <c r="G93" s="6"/>
      <c r="H93" s="5"/>
      <c r="I93" s="5"/>
      <c r="J93" s="5"/>
      <c r="K93" s="6"/>
      <c r="L93" s="178"/>
      <c r="M93" s="6"/>
      <c r="N93" s="2"/>
    </row>
    <row r="94" spans="3:14" ht="14.25" customHeight="1">
      <c r="C94" s="8"/>
      <c r="D94" s="8"/>
      <c r="E94" s="7"/>
      <c r="F94" s="6"/>
      <c r="G94" s="6"/>
      <c r="H94" s="5"/>
      <c r="I94" s="5"/>
      <c r="J94" s="5"/>
      <c r="K94" s="6"/>
      <c r="L94" s="178"/>
      <c r="M94" s="6"/>
      <c r="N94" s="2"/>
    </row>
    <row r="95" spans="3:14" ht="14.25" customHeight="1">
      <c r="C95" s="8"/>
      <c r="D95" s="8"/>
      <c r="E95" s="7"/>
      <c r="F95" s="6"/>
      <c r="G95" s="6"/>
      <c r="H95" s="5"/>
      <c r="I95" s="5"/>
      <c r="J95" s="5"/>
      <c r="K95" s="6"/>
      <c r="L95" s="178"/>
      <c r="M95" s="6"/>
      <c r="N95" s="2"/>
    </row>
    <row r="96" spans="3:14" ht="14.25" customHeight="1">
      <c r="C96" s="8"/>
      <c r="D96" s="8"/>
      <c r="E96" s="7"/>
      <c r="F96" s="6"/>
      <c r="G96" s="6"/>
      <c r="H96" s="5"/>
      <c r="I96" s="5"/>
      <c r="J96" s="5"/>
      <c r="K96" s="6"/>
      <c r="L96" s="178"/>
      <c r="M96" s="6"/>
      <c r="N96" s="2"/>
    </row>
    <row r="97" spans="3:14" ht="14.25" customHeight="1">
      <c r="C97" s="8"/>
      <c r="D97" s="8"/>
      <c r="E97" s="7"/>
      <c r="F97" s="6"/>
      <c r="G97" s="6"/>
      <c r="H97" s="5"/>
      <c r="I97" s="5"/>
      <c r="J97" s="5"/>
      <c r="K97" s="6"/>
      <c r="L97" s="178"/>
      <c r="M97" s="3"/>
      <c r="N97" s="2"/>
    </row>
    <row r="98" spans="3:14" ht="14.25" customHeight="1">
      <c r="C98" s="8"/>
      <c r="D98" s="8"/>
      <c r="E98" s="7"/>
      <c r="F98" s="6"/>
      <c r="G98" s="5"/>
      <c r="H98" s="5"/>
      <c r="I98" s="5"/>
      <c r="J98" s="5"/>
      <c r="K98" s="4"/>
      <c r="L98" s="178"/>
      <c r="M98" s="3"/>
      <c r="N98" s="2"/>
    </row>
    <row r="99" spans="3:14" ht="14.25" customHeight="1">
      <c r="C99" s="19"/>
      <c r="D99" s="19"/>
      <c r="E99" s="19"/>
      <c r="F99" s="19"/>
      <c r="G99" s="19"/>
      <c r="H99" s="19"/>
      <c r="I99" s="19"/>
      <c r="J99" s="19"/>
      <c r="K99" s="19"/>
      <c r="L99" s="146"/>
      <c r="M99" s="19"/>
      <c r="N99" s="19"/>
    </row>
    <row r="100" spans="3:14" ht="14.25" customHeight="1">
      <c r="C100" s="31"/>
      <c r="D100" s="27"/>
      <c r="E100" s="20"/>
      <c r="F100" s="28"/>
      <c r="G100" s="28"/>
      <c r="H100" s="26"/>
      <c r="I100" s="26"/>
      <c r="J100" s="26"/>
      <c r="K100" s="28"/>
      <c r="L100" s="179"/>
      <c r="M100" s="28"/>
      <c r="N100" s="27"/>
    </row>
    <row r="101" spans="3:14" s="1" customFormat="1" ht="14.25" customHeight="1">
      <c r="C101" s="31"/>
      <c r="D101" s="27"/>
      <c r="E101" s="21"/>
      <c r="F101" s="28"/>
      <c r="G101" s="28"/>
      <c r="H101" s="26"/>
      <c r="I101" s="26"/>
      <c r="J101" s="26"/>
      <c r="K101" s="28"/>
      <c r="L101" s="179"/>
      <c r="M101" s="28"/>
      <c r="N101" s="27"/>
    </row>
    <row r="102" spans="3:14" s="1" customFormat="1" ht="14.25" customHeight="1">
      <c r="C102" s="30"/>
      <c r="D102" s="25"/>
      <c r="E102" s="21"/>
      <c r="F102" s="22"/>
      <c r="G102" s="22"/>
      <c r="H102" s="23"/>
      <c r="I102" s="23"/>
      <c r="J102" s="23"/>
      <c r="K102" s="22"/>
      <c r="L102" s="180"/>
      <c r="M102" s="22"/>
      <c r="N102" s="25"/>
    </row>
  </sheetData>
  <mergeCells count="6">
    <mergeCell ref="C6:O6"/>
    <mergeCell ref="C2:G2"/>
    <mergeCell ref="H2:J2"/>
    <mergeCell ref="K2:L2"/>
    <mergeCell ref="M2:M3"/>
    <mergeCell ref="N2:N3"/>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7A604-473B-4EE2-97FE-7435EC0CE285}">
  <sheetPr>
    <tabColor rgb="FFFFC000"/>
  </sheetPr>
  <dimension ref="A2:O103"/>
  <sheetViews>
    <sheetView zoomScale="84" workbookViewId="0">
      <pane ySplit="4" topLeftCell="A5" activePane="bottomLeft" state="frozen"/>
      <selection pane="bottomLeft" activeCell="E24" sqref="A1:XFD1048576"/>
    </sheetView>
  </sheetViews>
  <sheetFormatPr defaultRowHeight="16.5"/>
  <cols>
    <col min="1" max="2" width="9.140625" style="299"/>
    <col min="3" max="3" width="29.85546875" style="299" customWidth="1"/>
    <col min="4" max="4" width="20.5703125" style="299" customWidth="1"/>
    <col min="5" max="5" width="26" style="299" customWidth="1"/>
    <col min="6" max="6" width="16.7109375" style="299" customWidth="1"/>
    <col min="7" max="7" width="11.7109375" style="299" customWidth="1"/>
    <col min="8" max="8" width="13.7109375" style="299" customWidth="1"/>
    <col min="9" max="9" width="9.140625" style="299"/>
    <col min="10" max="10" width="12.5703125" style="299" customWidth="1"/>
    <col min="11" max="11" width="18.5703125" style="299" customWidth="1"/>
    <col min="12" max="12" width="15.5703125" style="299" customWidth="1"/>
    <col min="13" max="13" width="16.28515625" style="299" customWidth="1"/>
    <col min="14" max="14" width="12.85546875" style="299" customWidth="1"/>
    <col min="15" max="16384" width="9.140625" style="299"/>
  </cols>
  <sheetData>
    <row r="2" spans="1:15">
      <c r="C2" s="2651" t="s">
        <v>30</v>
      </c>
      <c r="D2" s="2651"/>
      <c r="E2" s="2651"/>
      <c r="F2" s="2651"/>
      <c r="G2" s="2651"/>
      <c r="H2" s="2652" t="s">
        <v>29</v>
      </c>
      <c r="I2" s="2652"/>
      <c r="J2" s="2652"/>
      <c r="K2" s="2651" t="s">
        <v>28</v>
      </c>
      <c r="L2" s="2651"/>
      <c r="M2" s="2652" t="s">
        <v>27</v>
      </c>
      <c r="N2" s="2652" t="s">
        <v>26</v>
      </c>
    </row>
    <row r="3" spans="1:15" ht="67.5">
      <c r="C3" s="2393" t="s">
        <v>25</v>
      </c>
      <c r="D3" s="2394" t="s">
        <v>24</v>
      </c>
      <c r="E3" s="2395" t="s">
        <v>23</v>
      </c>
      <c r="F3" s="2393" t="s">
        <v>22</v>
      </c>
      <c r="G3" s="2396" t="s">
        <v>4000</v>
      </c>
      <c r="H3" s="2396" t="s">
        <v>20</v>
      </c>
      <c r="I3" s="2396" t="s">
        <v>19</v>
      </c>
      <c r="J3" s="2396" t="s">
        <v>18</v>
      </c>
      <c r="K3" s="2393" t="s">
        <v>17</v>
      </c>
      <c r="L3" s="2393" t="s">
        <v>16</v>
      </c>
      <c r="M3" s="2652"/>
      <c r="N3" s="2652"/>
    </row>
    <row r="4" spans="1:15">
      <c r="C4" s="2397" t="s">
        <v>15</v>
      </c>
      <c r="D4" s="2397" t="s">
        <v>14</v>
      </c>
      <c r="E4" s="2397" t="s">
        <v>13</v>
      </c>
      <c r="F4" s="2397" t="s">
        <v>12</v>
      </c>
      <c r="G4" s="2397" t="s">
        <v>11</v>
      </c>
      <c r="H4" s="2397" t="s">
        <v>10</v>
      </c>
      <c r="I4" s="2397" t="s">
        <v>9</v>
      </c>
      <c r="J4" s="2397" t="s">
        <v>8</v>
      </c>
      <c r="K4" s="2397" t="s">
        <v>7</v>
      </c>
      <c r="L4" s="2397" t="s">
        <v>6</v>
      </c>
      <c r="M4" s="2397" t="s">
        <v>5</v>
      </c>
      <c r="N4" s="2397" t="s">
        <v>4</v>
      </c>
    </row>
    <row r="5" spans="1:15" s="355" customFormat="1" ht="13.5">
      <c r="C5" s="886" t="s">
        <v>642</v>
      </c>
      <c r="D5" s="887"/>
      <c r="E5" s="887"/>
      <c r="F5" s="887"/>
      <c r="G5" s="888"/>
      <c r="H5" s="887"/>
      <c r="I5" s="887"/>
      <c r="J5" s="887"/>
      <c r="K5" s="887"/>
      <c r="L5" s="887"/>
      <c r="M5" s="887"/>
      <c r="N5" s="887"/>
    </row>
    <row r="6" spans="1:15" s="483" customFormat="1" ht="19.5" customHeight="1">
      <c r="A6" s="301" t="s">
        <v>590</v>
      </c>
      <c r="B6" s="302" t="s">
        <v>589</v>
      </c>
      <c r="C6" s="393" t="s">
        <v>641</v>
      </c>
      <c r="D6" s="395" t="s">
        <v>2</v>
      </c>
      <c r="E6" s="882" t="s">
        <v>631</v>
      </c>
      <c r="F6" s="395" t="s">
        <v>609</v>
      </c>
      <c r="G6" s="883"/>
      <c r="H6" s="486" t="s">
        <v>576</v>
      </c>
      <c r="I6" s="486" t="s">
        <v>576</v>
      </c>
      <c r="J6" s="487" t="s">
        <v>577</v>
      </c>
      <c r="K6" s="884" t="s">
        <v>642</v>
      </c>
      <c r="L6" s="399">
        <v>1400000</v>
      </c>
      <c r="M6" s="393" t="s">
        <v>579</v>
      </c>
      <c r="N6" s="393"/>
    </row>
    <row r="7" spans="1:15" s="455" customFormat="1" ht="14.25" customHeight="1">
      <c r="A7" s="301" t="s">
        <v>590</v>
      </c>
      <c r="B7" s="302" t="s">
        <v>589</v>
      </c>
      <c r="C7" s="393" t="s">
        <v>643</v>
      </c>
      <c r="D7" s="395"/>
      <c r="E7" s="394"/>
      <c r="F7" s="395" t="s">
        <v>612</v>
      </c>
      <c r="G7" s="883"/>
      <c r="H7" s="393"/>
      <c r="I7" s="393"/>
      <c r="J7" s="393"/>
      <c r="K7" s="393"/>
      <c r="L7" s="885"/>
      <c r="M7" s="395" t="s">
        <v>602</v>
      </c>
      <c r="N7" s="393"/>
    </row>
    <row r="8" spans="1:15" s="455" customFormat="1" ht="14.25" customHeight="1">
      <c r="A8" s="301" t="s">
        <v>590</v>
      </c>
      <c r="B8" s="302" t="s">
        <v>589</v>
      </c>
      <c r="C8" s="393" t="s">
        <v>644</v>
      </c>
      <c r="D8" s="395"/>
      <c r="E8" s="394"/>
      <c r="F8" s="393"/>
      <c r="G8" s="883"/>
      <c r="H8" s="393"/>
      <c r="I8" s="393"/>
      <c r="J8" s="393"/>
      <c r="K8" s="393"/>
      <c r="L8" s="606"/>
      <c r="M8" s="393"/>
      <c r="N8" s="393"/>
    </row>
    <row r="9" spans="1:15" s="1313" customFormat="1" ht="14.25" customHeight="1">
      <c r="A9" s="869"/>
      <c r="B9" s="454"/>
      <c r="C9" s="2398"/>
      <c r="D9" s="870"/>
      <c r="E9" s="2399"/>
      <c r="F9" s="2398"/>
      <c r="G9" s="2400"/>
      <c r="H9" s="2401"/>
      <c r="I9" s="2401"/>
      <c r="J9" s="2401"/>
      <c r="K9" s="2398"/>
      <c r="L9" s="2402"/>
      <c r="M9" s="2398"/>
      <c r="N9" s="458"/>
    </row>
    <row r="10" spans="1:15" s="1313" customFormat="1" ht="14.25" customHeight="1">
      <c r="A10" s="869"/>
      <c r="B10" s="454"/>
      <c r="C10" s="2398"/>
      <c r="D10" s="870"/>
      <c r="E10" s="2399"/>
      <c r="F10" s="870"/>
      <c r="G10" s="2398"/>
      <c r="H10" s="2400"/>
      <c r="I10" s="2401"/>
      <c r="J10" s="2401"/>
      <c r="K10" s="2401"/>
      <c r="L10" s="2398"/>
      <c r="M10" s="2402"/>
      <c r="N10" s="2398"/>
      <c r="O10" s="458"/>
    </row>
    <row r="11" spans="1:15" s="1313" customFormat="1" ht="14.25" customHeight="1">
      <c r="A11" s="869"/>
      <c r="B11" s="454"/>
      <c r="C11" s="2398"/>
      <c r="D11" s="2403"/>
      <c r="E11" s="2399"/>
      <c r="F11" s="2403"/>
      <c r="G11" s="470"/>
      <c r="H11" s="471"/>
      <c r="I11" s="472"/>
      <c r="J11" s="472"/>
      <c r="K11" s="472"/>
      <c r="L11" s="2398"/>
      <c r="M11" s="474"/>
      <c r="N11" s="474"/>
      <c r="O11" s="471"/>
    </row>
    <row r="12" spans="1:15" s="1313" customFormat="1" ht="14.25" customHeight="1">
      <c r="A12" s="869"/>
      <c r="B12" s="454"/>
      <c r="C12" s="2404"/>
      <c r="D12" s="2398"/>
      <c r="E12" s="2405"/>
      <c r="F12" s="2398"/>
      <c r="G12" s="2400"/>
      <c r="H12" s="2401"/>
      <c r="I12" s="2401"/>
      <c r="J12" s="2401"/>
      <c r="K12" s="2398"/>
      <c r="L12" s="2406"/>
      <c r="M12" s="2398"/>
      <c r="N12" s="2399"/>
      <c r="O12" s="458"/>
    </row>
    <row r="13" spans="1:15" ht="14.25" customHeight="1">
      <c r="A13" s="871"/>
      <c r="B13" s="342"/>
      <c r="C13" s="343"/>
      <c r="D13" s="357"/>
      <c r="E13" s="357"/>
      <c r="F13" s="343"/>
      <c r="G13" s="345"/>
      <c r="H13" s="346"/>
      <c r="I13" s="346"/>
      <c r="J13" s="346"/>
      <c r="K13" s="343"/>
      <c r="L13" s="362"/>
      <c r="M13" s="343"/>
      <c r="N13" s="341"/>
      <c r="O13" s="348"/>
    </row>
    <row r="14" spans="1:15" ht="14.25" customHeight="1">
      <c r="A14" s="871"/>
      <c r="B14" s="342"/>
      <c r="C14" s="343"/>
      <c r="D14" s="324"/>
      <c r="E14" s="358"/>
      <c r="F14" s="343"/>
      <c r="G14" s="345"/>
      <c r="H14" s="346"/>
      <c r="I14" s="346"/>
      <c r="J14" s="346"/>
      <c r="K14" s="343"/>
      <c r="L14" s="362"/>
      <c r="M14" s="343"/>
      <c r="N14" s="341"/>
      <c r="O14" s="348"/>
    </row>
    <row r="15" spans="1:15" ht="14.25" customHeight="1">
      <c r="A15" s="871"/>
      <c r="B15" s="342"/>
      <c r="C15" s="343"/>
      <c r="D15" s="324"/>
      <c r="E15" s="358"/>
      <c r="F15" s="358"/>
      <c r="G15" s="343"/>
      <c r="H15" s="345"/>
      <c r="I15" s="346"/>
      <c r="J15" s="346"/>
      <c r="K15" s="346"/>
      <c r="L15" s="343"/>
      <c r="M15" s="362"/>
      <c r="N15" s="343"/>
      <c r="O15" s="348"/>
    </row>
    <row r="16" spans="1:15" ht="14.25" customHeight="1">
      <c r="A16" s="871"/>
      <c r="B16" s="342"/>
      <c r="C16" s="343"/>
      <c r="D16" s="350"/>
      <c r="E16" s="350"/>
      <c r="F16" s="350"/>
      <c r="G16" s="350"/>
      <c r="H16" s="352"/>
      <c r="I16" s="352"/>
      <c r="J16" s="352"/>
      <c r="K16" s="352"/>
      <c r="L16" s="359"/>
      <c r="M16" s="354"/>
      <c r="N16" s="352"/>
      <c r="O16" s="352"/>
    </row>
    <row r="17" spans="1:15" ht="14.25" customHeight="1">
      <c r="A17" s="323"/>
      <c r="B17" s="342"/>
      <c r="C17" s="323"/>
      <c r="D17" s="323"/>
      <c r="E17" s="303"/>
      <c r="F17" s="323"/>
      <c r="G17" s="326"/>
      <c r="H17" s="327"/>
      <c r="I17" s="327"/>
      <c r="J17" s="327"/>
      <c r="K17" s="323"/>
      <c r="L17" s="328"/>
      <c r="M17" s="323"/>
      <c r="N17" s="329"/>
    </row>
    <row r="18" spans="1:15" ht="14.25" customHeight="1">
      <c r="A18" s="323"/>
      <c r="B18" s="342"/>
      <c r="C18" s="323"/>
      <c r="D18" s="358"/>
      <c r="E18" s="341"/>
      <c r="F18" s="323"/>
      <c r="G18" s="326"/>
      <c r="H18" s="327"/>
      <c r="I18" s="327"/>
      <c r="J18" s="327"/>
      <c r="K18" s="323"/>
      <c r="L18" s="328"/>
      <c r="M18" s="323"/>
      <c r="N18" s="329"/>
    </row>
    <row r="19" spans="1:15" ht="14.25" customHeight="1">
      <c r="A19" s="323"/>
      <c r="B19" s="342"/>
      <c r="C19" s="323"/>
      <c r="D19" s="324"/>
      <c r="E19" s="872"/>
      <c r="F19" s="323"/>
      <c r="G19" s="326"/>
      <c r="H19" s="327"/>
      <c r="I19" s="327"/>
      <c r="J19" s="327"/>
      <c r="K19" s="323"/>
      <c r="L19" s="328"/>
      <c r="M19" s="323"/>
      <c r="N19" s="329"/>
    </row>
    <row r="20" spans="1:15" ht="14.25" customHeight="1">
      <c r="A20" s="323"/>
      <c r="B20" s="342"/>
      <c r="C20" s="323"/>
      <c r="D20" s="324"/>
      <c r="E20" s="872"/>
      <c r="F20" s="323"/>
      <c r="G20" s="326"/>
      <c r="H20" s="327"/>
      <c r="I20" s="327"/>
      <c r="J20" s="327"/>
      <c r="K20" s="323"/>
      <c r="L20" s="328"/>
      <c r="M20" s="323"/>
      <c r="N20" s="329"/>
    </row>
    <row r="21" spans="1:15" ht="14.25" customHeight="1">
      <c r="A21" s="323"/>
      <c r="B21" s="342"/>
      <c r="C21" s="323"/>
      <c r="D21" s="330"/>
      <c r="E21" s="873"/>
      <c r="F21" s="873"/>
      <c r="G21" s="323"/>
      <c r="H21" s="326"/>
      <c r="I21" s="327"/>
      <c r="J21" s="327"/>
      <c r="K21" s="327"/>
      <c r="L21" s="333"/>
      <c r="M21" s="334"/>
      <c r="N21" s="323"/>
      <c r="O21" s="329"/>
    </row>
    <row r="22" spans="1:15" ht="14.25" customHeight="1">
      <c r="A22" s="323"/>
      <c r="B22" s="342"/>
      <c r="C22" s="341"/>
      <c r="D22" s="330"/>
      <c r="E22" s="873"/>
      <c r="F22" s="873"/>
      <c r="G22" s="323"/>
      <c r="H22" s="326"/>
      <c r="I22" s="327"/>
      <c r="J22" s="327"/>
      <c r="K22" s="327"/>
      <c r="L22" s="333"/>
      <c r="M22" s="334"/>
      <c r="N22" s="323"/>
      <c r="O22" s="329"/>
    </row>
    <row r="23" spans="1:15" ht="27" customHeight="1">
      <c r="A23" s="323"/>
      <c r="B23" s="342"/>
      <c r="C23" s="335"/>
      <c r="D23" s="336"/>
      <c r="E23" s="531"/>
      <c r="F23" s="336"/>
      <c r="G23" s="338"/>
      <c r="H23" s="339"/>
      <c r="I23" s="339"/>
      <c r="J23" s="339"/>
      <c r="K23" s="336"/>
      <c r="L23" s="2388">
        <f>SUM(L6:L22)</f>
        <v>1400000</v>
      </c>
      <c r="M23" s="336"/>
      <c r="N23" s="341"/>
      <c r="O23" s="342"/>
    </row>
    <row r="24" spans="1:15" ht="14.25" customHeight="1">
      <c r="A24" s="323"/>
      <c r="B24" s="342"/>
      <c r="C24" s="343"/>
      <c r="D24" s="357"/>
      <c r="E24" s="357"/>
      <c r="F24" s="343"/>
      <c r="G24" s="345"/>
      <c r="H24" s="346"/>
      <c r="I24" s="346"/>
      <c r="J24" s="346"/>
      <c r="K24" s="343"/>
      <c r="L24" s="347"/>
      <c r="M24" s="343"/>
      <c r="N24" s="341"/>
      <c r="O24" s="348"/>
    </row>
    <row r="25" spans="1:15" ht="14.25" customHeight="1">
      <c r="A25" s="2407"/>
      <c r="B25" s="302"/>
      <c r="C25" s="2408"/>
      <c r="D25" s="2409"/>
      <c r="E25" s="2410"/>
      <c r="F25" s="2408"/>
      <c r="G25" s="2411"/>
      <c r="H25" s="2412"/>
      <c r="I25" s="2412"/>
      <c r="J25" s="2412"/>
      <c r="K25" s="2408"/>
      <c r="L25" s="2413"/>
      <c r="M25" s="343"/>
      <c r="N25" s="341"/>
      <c r="O25" s="348"/>
    </row>
    <row r="26" spans="1:15" ht="14.25" customHeight="1">
      <c r="A26" s="323"/>
      <c r="B26" s="302"/>
      <c r="C26" s="343"/>
      <c r="D26" s="324"/>
      <c r="E26" s="349"/>
      <c r="F26" s="343"/>
      <c r="G26" s="345"/>
      <c r="H26" s="346"/>
      <c r="I26" s="346"/>
      <c r="J26" s="346"/>
      <c r="K26" s="343"/>
      <c r="L26" s="347"/>
      <c r="M26" s="343"/>
      <c r="N26" s="341"/>
      <c r="O26" s="348"/>
    </row>
    <row r="27" spans="1:15" ht="14.25" customHeight="1">
      <c r="A27" s="323"/>
      <c r="B27" s="302"/>
      <c r="C27" s="343"/>
      <c r="D27" s="324"/>
      <c r="E27" s="349"/>
      <c r="F27" s="343"/>
      <c r="G27" s="345"/>
      <c r="H27" s="346"/>
      <c r="I27" s="346"/>
      <c r="J27" s="346"/>
      <c r="K27" s="343"/>
      <c r="L27" s="347"/>
      <c r="M27" s="343"/>
      <c r="N27" s="341"/>
      <c r="O27" s="348"/>
    </row>
    <row r="28" spans="1:15" ht="14.25" customHeight="1">
      <c r="A28" s="323"/>
      <c r="B28" s="302"/>
      <c r="C28" s="343"/>
      <c r="D28" s="350"/>
      <c r="E28" s="351"/>
      <c r="F28" s="350"/>
      <c r="G28" s="350"/>
      <c r="H28" s="352"/>
      <c r="I28" s="352"/>
      <c r="J28" s="352"/>
      <c r="K28" s="352"/>
      <c r="L28" s="353"/>
      <c r="M28" s="354"/>
      <c r="N28" s="352"/>
      <c r="O28" s="352"/>
    </row>
    <row r="29" spans="1:15" ht="14.25" customHeight="1">
      <c r="A29" s="323"/>
      <c r="B29" s="302"/>
      <c r="C29" s="343"/>
      <c r="D29" s="350"/>
      <c r="E29" s="351"/>
      <c r="F29" s="350"/>
      <c r="G29" s="350"/>
      <c r="H29" s="352"/>
      <c r="I29" s="352"/>
      <c r="J29" s="352"/>
      <c r="K29" s="352"/>
      <c r="L29" s="353"/>
      <c r="M29" s="354"/>
      <c r="N29" s="352"/>
      <c r="O29" s="355"/>
    </row>
    <row r="30" spans="1:15" ht="22.5" customHeight="1">
      <c r="A30" s="323"/>
      <c r="B30" s="302"/>
      <c r="C30" s="335"/>
      <c r="D30" s="336"/>
      <c r="E30" s="356"/>
      <c r="F30" s="336"/>
      <c r="G30" s="338"/>
      <c r="H30" s="339"/>
      <c r="I30" s="339"/>
      <c r="J30" s="339"/>
      <c r="K30" s="336"/>
      <c r="L30" s="340"/>
      <c r="M30" s="336"/>
      <c r="N30" s="341"/>
      <c r="O30" s="342"/>
    </row>
    <row r="31" spans="1:15" ht="14.25" customHeight="1">
      <c r="A31" s="323"/>
      <c r="B31" s="302"/>
      <c r="C31" s="343"/>
      <c r="D31" s="344"/>
      <c r="E31" s="357"/>
      <c r="F31" s="343"/>
      <c r="G31" s="345"/>
      <c r="H31" s="346"/>
      <c r="I31" s="346"/>
      <c r="J31" s="346"/>
      <c r="K31" s="343"/>
      <c r="L31" s="347"/>
      <c r="M31" s="343"/>
      <c r="N31" s="341"/>
      <c r="O31" s="348"/>
    </row>
    <row r="32" spans="1:15" ht="14.25" customHeight="1">
      <c r="A32" s="323"/>
      <c r="B32" s="302"/>
      <c r="C32" s="343"/>
      <c r="D32" s="349"/>
      <c r="E32" s="358"/>
      <c r="F32" s="343"/>
      <c r="G32" s="345"/>
      <c r="H32" s="346"/>
      <c r="I32" s="346"/>
      <c r="J32" s="346"/>
      <c r="K32" s="343"/>
      <c r="L32" s="347"/>
      <c r="M32" s="343"/>
      <c r="N32" s="341"/>
      <c r="O32" s="348"/>
    </row>
    <row r="33" spans="1:15">
      <c r="A33" s="323"/>
      <c r="B33" s="302"/>
      <c r="C33" s="343"/>
      <c r="D33" s="349"/>
      <c r="E33" s="358"/>
      <c r="F33" s="343"/>
      <c r="G33" s="345"/>
      <c r="H33" s="346"/>
      <c r="I33" s="346"/>
      <c r="J33" s="346"/>
      <c r="K33" s="343"/>
      <c r="L33" s="347"/>
      <c r="M33" s="343"/>
      <c r="N33" s="341"/>
      <c r="O33" s="348"/>
    </row>
    <row r="34" spans="1:15">
      <c r="A34" s="323"/>
      <c r="B34" s="302"/>
      <c r="C34" s="343"/>
      <c r="D34" s="324"/>
      <c r="E34" s="349"/>
      <c r="F34" s="343"/>
      <c r="G34" s="345"/>
      <c r="H34" s="346"/>
      <c r="I34" s="346"/>
      <c r="J34" s="346"/>
      <c r="K34" s="343"/>
      <c r="L34" s="347"/>
      <c r="M34" s="343"/>
      <c r="N34" s="341"/>
      <c r="O34" s="348"/>
    </row>
    <row r="35" spans="1:15">
      <c r="C35" s="343"/>
      <c r="D35" s="350"/>
      <c r="E35" s="351"/>
      <c r="F35" s="350"/>
      <c r="G35" s="352"/>
      <c r="H35" s="352"/>
      <c r="I35" s="352"/>
      <c r="J35" s="352"/>
      <c r="K35" s="359"/>
      <c r="L35" s="353"/>
      <c r="M35" s="352"/>
      <c r="N35" s="341"/>
      <c r="O35" s="352"/>
    </row>
    <row r="36" spans="1:15">
      <c r="A36" s="323"/>
      <c r="B36" s="302"/>
      <c r="C36" s="335"/>
      <c r="D36" s="336"/>
      <c r="E36" s="356"/>
      <c r="F36" s="336"/>
      <c r="G36" s="338"/>
      <c r="H36" s="339"/>
      <c r="I36" s="339"/>
      <c r="J36" s="339"/>
      <c r="K36" s="336"/>
      <c r="L36" s="340"/>
      <c r="M36" s="336"/>
      <c r="N36" s="341"/>
      <c r="O36" s="342"/>
    </row>
    <row r="37" spans="1:15">
      <c r="A37" s="323"/>
      <c r="B37" s="302"/>
      <c r="C37" s="343"/>
      <c r="D37" s="344"/>
      <c r="E37" s="344"/>
      <c r="F37" s="343"/>
      <c r="G37" s="345"/>
      <c r="H37" s="346"/>
      <c r="I37" s="346"/>
      <c r="J37" s="346"/>
      <c r="K37" s="343"/>
      <c r="L37" s="347"/>
      <c r="M37" s="343"/>
      <c r="N37" s="341"/>
      <c r="O37" s="348"/>
    </row>
    <row r="38" spans="1:15">
      <c r="A38" s="323"/>
      <c r="B38" s="302"/>
      <c r="C38" s="343"/>
      <c r="D38" s="324"/>
      <c r="E38" s="349"/>
      <c r="F38" s="360"/>
      <c r="G38" s="343"/>
      <c r="H38" s="345"/>
      <c r="I38" s="346"/>
      <c r="J38" s="346"/>
      <c r="K38" s="346"/>
      <c r="L38" s="361"/>
      <c r="M38" s="362"/>
      <c r="N38" s="343"/>
      <c r="O38" s="348"/>
    </row>
    <row r="39" spans="1:15">
      <c r="A39" s="323"/>
      <c r="B39" s="302"/>
      <c r="C39" s="343"/>
      <c r="D39" s="324"/>
      <c r="E39" s="349"/>
      <c r="F39" s="360"/>
      <c r="G39" s="343"/>
      <c r="H39" s="345"/>
      <c r="I39" s="346"/>
      <c r="J39" s="346"/>
      <c r="K39" s="346"/>
      <c r="L39" s="361"/>
      <c r="M39" s="362"/>
      <c r="N39" s="343"/>
      <c r="O39" s="348"/>
    </row>
    <row r="40" spans="1:15">
      <c r="A40" s="323"/>
      <c r="B40" s="302"/>
      <c r="C40" s="343"/>
      <c r="D40" s="324"/>
      <c r="E40" s="349"/>
      <c r="F40" s="360"/>
      <c r="G40" s="343"/>
      <c r="H40" s="345"/>
      <c r="I40" s="346"/>
      <c r="J40" s="346"/>
      <c r="K40" s="346"/>
      <c r="L40" s="361"/>
      <c r="M40" s="362"/>
      <c r="N40" s="343"/>
      <c r="O40" s="348"/>
    </row>
    <row r="41" spans="1:15">
      <c r="A41" s="323"/>
      <c r="B41" s="302"/>
      <c r="C41" s="343"/>
      <c r="D41" s="350"/>
      <c r="E41" s="351"/>
      <c r="F41" s="350"/>
      <c r="G41" s="350"/>
      <c r="H41" s="352"/>
      <c r="I41" s="352"/>
      <c r="J41" s="352"/>
      <c r="K41" s="352"/>
      <c r="L41" s="353"/>
      <c r="M41" s="354"/>
      <c r="N41" s="352"/>
      <c r="O41" s="355"/>
    </row>
    <row r="42" spans="1:15">
      <c r="A42" s="323"/>
      <c r="B42" s="302"/>
      <c r="C42" s="335"/>
      <c r="D42" s="336"/>
      <c r="E42" s="356"/>
      <c r="F42" s="336"/>
      <c r="G42" s="338"/>
      <c r="H42" s="339"/>
      <c r="I42" s="339"/>
      <c r="J42" s="339"/>
      <c r="K42" s="336"/>
      <c r="L42" s="340"/>
      <c r="M42" s="336"/>
      <c r="N42" s="341"/>
      <c r="O42" s="342"/>
    </row>
    <row r="43" spans="1:15">
      <c r="A43" s="323"/>
      <c r="B43" s="302"/>
      <c r="C43" s="343"/>
      <c r="D43" s="363"/>
      <c r="E43" s="344"/>
      <c r="F43" s="343"/>
      <c r="G43" s="345"/>
      <c r="H43" s="346"/>
      <c r="I43" s="346"/>
      <c r="J43" s="346"/>
      <c r="K43" s="343"/>
      <c r="L43" s="347"/>
      <c r="M43" s="343"/>
      <c r="N43" s="341"/>
      <c r="O43" s="348"/>
    </row>
    <row r="44" spans="1:15">
      <c r="A44" s="323"/>
      <c r="B44" s="302"/>
      <c r="C44" s="343"/>
      <c r="D44" s="349"/>
      <c r="E44" s="349"/>
      <c r="F44" s="343"/>
      <c r="G44" s="345"/>
      <c r="H44" s="346"/>
      <c r="I44" s="346"/>
      <c r="J44" s="346"/>
      <c r="K44" s="343"/>
      <c r="L44" s="347"/>
      <c r="M44" s="343"/>
      <c r="N44" s="341"/>
      <c r="O44" s="348"/>
    </row>
    <row r="45" spans="1:15">
      <c r="A45" s="323"/>
      <c r="B45" s="302"/>
      <c r="C45" s="343"/>
      <c r="D45" s="324"/>
      <c r="E45" s="349"/>
      <c r="F45" s="360"/>
      <c r="G45" s="343"/>
      <c r="H45" s="345"/>
      <c r="I45" s="346"/>
      <c r="J45" s="346"/>
      <c r="K45" s="346"/>
      <c r="L45" s="361"/>
      <c r="M45" s="362"/>
      <c r="N45" s="343"/>
      <c r="O45" s="348"/>
    </row>
    <row r="46" spans="1:15">
      <c r="A46" s="323"/>
      <c r="B46" s="302"/>
      <c r="C46" s="343"/>
      <c r="D46" s="324"/>
      <c r="E46" s="349"/>
      <c r="F46" s="360"/>
      <c r="G46" s="343"/>
      <c r="H46" s="345"/>
      <c r="I46" s="346"/>
      <c r="J46" s="346"/>
      <c r="K46" s="346"/>
      <c r="L46" s="361"/>
      <c r="M46" s="362"/>
      <c r="N46" s="343"/>
      <c r="O46" s="348"/>
    </row>
    <row r="47" spans="1:15">
      <c r="C47" s="343"/>
      <c r="D47" s="350"/>
      <c r="E47" s="351"/>
      <c r="F47" s="350"/>
      <c r="G47" s="350"/>
      <c r="H47" s="352"/>
      <c r="I47" s="352"/>
      <c r="J47" s="352"/>
      <c r="K47" s="352"/>
      <c r="L47" s="353"/>
      <c r="M47" s="354"/>
      <c r="N47" s="352"/>
      <c r="O47" s="355"/>
    </row>
    <row r="48" spans="1:15">
      <c r="C48" s="343"/>
      <c r="D48" s="350"/>
      <c r="E48" s="351"/>
      <c r="F48" s="350"/>
      <c r="G48" s="350"/>
      <c r="H48" s="352"/>
      <c r="I48" s="352"/>
      <c r="J48" s="352"/>
      <c r="K48" s="352"/>
      <c r="L48" s="353"/>
      <c r="M48" s="354"/>
      <c r="N48" s="352"/>
      <c r="O48" s="355"/>
    </row>
    <row r="49" spans="1:15">
      <c r="A49" s="323"/>
      <c r="B49" s="302"/>
      <c r="C49" s="335"/>
      <c r="D49" s="336"/>
      <c r="E49" s="335"/>
      <c r="F49" s="336"/>
      <c r="G49" s="338"/>
      <c r="H49" s="339"/>
      <c r="I49" s="339"/>
      <c r="J49" s="339"/>
      <c r="K49" s="336"/>
      <c r="L49" s="340"/>
      <c r="M49" s="336"/>
      <c r="N49" s="342"/>
    </row>
    <row r="50" spans="1:15">
      <c r="A50" s="323"/>
      <c r="B50" s="302"/>
      <c r="C50" s="343"/>
      <c r="D50" s="364"/>
      <c r="E50" s="341"/>
      <c r="F50" s="343"/>
      <c r="G50" s="345"/>
      <c r="H50" s="346"/>
      <c r="I50" s="346"/>
      <c r="J50" s="346"/>
      <c r="K50" s="343"/>
      <c r="L50" s="347"/>
      <c r="M50" s="343"/>
      <c r="N50" s="348"/>
    </row>
    <row r="51" spans="1:15">
      <c r="A51" s="323"/>
      <c r="B51" s="302"/>
      <c r="C51" s="343"/>
      <c r="D51" s="358"/>
      <c r="E51" s="341"/>
      <c r="F51" s="358"/>
      <c r="G51" s="343"/>
      <c r="H51" s="345"/>
      <c r="I51" s="346"/>
      <c r="J51" s="346"/>
      <c r="K51" s="346"/>
      <c r="L51" s="343"/>
      <c r="M51" s="362"/>
      <c r="N51" s="343"/>
      <c r="O51" s="348"/>
    </row>
    <row r="52" spans="1:15">
      <c r="A52" s="323"/>
      <c r="B52" s="302"/>
      <c r="C52" s="343"/>
      <c r="D52" s="324"/>
      <c r="E52" s="358"/>
      <c r="F52" s="358"/>
      <c r="G52" s="343"/>
      <c r="H52" s="345"/>
      <c r="I52" s="346"/>
      <c r="J52" s="346"/>
      <c r="K52" s="346"/>
      <c r="L52" s="343"/>
      <c r="M52" s="362"/>
      <c r="N52" s="343"/>
      <c r="O52" s="348"/>
    </row>
    <row r="53" spans="1:15">
      <c r="A53" s="323"/>
      <c r="B53" s="302"/>
      <c r="C53" s="343"/>
      <c r="D53" s="324"/>
      <c r="E53" s="358"/>
      <c r="F53" s="358"/>
      <c r="G53" s="343"/>
      <c r="H53" s="345"/>
      <c r="I53" s="346"/>
      <c r="J53" s="346"/>
      <c r="K53" s="346"/>
      <c r="L53" s="343"/>
      <c r="M53" s="362"/>
      <c r="N53" s="343"/>
      <c r="O53" s="348"/>
    </row>
    <row r="54" spans="1:15">
      <c r="C54" s="343"/>
      <c r="D54" s="350"/>
      <c r="E54" s="351"/>
      <c r="F54" s="350"/>
      <c r="G54" s="350"/>
      <c r="H54" s="352"/>
      <c r="I54" s="352"/>
      <c r="J54" s="352"/>
      <c r="K54" s="352"/>
      <c r="L54" s="359"/>
      <c r="M54" s="354"/>
      <c r="N54" s="352"/>
      <c r="O54" s="355"/>
    </row>
    <row r="55" spans="1:15">
      <c r="A55" s="343"/>
      <c r="B55" s="302"/>
      <c r="C55" s="335"/>
      <c r="D55" s="336"/>
      <c r="E55" s="356"/>
      <c r="F55" s="336"/>
      <c r="G55" s="338"/>
      <c r="H55" s="339"/>
      <c r="I55" s="339"/>
      <c r="J55" s="339"/>
      <c r="K55" s="336"/>
      <c r="L55" s="2414"/>
      <c r="M55" s="336"/>
      <c r="O55" s="342"/>
    </row>
    <row r="56" spans="1:15">
      <c r="A56" s="343"/>
      <c r="B56" s="302"/>
      <c r="C56" s="343"/>
      <c r="D56" s="344"/>
      <c r="E56" s="341"/>
      <c r="F56" s="365"/>
      <c r="G56" s="345"/>
      <c r="H56" s="346"/>
      <c r="I56" s="346"/>
      <c r="J56" s="346"/>
      <c r="K56" s="343"/>
      <c r="L56" s="362"/>
      <c r="M56" s="343"/>
      <c r="O56" s="348"/>
    </row>
    <row r="57" spans="1:15">
      <c r="A57" s="343"/>
      <c r="B57" s="302"/>
      <c r="C57" s="343"/>
      <c r="D57" s="349"/>
      <c r="E57" s="341"/>
      <c r="F57" s="365"/>
      <c r="G57" s="345"/>
      <c r="H57" s="346"/>
      <c r="I57" s="346"/>
      <c r="J57" s="346"/>
      <c r="K57" s="343"/>
      <c r="L57" s="362"/>
      <c r="M57" s="343"/>
      <c r="O57" s="348"/>
    </row>
    <row r="58" spans="1:15">
      <c r="A58" s="343"/>
      <c r="B58" s="302"/>
      <c r="C58" s="343"/>
      <c r="D58" s="349"/>
      <c r="E58" s="341"/>
      <c r="F58" s="360"/>
      <c r="G58" s="343"/>
      <c r="H58" s="345"/>
      <c r="I58" s="346"/>
      <c r="J58" s="346"/>
      <c r="K58" s="346"/>
      <c r="L58" s="343"/>
      <c r="M58" s="362"/>
      <c r="N58" s="343"/>
      <c r="O58" s="348"/>
    </row>
    <row r="59" spans="1:15">
      <c r="A59" s="343"/>
      <c r="B59" s="302"/>
      <c r="C59" s="343"/>
      <c r="D59" s="324"/>
      <c r="E59" s="349"/>
      <c r="F59" s="358"/>
      <c r="G59" s="343"/>
      <c r="H59" s="345"/>
      <c r="I59" s="346"/>
      <c r="J59" s="346"/>
      <c r="K59" s="346"/>
      <c r="L59" s="343"/>
      <c r="M59" s="362"/>
      <c r="N59" s="343"/>
      <c r="O59" s="348"/>
    </row>
    <row r="60" spans="1:15">
      <c r="D60" s="350"/>
      <c r="E60" s="351"/>
      <c r="F60" s="350"/>
      <c r="G60" s="350"/>
      <c r="H60" s="352"/>
      <c r="I60" s="352"/>
      <c r="J60" s="352"/>
      <c r="K60" s="352"/>
      <c r="L60" s="359"/>
      <c r="M60" s="354"/>
      <c r="N60" s="352"/>
      <c r="O60" s="352"/>
    </row>
    <row r="61" spans="1:15">
      <c r="C61" s="343"/>
      <c r="D61" s="350"/>
      <c r="E61" s="351"/>
      <c r="F61" s="350"/>
      <c r="G61" s="350"/>
      <c r="H61" s="352"/>
      <c r="I61" s="352"/>
      <c r="J61" s="352"/>
      <c r="K61" s="352"/>
      <c r="L61" s="359"/>
      <c r="M61" s="354"/>
      <c r="N61" s="352"/>
      <c r="O61" s="355"/>
    </row>
    <row r="62" spans="1:15">
      <c r="C62" s="343"/>
      <c r="D62" s="350"/>
      <c r="E62" s="351"/>
      <c r="F62" s="350"/>
      <c r="G62" s="350"/>
      <c r="H62" s="352"/>
      <c r="I62" s="352"/>
      <c r="J62" s="352"/>
      <c r="K62" s="352"/>
      <c r="L62" s="359"/>
      <c r="M62" s="354"/>
      <c r="N62" s="352"/>
      <c r="O62" s="355"/>
    </row>
    <row r="63" spans="1:15">
      <c r="C63" s="343"/>
      <c r="D63" s="350"/>
      <c r="E63" s="351"/>
      <c r="F63" s="350"/>
      <c r="G63" s="350"/>
      <c r="H63" s="352"/>
      <c r="I63" s="352"/>
      <c r="J63" s="352"/>
      <c r="K63" s="352"/>
      <c r="L63" s="359"/>
      <c r="M63" s="354"/>
      <c r="N63" s="352"/>
      <c r="O63" s="355"/>
    </row>
    <row r="64" spans="1:15">
      <c r="C64" s="343"/>
      <c r="D64" s="350"/>
      <c r="E64" s="351"/>
      <c r="F64" s="350"/>
      <c r="G64" s="350"/>
      <c r="H64" s="352"/>
      <c r="I64" s="352"/>
      <c r="J64" s="352"/>
      <c r="K64" s="352"/>
      <c r="L64" s="359"/>
      <c r="M64" s="354"/>
      <c r="N64" s="352"/>
      <c r="O64" s="355"/>
    </row>
    <row r="65" spans="3:15">
      <c r="C65" s="343"/>
      <c r="D65" s="350"/>
      <c r="E65" s="351"/>
      <c r="F65" s="350"/>
      <c r="G65" s="350"/>
      <c r="H65" s="352"/>
      <c r="I65" s="352"/>
      <c r="J65" s="352"/>
      <c r="K65" s="352"/>
      <c r="L65" s="359"/>
      <c r="M65" s="354"/>
      <c r="N65" s="352"/>
      <c r="O65" s="355"/>
    </row>
    <row r="66" spans="3:15">
      <c r="C66" s="343"/>
      <c r="D66" s="350"/>
      <c r="E66" s="351"/>
      <c r="F66" s="350"/>
      <c r="G66" s="350"/>
      <c r="H66" s="352"/>
      <c r="I66" s="352"/>
      <c r="J66" s="352"/>
      <c r="K66" s="352"/>
      <c r="L66" s="359"/>
      <c r="M66" s="354"/>
      <c r="N66" s="352"/>
      <c r="O66" s="355"/>
    </row>
    <row r="67" spans="3:15">
      <c r="C67" s="343"/>
      <c r="D67" s="350"/>
      <c r="E67" s="351"/>
      <c r="F67" s="350"/>
      <c r="G67" s="350"/>
      <c r="H67" s="352"/>
      <c r="I67" s="352"/>
      <c r="J67" s="352"/>
      <c r="K67" s="352"/>
      <c r="L67" s="359"/>
      <c r="M67" s="354"/>
      <c r="N67" s="352"/>
      <c r="O67" s="355"/>
    </row>
    <row r="68" spans="3:15">
      <c r="C68" s="343"/>
      <c r="D68" s="350"/>
      <c r="E68" s="351"/>
      <c r="F68" s="350"/>
      <c r="G68" s="350"/>
      <c r="H68" s="352"/>
      <c r="I68" s="352"/>
      <c r="J68" s="352"/>
      <c r="K68" s="352"/>
      <c r="L68" s="359"/>
      <c r="M68" s="354"/>
      <c r="N68" s="352"/>
      <c r="O68" s="355"/>
    </row>
    <row r="69" spans="3:15">
      <c r="C69" s="343"/>
      <c r="D69" s="350"/>
      <c r="E69" s="351"/>
      <c r="F69" s="350"/>
      <c r="G69" s="350"/>
      <c r="H69" s="352"/>
      <c r="I69" s="352"/>
      <c r="J69" s="352"/>
      <c r="K69" s="352"/>
      <c r="L69" s="359"/>
      <c r="M69" s="354"/>
      <c r="N69" s="352"/>
      <c r="O69" s="355"/>
    </row>
    <row r="70" spans="3:15">
      <c r="C70" s="2415"/>
      <c r="D70" s="2415"/>
      <c r="E70" s="2416"/>
      <c r="F70" s="2417"/>
      <c r="G70" s="2417"/>
      <c r="H70" s="2418"/>
      <c r="I70" s="2418"/>
      <c r="J70" s="2418"/>
      <c r="K70" s="2417"/>
      <c r="L70" s="2419"/>
      <c r="M70" s="2417"/>
      <c r="N70" s="2420"/>
    </row>
    <row r="71" spans="3:15">
      <c r="C71" s="2415"/>
      <c r="D71" s="2415"/>
      <c r="E71" s="2416"/>
      <c r="F71" s="2417"/>
      <c r="G71" s="2417"/>
      <c r="H71" s="2418"/>
      <c r="I71" s="2418"/>
      <c r="J71" s="2418"/>
      <c r="K71" s="2417"/>
      <c r="L71" s="2419"/>
      <c r="M71" s="2417"/>
      <c r="N71" s="2420"/>
    </row>
    <row r="72" spans="3:15">
      <c r="C72" s="2415"/>
      <c r="D72" s="2415"/>
      <c r="E72" s="2416"/>
      <c r="F72" s="2417"/>
      <c r="G72" s="2417"/>
      <c r="H72" s="2418"/>
      <c r="I72" s="2418"/>
      <c r="J72" s="2418"/>
      <c r="K72" s="2417"/>
      <c r="L72" s="2419"/>
      <c r="M72" s="2417"/>
      <c r="N72" s="2420"/>
    </row>
    <row r="73" spans="3:15">
      <c r="C73" s="2415"/>
      <c r="D73" s="2415"/>
      <c r="E73" s="2416"/>
      <c r="F73" s="2417"/>
      <c r="G73" s="2417"/>
      <c r="H73" s="2418"/>
      <c r="I73" s="2418"/>
      <c r="J73" s="2418"/>
      <c r="K73" s="2417"/>
      <c r="L73" s="2419"/>
      <c r="M73" s="2417"/>
      <c r="N73" s="2420"/>
    </row>
    <row r="74" spans="3:15">
      <c r="C74" s="2415"/>
      <c r="D74" s="2415"/>
      <c r="E74" s="2416"/>
      <c r="F74" s="2417"/>
      <c r="G74" s="2417"/>
      <c r="H74" s="2418"/>
      <c r="I74" s="2418"/>
      <c r="J74" s="2418"/>
      <c r="K74" s="2417"/>
      <c r="L74" s="2419"/>
      <c r="M74" s="2417"/>
      <c r="N74" s="2420"/>
    </row>
    <row r="75" spans="3:15">
      <c r="C75" s="2415"/>
      <c r="D75" s="2415"/>
      <c r="E75" s="2416"/>
      <c r="F75" s="2417"/>
      <c r="G75" s="2417"/>
      <c r="H75" s="2418"/>
      <c r="I75" s="2418"/>
      <c r="J75" s="2418"/>
      <c r="K75" s="2417"/>
      <c r="L75" s="2419"/>
      <c r="M75" s="2417"/>
      <c r="N75" s="2420"/>
    </row>
    <row r="76" spans="3:15">
      <c r="C76" s="2415"/>
      <c r="D76" s="2415"/>
      <c r="E76" s="2416"/>
      <c r="F76" s="2417"/>
      <c r="G76" s="2417"/>
      <c r="H76" s="2418"/>
      <c r="I76" s="2418"/>
      <c r="J76" s="2418"/>
      <c r="K76" s="2417"/>
      <c r="L76" s="2419"/>
      <c r="M76" s="2417"/>
      <c r="N76" s="2420"/>
    </row>
    <row r="77" spans="3:15">
      <c r="C77" s="2415"/>
      <c r="D77" s="2415"/>
      <c r="E77" s="2416"/>
      <c r="F77" s="2417"/>
      <c r="G77" s="2417"/>
      <c r="H77" s="2418"/>
      <c r="I77" s="2418"/>
      <c r="J77" s="2418"/>
      <c r="K77" s="2417"/>
      <c r="L77" s="2421"/>
      <c r="M77" s="2417"/>
      <c r="N77" s="2420"/>
    </row>
    <row r="78" spans="3:15">
      <c r="C78" s="2415"/>
      <c r="D78" s="2415"/>
      <c r="E78" s="2416"/>
      <c r="F78" s="2417"/>
      <c r="G78" s="2417"/>
      <c r="H78" s="2418"/>
      <c r="I78" s="2418"/>
      <c r="J78" s="2418"/>
      <c r="K78" s="2417"/>
      <c r="L78" s="2419"/>
      <c r="M78" s="2417"/>
      <c r="N78" s="2420"/>
    </row>
    <row r="79" spans="3:15">
      <c r="C79" s="2415"/>
      <c r="D79" s="2415"/>
      <c r="E79" s="2416"/>
      <c r="F79" s="2417"/>
      <c r="G79" s="2417"/>
      <c r="H79" s="2418"/>
      <c r="I79" s="2418"/>
      <c r="J79" s="2418"/>
      <c r="K79" s="2417"/>
      <c r="L79" s="2419"/>
      <c r="M79" s="2417"/>
      <c r="N79" s="2420"/>
    </row>
    <row r="80" spans="3:15">
      <c r="C80" s="2415"/>
      <c r="D80" s="2415"/>
      <c r="E80" s="2416"/>
      <c r="F80" s="2417"/>
      <c r="G80" s="2417"/>
      <c r="H80" s="2418"/>
      <c r="I80" s="2418"/>
      <c r="J80" s="2418"/>
      <c r="K80" s="2417"/>
      <c r="L80" s="2419"/>
      <c r="M80" s="2417"/>
      <c r="N80" s="2420"/>
    </row>
    <row r="81" spans="3:14">
      <c r="C81" s="2415"/>
      <c r="D81" s="2415"/>
      <c r="E81" s="2416"/>
      <c r="F81" s="2417"/>
      <c r="G81" s="2417"/>
      <c r="H81" s="2418"/>
      <c r="I81" s="2418"/>
      <c r="J81" s="2418"/>
      <c r="K81" s="2417"/>
      <c r="L81" s="2419"/>
      <c r="M81" s="2417"/>
      <c r="N81" s="2420"/>
    </row>
    <row r="82" spans="3:14">
      <c r="C82" s="2415"/>
      <c r="D82" s="2415"/>
      <c r="E82" s="2416"/>
      <c r="F82" s="2417"/>
      <c r="G82" s="2417"/>
      <c r="H82" s="2418"/>
      <c r="I82" s="2418"/>
      <c r="J82" s="2418"/>
      <c r="K82" s="2417"/>
      <c r="L82" s="2419"/>
      <c r="M82" s="2417"/>
      <c r="N82" s="2420"/>
    </row>
    <row r="83" spans="3:14" ht="14.25" customHeight="1">
      <c r="C83" s="2415"/>
      <c r="D83" s="2415"/>
      <c r="E83" s="2416"/>
      <c r="F83" s="2417"/>
      <c r="G83" s="2417"/>
      <c r="H83" s="2418"/>
      <c r="I83" s="2418"/>
      <c r="J83" s="2418"/>
      <c r="K83" s="2417"/>
      <c r="L83" s="2419"/>
      <c r="M83" s="2417"/>
      <c r="N83" s="2420"/>
    </row>
    <row r="84" spans="3:14" ht="14.25" customHeight="1">
      <c r="C84" s="2415"/>
      <c r="D84" s="2415"/>
      <c r="E84" s="2416"/>
      <c r="F84" s="2417"/>
      <c r="G84" s="2417"/>
      <c r="H84" s="2418"/>
      <c r="I84" s="2418"/>
      <c r="J84" s="2418"/>
      <c r="K84" s="2417"/>
      <c r="L84" s="2419"/>
      <c r="M84" s="2417"/>
      <c r="N84" s="2420"/>
    </row>
    <row r="85" spans="3:14" ht="14.25" customHeight="1">
      <c r="C85" s="2415"/>
      <c r="D85" s="2415"/>
      <c r="E85" s="2416"/>
      <c r="F85" s="2417"/>
      <c r="G85" s="2417"/>
      <c r="H85" s="2418"/>
      <c r="I85" s="2418"/>
      <c r="J85" s="2418"/>
      <c r="K85" s="2417"/>
      <c r="L85" s="2419"/>
      <c r="M85" s="2417"/>
      <c r="N85" s="2420"/>
    </row>
    <row r="86" spans="3:14" ht="14.25" customHeight="1">
      <c r="C86" s="2415"/>
      <c r="D86" s="2415"/>
      <c r="E86" s="2416"/>
      <c r="F86" s="2417"/>
      <c r="G86" s="2417"/>
      <c r="H86" s="2418"/>
      <c r="I86" s="2418"/>
      <c r="J86" s="2418"/>
      <c r="K86" s="2417"/>
      <c r="L86" s="2419"/>
      <c r="M86" s="2417"/>
      <c r="N86" s="2420"/>
    </row>
    <row r="87" spans="3:14" ht="14.25" customHeight="1">
      <c r="C87" s="2415"/>
      <c r="D87" s="2415"/>
      <c r="E87" s="2416"/>
      <c r="F87" s="2417"/>
      <c r="G87" s="2417"/>
      <c r="H87" s="2418"/>
      <c r="I87" s="2418"/>
      <c r="J87" s="2418"/>
      <c r="K87" s="2417"/>
      <c r="L87" s="2419"/>
      <c r="M87" s="2417"/>
      <c r="N87" s="2420"/>
    </row>
    <row r="88" spans="3:14" ht="14.25" customHeight="1">
      <c r="C88" s="2415"/>
      <c r="D88" s="2415"/>
      <c r="E88" s="2416"/>
      <c r="F88" s="2417"/>
      <c r="G88" s="2417"/>
      <c r="H88" s="2418"/>
      <c r="I88" s="2418"/>
      <c r="J88" s="2418"/>
      <c r="K88" s="2417"/>
      <c r="L88" s="2419"/>
      <c r="M88" s="2417"/>
      <c r="N88" s="2420"/>
    </row>
    <row r="89" spans="3:14" ht="14.25" customHeight="1">
      <c r="C89" s="2415"/>
      <c r="D89" s="2415"/>
      <c r="E89" s="2416"/>
      <c r="F89" s="2417"/>
      <c r="G89" s="2417"/>
      <c r="H89" s="2418"/>
      <c r="I89" s="2418"/>
      <c r="J89" s="2418"/>
      <c r="K89" s="2417"/>
      <c r="L89" s="2419"/>
      <c r="M89" s="2417"/>
      <c r="N89" s="2420"/>
    </row>
    <row r="90" spans="3:14" ht="14.25" customHeight="1">
      <c r="C90" s="2415"/>
      <c r="D90" s="2415"/>
      <c r="E90" s="2416"/>
      <c r="F90" s="2417"/>
      <c r="G90" s="2417"/>
      <c r="H90" s="2418"/>
      <c r="I90" s="2418"/>
      <c r="J90" s="2418"/>
      <c r="K90" s="2417"/>
      <c r="L90" s="2419"/>
      <c r="M90" s="2417"/>
      <c r="N90" s="2420"/>
    </row>
    <row r="91" spans="3:14" ht="14.25" customHeight="1">
      <c r="C91" s="2415"/>
      <c r="D91" s="2415"/>
      <c r="E91" s="2416"/>
      <c r="F91" s="2417"/>
      <c r="G91" s="2417"/>
      <c r="H91" s="2418"/>
      <c r="I91" s="2418"/>
      <c r="J91" s="2418"/>
      <c r="K91" s="2417"/>
      <c r="L91" s="2419"/>
      <c r="M91" s="2417"/>
      <c r="N91" s="2420"/>
    </row>
    <row r="92" spans="3:14" ht="14.25" customHeight="1">
      <c r="C92" s="2415"/>
      <c r="D92" s="2415"/>
      <c r="E92" s="2416"/>
      <c r="F92" s="2417"/>
      <c r="G92" s="2417"/>
      <c r="H92" s="2418"/>
      <c r="I92" s="2418"/>
      <c r="J92" s="2418"/>
      <c r="K92" s="2417"/>
      <c r="L92" s="2419"/>
      <c r="M92" s="2417"/>
      <c r="N92" s="2420"/>
    </row>
    <row r="93" spans="3:14" ht="14.25" customHeight="1">
      <c r="C93" s="2415"/>
      <c r="D93" s="2415"/>
      <c r="E93" s="2416"/>
      <c r="F93" s="2417"/>
      <c r="G93" s="2417"/>
      <c r="H93" s="2418"/>
      <c r="I93" s="2418"/>
      <c r="J93" s="2418"/>
      <c r="K93" s="2417"/>
      <c r="L93" s="2419"/>
      <c r="M93" s="2417"/>
      <c r="N93" s="2420"/>
    </row>
    <row r="94" spans="3:14" ht="14.25" customHeight="1">
      <c r="C94" s="2415"/>
      <c r="D94" s="2415"/>
      <c r="E94" s="2416"/>
      <c r="F94" s="2417"/>
      <c r="G94" s="2417"/>
      <c r="H94" s="2418"/>
      <c r="I94" s="2418"/>
      <c r="J94" s="2418"/>
      <c r="K94" s="2417"/>
      <c r="L94" s="2419"/>
      <c r="M94" s="2417"/>
      <c r="N94" s="2420"/>
    </row>
    <row r="95" spans="3:14" ht="14.25" customHeight="1">
      <c r="C95" s="2415"/>
      <c r="D95" s="2415"/>
      <c r="E95" s="2416"/>
      <c r="F95" s="2417"/>
      <c r="G95" s="2417"/>
      <c r="H95" s="2418"/>
      <c r="I95" s="2418"/>
      <c r="J95" s="2418"/>
      <c r="K95" s="2417"/>
      <c r="L95" s="2419"/>
      <c r="M95" s="2417"/>
      <c r="N95" s="2420"/>
    </row>
    <row r="96" spans="3:14" ht="14.25" customHeight="1">
      <c r="C96" s="2415"/>
      <c r="D96" s="2415"/>
      <c r="E96" s="2416"/>
      <c r="F96" s="2417"/>
      <c r="G96" s="2417"/>
      <c r="H96" s="2418"/>
      <c r="I96" s="2418"/>
      <c r="J96" s="2418"/>
      <c r="K96" s="2417"/>
      <c r="L96" s="2419"/>
      <c r="M96" s="2417"/>
      <c r="N96" s="2420"/>
    </row>
    <row r="97" spans="3:14" ht="14.25" customHeight="1">
      <c r="C97" s="2415"/>
      <c r="D97" s="2415"/>
      <c r="E97" s="2416"/>
      <c r="F97" s="2417"/>
      <c r="G97" s="2417"/>
      <c r="H97" s="2418"/>
      <c r="I97" s="2418"/>
      <c r="J97" s="2418"/>
      <c r="K97" s="2417"/>
      <c r="L97" s="2419"/>
      <c r="M97" s="2417"/>
      <c r="N97" s="2420"/>
    </row>
    <row r="98" spans="3:14" ht="14.25" customHeight="1">
      <c r="C98" s="2415"/>
      <c r="D98" s="2415"/>
      <c r="E98" s="2416"/>
      <c r="F98" s="2417"/>
      <c r="G98" s="2417"/>
      <c r="H98" s="2418"/>
      <c r="I98" s="2418"/>
      <c r="J98" s="2418"/>
      <c r="K98" s="2417"/>
      <c r="L98" s="2419"/>
      <c r="M98" s="2422"/>
      <c r="N98" s="2420"/>
    </row>
    <row r="99" spans="3:14" ht="14.25" customHeight="1">
      <c r="C99" s="2415"/>
      <c r="D99" s="2415"/>
      <c r="E99" s="2416"/>
      <c r="F99" s="2417"/>
      <c r="G99" s="2418"/>
      <c r="H99" s="2418"/>
      <c r="I99" s="2418"/>
      <c r="J99" s="2418"/>
      <c r="K99" s="2419"/>
      <c r="L99" s="2419"/>
      <c r="M99" s="2422"/>
      <c r="N99" s="2420"/>
    </row>
    <row r="100" spans="3:14" ht="14.25" customHeight="1">
      <c r="C100" s="341"/>
      <c r="D100" s="341"/>
      <c r="E100" s="341"/>
      <c r="F100" s="341"/>
      <c r="G100" s="341"/>
      <c r="H100" s="341"/>
      <c r="I100" s="341"/>
      <c r="J100" s="341"/>
      <c r="K100" s="341"/>
      <c r="L100" s="341"/>
      <c r="M100" s="341"/>
      <c r="N100" s="341"/>
    </row>
    <row r="101" spans="3:14" ht="14.25" customHeight="1">
      <c r="C101" s="367"/>
      <c r="D101" s="368"/>
      <c r="E101" s="369"/>
      <c r="F101" s="370"/>
      <c r="G101" s="370"/>
      <c r="H101" s="371"/>
      <c r="I101" s="371"/>
      <c r="J101" s="371"/>
      <c r="K101" s="370"/>
      <c r="L101" s="593"/>
      <c r="M101" s="370"/>
      <c r="N101" s="368"/>
    </row>
    <row r="102" spans="3:14" s="2255" customFormat="1" ht="14.25" customHeight="1">
      <c r="C102" s="367"/>
      <c r="D102" s="368"/>
      <c r="E102" s="373"/>
      <c r="F102" s="370"/>
      <c r="G102" s="370"/>
      <c r="H102" s="371"/>
      <c r="I102" s="371"/>
      <c r="J102" s="371"/>
      <c r="K102" s="370"/>
      <c r="L102" s="593"/>
      <c r="M102" s="370"/>
      <c r="N102" s="368"/>
    </row>
    <row r="103" spans="3:14" s="2255" customFormat="1" ht="14.25" customHeight="1">
      <c r="C103" s="374"/>
      <c r="D103" s="375"/>
      <c r="E103" s="373"/>
      <c r="F103" s="376"/>
      <c r="G103" s="376"/>
      <c r="H103" s="377"/>
      <c r="I103" s="377"/>
      <c r="J103" s="377"/>
      <c r="K103" s="376"/>
      <c r="L103" s="772"/>
      <c r="M103" s="376"/>
      <c r="N103" s="375"/>
    </row>
  </sheetData>
  <mergeCells count="5">
    <mergeCell ref="C2:G2"/>
    <mergeCell ref="H2:J2"/>
    <mergeCell ref="K2:L2"/>
    <mergeCell ref="M2:M3"/>
    <mergeCell ref="N2:N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4607A-AAD8-488E-B32E-1ABE758FF261}">
  <sheetPr>
    <tabColor rgb="FFFFC000"/>
  </sheetPr>
  <dimension ref="A2:O103"/>
  <sheetViews>
    <sheetView workbookViewId="0">
      <pane ySplit="4" topLeftCell="A5" activePane="bottomLeft" state="frozen"/>
      <selection pane="bottomLeft" activeCell="L23" sqref="L23"/>
    </sheetView>
  </sheetViews>
  <sheetFormatPr defaultRowHeight="15"/>
  <cols>
    <col min="3" max="3" width="29.85546875" customWidth="1"/>
    <col min="4" max="4" width="20.5703125"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customWidth="1"/>
    <col min="13" max="13" width="16.28515625" customWidth="1"/>
    <col min="14" max="14" width="12.85546875" customWidth="1"/>
  </cols>
  <sheetData>
    <row r="2" spans="1:15">
      <c r="C2" s="2627" t="s">
        <v>30</v>
      </c>
      <c r="D2" s="2627"/>
      <c r="E2" s="2627"/>
      <c r="F2" s="2627"/>
      <c r="G2" s="2627"/>
      <c r="H2" s="2628" t="s">
        <v>29</v>
      </c>
      <c r="I2" s="2628"/>
      <c r="J2" s="2628"/>
      <c r="K2" s="2627" t="s">
        <v>28</v>
      </c>
      <c r="L2" s="2627"/>
      <c r="M2" s="2628" t="s">
        <v>27</v>
      </c>
      <c r="N2" s="2628" t="s">
        <v>26</v>
      </c>
    </row>
    <row r="3" spans="1:15" ht="60">
      <c r="C3" s="10" t="s">
        <v>25</v>
      </c>
      <c r="D3" s="13" t="s">
        <v>24</v>
      </c>
      <c r="E3" s="12" t="s">
        <v>23</v>
      </c>
      <c r="F3" s="10" t="s">
        <v>22</v>
      </c>
      <c r="G3" s="11" t="s">
        <v>21</v>
      </c>
      <c r="H3" s="11" t="s">
        <v>20</v>
      </c>
      <c r="I3" s="11" t="s">
        <v>19</v>
      </c>
      <c r="J3" s="11" t="s">
        <v>18</v>
      </c>
      <c r="K3" s="10" t="s">
        <v>17</v>
      </c>
      <c r="L3" s="10" t="s">
        <v>16</v>
      </c>
      <c r="M3" s="2628"/>
      <c r="N3" s="2628"/>
    </row>
    <row r="4" spans="1:15">
      <c r="C4" s="9" t="s">
        <v>15</v>
      </c>
      <c r="D4" s="9" t="s">
        <v>14</v>
      </c>
      <c r="E4" s="9" t="s">
        <v>13</v>
      </c>
      <c r="F4" s="9" t="s">
        <v>12</v>
      </c>
      <c r="G4" s="9" t="s">
        <v>11</v>
      </c>
      <c r="H4" s="9" t="s">
        <v>10</v>
      </c>
      <c r="I4" s="9" t="s">
        <v>9</v>
      </c>
      <c r="J4" s="9" t="s">
        <v>8</v>
      </c>
      <c r="K4" s="9" t="s">
        <v>7</v>
      </c>
      <c r="L4" s="9" t="s">
        <v>6</v>
      </c>
      <c r="M4" s="9" t="s">
        <v>5</v>
      </c>
      <c r="N4" s="9" t="s">
        <v>4</v>
      </c>
    </row>
    <row r="5" spans="1:15">
      <c r="C5" s="213" t="s">
        <v>634</v>
      </c>
      <c r="D5" s="194"/>
      <c r="E5" s="194"/>
      <c r="F5" s="194"/>
      <c r="G5" s="195"/>
      <c r="H5" s="194"/>
      <c r="I5" s="194"/>
      <c r="J5" s="194"/>
      <c r="K5" s="194"/>
      <c r="L5" s="194"/>
      <c r="M5" s="194"/>
      <c r="N5" s="194"/>
    </row>
    <row r="6" spans="1:15" s="483" customFormat="1" ht="19.5" customHeight="1">
      <c r="A6" s="301" t="s">
        <v>590</v>
      </c>
      <c r="B6" s="302" t="s">
        <v>589</v>
      </c>
      <c r="C6" s="889" t="s">
        <v>633</v>
      </c>
      <c r="D6" s="890" t="s">
        <v>2</v>
      </c>
      <c r="E6" s="890"/>
      <c r="F6" s="891" t="s">
        <v>593</v>
      </c>
      <c r="G6" s="892" t="s">
        <v>1</v>
      </c>
      <c r="H6" s="893" t="s">
        <v>576</v>
      </c>
      <c r="I6" s="893" t="s">
        <v>576</v>
      </c>
      <c r="J6" s="894" t="s">
        <v>594</v>
      </c>
      <c r="K6" s="892" t="s">
        <v>634</v>
      </c>
      <c r="L6" s="895">
        <v>30000</v>
      </c>
      <c r="M6" s="890"/>
      <c r="N6" s="890"/>
    </row>
    <row r="7" spans="1:15" s="455" customFormat="1" ht="14.25" customHeight="1">
      <c r="A7" s="869"/>
      <c r="B7" s="454"/>
      <c r="C7" s="876"/>
      <c r="D7" s="877"/>
      <c r="E7" s="878"/>
      <c r="F7" s="877"/>
      <c r="G7" s="879"/>
      <c r="H7" s="880"/>
      <c r="I7" s="880"/>
      <c r="J7" s="876"/>
      <c r="K7" s="876"/>
      <c r="L7" s="881"/>
      <c r="M7" s="877"/>
      <c r="N7" s="876"/>
    </row>
    <row r="8" spans="1:15" s="455" customFormat="1" ht="14.25" customHeight="1">
      <c r="A8" s="869"/>
      <c r="B8" s="454"/>
      <c r="C8" s="460"/>
      <c r="D8" s="465"/>
      <c r="E8" s="460"/>
      <c r="F8" s="471"/>
      <c r="G8" s="477"/>
      <c r="H8" s="526"/>
      <c r="I8" s="526"/>
      <c r="J8" s="526"/>
      <c r="K8" s="471"/>
      <c r="L8" s="529"/>
      <c r="M8" s="471"/>
      <c r="N8" s="458"/>
    </row>
    <row r="9" spans="1:15" s="455" customFormat="1" ht="14.25" customHeight="1">
      <c r="A9" s="869"/>
      <c r="B9" s="454"/>
      <c r="C9" s="471"/>
      <c r="D9" s="870"/>
      <c r="E9" s="460"/>
      <c r="F9" s="471"/>
      <c r="G9" s="477"/>
      <c r="H9" s="526"/>
      <c r="I9" s="526"/>
      <c r="J9" s="526"/>
      <c r="K9" s="471"/>
      <c r="L9" s="529"/>
      <c r="M9" s="471"/>
      <c r="N9" s="458"/>
    </row>
    <row r="10" spans="1:15" s="455" customFormat="1" ht="14.25" customHeight="1">
      <c r="A10" s="869"/>
      <c r="B10" s="454"/>
      <c r="C10" s="471"/>
      <c r="D10" s="870"/>
      <c r="E10" s="460"/>
      <c r="F10" s="870"/>
      <c r="G10" s="471"/>
      <c r="H10" s="477"/>
      <c r="I10" s="526"/>
      <c r="J10" s="526"/>
      <c r="K10" s="526"/>
      <c r="L10" s="471"/>
      <c r="M10" s="529"/>
      <c r="N10" s="471"/>
      <c r="O10" s="458"/>
    </row>
    <row r="11" spans="1:15" s="455" customFormat="1" ht="14.25" customHeight="1">
      <c r="A11" s="869"/>
      <c r="B11" s="454"/>
      <c r="C11" s="471"/>
      <c r="D11" s="630"/>
      <c r="E11" s="460"/>
      <c r="F11" s="630"/>
      <c r="G11" s="470"/>
      <c r="H11" s="471"/>
      <c r="I11" s="472"/>
      <c r="J11" s="472"/>
      <c r="K11" s="472"/>
      <c r="L11" s="471"/>
      <c r="M11" s="474"/>
      <c r="N11" s="474"/>
      <c r="O11" s="471"/>
    </row>
    <row r="12" spans="1:15" s="455" customFormat="1" ht="14.25" customHeight="1">
      <c r="A12" s="869"/>
      <c r="B12" s="454"/>
      <c r="C12" s="468"/>
      <c r="D12" s="471"/>
      <c r="E12" s="476"/>
      <c r="F12" s="471"/>
      <c r="G12" s="477"/>
      <c r="H12" s="526"/>
      <c r="I12" s="526"/>
      <c r="J12" s="526"/>
      <c r="K12" s="471"/>
      <c r="L12" s="527"/>
      <c r="M12" s="471"/>
      <c r="N12" s="460"/>
      <c r="O12" s="458"/>
    </row>
    <row r="13" spans="1:15" s="355" customFormat="1" ht="14.25" customHeight="1">
      <c r="A13" s="871"/>
      <c r="B13" s="342"/>
      <c r="C13" s="438"/>
      <c r="D13" s="357"/>
      <c r="E13" s="357"/>
      <c r="F13" s="438"/>
      <c r="G13" s="441"/>
      <c r="H13" s="504"/>
      <c r="I13" s="504"/>
      <c r="J13" s="504"/>
      <c r="K13" s="438"/>
      <c r="L13" s="507"/>
      <c r="M13" s="438"/>
      <c r="N13" s="352"/>
      <c r="O13" s="348"/>
    </row>
    <row r="14" spans="1:15" s="355" customFormat="1" ht="14.25" customHeight="1">
      <c r="A14" s="871"/>
      <c r="B14" s="342"/>
      <c r="C14" s="438"/>
      <c r="D14" s="324"/>
      <c r="E14" s="358"/>
      <c r="F14" s="438"/>
      <c r="G14" s="441"/>
      <c r="H14" s="504"/>
      <c r="I14" s="504"/>
      <c r="J14" s="504"/>
      <c r="K14" s="438"/>
      <c r="L14" s="507"/>
      <c r="M14" s="438"/>
      <c r="N14" s="352"/>
      <c r="O14" s="348"/>
    </row>
    <row r="15" spans="1:15" s="355" customFormat="1" ht="14.25" customHeight="1">
      <c r="A15" s="871"/>
      <c r="B15" s="342"/>
      <c r="C15" s="438"/>
      <c r="D15" s="324"/>
      <c r="E15" s="358"/>
      <c r="F15" s="358"/>
      <c r="G15" s="438"/>
      <c r="H15" s="441"/>
      <c r="I15" s="504"/>
      <c r="J15" s="504"/>
      <c r="K15" s="504"/>
      <c r="L15" s="438"/>
      <c r="M15" s="507"/>
      <c r="N15" s="438"/>
      <c r="O15" s="348"/>
    </row>
    <row r="16" spans="1:15" s="355" customFormat="1" ht="14.25" customHeight="1">
      <c r="A16" s="871"/>
      <c r="B16" s="342"/>
      <c r="C16" s="438"/>
      <c r="D16" s="350"/>
      <c r="E16" s="350"/>
      <c r="F16" s="350"/>
      <c r="G16" s="350"/>
      <c r="H16" s="352"/>
      <c r="I16" s="352"/>
      <c r="J16" s="352"/>
      <c r="K16" s="352"/>
      <c r="L16" s="352"/>
      <c r="M16" s="770"/>
      <c r="N16" s="352"/>
      <c r="O16" s="352"/>
    </row>
    <row r="17" spans="1:15" s="355" customFormat="1" ht="14.25" customHeight="1">
      <c r="A17" s="513"/>
      <c r="B17" s="342"/>
      <c r="C17" s="513"/>
      <c r="D17" s="513"/>
      <c r="E17" s="303"/>
      <c r="F17" s="513"/>
      <c r="G17" s="514"/>
      <c r="H17" s="515"/>
      <c r="I17" s="515"/>
      <c r="J17" s="515"/>
      <c r="K17" s="513"/>
      <c r="L17" s="516"/>
      <c r="M17" s="513"/>
      <c r="N17" s="329"/>
    </row>
    <row r="18" spans="1:15" s="355" customFormat="1" ht="14.25" customHeight="1">
      <c r="A18" s="513"/>
      <c r="B18" s="342"/>
      <c r="C18" s="513"/>
      <c r="D18" s="358"/>
      <c r="E18" s="352"/>
      <c r="F18" s="513"/>
      <c r="G18" s="514"/>
      <c r="H18" s="515"/>
      <c r="I18" s="515"/>
      <c r="J18" s="515"/>
      <c r="K18" s="513"/>
      <c r="L18" s="516"/>
      <c r="M18" s="513"/>
      <c r="N18" s="329"/>
    </row>
    <row r="19" spans="1:15" s="355" customFormat="1" ht="14.25" customHeight="1">
      <c r="A19" s="513"/>
      <c r="B19" s="342"/>
      <c r="C19" s="513"/>
      <c r="D19" s="324"/>
      <c r="E19" s="872"/>
      <c r="F19" s="513"/>
      <c r="G19" s="514"/>
      <c r="H19" s="515"/>
      <c r="I19" s="515"/>
      <c r="J19" s="515"/>
      <c r="K19" s="513"/>
      <c r="L19" s="516"/>
      <c r="M19" s="513"/>
      <c r="N19" s="329"/>
    </row>
    <row r="20" spans="1:15" s="355" customFormat="1" ht="14.25" customHeight="1">
      <c r="A20" s="513"/>
      <c r="B20" s="342"/>
      <c r="C20" s="513"/>
      <c r="D20" s="324"/>
      <c r="E20" s="872"/>
      <c r="F20" s="513"/>
      <c r="G20" s="514"/>
      <c r="H20" s="515"/>
      <c r="I20" s="515"/>
      <c r="J20" s="515"/>
      <c r="K20" s="513"/>
      <c r="L20" s="516"/>
      <c r="M20" s="513"/>
      <c r="N20" s="329"/>
    </row>
    <row r="21" spans="1:15" s="355" customFormat="1" ht="14.25" customHeight="1">
      <c r="A21" s="513"/>
      <c r="B21" s="342"/>
      <c r="C21" s="513"/>
      <c r="D21" s="330"/>
      <c r="E21" s="873"/>
      <c r="F21" s="873"/>
      <c r="G21" s="513"/>
      <c r="H21" s="514"/>
      <c r="I21" s="515"/>
      <c r="J21" s="515"/>
      <c r="K21" s="515"/>
      <c r="L21" s="864"/>
      <c r="M21" s="517"/>
      <c r="N21" s="513"/>
      <c r="O21" s="329"/>
    </row>
    <row r="22" spans="1:15" s="355" customFormat="1" ht="14.25" customHeight="1">
      <c r="A22" s="513"/>
      <c r="B22" s="342"/>
      <c r="C22" s="352"/>
      <c r="D22" s="330"/>
      <c r="E22" s="873"/>
      <c r="F22" s="873"/>
      <c r="G22" s="513"/>
      <c r="H22" s="514"/>
      <c r="I22" s="515"/>
      <c r="J22" s="515"/>
      <c r="K22" s="515"/>
      <c r="L22" s="864"/>
      <c r="M22" s="517"/>
      <c r="N22" s="513"/>
      <c r="O22" s="329"/>
    </row>
    <row r="23" spans="1:15" s="355" customFormat="1" ht="27" customHeight="1">
      <c r="A23" s="513"/>
      <c r="B23" s="342"/>
      <c r="C23" s="531"/>
      <c r="D23" s="532"/>
      <c r="E23" s="531"/>
      <c r="F23" s="532"/>
      <c r="G23" s="533"/>
      <c r="H23" s="619"/>
      <c r="I23" s="619"/>
      <c r="J23" s="619"/>
      <c r="K23" s="532"/>
      <c r="L23" s="2388">
        <f>SUM(L6:L22)</f>
        <v>30000</v>
      </c>
      <c r="M23" s="532"/>
      <c r="N23" s="352"/>
      <c r="O23" s="342"/>
    </row>
    <row r="24" spans="1:15" ht="14.25" customHeight="1">
      <c r="A24" s="125"/>
      <c r="B24" s="77"/>
      <c r="C24" s="58"/>
      <c r="D24" s="97"/>
      <c r="E24" s="97"/>
      <c r="F24" s="58"/>
      <c r="G24" s="59"/>
      <c r="H24" s="60"/>
      <c r="I24" s="60"/>
      <c r="J24" s="60"/>
      <c r="K24" s="58"/>
      <c r="L24" s="64"/>
      <c r="M24" s="58"/>
      <c r="N24" s="19"/>
      <c r="O24" s="62"/>
    </row>
    <row r="25" spans="1:15" ht="14.25" customHeight="1">
      <c r="A25" s="197"/>
      <c r="B25" s="63"/>
      <c r="C25" s="110"/>
      <c r="D25" s="198"/>
      <c r="E25" s="199"/>
      <c r="F25" s="110"/>
      <c r="G25" s="111"/>
      <c r="H25" s="112"/>
      <c r="I25" s="112"/>
      <c r="J25" s="112"/>
      <c r="K25" s="110"/>
      <c r="L25" s="200"/>
      <c r="M25" s="58"/>
      <c r="N25" s="19"/>
      <c r="O25" s="62"/>
    </row>
    <row r="26" spans="1:15" ht="14.25" customHeight="1">
      <c r="A26" s="125"/>
      <c r="B26" s="63"/>
      <c r="C26" s="58"/>
      <c r="D26" s="78"/>
      <c r="E26" s="79"/>
      <c r="F26" s="58"/>
      <c r="G26" s="59"/>
      <c r="H26" s="60"/>
      <c r="I26" s="60"/>
      <c r="J26" s="60"/>
      <c r="K26" s="58"/>
      <c r="L26" s="64"/>
      <c r="M26" s="58"/>
      <c r="N26" s="19"/>
      <c r="O26" s="62"/>
    </row>
    <row r="27" spans="1:15" ht="14.25" customHeight="1">
      <c r="A27" s="125"/>
      <c r="B27" s="63"/>
      <c r="C27" s="58"/>
      <c r="D27" s="78"/>
      <c r="E27" s="79"/>
      <c r="F27" s="58"/>
      <c r="G27" s="59"/>
      <c r="H27" s="60"/>
      <c r="I27" s="60"/>
      <c r="J27" s="60"/>
      <c r="K27" s="58"/>
      <c r="L27" s="64"/>
      <c r="M27" s="58"/>
      <c r="N27" s="19"/>
      <c r="O27" s="62"/>
    </row>
    <row r="28" spans="1:15" ht="14.25" customHeight="1">
      <c r="A28" s="125"/>
      <c r="B28" s="63"/>
      <c r="C28" s="58"/>
      <c r="D28" s="90"/>
      <c r="E28" s="94"/>
      <c r="F28" s="90"/>
      <c r="G28" s="90"/>
      <c r="H28" s="91"/>
      <c r="I28" s="91"/>
      <c r="J28" s="91"/>
      <c r="K28" s="91"/>
      <c r="L28" s="101"/>
      <c r="M28" s="93"/>
      <c r="N28" s="91"/>
      <c r="O28" s="91"/>
    </row>
    <row r="29" spans="1:15" ht="14.25" customHeight="1">
      <c r="A29" s="125"/>
      <c r="B29" s="63"/>
      <c r="C29" s="58"/>
      <c r="D29" s="90"/>
      <c r="E29" s="94"/>
      <c r="F29" s="90"/>
      <c r="G29" s="90"/>
      <c r="H29" s="91"/>
      <c r="I29" s="91"/>
      <c r="J29" s="91"/>
      <c r="K29" s="91"/>
      <c r="L29" s="101"/>
      <c r="M29" s="93"/>
      <c r="N29" s="91"/>
      <c r="O29" s="124"/>
    </row>
    <row r="30" spans="1:15" ht="22.5" customHeight="1">
      <c r="A30" s="125"/>
      <c r="B30" s="63"/>
      <c r="C30" s="86"/>
      <c r="D30" s="87"/>
      <c r="E30" s="95"/>
      <c r="F30" s="87"/>
      <c r="G30" s="88"/>
      <c r="H30" s="89"/>
      <c r="I30" s="89"/>
      <c r="J30" s="89"/>
      <c r="K30" s="87"/>
      <c r="L30" s="98"/>
      <c r="M30" s="87"/>
      <c r="N30" s="19"/>
      <c r="O30" s="77"/>
    </row>
    <row r="31" spans="1:15" ht="14.25" customHeight="1">
      <c r="A31" s="125"/>
      <c r="B31" s="63"/>
      <c r="C31" s="58"/>
      <c r="D31" s="96"/>
      <c r="E31" s="97"/>
      <c r="F31" s="58"/>
      <c r="G31" s="59"/>
      <c r="H31" s="60"/>
      <c r="I31" s="60"/>
      <c r="J31" s="60"/>
      <c r="K31" s="58"/>
      <c r="L31" s="64"/>
      <c r="M31" s="58"/>
      <c r="N31" s="19"/>
      <c r="O31" s="62"/>
    </row>
    <row r="32" spans="1:15" ht="14.25" customHeight="1">
      <c r="A32" s="125"/>
      <c r="B32" s="63"/>
      <c r="C32" s="58"/>
      <c r="D32" s="79"/>
      <c r="E32" s="81"/>
      <c r="F32" s="58"/>
      <c r="G32" s="59"/>
      <c r="H32" s="60"/>
      <c r="I32" s="60"/>
      <c r="J32" s="60"/>
      <c r="K32" s="58"/>
      <c r="L32" s="64"/>
      <c r="M32" s="58"/>
      <c r="N32" s="19"/>
      <c r="O32" s="62"/>
    </row>
    <row r="33" spans="1:15">
      <c r="A33" s="125"/>
      <c r="B33" s="63"/>
      <c r="C33" s="58"/>
      <c r="D33" s="79"/>
      <c r="E33" s="81"/>
      <c r="F33" s="58"/>
      <c r="G33" s="59"/>
      <c r="H33" s="60"/>
      <c r="I33" s="60"/>
      <c r="J33" s="60"/>
      <c r="K33" s="58"/>
      <c r="L33" s="64"/>
      <c r="M33" s="58"/>
      <c r="N33" s="19"/>
      <c r="O33" s="62"/>
    </row>
    <row r="34" spans="1:15">
      <c r="A34" s="125"/>
      <c r="B34" s="63"/>
      <c r="C34" s="58"/>
      <c r="D34" s="78"/>
      <c r="E34" s="79"/>
      <c r="F34" s="58"/>
      <c r="G34" s="59"/>
      <c r="H34" s="60"/>
      <c r="I34" s="60"/>
      <c r="J34" s="60"/>
      <c r="K34" s="58"/>
      <c r="L34" s="64"/>
      <c r="M34" s="58"/>
      <c r="N34" s="19"/>
      <c r="O34" s="62"/>
    </row>
    <row r="35" spans="1:15">
      <c r="C35" s="58"/>
      <c r="D35" s="90"/>
      <c r="E35" s="94"/>
      <c r="F35" s="90"/>
      <c r="G35" s="91"/>
      <c r="H35" s="91"/>
      <c r="I35" s="91"/>
      <c r="J35" s="91"/>
      <c r="K35" s="92"/>
      <c r="L35" s="101"/>
      <c r="M35" s="91"/>
      <c r="N35" s="19"/>
      <c r="O35" s="91"/>
    </row>
    <row r="36" spans="1:15">
      <c r="A36" s="125"/>
      <c r="B36" s="63"/>
      <c r="C36" s="86"/>
      <c r="D36" s="87"/>
      <c r="E36" s="95"/>
      <c r="F36" s="87"/>
      <c r="G36" s="88"/>
      <c r="H36" s="89"/>
      <c r="I36" s="89"/>
      <c r="J36" s="89"/>
      <c r="K36" s="87"/>
      <c r="L36" s="98"/>
      <c r="M36" s="87"/>
      <c r="N36" s="19"/>
      <c r="O36" s="77"/>
    </row>
    <row r="37" spans="1:15">
      <c r="A37" s="125"/>
      <c r="B37" s="63"/>
      <c r="C37" s="58"/>
      <c r="D37" s="96"/>
      <c r="E37" s="96"/>
      <c r="F37" s="58"/>
      <c r="G37" s="59"/>
      <c r="H37" s="60"/>
      <c r="I37" s="60"/>
      <c r="J37" s="60"/>
      <c r="K37" s="58"/>
      <c r="L37" s="64"/>
      <c r="M37" s="58"/>
      <c r="N37" s="19"/>
      <c r="O37" s="62"/>
    </row>
    <row r="38" spans="1:15">
      <c r="A38" s="125"/>
      <c r="B38" s="63"/>
      <c r="C38" s="58"/>
      <c r="D38" s="78"/>
      <c r="E38" s="79"/>
      <c r="F38" s="80"/>
      <c r="G38" s="58"/>
      <c r="H38" s="59"/>
      <c r="I38" s="60"/>
      <c r="J38" s="60"/>
      <c r="K38" s="60"/>
      <c r="L38" s="100"/>
      <c r="M38" s="61"/>
      <c r="N38" s="58"/>
      <c r="O38" s="62"/>
    </row>
    <row r="39" spans="1:15">
      <c r="A39" s="125"/>
      <c r="B39" s="63"/>
      <c r="C39" s="58"/>
      <c r="D39" s="78"/>
      <c r="E39" s="79"/>
      <c r="F39" s="80"/>
      <c r="G39" s="58"/>
      <c r="H39" s="59"/>
      <c r="I39" s="60"/>
      <c r="J39" s="60"/>
      <c r="K39" s="60"/>
      <c r="L39" s="100"/>
      <c r="M39" s="61"/>
      <c r="N39" s="58"/>
      <c r="O39" s="62"/>
    </row>
    <row r="40" spans="1:15">
      <c r="A40" s="125"/>
      <c r="B40" s="63"/>
      <c r="C40" s="58"/>
      <c r="D40" s="78"/>
      <c r="E40" s="79"/>
      <c r="F40" s="80"/>
      <c r="G40" s="58"/>
      <c r="H40" s="59"/>
      <c r="I40" s="60"/>
      <c r="J40" s="60"/>
      <c r="K40" s="60"/>
      <c r="L40" s="100"/>
      <c r="M40" s="61"/>
      <c r="N40" s="58"/>
      <c r="O40" s="62"/>
    </row>
    <row r="41" spans="1:15">
      <c r="A41" s="125"/>
      <c r="B41" s="63"/>
      <c r="C41" s="58"/>
      <c r="D41" s="90"/>
      <c r="E41" s="94"/>
      <c r="F41" s="90"/>
      <c r="G41" s="90"/>
      <c r="H41" s="91"/>
      <c r="I41" s="91"/>
      <c r="J41" s="91"/>
      <c r="K41" s="91"/>
      <c r="L41" s="101"/>
      <c r="M41" s="93"/>
      <c r="N41" s="91"/>
      <c r="O41" s="124"/>
    </row>
    <row r="42" spans="1:15">
      <c r="A42" s="125"/>
      <c r="B42" s="63"/>
      <c r="C42" s="86"/>
      <c r="D42" s="87"/>
      <c r="E42" s="95"/>
      <c r="F42" s="87"/>
      <c r="G42" s="88"/>
      <c r="H42" s="89"/>
      <c r="I42" s="89"/>
      <c r="J42" s="89"/>
      <c r="K42" s="87"/>
      <c r="L42" s="98"/>
      <c r="M42" s="87"/>
      <c r="N42" s="19"/>
      <c r="O42" s="77"/>
    </row>
    <row r="43" spans="1:15">
      <c r="A43" s="125"/>
      <c r="B43" s="63"/>
      <c r="C43" s="58"/>
      <c r="D43" s="138"/>
      <c r="E43" s="96"/>
      <c r="F43" s="58"/>
      <c r="G43" s="59"/>
      <c r="H43" s="60"/>
      <c r="I43" s="60"/>
      <c r="J43" s="60"/>
      <c r="K43" s="58"/>
      <c r="L43" s="64"/>
      <c r="M43" s="58"/>
      <c r="N43" s="19"/>
      <c r="O43" s="62"/>
    </row>
    <row r="44" spans="1:15">
      <c r="A44" s="125"/>
      <c r="B44" s="63"/>
      <c r="C44" s="58"/>
      <c r="D44" s="79"/>
      <c r="E44" s="79"/>
      <c r="F44" s="58"/>
      <c r="G44" s="59"/>
      <c r="H44" s="60"/>
      <c r="I44" s="60"/>
      <c r="J44" s="60"/>
      <c r="K44" s="58"/>
      <c r="L44" s="64"/>
      <c r="M44" s="58"/>
      <c r="N44" s="19"/>
      <c r="O44" s="62"/>
    </row>
    <row r="45" spans="1:15">
      <c r="A45" s="125"/>
      <c r="B45" s="63"/>
      <c r="C45" s="58"/>
      <c r="D45" s="78"/>
      <c r="E45" s="79"/>
      <c r="F45" s="80"/>
      <c r="G45" s="58"/>
      <c r="H45" s="59"/>
      <c r="I45" s="60"/>
      <c r="J45" s="60"/>
      <c r="K45" s="60"/>
      <c r="L45" s="100"/>
      <c r="M45" s="61"/>
      <c r="N45" s="58"/>
      <c r="O45" s="62"/>
    </row>
    <row r="46" spans="1:15">
      <c r="A46" s="125"/>
      <c r="B46" s="63"/>
      <c r="C46" s="58"/>
      <c r="D46" s="78"/>
      <c r="E46" s="79"/>
      <c r="F46" s="80"/>
      <c r="G46" s="58"/>
      <c r="H46" s="59"/>
      <c r="I46" s="60"/>
      <c r="J46" s="60"/>
      <c r="K46" s="60"/>
      <c r="L46" s="100"/>
      <c r="M46" s="61"/>
      <c r="N46" s="58"/>
      <c r="O46" s="62"/>
    </row>
    <row r="47" spans="1:15">
      <c r="C47" s="58"/>
      <c r="D47" s="90"/>
      <c r="E47" s="94"/>
      <c r="F47" s="90"/>
      <c r="G47" s="90"/>
      <c r="H47" s="91"/>
      <c r="I47" s="91"/>
      <c r="J47" s="91"/>
      <c r="K47" s="91"/>
      <c r="L47" s="101"/>
      <c r="M47" s="93"/>
      <c r="N47" s="91"/>
      <c r="O47" s="124"/>
    </row>
    <row r="48" spans="1:15">
      <c r="C48" s="58"/>
      <c r="D48" s="90"/>
      <c r="E48" s="94"/>
      <c r="F48" s="90"/>
      <c r="G48" s="90"/>
      <c r="H48" s="91"/>
      <c r="I48" s="91"/>
      <c r="J48" s="91"/>
      <c r="K48" s="91"/>
      <c r="L48" s="101"/>
      <c r="M48" s="93"/>
      <c r="N48" s="91"/>
      <c r="O48" s="124"/>
    </row>
    <row r="49" spans="1:15">
      <c r="A49" s="125"/>
      <c r="B49" s="63"/>
      <c r="C49" s="86"/>
      <c r="D49" s="87"/>
      <c r="E49" s="86"/>
      <c r="F49" s="87"/>
      <c r="G49" s="88"/>
      <c r="H49" s="89"/>
      <c r="I49" s="89"/>
      <c r="J49" s="89"/>
      <c r="K49" s="87"/>
      <c r="L49" s="98"/>
      <c r="M49" s="87"/>
      <c r="N49" s="77"/>
    </row>
    <row r="50" spans="1:15">
      <c r="A50" s="125"/>
      <c r="B50" s="63"/>
      <c r="C50" s="58"/>
      <c r="D50" s="139"/>
      <c r="E50" s="19"/>
      <c r="F50" s="58"/>
      <c r="G50" s="59"/>
      <c r="H50" s="60"/>
      <c r="I50" s="60"/>
      <c r="J50" s="60"/>
      <c r="K50" s="58"/>
      <c r="L50" s="64"/>
      <c r="M50" s="58"/>
      <c r="N50" s="62"/>
    </row>
    <row r="51" spans="1:15">
      <c r="A51" s="125"/>
      <c r="B51" s="63"/>
      <c r="C51" s="58"/>
      <c r="D51" s="81"/>
      <c r="E51" s="19"/>
      <c r="F51" s="81"/>
      <c r="G51" s="58"/>
      <c r="H51" s="59"/>
      <c r="I51" s="60"/>
      <c r="J51" s="60"/>
      <c r="K51" s="60"/>
      <c r="L51" s="58"/>
      <c r="M51" s="61"/>
      <c r="N51" s="58"/>
      <c r="O51" s="62"/>
    </row>
    <row r="52" spans="1:15">
      <c r="A52" s="125"/>
      <c r="B52" s="63"/>
      <c r="C52" s="58"/>
      <c r="D52" s="78"/>
      <c r="E52" s="81"/>
      <c r="F52" s="81"/>
      <c r="G52" s="58"/>
      <c r="H52" s="59"/>
      <c r="I52" s="60"/>
      <c r="J52" s="60"/>
      <c r="K52" s="60"/>
      <c r="L52" s="58"/>
      <c r="M52" s="61"/>
      <c r="N52" s="58"/>
      <c r="O52" s="62"/>
    </row>
    <row r="53" spans="1:15">
      <c r="A53" s="125"/>
      <c r="B53" s="63"/>
      <c r="C53" s="58"/>
      <c r="D53" s="78"/>
      <c r="E53" s="81"/>
      <c r="F53" s="81"/>
      <c r="G53" s="58"/>
      <c r="H53" s="59"/>
      <c r="I53" s="60"/>
      <c r="J53" s="60"/>
      <c r="K53" s="60"/>
      <c r="L53" s="58"/>
      <c r="M53" s="61"/>
      <c r="N53" s="58"/>
      <c r="O53" s="62"/>
    </row>
    <row r="54" spans="1:15">
      <c r="C54" s="58"/>
      <c r="D54" s="90"/>
      <c r="E54" s="94"/>
      <c r="F54" s="90"/>
      <c r="G54" s="90"/>
      <c r="H54" s="91"/>
      <c r="I54" s="91"/>
      <c r="J54" s="91"/>
      <c r="K54" s="91"/>
      <c r="L54" s="92"/>
      <c r="M54" s="93"/>
      <c r="N54" s="91"/>
      <c r="O54" s="124"/>
    </row>
    <row r="55" spans="1:15">
      <c r="A55" s="58"/>
      <c r="B55" s="63"/>
      <c r="C55" s="86"/>
      <c r="D55" s="87"/>
      <c r="E55" s="95"/>
      <c r="F55" s="87"/>
      <c r="G55" s="88"/>
      <c r="H55" s="89"/>
      <c r="I55" s="89"/>
      <c r="J55" s="89"/>
      <c r="K55" s="87"/>
      <c r="L55" s="123"/>
      <c r="M55" s="87"/>
      <c r="O55" s="77"/>
    </row>
    <row r="56" spans="1:15">
      <c r="A56" s="58"/>
      <c r="B56" s="63"/>
      <c r="C56" s="58"/>
      <c r="D56" s="96"/>
      <c r="E56" s="19"/>
      <c r="F56" s="109"/>
      <c r="G56" s="59"/>
      <c r="H56" s="60"/>
      <c r="I56" s="60"/>
      <c r="J56" s="60"/>
      <c r="K56" s="58"/>
      <c r="L56" s="61"/>
      <c r="M56" s="58"/>
      <c r="O56" s="62"/>
    </row>
    <row r="57" spans="1:15">
      <c r="A57" s="58"/>
      <c r="B57" s="63"/>
      <c r="C57" s="58"/>
      <c r="D57" s="79"/>
      <c r="E57" s="19"/>
      <c r="F57" s="109"/>
      <c r="G57" s="59"/>
      <c r="H57" s="60"/>
      <c r="I57" s="60"/>
      <c r="J57" s="60"/>
      <c r="K57" s="58"/>
      <c r="L57" s="61"/>
      <c r="M57" s="58"/>
      <c r="O57" s="62"/>
    </row>
    <row r="58" spans="1:15">
      <c r="A58" s="58"/>
      <c r="B58" s="63"/>
      <c r="C58" s="58"/>
      <c r="D58" s="79"/>
      <c r="E58" s="19"/>
      <c r="F58" s="80"/>
      <c r="G58" s="58"/>
      <c r="H58" s="59"/>
      <c r="I58" s="60"/>
      <c r="J58" s="60"/>
      <c r="K58" s="60"/>
      <c r="L58" s="58"/>
      <c r="M58" s="61"/>
      <c r="N58" s="58"/>
      <c r="O58" s="62"/>
    </row>
    <row r="59" spans="1:15">
      <c r="A59" s="58"/>
      <c r="B59" s="63"/>
      <c r="C59" s="58"/>
      <c r="D59" s="78"/>
      <c r="E59" s="79"/>
      <c r="F59" s="81"/>
      <c r="G59" s="58"/>
      <c r="H59" s="59"/>
      <c r="I59" s="60"/>
      <c r="J59" s="60"/>
      <c r="K59" s="60"/>
      <c r="L59" s="58"/>
      <c r="M59" s="61"/>
      <c r="N59" s="58"/>
      <c r="O59" s="62"/>
    </row>
    <row r="60" spans="1:15">
      <c r="D60" s="90"/>
      <c r="E60" s="94"/>
      <c r="F60" s="90"/>
      <c r="G60" s="90"/>
      <c r="H60" s="91"/>
      <c r="I60" s="91"/>
      <c r="J60" s="91"/>
      <c r="K60" s="91"/>
      <c r="L60" s="92"/>
      <c r="M60" s="93"/>
      <c r="N60" s="91"/>
      <c r="O60" s="91"/>
    </row>
    <row r="61" spans="1:15">
      <c r="C61" s="58"/>
      <c r="D61" s="90"/>
      <c r="E61" s="94"/>
      <c r="F61" s="90"/>
      <c r="G61" s="90"/>
      <c r="H61" s="91"/>
      <c r="I61" s="91"/>
      <c r="J61" s="91"/>
      <c r="K61" s="91"/>
      <c r="L61" s="92"/>
      <c r="M61" s="93"/>
      <c r="N61" s="91"/>
      <c r="O61" s="124"/>
    </row>
    <row r="62" spans="1:15">
      <c r="C62" s="58"/>
      <c r="D62" s="90"/>
      <c r="E62" s="94"/>
      <c r="F62" s="90"/>
      <c r="G62" s="90"/>
      <c r="H62" s="91"/>
      <c r="I62" s="91"/>
      <c r="J62" s="91"/>
      <c r="K62" s="91"/>
      <c r="L62" s="92"/>
      <c r="M62" s="93"/>
      <c r="N62" s="91"/>
      <c r="O62" s="124"/>
    </row>
    <row r="63" spans="1:15">
      <c r="C63" s="58"/>
      <c r="D63" s="90"/>
      <c r="E63" s="94"/>
      <c r="F63" s="90"/>
      <c r="G63" s="90"/>
      <c r="H63" s="91"/>
      <c r="I63" s="91"/>
      <c r="J63" s="91"/>
      <c r="K63" s="91"/>
      <c r="L63" s="92"/>
      <c r="M63" s="93"/>
      <c r="N63" s="91"/>
      <c r="O63" s="124"/>
    </row>
    <row r="64" spans="1:15">
      <c r="C64" s="58"/>
      <c r="D64" s="90"/>
      <c r="E64" s="94"/>
      <c r="F64" s="90"/>
      <c r="G64" s="90"/>
      <c r="H64" s="91"/>
      <c r="I64" s="91"/>
      <c r="J64" s="91"/>
      <c r="K64" s="91"/>
      <c r="L64" s="92"/>
      <c r="M64" s="93"/>
      <c r="N64" s="91"/>
      <c r="O64" s="124"/>
    </row>
    <row r="65" spans="3:15">
      <c r="C65" s="58"/>
      <c r="D65" s="90"/>
      <c r="E65" s="94"/>
      <c r="F65" s="90"/>
      <c r="G65" s="90"/>
      <c r="H65" s="91"/>
      <c r="I65" s="91"/>
      <c r="J65" s="91"/>
      <c r="K65" s="91"/>
      <c r="L65" s="92"/>
      <c r="M65" s="93"/>
      <c r="N65" s="91"/>
      <c r="O65" s="124"/>
    </row>
    <row r="66" spans="3:15">
      <c r="C66" s="58"/>
      <c r="D66" s="90"/>
      <c r="E66" s="94"/>
      <c r="F66" s="90"/>
      <c r="G66" s="90"/>
      <c r="H66" s="91"/>
      <c r="I66" s="91"/>
      <c r="J66" s="91"/>
      <c r="K66" s="91"/>
      <c r="L66" s="92"/>
      <c r="M66" s="93"/>
      <c r="N66" s="91"/>
      <c r="O66" s="124"/>
    </row>
    <row r="67" spans="3:15">
      <c r="C67" s="58"/>
      <c r="D67" s="90"/>
      <c r="E67" s="94"/>
      <c r="F67" s="90"/>
      <c r="G67" s="90"/>
      <c r="H67" s="91"/>
      <c r="I67" s="91"/>
      <c r="J67" s="91"/>
      <c r="K67" s="91"/>
      <c r="L67" s="92"/>
      <c r="M67" s="93"/>
      <c r="N67" s="91"/>
      <c r="O67" s="124"/>
    </row>
    <row r="68" spans="3:15">
      <c r="C68" s="58"/>
      <c r="D68" s="90"/>
      <c r="E68" s="94"/>
      <c r="F68" s="90"/>
      <c r="G68" s="90"/>
      <c r="H68" s="91"/>
      <c r="I68" s="91"/>
      <c r="J68" s="91"/>
      <c r="K68" s="91"/>
      <c r="L68" s="92"/>
      <c r="M68" s="93"/>
      <c r="N68" s="91"/>
      <c r="O68" s="124"/>
    </row>
    <row r="69" spans="3:15">
      <c r="C69" s="58"/>
      <c r="D69" s="90"/>
      <c r="E69" s="94"/>
      <c r="F69" s="90"/>
      <c r="G69" s="90"/>
      <c r="H69" s="91"/>
      <c r="I69" s="91"/>
      <c r="J69" s="91"/>
      <c r="K69" s="91"/>
      <c r="L69" s="92"/>
      <c r="M69" s="93"/>
      <c r="N69" s="91"/>
      <c r="O69" s="124"/>
    </row>
    <row r="70" spans="3:15">
      <c r="C70" s="8"/>
      <c r="D70" s="8"/>
      <c r="E70" s="7"/>
      <c r="F70" s="6"/>
      <c r="G70" s="6"/>
      <c r="H70" s="5"/>
      <c r="I70" s="5"/>
      <c r="J70" s="5"/>
      <c r="K70" s="6"/>
      <c r="L70" s="4"/>
      <c r="M70" s="6"/>
      <c r="N70" s="2"/>
    </row>
    <row r="71" spans="3:15">
      <c r="C71" s="8"/>
      <c r="D71" s="8"/>
      <c r="E71" s="7"/>
      <c r="F71" s="6"/>
      <c r="G71" s="6"/>
      <c r="H71" s="5"/>
      <c r="I71" s="5"/>
      <c r="J71" s="5"/>
      <c r="K71" s="6"/>
      <c r="L71" s="4"/>
      <c r="M71" s="6"/>
      <c r="N71" s="2"/>
    </row>
    <row r="72" spans="3:15">
      <c r="C72" s="8"/>
      <c r="D72" s="8"/>
      <c r="E72" s="7"/>
      <c r="F72" s="6"/>
      <c r="G72" s="6"/>
      <c r="H72" s="5"/>
      <c r="I72" s="5"/>
      <c r="J72" s="5"/>
      <c r="K72" s="6"/>
      <c r="L72" s="4"/>
      <c r="M72" s="6"/>
      <c r="N72" s="2"/>
    </row>
    <row r="73" spans="3:15">
      <c r="C73" s="8"/>
      <c r="D73" s="8"/>
      <c r="E73" s="7"/>
      <c r="F73" s="6"/>
      <c r="G73" s="6"/>
      <c r="H73" s="5"/>
      <c r="I73" s="5"/>
      <c r="J73" s="5"/>
      <c r="K73" s="6"/>
      <c r="L73" s="4"/>
      <c r="M73" s="6"/>
      <c r="N73" s="2"/>
    </row>
    <row r="74" spans="3:15">
      <c r="C74" s="8"/>
      <c r="D74" s="8"/>
      <c r="E74" s="7"/>
      <c r="F74" s="6"/>
      <c r="G74" s="6"/>
      <c r="H74" s="5"/>
      <c r="I74" s="5"/>
      <c r="J74" s="5"/>
      <c r="K74" s="6"/>
      <c r="L74" s="4"/>
      <c r="M74" s="6"/>
      <c r="N74" s="2"/>
    </row>
    <row r="75" spans="3:15">
      <c r="C75" s="8"/>
      <c r="D75" s="8"/>
      <c r="E75" s="7"/>
      <c r="F75" s="6"/>
      <c r="G75" s="6"/>
      <c r="H75" s="5"/>
      <c r="I75" s="5"/>
      <c r="J75" s="5"/>
      <c r="K75" s="6"/>
      <c r="L75" s="4"/>
      <c r="M75" s="6"/>
      <c r="N75" s="2"/>
    </row>
    <row r="76" spans="3:15">
      <c r="C76" s="8"/>
      <c r="D76" s="8"/>
      <c r="E76" s="7"/>
      <c r="F76" s="6"/>
      <c r="G76" s="6"/>
      <c r="H76" s="5"/>
      <c r="I76" s="5"/>
      <c r="J76" s="5"/>
      <c r="K76" s="6"/>
      <c r="L76" s="4"/>
      <c r="M76" s="6"/>
      <c r="N76" s="2"/>
    </row>
    <row r="77" spans="3:15">
      <c r="C77" s="8"/>
      <c r="D77" s="8"/>
      <c r="E77" s="7"/>
      <c r="F77" s="6"/>
      <c r="G77" s="6"/>
      <c r="H77" s="5"/>
      <c r="I77" s="5"/>
      <c r="J77" s="5"/>
      <c r="K77" s="6"/>
      <c r="L77" s="108"/>
      <c r="M77" s="6"/>
      <c r="N77" s="2"/>
    </row>
    <row r="78" spans="3:15">
      <c r="C78" s="8"/>
      <c r="D78" s="8"/>
      <c r="E78" s="7"/>
      <c r="F78" s="6"/>
      <c r="G78" s="6"/>
      <c r="H78" s="5"/>
      <c r="I78" s="5"/>
      <c r="J78" s="5"/>
      <c r="K78" s="6"/>
      <c r="L78" s="4"/>
      <c r="M78" s="6"/>
      <c r="N78" s="2"/>
    </row>
    <row r="79" spans="3:15">
      <c r="C79" s="8"/>
      <c r="D79" s="8"/>
      <c r="E79" s="7"/>
      <c r="F79" s="6"/>
      <c r="G79" s="6"/>
      <c r="H79" s="5"/>
      <c r="I79" s="5"/>
      <c r="J79" s="5"/>
      <c r="K79" s="6"/>
      <c r="L79" s="4"/>
      <c r="M79" s="6"/>
      <c r="N79" s="2"/>
    </row>
    <row r="80" spans="3:15">
      <c r="C80" s="8"/>
      <c r="D80" s="8"/>
      <c r="E80" s="7"/>
      <c r="F80" s="6"/>
      <c r="G80" s="6"/>
      <c r="H80" s="5"/>
      <c r="I80" s="5"/>
      <c r="J80" s="5"/>
      <c r="K80" s="6"/>
      <c r="L80" s="4"/>
      <c r="M80" s="6"/>
      <c r="N80" s="2"/>
    </row>
    <row r="81" spans="3:14">
      <c r="C81" s="8"/>
      <c r="D81" s="8"/>
      <c r="E81" s="7"/>
      <c r="F81" s="6"/>
      <c r="G81" s="6"/>
      <c r="H81" s="5"/>
      <c r="I81" s="5"/>
      <c r="J81" s="5"/>
      <c r="K81" s="6"/>
      <c r="L81" s="4"/>
      <c r="M81" s="6"/>
      <c r="N81" s="2"/>
    </row>
    <row r="82" spans="3:14">
      <c r="C82" s="8"/>
      <c r="D82" s="8"/>
      <c r="E82" s="7"/>
      <c r="F82" s="6"/>
      <c r="G82" s="6"/>
      <c r="H82" s="5"/>
      <c r="I82" s="5"/>
      <c r="J82" s="5"/>
      <c r="K82" s="6"/>
      <c r="L82" s="4"/>
      <c r="M82" s="6"/>
      <c r="N82" s="2"/>
    </row>
    <row r="83" spans="3:14" ht="14.25" customHeight="1">
      <c r="C83" s="8"/>
      <c r="D83" s="8"/>
      <c r="E83" s="7"/>
      <c r="F83" s="6"/>
      <c r="G83" s="6"/>
      <c r="H83" s="5"/>
      <c r="I83" s="5"/>
      <c r="J83" s="5"/>
      <c r="K83" s="6"/>
      <c r="L83" s="4"/>
      <c r="M83" s="6"/>
      <c r="N83" s="2"/>
    </row>
    <row r="84" spans="3:14" ht="14.25" customHeight="1">
      <c r="C84" s="8"/>
      <c r="D84" s="8"/>
      <c r="E84" s="7"/>
      <c r="F84" s="6"/>
      <c r="G84" s="6"/>
      <c r="H84" s="5"/>
      <c r="I84" s="5"/>
      <c r="J84" s="5"/>
      <c r="K84" s="6"/>
      <c r="L84" s="4"/>
      <c r="M84" s="6"/>
      <c r="N84" s="2"/>
    </row>
    <row r="85" spans="3:14" ht="14.25" customHeight="1">
      <c r="C85" s="8"/>
      <c r="D85" s="8"/>
      <c r="E85" s="7"/>
      <c r="F85" s="6"/>
      <c r="G85" s="6"/>
      <c r="H85" s="5"/>
      <c r="I85" s="5"/>
      <c r="J85" s="5"/>
      <c r="K85" s="6"/>
      <c r="L85" s="4"/>
      <c r="M85" s="6"/>
      <c r="N85" s="2"/>
    </row>
    <row r="86" spans="3:14" ht="14.25" customHeight="1">
      <c r="C86" s="8"/>
      <c r="D86" s="8"/>
      <c r="E86" s="7"/>
      <c r="F86" s="6"/>
      <c r="G86" s="6"/>
      <c r="H86" s="5"/>
      <c r="I86" s="5"/>
      <c r="J86" s="5"/>
      <c r="K86" s="6"/>
      <c r="L86" s="4"/>
      <c r="M86" s="6"/>
      <c r="N86" s="2"/>
    </row>
    <row r="87" spans="3:14" ht="14.25" customHeight="1">
      <c r="C87" s="8"/>
      <c r="D87" s="8"/>
      <c r="E87" s="7"/>
      <c r="F87" s="6"/>
      <c r="G87" s="6"/>
      <c r="H87" s="5"/>
      <c r="I87" s="5"/>
      <c r="J87" s="5"/>
      <c r="K87" s="6"/>
      <c r="L87" s="4"/>
      <c r="M87" s="6"/>
      <c r="N87" s="2"/>
    </row>
    <row r="88" spans="3:14" ht="14.25" customHeight="1">
      <c r="C88" s="8"/>
      <c r="D88" s="8"/>
      <c r="E88" s="7"/>
      <c r="F88" s="6"/>
      <c r="G88" s="6"/>
      <c r="H88" s="5"/>
      <c r="I88" s="5"/>
      <c r="J88" s="5"/>
      <c r="K88" s="6"/>
      <c r="L88" s="4"/>
      <c r="M88" s="6"/>
      <c r="N88" s="2"/>
    </row>
    <row r="89" spans="3:14" ht="14.25" customHeight="1">
      <c r="C89" s="8"/>
      <c r="D89" s="8"/>
      <c r="E89" s="7"/>
      <c r="F89" s="6"/>
      <c r="G89" s="6"/>
      <c r="H89" s="5"/>
      <c r="I89" s="5"/>
      <c r="J89" s="5"/>
      <c r="K89" s="6"/>
      <c r="L89" s="4"/>
      <c r="M89" s="6"/>
      <c r="N89" s="2"/>
    </row>
    <row r="90" spans="3:14" ht="14.25" customHeight="1">
      <c r="C90" s="8"/>
      <c r="D90" s="8"/>
      <c r="E90" s="7"/>
      <c r="F90" s="6"/>
      <c r="G90" s="6"/>
      <c r="H90" s="5"/>
      <c r="I90" s="5"/>
      <c r="J90" s="5"/>
      <c r="K90" s="6"/>
      <c r="L90" s="4"/>
      <c r="M90" s="6"/>
      <c r="N90" s="2"/>
    </row>
    <row r="91" spans="3:14" ht="14.25" customHeight="1">
      <c r="C91" s="8"/>
      <c r="D91" s="8"/>
      <c r="E91" s="7"/>
      <c r="F91" s="6"/>
      <c r="G91" s="6"/>
      <c r="H91" s="5"/>
      <c r="I91" s="5"/>
      <c r="J91" s="5"/>
      <c r="K91" s="6"/>
      <c r="L91" s="4"/>
      <c r="M91" s="6"/>
      <c r="N91" s="2"/>
    </row>
    <row r="92" spans="3:14" ht="14.25" customHeight="1">
      <c r="C92" s="8"/>
      <c r="D92" s="8"/>
      <c r="E92" s="7"/>
      <c r="F92" s="6"/>
      <c r="G92" s="6"/>
      <c r="H92" s="5"/>
      <c r="I92" s="5"/>
      <c r="J92" s="5"/>
      <c r="K92" s="6"/>
      <c r="L92" s="4"/>
      <c r="M92" s="6"/>
      <c r="N92" s="2"/>
    </row>
    <row r="93" spans="3:14" ht="14.25" customHeight="1">
      <c r="C93" s="8"/>
      <c r="D93" s="8"/>
      <c r="E93" s="7"/>
      <c r="F93" s="6"/>
      <c r="G93" s="6"/>
      <c r="H93" s="5"/>
      <c r="I93" s="5"/>
      <c r="J93" s="5"/>
      <c r="K93" s="6"/>
      <c r="L93" s="4"/>
      <c r="M93" s="6"/>
      <c r="N93" s="2"/>
    </row>
    <row r="94" spans="3:14" ht="14.25" customHeight="1">
      <c r="C94" s="8"/>
      <c r="D94" s="8"/>
      <c r="E94" s="7"/>
      <c r="F94" s="6"/>
      <c r="G94" s="6"/>
      <c r="H94" s="5"/>
      <c r="I94" s="5"/>
      <c r="J94" s="5"/>
      <c r="K94" s="6"/>
      <c r="L94" s="4"/>
      <c r="M94" s="6"/>
      <c r="N94" s="2"/>
    </row>
    <row r="95" spans="3:14" ht="14.25" customHeight="1">
      <c r="C95" s="8"/>
      <c r="D95" s="8"/>
      <c r="E95" s="7"/>
      <c r="F95" s="6"/>
      <c r="G95" s="6"/>
      <c r="H95" s="5"/>
      <c r="I95" s="5"/>
      <c r="J95" s="5"/>
      <c r="K95" s="6"/>
      <c r="L95" s="4"/>
      <c r="M95" s="6"/>
      <c r="N95" s="2"/>
    </row>
    <row r="96" spans="3:14" ht="14.25" customHeight="1">
      <c r="C96" s="8"/>
      <c r="D96" s="8"/>
      <c r="E96" s="7"/>
      <c r="F96" s="6"/>
      <c r="G96" s="6"/>
      <c r="H96" s="5"/>
      <c r="I96" s="5"/>
      <c r="J96" s="5"/>
      <c r="K96" s="6"/>
      <c r="L96" s="4"/>
      <c r="M96" s="6"/>
      <c r="N96" s="2"/>
    </row>
    <row r="97" spans="3:14" ht="14.25" customHeight="1">
      <c r="C97" s="8"/>
      <c r="D97" s="8"/>
      <c r="E97" s="7"/>
      <c r="F97" s="6"/>
      <c r="G97" s="6"/>
      <c r="H97" s="5"/>
      <c r="I97" s="5"/>
      <c r="J97" s="5"/>
      <c r="K97" s="6"/>
      <c r="L97" s="4"/>
      <c r="M97" s="6"/>
      <c r="N97" s="2"/>
    </row>
    <row r="98" spans="3:14" ht="14.25" customHeight="1">
      <c r="C98" s="8"/>
      <c r="D98" s="8"/>
      <c r="E98" s="7"/>
      <c r="F98" s="6"/>
      <c r="G98" s="6"/>
      <c r="H98" s="5"/>
      <c r="I98" s="5"/>
      <c r="J98" s="5"/>
      <c r="K98" s="6"/>
      <c r="L98" s="4"/>
      <c r="M98" s="3"/>
      <c r="N98" s="2"/>
    </row>
    <row r="99" spans="3:14" ht="14.25" customHeight="1">
      <c r="C99" s="8"/>
      <c r="D99" s="8"/>
      <c r="E99" s="7"/>
      <c r="F99" s="6"/>
      <c r="G99" s="5"/>
      <c r="H99" s="5"/>
      <c r="I99" s="5"/>
      <c r="J99" s="5"/>
      <c r="K99" s="4"/>
      <c r="L99" s="4"/>
      <c r="M99" s="3"/>
      <c r="N99" s="2"/>
    </row>
    <row r="100" spans="3:14" ht="14.25" customHeight="1">
      <c r="C100" s="19"/>
      <c r="D100" s="19"/>
      <c r="E100" s="19"/>
      <c r="F100" s="19"/>
      <c r="G100" s="19"/>
      <c r="H100" s="19"/>
      <c r="I100" s="19"/>
      <c r="J100" s="19"/>
      <c r="K100" s="19"/>
      <c r="L100" s="19"/>
      <c r="M100" s="19"/>
      <c r="N100" s="19"/>
    </row>
    <row r="101" spans="3:14" ht="14.25" customHeight="1">
      <c r="C101" s="31"/>
      <c r="D101" s="27"/>
      <c r="E101" s="20"/>
      <c r="F101" s="28"/>
      <c r="G101" s="28"/>
      <c r="H101" s="26"/>
      <c r="I101" s="26"/>
      <c r="J101" s="26"/>
      <c r="K101" s="28"/>
      <c r="L101" s="29"/>
      <c r="M101" s="28"/>
      <c r="N101" s="27"/>
    </row>
    <row r="102" spans="3:14" s="1" customFormat="1" ht="14.25" customHeight="1">
      <c r="C102" s="31"/>
      <c r="D102" s="27"/>
      <c r="E102" s="21"/>
      <c r="F102" s="28"/>
      <c r="G102" s="28"/>
      <c r="H102" s="26"/>
      <c r="I102" s="26"/>
      <c r="J102" s="26"/>
      <c r="K102" s="28"/>
      <c r="L102" s="29"/>
      <c r="M102" s="28"/>
      <c r="N102" s="27"/>
    </row>
    <row r="103" spans="3:14" s="1" customFormat="1" ht="14.25" customHeight="1">
      <c r="C103" s="30"/>
      <c r="D103" s="25"/>
      <c r="E103" s="21"/>
      <c r="F103" s="22"/>
      <c r="G103" s="22"/>
      <c r="H103" s="23"/>
      <c r="I103" s="23"/>
      <c r="J103" s="23"/>
      <c r="K103" s="22"/>
      <c r="L103" s="24"/>
      <c r="M103" s="22"/>
      <c r="N103" s="25"/>
    </row>
  </sheetData>
  <mergeCells count="5">
    <mergeCell ref="C2:G2"/>
    <mergeCell ref="H2:J2"/>
    <mergeCell ref="K2:L2"/>
    <mergeCell ref="M2:M3"/>
    <mergeCell ref="N2:N3"/>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548AD-7D2C-489A-8B82-A8EB9D69FEFA}">
  <sheetPr>
    <tabColor rgb="FFFFC000"/>
  </sheetPr>
  <dimension ref="A2:O103"/>
  <sheetViews>
    <sheetView zoomScale="99" zoomScaleNormal="145" workbookViewId="0">
      <pane ySplit="4" topLeftCell="A12" activePane="bottomLeft" state="frozen"/>
      <selection pane="bottomLeft" activeCell="L23" sqref="A1:XFD1048576"/>
    </sheetView>
  </sheetViews>
  <sheetFormatPr defaultRowHeight="16.5"/>
  <cols>
    <col min="1" max="2" width="9.140625" style="299"/>
    <col min="3" max="3" width="21.42578125" style="299" customWidth="1"/>
    <col min="4" max="4" width="20.5703125" style="299" customWidth="1"/>
    <col min="5" max="5" width="26" style="299" customWidth="1"/>
    <col min="6" max="6" width="16.7109375" style="299" customWidth="1"/>
    <col min="7" max="7" width="11.7109375" style="299" customWidth="1"/>
    <col min="8" max="8" width="13.7109375" style="299" customWidth="1"/>
    <col min="9" max="9" width="14.42578125" style="299" bestFit="1" customWidth="1"/>
    <col min="10" max="10" width="12.5703125" style="299" customWidth="1"/>
    <col min="11" max="11" width="18.5703125" style="299" customWidth="1"/>
    <col min="12" max="12" width="15.5703125" style="299" customWidth="1"/>
    <col min="13" max="13" width="16.28515625" style="299" customWidth="1"/>
    <col min="14" max="14" width="12.85546875" style="299" customWidth="1"/>
    <col min="15" max="16384" width="9.140625" style="299"/>
  </cols>
  <sheetData>
    <row r="2" spans="1:15">
      <c r="C2" s="2651" t="s">
        <v>30</v>
      </c>
      <c r="D2" s="2651"/>
      <c r="E2" s="2651"/>
      <c r="F2" s="2651"/>
      <c r="G2" s="2651"/>
      <c r="H2" s="2652" t="s">
        <v>29</v>
      </c>
      <c r="I2" s="2652"/>
      <c r="J2" s="2652"/>
      <c r="K2" s="2651" t="s">
        <v>28</v>
      </c>
      <c r="L2" s="2651"/>
      <c r="M2" s="2652" t="s">
        <v>27</v>
      </c>
      <c r="N2" s="2652" t="s">
        <v>26</v>
      </c>
    </row>
    <row r="3" spans="1:15" ht="81">
      <c r="C3" s="2393" t="s">
        <v>25</v>
      </c>
      <c r="D3" s="2394" t="s">
        <v>24</v>
      </c>
      <c r="E3" s="2395" t="s">
        <v>23</v>
      </c>
      <c r="F3" s="2393" t="s">
        <v>22</v>
      </c>
      <c r="G3" s="2396" t="s">
        <v>4000</v>
      </c>
      <c r="H3" s="2396" t="s">
        <v>20</v>
      </c>
      <c r="I3" s="2396" t="s">
        <v>19</v>
      </c>
      <c r="J3" s="2396" t="s">
        <v>18</v>
      </c>
      <c r="K3" s="2393" t="s">
        <v>17</v>
      </c>
      <c r="L3" s="2393" t="s">
        <v>16</v>
      </c>
      <c r="M3" s="2652"/>
      <c r="N3" s="2652"/>
    </row>
    <row r="4" spans="1:15">
      <c r="C4" s="2397" t="s">
        <v>15</v>
      </c>
      <c r="D4" s="2397" t="s">
        <v>14</v>
      </c>
      <c r="E4" s="2397" t="s">
        <v>13</v>
      </c>
      <c r="F4" s="2397" t="s">
        <v>12</v>
      </c>
      <c r="G4" s="2397" t="s">
        <v>11</v>
      </c>
      <c r="H4" s="2397" t="s">
        <v>10</v>
      </c>
      <c r="I4" s="2397" t="s">
        <v>9</v>
      </c>
      <c r="J4" s="2397" t="s">
        <v>8</v>
      </c>
      <c r="K4" s="2397" t="s">
        <v>7</v>
      </c>
      <c r="L4" s="2397" t="s">
        <v>6</v>
      </c>
      <c r="M4" s="2397" t="s">
        <v>5</v>
      </c>
      <c r="N4" s="2397" t="s">
        <v>4</v>
      </c>
    </row>
    <row r="5" spans="1:15" s="1313" customFormat="1">
      <c r="C5" s="2423" t="s">
        <v>629</v>
      </c>
      <c r="D5" s="2424"/>
      <c r="E5" s="2424"/>
      <c r="F5" s="2424"/>
      <c r="G5" s="2425"/>
      <c r="H5" s="2424"/>
      <c r="I5" s="2424"/>
      <c r="J5" s="2424"/>
      <c r="K5" s="2424"/>
      <c r="L5" s="2424"/>
      <c r="M5" s="2424"/>
      <c r="N5" s="2424"/>
    </row>
    <row r="6" spans="1:15" s="483" customFormat="1" ht="13.5">
      <c r="A6" s="641" t="s">
        <v>590</v>
      </c>
      <c r="B6" s="483" t="s">
        <v>589</v>
      </c>
      <c r="C6" s="642" t="s">
        <v>625</v>
      </c>
      <c r="D6" s="643" t="s">
        <v>2</v>
      </c>
      <c r="E6" s="898" t="s">
        <v>626</v>
      </c>
      <c r="F6" s="642" t="s">
        <v>593</v>
      </c>
      <c r="G6" s="644" t="s">
        <v>1</v>
      </c>
      <c r="H6" s="899" t="s">
        <v>576</v>
      </c>
      <c r="I6" s="899" t="s">
        <v>576</v>
      </c>
      <c r="J6" s="900" t="s">
        <v>627</v>
      </c>
      <c r="K6" s="643" t="s">
        <v>578</v>
      </c>
      <c r="L6" s="647">
        <v>250000</v>
      </c>
      <c r="M6" s="642" t="s">
        <v>579</v>
      </c>
      <c r="N6" s="642" t="s">
        <v>580</v>
      </c>
    </row>
    <row r="7" spans="1:15" s="455" customFormat="1" ht="13.5">
      <c r="A7" s="869"/>
      <c r="B7" s="454"/>
      <c r="C7" s="642"/>
      <c r="D7" s="643"/>
      <c r="E7" s="898" t="s">
        <v>628</v>
      </c>
      <c r="F7" s="643"/>
      <c r="G7" s="644"/>
      <c r="H7" s="645"/>
      <c r="I7" s="645"/>
      <c r="J7" s="642"/>
      <c r="K7" s="901"/>
      <c r="L7" s="647"/>
      <c r="M7" s="643" t="s">
        <v>602</v>
      </c>
      <c r="N7" s="642" t="s">
        <v>585</v>
      </c>
    </row>
    <row r="8" spans="1:15" s="455" customFormat="1" ht="81">
      <c r="A8" s="641" t="s">
        <v>649</v>
      </c>
      <c r="B8" s="483" t="s">
        <v>650</v>
      </c>
      <c r="C8" s="902" t="s">
        <v>656</v>
      </c>
      <c r="D8" s="309" t="s">
        <v>2</v>
      </c>
      <c r="E8" s="662"/>
      <c r="F8" s="662" t="s">
        <v>651</v>
      </c>
      <c r="G8" s="497" t="s">
        <v>1</v>
      </c>
      <c r="H8" s="774" t="s">
        <v>652</v>
      </c>
      <c r="I8" s="774" t="s">
        <v>653</v>
      </c>
      <c r="J8" s="774" t="s">
        <v>654</v>
      </c>
      <c r="K8" s="499" t="s">
        <v>648</v>
      </c>
      <c r="L8" s="903">
        <v>12000000</v>
      </c>
      <c r="M8" s="309" t="s">
        <v>655</v>
      </c>
      <c r="O8" s="654"/>
    </row>
    <row r="9" spans="1:15" s="455" customFormat="1" ht="13.5">
      <c r="A9" s="869"/>
      <c r="B9" s="454"/>
      <c r="C9" s="471"/>
      <c r="D9" s="870"/>
      <c r="E9" s="460"/>
      <c r="F9" s="471"/>
      <c r="G9" s="477"/>
      <c r="H9" s="526"/>
      <c r="I9" s="526"/>
      <c r="J9" s="526"/>
      <c r="K9" s="471"/>
      <c r="L9" s="529"/>
      <c r="M9" s="471"/>
      <c r="N9" s="458"/>
    </row>
    <row r="10" spans="1:15" s="455" customFormat="1" ht="13.5">
      <c r="A10" s="455" t="s">
        <v>1086</v>
      </c>
      <c r="B10" s="455" t="s">
        <v>1087</v>
      </c>
      <c r="C10" s="677" t="s">
        <v>2</v>
      </c>
      <c r="D10" s="904" t="s">
        <v>1088</v>
      </c>
      <c r="E10" s="905"/>
      <c r="F10" s="905"/>
      <c r="G10" s="905"/>
      <c r="H10" s="54"/>
      <c r="I10" s="54"/>
      <c r="J10" s="54"/>
      <c r="K10" s="692"/>
      <c r="L10" s="677"/>
      <c r="M10" s="677"/>
      <c r="N10" s="471"/>
      <c r="O10" s="458"/>
    </row>
    <row r="11" spans="1:15" s="455" customFormat="1" ht="27">
      <c r="A11" s="455" t="s">
        <v>1086</v>
      </c>
      <c r="B11" s="455" t="s">
        <v>1087</v>
      </c>
      <c r="C11" s="906"/>
      <c r="D11" s="905" t="s">
        <v>1089</v>
      </c>
      <c r="F11" s="685" t="s">
        <v>422</v>
      </c>
      <c r="G11" s="678" t="s">
        <v>1084</v>
      </c>
      <c r="H11" s="678">
        <v>46205</v>
      </c>
      <c r="I11" s="679">
        <v>46376</v>
      </c>
      <c r="J11" s="680" t="s">
        <v>1090</v>
      </c>
      <c r="K11" s="680" t="s">
        <v>98</v>
      </c>
      <c r="L11" s="907">
        <v>45500</v>
      </c>
      <c r="M11" s="677" t="s">
        <v>99</v>
      </c>
      <c r="N11" s="474"/>
      <c r="O11" s="471"/>
    </row>
    <row r="12" spans="1:15" s="455" customFormat="1" ht="27">
      <c r="A12" s="455" t="s">
        <v>1086</v>
      </c>
      <c r="B12" s="455" t="s">
        <v>1087</v>
      </c>
      <c r="C12" s="521"/>
      <c r="D12" s="905" t="s">
        <v>1091</v>
      </c>
      <c r="F12" s="677" t="s">
        <v>422</v>
      </c>
      <c r="G12" s="678" t="s">
        <v>1084</v>
      </c>
      <c r="H12" s="678">
        <v>46205</v>
      </c>
      <c r="I12" s="679">
        <v>46376</v>
      </c>
      <c r="J12" s="680" t="s">
        <v>1090</v>
      </c>
      <c r="K12" s="680" t="s">
        <v>98</v>
      </c>
      <c r="L12" s="908">
        <v>2000</v>
      </c>
      <c r="M12" s="677" t="s">
        <v>99</v>
      </c>
      <c r="N12" s="460"/>
      <c r="O12" s="458"/>
    </row>
    <row r="13" spans="1:15" s="455" customFormat="1" ht="13.5">
      <c r="A13" s="869"/>
      <c r="B13" s="454"/>
      <c r="C13" s="471"/>
      <c r="D13" s="464"/>
      <c r="E13" s="464"/>
      <c r="F13" s="471"/>
      <c r="G13" s="477"/>
      <c r="H13" s="526"/>
      <c r="I13" s="526"/>
      <c r="J13" s="526"/>
      <c r="K13" s="471"/>
      <c r="L13" s="529"/>
      <c r="M13" s="471"/>
      <c r="N13" s="460"/>
      <c r="O13" s="458"/>
    </row>
    <row r="14" spans="1:15" s="455" customFormat="1" ht="13.5">
      <c r="A14" s="455" t="s">
        <v>1086</v>
      </c>
      <c r="B14" s="455" t="s">
        <v>1087</v>
      </c>
      <c r="C14" s="677" t="s">
        <v>2</v>
      </c>
      <c r="D14" s="909" t="s">
        <v>1088</v>
      </c>
      <c r="E14" s="910"/>
      <c r="F14" s="911"/>
      <c r="G14" s="910"/>
      <c r="H14" s="912"/>
      <c r="I14" s="912"/>
      <c r="J14" s="913"/>
      <c r="K14" s="914"/>
      <c r="L14" s="677"/>
      <c r="M14" s="677"/>
      <c r="O14" s="458"/>
    </row>
    <row r="15" spans="1:15" s="455" customFormat="1" ht="40.5">
      <c r="A15" s="455" t="s">
        <v>1086</v>
      </c>
      <c r="B15" s="455" t="s">
        <v>1087</v>
      </c>
      <c r="C15" s="521"/>
      <c r="D15" s="905" t="s">
        <v>1089</v>
      </c>
      <c r="F15" s="677" t="s">
        <v>1104</v>
      </c>
      <c r="G15" s="708" t="s">
        <v>1084</v>
      </c>
      <c r="H15" s="709">
        <v>46054</v>
      </c>
      <c r="I15" s="679">
        <v>46056</v>
      </c>
      <c r="J15" s="680" t="s">
        <v>1105</v>
      </c>
      <c r="K15" s="710" t="s">
        <v>98</v>
      </c>
      <c r="L15" s="915">
        <v>12500</v>
      </c>
      <c r="M15" s="677" t="s">
        <v>659</v>
      </c>
      <c r="O15" s="458"/>
    </row>
    <row r="16" spans="1:15" ht="14.25" customHeight="1">
      <c r="A16" s="871"/>
      <c r="B16" s="342"/>
      <c r="C16" s="343"/>
      <c r="D16" s="350"/>
      <c r="E16" s="350"/>
      <c r="F16" s="350"/>
      <c r="G16" s="350"/>
      <c r="H16" s="352"/>
      <c r="I16" s="352"/>
      <c r="J16" s="352"/>
      <c r="K16" s="352"/>
      <c r="L16" s="359"/>
      <c r="M16" s="354"/>
      <c r="N16" s="352"/>
      <c r="O16" s="352"/>
    </row>
    <row r="17" spans="1:15" ht="14.25" customHeight="1">
      <c r="A17" s="323"/>
      <c r="B17" s="342"/>
      <c r="C17" s="323"/>
      <c r="D17" s="323"/>
      <c r="E17" s="303"/>
      <c r="F17" s="323"/>
      <c r="G17" s="326"/>
      <c r="H17" s="327"/>
      <c r="I17" s="327"/>
      <c r="J17" s="327"/>
      <c r="K17" s="323"/>
      <c r="L17" s="328"/>
      <c r="M17" s="323"/>
      <c r="N17" s="329"/>
    </row>
    <row r="18" spans="1:15" ht="14.25" customHeight="1">
      <c r="A18" s="323"/>
      <c r="B18" s="342"/>
      <c r="C18" s="323"/>
      <c r="D18" s="358"/>
      <c r="E18" s="341"/>
      <c r="F18" s="323"/>
      <c r="G18" s="326"/>
      <c r="H18" s="327"/>
      <c r="I18" s="327"/>
      <c r="J18" s="327"/>
      <c r="K18" s="323"/>
      <c r="L18" s="328"/>
      <c r="M18" s="323"/>
      <c r="N18" s="329"/>
    </row>
    <row r="19" spans="1:15" ht="14.25" customHeight="1">
      <c r="A19" s="323"/>
      <c r="B19" s="342"/>
      <c r="C19" s="323"/>
      <c r="D19" s="324"/>
      <c r="E19" s="872"/>
      <c r="F19" s="323"/>
      <c r="G19" s="326"/>
      <c r="H19" s="327"/>
      <c r="I19" s="327"/>
      <c r="J19" s="327"/>
      <c r="K19" s="323"/>
      <c r="L19" s="328"/>
      <c r="M19" s="323"/>
      <c r="N19" s="329"/>
    </row>
    <row r="20" spans="1:15" ht="14.25" customHeight="1">
      <c r="A20" s="323"/>
      <c r="B20" s="342"/>
      <c r="C20" s="323"/>
      <c r="D20" s="324"/>
      <c r="E20" s="872"/>
      <c r="F20" s="323"/>
      <c r="G20" s="326"/>
      <c r="H20" s="327"/>
      <c r="I20" s="327"/>
      <c r="J20" s="327"/>
      <c r="K20" s="323"/>
      <c r="L20" s="328"/>
      <c r="M20" s="323"/>
      <c r="N20" s="329"/>
    </row>
    <row r="21" spans="1:15" ht="14.25" customHeight="1">
      <c r="A21" s="323"/>
      <c r="B21" s="342"/>
      <c r="C21" s="323"/>
      <c r="D21" s="330"/>
      <c r="E21" s="873"/>
      <c r="F21" s="873"/>
      <c r="G21" s="323"/>
      <c r="H21" s="326"/>
      <c r="I21" s="327"/>
      <c r="J21" s="327"/>
      <c r="K21" s="327"/>
      <c r="L21" s="333"/>
      <c r="M21" s="334"/>
      <c r="N21" s="323"/>
      <c r="O21" s="329"/>
    </row>
    <row r="22" spans="1:15" ht="14.25" customHeight="1">
      <c r="A22" s="323"/>
      <c r="B22" s="342"/>
      <c r="C22" s="341"/>
      <c r="D22" s="330"/>
      <c r="E22" s="873"/>
      <c r="F22" s="873"/>
      <c r="G22" s="323"/>
      <c r="H22" s="326"/>
      <c r="I22" s="327"/>
      <c r="J22" s="327"/>
      <c r="K22" s="327"/>
      <c r="L22" s="333"/>
      <c r="M22" s="334"/>
      <c r="N22" s="323"/>
      <c r="O22" s="329"/>
    </row>
    <row r="23" spans="1:15" ht="27" customHeight="1">
      <c r="A23" s="323"/>
      <c r="B23" s="342"/>
      <c r="C23" s="335"/>
      <c r="D23" s="336"/>
      <c r="E23" s="531"/>
      <c r="F23" s="336"/>
      <c r="G23" s="338"/>
      <c r="H23" s="339"/>
      <c r="I23" s="339"/>
      <c r="J23" s="339"/>
      <c r="K23" s="336"/>
      <c r="L23" s="2388">
        <f>SUM(L6:L22)</f>
        <v>12310000</v>
      </c>
      <c r="M23" s="336"/>
      <c r="N23" s="341"/>
      <c r="O23" s="342"/>
    </row>
    <row r="24" spans="1:15" ht="14.25" customHeight="1">
      <c r="A24" s="323"/>
      <c r="B24" s="342"/>
      <c r="C24" s="343"/>
      <c r="D24" s="357"/>
      <c r="E24" s="357"/>
      <c r="F24" s="343"/>
      <c r="G24" s="345"/>
      <c r="H24" s="346"/>
      <c r="I24" s="346"/>
      <c r="J24" s="346"/>
      <c r="K24" s="343"/>
      <c r="L24" s="347"/>
      <c r="M24" s="343"/>
      <c r="N24" s="341"/>
      <c r="O24" s="348"/>
    </row>
    <row r="25" spans="1:15" ht="14.25" customHeight="1">
      <c r="A25" s="2407"/>
      <c r="B25" s="302"/>
      <c r="C25" s="2408"/>
      <c r="D25" s="2409"/>
      <c r="E25" s="2410"/>
      <c r="F25" s="2408"/>
      <c r="G25" s="2411"/>
      <c r="H25" s="2412"/>
      <c r="I25" s="2412"/>
      <c r="J25" s="2412"/>
      <c r="K25" s="2408"/>
      <c r="L25" s="2413"/>
      <c r="M25" s="343"/>
      <c r="N25" s="341"/>
      <c r="O25" s="348"/>
    </row>
    <row r="26" spans="1:15" ht="14.25" customHeight="1">
      <c r="A26" s="323"/>
      <c r="B26" s="302"/>
      <c r="C26" s="343"/>
      <c r="D26" s="324"/>
      <c r="E26" s="349"/>
      <c r="F26" s="343"/>
      <c r="G26" s="345"/>
      <c r="H26" s="346"/>
      <c r="I26" s="346"/>
      <c r="J26" s="346"/>
      <c r="K26" s="343"/>
      <c r="L26" s="347"/>
      <c r="M26" s="343"/>
      <c r="N26" s="341"/>
      <c r="O26" s="348"/>
    </row>
    <row r="27" spans="1:15" ht="14.25" customHeight="1">
      <c r="A27" s="323"/>
      <c r="B27" s="302"/>
      <c r="C27" s="343"/>
      <c r="D27" s="324"/>
      <c r="E27" s="349"/>
      <c r="F27" s="343"/>
      <c r="G27" s="345"/>
      <c r="H27" s="346"/>
      <c r="I27" s="346"/>
      <c r="J27" s="346"/>
      <c r="K27" s="343"/>
      <c r="L27" s="347"/>
      <c r="M27" s="343"/>
      <c r="N27" s="341"/>
      <c r="O27" s="348"/>
    </row>
    <row r="28" spans="1:15" ht="14.25" customHeight="1">
      <c r="A28" s="323"/>
      <c r="B28" s="302"/>
      <c r="C28" s="343"/>
      <c r="D28" s="350"/>
      <c r="E28" s="351"/>
      <c r="F28" s="350"/>
      <c r="G28" s="350"/>
      <c r="H28" s="352"/>
      <c r="I28" s="352"/>
      <c r="J28" s="352"/>
      <c r="K28" s="352"/>
      <c r="L28" s="353"/>
      <c r="M28" s="354"/>
      <c r="N28" s="352"/>
      <c r="O28" s="352"/>
    </row>
    <row r="29" spans="1:15" ht="14.25" customHeight="1">
      <c r="A29" s="323"/>
      <c r="B29" s="302"/>
      <c r="C29" s="343"/>
      <c r="D29" s="350"/>
      <c r="E29" s="351"/>
      <c r="F29" s="350"/>
      <c r="G29" s="350"/>
      <c r="H29" s="352"/>
      <c r="I29" s="352"/>
      <c r="J29" s="352"/>
      <c r="K29" s="352"/>
      <c r="L29" s="353"/>
      <c r="M29" s="354"/>
      <c r="N29" s="352"/>
      <c r="O29" s="355"/>
    </row>
    <row r="30" spans="1:15" ht="22.5" customHeight="1">
      <c r="A30" s="323"/>
      <c r="B30" s="302"/>
      <c r="C30" s="335"/>
      <c r="D30" s="336"/>
      <c r="E30" s="356"/>
      <c r="F30" s="336"/>
      <c r="G30" s="338"/>
      <c r="H30" s="339"/>
      <c r="I30" s="339"/>
      <c r="J30" s="339"/>
      <c r="K30" s="336"/>
      <c r="L30" s="340"/>
      <c r="M30" s="336"/>
      <c r="N30" s="341"/>
      <c r="O30" s="342"/>
    </row>
    <row r="31" spans="1:15" ht="14.25" customHeight="1">
      <c r="A31" s="323"/>
      <c r="B31" s="302"/>
      <c r="C31" s="343"/>
      <c r="D31" s="344"/>
      <c r="E31" s="357"/>
      <c r="F31" s="343"/>
      <c r="G31" s="345"/>
      <c r="H31" s="346"/>
      <c r="I31" s="346"/>
      <c r="J31" s="346"/>
      <c r="K31" s="343"/>
      <c r="L31" s="347"/>
      <c r="M31" s="343"/>
      <c r="N31" s="341"/>
      <c r="O31" s="348"/>
    </row>
    <row r="32" spans="1:15" ht="14.25" customHeight="1">
      <c r="A32" s="323"/>
      <c r="B32" s="302"/>
      <c r="C32" s="343"/>
      <c r="D32" s="349"/>
      <c r="E32" s="358"/>
      <c r="F32" s="343"/>
      <c r="G32" s="345"/>
      <c r="H32" s="346"/>
      <c r="I32" s="346"/>
      <c r="J32" s="346"/>
      <c r="K32" s="343"/>
      <c r="L32" s="347"/>
      <c r="M32" s="343"/>
      <c r="N32" s="341"/>
      <c r="O32" s="348"/>
    </row>
    <row r="33" spans="1:15">
      <c r="A33" s="323"/>
      <c r="B33" s="302"/>
      <c r="C33" s="343"/>
      <c r="D33" s="349"/>
      <c r="E33" s="358"/>
      <c r="F33" s="343"/>
      <c r="G33" s="345"/>
      <c r="H33" s="346"/>
      <c r="I33" s="346"/>
      <c r="J33" s="346"/>
      <c r="K33" s="343"/>
      <c r="L33" s="347"/>
      <c r="M33" s="343"/>
      <c r="N33" s="341"/>
      <c r="O33" s="348"/>
    </row>
    <row r="34" spans="1:15">
      <c r="A34" s="323"/>
      <c r="B34" s="302"/>
      <c r="C34" s="343"/>
      <c r="D34" s="324"/>
      <c r="E34" s="349"/>
      <c r="F34" s="343"/>
      <c r="G34" s="345"/>
      <c r="H34" s="346"/>
      <c r="I34" s="346"/>
      <c r="J34" s="346"/>
      <c r="K34" s="343"/>
      <c r="L34" s="347"/>
      <c r="M34" s="343"/>
      <c r="N34" s="341"/>
      <c r="O34" s="348"/>
    </row>
    <row r="35" spans="1:15">
      <c r="C35" s="343"/>
      <c r="D35" s="350"/>
      <c r="E35" s="351"/>
      <c r="F35" s="350"/>
      <c r="G35" s="352"/>
      <c r="H35" s="352"/>
      <c r="I35" s="352"/>
      <c r="J35" s="352"/>
      <c r="K35" s="359"/>
      <c r="L35" s="353"/>
      <c r="M35" s="352"/>
      <c r="N35" s="341"/>
      <c r="O35" s="352"/>
    </row>
    <row r="36" spans="1:15">
      <c r="A36" s="323"/>
      <c r="B36" s="302"/>
      <c r="C36" s="335"/>
      <c r="D36" s="336"/>
      <c r="E36" s="356"/>
      <c r="F36" s="336"/>
      <c r="G36" s="338"/>
      <c r="H36" s="339"/>
      <c r="I36" s="339"/>
      <c r="J36" s="339"/>
      <c r="K36" s="336"/>
      <c r="L36" s="340"/>
      <c r="M36" s="336"/>
      <c r="N36" s="341"/>
      <c r="O36" s="342"/>
    </row>
    <row r="37" spans="1:15">
      <c r="A37" s="323"/>
      <c r="B37" s="302"/>
      <c r="C37" s="343"/>
      <c r="D37" s="344"/>
      <c r="E37" s="344"/>
      <c r="F37" s="343"/>
      <c r="G37" s="345"/>
      <c r="H37" s="346"/>
      <c r="I37" s="346"/>
      <c r="J37" s="346"/>
      <c r="K37" s="343"/>
      <c r="L37" s="347"/>
      <c r="M37" s="343"/>
      <c r="N37" s="341"/>
      <c r="O37" s="348"/>
    </row>
    <row r="38" spans="1:15">
      <c r="A38" s="323"/>
      <c r="B38" s="302"/>
      <c r="C38" s="343"/>
      <c r="D38" s="324"/>
      <c r="E38" s="349"/>
      <c r="F38" s="360"/>
      <c r="G38" s="343"/>
      <c r="H38" s="345"/>
      <c r="I38" s="346"/>
      <c r="J38" s="346"/>
      <c r="K38" s="346"/>
      <c r="L38" s="361"/>
      <c r="M38" s="362"/>
      <c r="N38" s="343"/>
      <c r="O38" s="348"/>
    </row>
    <row r="39" spans="1:15">
      <c r="A39" s="323"/>
      <c r="B39" s="302"/>
      <c r="C39" s="343"/>
      <c r="D39" s="324"/>
      <c r="E39" s="349"/>
      <c r="F39" s="360"/>
      <c r="G39" s="343"/>
      <c r="H39" s="345"/>
      <c r="I39" s="346"/>
      <c r="J39" s="346"/>
      <c r="K39" s="346"/>
      <c r="L39" s="361"/>
      <c r="M39" s="362"/>
      <c r="N39" s="343"/>
      <c r="O39" s="348"/>
    </row>
    <row r="40" spans="1:15">
      <c r="A40" s="323"/>
      <c r="B40" s="302"/>
      <c r="C40" s="343"/>
      <c r="D40" s="324"/>
      <c r="E40" s="349"/>
      <c r="F40" s="360"/>
      <c r="G40" s="343"/>
      <c r="H40" s="345"/>
      <c r="I40" s="346"/>
      <c r="J40" s="346"/>
      <c r="K40" s="346"/>
      <c r="L40" s="361"/>
      <c r="M40" s="362"/>
      <c r="N40" s="343"/>
      <c r="O40" s="348"/>
    </row>
    <row r="41" spans="1:15">
      <c r="A41" s="323"/>
      <c r="B41" s="302"/>
      <c r="C41" s="343"/>
      <c r="D41" s="350"/>
      <c r="E41" s="351"/>
      <c r="F41" s="350"/>
      <c r="G41" s="350"/>
      <c r="H41" s="352"/>
      <c r="I41" s="352"/>
      <c r="J41" s="352"/>
      <c r="K41" s="352"/>
      <c r="L41" s="353"/>
      <c r="M41" s="354"/>
      <c r="N41" s="352"/>
      <c r="O41" s="355"/>
    </row>
    <row r="42" spans="1:15">
      <c r="A42" s="323"/>
      <c r="B42" s="302"/>
      <c r="C42" s="335"/>
      <c r="D42" s="336"/>
      <c r="E42" s="356"/>
      <c r="F42" s="336"/>
      <c r="G42" s="338"/>
      <c r="H42" s="339"/>
      <c r="I42" s="339"/>
      <c r="J42" s="339"/>
      <c r="K42" s="336"/>
      <c r="L42" s="340"/>
      <c r="M42" s="336"/>
      <c r="N42" s="341"/>
      <c r="O42" s="342"/>
    </row>
    <row r="43" spans="1:15">
      <c r="A43" s="323"/>
      <c r="B43" s="302"/>
      <c r="C43" s="343"/>
      <c r="D43" s="363"/>
      <c r="E43" s="344"/>
      <c r="F43" s="343"/>
      <c r="G43" s="345"/>
      <c r="H43" s="346"/>
      <c r="I43" s="346"/>
      <c r="J43" s="346"/>
      <c r="K43" s="343"/>
      <c r="L43" s="347"/>
      <c r="M43" s="343"/>
      <c r="N43" s="341"/>
      <c r="O43" s="348"/>
    </row>
    <row r="44" spans="1:15">
      <c r="A44" s="323"/>
      <c r="B44" s="302"/>
      <c r="C44" s="343"/>
      <c r="D44" s="349"/>
      <c r="E44" s="349"/>
      <c r="F44" s="343"/>
      <c r="G44" s="345"/>
      <c r="H44" s="346"/>
      <c r="I44" s="346"/>
      <c r="J44" s="346"/>
      <c r="K44" s="343"/>
      <c r="L44" s="347"/>
      <c r="M44" s="343"/>
      <c r="N44" s="341"/>
      <c r="O44" s="348"/>
    </row>
    <row r="45" spans="1:15">
      <c r="A45" s="323"/>
      <c r="B45" s="302"/>
      <c r="C45" s="343"/>
      <c r="D45" s="324"/>
      <c r="E45" s="349"/>
      <c r="F45" s="360"/>
      <c r="G45" s="343"/>
      <c r="H45" s="345"/>
      <c r="I45" s="346"/>
      <c r="J45" s="346"/>
      <c r="K45" s="346"/>
      <c r="L45" s="361"/>
      <c r="M45" s="362"/>
      <c r="N45" s="343"/>
      <c r="O45" s="348"/>
    </row>
    <row r="46" spans="1:15">
      <c r="A46" s="323"/>
      <c r="B46" s="302"/>
      <c r="C46" s="343"/>
      <c r="D46" s="324"/>
      <c r="E46" s="349"/>
      <c r="F46" s="360"/>
      <c r="G46" s="343"/>
      <c r="H46" s="345"/>
      <c r="I46" s="346"/>
      <c r="J46" s="346"/>
      <c r="K46" s="346"/>
      <c r="L46" s="361"/>
      <c r="M46" s="362"/>
      <c r="N46" s="343"/>
      <c r="O46" s="348"/>
    </row>
    <row r="47" spans="1:15">
      <c r="C47" s="343"/>
      <c r="D47" s="350"/>
      <c r="E47" s="351"/>
      <c r="F47" s="350"/>
      <c r="G47" s="350"/>
      <c r="H47" s="352"/>
      <c r="I47" s="352"/>
      <c r="J47" s="352"/>
      <c r="K47" s="352"/>
      <c r="L47" s="353"/>
      <c r="M47" s="354"/>
      <c r="N47" s="352"/>
      <c r="O47" s="355"/>
    </row>
    <row r="48" spans="1:15">
      <c r="C48" s="343"/>
      <c r="D48" s="350"/>
      <c r="E48" s="351"/>
      <c r="F48" s="350"/>
      <c r="G48" s="350"/>
      <c r="H48" s="352"/>
      <c r="I48" s="352"/>
      <c r="J48" s="352"/>
      <c r="K48" s="352"/>
      <c r="L48" s="353"/>
      <c r="M48" s="354"/>
      <c r="N48" s="352"/>
      <c r="O48" s="355"/>
    </row>
    <row r="49" spans="1:15">
      <c r="A49" s="323"/>
      <c r="B49" s="302"/>
      <c r="C49" s="335"/>
      <c r="D49" s="336"/>
      <c r="E49" s="335"/>
      <c r="F49" s="336"/>
      <c r="G49" s="338"/>
      <c r="H49" s="339"/>
      <c r="I49" s="339"/>
      <c r="J49" s="339"/>
      <c r="K49" s="336"/>
      <c r="L49" s="340"/>
      <c r="M49" s="336"/>
      <c r="N49" s="342"/>
    </row>
    <row r="50" spans="1:15">
      <c r="A50" s="323"/>
      <c r="B50" s="302"/>
      <c r="C50" s="343"/>
      <c r="D50" s="364"/>
      <c r="E50" s="341"/>
      <c r="F50" s="343"/>
      <c r="G50" s="345"/>
      <c r="H50" s="346"/>
      <c r="I50" s="346"/>
      <c r="J50" s="346"/>
      <c r="K50" s="343"/>
      <c r="L50" s="347"/>
      <c r="M50" s="343"/>
      <c r="N50" s="348"/>
    </row>
    <row r="51" spans="1:15">
      <c r="A51" s="323"/>
      <c r="B51" s="302"/>
      <c r="C51" s="343"/>
      <c r="D51" s="358"/>
      <c r="E51" s="341"/>
      <c r="F51" s="358"/>
      <c r="G51" s="343"/>
      <c r="H51" s="345"/>
      <c r="I51" s="346"/>
      <c r="J51" s="346"/>
      <c r="K51" s="346"/>
      <c r="L51" s="343"/>
      <c r="M51" s="362"/>
      <c r="N51" s="343"/>
      <c r="O51" s="348"/>
    </row>
    <row r="52" spans="1:15">
      <c r="A52" s="323"/>
      <c r="B52" s="302"/>
      <c r="C52" s="343"/>
      <c r="D52" s="324"/>
      <c r="E52" s="358"/>
      <c r="F52" s="358"/>
      <c r="G52" s="343"/>
      <c r="H52" s="345"/>
      <c r="I52" s="346"/>
      <c r="J52" s="346"/>
      <c r="K52" s="346"/>
      <c r="L52" s="343"/>
      <c r="M52" s="362"/>
      <c r="N52" s="343"/>
      <c r="O52" s="348"/>
    </row>
    <row r="53" spans="1:15">
      <c r="A53" s="323"/>
      <c r="B53" s="302"/>
      <c r="C53" s="343"/>
      <c r="D53" s="324"/>
      <c r="E53" s="358"/>
      <c r="F53" s="358"/>
      <c r="G53" s="343"/>
      <c r="H53" s="345"/>
      <c r="I53" s="346"/>
      <c r="J53" s="346"/>
      <c r="K53" s="346"/>
      <c r="L53" s="343"/>
      <c r="M53" s="362"/>
      <c r="N53" s="343"/>
      <c r="O53" s="348"/>
    </row>
    <row r="54" spans="1:15">
      <c r="C54" s="343"/>
      <c r="D54" s="350"/>
      <c r="E54" s="351"/>
      <c r="F54" s="350"/>
      <c r="G54" s="350"/>
      <c r="H54" s="352"/>
      <c r="I54" s="352"/>
      <c r="J54" s="352"/>
      <c r="K54" s="352"/>
      <c r="L54" s="359"/>
      <c r="M54" s="354"/>
      <c r="N54" s="352"/>
      <c r="O54" s="355"/>
    </row>
    <row r="55" spans="1:15">
      <c r="A55" s="343"/>
      <c r="B55" s="302"/>
      <c r="C55" s="335"/>
      <c r="D55" s="336"/>
      <c r="E55" s="356"/>
      <c r="F55" s="336"/>
      <c r="G55" s="338"/>
      <c r="H55" s="339"/>
      <c r="I55" s="339"/>
      <c r="J55" s="339"/>
      <c r="K55" s="336"/>
      <c r="L55" s="2414"/>
      <c r="M55" s="336"/>
      <c r="O55" s="342"/>
    </row>
    <row r="56" spans="1:15">
      <c r="A56" s="343"/>
      <c r="B56" s="302"/>
      <c r="C56" s="343"/>
      <c r="D56" s="344"/>
      <c r="E56" s="341"/>
      <c r="F56" s="365"/>
      <c r="G56" s="345"/>
      <c r="H56" s="346"/>
      <c r="I56" s="346"/>
      <c r="J56" s="346"/>
      <c r="K56" s="343"/>
      <c r="L56" s="362"/>
      <c r="M56" s="343"/>
      <c r="O56" s="348"/>
    </row>
    <row r="57" spans="1:15">
      <c r="A57" s="343"/>
      <c r="B57" s="302"/>
      <c r="C57" s="343"/>
      <c r="D57" s="349"/>
      <c r="E57" s="341"/>
      <c r="F57" s="365"/>
      <c r="G57" s="345"/>
      <c r="H57" s="346"/>
      <c r="I57" s="346"/>
      <c r="J57" s="346"/>
      <c r="K57" s="343"/>
      <c r="L57" s="362"/>
      <c r="M57" s="343"/>
      <c r="O57" s="348"/>
    </row>
    <row r="58" spans="1:15">
      <c r="A58" s="343"/>
      <c r="B58" s="302"/>
      <c r="C58" s="343"/>
      <c r="D58" s="349"/>
      <c r="E58" s="341"/>
      <c r="F58" s="360"/>
      <c r="G58" s="343"/>
      <c r="H58" s="345"/>
      <c r="I58" s="346"/>
      <c r="J58" s="346"/>
      <c r="K58" s="346"/>
      <c r="L58" s="343"/>
      <c r="M58" s="362"/>
      <c r="N58" s="343"/>
      <c r="O58" s="348"/>
    </row>
    <row r="59" spans="1:15">
      <c r="A59" s="343"/>
      <c r="B59" s="302"/>
      <c r="C59" s="343"/>
      <c r="D59" s="324"/>
      <c r="E59" s="349"/>
      <c r="F59" s="358"/>
      <c r="G59" s="343"/>
      <c r="H59" s="345"/>
      <c r="I59" s="346"/>
      <c r="J59" s="346"/>
      <c r="K59" s="346"/>
      <c r="L59" s="343"/>
      <c r="M59" s="362"/>
      <c r="N59" s="343"/>
      <c r="O59" s="348"/>
    </row>
    <row r="60" spans="1:15">
      <c r="D60" s="350"/>
      <c r="E60" s="351"/>
      <c r="F60" s="350"/>
      <c r="G60" s="350"/>
      <c r="H60" s="352"/>
      <c r="I60" s="352"/>
      <c r="J60" s="352"/>
      <c r="K60" s="352"/>
      <c r="L60" s="359"/>
      <c r="M60" s="354"/>
      <c r="N60" s="352"/>
      <c r="O60" s="352"/>
    </row>
    <row r="61" spans="1:15">
      <c r="C61" s="343"/>
      <c r="D61" s="350"/>
      <c r="E61" s="351"/>
      <c r="F61" s="350"/>
      <c r="G61" s="350"/>
      <c r="H61" s="352"/>
      <c r="I61" s="352"/>
      <c r="J61" s="352"/>
      <c r="K61" s="352"/>
      <c r="L61" s="359"/>
      <c r="M61" s="354"/>
      <c r="N61" s="352"/>
      <c r="O61" s="355"/>
    </row>
    <row r="62" spans="1:15">
      <c r="C62" s="343"/>
      <c r="D62" s="350"/>
      <c r="E62" s="351"/>
      <c r="F62" s="350"/>
      <c r="G62" s="350"/>
      <c r="H62" s="352"/>
      <c r="I62" s="352"/>
      <c r="J62" s="352"/>
      <c r="K62" s="352"/>
      <c r="L62" s="359"/>
      <c r="M62" s="354"/>
      <c r="N62" s="352"/>
      <c r="O62" s="355"/>
    </row>
    <row r="63" spans="1:15">
      <c r="C63" s="343"/>
      <c r="D63" s="350"/>
      <c r="E63" s="351"/>
      <c r="F63" s="350"/>
      <c r="G63" s="350"/>
      <c r="H63" s="352"/>
      <c r="I63" s="352"/>
      <c r="J63" s="352"/>
      <c r="K63" s="352"/>
      <c r="L63" s="359"/>
      <c r="M63" s="354"/>
      <c r="N63" s="352"/>
      <c r="O63" s="355"/>
    </row>
    <row r="64" spans="1:15">
      <c r="C64" s="343"/>
      <c r="D64" s="350"/>
      <c r="E64" s="351"/>
      <c r="F64" s="350"/>
      <c r="G64" s="350"/>
      <c r="H64" s="352"/>
      <c r="I64" s="352"/>
      <c r="J64" s="352"/>
      <c r="K64" s="352"/>
      <c r="L64" s="359"/>
      <c r="M64" s="354"/>
      <c r="N64" s="352"/>
      <c r="O64" s="355"/>
    </row>
    <row r="65" spans="3:15">
      <c r="C65" s="343"/>
      <c r="D65" s="350"/>
      <c r="E65" s="351"/>
      <c r="F65" s="350"/>
      <c r="G65" s="350"/>
      <c r="H65" s="352"/>
      <c r="I65" s="352"/>
      <c r="J65" s="352"/>
      <c r="K65" s="352"/>
      <c r="L65" s="359"/>
      <c r="M65" s="354"/>
      <c r="N65" s="352"/>
      <c r="O65" s="355"/>
    </row>
    <row r="66" spans="3:15">
      <c r="C66" s="343"/>
      <c r="D66" s="350"/>
      <c r="E66" s="351"/>
      <c r="F66" s="350"/>
      <c r="G66" s="350"/>
      <c r="H66" s="352"/>
      <c r="I66" s="352"/>
      <c r="J66" s="352"/>
      <c r="K66" s="352"/>
      <c r="L66" s="359"/>
      <c r="M66" s="354"/>
      <c r="N66" s="352"/>
      <c r="O66" s="355"/>
    </row>
    <row r="67" spans="3:15">
      <c r="C67" s="343"/>
      <c r="D67" s="350"/>
      <c r="E67" s="351"/>
      <c r="F67" s="350"/>
      <c r="G67" s="350"/>
      <c r="H67" s="352"/>
      <c r="I67" s="352"/>
      <c r="J67" s="352"/>
      <c r="K67" s="352"/>
      <c r="L67" s="359"/>
      <c r="M67" s="354"/>
      <c r="N67" s="352"/>
      <c r="O67" s="355"/>
    </row>
    <row r="68" spans="3:15">
      <c r="C68" s="343"/>
      <c r="D68" s="350"/>
      <c r="E68" s="351"/>
      <c r="F68" s="350"/>
      <c r="G68" s="350"/>
      <c r="H68" s="352"/>
      <c r="I68" s="352"/>
      <c r="J68" s="352"/>
      <c r="K68" s="352"/>
      <c r="L68" s="359"/>
      <c r="M68" s="354"/>
      <c r="N68" s="352"/>
      <c r="O68" s="355"/>
    </row>
    <row r="69" spans="3:15">
      <c r="C69" s="343"/>
      <c r="D69" s="350"/>
      <c r="E69" s="351"/>
      <c r="F69" s="350"/>
      <c r="G69" s="350"/>
      <c r="H69" s="352"/>
      <c r="I69" s="352"/>
      <c r="J69" s="352"/>
      <c r="K69" s="352"/>
      <c r="L69" s="359"/>
      <c r="M69" s="354"/>
      <c r="N69" s="352"/>
      <c r="O69" s="355"/>
    </row>
    <row r="70" spans="3:15">
      <c r="C70" s="2415"/>
      <c r="D70" s="2415"/>
      <c r="E70" s="2416"/>
      <c r="F70" s="2417"/>
      <c r="G70" s="2417"/>
      <c r="H70" s="2418"/>
      <c r="I70" s="2418"/>
      <c r="J70" s="2418"/>
      <c r="K70" s="2417"/>
      <c r="L70" s="2419"/>
      <c r="M70" s="2417"/>
      <c r="N70" s="2420"/>
    </row>
    <row r="71" spans="3:15">
      <c r="C71" s="2415"/>
      <c r="D71" s="2415"/>
      <c r="E71" s="2416"/>
      <c r="F71" s="2417"/>
      <c r="G71" s="2417"/>
      <c r="H71" s="2418"/>
      <c r="I71" s="2418"/>
      <c r="J71" s="2418"/>
      <c r="K71" s="2417"/>
      <c r="L71" s="2419"/>
      <c r="M71" s="2417"/>
      <c r="N71" s="2420"/>
    </row>
    <row r="72" spans="3:15">
      <c r="C72" s="2415"/>
      <c r="D72" s="2415"/>
      <c r="E72" s="2416"/>
      <c r="F72" s="2417"/>
      <c r="G72" s="2417"/>
      <c r="H72" s="2418"/>
      <c r="I72" s="2418"/>
      <c r="J72" s="2418"/>
      <c r="K72" s="2417"/>
      <c r="L72" s="2419"/>
      <c r="M72" s="2417"/>
      <c r="N72" s="2420"/>
    </row>
    <row r="73" spans="3:15">
      <c r="C73" s="2415"/>
      <c r="D73" s="2415"/>
      <c r="E73" s="2416"/>
      <c r="F73" s="2417"/>
      <c r="G73" s="2417"/>
      <c r="H73" s="2418"/>
      <c r="I73" s="2418"/>
      <c r="J73" s="2418"/>
      <c r="K73" s="2417"/>
      <c r="L73" s="2419"/>
      <c r="M73" s="2417"/>
      <c r="N73" s="2420"/>
    </row>
    <row r="74" spans="3:15">
      <c r="C74" s="2415"/>
      <c r="D74" s="2415"/>
      <c r="E74" s="2416"/>
      <c r="F74" s="2417"/>
      <c r="G74" s="2417"/>
      <c r="H74" s="2418"/>
      <c r="I74" s="2418"/>
      <c r="J74" s="2418"/>
      <c r="K74" s="2417"/>
      <c r="L74" s="2419"/>
      <c r="M74" s="2417"/>
      <c r="N74" s="2420"/>
    </row>
    <row r="75" spans="3:15">
      <c r="C75" s="2415"/>
      <c r="D75" s="2415"/>
      <c r="E75" s="2416"/>
      <c r="F75" s="2417"/>
      <c r="G75" s="2417"/>
      <c r="H75" s="2418"/>
      <c r="I75" s="2418"/>
      <c r="J75" s="2418"/>
      <c r="K75" s="2417"/>
      <c r="L75" s="2419"/>
      <c r="M75" s="2417"/>
      <c r="N75" s="2420"/>
    </row>
    <row r="76" spans="3:15">
      <c r="C76" s="2415"/>
      <c r="D76" s="2415"/>
      <c r="E76" s="2416"/>
      <c r="F76" s="2417"/>
      <c r="G76" s="2417"/>
      <c r="H76" s="2418"/>
      <c r="I76" s="2418"/>
      <c r="J76" s="2418"/>
      <c r="K76" s="2417"/>
      <c r="L76" s="2419"/>
      <c r="M76" s="2417"/>
      <c r="N76" s="2420"/>
    </row>
    <row r="77" spans="3:15">
      <c r="C77" s="2415"/>
      <c r="D77" s="2415"/>
      <c r="E77" s="2416"/>
      <c r="F77" s="2417"/>
      <c r="G77" s="2417"/>
      <c r="H77" s="2418"/>
      <c r="I77" s="2418"/>
      <c r="J77" s="2418"/>
      <c r="K77" s="2417"/>
      <c r="L77" s="2421"/>
      <c r="M77" s="2417"/>
      <c r="N77" s="2420"/>
    </row>
    <row r="78" spans="3:15">
      <c r="C78" s="2415"/>
      <c r="D78" s="2415"/>
      <c r="E78" s="2416"/>
      <c r="F78" s="2417"/>
      <c r="G78" s="2417"/>
      <c r="H78" s="2418"/>
      <c r="I78" s="2418"/>
      <c r="J78" s="2418"/>
      <c r="K78" s="2417"/>
      <c r="L78" s="2419"/>
      <c r="M78" s="2417"/>
      <c r="N78" s="2420"/>
    </row>
    <row r="79" spans="3:15">
      <c r="C79" s="2415"/>
      <c r="D79" s="2415"/>
      <c r="E79" s="2416"/>
      <c r="F79" s="2417"/>
      <c r="G79" s="2417"/>
      <c r="H79" s="2418"/>
      <c r="I79" s="2418"/>
      <c r="J79" s="2418"/>
      <c r="K79" s="2417"/>
      <c r="L79" s="2419"/>
      <c r="M79" s="2417"/>
      <c r="N79" s="2420"/>
    </row>
    <row r="80" spans="3:15">
      <c r="C80" s="2415"/>
      <c r="D80" s="2415"/>
      <c r="E80" s="2416"/>
      <c r="F80" s="2417"/>
      <c r="G80" s="2417"/>
      <c r="H80" s="2418"/>
      <c r="I80" s="2418"/>
      <c r="J80" s="2418"/>
      <c r="K80" s="2417"/>
      <c r="L80" s="2419"/>
      <c r="M80" s="2417"/>
      <c r="N80" s="2420"/>
    </row>
    <row r="81" spans="3:14">
      <c r="C81" s="2415"/>
      <c r="D81" s="2415"/>
      <c r="E81" s="2416"/>
      <c r="F81" s="2417"/>
      <c r="G81" s="2417"/>
      <c r="H81" s="2418"/>
      <c r="I81" s="2418"/>
      <c r="J81" s="2418"/>
      <c r="K81" s="2417"/>
      <c r="L81" s="2419"/>
      <c r="M81" s="2417"/>
      <c r="N81" s="2420"/>
    </row>
    <row r="82" spans="3:14">
      <c r="C82" s="2415"/>
      <c r="D82" s="2415"/>
      <c r="E82" s="2416"/>
      <c r="F82" s="2417"/>
      <c r="G82" s="2417"/>
      <c r="H82" s="2418"/>
      <c r="I82" s="2418"/>
      <c r="J82" s="2418"/>
      <c r="K82" s="2417"/>
      <c r="L82" s="2419"/>
      <c r="M82" s="2417"/>
      <c r="N82" s="2420"/>
    </row>
    <row r="83" spans="3:14" ht="14.25" customHeight="1">
      <c r="C83" s="2415"/>
      <c r="D83" s="2415"/>
      <c r="E83" s="2416"/>
      <c r="F83" s="2417"/>
      <c r="G83" s="2417"/>
      <c r="H83" s="2418"/>
      <c r="I83" s="2418"/>
      <c r="J83" s="2418"/>
      <c r="K83" s="2417"/>
      <c r="L83" s="2419"/>
      <c r="M83" s="2417"/>
      <c r="N83" s="2420"/>
    </row>
    <row r="84" spans="3:14" ht="14.25" customHeight="1">
      <c r="C84" s="2415"/>
      <c r="D84" s="2415"/>
      <c r="E84" s="2416"/>
      <c r="F84" s="2417"/>
      <c r="G84" s="2417"/>
      <c r="H84" s="2418"/>
      <c r="I84" s="2418"/>
      <c r="J84" s="2418"/>
      <c r="K84" s="2417"/>
      <c r="L84" s="2419"/>
      <c r="M84" s="2417"/>
      <c r="N84" s="2420"/>
    </row>
    <row r="85" spans="3:14" ht="14.25" customHeight="1">
      <c r="C85" s="2415"/>
      <c r="D85" s="2415"/>
      <c r="E85" s="2416"/>
      <c r="F85" s="2417"/>
      <c r="G85" s="2417"/>
      <c r="H85" s="2418"/>
      <c r="I85" s="2418"/>
      <c r="J85" s="2418"/>
      <c r="K85" s="2417"/>
      <c r="L85" s="2419"/>
      <c r="M85" s="2417"/>
      <c r="N85" s="2420"/>
    </row>
    <row r="86" spans="3:14" ht="14.25" customHeight="1">
      <c r="C86" s="2415"/>
      <c r="D86" s="2415"/>
      <c r="E86" s="2416"/>
      <c r="F86" s="2417"/>
      <c r="G86" s="2417"/>
      <c r="H86" s="2418"/>
      <c r="I86" s="2418"/>
      <c r="J86" s="2418"/>
      <c r="K86" s="2417"/>
      <c r="L86" s="2419"/>
      <c r="M86" s="2417"/>
      <c r="N86" s="2420"/>
    </row>
    <row r="87" spans="3:14" ht="14.25" customHeight="1">
      <c r="C87" s="2415"/>
      <c r="D87" s="2415"/>
      <c r="E87" s="2416"/>
      <c r="F87" s="2417"/>
      <c r="G87" s="2417"/>
      <c r="H87" s="2418"/>
      <c r="I87" s="2418"/>
      <c r="J87" s="2418"/>
      <c r="K87" s="2417"/>
      <c r="L87" s="2419"/>
      <c r="M87" s="2417"/>
      <c r="N87" s="2420"/>
    </row>
    <row r="88" spans="3:14" ht="14.25" customHeight="1">
      <c r="C88" s="2415"/>
      <c r="D88" s="2415"/>
      <c r="E88" s="2416"/>
      <c r="F88" s="2417"/>
      <c r="G88" s="2417"/>
      <c r="H88" s="2418"/>
      <c r="I88" s="2418"/>
      <c r="J88" s="2418"/>
      <c r="K88" s="2417"/>
      <c r="L88" s="2419"/>
      <c r="M88" s="2417"/>
      <c r="N88" s="2420"/>
    </row>
    <row r="89" spans="3:14" ht="14.25" customHeight="1">
      <c r="C89" s="2415"/>
      <c r="D89" s="2415"/>
      <c r="E89" s="2416"/>
      <c r="F89" s="2417"/>
      <c r="G89" s="2417"/>
      <c r="H89" s="2418"/>
      <c r="I89" s="2418"/>
      <c r="J89" s="2418"/>
      <c r="K89" s="2417"/>
      <c r="L89" s="2419"/>
      <c r="M89" s="2417"/>
      <c r="N89" s="2420"/>
    </row>
    <row r="90" spans="3:14" ht="14.25" customHeight="1">
      <c r="C90" s="2415"/>
      <c r="D90" s="2415"/>
      <c r="E90" s="2416"/>
      <c r="F90" s="2417"/>
      <c r="G90" s="2417"/>
      <c r="H90" s="2418"/>
      <c r="I90" s="2418"/>
      <c r="J90" s="2418"/>
      <c r="K90" s="2417"/>
      <c r="L90" s="2419"/>
      <c r="M90" s="2417"/>
      <c r="N90" s="2420"/>
    </row>
    <row r="91" spans="3:14" ht="14.25" customHeight="1">
      <c r="C91" s="2415"/>
      <c r="D91" s="2415"/>
      <c r="E91" s="2416"/>
      <c r="F91" s="2417"/>
      <c r="G91" s="2417"/>
      <c r="H91" s="2418"/>
      <c r="I91" s="2418"/>
      <c r="J91" s="2418"/>
      <c r="K91" s="2417"/>
      <c r="L91" s="2419"/>
      <c r="M91" s="2417"/>
      <c r="N91" s="2420"/>
    </row>
    <row r="92" spans="3:14" ht="14.25" customHeight="1">
      <c r="C92" s="2415"/>
      <c r="D92" s="2415"/>
      <c r="E92" s="2416"/>
      <c r="F92" s="2417"/>
      <c r="G92" s="2417"/>
      <c r="H92" s="2418"/>
      <c r="I92" s="2418"/>
      <c r="J92" s="2418"/>
      <c r="K92" s="2417"/>
      <c r="L92" s="2419"/>
      <c r="M92" s="2417"/>
      <c r="N92" s="2420"/>
    </row>
    <row r="93" spans="3:14" ht="14.25" customHeight="1">
      <c r="C93" s="2415"/>
      <c r="D93" s="2415"/>
      <c r="E93" s="2416"/>
      <c r="F93" s="2417"/>
      <c r="G93" s="2417"/>
      <c r="H93" s="2418"/>
      <c r="I93" s="2418"/>
      <c r="J93" s="2418"/>
      <c r="K93" s="2417"/>
      <c r="L93" s="2419"/>
      <c r="M93" s="2417"/>
      <c r="N93" s="2420"/>
    </row>
    <row r="94" spans="3:14" ht="14.25" customHeight="1">
      <c r="C94" s="2415"/>
      <c r="D94" s="2415"/>
      <c r="E94" s="2416"/>
      <c r="F94" s="2417"/>
      <c r="G94" s="2417"/>
      <c r="H94" s="2418"/>
      <c r="I94" s="2418"/>
      <c r="J94" s="2418"/>
      <c r="K94" s="2417"/>
      <c r="L94" s="2419"/>
      <c r="M94" s="2417"/>
      <c r="N94" s="2420"/>
    </row>
    <row r="95" spans="3:14" ht="14.25" customHeight="1">
      <c r="C95" s="2415"/>
      <c r="D95" s="2415"/>
      <c r="E95" s="2416"/>
      <c r="F95" s="2417"/>
      <c r="G95" s="2417"/>
      <c r="H95" s="2418"/>
      <c r="I95" s="2418"/>
      <c r="J95" s="2418"/>
      <c r="K95" s="2417"/>
      <c r="L95" s="2419"/>
      <c r="M95" s="2417"/>
      <c r="N95" s="2420"/>
    </row>
    <row r="96" spans="3:14" ht="14.25" customHeight="1">
      <c r="C96" s="2415"/>
      <c r="D96" s="2415"/>
      <c r="E96" s="2416"/>
      <c r="F96" s="2417"/>
      <c r="G96" s="2417"/>
      <c r="H96" s="2418"/>
      <c r="I96" s="2418"/>
      <c r="J96" s="2418"/>
      <c r="K96" s="2417"/>
      <c r="L96" s="2419"/>
      <c r="M96" s="2417"/>
      <c r="N96" s="2420"/>
    </row>
    <row r="97" spans="3:14" ht="14.25" customHeight="1">
      <c r="C97" s="2415"/>
      <c r="D97" s="2415"/>
      <c r="E97" s="2416"/>
      <c r="F97" s="2417"/>
      <c r="G97" s="2417"/>
      <c r="H97" s="2418"/>
      <c r="I97" s="2418"/>
      <c r="J97" s="2418"/>
      <c r="K97" s="2417"/>
      <c r="L97" s="2419"/>
      <c r="M97" s="2417"/>
      <c r="N97" s="2420"/>
    </row>
    <row r="98" spans="3:14" ht="14.25" customHeight="1">
      <c r="C98" s="2415"/>
      <c r="D98" s="2415"/>
      <c r="E98" s="2416"/>
      <c r="F98" s="2417"/>
      <c r="G98" s="2417"/>
      <c r="H98" s="2418"/>
      <c r="I98" s="2418"/>
      <c r="J98" s="2418"/>
      <c r="K98" s="2417"/>
      <c r="L98" s="2419"/>
      <c r="M98" s="2422"/>
      <c r="N98" s="2420"/>
    </row>
    <row r="99" spans="3:14" ht="14.25" customHeight="1">
      <c r="C99" s="2415"/>
      <c r="D99" s="2415"/>
      <c r="E99" s="2416"/>
      <c r="F99" s="2417"/>
      <c r="G99" s="2418"/>
      <c r="H99" s="2418"/>
      <c r="I99" s="2418"/>
      <c r="J99" s="2418"/>
      <c r="K99" s="2419"/>
      <c r="L99" s="2419"/>
      <c r="M99" s="2422"/>
      <c r="N99" s="2420"/>
    </row>
    <row r="100" spans="3:14" ht="14.25" customHeight="1">
      <c r="C100" s="341"/>
      <c r="D100" s="341"/>
      <c r="E100" s="341"/>
      <c r="F100" s="341"/>
      <c r="G100" s="341"/>
      <c r="H100" s="341"/>
      <c r="I100" s="341"/>
      <c r="J100" s="341"/>
      <c r="K100" s="341"/>
      <c r="L100" s="341"/>
      <c r="M100" s="341"/>
      <c r="N100" s="341"/>
    </row>
    <row r="101" spans="3:14" ht="14.25" customHeight="1">
      <c r="C101" s="367"/>
      <c r="D101" s="368"/>
      <c r="E101" s="369"/>
      <c r="F101" s="370"/>
      <c r="G101" s="370"/>
      <c r="H101" s="371"/>
      <c r="I101" s="371"/>
      <c r="J101" s="371"/>
      <c r="K101" s="370"/>
      <c r="L101" s="593"/>
      <c r="M101" s="370"/>
      <c r="N101" s="368"/>
    </row>
    <row r="102" spans="3:14" s="2255" customFormat="1" ht="14.25" customHeight="1">
      <c r="C102" s="367"/>
      <c r="D102" s="368"/>
      <c r="E102" s="373"/>
      <c r="F102" s="370"/>
      <c r="G102" s="370"/>
      <c r="H102" s="371"/>
      <c r="I102" s="371"/>
      <c r="J102" s="371"/>
      <c r="K102" s="370"/>
      <c r="L102" s="593"/>
      <c r="M102" s="370"/>
      <c r="N102" s="368"/>
    </row>
    <row r="103" spans="3:14" s="2255" customFormat="1" ht="14.25" customHeight="1">
      <c r="C103" s="374"/>
      <c r="D103" s="375"/>
      <c r="E103" s="373"/>
      <c r="F103" s="376"/>
      <c r="G103" s="376"/>
      <c r="H103" s="377"/>
      <c r="I103" s="377"/>
      <c r="J103" s="377"/>
      <c r="K103" s="376"/>
      <c r="L103" s="772"/>
      <c r="M103" s="376"/>
      <c r="N103" s="375"/>
    </row>
  </sheetData>
  <mergeCells count="5">
    <mergeCell ref="C2:G2"/>
    <mergeCell ref="H2:J2"/>
    <mergeCell ref="K2:L2"/>
    <mergeCell ref="M2:M3"/>
    <mergeCell ref="N2:N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CAE0B-638A-4B93-BEC3-5CDCD5BD2E67}">
  <sheetPr>
    <tabColor rgb="FFFFC000"/>
  </sheetPr>
  <dimension ref="A2:O103"/>
  <sheetViews>
    <sheetView zoomScale="86" workbookViewId="0">
      <pane ySplit="4" topLeftCell="A5" activePane="bottomLeft" state="frozen"/>
      <selection pane="bottomLeft" activeCell="A6" sqref="A6:XFD15"/>
    </sheetView>
  </sheetViews>
  <sheetFormatPr defaultRowHeight="15"/>
  <cols>
    <col min="3" max="3" width="21.42578125" customWidth="1"/>
    <col min="4" max="4" width="20.5703125"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customWidth="1"/>
    <col min="13" max="13" width="16.28515625" customWidth="1"/>
    <col min="14" max="14" width="12.85546875" customWidth="1"/>
  </cols>
  <sheetData>
    <row r="2" spans="1:15">
      <c r="C2" s="2627" t="s">
        <v>30</v>
      </c>
      <c r="D2" s="2627"/>
      <c r="E2" s="2627"/>
      <c r="F2" s="2627"/>
      <c r="G2" s="2627"/>
      <c r="H2" s="2628" t="s">
        <v>29</v>
      </c>
      <c r="I2" s="2628"/>
      <c r="J2" s="2628"/>
      <c r="K2" s="2627" t="s">
        <v>28</v>
      </c>
      <c r="L2" s="2627"/>
      <c r="M2" s="2628" t="s">
        <v>27</v>
      </c>
      <c r="N2" s="2628" t="s">
        <v>26</v>
      </c>
    </row>
    <row r="3" spans="1:15" ht="72">
      <c r="C3" s="10" t="s">
        <v>25</v>
      </c>
      <c r="D3" s="13" t="s">
        <v>24</v>
      </c>
      <c r="E3" s="12" t="s">
        <v>23</v>
      </c>
      <c r="F3" s="10" t="s">
        <v>22</v>
      </c>
      <c r="G3" s="11" t="s">
        <v>21</v>
      </c>
      <c r="H3" s="11" t="s">
        <v>20</v>
      </c>
      <c r="I3" s="11" t="s">
        <v>19</v>
      </c>
      <c r="J3" s="11" t="s">
        <v>18</v>
      </c>
      <c r="K3" s="10" t="s">
        <v>17</v>
      </c>
      <c r="L3" s="10" t="s">
        <v>16</v>
      </c>
      <c r="M3" s="2628"/>
      <c r="N3" s="2628"/>
    </row>
    <row r="4" spans="1:15">
      <c r="C4" s="9" t="s">
        <v>15</v>
      </c>
      <c r="D4" s="9" t="s">
        <v>14</v>
      </c>
      <c r="E4" s="9" t="s">
        <v>13</v>
      </c>
      <c r="F4" s="9" t="s">
        <v>12</v>
      </c>
      <c r="G4" s="9" t="s">
        <v>11</v>
      </c>
      <c r="H4" s="9" t="s">
        <v>10</v>
      </c>
      <c r="I4" s="9" t="s">
        <v>9</v>
      </c>
      <c r="J4" s="9" t="s">
        <v>8</v>
      </c>
      <c r="K4" s="9" t="s">
        <v>7</v>
      </c>
      <c r="L4" s="9" t="s">
        <v>6</v>
      </c>
      <c r="M4" s="9" t="s">
        <v>5</v>
      </c>
      <c r="N4" s="9" t="s">
        <v>4</v>
      </c>
    </row>
    <row r="5" spans="1:15">
      <c r="C5" s="196"/>
      <c r="D5" s="194"/>
      <c r="E5" s="194"/>
      <c r="F5" s="194"/>
      <c r="G5" s="195"/>
      <c r="H5" s="194"/>
      <c r="I5" s="194"/>
      <c r="J5" s="194"/>
      <c r="K5" s="194"/>
      <c r="L5" s="194"/>
      <c r="M5" s="194"/>
      <c r="N5" s="194"/>
    </row>
    <row r="6" spans="1:15" s="483" customFormat="1" ht="60.6" customHeight="1">
      <c r="A6" s="438" t="s">
        <v>1023</v>
      </c>
      <c r="B6" s="563" t="s">
        <v>1024</v>
      </c>
      <c r="C6" s="410" t="s">
        <v>1285</v>
      </c>
      <c r="D6" s="309" t="s">
        <v>1043</v>
      </c>
      <c r="E6" s="852" t="s">
        <v>1044</v>
      </c>
      <c r="F6" s="304" t="s">
        <v>422</v>
      </c>
      <c r="G6" s="313" t="s">
        <v>1</v>
      </c>
      <c r="H6" s="307" t="s">
        <v>652</v>
      </c>
      <c r="I6" s="307" t="s">
        <v>653</v>
      </c>
      <c r="J6" s="307" t="s">
        <v>1037</v>
      </c>
      <c r="K6" s="308" t="s">
        <v>748</v>
      </c>
      <c r="L6" s="312">
        <v>22500</v>
      </c>
      <c r="M6" s="306"/>
      <c r="N6" s="852"/>
    </row>
    <row r="7" spans="1:15" s="455" customFormat="1" ht="14.25" customHeight="1">
      <c r="A7" s="869"/>
      <c r="B7" s="454"/>
      <c r="C7" s="460"/>
      <c r="D7" s="460"/>
      <c r="E7" s="635"/>
      <c r="F7" s="528"/>
      <c r="G7" s="528"/>
      <c r="H7" s="484"/>
      <c r="I7" s="484"/>
      <c r="J7" s="460"/>
      <c r="K7" s="460"/>
      <c r="L7" s="655"/>
      <c r="M7" s="643"/>
      <c r="N7" s="642"/>
    </row>
    <row r="8" spans="1:15" s="455" customFormat="1" ht="39" customHeight="1">
      <c r="A8" s="438"/>
      <c r="B8" s="563"/>
      <c r="C8" s="410"/>
      <c r="D8" s="309"/>
      <c r="E8" s="852"/>
      <c r="F8" s="304"/>
      <c r="G8" s="304"/>
      <c r="H8" s="313"/>
      <c r="I8" s="307"/>
      <c r="J8" s="307"/>
      <c r="K8" s="307"/>
      <c r="L8" s="308"/>
      <c r="M8" s="312"/>
      <c r="N8" s="306"/>
      <c r="O8" s="852"/>
    </row>
    <row r="9" spans="1:15" s="455" customFormat="1" ht="14.25" customHeight="1">
      <c r="A9" s="869"/>
      <c r="B9" s="454"/>
      <c r="C9" s="471"/>
      <c r="D9" s="870"/>
      <c r="E9" s="460"/>
      <c r="F9" s="471"/>
      <c r="G9" s="477"/>
      <c r="H9" s="526"/>
      <c r="I9" s="526"/>
      <c r="J9" s="526"/>
      <c r="K9" s="471"/>
      <c r="L9" s="529"/>
      <c r="M9" s="471"/>
      <c r="N9" s="458"/>
    </row>
    <row r="10" spans="1:15" s="455" customFormat="1" ht="14.25" customHeight="1">
      <c r="A10" s="869"/>
      <c r="B10" s="454"/>
      <c r="C10" s="471"/>
      <c r="D10" s="870"/>
      <c r="E10" s="460"/>
      <c r="F10" s="870"/>
      <c r="G10" s="471"/>
      <c r="H10" s="477"/>
      <c r="I10" s="526"/>
      <c r="J10" s="526"/>
      <c r="K10" s="526"/>
      <c r="L10" s="471"/>
      <c r="M10" s="529"/>
      <c r="N10" s="471"/>
      <c r="O10" s="458"/>
    </row>
    <row r="11" spans="1:15" s="455" customFormat="1" ht="14.25" customHeight="1">
      <c r="A11" s="869"/>
      <c r="B11" s="454"/>
      <c r="C11" s="471"/>
      <c r="D11" s="630"/>
      <c r="E11" s="460"/>
      <c r="F11" s="630"/>
      <c r="G11" s="470"/>
      <c r="H11" s="471"/>
      <c r="I11" s="472"/>
      <c r="J11" s="472"/>
      <c r="K11" s="472"/>
      <c r="L11" s="471"/>
      <c r="M11" s="474"/>
      <c r="N11" s="474"/>
      <c r="O11" s="471"/>
    </row>
    <row r="12" spans="1:15" s="455" customFormat="1" ht="14.25" customHeight="1">
      <c r="A12" s="869"/>
      <c r="B12" s="454"/>
      <c r="C12" s="468"/>
      <c r="D12" s="471"/>
      <c r="E12" s="476"/>
      <c r="F12" s="471"/>
      <c r="G12" s="477"/>
      <c r="H12" s="526"/>
      <c r="I12" s="526"/>
      <c r="J12" s="526"/>
      <c r="K12" s="471"/>
      <c r="L12" s="527"/>
      <c r="M12" s="471"/>
      <c r="N12" s="460"/>
      <c r="O12" s="458"/>
    </row>
    <row r="13" spans="1:15" s="355" customFormat="1" ht="14.25" customHeight="1">
      <c r="A13" s="871"/>
      <c r="B13" s="342"/>
      <c r="C13" s="438"/>
      <c r="D13" s="357"/>
      <c r="E13" s="357"/>
      <c r="F13" s="438"/>
      <c r="G13" s="441"/>
      <c r="H13" s="504"/>
      <c r="I13" s="504"/>
      <c r="J13" s="504"/>
      <c r="K13" s="438"/>
      <c r="L13" s="507"/>
      <c r="M13" s="438"/>
      <c r="N13" s="352"/>
      <c r="O13" s="348"/>
    </row>
    <row r="14" spans="1:15" s="355" customFormat="1" ht="14.25" customHeight="1">
      <c r="A14" s="871"/>
      <c r="B14" s="342"/>
      <c r="C14" s="438"/>
      <c r="D14" s="324"/>
      <c r="E14" s="358"/>
      <c r="F14" s="438"/>
      <c r="G14" s="441"/>
      <c r="H14" s="504"/>
      <c r="I14" s="504"/>
      <c r="J14" s="504"/>
      <c r="K14" s="438"/>
      <c r="L14" s="507"/>
      <c r="M14" s="438"/>
      <c r="N14" s="352"/>
      <c r="O14" s="348"/>
    </row>
    <row r="15" spans="1:15" s="355" customFormat="1" ht="14.25" customHeight="1">
      <c r="A15" s="871"/>
      <c r="B15" s="342"/>
      <c r="C15" s="438"/>
      <c r="D15" s="324"/>
      <c r="E15" s="358"/>
      <c r="F15" s="358"/>
      <c r="G15" s="438"/>
      <c r="H15" s="441"/>
      <c r="I15" s="504"/>
      <c r="J15" s="504"/>
      <c r="K15" s="504"/>
      <c r="L15" s="438"/>
      <c r="M15" s="507"/>
      <c r="N15" s="438"/>
      <c r="O15" s="348"/>
    </row>
    <row r="16" spans="1:15" ht="14.25" customHeight="1">
      <c r="A16" s="206"/>
      <c r="B16" s="77"/>
      <c r="C16" s="58"/>
      <c r="D16" s="90"/>
      <c r="E16" s="90"/>
      <c r="F16" s="90"/>
      <c r="G16" s="90"/>
      <c r="H16" s="91"/>
      <c r="I16" s="91"/>
      <c r="J16" s="91"/>
      <c r="K16" s="91"/>
      <c r="L16" s="92"/>
      <c r="M16" s="93"/>
      <c r="N16" s="91"/>
      <c r="O16" s="91"/>
    </row>
    <row r="17" spans="1:15" ht="14.25" customHeight="1">
      <c r="A17" s="125"/>
      <c r="B17" s="77"/>
      <c r="C17" s="125"/>
      <c r="D17" s="125"/>
      <c r="E17" s="207"/>
      <c r="F17" s="125"/>
      <c r="G17" s="126"/>
      <c r="H17" s="127"/>
      <c r="I17" s="127"/>
      <c r="J17" s="127"/>
      <c r="K17" s="125"/>
      <c r="L17" s="140"/>
      <c r="M17" s="125"/>
      <c r="N17" s="129"/>
    </row>
    <row r="18" spans="1:15" ht="14.25" customHeight="1">
      <c r="A18" s="125"/>
      <c r="B18" s="77"/>
      <c r="C18" s="125"/>
      <c r="D18" s="208"/>
      <c r="E18" s="19"/>
      <c r="F18" s="125"/>
      <c r="G18" s="126"/>
      <c r="H18" s="127"/>
      <c r="I18" s="127"/>
      <c r="J18" s="127"/>
      <c r="K18" s="125"/>
      <c r="L18" s="140"/>
      <c r="M18" s="125"/>
      <c r="N18" s="129"/>
    </row>
    <row r="19" spans="1:15" ht="14.25" customHeight="1">
      <c r="A19" s="125"/>
      <c r="B19" s="77"/>
      <c r="C19" s="125"/>
      <c r="D19" s="130"/>
      <c r="E19" s="209"/>
      <c r="F19" s="125"/>
      <c r="G19" s="126"/>
      <c r="H19" s="127"/>
      <c r="I19" s="127"/>
      <c r="J19" s="127"/>
      <c r="K19" s="125"/>
      <c r="L19" s="140"/>
      <c r="M19" s="125"/>
      <c r="N19" s="129"/>
    </row>
    <row r="20" spans="1:15" ht="14.25" customHeight="1">
      <c r="A20" s="125"/>
      <c r="B20" s="77"/>
      <c r="C20" s="125"/>
      <c r="D20" s="130"/>
      <c r="E20" s="209"/>
      <c r="F20" s="125"/>
      <c r="G20" s="126"/>
      <c r="H20" s="127"/>
      <c r="I20" s="127"/>
      <c r="J20" s="127"/>
      <c r="K20" s="125"/>
      <c r="L20" s="140"/>
      <c r="M20" s="125"/>
      <c r="N20" s="129"/>
    </row>
    <row r="21" spans="1:15" ht="14.25" customHeight="1">
      <c r="A21" s="125"/>
      <c r="B21" s="77"/>
      <c r="C21" s="125"/>
      <c r="D21" s="131"/>
      <c r="E21" s="210"/>
      <c r="F21" s="210"/>
      <c r="G21" s="125"/>
      <c r="H21" s="126"/>
      <c r="I21" s="127"/>
      <c r="J21" s="127"/>
      <c r="K21" s="127"/>
      <c r="L21" s="141"/>
      <c r="M21" s="128"/>
      <c r="N21" s="125"/>
      <c r="O21" s="129"/>
    </row>
    <row r="22" spans="1:15" ht="14.25" customHeight="1">
      <c r="A22" s="125"/>
      <c r="B22" s="77"/>
      <c r="C22" s="19"/>
      <c r="D22" s="131"/>
      <c r="E22" s="210"/>
      <c r="F22" s="210"/>
      <c r="G22" s="125"/>
      <c r="H22" s="126"/>
      <c r="I22" s="127"/>
      <c r="J22" s="127"/>
      <c r="K22" s="127"/>
      <c r="L22" s="141"/>
      <c r="M22" s="128"/>
      <c r="N22" s="125"/>
      <c r="O22" s="129"/>
    </row>
    <row r="23" spans="1:15" ht="27" customHeight="1">
      <c r="A23" s="125"/>
      <c r="B23" s="77"/>
      <c r="C23" s="86"/>
      <c r="D23" s="87"/>
      <c r="E23" s="211"/>
      <c r="F23" s="87"/>
      <c r="G23" s="88"/>
      <c r="H23" s="89"/>
      <c r="I23" s="89"/>
      <c r="J23" s="89"/>
      <c r="K23" s="87"/>
      <c r="L23" s="215">
        <f>SUM(L6:L22)</f>
        <v>22500</v>
      </c>
      <c r="M23" s="87"/>
      <c r="N23" s="19"/>
      <c r="O23" s="77"/>
    </row>
    <row r="24" spans="1:15" ht="14.25" customHeight="1">
      <c r="A24" s="125"/>
      <c r="B24" s="77"/>
      <c r="C24" s="58"/>
      <c r="D24" s="97"/>
      <c r="E24" s="97"/>
      <c r="F24" s="58"/>
      <c r="G24" s="59"/>
      <c r="H24" s="60"/>
      <c r="I24" s="60"/>
      <c r="J24" s="60"/>
      <c r="K24" s="58"/>
      <c r="L24" s="64"/>
      <c r="M24" s="58"/>
      <c r="N24" s="19"/>
      <c r="O24" s="62"/>
    </row>
    <row r="25" spans="1:15" ht="14.25" customHeight="1">
      <c r="A25" s="197"/>
      <c r="B25" s="63"/>
      <c r="C25" s="110"/>
      <c r="D25" s="198"/>
      <c r="E25" s="199"/>
      <c r="F25" s="110"/>
      <c r="G25" s="111"/>
      <c r="H25" s="112"/>
      <c r="I25" s="112"/>
      <c r="J25" s="112"/>
      <c r="K25" s="110"/>
      <c r="L25" s="200"/>
      <c r="M25" s="58"/>
      <c r="N25" s="19"/>
      <c r="O25" s="62"/>
    </row>
    <row r="26" spans="1:15" ht="14.25" customHeight="1">
      <c r="A26" s="125"/>
      <c r="B26" s="63"/>
      <c r="C26" s="58"/>
      <c r="D26" s="78"/>
      <c r="E26" s="79"/>
      <c r="F26" s="58"/>
      <c r="G26" s="59"/>
      <c r="H26" s="60"/>
      <c r="I26" s="60"/>
      <c r="J26" s="60"/>
      <c r="K26" s="58"/>
      <c r="L26" s="64"/>
      <c r="M26" s="58"/>
      <c r="N26" s="19"/>
      <c r="O26" s="62"/>
    </row>
    <row r="27" spans="1:15" ht="14.25" customHeight="1">
      <c r="A27" s="125"/>
      <c r="B27" s="63"/>
      <c r="C27" s="58"/>
      <c r="D27" s="78"/>
      <c r="E27" s="79"/>
      <c r="F27" s="58"/>
      <c r="G27" s="59"/>
      <c r="H27" s="60"/>
      <c r="I27" s="60"/>
      <c r="J27" s="60"/>
      <c r="K27" s="58"/>
      <c r="L27" s="64"/>
      <c r="M27" s="58"/>
      <c r="N27" s="19"/>
      <c r="O27" s="62"/>
    </row>
    <row r="28" spans="1:15" ht="14.25" customHeight="1">
      <c r="A28" s="125"/>
      <c r="B28" s="63"/>
      <c r="C28" s="58"/>
      <c r="D28" s="90"/>
      <c r="E28" s="94"/>
      <c r="F28" s="90"/>
      <c r="G28" s="90"/>
      <c r="H28" s="91"/>
      <c r="I28" s="91"/>
      <c r="J28" s="91"/>
      <c r="K28" s="91"/>
      <c r="L28" s="101"/>
      <c r="M28" s="93"/>
      <c r="N28" s="91"/>
      <c r="O28" s="91"/>
    </row>
    <row r="29" spans="1:15" ht="14.25" customHeight="1">
      <c r="A29" s="125"/>
      <c r="B29" s="63"/>
      <c r="C29" s="58"/>
      <c r="D29" s="90"/>
      <c r="E29" s="94"/>
      <c r="F29" s="90"/>
      <c r="G29" s="90"/>
      <c r="H29" s="91"/>
      <c r="I29" s="91"/>
      <c r="J29" s="91"/>
      <c r="K29" s="91"/>
      <c r="L29" s="101"/>
      <c r="M29" s="93"/>
      <c r="N29" s="91"/>
      <c r="O29" s="124"/>
    </row>
    <row r="30" spans="1:15" ht="22.5" customHeight="1">
      <c r="A30" s="125"/>
      <c r="B30" s="63"/>
      <c r="C30" s="86"/>
      <c r="D30" s="87"/>
      <c r="E30" s="95"/>
      <c r="F30" s="87"/>
      <c r="G30" s="88"/>
      <c r="H30" s="89"/>
      <c r="I30" s="89"/>
      <c r="J30" s="89"/>
      <c r="K30" s="87"/>
      <c r="L30" s="98"/>
      <c r="M30" s="87"/>
      <c r="N30" s="19"/>
      <c r="O30" s="77"/>
    </row>
    <row r="31" spans="1:15" ht="14.25" customHeight="1">
      <c r="A31" s="125"/>
      <c r="B31" s="63"/>
      <c r="C31" s="58"/>
      <c r="D31" s="96"/>
      <c r="E31" s="97"/>
      <c r="F31" s="58"/>
      <c r="G31" s="59"/>
      <c r="H31" s="60"/>
      <c r="I31" s="60"/>
      <c r="J31" s="60"/>
      <c r="K31" s="58"/>
      <c r="L31" s="64"/>
      <c r="M31" s="58"/>
      <c r="N31" s="19"/>
      <c r="O31" s="62"/>
    </row>
    <row r="32" spans="1:15" ht="14.25" customHeight="1">
      <c r="A32" s="125"/>
      <c r="B32" s="63"/>
      <c r="C32" s="58"/>
      <c r="D32" s="79"/>
      <c r="E32" s="81"/>
      <c r="F32" s="58"/>
      <c r="G32" s="59"/>
      <c r="H32" s="60"/>
      <c r="I32" s="60"/>
      <c r="J32" s="60"/>
      <c r="K32" s="58"/>
      <c r="L32" s="64"/>
      <c r="M32" s="58"/>
      <c r="N32" s="19"/>
      <c r="O32" s="62"/>
    </row>
    <row r="33" spans="1:15">
      <c r="A33" s="125"/>
      <c r="B33" s="63"/>
      <c r="C33" s="58"/>
      <c r="D33" s="79"/>
      <c r="E33" s="81"/>
      <c r="F33" s="58"/>
      <c r="G33" s="59"/>
      <c r="H33" s="60"/>
      <c r="I33" s="60"/>
      <c r="J33" s="60"/>
      <c r="K33" s="58"/>
      <c r="L33" s="64"/>
      <c r="M33" s="58"/>
      <c r="N33" s="19"/>
      <c r="O33" s="62"/>
    </row>
    <row r="34" spans="1:15">
      <c r="A34" s="125"/>
      <c r="B34" s="63"/>
      <c r="C34" s="58"/>
      <c r="D34" s="78"/>
      <c r="E34" s="79"/>
      <c r="F34" s="58"/>
      <c r="G34" s="59"/>
      <c r="H34" s="60"/>
      <c r="I34" s="60"/>
      <c r="J34" s="60"/>
      <c r="K34" s="58"/>
      <c r="L34" s="64"/>
      <c r="M34" s="58"/>
      <c r="N34" s="19"/>
      <c r="O34" s="62"/>
    </row>
    <row r="35" spans="1:15">
      <c r="C35" s="58"/>
      <c r="D35" s="90"/>
      <c r="E35" s="94"/>
      <c r="F35" s="90"/>
      <c r="G35" s="91"/>
      <c r="H35" s="91"/>
      <c r="I35" s="91"/>
      <c r="J35" s="91"/>
      <c r="K35" s="92"/>
      <c r="L35" s="101"/>
      <c r="M35" s="91"/>
      <c r="N35" s="19"/>
      <c r="O35" s="91"/>
    </row>
    <row r="36" spans="1:15">
      <c r="A36" s="125"/>
      <c r="B36" s="63"/>
      <c r="C36" s="86"/>
      <c r="D36" s="87"/>
      <c r="E36" s="95"/>
      <c r="F36" s="87"/>
      <c r="G36" s="88"/>
      <c r="H36" s="89"/>
      <c r="I36" s="89"/>
      <c r="J36" s="89"/>
      <c r="K36" s="87"/>
      <c r="L36" s="98"/>
      <c r="M36" s="87"/>
      <c r="N36" s="19"/>
      <c r="O36" s="77"/>
    </row>
    <row r="37" spans="1:15">
      <c r="A37" s="125"/>
      <c r="B37" s="63"/>
      <c r="C37" s="58"/>
      <c r="D37" s="96"/>
      <c r="E37" s="96"/>
      <c r="F37" s="58"/>
      <c r="G37" s="59"/>
      <c r="H37" s="60"/>
      <c r="I37" s="60"/>
      <c r="J37" s="60"/>
      <c r="K37" s="58"/>
      <c r="L37" s="64"/>
      <c r="M37" s="58"/>
      <c r="N37" s="19"/>
      <c r="O37" s="62"/>
    </row>
    <row r="38" spans="1:15">
      <c r="A38" s="125"/>
      <c r="B38" s="63"/>
      <c r="C38" s="58"/>
      <c r="D38" s="78"/>
      <c r="E38" s="79"/>
      <c r="F38" s="80"/>
      <c r="G38" s="58"/>
      <c r="H38" s="59"/>
      <c r="I38" s="60"/>
      <c r="J38" s="60"/>
      <c r="K38" s="60"/>
      <c r="L38" s="100"/>
      <c r="M38" s="61"/>
      <c r="N38" s="58"/>
      <c r="O38" s="62"/>
    </row>
    <row r="39" spans="1:15">
      <c r="A39" s="125"/>
      <c r="B39" s="63"/>
      <c r="C39" s="58"/>
      <c r="D39" s="78"/>
      <c r="E39" s="79"/>
      <c r="F39" s="80"/>
      <c r="G39" s="58"/>
      <c r="H39" s="59"/>
      <c r="I39" s="60"/>
      <c r="J39" s="60"/>
      <c r="K39" s="60"/>
      <c r="L39" s="100"/>
      <c r="M39" s="61"/>
      <c r="N39" s="58"/>
      <c r="O39" s="62"/>
    </row>
    <row r="40" spans="1:15">
      <c r="A40" s="125"/>
      <c r="B40" s="63"/>
      <c r="C40" s="58"/>
      <c r="D40" s="78"/>
      <c r="E40" s="79"/>
      <c r="F40" s="80"/>
      <c r="G40" s="58"/>
      <c r="H40" s="59"/>
      <c r="I40" s="60"/>
      <c r="J40" s="60"/>
      <c r="K40" s="60"/>
      <c r="L40" s="100"/>
      <c r="M40" s="61"/>
      <c r="N40" s="58"/>
      <c r="O40" s="62"/>
    </row>
    <row r="41" spans="1:15">
      <c r="A41" s="125"/>
      <c r="B41" s="63"/>
      <c r="C41" s="58"/>
      <c r="D41" s="90"/>
      <c r="E41" s="94"/>
      <c r="F41" s="90"/>
      <c r="G41" s="90"/>
      <c r="H41" s="91"/>
      <c r="I41" s="91"/>
      <c r="J41" s="91"/>
      <c r="K41" s="91"/>
      <c r="L41" s="101"/>
      <c r="M41" s="93"/>
      <c r="N41" s="91"/>
      <c r="O41" s="124"/>
    </row>
    <row r="42" spans="1:15">
      <c r="A42" s="125"/>
      <c r="B42" s="63"/>
      <c r="C42" s="86"/>
      <c r="D42" s="87"/>
      <c r="E42" s="95"/>
      <c r="F42" s="87"/>
      <c r="G42" s="88"/>
      <c r="H42" s="89"/>
      <c r="I42" s="89"/>
      <c r="J42" s="89"/>
      <c r="K42" s="87"/>
      <c r="L42" s="98"/>
      <c r="M42" s="87"/>
      <c r="N42" s="19"/>
      <c r="O42" s="77"/>
    </row>
    <row r="43" spans="1:15">
      <c r="A43" s="125"/>
      <c r="B43" s="63"/>
      <c r="C43" s="58"/>
      <c r="D43" s="138"/>
      <c r="E43" s="96"/>
      <c r="F43" s="58"/>
      <c r="G43" s="59"/>
      <c r="H43" s="60"/>
      <c r="I43" s="60"/>
      <c r="J43" s="60"/>
      <c r="K43" s="58"/>
      <c r="L43" s="64"/>
      <c r="M43" s="58"/>
      <c r="N43" s="19"/>
      <c r="O43" s="62"/>
    </row>
    <row r="44" spans="1:15">
      <c r="A44" s="125"/>
      <c r="B44" s="63"/>
      <c r="C44" s="58"/>
      <c r="D44" s="79"/>
      <c r="E44" s="79"/>
      <c r="F44" s="58"/>
      <c r="G44" s="59"/>
      <c r="H44" s="60"/>
      <c r="I44" s="60"/>
      <c r="J44" s="60"/>
      <c r="K44" s="58"/>
      <c r="L44" s="64"/>
      <c r="M44" s="58"/>
      <c r="N44" s="19"/>
      <c r="O44" s="62"/>
    </row>
    <row r="45" spans="1:15">
      <c r="A45" s="125"/>
      <c r="B45" s="63"/>
      <c r="C45" s="58"/>
      <c r="D45" s="78"/>
      <c r="E45" s="79"/>
      <c r="F45" s="80"/>
      <c r="G45" s="58"/>
      <c r="H45" s="59"/>
      <c r="I45" s="60"/>
      <c r="J45" s="60"/>
      <c r="K45" s="60"/>
      <c r="L45" s="100"/>
      <c r="M45" s="61"/>
      <c r="N45" s="58"/>
      <c r="O45" s="62"/>
    </row>
    <row r="46" spans="1:15">
      <c r="A46" s="125"/>
      <c r="B46" s="63"/>
      <c r="C46" s="58"/>
      <c r="D46" s="78"/>
      <c r="E46" s="79"/>
      <c r="F46" s="80"/>
      <c r="G46" s="58"/>
      <c r="H46" s="59"/>
      <c r="I46" s="60"/>
      <c r="J46" s="60"/>
      <c r="K46" s="60"/>
      <c r="L46" s="100"/>
      <c r="M46" s="61"/>
      <c r="N46" s="58"/>
      <c r="O46" s="62"/>
    </row>
    <row r="47" spans="1:15">
      <c r="C47" s="58"/>
      <c r="D47" s="90"/>
      <c r="E47" s="94"/>
      <c r="F47" s="90"/>
      <c r="G47" s="90"/>
      <c r="H47" s="91"/>
      <c r="I47" s="91"/>
      <c r="J47" s="91"/>
      <c r="K47" s="91"/>
      <c r="L47" s="101"/>
      <c r="M47" s="93"/>
      <c r="N47" s="91"/>
      <c r="O47" s="124"/>
    </row>
    <row r="48" spans="1:15">
      <c r="C48" s="58"/>
      <c r="D48" s="90"/>
      <c r="E48" s="94"/>
      <c r="F48" s="90"/>
      <c r="G48" s="90"/>
      <c r="H48" s="91"/>
      <c r="I48" s="91"/>
      <c r="J48" s="91"/>
      <c r="K48" s="91"/>
      <c r="L48" s="101"/>
      <c r="M48" s="93"/>
      <c r="N48" s="91"/>
      <c r="O48" s="124"/>
    </row>
    <row r="49" spans="1:15">
      <c r="A49" s="125"/>
      <c r="B49" s="63"/>
      <c r="C49" s="86"/>
      <c r="D49" s="87"/>
      <c r="E49" s="86"/>
      <c r="F49" s="87"/>
      <c r="G49" s="88"/>
      <c r="H49" s="89"/>
      <c r="I49" s="89"/>
      <c r="J49" s="89"/>
      <c r="K49" s="87"/>
      <c r="L49" s="98"/>
      <c r="M49" s="87"/>
      <c r="N49" s="77"/>
    </row>
    <row r="50" spans="1:15">
      <c r="A50" s="125"/>
      <c r="B50" s="63"/>
      <c r="C50" s="58"/>
      <c r="D50" s="139"/>
      <c r="E50" s="19"/>
      <c r="F50" s="58"/>
      <c r="G50" s="59"/>
      <c r="H50" s="60"/>
      <c r="I50" s="60"/>
      <c r="J50" s="60"/>
      <c r="K50" s="58"/>
      <c r="L50" s="64"/>
      <c r="M50" s="58"/>
      <c r="N50" s="62"/>
    </row>
    <row r="51" spans="1:15">
      <c r="A51" s="125"/>
      <c r="B51" s="63"/>
      <c r="C51" s="58"/>
      <c r="D51" s="81"/>
      <c r="E51" s="19"/>
      <c r="F51" s="81"/>
      <c r="G51" s="58"/>
      <c r="H51" s="59"/>
      <c r="I51" s="60"/>
      <c r="J51" s="60"/>
      <c r="K51" s="60"/>
      <c r="L51" s="58"/>
      <c r="M51" s="61"/>
      <c r="N51" s="58"/>
      <c r="O51" s="62"/>
    </row>
    <row r="52" spans="1:15">
      <c r="A52" s="125"/>
      <c r="B52" s="63"/>
      <c r="C52" s="58"/>
      <c r="D52" s="78"/>
      <c r="E52" s="81"/>
      <c r="F52" s="81"/>
      <c r="G52" s="58"/>
      <c r="H52" s="59"/>
      <c r="I52" s="60"/>
      <c r="J52" s="60"/>
      <c r="K52" s="60"/>
      <c r="L52" s="58"/>
      <c r="M52" s="61"/>
      <c r="N52" s="58"/>
      <c r="O52" s="62"/>
    </row>
    <row r="53" spans="1:15">
      <c r="A53" s="125"/>
      <c r="B53" s="63"/>
      <c r="C53" s="58"/>
      <c r="D53" s="78"/>
      <c r="E53" s="81"/>
      <c r="F53" s="81"/>
      <c r="G53" s="58"/>
      <c r="H53" s="59"/>
      <c r="I53" s="60"/>
      <c r="J53" s="60"/>
      <c r="K53" s="60"/>
      <c r="L53" s="58"/>
      <c r="M53" s="61"/>
      <c r="N53" s="58"/>
      <c r="O53" s="62"/>
    </row>
    <row r="54" spans="1:15">
      <c r="C54" s="58"/>
      <c r="D54" s="90"/>
      <c r="E54" s="94"/>
      <c r="F54" s="90"/>
      <c r="G54" s="90"/>
      <c r="H54" s="91"/>
      <c r="I54" s="91"/>
      <c r="J54" s="91"/>
      <c r="K54" s="91"/>
      <c r="L54" s="92"/>
      <c r="M54" s="93"/>
      <c r="N54" s="91"/>
      <c r="O54" s="124"/>
    </row>
    <row r="55" spans="1:15">
      <c r="A55" s="58"/>
      <c r="B55" s="63"/>
      <c r="C55" s="86"/>
      <c r="D55" s="87"/>
      <c r="E55" s="95"/>
      <c r="F55" s="87"/>
      <c r="G55" s="88"/>
      <c r="H55" s="89"/>
      <c r="I55" s="89"/>
      <c r="J55" s="89"/>
      <c r="K55" s="87"/>
      <c r="L55" s="123"/>
      <c r="M55" s="87"/>
      <c r="O55" s="77"/>
    </row>
    <row r="56" spans="1:15">
      <c r="A56" s="58"/>
      <c r="B56" s="63"/>
      <c r="C56" s="58"/>
      <c r="D56" s="96"/>
      <c r="E56" s="19"/>
      <c r="F56" s="109"/>
      <c r="G56" s="59"/>
      <c r="H56" s="60"/>
      <c r="I56" s="60"/>
      <c r="J56" s="60"/>
      <c r="K56" s="58"/>
      <c r="L56" s="61"/>
      <c r="M56" s="58"/>
      <c r="O56" s="62"/>
    </row>
    <row r="57" spans="1:15">
      <c r="A57" s="58"/>
      <c r="B57" s="63"/>
      <c r="C57" s="58"/>
      <c r="D57" s="79"/>
      <c r="E57" s="19"/>
      <c r="F57" s="109"/>
      <c r="G57" s="59"/>
      <c r="H57" s="60"/>
      <c r="I57" s="60"/>
      <c r="J57" s="60"/>
      <c r="K57" s="58"/>
      <c r="L57" s="61"/>
      <c r="M57" s="58"/>
      <c r="O57" s="62"/>
    </row>
    <row r="58" spans="1:15">
      <c r="A58" s="58"/>
      <c r="B58" s="63"/>
      <c r="C58" s="58"/>
      <c r="D58" s="79"/>
      <c r="E58" s="19"/>
      <c r="F58" s="80"/>
      <c r="G58" s="58"/>
      <c r="H58" s="59"/>
      <c r="I58" s="60"/>
      <c r="J58" s="60"/>
      <c r="K58" s="60"/>
      <c r="L58" s="58"/>
      <c r="M58" s="61"/>
      <c r="N58" s="58"/>
      <c r="O58" s="62"/>
    </row>
    <row r="59" spans="1:15">
      <c r="A59" s="58"/>
      <c r="B59" s="63"/>
      <c r="C59" s="58"/>
      <c r="D59" s="78"/>
      <c r="E59" s="79"/>
      <c r="F59" s="81"/>
      <c r="G59" s="58"/>
      <c r="H59" s="59"/>
      <c r="I59" s="60"/>
      <c r="J59" s="60"/>
      <c r="K59" s="60"/>
      <c r="L59" s="58"/>
      <c r="M59" s="61"/>
      <c r="N59" s="58"/>
      <c r="O59" s="62"/>
    </row>
    <row r="60" spans="1:15">
      <c r="D60" s="90"/>
      <c r="E60" s="94"/>
      <c r="F60" s="90"/>
      <c r="G60" s="90"/>
      <c r="H60" s="91"/>
      <c r="I60" s="91"/>
      <c r="J60" s="91"/>
      <c r="K60" s="91"/>
      <c r="L60" s="92"/>
      <c r="M60" s="93"/>
      <c r="N60" s="91"/>
      <c r="O60" s="91"/>
    </row>
    <row r="61" spans="1:15">
      <c r="C61" s="58"/>
      <c r="D61" s="90"/>
      <c r="E61" s="94"/>
      <c r="F61" s="90"/>
      <c r="G61" s="90"/>
      <c r="H61" s="91"/>
      <c r="I61" s="91"/>
      <c r="J61" s="91"/>
      <c r="K61" s="91"/>
      <c r="L61" s="92"/>
      <c r="M61" s="93"/>
      <c r="N61" s="91"/>
      <c r="O61" s="124"/>
    </row>
    <row r="62" spans="1:15">
      <c r="C62" s="58"/>
      <c r="D62" s="90"/>
      <c r="E62" s="94"/>
      <c r="F62" s="90"/>
      <c r="G62" s="90"/>
      <c r="H62" s="91"/>
      <c r="I62" s="91"/>
      <c r="J62" s="91"/>
      <c r="K62" s="91"/>
      <c r="L62" s="92"/>
      <c r="M62" s="93"/>
      <c r="N62" s="91"/>
      <c r="O62" s="124"/>
    </row>
    <row r="63" spans="1:15">
      <c r="C63" s="58"/>
      <c r="D63" s="90"/>
      <c r="E63" s="94"/>
      <c r="F63" s="90"/>
      <c r="G63" s="90"/>
      <c r="H63" s="91"/>
      <c r="I63" s="91"/>
      <c r="J63" s="91"/>
      <c r="K63" s="91"/>
      <c r="L63" s="92"/>
      <c r="M63" s="93"/>
      <c r="N63" s="91"/>
      <c r="O63" s="124"/>
    </row>
    <row r="64" spans="1:15">
      <c r="C64" s="58"/>
      <c r="D64" s="90"/>
      <c r="E64" s="94"/>
      <c r="F64" s="90"/>
      <c r="G64" s="90"/>
      <c r="H64" s="91"/>
      <c r="I64" s="91"/>
      <c r="J64" s="91"/>
      <c r="K64" s="91"/>
      <c r="L64" s="92"/>
      <c r="M64" s="93"/>
      <c r="N64" s="91"/>
      <c r="O64" s="124"/>
    </row>
    <row r="65" spans="3:15">
      <c r="C65" s="58"/>
      <c r="D65" s="90"/>
      <c r="E65" s="94"/>
      <c r="F65" s="90"/>
      <c r="G65" s="90"/>
      <c r="H65" s="91"/>
      <c r="I65" s="91"/>
      <c r="J65" s="91"/>
      <c r="K65" s="91"/>
      <c r="L65" s="92"/>
      <c r="M65" s="93"/>
      <c r="N65" s="91"/>
      <c r="O65" s="124"/>
    </row>
    <row r="66" spans="3:15">
      <c r="C66" s="58"/>
      <c r="D66" s="90"/>
      <c r="E66" s="94"/>
      <c r="F66" s="90"/>
      <c r="G66" s="90"/>
      <c r="H66" s="91"/>
      <c r="I66" s="91"/>
      <c r="J66" s="91"/>
      <c r="K66" s="91"/>
      <c r="L66" s="92"/>
      <c r="M66" s="93"/>
      <c r="N66" s="91"/>
      <c r="O66" s="124"/>
    </row>
    <row r="67" spans="3:15">
      <c r="C67" s="58"/>
      <c r="D67" s="90"/>
      <c r="E67" s="94"/>
      <c r="F67" s="90"/>
      <c r="G67" s="90"/>
      <c r="H67" s="91"/>
      <c r="I67" s="91"/>
      <c r="J67" s="91"/>
      <c r="K67" s="91"/>
      <c r="L67" s="92"/>
      <c r="M67" s="93"/>
      <c r="N67" s="91"/>
      <c r="O67" s="124"/>
    </row>
    <row r="68" spans="3:15">
      <c r="C68" s="58"/>
      <c r="D68" s="90"/>
      <c r="E68" s="94"/>
      <c r="F68" s="90"/>
      <c r="G68" s="90"/>
      <c r="H68" s="91"/>
      <c r="I68" s="91"/>
      <c r="J68" s="91"/>
      <c r="K68" s="91"/>
      <c r="L68" s="92"/>
      <c r="M68" s="93"/>
      <c r="N68" s="91"/>
      <c r="O68" s="124"/>
    </row>
    <row r="69" spans="3:15">
      <c r="C69" s="58"/>
      <c r="D69" s="90"/>
      <c r="E69" s="94"/>
      <c r="F69" s="90"/>
      <c r="G69" s="90"/>
      <c r="H69" s="91"/>
      <c r="I69" s="91"/>
      <c r="J69" s="91"/>
      <c r="K69" s="91"/>
      <c r="L69" s="92"/>
      <c r="M69" s="93"/>
      <c r="N69" s="91"/>
      <c r="O69" s="124"/>
    </row>
    <row r="70" spans="3:15">
      <c r="C70" s="8"/>
      <c r="D70" s="8"/>
      <c r="E70" s="7"/>
      <c r="F70" s="6"/>
      <c r="G70" s="6"/>
      <c r="H70" s="5"/>
      <c r="I70" s="5"/>
      <c r="J70" s="5"/>
      <c r="K70" s="6"/>
      <c r="L70" s="4"/>
      <c r="M70" s="6"/>
      <c r="N70" s="2"/>
    </row>
    <row r="71" spans="3:15">
      <c r="C71" s="8"/>
      <c r="D71" s="8"/>
      <c r="E71" s="7"/>
      <c r="F71" s="6"/>
      <c r="G71" s="6"/>
      <c r="H71" s="5"/>
      <c r="I71" s="5"/>
      <c r="J71" s="5"/>
      <c r="K71" s="6"/>
      <c r="L71" s="4"/>
      <c r="M71" s="6"/>
      <c r="N71" s="2"/>
    </row>
    <row r="72" spans="3:15">
      <c r="C72" s="8"/>
      <c r="D72" s="8"/>
      <c r="E72" s="7"/>
      <c r="F72" s="6"/>
      <c r="G72" s="6"/>
      <c r="H72" s="5"/>
      <c r="I72" s="5"/>
      <c r="J72" s="5"/>
      <c r="K72" s="6"/>
      <c r="L72" s="4"/>
      <c r="M72" s="6"/>
      <c r="N72" s="2"/>
    </row>
    <row r="73" spans="3:15">
      <c r="C73" s="8"/>
      <c r="D73" s="8"/>
      <c r="E73" s="7"/>
      <c r="F73" s="6"/>
      <c r="G73" s="6"/>
      <c r="H73" s="5"/>
      <c r="I73" s="5"/>
      <c r="J73" s="5"/>
      <c r="K73" s="6"/>
      <c r="L73" s="4"/>
      <c r="M73" s="6"/>
      <c r="N73" s="2"/>
    </row>
    <row r="74" spans="3:15">
      <c r="C74" s="8"/>
      <c r="D74" s="8"/>
      <c r="E74" s="7"/>
      <c r="F74" s="6"/>
      <c r="G74" s="6"/>
      <c r="H74" s="5"/>
      <c r="I74" s="5"/>
      <c r="J74" s="5"/>
      <c r="K74" s="6"/>
      <c r="L74" s="4"/>
      <c r="M74" s="6"/>
      <c r="N74" s="2"/>
    </row>
    <row r="75" spans="3:15">
      <c r="C75" s="8"/>
      <c r="D75" s="8"/>
      <c r="E75" s="7"/>
      <c r="F75" s="6"/>
      <c r="G75" s="6"/>
      <c r="H75" s="5"/>
      <c r="I75" s="5"/>
      <c r="J75" s="5"/>
      <c r="K75" s="6"/>
      <c r="L75" s="4"/>
      <c r="M75" s="6"/>
      <c r="N75" s="2"/>
    </row>
    <row r="76" spans="3:15">
      <c r="C76" s="8"/>
      <c r="D76" s="8"/>
      <c r="E76" s="7"/>
      <c r="F76" s="6"/>
      <c r="G76" s="6"/>
      <c r="H76" s="5"/>
      <c r="I76" s="5"/>
      <c r="J76" s="5"/>
      <c r="K76" s="6"/>
      <c r="L76" s="4"/>
      <c r="M76" s="6"/>
      <c r="N76" s="2"/>
    </row>
    <row r="77" spans="3:15">
      <c r="C77" s="8"/>
      <c r="D77" s="8"/>
      <c r="E77" s="7"/>
      <c r="F77" s="6"/>
      <c r="G77" s="6"/>
      <c r="H77" s="5"/>
      <c r="I77" s="5"/>
      <c r="J77" s="5"/>
      <c r="K77" s="6"/>
      <c r="L77" s="108"/>
      <c r="M77" s="6"/>
      <c r="N77" s="2"/>
    </row>
    <row r="78" spans="3:15">
      <c r="C78" s="8"/>
      <c r="D78" s="8"/>
      <c r="E78" s="7"/>
      <c r="F78" s="6"/>
      <c r="G78" s="6"/>
      <c r="H78" s="5"/>
      <c r="I78" s="5"/>
      <c r="J78" s="5"/>
      <c r="K78" s="6"/>
      <c r="L78" s="4"/>
      <c r="M78" s="6"/>
      <c r="N78" s="2"/>
    </row>
    <row r="79" spans="3:15">
      <c r="C79" s="8"/>
      <c r="D79" s="8"/>
      <c r="E79" s="7"/>
      <c r="F79" s="6"/>
      <c r="G79" s="6"/>
      <c r="H79" s="5"/>
      <c r="I79" s="5"/>
      <c r="J79" s="5"/>
      <c r="K79" s="6"/>
      <c r="L79" s="4"/>
      <c r="M79" s="6"/>
      <c r="N79" s="2"/>
    </row>
    <row r="80" spans="3:15">
      <c r="C80" s="8"/>
      <c r="D80" s="8"/>
      <c r="E80" s="7"/>
      <c r="F80" s="6"/>
      <c r="G80" s="6"/>
      <c r="H80" s="5"/>
      <c r="I80" s="5"/>
      <c r="J80" s="5"/>
      <c r="K80" s="6"/>
      <c r="L80" s="4"/>
      <c r="M80" s="6"/>
      <c r="N80" s="2"/>
    </row>
    <row r="81" spans="3:14">
      <c r="C81" s="8"/>
      <c r="D81" s="8"/>
      <c r="E81" s="7"/>
      <c r="F81" s="6"/>
      <c r="G81" s="6"/>
      <c r="H81" s="5"/>
      <c r="I81" s="5"/>
      <c r="J81" s="5"/>
      <c r="K81" s="6"/>
      <c r="L81" s="4"/>
      <c r="M81" s="6"/>
      <c r="N81" s="2"/>
    </row>
    <row r="82" spans="3:14">
      <c r="C82" s="8"/>
      <c r="D82" s="8"/>
      <c r="E82" s="7"/>
      <c r="F82" s="6"/>
      <c r="G82" s="6"/>
      <c r="H82" s="5"/>
      <c r="I82" s="5"/>
      <c r="J82" s="5"/>
      <c r="K82" s="6"/>
      <c r="L82" s="4"/>
      <c r="M82" s="6"/>
      <c r="N82" s="2"/>
    </row>
    <row r="83" spans="3:14" ht="14.25" customHeight="1">
      <c r="C83" s="8"/>
      <c r="D83" s="8"/>
      <c r="E83" s="7"/>
      <c r="F83" s="6"/>
      <c r="G83" s="6"/>
      <c r="H83" s="5"/>
      <c r="I83" s="5"/>
      <c r="J83" s="5"/>
      <c r="K83" s="6"/>
      <c r="L83" s="4"/>
      <c r="M83" s="6"/>
      <c r="N83" s="2"/>
    </row>
    <row r="84" spans="3:14" ht="14.25" customHeight="1">
      <c r="C84" s="8"/>
      <c r="D84" s="8"/>
      <c r="E84" s="7"/>
      <c r="F84" s="6"/>
      <c r="G84" s="6"/>
      <c r="H84" s="5"/>
      <c r="I84" s="5"/>
      <c r="J84" s="5"/>
      <c r="K84" s="6"/>
      <c r="L84" s="4"/>
      <c r="M84" s="6"/>
      <c r="N84" s="2"/>
    </row>
    <row r="85" spans="3:14" ht="14.25" customHeight="1">
      <c r="C85" s="8"/>
      <c r="D85" s="8"/>
      <c r="E85" s="7"/>
      <c r="F85" s="6"/>
      <c r="G85" s="6"/>
      <c r="H85" s="5"/>
      <c r="I85" s="5"/>
      <c r="J85" s="5"/>
      <c r="K85" s="6"/>
      <c r="L85" s="4"/>
      <c r="M85" s="6"/>
      <c r="N85" s="2"/>
    </row>
    <row r="86" spans="3:14" ht="14.25" customHeight="1">
      <c r="C86" s="8"/>
      <c r="D86" s="8"/>
      <c r="E86" s="7"/>
      <c r="F86" s="6"/>
      <c r="G86" s="6"/>
      <c r="H86" s="5"/>
      <c r="I86" s="5"/>
      <c r="J86" s="5"/>
      <c r="K86" s="6"/>
      <c r="L86" s="4"/>
      <c r="M86" s="6"/>
      <c r="N86" s="2"/>
    </row>
    <row r="87" spans="3:14" ht="14.25" customHeight="1">
      <c r="C87" s="8"/>
      <c r="D87" s="8"/>
      <c r="E87" s="7"/>
      <c r="F87" s="6"/>
      <c r="G87" s="6"/>
      <c r="H87" s="5"/>
      <c r="I87" s="5"/>
      <c r="J87" s="5"/>
      <c r="K87" s="6"/>
      <c r="L87" s="4"/>
      <c r="M87" s="6"/>
      <c r="N87" s="2"/>
    </row>
    <row r="88" spans="3:14" ht="14.25" customHeight="1">
      <c r="C88" s="8"/>
      <c r="D88" s="8"/>
      <c r="E88" s="7"/>
      <c r="F88" s="6"/>
      <c r="G88" s="6"/>
      <c r="H88" s="5"/>
      <c r="I88" s="5"/>
      <c r="J88" s="5"/>
      <c r="K88" s="6"/>
      <c r="L88" s="4"/>
      <c r="M88" s="6"/>
      <c r="N88" s="2"/>
    </row>
    <row r="89" spans="3:14" ht="14.25" customHeight="1">
      <c r="C89" s="8"/>
      <c r="D89" s="8"/>
      <c r="E89" s="7"/>
      <c r="F89" s="6"/>
      <c r="G89" s="6"/>
      <c r="H89" s="5"/>
      <c r="I89" s="5"/>
      <c r="J89" s="5"/>
      <c r="K89" s="6"/>
      <c r="L89" s="4"/>
      <c r="M89" s="6"/>
      <c r="N89" s="2"/>
    </row>
    <row r="90" spans="3:14" ht="14.25" customHeight="1">
      <c r="C90" s="8"/>
      <c r="D90" s="8"/>
      <c r="E90" s="7"/>
      <c r="F90" s="6"/>
      <c r="G90" s="6"/>
      <c r="H90" s="5"/>
      <c r="I90" s="5"/>
      <c r="J90" s="5"/>
      <c r="K90" s="6"/>
      <c r="L90" s="4"/>
      <c r="M90" s="6"/>
      <c r="N90" s="2"/>
    </row>
    <row r="91" spans="3:14" ht="14.25" customHeight="1">
      <c r="C91" s="8"/>
      <c r="D91" s="8"/>
      <c r="E91" s="7"/>
      <c r="F91" s="6"/>
      <c r="G91" s="6"/>
      <c r="H91" s="5"/>
      <c r="I91" s="5"/>
      <c r="J91" s="5"/>
      <c r="K91" s="6"/>
      <c r="L91" s="4"/>
      <c r="M91" s="6"/>
      <c r="N91" s="2"/>
    </row>
    <row r="92" spans="3:14" ht="14.25" customHeight="1">
      <c r="C92" s="8"/>
      <c r="D92" s="8"/>
      <c r="E92" s="7"/>
      <c r="F92" s="6"/>
      <c r="G92" s="6"/>
      <c r="H92" s="5"/>
      <c r="I92" s="5"/>
      <c r="J92" s="5"/>
      <c r="K92" s="6"/>
      <c r="L92" s="4"/>
      <c r="M92" s="6"/>
      <c r="N92" s="2"/>
    </row>
    <row r="93" spans="3:14" ht="14.25" customHeight="1">
      <c r="C93" s="8"/>
      <c r="D93" s="8"/>
      <c r="E93" s="7"/>
      <c r="F93" s="6"/>
      <c r="G93" s="6"/>
      <c r="H93" s="5"/>
      <c r="I93" s="5"/>
      <c r="J93" s="5"/>
      <c r="K93" s="6"/>
      <c r="L93" s="4"/>
      <c r="M93" s="6"/>
      <c r="N93" s="2"/>
    </row>
    <row r="94" spans="3:14" ht="14.25" customHeight="1">
      <c r="C94" s="8"/>
      <c r="D94" s="8"/>
      <c r="E94" s="7"/>
      <c r="F94" s="6"/>
      <c r="G94" s="6"/>
      <c r="H94" s="5"/>
      <c r="I94" s="5"/>
      <c r="J94" s="5"/>
      <c r="K94" s="6"/>
      <c r="L94" s="4"/>
      <c r="M94" s="6"/>
      <c r="N94" s="2"/>
    </row>
    <row r="95" spans="3:14" ht="14.25" customHeight="1">
      <c r="C95" s="8"/>
      <c r="D95" s="8"/>
      <c r="E95" s="7"/>
      <c r="F95" s="6"/>
      <c r="G95" s="6"/>
      <c r="H95" s="5"/>
      <c r="I95" s="5"/>
      <c r="J95" s="5"/>
      <c r="K95" s="6"/>
      <c r="L95" s="4"/>
      <c r="M95" s="6"/>
      <c r="N95" s="2"/>
    </row>
    <row r="96" spans="3:14" ht="14.25" customHeight="1">
      <c r="C96" s="8"/>
      <c r="D96" s="8"/>
      <c r="E96" s="7"/>
      <c r="F96" s="6"/>
      <c r="G96" s="6"/>
      <c r="H96" s="5"/>
      <c r="I96" s="5"/>
      <c r="J96" s="5"/>
      <c r="K96" s="6"/>
      <c r="L96" s="4"/>
      <c r="M96" s="6"/>
      <c r="N96" s="2"/>
    </row>
    <row r="97" spans="3:14" ht="14.25" customHeight="1">
      <c r="C97" s="8"/>
      <c r="D97" s="8"/>
      <c r="E97" s="7"/>
      <c r="F97" s="6"/>
      <c r="G97" s="6"/>
      <c r="H97" s="5"/>
      <c r="I97" s="5"/>
      <c r="J97" s="5"/>
      <c r="K97" s="6"/>
      <c r="L97" s="4"/>
      <c r="M97" s="6"/>
      <c r="N97" s="2"/>
    </row>
    <row r="98" spans="3:14" ht="14.25" customHeight="1">
      <c r="C98" s="8"/>
      <c r="D98" s="8"/>
      <c r="E98" s="7"/>
      <c r="F98" s="6"/>
      <c r="G98" s="6"/>
      <c r="H98" s="5"/>
      <c r="I98" s="5"/>
      <c r="J98" s="5"/>
      <c r="K98" s="6"/>
      <c r="L98" s="4"/>
      <c r="M98" s="3"/>
      <c r="N98" s="2"/>
    </row>
    <row r="99" spans="3:14" ht="14.25" customHeight="1">
      <c r="C99" s="8"/>
      <c r="D99" s="8"/>
      <c r="E99" s="7"/>
      <c r="F99" s="6"/>
      <c r="G99" s="5"/>
      <c r="H99" s="5"/>
      <c r="I99" s="5"/>
      <c r="J99" s="5"/>
      <c r="K99" s="4"/>
      <c r="L99" s="4"/>
      <c r="M99" s="3"/>
      <c r="N99" s="2"/>
    </row>
    <row r="100" spans="3:14" ht="14.25" customHeight="1">
      <c r="C100" s="19"/>
      <c r="D100" s="19"/>
      <c r="E100" s="19"/>
      <c r="F100" s="19"/>
      <c r="G100" s="19"/>
      <c r="H100" s="19"/>
      <c r="I100" s="19"/>
      <c r="J100" s="19"/>
      <c r="K100" s="19"/>
      <c r="L100" s="19"/>
      <c r="M100" s="19"/>
      <c r="N100" s="19"/>
    </row>
    <row r="101" spans="3:14" ht="14.25" customHeight="1">
      <c r="C101" s="31"/>
      <c r="D101" s="27"/>
      <c r="E101" s="20"/>
      <c r="F101" s="28"/>
      <c r="G101" s="28"/>
      <c r="H101" s="26"/>
      <c r="I101" s="26"/>
      <c r="J101" s="26"/>
      <c r="K101" s="28"/>
      <c r="L101" s="29"/>
      <c r="M101" s="28"/>
      <c r="N101" s="27"/>
    </row>
    <row r="102" spans="3:14" s="1" customFormat="1" ht="14.25" customHeight="1">
      <c r="C102" s="31"/>
      <c r="D102" s="27"/>
      <c r="E102" s="21"/>
      <c r="F102" s="28"/>
      <c r="G102" s="28"/>
      <c r="H102" s="26"/>
      <c r="I102" s="26"/>
      <c r="J102" s="26"/>
      <c r="K102" s="28"/>
      <c r="L102" s="29"/>
      <c r="M102" s="28"/>
      <c r="N102" s="27"/>
    </row>
    <row r="103" spans="3:14" s="1" customFormat="1" ht="14.25" customHeight="1">
      <c r="C103" s="30"/>
      <c r="D103" s="25"/>
      <c r="E103" s="21"/>
      <c r="F103" s="22"/>
      <c r="G103" s="22"/>
      <c r="H103" s="23"/>
      <c r="I103" s="23"/>
      <c r="J103" s="23"/>
      <c r="K103" s="22"/>
      <c r="L103" s="24"/>
      <c r="M103" s="22"/>
      <c r="N103" s="25"/>
    </row>
  </sheetData>
  <mergeCells count="5">
    <mergeCell ref="C2:G2"/>
    <mergeCell ref="H2:J2"/>
    <mergeCell ref="K2:L2"/>
    <mergeCell ref="M2:M3"/>
    <mergeCell ref="N2:N3"/>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147A2-3293-4688-8C63-79CF72DDF661}">
  <sheetPr>
    <tabColor rgb="FFFFC000"/>
  </sheetPr>
  <dimension ref="A2:O103"/>
  <sheetViews>
    <sheetView zoomScale="86" workbookViewId="0">
      <pane ySplit="4" topLeftCell="A8" activePane="bottomLeft" state="frozen"/>
      <selection pane="bottomLeft" activeCell="A6" sqref="A6:XFD11"/>
    </sheetView>
  </sheetViews>
  <sheetFormatPr defaultRowHeight="15"/>
  <cols>
    <col min="3" max="3" width="21.42578125" customWidth="1"/>
    <col min="4" max="4" width="20.5703125"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customWidth="1"/>
    <col min="13" max="13" width="16.28515625" customWidth="1"/>
    <col min="14" max="14" width="12.85546875" customWidth="1"/>
  </cols>
  <sheetData>
    <row r="2" spans="1:15">
      <c r="C2" s="2627" t="s">
        <v>30</v>
      </c>
      <c r="D2" s="2627"/>
      <c r="E2" s="2627"/>
      <c r="F2" s="2627"/>
      <c r="G2" s="2627"/>
      <c r="H2" s="2628" t="s">
        <v>29</v>
      </c>
      <c r="I2" s="2628"/>
      <c r="J2" s="2628"/>
      <c r="K2" s="2627" t="s">
        <v>28</v>
      </c>
      <c r="L2" s="2627"/>
      <c r="M2" s="2628" t="s">
        <v>27</v>
      </c>
      <c r="N2" s="2628" t="s">
        <v>26</v>
      </c>
    </row>
    <row r="3" spans="1:15" ht="72">
      <c r="C3" s="10" t="s">
        <v>25</v>
      </c>
      <c r="D3" s="13" t="s">
        <v>24</v>
      </c>
      <c r="E3" s="12" t="s">
        <v>23</v>
      </c>
      <c r="F3" s="10" t="s">
        <v>22</v>
      </c>
      <c r="G3" s="11" t="s">
        <v>21</v>
      </c>
      <c r="H3" s="11" t="s">
        <v>20</v>
      </c>
      <c r="I3" s="11" t="s">
        <v>19</v>
      </c>
      <c r="J3" s="11" t="s">
        <v>18</v>
      </c>
      <c r="K3" s="10" t="s">
        <v>17</v>
      </c>
      <c r="L3" s="10" t="s">
        <v>16</v>
      </c>
      <c r="M3" s="2628"/>
      <c r="N3" s="2628"/>
    </row>
    <row r="4" spans="1:15">
      <c r="C4" s="9" t="s">
        <v>15</v>
      </c>
      <c r="D4" s="9" t="s">
        <v>14</v>
      </c>
      <c r="E4" s="9" t="s">
        <v>13</v>
      </c>
      <c r="F4" s="9" t="s">
        <v>12</v>
      </c>
      <c r="G4" s="9" t="s">
        <v>11</v>
      </c>
      <c r="H4" s="9" t="s">
        <v>10</v>
      </c>
      <c r="I4" s="9" t="s">
        <v>9</v>
      </c>
      <c r="J4" s="9" t="s">
        <v>8</v>
      </c>
      <c r="K4" s="9" t="s">
        <v>7</v>
      </c>
      <c r="L4" s="9" t="s">
        <v>6</v>
      </c>
      <c r="M4" s="9" t="s">
        <v>5</v>
      </c>
      <c r="N4" s="9" t="s">
        <v>4</v>
      </c>
    </row>
    <row r="5" spans="1:15">
      <c r="C5" s="196"/>
      <c r="D5" s="194"/>
      <c r="E5" s="194"/>
      <c r="F5" s="194"/>
      <c r="G5" s="195"/>
      <c r="H5" s="194"/>
      <c r="I5" s="194"/>
      <c r="J5" s="194"/>
      <c r="K5" s="194"/>
      <c r="L5" s="194"/>
      <c r="M5" s="194"/>
      <c r="N5" s="194"/>
    </row>
    <row r="6" spans="1:15" s="483" customFormat="1" ht="60.6" customHeight="1">
      <c r="A6" s="438" t="s">
        <v>1023</v>
      </c>
      <c r="B6" s="563" t="s">
        <v>1024</v>
      </c>
      <c r="C6" s="410" t="s">
        <v>1286</v>
      </c>
      <c r="D6" s="309" t="s">
        <v>1041</v>
      </c>
      <c r="E6" s="852" t="s">
        <v>1042</v>
      </c>
      <c r="F6" s="304" t="s">
        <v>422</v>
      </c>
      <c r="G6" s="313" t="s">
        <v>1</v>
      </c>
      <c r="H6" s="307" t="s">
        <v>652</v>
      </c>
      <c r="I6" s="307" t="s">
        <v>653</v>
      </c>
      <c r="J6" s="307" t="s">
        <v>1037</v>
      </c>
      <c r="K6" s="308" t="s">
        <v>748</v>
      </c>
      <c r="L6" s="312">
        <v>5000</v>
      </c>
      <c r="M6" s="306"/>
      <c r="N6" s="852"/>
    </row>
    <row r="7" spans="1:15" s="455" customFormat="1" ht="14.25" customHeight="1">
      <c r="A7" s="869"/>
      <c r="B7" s="454"/>
      <c r="C7" s="460"/>
      <c r="D7" s="460"/>
      <c r="E7" s="635"/>
      <c r="F7" s="528"/>
      <c r="G7" s="528"/>
      <c r="H7" s="484"/>
      <c r="I7" s="484"/>
      <c r="J7" s="460"/>
      <c r="K7" s="460"/>
      <c r="L7" s="655"/>
      <c r="M7" s="643"/>
      <c r="N7" s="642"/>
    </row>
    <row r="8" spans="1:15" s="455" customFormat="1" ht="39" customHeight="1">
      <c r="A8" s="438"/>
      <c r="B8" s="563"/>
      <c r="C8" s="410"/>
      <c r="D8" s="309"/>
      <c r="E8" s="852"/>
      <c r="F8" s="304"/>
      <c r="G8" s="304"/>
      <c r="H8" s="313"/>
      <c r="I8" s="307"/>
      <c r="J8" s="307"/>
      <c r="K8" s="307"/>
      <c r="L8" s="308"/>
      <c r="M8" s="312"/>
      <c r="N8" s="306"/>
      <c r="O8" s="852"/>
    </row>
    <row r="9" spans="1:15" s="455" customFormat="1" ht="14.25" customHeight="1">
      <c r="A9" s="869"/>
      <c r="B9" s="454"/>
      <c r="C9" s="471"/>
      <c r="D9" s="870"/>
      <c r="E9" s="460"/>
      <c r="F9" s="471"/>
      <c r="G9" s="477"/>
      <c r="H9" s="526"/>
      <c r="I9" s="526"/>
      <c r="J9" s="526"/>
      <c r="K9" s="471"/>
      <c r="L9" s="529"/>
      <c r="M9" s="471"/>
      <c r="N9" s="458"/>
    </row>
    <row r="10" spans="1:15" s="455" customFormat="1" ht="14.25" customHeight="1">
      <c r="A10" s="869"/>
      <c r="B10" s="454"/>
      <c r="C10" s="471"/>
      <c r="D10" s="870"/>
      <c r="E10" s="460"/>
      <c r="F10" s="870"/>
      <c r="G10" s="471"/>
      <c r="H10" s="477"/>
      <c r="I10" s="526"/>
      <c r="J10" s="526"/>
      <c r="K10" s="526"/>
      <c r="L10" s="471"/>
      <c r="M10" s="529"/>
      <c r="N10" s="471"/>
      <c r="O10" s="458"/>
    </row>
    <row r="11" spans="1:15" s="455" customFormat="1" ht="14.25" customHeight="1">
      <c r="A11" s="869"/>
      <c r="B11" s="454"/>
      <c r="C11" s="471"/>
      <c r="D11" s="630"/>
      <c r="E11" s="460"/>
      <c r="F11" s="630"/>
      <c r="G11" s="470"/>
      <c r="H11" s="471"/>
      <c r="I11" s="472"/>
      <c r="J11" s="472"/>
      <c r="K11" s="472"/>
      <c r="L11" s="471"/>
      <c r="M11" s="474"/>
      <c r="N11" s="474"/>
      <c r="O11" s="471"/>
    </row>
    <row r="12" spans="1:15" s="14" customFormat="1" ht="14.25" customHeight="1">
      <c r="A12" s="201"/>
      <c r="B12" s="202"/>
      <c r="C12" s="182"/>
      <c r="D12" s="183"/>
      <c r="E12" s="205"/>
      <c r="F12" s="183"/>
      <c r="G12" s="184"/>
      <c r="H12" s="185"/>
      <c r="I12" s="185"/>
      <c r="J12" s="185"/>
      <c r="K12" s="183"/>
      <c r="L12" s="192"/>
      <c r="M12" s="183"/>
      <c r="N12" s="193"/>
      <c r="O12" s="187"/>
    </row>
    <row r="13" spans="1:15" ht="14.25" customHeight="1">
      <c r="A13" s="206"/>
      <c r="B13" s="77"/>
      <c r="C13" s="58"/>
      <c r="D13" s="97"/>
      <c r="E13" s="97"/>
      <c r="F13" s="58"/>
      <c r="G13" s="59"/>
      <c r="H13" s="60"/>
      <c r="I13" s="60"/>
      <c r="J13" s="60"/>
      <c r="K13" s="58"/>
      <c r="L13" s="61"/>
      <c r="M13" s="58"/>
      <c r="N13" s="19"/>
      <c r="O13" s="62"/>
    </row>
    <row r="14" spans="1:15" ht="14.25" customHeight="1">
      <c r="A14" s="206"/>
      <c r="B14" s="77"/>
      <c r="C14" s="58"/>
      <c r="D14" s="78"/>
      <c r="E14" s="81"/>
      <c r="F14" s="58"/>
      <c r="G14" s="59"/>
      <c r="H14" s="60"/>
      <c r="I14" s="60"/>
      <c r="J14" s="60"/>
      <c r="K14" s="58"/>
      <c r="L14" s="61"/>
      <c r="M14" s="58"/>
      <c r="N14" s="19"/>
      <c r="O14" s="62"/>
    </row>
    <row r="15" spans="1:15" ht="14.25" customHeight="1">
      <c r="A15" s="206"/>
      <c r="B15" s="77"/>
      <c r="C15" s="58"/>
      <c r="D15" s="78"/>
      <c r="E15" s="81"/>
      <c r="F15" s="81"/>
      <c r="G15" s="58"/>
      <c r="H15" s="59"/>
      <c r="I15" s="60"/>
      <c r="J15" s="60"/>
      <c r="K15" s="60"/>
      <c r="L15" s="58"/>
      <c r="M15" s="61"/>
      <c r="N15" s="58"/>
      <c r="O15" s="62"/>
    </row>
    <row r="16" spans="1:15" ht="14.25" customHeight="1">
      <c r="A16" s="206"/>
      <c r="B16" s="77"/>
      <c r="C16" s="58"/>
      <c r="D16" s="90"/>
      <c r="E16" s="90"/>
      <c r="F16" s="90"/>
      <c r="G16" s="90"/>
      <c r="H16" s="91"/>
      <c r="I16" s="91"/>
      <c r="J16" s="91"/>
      <c r="K16" s="91"/>
      <c r="L16" s="92"/>
      <c r="M16" s="93"/>
      <c r="N16" s="91"/>
      <c r="O16" s="91"/>
    </row>
    <row r="17" spans="1:15" ht="14.25" customHeight="1">
      <c r="A17" s="125"/>
      <c r="B17" s="77"/>
      <c r="C17" s="125"/>
      <c r="D17" s="125"/>
      <c r="E17" s="207"/>
      <c r="F17" s="125"/>
      <c r="G17" s="126"/>
      <c r="H17" s="127"/>
      <c r="I17" s="127"/>
      <c r="J17" s="127"/>
      <c r="K17" s="125"/>
      <c r="L17" s="140"/>
      <c r="M17" s="125"/>
      <c r="N17" s="129"/>
    </row>
    <row r="18" spans="1:15" ht="14.25" customHeight="1">
      <c r="A18" s="125"/>
      <c r="B18" s="77"/>
      <c r="C18" s="125"/>
      <c r="D18" s="208"/>
      <c r="E18" s="19"/>
      <c r="F18" s="125"/>
      <c r="G18" s="126"/>
      <c r="H18" s="127"/>
      <c r="I18" s="127"/>
      <c r="J18" s="127"/>
      <c r="K18" s="125"/>
      <c r="L18" s="140"/>
      <c r="M18" s="125"/>
      <c r="N18" s="129"/>
    </row>
    <row r="19" spans="1:15" ht="14.25" customHeight="1">
      <c r="A19" s="125"/>
      <c r="B19" s="77"/>
      <c r="C19" s="125"/>
      <c r="D19" s="130"/>
      <c r="E19" s="209"/>
      <c r="F19" s="125"/>
      <c r="G19" s="126"/>
      <c r="H19" s="127"/>
      <c r="I19" s="127"/>
      <c r="J19" s="127"/>
      <c r="K19" s="125"/>
      <c r="L19" s="140"/>
      <c r="M19" s="125"/>
      <c r="N19" s="129"/>
    </row>
    <row r="20" spans="1:15" ht="14.25" customHeight="1">
      <c r="A20" s="125"/>
      <c r="B20" s="77"/>
      <c r="C20" s="125"/>
      <c r="D20" s="130"/>
      <c r="E20" s="209"/>
      <c r="F20" s="125"/>
      <c r="G20" s="126"/>
      <c r="H20" s="127"/>
      <c r="I20" s="127"/>
      <c r="J20" s="127"/>
      <c r="K20" s="125"/>
      <c r="L20" s="140"/>
      <c r="M20" s="125"/>
      <c r="N20" s="129"/>
    </row>
    <row r="21" spans="1:15" ht="14.25" customHeight="1">
      <c r="A21" s="125"/>
      <c r="B21" s="77"/>
      <c r="C21" s="125"/>
      <c r="D21" s="131"/>
      <c r="E21" s="210"/>
      <c r="F21" s="210"/>
      <c r="G21" s="125"/>
      <c r="H21" s="126"/>
      <c r="I21" s="127"/>
      <c r="J21" s="127"/>
      <c r="K21" s="127"/>
      <c r="L21" s="141"/>
      <c r="M21" s="128"/>
      <c r="N21" s="125"/>
      <c r="O21" s="129"/>
    </row>
    <row r="22" spans="1:15" ht="14.25" customHeight="1">
      <c r="A22" s="125"/>
      <c r="B22" s="77"/>
      <c r="C22" s="19"/>
      <c r="D22" s="131"/>
      <c r="E22" s="210"/>
      <c r="F22" s="210"/>
      <c r="G22" s="125"/>
      <c r="H22" s="126"/>
      <c r="I22" s="127"/>
      <c r="J22" s="127"/>
      <c r="K22" s="127"/>
      <c r="L22" s="141"/>
      <c r="M22" s="128"/>
      <c r="N22" s="125"/>
      <c r="O22" s="129"/>
    </row>
    <row r="23" spans="1:15" ht="27" customHeight="1">
      <c r="A23" s="125"/>
      <c r="B23" s="77"/>
      <c r="C23" s="86"/>
      <c r="D23" s="87"/>
      <c r="E23" s="211"/>
      <c r="F23" s="87"/>
      <c r="G23" s="88"/>
      <c r="H23" s="89"/>
      <c r="I23" s="89"/>
      <c r="J23" s="89"/>
      <c r="K23" s="87"/>
      <c r="L23" s="215">
        <f>SUM(L6:L22)</f>
        <v>5000</v>
      </c>
      <c r="M23" s="87"/>
      <c r="N23" s="19"/>
      <c r="O23" s="77"/>
    </row>
    <row r="24" spans="1:15" ht="14.25" customHeight="1">
      <c r="A24" s="125"/>
      <c r="B24" s="77"/>
      <c r="C24" s="58"/>
      <c r="D24" s="97"/>
      <c r="E24" s="97"/>
      <c r="F24" s="58"/>
      <c r="G24" s="59"/>
      <c r="H24" s="60"/>
      <c r="I24" s="60"/>
      <c r="J24" s="60"/>
      <c r="K24" s="58"/>
      <c r="L24" s="64"/>
      <c r="M24" s="58"/>
      <c r="N24" s="19"/>
      <c r="O24" s="62"/>
    </row>
    <row r="25" spans="1:15" ht="14.25" customHeight="1">
      <c r="A25" s="197"/>
      <c r="B25" s="63"/>
      <c r="C25" s="110"/>
      <c r="D25" s="198"/>
      <c r="E25" s="199"/>
      <c r="F25" s="110"/>
      <c r="G25" s="111"/>
      <c r="H25" s="112"/>
      <c r="I25" s="112"/>
      <c r="J25" s="112"/>
      <c r="K25" s="110"/>
      <c r="L25" s="200"/>
      <c r="M25" s="58"/>
      <c r="N25" s="19"/>
      <c r="O25" s="62"/>
    </row>
    <row r="26" spans="1:15" ht="14.25" customHeight="1">
      <c r="A26" s="125"/>
      <c r="B26" s="63"/>
      <c r="C26" s="58"/>
      <c r="D26" s="78"/>
      <c r="E26" s="79"/>
      <c r="F26" s="58"/>
      <c r="G26" s="59"/>
      <c r="H26" s="60"/>
      <c r="I26" s="60"/>
      <c r="J26" s="60"/>
      <c r="K26" s="58"/>
      <c r="L26" s="64"/>
      <c r="M26" s="58"/>
      <c r="N26" s="19"/>
      <c r="O26" s="62"/>
    </row>
    <row r="27" spans="1:15" ht="14.25" customHeight="1">
      <c r="A27" s="125"/>
      <c r="B27" s="63"/>
      <c r="C27" s="58"/>
      <c r="D27" s="78"/>
      <c r="E27" s="79"/>
      <c r="F27" s="58"/>
      <c r="G27" s="59"/>
      <c r="H27" s="60"/>
      <c r="I27" s="60"/>
      <c r="J27" s="60"/>
      <c r="K27" s="58"/>
      <c r="L27" s="64"/>
      <c r="M27" s="58"/>
      <c r="N27" s="19"/>
      <c r="O27" s="62"/>
    </row>
    <row r="28" spans="1:15" ht="14.25" customHeight="1">
      <c r="A28" s="125"/>
      <c r="B28" s="63"/>
      <c r="C28" s="58"/>
      <c r="D28" s="90"/>
      <c r="E28" s="94"/>
      <c r="F28" s="90"/>
      <c r="G28" s="90"/>
      <c r="H28" s="91"/>
      <c r="I28" s="91"/>
      <c r="J28" s="91"/>
      <c r="K28" s="91"/>
      <c r="L28" s="101"/>
      <c r="M28" s="93"/>
      <c r="N28" s="91"/>
      <c r="O28" s="91"/>
    </row>
    <row r="29" spans="1:15" ht="14.25" customHeight="1">
      <c r="A29" s="125"/>
      <c r="B29" s="63"/>
      <c r="C29" s="58"/>
      <c r="D29" s="90"/>
      <c r="E29" s="94"/>
      <c r="F29" s="90"/>
      <c r="G29" s="90"/>
      <c r="H29" s="91"/>
      <c r="I29" s="91"/>
      <c r="J29" s="91"/>
      <c r="K29" s="91"/>
      <c r="L29" s="101"/>
      <c r="M29" s="93"/>
      <c r="N29" s="91"/>
      <c r="O29" s="124"/>
    </row>
    <row r="30" spans="1:15" ht="22.5" customHeight="1">
      <c r="A30" s="125"/>
      <c r="B30" s="63"/>
      <c r="C30" s="86"/>
      <c r="D30" s="87"/>
      <c r="E30" s="95"/>
      <c r="F30" s="87"/>
      <c r="G30" s="88"/>
      <c r="H30" s="89"/>
      <c r="I30" s="89"/>
      <c r="J30" s="89"/>
      <c r="K30" s="87"/>
      <c r="L30" s="98"/>
      <c r="M30" s="87"/>
      <c r="N30" s="19"/>
      <c r="O30" s="77"/>
    </row>
    <row r="31" spans="1:15" ht="14.25" customHeight="1">
      <c r="A31" s="125"/>
      <c r="B31" s="63"/>
      <c r="C31" s="58"/>
      <c r="D31" s="96"/>
      <c r="E31" s="97"/>
      <c r="F31" s="58"/>
      <c r="G31" s="59"/>
      <c r="H31" s="60"/>
      <c r="I31" s="60"/>
      <c r="J31" s="60"/>
      <c r="K31" s="58"/>
      <c r="L31" s="64"/>
      <c r="M31" s="58"/>
      <c r="N31" s="19"/>
      <c r="O31" s="62"/>
    </row>
    <row r="32" spans="1:15" ht="14.25" customHeight="1">
      <c r="A32" s="125"/>
      <c r="B32" s="63"/>
      <c r="C32" s="58"/>
      <c r="D32" s="79"/>
      <c r="E32" s="81"/>
      <c r="F32" s="58"/>
      <c r="G32" s="59"/>
      <c r="H32" s="60"/>
      <c r="I32" s="60"/>
      <c r="J32" s="60"/>
      <c r="K32" s="58"/>
      <c r="L32" s="64"/>
      <c r="M32" s="58"/>
      <c r="N32" s="19"/>
      <c r="O32" s="62"/>
    </row>
    <row r="33" spans="1:15">
      <c r="A33" s="125"/>
      <c r="B33" s="63"/>
      <c r="C33" s="58"/>
      <c r="D33" s="79"/>
      <c r="E33" s="81"/>
      <c r="F33" s="58"/>
      <c r="G33" s="59"/>
      <c r="H33" s="60"/>
      <c r="I33" s="60"/>
      <c r="J33" s="60"/>
      <c r="K33" s="58"/>
      <c r="L33" s="64"/>
      <c r="M33" s="58"/>
      <c r="N33" s="19"/>
      <c r="O33" s="62"/>
    </row>
    <row r="34" spans="1:15">
      <c r="A34" s="125"/>
      <c r="B34" s="63"/>
      <c r="C34" s="58"/>
      <c r="D34" s="78"/>
      <c r="E34" s="79"/>
      <c r="F34" s="58"/>
      <c r="G34" s="59"/>
      <c r="H34" s="60"/>
      <c r="I34" s="60"/>
      <c r="J34" s="60"/>
      <c r="K34" s="58"/>
      <c r="L34" s="64"/>
      <c r="M34" s="58"/>
      <c r="N34" s="19"/>
      <c r="O34" s="62"/>
    </row>
    <row r="35" spans="1:15">
      <c r="C35" s="58"/>
      <c r="D35" s="90"/>
      <c r="E35" s="94"/>
      <c r="F35" s="90"/>
      <c r="G35" s="91"/>
      <c r="H35" s="91"/>
      <c r="I35" s="91"/>
      <c r="J35" s="91"/>
      <c r="K35" s="92"/>
      <c r="L35" s="101"/>
      <c r="M35" s="91"/>
      <c r="N35" s="19"/>
      <c r="O35" s="91"/>
    </row>
    <row r="36" spans="1:15">
      <c r="A36" s="125"/>
      <c r="B36" s="63"/>
      <c r="C36" s="86"/>
      <c r="D36" s="87"/>
      <c r="E36" s="95"/>
      <c r="F36" s="87"/>
      <c r="G36" s="88"/>
      <c r="H36" s="89"/>
      <c r="I36" s="89"/>
      <c r="J36" s="89"/>
      <c r="K36" s="87"/>
      <c r="L36" s="98"/>
      <c r="M36" s="87"/>
      <c r="N36" s="19"/>
      <c r="O36" s="77"/>
    </row>
    <row r="37" spans="1:15">
      <c r="A37" s="125"/>
      <c r="B37" s="63"/>
      <c r="C37" s="58"/>
      <c r="D37" s="96"/>
      <c r="E37" s="96"/>
      <c r="F37" s="58"/>
      <c r="G37" s="59"/>
      <c r="H37" s="60"/>
      <c r="I37" s="60"/>
      <c r="J37" s="60"/>
      <c r="K37" s="58"/>
      <c r="L37" s="64"/>
      <c r="M37" s="58"/>
      <c r="N37" s="19"/>
      <c r="O37" s="62"/>
    </row>
    <row r="38" spans="1:15">
      <c r="A38" s="125"/>
      <c r="B38" s="63"/>
      <c r="C38" s="58"/>
      <c r="D38" s="78"/>
      <c r="E38" s="79"/>
      <c r="F38" s="80"/>
      <c r="G38" s="58"/>
      <c r="H38" s="59"/>
      <c r="I38" s="60"/>
      <c r="J38" s="60"/>
      <c r="K38" s="60"/>
      <c r="L38" s="100"/>
      <c r="M38" s="61"/>
      <c r="N38" s="58"/>
      <c r="O38" s="62"/>
    </row>
    <row r="39" spans="1:15">
      <c r="A39" s="125"/>
      <c r="B39" s="63"/>
      <c r="C39" s="58"/>
      <c r="D39" s="78"/>
      <c r="E39" s="79"/>
      <c r="F39" s="80"/>
      <c r="G39" s="58"/>
      <c r="H39" s="59"/>
      <c r="I39" s="60"/>
      <c r="J39" s="60"/>
      <c r="K39" s="60"/>
      <c r="L39" s="100"/>
      <c r="M39" s="61"/>
      <c r="N39" s="58"/>
      <c r="O39" s="62"/>
    </row>
    <row r="40" spans="1:15">
      <c r="A40" s="125"/>
      <c r="B40" s="63"/>
      <c r="C40" s="58"/>
      <c r="D40" s="78"/>
      <c r="E40" s="79"/>
      <c r="F40" s="80"/>
      <c r="G40" s="58"/>
      <c r="H40" s="59"/>
      <c r="I40" s="60"/>
      <c r="J40" s="60"/>
      <c r="K40" s="60"/>
      <c r="L40" s="100"/>
      <c r="M40" s="61"/>
      <c r="N40" s="58"/>
      <c r="O40" s="62"/>
    </row>
    <row r="41" spans="1:15">
      <c r="A41" s="125"/>
      <c r="B41" s="63"/>
      <c r="C41" s="58"/>
      <c r="D41" s="90"/>
      <c r="E41" s="94"/>
      <c r="F41" s="90"/>
      <c r="G41" s="90"/>
      <c r="H41" s="91"/>
      <c r="I41" s="91"/>
      <c r="J41" s="91"/>
      <c r="K41" s="91"/>
      <c r="L41" s="101"/>
      <c r="M41" s="93"/>
      <c r="N41" s="91"/>
      <c r="O41" s="124"/>
    </row>
    <row r="42" spans="1:15">
      <c r="A42" s="125"/>
      <c r="B42" s="63"/>
      <c r="C42" s="86"/>
      <c r="D42" s="87"/>
      <c r="E42" s="95"/>
      <c r="F42" s="87"/>
      <c r="G42" s="88"/>
      <c r="H42" s="89"/>
      <c r="I42" s="89"/>
      <c r="J42" s="89"/>
      <c r="K42" s="87"/>
      <c r="L42" s="98"/>
      <c r="M42" s="87"/>
      <c r="N42" s="19"/>
      <c r="O42" s="77"/>
    </row>
    <row r="43" spans="1:15">
      <c r="A43" s="125"/>
      <c r="B43" s="63"/>
      <c r="C43" s="58"/>
      <c r="D43" s="138"/>
      <c r="E43" s="96"/>
      <c r="F43" s="58"/>
      <c r="G43" s="59"/>
      <c r="H43" s="60"/>
      <c r="I43" s="60"/>
      <c r="J43" s="60"/>
      <c r="K43" s="58"/>
      <c r="L43" s="64"/>
      <c r="M43" s="58"/>
      <c r="N43" s="19"/>
      <c r="O43" s="62"/>
    </row>
    <row r="44" spans="1:15">
      <c r="A44" s="125"/>
      <c r="B44" s="63"/>
      <c r="C44" s="58"/>
      <c r="D44" s="79"/>
      <c r="E44" s="79"/>
      <c r="F44" s="58"/>
      <c r="G44" s="59"/>
      <c r="H44" s="60"/>
      <c r="I44" s="60"/>
      <c r="J44" s="60"/>
      <c r="K44" s="58"/>
      <c r="L44" s="64"/>
      <c r="M44" s="58"/>
      <c r="N44" s="19"/>
      <c r="O44" s="62"/>
    </row>
    <row r="45" spans="1:15">
      <c r="A45" s="125"/>
      <c r="B45" s="63"/>
      <c r="C45" s="58"/>
      <c r="D45" s="78"/>
      <c r="E45" s="79"/>
      <c r="F45" s="80"/>
      <c r="G45" s="58"/>
      <c r="H45" s="59"/>
      <c r="I45" s="60"/>
      <c r="J45" s="60"/>
      <c r="K45" s="60"/>
      <c r="L45" s="100"/>
      <c r="M45" s="61"/>
      <c r="N45" s="58"/>
      <c r="O45" s="62"/>
    </row>
    <row r="46" spans="1:15">
      <c r="A46" s="125"/>
      <c r="B46" s="63"/>
      <c r="C46" s="58"/>
      <c r="D46" s="78"/>
      <c r="E46" s="79"/>
      <c r="F46" s="80"/>
      <c r="G46" s="58"/>
      <c r="H46" s="59"/>
      <c r="I46" s="60"/>
      <c r="J46" s="60"/>
      <c r="K46" s="60"/>
      <c r="L46" s="100"/>
      <c r="M46" s="61"/>
      <c r="N46" s="58"/>
      <c r="O46" s="62"/>
    </row>
    <row r="47" spans="1:15">
      <c r="C47" s="58"/>
      <c r="D47" s="90"/>
      <c r="E47" s="94"/>
      <c r="F47" s="90"/>
      <c r="G47" s="90"/>
      <c r="H47" s="91"/>
      <c r="I47" s="91"/>
      <c r="J47" s="91"/>
      <c r="K47" s="91"/>
      <c r="L47" s="101"/>
      <c r="M47" s="93"/>
      <c r="N47" s="91"/>
      <c r="O47" s="124"/>
    </row>
    <row r="48" spans="1:15">
      <c r="C48" s="58"/>
      <c r="D48" s="90"/>
      <c r="E48" s="94"/>
      <c r="F48" s="90"/>
      <c r="G48" s="90"/>
      <c r="H48" s="91"/>
      <c r="I48" s="91"/>
      <c r="J48" s="91"/>
      <c r="K48" s="91"/>
      <c r="L48" s="101"/>
      <c r="M48" s="93"/>
      <c r="N48" s="91"/>
      <c r="O48" s="124"/>
    </row>
    <row r="49" spans="1:15">
      <c r="A49" s="125"/>
      <c r="B49" s="63"/>
      <c r="C49" s="86"/>
      <c r="D49" s="87"/>
      <c r="E49" s="86"/>
      <c r="F49" s="87"/>
      <c r="G49" s="88"/>
      <c r="H49" s="89"/>
      <c r="I49" s="89"/>
      <c r="J49" s="89"/>
      <c r="K49" s="87"/>
      <c r="L49" s="98"/>
      <c r="M49" s="87"/>
      <c r="N49" s="77"/>
    </row>
    <row r="50" spans="1:15">
      <c r="A50" s="125"/>
      <c r="B50" s="63"/>
      <c r="C50" s="58"/>
      <c r="D50" s="139"/>
      <c r="E50" s="19"/>
      <c r="F50" s="58"/>
      <c r="G50" s="59"/>
      <c r="H50" s="60"/>
      <c r="I50" s="60"/>
      <c r="J50" s="60"/>
      <c r="K50" s="58"/>
      <c r="L50" s="64"/>
      <c r="M50" s="58"/>
      <c r="N50" s="62"/>
    </row>
    <row r="51" spans="1:15">
      <c r="A51" s="125"/>
      <c r="B51" s="63"/>
      <c r="C51" s="58"/>
      <c r="D51" s="81"/>
      <c r="E51" s="19"/>
      <c r="F51" s="81"/>
      <c r="G51" s="58"/>
      <c r="H51" s="59"/>
      <c r="I51" s="60"/>
      <c r="J51" s="60"/>
      <c r="K51" s="60"/>
      <c r="L51" s="58"/>
      <c r="M51" s="61"/>
      <c r="N51" s="58"/>
      <c r="O51" s="62"/>
    </row>
    <row r="52" spans="1:15">
      <c r="A52" s="125"/>
      <c r="B52" s="63"/>
      <c r="C52" s="58"/>
      <c r="D52" s="78"/>
      <c r="E52" s="81"/>
      <c r="F52" s="81"/>
      <c r="G52" s="58"/>
      <c r="H52" s="59"/>
      <c r="I52" s="60"/>
      <c r="J52" s="60"/>
      <c r="K52" s="60"/>
      <c r="L52" s="58"/>
      <c r="M52" s="61"/>
      <c r="N52" s="58"/>
      <c r="O52" s="62"/>
    </row>
    <row r="53" spans="1:15">
      <c r="A53" s="125"/>
      <c r="B53" s="63"/>
      <c r="C53" s="58"/>
      <c r="D53" s="78"/>
      <c r="E53" s="81"/>
      <c r="F53" s="81"/>
      <c r="G53" s="58"/>
      <c r="H53" s="59"/>
      <c r="I53" s="60"/>
      <c r="J53" s="60"/>
      <c r="K53" s="60"/>
      <c r="L53" s="58"/>
      <c r="M53" s="61"/>
      <c r="N53" s="58"/>
      <c r="O53" s="62"/>
    </row>
    <row r="54" spans="1:15">
      <c r="C54" s="58"/>
      <c r="D54" s="90"/>
      <c r="E54" s="94"/>
      <c r="F54" s="90"/>
      <c r="G54" s="90"/>
      <c r="H54" s="91"/>
      <c r="I54" s="91"/>
      <c r="J54" s="91"/>
      <c r="K54" s="91"/>
      <c r="L54" s="92"/>
      <c r="M54" s="93"/>
      <c r="N54" s="91"/>
      <c r="O54" s="124"/>
    </row>
    <row r="55" spans="1:15">
      <c r="A55" s="58"/>
      <c r="B55" s="63"/>
      <c r="C55" s="86"/>
      <c r="D55" s="87"/>
      <c r="E55" s="95"/>
      <c r="F55" s="87"/>
      <c r="G55" s="88"/>
      <c r="H55" s="89"/>
      <c r="I55" s="89"/>
      <c r="J55" s="89"/>
      <c r="K55" s="87"/>
      <c r="L55" s="123"/>
      <c r="M55" s="87"/>
      <c r="O55" s="77"/>
    </row>
    <row r="56" spans="1:15">
      <c r="A56" s="58"/>
      <c r="B56" s="63"/>
      <c r="C56" s="58"/>
      <c r="D56" s="96"/>
      <c r="E56" s="19"/>
      <c r="F56" s="109"/>
      <c r="G56" s="59"/>
      <c r="H56" s="60"/>
      <c r="I56" s="60"/>
      <c r="J56" s="60"/>
      <c r="K56" s="58"/>
      <c r="L56" s="61"/>
      <c r="M56" s="58"/>
      <c r="O56" s="62"/>
    </row>
    <row r="57" spans="1:15">
      <c r="A57" s="58"/>
      <c r="B57" s="63"/>
      <c r="C57" s="58"/>
      <c r="D57" s="79"/>
      <c r="E57" s="19"/>
      <c r="F57" s="109"/>
      <c r="G57" s="59"/>
      <c r="H57" s="60"/>
      <c r="I57" s="60"/>
      <c r="J57" s="60"/>
      <c r="K57" s="58"/>
      <c r="L57" s="61"/>
      <c r="M57" s="58"/>
      <c r="O57" s="62"/>
    </row>
    <row r="58" spans="1:15">
      <c r="A58" s="58"/>
      <c r="B58" s="63"/>
      <c r="C58" s="58"/>
      <c r="D58" s="79"/>
      <c r="E58" s="19"/>
      <c r="F58" s="80"/>
      <c r="G58" s="58"/>
      <c r="H58" s="59"/>
      <c r="I58" s="60"/>
      <c r="J58" s="60"/>
      <c r="K58" s="60"/>
      <c r="L58" s="58"/>
      <c r="M58" s="61"/>
      <c r="N58" s="58"/>
      <c r="O58" s="62"/>
    </row>
    <row r="59" spans="1:15">
      <c r="A59" s="58"/>
      <c r="B59" s="63"/>
      <c r="C59" s="58"/>
      <c r="D59" s="78"/>
      <c r="E59" s="79"/>
      <c r="F59" s="81"/>
      <c r="G59" s="58"/>
      <c r="H59" s="59"/>
      <c r="I59" s="60"/>
      <c r="J59" s="60"/>
      <c r="K59" s="60"/>
      <c r="L59" s="58"/>
      <c r="M59" s="61"/>
      <c r="N59" s="58"/>
      <c r="O59" s="62"/>
    </row>
    <row r="60" spans="1:15">
      <c r="D60" s="90"/>
      <c r="E60" s="94"/>
      <c r="F60" s="90"/>
      <c r="G60" s="90"/>
      <c r="H60" s="91"/>
      <c r="I60" s="91"/>
      <c r="J60" s="91"/>
      <c r="K60" s="91"/>
      <c r="L60" s="92"/>
      <c r="M60" s="93"/>
      <c r="N60" s="91"/>
      <c r="O60" s="91"/>
    </row>
    <row r="61" spans="1:15">
      <c r="C61" s="58"/>
      <c r="D61" s="90"/>
      <c r="E61" s="94"/>
      <c r="F61" s="90"/>
      <c r="G61" s="90"/>
      <c r="H61" s="91"/>
      <c r="I61" s="91"/>
      <c r="J61" s="91"/>
      <c r="K61" s="91"/>
      <c r="L61" s="92"/>
      <c r="M61" s="93"/>
      <c r="N61" s="91"/>
      <c r="O61" s="124"/>
    </row>
    <row r="62" spans="1:15">
      <c r="C62" s="58"/>
      <c r="D62" s="90"/>
      <c r="E62" s="94"/>
      <c r="F62" s="90"/>
      <c r="G62" s="90"/>
      <c r="H62" s="91"/>
      <c r="I62" s="91"/>
      <c r="J62" s="91"/>
      <c r="K62" s="91"/>
      <c r="L62" s="92"/>
      <c r="M62" s="93"/>
      <c r="N62" s="91"/>
      <c r="O62" s="124"/>
    </row>
    <row r="63" spans="1:15">
      <c r="C63" s="58"/>
      <c r="D63" s="90"/>
      <c r="E63" s="94"/>
      <c r="F63" s="90"/>
      <c r="G63" s="90"/>
      <c r="H63" s="91"/>
      <c r="I63" s="91"/>
      <c r="J63" s="91"/>
      <c r="K63" s="91"/>
      <c r="L63" s="92"/>
      <c r="M63" s="93"/>
      <c r="N63" s="91"/>
      <c r="O63" s="124"/>
    </row>
    <row r="64" spans="1:15">
      <c r="C64" s="58"/>
      <c r="D64" s="90"/>
      <c r="E64" s="94"/>
      <c r="F64" s="90"/>
      <c r="G64" s="90"/>
      <c r="H64" s="91"/>
      <c r="I64" s="91"/>
      <c r="J64" s="91"/>
      <c r="K64" s="91"/>
      <c r="L64" s="92"/>
      <c r="M64" s="93"/>
      <c r="N64" s="91"/>
      <c r="O64" s="124"/>
    </row>
    <row r="65" spans="3:15">
      <c r="C65" s="58"/>
      <c r="D65" s="90"/>
      <c r="E65" s="94"/>
      <c r="F65" s="90"/>
      <c r="G65" s="90"/>
      <c r="H65" s="91"/>
      <c r="I65" s="91"/>
      <c r="J65" s="91"/>
      <c r="K65" s="91"/>
      <c r="L65" s="92"/>
      <c r="M65" s="93"/>
      <c r="N65" s="91"/>
      <c r="O65" s="124"/>
    </row>
    <row r="66" spans="3:15">
      <c r="C66" s="58"/>
      <c r="D66" s="90"/>
      <c r="E66" s="94"/>
      <c r="F66" s="90"/>
      <c r="G66" s="90"/>
      <c r="H66" s="91"/>
      <c r="I66" s="91"/>
      <c r="J66" s="91"/>
      <c r="K66" s="91"/>
      <c r="L66" s="92"/>
      <c r="M66" s="93"/>
      <c r="N66" s="91"/>
      <c r="O66" s="124"/>
    </row>
    <row r="67" spans="3:15">
      <c r="C67" s="58"/>
      <c r="D67" s="90"/>
      <c r="E67" s="94"/>
      <c r="F67" s="90"/>
      <c r="G67" s="90"/>
      <c r="H67" s="91"/>
      <c r="I67" s="91"/>
      <c r="J67" s="91"/>
      <c r="K67" s="91"/>
      <c r="L67" s="92"/>
      <c r="M67" s="93"/>
      <c r="N67" s="91"/>
      <c r="O67" s="124"/>
    </row>
    <row r="68" spans="3:15">
      <c r="C68" s="58"/>
      <c r="D68" s="90"/>
      <c r="E68" s="94"/>
      <c r="F68" s="90"/>
      <c r="G68" s="90"/>
      <c r="H68" s="91"/>
      <c r="I68" s="91"/>
      <c r="J68" s="91"/>
      <c r="K68" s="91"/>
      <c r="L68" s="92"/>
      <c r="M68" s="93"/>
      <c r="N68" s="91"/>
      <c r="O68" s="124"/>
    </row>
    <row r="69" spans="3:15">
      <c r="C69" s="58"/>
      <c r="D69" s="90"/>
      <c r="E69" s="94"/>
      <c r="F69" s="90"/>
      <c r="G69" s="90"/>
      <c r="H69" s="91"/>
      <c r="I69" s="91"/>
      <c r="J69" s="91"/>
      <c r="K69" s="91"/>
      <c r="L69" s="92"/>
      <c r="M69" s="93"/>
      <c r="N69" s="91"/>
      <c r="O69" s="124"/>
    </row>
    <row r="70" spans="3:15">
      <c r="C70" s="8"/>
      <c r="D70" s="8"/>
      <c r="E70" s="7"/>
      <c r="F70" s="6"/>
      <c r="G70" s="6"/>
      <c r="H70" s="5"/>
      <c r="I70" s="5"/>
      <c r="J70" s="5"/>
      <c r="K70" s="6"/>
      <c r="L70" s="4"/>
      <c r="M70" s="6"/>
      <c r="N70" s="2"/>
    </row>
    <row r="71" spans="3:15">
      <c r="C71" s="8"/>
      <c r="D71" s="8"/>
      <c r="E71" s="7"/>
      <c r="F71" s="6"/>
      <c r="G71" s="6"/>
      <c r="H71" s="5"/>
      <c r="I71" s="5"/>
      <c r="J71" s="5"/>
      <c r="K71" s="6"/>
      <c r="L71" s="4"/>
      <c r="M71" s="6"/>
      <c r="N71" s="2"/>
    </row>
    <row r="72" spans="3:15">
      <c r="C72" s="8"/>
      <c r="D72" s="8"/>
      <c r="E72" s="7"/>
      <c r="F72" s="6"/>
      <c r="G72" s="6"/>
      <c r="H72" s="5"/>
      <c r="I72" s="5"/>
      <c r="J72" s="5"/>
      <c r="K72" s="6"/>
      <c r="L72" s="4"/>
      <c r="M72" s="6"/>
      <c r="N72" s="2"/>
    </row>
    <row r="73" spans="3:15">
      <c r="C73" s="8"/>
      <c r="D73" s="8"/>
      <c r="E73" s="7"/>
      <c r="F73" s="6"/>
      <c r="G73" s="6"/>
      <c r="H73" s="5"/>
      <c r="I73" s="5"/>
      <c r="J73" s="5"/>
      <c r="K73" s="6"/>
      <c r="L73" s="4"/>
      <c r="M73" s="6"/>
      <c r="N73" s="2"/>
    </row>
    <row r="74" spans="3:15">
      <c r="C74" s="8"/>
      <c r="D74" s="8"/>
      <c r="E74" s="7"/>
      <c r="F74" s="6"/>
      <c r="G74" s="6"/>
      <c r="H74" s="5"/>
      <c r="I74" s="5"/>
      <c r="J74" s="5"/>
      <c r="K74" s="6"/>
      <c r="L74" s="4"/>
      <c r="M74" s="6"/>
      <c r="N74" s="2"/>
    </row>
    <row r="75" spans="3:15">
      <c r="C75" s="8"/>
      <c r="D75" s="8"/>
      <c r="E75" s="7"/>
      <c r="F75" s="6"/>
      <c r="G75" s="6"/>
      <c r="H75" s="5"/>
      <c r="I75" s="5"/>
      <c r="J75" s="5"/>
      <c r="K75" s="6"/>
      <c r="L75" s="4"/>
      <c r="M75" s="6"/>
      <c r="N75" s="2"/>
    </row>
    <row r="76" spans="3:15">
      <c r="C76" s="8"/>
      <c r="D76" s="8"/>
      <c r="E76" s="7"/>
      <c r="F76" s="6"/>
      <c r="G76" s="6"/>
      <c r="H76" s="5"/>
      <c r="I76" s="5"/>
      <c r="J76" s="5"/>
      <c r="K76" s="6"/>
      <c r="L76" s="4"/>
      <c r="M76" s="6"/>
      <c r="N76" s="2"/>
    </row>
    <row r="77" spans="3:15">
      <c r="C77" s="8"/>
      <c r="D77" s="8"/>
      <c r="E77" s="7"/>
      <c r="F77" s="6"/>
      <c r="G77" s="6"/>
      <c r="H77" s="5"/>
      <c r="I77" s="5"/>
      <c r="J77" s="5"/>
      <c r="K77" s="6"/>
      <c r="L77" s="108"/>
      <c r="M77" s="6"/>
      <c r="N77" s="2"/>
    </row>
    <row r="78" spans="3:15">
      <c r="C78" s="8"/>
      <c r="D78" s="8"/>
      <c r="E78" s="7"/>
      <c r="F78" s="6"/>
      <c r="G78" s="6"/>
      <c r="H78" s="5"/>
      <c r="I78" s="5"/>
      <c r="J78" s="5"/>
      <c r="K78" s="6"/>
      <c r="L78" s="4"/>
      <c r="M78" s="6"/>
      <c r="N78" s="2"/>
    </row>
    <row r="79" spans="3:15">
      <c r="C79" s="8"/>
      <c r="D79" s="8"/>
      <c r="E79" s="7"/>
      <c r="F79" s="6"/>
      <c r="G79" s="6"/>
      <c r="H79" s="5"/>
      <c r="I79" s="5"/>
      <c r="J79" s="5"/>
      <c r="K79" s="6"/>
      <c r="L79" s="4"/>
      <c r="M79" s="6"/>
      <c r="N79" s="2"/>
    </row>
    <row r="80" spans="3:15">
      <c r="C80" s="8"/>
      <c r="D80" s="8"/>
      <c r="E80" s="7"/>
      <c r="F80" s="6"/>
      <c r="G80" s="6"/>
      <c r="H80" s="5"/>
      <c r="I80" s="5"/>
      <c r="J80" s="5"/>
      <c r="K80" s="6"/>
      <c r="L80" s="4"/>
      <c r="M80" s="6"/>
      <c r="N80" s="2"/>
    </row>
    <row r="81" spans="3:14">
      <c r="C81" s="8"/>
      <c r="D81" s="8"/>
      <c r="E81" s="7"/>
      <c r="F81" s="6"/>
      <c r="G81" s="6"/>
      <c r="H81" s="5"/>
      <c r="I81" s="5"/>
      <c r="J81" s="5"/>
      <c r="K81" s="6"/>
      <c r="L81" s="4"/>
      <c r="M81" s="6"/>
      <c r="N81" s="2"/>
    </row>
    <row r="82" spans="3:14">
      <c r="C82" s="8"/>
      <c r="D82" s="8"/>
      <c r="E82" s="7"/>
      <c r="F82" s="6"/>
      <c r="G82" s="6"/>
      <c r="H82" s="5"/>
      <c r="I82" s="5"/>
      <c r="J82" s="5"/>
      <c r="K82" s="6"/>
      <c r="L82" s="4"/>
      <c r="M82" s="6"/>
      <c r="N82" s="2"/>
    </row>
    <row r="83" spans="3:14" ht="14.25" customHeight="1">
      <c r="C83" s="8"/>
      <c r="D83" s="8"/>
      <c r="E83" s="7"/>
      <c r="F83" s="6"/>
      <c r="G83" s="6"/>
      <c r="H83" s="5"/>
      <c r="I83" s="5"/>
      <c r="J83" s="5"/>
      <c r="K83" s="6"/>
      <c r="L83" s="4"/>
      <c r="M83" s="6"/>
      <c r="N83" s="2"/>
    </row>
    <row r="84" spans="3:14" ht="14.25" customHeight="1">
      <c r="C84" s="8"/>
      <c r="D84" s="8"/>
      <c r="E84" s="7"/>
      <c r="F84" s="6"/>
      <c r="G84" s="6"/>
      <c r="H84" s="5"/>
      <c r="I84" s="5"/>
      <c r="J84" s="5"/>
      <c r="K84" s="6"/>
      <c r="L84" s="4"/>
      <c r="M84" s="6"/>
      <c r="N84" s="2"/>
    </row>
    <row r="85" spans="3:14" ht="14.25" customHeight="1">
      <c r="C85" s="8"/>
      <c r="D85" s="8"/>
      <c r="E85" s="7"/>
      <c r="F85" s="6"/>
      <c r="G85" s="6"/>
      <c r="H85" s="5"/>
      <c r="I85" s="5"/>
      <c r="J85" s="5"/>
      <c r="K85" s="6"/>
      <c r="L85" s="4"/>
      <c r="M85" s="6"/>
      <c r="N85" s="2"/>
    </row>
    <row r="86" spans="3:14" ht="14.25" customHeight="1">
      <c r="C86" s="8"/>
      <c r="D86" s="8"/>
      <c r="E86" s="7"/>
      <c r="F86" s="6"/>
      <c r="G86" s="6"/>
      <c r="H86" s="5"/>
      <c r="I86" s="5"/>
      <c r="J86" s="5"/>
      <c r="K86" s="6"/>
      <c r="L86" s="4"/>
      <c r="M86" s="6"/>
      <c r="N86" s="2"/>
    </row>
    <row r="87" spans="3:14" ht="14.25" customHeight="1">
      <c r="C87" s="8"/>
      <c r="D87" s="8"/>
      <c r="E87" s="7"/>
      <c r="F87" s="6"/>
      <c r="G87" s="6"/>
      <c r="H87" s="5"/>
      <c r="I87" s="5"/>
      <c r="J87" s="5"/>
      <c r="K87" s="6"/>
      <c r="L87" s="4"/>
      <c r="M87" s="6"/>
      <c r="N87" s="2"/>
    </row>
    <row r="88" spans="3:14" ht="14.25" customHeight="1">
      <c r="C88" s="8"/>
      <c r="D88" s="8"/>
      <c r="E88" s="7"/>
      <c r="F88" s="6"/>
      <c r="G88" s="6"/>
      <c r="H88" s="5"/>
      <c r="I88" s="5"/>
      <c r="J88" s="5"/>
      <c r="K88" s="6"/>
      <c r="L88" s="4"/>
      <c r="M88" s="6"/>
      <c r="N88" s="2"/>
    </row>
    <row r="89" spans="3:14" ht="14.25" customHeight="1">
      <c r="C89" s="8"/>
      <c r="D89" s="8"/>
      <c r="E89" s="7"/>
      <c r="F89" s="6"/>
      <c r="G89" s="6"/>
      <c r="H89" s="5"/>
      <c r="I89" s="5"/>
      <c r="J89" s="5"/>
      <c r="K89" s="6"/>
      <c r="L89" s="4"/>
      <c r="M89" s="6"/>
      <c r="N89" s="2"/>
    </row>
    <row r="90" spans="3:14" ht="14.25" customHeight="1">
      <c r="C90" s="8"/>
      <c r="D90" s="8"/>
      <c r="E90" s="7"/>
      <c r="F90" s="6"/>
      <c r="G90" s="6"/>
      <c r="H90" s="5"/>
      <c r="I90" s="5"/>
      <c r="J90" s="5"/>
      <c r="K90" s="6"/>
      <c r="L90" s="4"/>
      <c r="M90" s="6"/>
      <c r="N90" s="2"/>
    </row>
    <row r="91" spans="3:14" ht="14.25" customHeight="1">
      <c r="C91" s="8"/>
      <c r="D91" s="8"/>
      <c r="E91" s="7"/>
      <c r="F91" s="6"/>
      <c r="G91" s="6"/>
      <c r="H91" s="5"/>
      <c r="I91" s="5"/>
      <c r="J91" s="5"/>
      <c r="K91" s="6"/>
      <c r="L91" s="4"/>
      <c r="M91" s="6"/>
      <c r="N91" s="2"/>
    </row>
    <row r="92" spans="3:14" ht="14.25" customHeight="1">
      <c r="C92" s="8"/>
      <c r="D92" s="8"/>
      <c r="E92" s="7"/>
      <c r="F92" s="6"/>
      <c r="G92" s="6"/>
      <c r="H92" s="5"/>
      <c r="I92" s="5"/>
      <c r="J92" s="5"/>
      <c r="K92" s="6"/>
      <c r="L92" s="4"/>
      <c r="M92" s="6"/>
      <c r="N92" s="2"/>
    </row>
    <row r="93" spans="3:14" ht="14.25" customHeight="1">
      <c r="C93" s="8"/>
      <c r="D93" s="8"/>
      <c r="E93" s="7"/>
      <c r="F93" s="6"/>
      <c r="G93" s="6"/>
      <c r="H93" s="5"/>
      <c r="I93" s="5"/>
      <c r="J93" s="5"/>
      <c r="K93" s="6"/>
      <c r="L93" s="4"/>
      <c r="M93" s="6"/>
      <c r="N93" s="2"/>
    </row>
    <row r="94" spans="3:14" ht="14.25" customHeight="1">
      <c r="C94" s="8"/>
      <c r="D94" s="8"/>
      <c r="E94" s="7"/>
      <c r="F94" s="6"/>
      <c r="G94" s="6"/>
      <c r="H94" s="5"/>
      <c r="I94" s="5"/>
      <c r="J94" s="5"/>
      <c r="K94" s="6"/>
      <c r="L94" s="4"/>
      <c r="M94" s="6"/>
      <c r="N94" s="2"/>
    </row>
    <row r="95" spans="3:14" ht="14.25" customHeight="1">
      <c r="C95" s="8"/>
      <c r="D95" s="8"/>
      <c r="E95" s="7"/>
      <c r="F95" s="6"/>
      <c r="G95" s="6"/>
      <c r="H95" s="5"/>
      <c r="I95" s="5"/>
      <c r="J95" s="5"/>
      <c r="K95" s="6"/>
      <c r="L95" s="4"/>
      <c r="M95" s="6"/>
      <c r="N95" s="2"/>
    </row>
    <row r="96" spans="3:14" ht="14.25" customHeight="1">
      <c r="C96" s="8"/>
      <c r="D96" s="8"/>
      <c r="E96" s="7"/>
      <c r="F96" s="6"/>
      <c r="G96" s="6"/>
      <c r="H96" s="5"/>
      <c r="I96" s="5"/>
      <c r="J96" s="5"/>
      <c r="K96" s="6"/>
      <c r="L96" s="4"/>
      <c r="M96" s="6"/>
      <c r="N96" s="2"/>
    </row>
    <row r="97" spans="3:14" ht="14.25" customHeight="1">
      <c r="C97" s="8"/>
      <c r="D97" s="8"/>
      <c r="E97" s="7"/>
      <c r="F97" s="6"/>
      <c r="G97" s="6"/>
      <c r="H97" s="5"/>
      <c r="I97" s="5"/>
      <c r="J97" s="5"/>
      <c r="K97" s="6"/>
      <c r="L97" s="4"/>
      <c r="M97" s="6"/>
      <c r="N97" s="2"/>
    </row>
    <row r="98" spans="3:14" ht="14.25" customHeight="1">
      <c r="C98" s="8"/>
      <c r="D98" s="8"/>
      <c r="E98" s="7"/>
      <c r="F98" s="6"/>
      <c r="G98" s="6"/>
      <c r="H98" s="5"/>
      <c r="I98" s="5"/>
      <c r="J98" s="5"/>
      <c r="K98" s="6"/>
      <c r="L98" s="4"/>
      <c r="M98" s="3"/>
      <c r="N98" s="2"/>
    </row>
    <row r="99" spans="3:14" ht="14.25" customHeight="1">
      <c r="C99" s="8"/>
      <c r="D99" s="8"/>
      <c r="E99" s="7"/>
      <c r="F99" s="6"/>
      <c r="G99" s="5"/>
      <c r="H99" s="5"/>
      <c r="I99" s="5"/>
      <c r="J99" s="5"/>
      <c r="K99" s="4"/>
      <c r="L99" s="4"/>
      <c r="M99" s="3"/>
      <c r="N99" s="2"/>
    </row>
    <row r="100" spans="3:14" ht="14.25" customHeight="1">
      <c r="C100" s="19"/>
      <c r="D100" s="19"/>
      <c r="E100" s="19"/>
      <c r="F100" s="19"/>
      <c r="G100" s="19"/>
      <c r="H100" s="19"/>
      <c r="I100" s="19"/>
      <c r="J100" s="19"/>
      <c r="K100" s="19"/>
      <c r="L100" s="19"/>
      <c r="M100" s="19"/>
      <c r="N100" s="19"/>
    </row>
    <row r="101" spans="3:14" ht="14.25" customHeight="1">
      <c r="C101" s="31"/>
      <c r="D101" s="27"/>
      <c r="E101" s="20"/>
      <c r="F101" s="28"/>
      <c r="G101" s="28"/>
      <c r="H101" s="26"/>
      <c r="I101" s="26"/>
      <c r="J101" s="26"/>
      <c r="K101" s="28"/>
      <c r="L101" s="29"/>
      <c r="M101" s="28"/>
      <c r="N101" s="27"/>
    </row>
    <row r="102" spans="3:14" s="1" customFormat="1" ht="14.25" customHeight="1">
      <c r="C102" s="31"/>
      <c r="D102" s="27"/>
      <c r="E102" s="21"/>
      <c r="F102" s="28"/>
      <c r="G102" s="28"/>
      <c r="H102" s="26"/>
      <c r="I102" s="26"/>
      <c r="J102" s="26"/>
      <c r="K102" s="28"/>
      <c r="L102" s="29"/>
      <c r="M102" s="28"/>
      <c r="N102" s="27"/>
    </row>
    <row r="103" spans="3:14" s="1" customFormat="1" ht="14.25" customHeight="1">
      <c r="C103" s="30"/>
      <c r="D103" s="25"/>
      <c r="E103" s="21"/>
      <c r="F103" s="22"/>
      <c r="G103" s="22"/>
      <c r="H103" s="23"/>
      <c r="I103" s="23"/>
      <c r="J103" s="23"/>
      <c r="K103" s="22"/>
      <c r="L103" s="24"/>
      <c r="M103" s="22"/>
      <c r="N103" s="25"/>
    </row>
  </sheetData>
  <mergeCells count="5">
    <mergeCell ref="C2:G2"/>
    <mergeCell ref="H2:J2"/>
    <mergeCell ref="K2:L2"/>
    <mergeCell ref="M2:M3"/>
    <mergeCell ref="N2:N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398B0-D50C-4DD1-8519-1F3EC0E692A0}">
  <sheetPr>
    <tabColor rgb="FFFFC000"/>
  </sheetPr>
  <dimension ref="A2:O103"/>
  <sheetViews>
    <sheetView topLeftCell="B1" zoomScale="94" workbookViewId="0">
      <pane ySplit="4" topLeftCell="A11" activePane="bottomLeft" state="frozen"/>
      <selection pane="bottomLeft" activeCell="L23" sqref="L23"/>
    </sheetView>
  </sheetViews>
  <sheetFormatPr defaultRowHeight="15"/>
  <cols>
    <col min="3" max="3" width="21.42578125" customWidth="1"/>
    <col min="4" max="4" width="20.5703125" customWidth="1"/>
    <col min="5" max="5" width="26" customWidth="1"/>
    <col min="6" max="6" width="16.7109375" customWidth="1"/>
    <col min="7" max="7" width="11.7109375" customWidth="1"/>
    <col min="8" max="8" width="13.7109375" customWidth="1"/>
    <col min="10" max="10" width="12.5703125" customWidth="1"/>
    <col min="11" max="11" width="23.7109375" customWidth="1"/>
    <col min="12" max="12" width="15.5703125" customWidth="1"/>
    <col min="13" max="13" width="16.28515625" customWidth="1"/>
    <col min="14" max="14" width="12.85546875" customWidth="1"/>
  </cols>
  <sheetData>
    <row r="2" spans="1:15">
      <c r="C2" s="2627" t="s">
        <v>30</v>
      </c>
      <c r="D2" s="2627"/>
      <c r="E2" s="2627"/>
      <c r="F2" s="2627"/>
      <c r="G2" s="2627"/>
      <c r="H2" s="2628" t="s">
        <v>29</v>
      </c>
      <c r="I2" s="2628"/>
      <c r="J2" s="2628"/>
      <c r="K2" s="2627" t="s">
        <v>28</v>
      </c>
      <c r="L2" s="2627"/>
      <c r="M2" s="2628" t="s">
        <v>27</v>
      </c>
      <c r="N2" s="2628" t="s">
        <v>26</v>
      </c>
    </row>
    <row r="3" spans="1:15" ht="72">
      <c r="C3" s="10" t="s">
        <v>25</v>
      </c>
      <c r="D3" s="13" t="s">
        <v>24</v>
      </c>
      <c r="E3" s="12" t="s">
        <v>23</v>
      </c>
      <c r="F3" s="10" t="s">
        <v>22</v>
      </c>
      <c r="G3" s="11" t="s">
        <v>21</v>
      </c>
      <c r="H3" s="11" t="s">
        <v>20</v>
      </c>
      <c r="I3" s="11" t="s">
        <v>19</v>
      </c>
      <c r="J3" s="11" t="s">
        <v>18</v>
      </c>
      <c r="K3" s="10" t="s">
        <v>17</v>
      </c>
      <c r="L3" s="10" t="s">
        <v>16</v>
      </c>
      <c r="M3" s="2628"/>
      <c r="N3" s="2628"/>
    </row>
    <row r="4" spans="1:15">
      <c r="C4" s="9" t="s">
        <v>15</v>
      </c>
      <c r="D4" s="9" t="s">
        <v>14</v>
      </c>
      <c r="E4" s="9" t="s">
        <v>13</v>
      </c>
      <c r="F4" s="9" t="s">
        <v>12</v>
      </c>
      <c r="G4" s="9" t="s">
        <v>11</v>
      </c>
      <c r="H4" s="9" t="s">
        <v>10</v>
      </c>
      <c r="I4" s="9" t="s">
        <v>9</v>
      </c>
      <c r="J4" s="9" t="s">
        <v>8</v>
      </c>
      <c r="K4" s="9" t="s">
        <v>7</v>
      </c>
      <c r="L4" s="9" t="s">
        <v>6</v>
      </c>
      <c r="M4" s="9" t="s">
        <v>5</v>
      </c>
      <c r="N4" s="9" t="s">
        <v>4</v>
      </c>
    </row>
    <row r="5" spans="1:15" s="355" customFormat="1" ht="13.5">
      <c r="C5" s="924" t="s">
        <v>596</v>
      </c>
      <c r="D5" s="887"/>
      <c r="E5" s="887"/>
      <c r="F5" s="887"/>
      <c r="G5" s="888"/>
      <c r="H5" s="887"/>
      <c r="I5" s="887"/>
      <c r="J5" s="887"/>
      <c r="K5" s="887"/>
      <c r="L5" s="887"/>
      <c r="M5" s="887"/>
      <c r="N5" s="887"/>
    </row>
    <row r="6" spans="1:15" s="483" customFormat="1" ht="19.5" customHeight="1">
      <c r="A6" s="301" t="s">
        <v>590</v>
      </c>
      <c r="B6" s="302" t="s">
        <v>589</v>
      </c>
      <c r="C6" s="916" t="s">
        <v>591</v>
      </c>
      <c r="D6" s="916" t="s">
        <v>2</v>
      </c>
      <c r="E6" s="917" t="s">
        <v>592</v>
      </c>
      <c r="F6" s="916" t="s">
        <v>593</v>
      </c>
      <c r="G6" s="918"/>
      <c r="H6" s="919" t="s">
        <v>575</v>
      </c>
      <c r="I6" s="919" t="s">
        <v>576</v>
      </c>
      <c r="J6" s="920" t="s">
        <v>594</v>
      </c>
      <c r="K6" s="921" t="s">
        <v>578</v>
      </c>
      <c r="L6" s="922">
        <v>30000</v>
      </c>
      <c r="M6" s="923" t="s">
        <v>595</v>
      </c>
      <c r="N6" s="923" t="s">
        <v>580</v>
      </c>
    </row>
    <row r="7" spans="1:15" s="455" customFormat="1" ht="14.25" customHeight="1">
      <c r="A7" s="869"/>
      <c r="B7" s="454"/>
      <c r="C7" s="460"/>
      <c r="D7" s="460"/>
      <c r="E7" s="635"/>
      <c r="F7" s="528"/>
      <c r="G7" s="528"/>
      <c r="H7" s="484"/>
      <c r="I7" s="484"/>
      <c r="J7" s="460"/>
      <c r="K7" s="460" t="s">
        <v>596</v>
      </c>
      <c r="L7" s="655"/>
      <c r="M7" s="643"/>
      <c r="N7" s="642" t="s">
        <v>585</v>
      </c>
    </row>
    <row r="8" spans="1:15" s="455" customFormat="1" ht="39" customHeight="1">
      <c r="A8" s="438" t="s">
        <v>1023</v>
      </c>
      <c r="B8" s="563" t="s">
        <v>1024</v>
      </c>
      <c r="C8" s="410" t="s">
        <v>1039</v>
      </c>
      <c r="D8" s="309" t="s">
        <v>1040</v>
      </c>
      <c r="E8" s="852" t="s">
        <v>1287</v>
      </c>
      <c r="F8" s="304" t="s">
        <v>422</v>
      </c>
      <c r="G8" s="313" t="s">
        <v>1</v>
      </c>
      <c r="H8" s="307" t="s">
        <v>652</v>
      </c>
      <c r="I8" s="307" t="s">
        <v>653</v>
      </c>
      <c r="J8" s="307" t="s">
        <v>1037</v>
      </c>
      <c r="K8" s="308" t="s">
        <v>748</v>
      </c>
      <c r="L8" s="312">
        <v>6750</v>
      </c>
      <c r="N8" s="306"/>
      <c r="O8" s="852"/>
    </row>
    <row r="9" spans="1:15" s="455" customFormat="1" ht="14.25" customHeight="1">
      <c r="A9" s="869"/>
      <c r="B9" s="454"/>
      <c r="C9" s="471"/>
      <c r="D9" s="870"/>
      <c r="E9" s="460"/>
      <c r="F9" s="471"/>
      <c r="G9" s="477"/>
      <c r="H9" s="526"/>
      <c r="I9" s="526"/>
      <c r="J9" s="526"/>
      <c r="K9" s="471"/>
      <c r="L9" s="529"/>
      <c r="M9" s="471"/>
      <c r="N9" s="458"/>
    </row>
    <row r="10" spans="1:15" s="14" customFormat="1" ht="14.25" customHeight="1">
      <c r="A10" s="201"/>
      <c r="B10" s="202"/>
      <c r="C10" s="183"/>
      <c r="D10" s="203"/>
      <c r="E10" s="193"/>
      <c r="F10" s="203"/>
      <c r="G10" s="183"/>
      <c r="H10" s="184"/>
      <c r="I10" s="185"/>
      <c r="J10" s="185"/>
      <c r="K10" s="185"/>
      <c r="L10" s="183"/>
      <c r="M10" s="186"/>
      <c r="N10" s="183"/>
      <c r="O10" s="187"/>
    </row>
    <row r="11" spans="1:15" s="14" customFormat="1" ht="14.25" customHeight="1">
      <c r="A11" s="201"/>
      <c r="B11" s="202"/>
      <c r="C11" s="183"/>
      <c r="D11" s="204"/>
      <c r="E11" s="193"/>
      <c r="F11" s="204"/>
      <c r="G11" s="188"/>
      <c r="H11" s="189"/>
      <c r="I11" s="190"/>
      <c r="J11" s="190"/>
      <c r="K11" s="190"/>
      <c r="L11" s="183"/>
      <c r="M11" s="191"/>
      <c r="N11" s="191"/>
      <c r="O11" s="189"/>
    </row>
    <row r="12" spans="1:15" s="14" customFormat="1" ht="14.25" customHeight="1">
      <c r="A12" s="201"/>
      <c r="B12" s="202"/>
      <c r="C12" s="182"/>
      <c r="D12" s="183"/>
      <c r="E12" s="205"/>
      <c r="F12" s="183"/>
      <c r="G12" s="184"/>
      <c r="H12" s="185"/>
      <c r="I12" s="185"/>
      <c r="J12" s="185"/>
      <c r="K12" s="183"/>
      <c r="L12" s="192"/>
      <c r="M12" s="183"/>
      <c r="N12" s="193"/>
      <c r="O12" s="187"/>
    </row>
    <row r="13" spans="1:15" ht="14.25" customHeight="1">
      <c r="A13" s="206"/>
      <c r="B13" s="77"/>
      <c r="C13" s="58"/>
      <c r="D13" s="97"/>
      <c r="E13" s="97"/>
      <c r="F13" s="58"/>
      <c r="G13" s="59"/>
      <c r="H13" s="60"/>
      <c r="I13" s="60"/>
      <c r="J13" s="60"/>
      <c r="K13" s="58"/>
      <c r="L13" s="61"/>
      <c r="M13" s="58"/>
      <c r="N13" s="19"/>
      <c r="O13" s="62"/>
    </row>
    <row r="14" spans="1:15" ht="14.25" customHeight="1">
      <c r="A14" s="206"/>
      <c r="B14" s="77"/>
      <c r="C14" s="58"/>
      <c r="D14" s="78"/>
      <c r="E14" s="81"/>
      <c r="F14" s="58"/>
      <c r="G14" s="59"/>
      <c r="H14" s="60"/>
      <c r="I14" s="60"/>
      <c r="J14" s="60"/>
      <c r="K14" s="58"/>
      <c r="L14" s="61"/>
      <c r="M14" s="58"/>
      <c r="N14" s="19"/>
      <c r="O14" s="62"/>
    </row>
    <row r="15" spans="1:15" ht="14.25" customHeight="1">
      <c r="A15" s="206"/>
      <c r="B15" s="77"/>
      <c r="C15" s="58"/>
      <c r="D15" s="78"/>
      <c r="E15" s="81"/>
      <c r="F15" s="81"/>
      <c r="G15" s="58"/>
      <c r="H15" s="59"/>
      <c r="I15" s="60"/>
      <c r="J15" s="60"/>
      <c r="K15" s="60"/>
      <c r="L15" s="58"/>
      <c r="M15" s="61"/>
      <c r="N15" s="58"/>
      <c r="O15" s="62"/>
    </row>
    <row r="16" spans="1:15" ht="14.25" customHeight="1">
      <c r="A16" s="206"/>
      <c r="B16" s="77"/>
      <c r="C16" s="58"/>
      <c r="D16" s="90"/>
      <c r="E16" s="90"/>
      <c r="F16" s="90"/>
      <c r="G16" s="90"/>
      <c r="H16" s="91"/>
      <c r="I16" s="91"/>
      <c r="J16" s="91"/>
      <c r="K16" s="91"/>
      <c r="L16" s="92"/>
      <c r="M16" s="93"/>
      <c r="N16" s="91"/>
      <c r="O16" s="91"/>
    </row>
    <row r="17" spans="1:15" ht="14.25" customHeight="1">
      <c r="A17" s="125"/>
      <c r="B17" s="77"/>
      <c r="C17" s="125"/>
      <c r="D17" s="125"/>
      <c r="E17" s="207"/>
      <c r="F17" s="125"/>
      <c r="G17" s="126"/>
      <c r="H17" s="127"/>
      <c r="I17" s="127"/>
      <c r="J17" s="127"/>
      <c r="K17" s="125"/>
      <c r="L17" s="140"/>
      <c r="M17" s="125"/>
      <c r="N17" s="129"/>
    </row>
    <row r="18" spans="1:15" ht="14.25" customHeight="1">
      <c r="A18" s="125"/>
      <c r="B18" s="77"/>
      <c r="C18" s="125"/>
      <c r="D18" s="208"/>
      <c r="E18" s="19"/>
      <c r="F18" s="125"/>
      <c r="G18" s="126"/>
      <c r="H18" s="127"/>
      <c r="I18" s="127"/>
      <c r="J18" s="127"/>
      <c r="K18" s="125"/>
      <c r="L18" s="140"/>
      <c r="M18" s="125"/>
      <c r="N18" s="129"/>
    </row>
    <row r="19" spans="1:15" ht="14.25" customHeight="1">
      <c r="A19" s="125"/>
      <c r="B19" s="77"/>
      <c r="C19" s="125"/>
      <c r="D19" s="130"/>
      <c r="E19" s="209"/>
      <c r="F19" s="125"/>
      <c r="G19" s="126"/>
      <c r="H19" s="127"/>
      <c r="I19" s="127"/>
      <c r="J19" s="127"/>
      <c r="K19" s="125"/>
      <c r="L19" s="140"/>
      <c r="M19" s="125"/>
      <c r="N19" s="129"/>
    </row>
    <row r="20" spans="1:15" ht="14.25" customHeight="1">
      <c r="A20" s="125"/>
      <c r="B20" s="77"/>
      <c r="C20" s="125"/>
      <c r="D20" s="130"/>
      <c r="E20" s="209"/>
      <c r="F20" s="125"/>
      <c r="G20" s="126"/>
      <c r="H20" s="127"/>
      <c r="I20" s="127"/>
      <c r="J20" s="127"/>
      <c r="K20" s="125"/>
      <c r="L20" s="140"/>
      <c r="M20" s="125"/>
      <c r="N20" s="129"/>
    </row>
    <row r="21" spans="1:15" ht="14.25" customHeight="1">
      <c r="A21" s="125"/>
      <c r="B21" s="77"/>
      <c r="C21" s="125"/>
      <c r="D21" s="131"/>
      <c r="E21" s="210"/>
      <c r="F21" s="210"/>
      <c r="G21" s="125"/>
      <c r="H21" s="126"/>
      <c r="I21" s="127"/>
      <c r="J21" s="127"/>
      <c r="K21" s="127"/>
      <c r="L21" s="141"/>
      <c r="M21" s="128"/>
      <c r="N21" s="125"/>
      <c r="O21" s="129"/>
    </row>
    <row r="22" spans="1:15" ht="14.25" customHeight="1">
      <c r="A22" s="125"/>
      <c r="B22" s="77"/>
      <c r="C22" s="19"/>
      <c r="D22" s="131"/>
      <c r="E22" s="210"/>
      <c r="F22" s="210"/>
      <c r="G22" s="125"/>
      <c r="H22" s="126"/>
      <c r="I22" s="127"/>
      <c r="J22" s="127"/>
      <c r="K22" s="127"/>
      <c r="L22" s="141"/>
      <c r="M22" s="128"/>
      <c r="N22" s="125"/>
      <c r="O22" s="129"/>
    </row>
    <row r="23" spans="1:15" ht="27" customHeight="1">
      <c r="A23" s="125"/>
      <c r="B23" s="77"/>
      <c r="C23" s="86"/>
      <c r="D23" s="87"/>
      <c r="E23" s="211"/>
      <c r="F23" s="87"/>
      <c r="G23" s="88"/>
      <c r="H23" s="89"/>
      <c r="I23" s="89"/>
      <c r="J23" s="89"/>
      <c r="K23" s="87"/>
      <c r="L23" s="2388">
        <f>SUM(L6:L22)</f>
        <v>36750</v>
      </c>
      <c r="M23" s="87"/>
      <c r="N23" s="19"/>
      <c r="O23" s="77"/>
    </row>
    <row r="24" spans="1:15" ht="14.25" customHeight="1">
      <c r="A24" s="125"/>
      <c r="B24" s="77"/>
      <c r="C24" s="58"/>
      <c r="D24" s="97"/>
      <c r="E24" s="97"/>
      <c r="F24" s="58"/>
      <c r="G24" s="59"/>
      <c r="H24" s="60"/>
      <c r="I24" s="60"/>
      <c r="J24" s="60"/>
      <c r="K24" s="58"/>
      <c r="L24" s="64"/>
      <c r="M24" s="58"/>
      <c r="N24" s="19"/>
      <c r="O24" s="62"/>
    </row>
    <row r="25" spans="1:15" ht="14.25" customHeight="1">
      <c r="A25" s="197"/>
      <c r="B25" s="63"/>
      <c r="C25" s="110"/>
      <c r="D25" s="198"/>
      <c r="E25" s="199"/>
      <c r="F25" s="110"/>
      <c r="G25" s="111"/>
      <c r="H25" s="112"/>
      <c r="I25" s="112"/>
      <c r="J25" s="112"/>
      <c r="K25" s="110"/>
      <c r="L25" s="200"/>
      <c r="M25" s="58"/>
      <c r="N25" s="19"/>
      <c r="O25" s="62"/>
    </row>
    <row r="26" spans="1:15" ht="14.25" customHeight="1">
      <c r="A26" s="125"/>
      <c r="B26" s="63"/>
      <c r="C26" s="58"/>
      <c r="D26" s="78"/>
      <c r="E26" s="79"/>
      <c r="F26" s="58"/>
      <c r="G26" s="59"/>
      <c r="H26" s="60"/>
      <c r="I26" s="60"/>
      <c r="J26" s="60"/>
      <c r="K26" s="58"/>
      <c r="L26" s="64"/>
      <c r="M26" s="58"/>
      <c r="N26" s="19"/>
      <c r="O26" s="62"/>
    </row>
    <row r="27" spans="1:15" ht="14.25" customHeight="1">
      <c r="A27" s="125"/>
      <c r="B27" s="63"/>
      <c r="C27" s="58"/>
      <c r="D27" s="78"/>
      <c r="E27" s="79"/>
      <c r="F27" s="58"/>
      <c r="G27" s="59"/>
      <c r="H27" s="60"/>
      <c r="I27" s="60"/>
      <c r="J27" s="60"/>
      <c r="K27" s="58"/>
      <c r="L27" s="64"/>
      <c r="M27" s="58"/>
      <c r="N27" s="19"/>
      <c r="O27" s="62"/>
    </row>
    <row r="28" spans="1:15" ht="14.25" customHeight="1">
      <c r="A28" s="125"/>
      <c r="B28" s="63"/>
      <c r="C28" s="58"/>
      <c r="D28" s="90"/>
      <c r="E28" s="94"/>
      <c r="F28" s="90"/>
      <c r="G28" s="90"/>
      <c r="H28" s="91"/>
      <c r="I28" s="91"/>
      <c r="J28" s="91"/>
      <c r="K28" s="91"/>
      <c r="L28" s="101"/>
      <c r="M28" s="93"/>
      <c r="N28" s="91"/>
      <c r="O28" s="91"/>
    </row>
    <row r="29" spans="1:15" ht="14.25" customHeight="1">
      <c r="A29" s="125"/>
      <c r="B29" s="63"/>
      <c r="C29" s="58"/>
      <c r="D29" s="90"/>
      <c r="E29" s="94"/>
      <c r="F29" s="90"/>
      <c r="G29" s="90"/>
      <c r="H29" s="91"/>
      <c r="I29" s="91"/>
      <c r="J29" s="91"/>
      <c r="K29" s="91"/>
      <c r="L29" s="101"/>
      <c r="M29" s="93"/>
      <c r="N29" s="91"/>
      <c r="O29" s="124"/>
    </row>
    <row r="30" spans="1:15" ht="22.5" customHeight="1">
      <c r="A30" s="125"/>
      <c r="B30" s="63"/>
      <c r="C30" s="86"/>
      <c r="D30" s="87"/>
      <c r="E30" s="95"/>
      <c r="F30" s="87"/>
      <c r="G30" s="88"/>
      <c r="H30" s="89"/>
      <c r="I30" s="89"/>
      <c r="J30" s="89"/>
      <c r="K30" s="87"/>
      <c r="L30" s="98"/>
      <c r="M30" s="87"/>
      <c r="N30" s="19"/>
      <c r="O30" s="77"/>
    </row>
    <row r="31" spans="1:15" ht="14.25" customHeight="1">
      <c r="A31" s="125"/>
      <c r="B31" s="63"/>
      <c r="C31" s="58"/>
      <c r="D31" s="96"/>
      <c r="E31" s="97"/>
      <c r="F31" s="58"/>
      <c r="G31" s="59"/>
      <c r="H31" s="60"/>
      <c r="I31" s="60"/>
      <c r="J31" s="60"/>
      <c r="K31" s="58"/>
      <c r="L31" s="64"/>
      <c r="M31" s="58"/>
      <c r="N31" s="19"/>
      <c r="O31" s="62"/>
    </row>
    <row r="32" spans="1:15" ht="14.25" customHeight="1">
      <c r="A32" s="125"/>
      <c r="B32" s="63"/>
      <c r="C32" s="58"/>
      <c r="D32" s="79"/>
      <c r="E32" s="81"/>
      <c r="F32" s="58"/>
      <c r="G32" s="59"/>
      <c r="H32" s="60"/>
      <c r="I32" s="60"/>
      <c r="J32" s="60"/>
      <c r="K32" s="58"/>
      <c r="L32" s="64"/>
      <c r="M32" s="58"/>
      <c r="N32" s="19"/>
      <c r="O32" s="62"/>
    </row>
    <row r="33" spans="1:15">
      <c r="A33" s="125"/>
      <c r="B33" s="63"/>
      <c r="C33" s="58"/>
      <c r="D33" s="79"/>
      <c r="E33" s="81"/>
      <c r="F33" s="58"/>
      <c r="G33" s="59"/>
      <c r="H33" s="60"/>
      <c r="I33" s="60"/>
      <c r="J33" s="60"/>
      <c r="K33" s="58"/>
      <c r="L33" s="64"/>
      <c r="M33" s="58"/>
      <c r="N33" s="19"/>
      <c r="O33" s="62"/>
    </row>
    <row r="34" spans="1:15">
      <c r="A34" s="125"/>
      <c r="B34" s="63"/>
      <c r="C34" s="58"/>
      <c r="D34" s="78"/>
      <c r="E34" s="79"/>
      <c r="F34" s="58"/>
      <c r="G34" s="59"/>
      <c r="H34" s="60"/>
      <c r="I34" s="60"/>
      <c r="J34" s="60"/>
      <c r="K34" s="58"/>
      <c r="L34" s="64"/>
      <c r="M34" s="58"/>
      <c r="N34" s="19"/>
      <c r="O34" s="62"/>
    </row>
    <row r="35" spans="1:15">
      <c r="C35" s="58"/>
      <c r="D35" s="90"/>
      <c r="E35" s="94"/>
      <c r="F35" s="90"/>
      <c r="G35" s="91"/>
      <c r="H35" s="91"/>
      <c r="I35" s="91"/>
      <c r="J35" s="91"/>
      <c r="K35" s="92"/>
      <c r="L35" s="101"/>
      <c r="M35" s="91"/>
      <c r="N35" s="19"/>
      <c r="O35" s="91"/>
    </row>
    <row r="36" spans="1:15">
      <c r="A36" s="125"/>
      <c r="B36" s="63"/>
      <c r="C36" s="86"/>
      <c r="D36" s="87"/>
      <c r="E36" s="95"/>
      <c r="F36" s="87"/>
      <c r="G36" s="88"/>
      <c r="H36" s="89"/>
      <c r="I36" s="89"/>
      <c r="J36" s="89"/>
      <c r="K36" s="87"/>
      <c r="L36" s="98"/>
      <c r="M36" s="87"/>
      <c r="N36" s="19"/>
      <c r="O36" s="77"/>
    </row>
    <row r="37" spans="1:15">
      <c r="A37" s="125"/>
      <c r="B37" s="63"/>
      <c r="C37" s="58"/>
      <c r="D37" s="96"/>
      <c r="E37" s="96"/>
      <c r="F37" s="58"/>
      <c r="G37" s="59"/>
      <c r="H37" s="60"/>
      <c r="I37" s="60"/>
      <c r="J37" s="60"/>
      <c r="K37" s="58"/>
      <c r="L37" s="64"/>
      <c r="M37" s="58"/>
      <c r="N37" s="19"/>
      <c r="O37" s="62"/>
    </row>
    <row r="38" spans="1:15">
      <c r="A38" s="125"/>
      <c r="B38" s="63"/>
      <c r="C38" s="58"/>
      <c r="D38" s="78"/>
      <c r="E38" s="79"/>
      <c r="F38" s="80"/>
      <c r="G38" s="58"/>
      <c r="H38" s="59"/>
      <c r="I38" s="60"/>
      <c r="J38" s="60"/>
      <c r="K38" s="60"/>
      <c r="L38" s="100"/>
      <c r="M38" s="61"/>
      <c r="N38" s="58"/>
      <c r="O38" s="62"/>
    </row>
    <row r="39" spans="1:15">
      <c r="A39" s="125"/>
      <c r="B39" s="63"/>
      <c r="C39" s="58"/>
      <c r="D39" s="78"/>
      <c r="E39" s="79"/>
      <c r="F39" s="80"/>
      <c r="G39" s="58"/>
      <c r="H39" s="59"/>
      <c r="I39" s="60"/>
      <c r="J39" s="60"/>
      <c r="K39" s="60"/>
      <c r="L39" s="100"/>
      <c r="M39" s="61"/>
      <c r="N39" s="58"/>
      <c r="O39" s="62"/>
    </row>
    <row r="40" spans="1:15">
      <c r="A40" s="125"/>
      <c r="B40" s="63"/>
      <c r="C40" s="58"/>
      <c r="D40" s="78"/>
      <c r="E40" s="79"/>
      <c r="F40" s="80"/>
      <c r="G40" s="58"/>
      <c r="H40" s="59"/>
      <c r="I40" s="60"/>
      <c r="J40" s="60"/>
      <c r="K40" s="60"/>
      <c r="L40" s="100"/>
      <c r="M40" s="61"/>
      <c r="N40" s="58"/>
      <c r="O40" s="62"/>
    </row>
    <row r="41" spans="1:15">
      <c r="A41" s="125"/>
      <c r="B41" s="63"/>
      <c r="C41" s="58"/>
      <c r="D41" s="90"/>
      <c r="E41" s="94"/>
      <c r="F41" s="90"/>
      <c r="G41" s="90"/>
      <c r="H41" s="91"/>
      <c r="I41" s="91"/>
      <c r="J41" s="91"/>
      <c r="K41" s="91"/>
      <c r="L41" s="101"/>
      <c r="M41" s="93"/>
      <c r="N41" s="91"/>
      <c r="O41" s="124"/>
    </row>
    <row r="42" spans="1:15">
      <c r="A42" s="125"/>
      <c r="B42" s="63"/>
      <c r="C42" s="86"/>
      <c r="D42" s="87"/>
      <c r="E42" s="95"/>
      <c r="F42" s="87"/>
      <c r="G42" s="88"/>
      <c r="H42" s="89"/>
      <c r="I42" s="89"/>
      <c r="J42" s="89"/>
      <c r="K42" s="87"/>
      <c r="L42" s="98"/>
      <c r="M42" s="87"/>
      <c r="N42" s="19"/>
      <c r="O42" s="77"/>
    </row>
    <row r="43" spans="1:15">
      <c r="A43" s="125"/>
      <c r="B43" s="63"/>
      <c r="C43" s="58"/>
      <c r="D43" s="138"/>
      <c r="E43" s="96"/>
      <c r="F43" s="58"/>
      <c r="G43" s="59"/>
      <c r="H43" s="60"/>
      <c r="I43" s="60"/>
      <c r="J43" s="60"/>
      <c r="K43" s="58"/>
      <c r="L43" s="64"/>
      <c r="M43" s="58"/>
      <c r="N43" s="19"/>
      <c r="O43" s="62"/>
    </row>
    <row r="44" spans="1:15">
      <c r="A44" s="125"/>
      <c r="B44" s="63"/>
      <c r="C44" s="58"/>
      <c r="D44" s="79"/>
      <c r="E44" s="79"/>
      <c r="F44" s="58"/>
      <c r="G44" s="59"/>
      <c r="H44" s="60"/>
      <c r="I44" s="60"/>
      <c r="J44" s="60"/>
      <c r="K44" s="58"/>
      <c r="L44" s="64"/>
      <c r="M44" s="58"/>
      <c r="N44" s="19"/>
      <c r="O44" s="62"/>
    </row>
    <row r="45" spans="1:15">
      <c r="A45" s="125"/>
      <c r="B45" s="63"/>
      <c r="C45" s="58"/>
      <c r="D45" s="78"/>
      <c r="E45" s="79"/>
      <c r="F45" s="80"/>
      <c r="G45" s="58"/>
      <c r="H45" s="59"/>
      <c r="I45" s="60"/>
      <c r="J45" s="60"/>
      <c r="K45" s="60"/>
      <c r="L45" s="100"/>
      <c r="M45" s="61"/>
      <c r="N45" s="58"/>
      <c r="O45" s="62"/>
    </row>
    <row r="46" spans="1:15">
      <c r="A46" s="125"/>
      <c r="B46" s="63"/>
      <c r="C46" s="58"/>
      <c r="D46" s="78"/>
      <c r="E46" s="79"/>
      <c r="F46" s="80"/>
      <c r="G46" s="58"/>
      <c r="H46" s="59"/>
      <c r="I46" s="60"/>
      <c r="J46" s="60"/>
      <c r="K46" s="60"/>
      <c r="L46" s="100"/>
      <c r="M46" s="61"/>
      <c r="N46" s="58"/>
      <c r="O46" s="62"/>
    </row>
    <row r="47" spans="1:15">
      <c r="C47" s="58"/>
      <c r="D47" s="90"/>
      <c r="E47" s="94"/>
      <c r="F47" s="90"/>
      <c r="G47" s="90"/>
      <c r="H47" s="91"/>
      <c r="I47" s="91"/>
      <c r="J47" s="91"/>
      <c r="K47" s="91"/>
      <c r="L47" s="101"/>
      <c r="M47" s="93"/>
      <c r="N47" s="91"/>
      <c r="O47" s="124"/>
    </row>
    <row r="48" spans="1:15">
      <c r="C48" s="58"/>
      <c r="D48" s="90"/>
      <c r="E48" s="94"/>
      <c r="F48" s="90"/>
      <c r="G48" s="90"/>
      <c r="H48" s="91"/>
      <c r="I48" s="91"/>
      <c r="J48" s="91"/>
      <c r="K48" s="91"/>
      <c r="L48" s="101"/>
      <c r="M48" s="93"/>
      <c r="N48" s="91"/>
      <c r="O48" s="124"/>
    </row>
    <row r="49" spans="1:15">
      <c r="A49" s="125"/>
      <c r="B49" s="63"/>
      <c r="C49" s="86"/>
      <c r="D49" s="87"/>
      <c r="E49" s="86"/>
      <c r="F49" s="87"/>
      <c r="G49" s="88"/>
      <c r="H49" s="89"/>
      <c r="I49" s="89"/>
      <c r="J49" s="89"/>
      <c r="K49" s="87"/>
      <c r="L49" s="98"/>
      <c r="M49" s="87"/>
      <c r="N49" s="77"/>
    </row>
    <row r="50" spans="1:15">
      <c r="A50" s="125"/>
      <c r="B50" s="63"/>
      <c r="C50" s="58"/>
      <c r="D50" s="139"/>
      <c r="E50" s="19"/>
      <c r="F50" s="58"/>
      <c r="G50" s="59"/>
      <c r="H50" s="60"/>
      <c r="I50" s="60"/>
      <c r="J50" s="60"/>
      <c r="K50" s="58"/>
      <c r="L50" s="64"/>
      <c r="M50" s="58"/>
      <c r="N50" s="62"/>
    </row>
    <row r="51" spans="1:15">
      <c r="A51" s="125"/>
      <c r="B51" s="63"/>
      <c r="C51" s="58"/>
      <c r="D51" s="81"/>
      <c r="E51" s="19"/>
      <c r="F51" s="81"/>
      <c r="G51" s="58"/>
      <c r="H51" s="59"/>
      <c r="I51" s="60"/>
      <c r="J51" s="60"/>
      <c r="K51" s="60"/>
      <c r="L51" s="58"/>
      <c r="M51" s="61"/>
      <c r="N51" s="58"/>
      <c r="O51" s="62"/>
    </row>
    <row r="52" spans="1:15">
      <c r="A52" s="125"/>
      <c r="B52" s="63"/>
      <c r="C52" s="58"/>
      <c r="D52" s="78"/>
      <c r="E52" s="81"/>
      <c r="F52" s="81"/>
      <c r="G52" s="58"/>
      <c r="H52" s="59"/>
      <c r="I52" s="60"/>
      <c r="J52" s="60"/>
      <c r="K52" s="60"/>
      <c r="L52" s="58"/>
      <c r="M52" s="61"/>
      <c r="N52" s="58"/>
      <c r="O52" s="62"/>
    </row>
    <row r="53" spans="1:15">
      <c r="A53" s="125"/>
      <c r="B53" s="63"/>
      <c r="C53" s="58"/>
      <c r="D53" s="78"/>
      <c r="E53" s="81"/>
      <c r="F53" s="81"/>
      <c r="G53" s="58"/>
      <c r="H53" s="59"/>
      <c r="I53" s="60"/>
      <c r="J53" s="60"/>
      <c r="K53" s="60"/>
      <c r="L53" s="58"/>
      <c r="M53" s="61"/>
      <c r="N53" s="58"/>
      <c r="O53" s="62"/>
    </row>
    <row r="54" spans="1:15">
      <c r="C54" s="58"/>
      <c r="D54" s="90"/>
      <c r="E54" s="94"/>
      <c r="F54" s="90"/>
      <c r="G54" s="90"/>
      <c r="H54" s="91"/>
      <c r="I54" s="91"/>
      <c r="J54" s="91"/>
      <c r="K54" s="91"/>
      <c r="L54" s="92"/>
      <c r="M54" s="93"/>
      <c r="N54" s="91"/>
      <c r="O54" s="124"/>
    </row>
    <row r="55" spans="1:15">
      <c r="A55" s="58"/>
      <c r="B55" s="63"/>
      <c r="C55" s="86"/>
      <c r="D55" s="87"/>
      <c r="E55" s="95"/>
      <c r="F55" s="87"/>
      <c r="G55" s="88"/>
      <c r="H55" s="89"/>
      <c r="I55" s="89"/>
      <c r="J55" s="89"/>
      <c r="K55" s="87"/>
      <c r="L55" s="123"/>
      <c r="M55" s="87"/>
      <c r="O55" s="77"/>
    </row>
    <row r="56" spans="1:15">
      <c r="A56" s="58"/>
      <c r="B56" s="63"/>
      <c r="C56" s="58"/>
      <c r="D56" s="96"/>
      <c r="E56" s="19"/>
      <c r="F56" s="109"/>
      <c r="G56" s="59"/>
      <c r="H56" s="60"/>
      <c r="I56" s="60"/>
      <c r="J56" s="60"/>
      <c r="K56" s="58"/>
      <c r="L56" s="61"/>
      <c r="M56" s="58"/>
      <c r="O56" s="62"/>
    </row>
    <row r="57" spans="1:15">
      <c r="A57" s="58"/>
      <c r="B57" s="63"/>
      <c r="C57" s="58"/>
      <c r="D57" s="79"/>
      <c r="E57" s="19"/>
      <c r="F57" s="109"/>
      <c r="G57" s="59"/>
      <c r="H57" s="60"/>
      <c r="I57" s="60"/>
      <c r="J57" s="60"/>
      <c r="K57" s="58"/>
      <c r="L57" s="61"/>
      <c r="M57" s="58"/>
      <c r="O57" s="62"/>
    </row>
    <row r="58" spans="1:15">
      <c r="A58" s="58"/>
      <c r="B58" s="63"/>
      <c r="C58" s="58"/>
      <c r="D58" s="79"/>
      <c r="E58" s="19"/>
      <c r="F58" s="80"/>
      <c r="G58" s="58"/>
      <c r="H58" s="59"/>
      <c r="I58" s="60"/>
      <c r="J58" s="60"/>
      <c r="K58" s="60"/>
      <c r="L58" s="58"/>
      <c r="M58" s="61"/>
      <c r="N58" s="58"/>
      <c r="O58" s="62"/>
    </row>
    <row r="59" spans="1:15">
      <c r="A59" s="58"/>
      <c r="B59" s="63"/>
      <c r="C59" s="58"/>
      <c r="D59" s="78"/>
      <c r="E59" s="79"/>
      <c r="F59" s="81"/>
      <c r="G59" s="58"/>
      <c r="H59" s="59"/>
      <c r="I59" s="60"/>
      <c r="J59" s="60"/>
      <c r="K59" s="60"/>
      <c r="L59" s="58"/>
      <c r="M59" s="61"/>
      <c r="N59" s="58"/>
      <c r="O59" s="62"/>
    </row>
    <row r="60" spans="1:15">
      <c r="D60" s="90"/>
      <c r="E60" s="94"/>
      <c r="F60" s="90"/>
      <c r="G60" s="90"/>
      <c r="H60" s="91"/>
      <c r="I60" s="91"/>
      <c r="J60" s="91"/>
      <c r="K60" s="91"/>
      <c r="L60" s="92"/>
      <c r="M60" s="93"/>
      <c r="N60" s="91"/>
      <c r="O60" s="91"/>
    </row>
    <row r="61" spans="1:15">
      <c r="C61" s="58"/>
      <c r="D61" s="90"/>
      <c r="E61" s="94"/>
      <c r="F61" s="90"/>
      <c r="G61" s="90"/>
      <c r="H61" s="91"/>
      <c r="I61" s="91"/>
      <c r="J61" s="91"/>
      <c r="K61" s="91"/>
      <c r="L61" s="92"/>
      <c r="M61" s="93"/>
      <c r="N61" s="91"/>
      <c r="O61" s="124"/>
    </row>
    <row r="62" spans="1:15">
      <c r="C62" s="58"/>
      <c r="D62" s="90"/>
      <c r="E62" s="94"/>
      <c r="F62" s="90"/>
      <c r="G62" s="90"/>
      <c r="H62" s="91"/>
      <c r="I62" s="91"/>
      <c r="J62" s="91"/>
      <c r="K62" s="91"/>
      <c r="L62" s="92"/>
      <c r="M62" s="93"/>
      <c r="N62" s="91"/>
      <c r="O62" s="124"/>
    </row>
    <row r="63" spans="1:15">
      <c r="C63" s="58"/>
      <c r="D63" s="90"/>
      <c r="E63" s="94"/>
      <c r="F63" s="90"/>
      <c r="G63" s="90"/>
      <c r="H63" s="91"/>
      <c r="I63" s="91"/>
      <c r="J63" s="91"/>
      <c r="K63" s="91"/>
      <c r="L63" s="92"/>
      <c r="M63" s="93"/>
      <c r="N63" s="91"/>
      <c r="O63" s="124"/>
    </row>
    <row r="64" spans="1:15">
      <c r="C64" s="58"/>
      <c r="D64" s="90"/>
      <c r="E64" s="94"/>
      <c r="F64" s="90"/>
      <c r="G64" s="90"/>
      <c r="H64" s="91"/>
      <c r="I64" s="91"/>
      <c r="J64" s="91"/>
      <c r="K64" s="91"/>
      <c r="L64" s="92"/>
      <c r="M64" s="93"/>
      <c r="N64" s="91"/>
      <c r="O64" s="124"/>
    </row>
    <row r="65" spans="3:15">
      <c r="C65" s="58"/>
      <c r="D65" s="90"/>
      <c r="E65" s="94"/>
      <c r="F65" s="90"/>
      <c r="G65" s="90"/>
      <c r="H65" s="91"/>
      <c r="I65" s="91"/>
      <c r="J65" s="91"/>
      <c r="K65" s="91"/>
      <c r="L65" s="92"/>
      <c r="M65" s="93"/>
      <c r="N65" s="91"/>
      <c r="O65" s="124"/>
    </row>
    <row r="66" spans="3:15">
      <c r="C66" s="58"/>
      <c r="D66" s="90"/>
      <c r="E66" s="94"/>
      <c r="F66" s="90"/>
      <c r="G66" s="90"/>
      <c r="H66" s="91"/>
      <c r="I66" s="91"/>
      <c r="J66" s="91"/>
      <c r="K66" s="91"/>
      <c r="L66" s="92"/>
      <c r="M66" s="93"/>
      <c r="N66" s="91"/>
      <c r="O66" s="124"/>
    </row>
    <row r="67" spans="3:15">
      <c r="C67" s="58"/>
      <c r="D67" s="90"/>
      <c r="E67" s="94"/>
      <c r="F67" s="90"/>
      <c r="G67" s="90"/>
      <c r="H67" s="91"/>
      <c r="I67" s="91"/>
      <c r="J67" s="91"/>
      <c r="K67" s="91"/>
      <c r="L67" s="92"/>
      <c r="M67" s="93"/>
      <c r="N67" s="91"/>
      <c r="O67" s="124"/>
    </row>
    <row r="68" spans="3:15">
      <c r="C68" s="58"/>
      <c r="D68" s="90"/>
      <c r="E68" s="94"/>
      <c r="F68" s="90"/>
      <c r="G68" s="90"/>
      <c r="H68" s="91"/>
      <c r="I68" s="91"/>
      <c r="J68" s="91"/>
      <c r="K68" s="91"/>
      <c r="L68" s="92"/>
      <c r="M68" s="93"/>
      <c r="N68" s="91"/>
      <c r="O68" s="124"/>
    </row>
    <row r="69" spans="3:15">
      <c r="C69" s="58"/>
      <c r="D69" s="90"/>
      <c r="E69" s="94"/>
      <c r="F69" s="90"/>
      <c r="G69" s="90"/>
      <c r="H69" s="91"/>
      <c r="I69" s="91"/>
      <c r="J69" s="91"/>
      <c r="K69" s="91"/>
      <c r="L69" s="92"/>
      <c r="M69" s="93"/>
      <c r="N69" s="91"/>
      <c r="O69" s="124"/>
    </row>
    <row r="70" spans="3:15">
      <c r="C70" s="8"/>
      <c r="D70" s="8"/>
      <c r="E70" s="7"/>
      <c r="F70" s="6"/>
      <c r="G70" s="6"/>
      <c r="H70" s="5"/>
      <c r="I70" s="5"/>
      <c r="J70" s="5"/>
      <c r="K70" s="6"/>
      <c r="L70" s="4"/>
      <c r="M70" s="6"/>
      <c r="N70" s="2"/>
    </row>
    <row r="71" spans="3:15">
      <c r="C71" s="8"/>
      <c r="D71" s="8"/>
      <c r="E71" s="7"/>
      <c r="F71" s="6"/>
      <c r="G71" s="6"/>
      <c r="H71" s="5"/>
      <c r="I71" s="5"/>
      <c r="J71" s="5"/>
      <c r="K71" s="6"/>
      <c r="L71" s="4"/>
      <c r="M71" s="6"/>
      <c r="N71" s="2"/>
    </row>
    <row r="72" spans="3:15">
      <c r="C72" s="8"/>
      <c r="D72" s="8"/>
      <c r="E72" s="7"/>
      <c r="F72" s="6"/>
      <c r="G72" s="6"/>
      <c r="H72" s="5"/>
      <c r="I72" s="5"/>
      <c r="J72" s="5"/>
      <c r="K72" s="6"/>
      <c r="L72" s="4"/>
      <c r="M72" s="6"/>
      <c r="N72" s="2"/>
    </row>
    <row r="73" spans="3:15">
      <c r="C73" s="8"/>
      <c r="D73" s="8"/>
      <c r="E73" s="7"/>
      <c r="F73" s="6"/>
      <c r="G73" s="6"/>
      <c r="H73" s="5"/>
      <c r="I73" s="5"/>
      <c r="J73" s="5"/>
      <c r="K73" s="6"/>
      <c r="L73" s="4"/>
      <c r="M73" s="6"/>
      <c r="N73" s="2"/>
    </row>
    <row r="74" spans="3:15">
      <c r="C74" s="8"/>
      <c r="D74" s="8"/>
      <c r="E74" s="7"/>
      <c r="F74" s="6"/>
      <c r="G74" s="6"/>
      <c r="H74" s="5"/>
      <c r="I74" s="5"/>
      <c r="J74" s="5"/>
      <c r="K74" s="6"/>
      <c r="L74" s="4"/>
      <c r="M74" s="6"/>
      <c r="N74" s="2"/>
    </row>
    <row r="75" spans="3:15">
      <c r="C75" s="8"/>
      <c r="D75" s="8"/>
      <c r="E75" s="7"/>
      <c r="F75" s="6"/>
      <c r="G75" s="6"/>
      <c r="H75" s="5"/>
      <c r="I75" s="5"/>
      <c r="J75" s="5"/>
      <c r="K75" s="6"/>
      <c r="L75" s="4"/>
      <c r="M75" s="6"/>
      <c r="N75" s="2"/>
    </row>
    <row r="76" spans="3:15">
      <c r="C76" s="8"/>
      <c r="D76" s="8"/>
      <c r="E76" s="7"/>
      <c r="F76" s="6"/>
      <c r="G76" s="6"/>
      <c r="H76" s="5"/>
      <c r="I76" s="5"/>
      <c r="J76" s="5"/>
      <c r="K76" s="6"/>
      <c r="L76" s="4"/>
      <c r="M76" s="6"/>
      <c r="N76" s="2"/>
    </row>
    <row r="77" spans="3:15">
      <c r="C77" s="8"/>
      <c r="D77" s="8"/>
      <c r="E77" s="7"/>
      <c r="F77" s="6"/>
      <c r="G77" s="6"/>
      <c r="H77" s="5"/>
      <c r="I77" s="5"/>
      <c r="J77" s="5"/>
      <c r="K77" s="6"/>
      <c r="L77" s="108"/>
      <c r="M77" s="6"/>
      <c r="N77" s="2"/>
    </row>
    <row r="78" spans="3:15">
      <c r="C78" s="8"/>
      <c r="D78" s="8"/>
      <c r="E78" s="7"/>
      <c r="F78" s="6"/>
      <c r="G78" s="6"/>
      <c r="H78" s="5"/>
      <c r="I78" s="5"/>
      <c r="J78" s="5"/>
      <c r="K78" s="6"/>
      <c r="L78" s="4"/>
      <c r="M78" s="6"/>
      <c r="N78" s="2"/>
    </row>
    <row r="79" spans="3:15">
      <c r="C79" s="8"/>
      <c r="D79" s="8"/>
      <c r="E79" s="7"/>
      <c r="F79" s="6"/>
      <c r="G79" s="6"/>
      <c r="H79" s="5"/>
      <c r="I79" s="5"/>
      <c r="J79" s="5"/>
      <c r="K79" s="6"/>
      <c r="L79" s="4"/>
      <c r="M79" s="6"/>
      <c r="N79" s="2"/>
    </row>
    <row r="80" spans="3:15">
      <c r="C80" s="8"/>
      <c r="D80" s="8"/>
      <c r="E80" s="7"/>
      <c r="F80" s="6"/>
      <c r="G80" s="6"/>
      <c r="H80" s="5"/>
      <c r="I80" s="5"/>
      <c r="J80" s="5"/>
      <c r="K80" s="6"/>
      <c r="L80" s="4"/>
      <c r="M80" s="6"/>
      <c r="N80" s="2"/>
    </row>
    <row r="81" spans="3:14">
      <c r="C81" s="8"/>
      <c r="D81" s="8"/>
      <c r="E81" s="7"/>
      <c r="F81" s="6"/>
      <c r="G81" s="6"/>
      <c r="H81" s="5"/>
      <c r="I81" s="5"/>
      <c r="J81" s="5"/>
      <c r="K81" s="6"/>
      <c r="L81" s="4"/>
      <c r="M81" s="6"/>
      <c r="N81" s="2"/>
    </row>
    <row r="82" spans="3:14">
      <c r="C82" s="8"/>
      <c r="D82" s="8"/>
      <c r="E82" s="7"/>
      <c r="F82" s="6"/>
      <c r="G82" s="6"/>
      <c r="H82" s="5"/>
      <c r="I82" s="5"/>
      <c r="J82" s="5"/>
      <c r="K82" s="6"/>
      <c r="L82" s="4"/>
      <c r="M82" s="6"/>
      <c r="N82" s="2"/>
    </row>
    <row r="83" spans="3:14" ht="14.25" customHeight="1">
      <c r="C83" s="8"/>
      <c r="D83" s="8"/>
      <c r="E83" s="7"/>
      <c r="F83" s="6"/>
      <c r="G83" s="6"/>
      <c r="H83" s="5"/>
      <c r="I83" s="5"/>
      <c r="J83" s="5"/>
      <c r="K83" s="6"/>
      <c r="L83" s="4"/>
      <c r="M83" s="6"/>
      <c r="N83" s="2"/>
    </row>
    <row r="84" spans="3:14" ht="14.25" customHeight="1">
      <c r="C84" s="8"/>
      <c r="D84" s="8"/>
      <c r="E84" s="7"/>
      <c r="F84" s="6"/>
      <c r="G84" s="6"/>
      <c r="H84" s="5"/>
      <c r="I84" s="5"/>
      <c r="J84" s="5"/>
      <c r="K84" s="6"/>
      <c r="L84" s="4"/>
      <c r="M84" s="6"/>
      <c r="N84" s="2"/>
    </row>
    <row r="85" spans="3:14" ht="14.25" customHeight="1">
      <c r="C85" s="8"/>
      <c r="D85" s="8"/>
      <c r="E85" s="7"/>
      <c r="F85" s="6"/>
      <c r="G85" s="6"/>
      <c r="H85" s="5"/>
      <c r="I85" s="5"/>
      <c r="J85" s="5"/>
      <c r="K85" s="6"/>
      <c r="L85" s="4"/>
      <c r="M85" s="6"/>
      <c r="N85" s="2"/>
    </row>
    <row r="86" spans="3:14" ht="14.25" customHeight="1">
      <c r="C86" s="8"/>
      <c r="D86" s="8"/>
      <c r="E86" s="7"/>
      <c r="F86" s="6"/>
      <c r="G86" s="6"/>
      <c r="H86" s="5"/>
      <c r="I86" s="5"/>
      <c r="J86" s="5"/>
      <c r="K86" s="6"/>
      <c r="L86" s="4"/>
      <c r="M86" s="6"/>
      <c r="N86" s="2"/>
    </row>
    <row r="87" spans="3:14" ht="14.25" customHeight="1">
      <c r="C87" s="8"/>
      <c r="D87" s="8"/>
      <c r="E87" s="7"/>
      <c r="F87" s="6"/>
      <c r="G87" s="6"/>
      <c r="H87" s="5"/>
      <c r="I87" s="5"/>
      <c r="J87" s="5"/>
      <c r="K87" s="6"/>
      <c r="L87" s="4"/>
      <c r="M87" s="6"/>
      <c r="N87" s="2"/>
    </row>
    <row r="88" spans="3:14" ht="14.25" customHeight="1">
      <c r="C88" s="8"/>
      <c r="D88" s="8"/>
      <c r="E88" s="7"/>
      <c r="F88" s="6"/>
      <c r="G88" s="6"/>
      <c r="H88" s="5"/>
      <c r="I88" s="5"/>
      <c r="J88" s="5"/>
      <c r="K88" s="6"/>
      <c r="L88" s="4"/>
      <c r="M88" s="6"/>
      <c r="N88" s="2"/>
    </row>
    <row r="89" spans="3:14" ht="14.25" customHeight="1">
      <c r="C89" s="8"/>
      <c r="D89" s="8"/>
      <c r="E89" s="7"/>
      <c r="F89" s="6"/>
      <c r="G89" s="6"/>
      <c r="H89" s="5"/>
      <c r="I89" s="5"/>
      <c r="J89" s="5"/>
      <c r="K89" s="6"/>
      <c r="L89" s="4"/>
      <c r="M89" s="6"/>
      <c r="N89" s="2"/>
    </row>
    <row r="90" spans="3:14" ht="14.25" customHeight="1">
      <c r="C90" s="8"/>
      <c r="D90" s="8"/>
      <c r="E90" s="7"/>
      <c r="F90" s="6"/>
      <c r="G90" s="6"/>
      <c r="H90" s="5"/>
      <c r="I90" s="5"/>
      <c r="J90" s="5"/>
      <c r="K90" s="6"/>
      <c r="L90" s="4"/>
      <c r="M90" s="6"/>
      <c r="N90" s="2"/>
    </row>
    <row r="91" spans="3:14" ht="14.25" customHeight="1">
      <c r="C91" s="8"/>
      <c r="D91" s="8"/>
      <c r="E91" s="7"/>
      <c r="F91" s="6"/>
      <c r="G91" s="6"/>
      <c r="H91" s="5"/>
      <c r="I91" s="5"/>
      <c r="J91" s="5"/>
      <c r="K91" s="6"/>
      <c r="L91" s="4"/>
      <c r="M91" s="6"/>
      <c r="N91" s="2"/>
    </row>
    <row r="92" spans="3:14" ht="14.25" customHeight="1">
      <c r="C92" s="8"/>
      <c r="D92" s="8"/>
      <c r="E92" s="7"/>
      <c r="F92" s="6"/>
      <c r="G92" s="6"/>
      <c r="H92" s="5"/>
      <c r="I92" s="5"/>
      <c r="J92" s="5"/>
      <c r="K92" s="6"/>
      <c r="L92" s="4"/>
      <c r="M92" s="6"/>
      <c r="N92" s="2"/>
    </row>
    <row r="93" spans="3:14" ht="14.25" customHeight="1">
      <c r="C93" s="8"/>
      <c r="D93" s="8"/>
      <c r="E93" s="7"/>
      <c r="F93" s="6"/>
      <c r="G93" s="6"/>
      <c r="H93" s="5"/>
      <c r="I93" s="5"/>
      <c r="J93" s="5"/>
      <c r="K93" s="6"/>
      <c r="L93" s="4"/>
      <c r="M93" s="6"/>
      <c r="N93" s="2"/>
    </row>
    <row r="94" spans="3:14" ht="14.25" customHeight="1">
      <c r="C94" s="8"/>
      <c r="D94" s="8"/>
      <c r="E94" s="7"/>
      <c r="F94" s="6"/>
      <c r="G94" s="6"/>
      <c r="H94" s="5"/>
      <c r="I94" s="5"/>
      <c r="J94" s="5"/>
      <c r="K94" s="6"/>
      <c r="L94" s="4"/>
      <c r="M94" s="6"/>
      <c r="N94" s="2"/>
    </row>
    <row r="95" spans="3:14" ht="14.25" customHeight="1">
      <c r="C95" s="8"/>
      <c r="D95" s="8"/>
      <c r="E95" s="7"/>
      <c r="F95" s="6"/>
      <c r="G95" s="6"/>
      <c r="H95" s="5"/>
      <c r="I95" s="5"/>
      <c r="J95" s="5"/>
      <c r="K95" s="6"/>
      <c r="L95" s="4"/>
      <c r="M95" s="6"/>
      <c r="N95" s="2"/>
    </row>
    <row r="96" spans="3:14" ht="14.25" customHeight="1">
      <c r="C96" s="8"/>
      <c r="D96" s="8"/>
      <c r="E96" s="7"/>
      <c r="F96" s="6"/>
      <c r="G96" s="6"/>
      <c r="H96" s="5"/>
      <c r="I96" s="5"/>
      <c r="J96" s="5"/>
      <c r="K96" s="6"/>
      <c r="L96" s="4"/>
      <c r="M96" s="6"/>
      <c r="N96" s="2"/>
    </row>
    <row r="97" spans="3:14" ht="14.25" customHeight="1">
      <c r="C97" s="8"/>
      <c r="D97" s="8"/>
      <c r="E97" s="7"/>
      <c r="F97" s="6"/>
      <c r="G97" s="6"/>
      <c r="H97" s="5"/>
      <c r="I97" s="5"/>
      <c r="J97" s="5"/>
      <c r="K97" s="6"/>
      <c r="L97" s="4"/>
      <c r="M97" s="6"/>
      <c r="N97" s="2"/>
    </row>
    <row r="98" spans="3:14" ht="14.25" customHeight="1">
      <c r="C98" s="8"/>
      <c r="D98" s="8"/>
      <c r="E98" s="7"/>
      <c r="F98" s="6"/>
      <c r="G98" s="6"/>
      <c r="H98" s="5"/>
      <c r="I98" s="5"/>
      <c r="J98" s="5"/>
      <c r="K98" s="6"/>
      <c r="L98" s="4"/>
      <c r="M98" s="3"/>
      <c r="N98" s="2"/>
    </row>
    <row r="99" spans="3:14" ht="14.25" customHeight="1">
      <c r="C99" s="8"/>
      <c r="D99" s="8"/>
      <c r="E99" s="7"/>
      <c r="F99" s="6"/>
      <c r="G99" s="5"/>
      <c r="H99" s="5"/>
      <c r="I99" s="5"/>
      <c r="J99" s="5"/>
      <c r="K99" s="4"/>
      <c r="L99" s="4"/>
      <c r="M99" s="3"/>
      <c r="N99" s="2"/>
    </row>
    <row r="100" spans="3:14" ht="14.25" customHeight="1">
      <c r="C100" s="19"/>
      <c r="D100" s="19"/>
      <c r="E100" s="19"/>
      <c r="F100" s="19"/>
      <c r="G100" s="19"/>
      <c r="H100" s="19"/>
      <c r="I100" s="19"/>
      <c r="J100" s="19"/>
      <c r="K100" s="19"/>
      <c r="L100" s="19"/>
      <c r="M100" s="19"/>
      <c r="N100" s="19"/>
    </row>
    <row r="101" spans="3:14" ht="14.25" customHeight="1">
      <c r="C101" s="31"/>
      <c r="D101" s="27"/>
      <c r="E101" s="20"/>
      <c r="F101" s="28"/>
      <c r="G101" s="28"/>
      <c r="H101" s="26"/>
      <c r="I101" s="26"/>
      <c r="J101" s="26"/>
      <c r="K101" s="28"/>
      <c r="L101" s="29"/>
      <c r="M101" s="28"/>
      <c r="N101" s="27"/>
    </row>
    <row r="102" spans="3:14" s="1" customFormat="1" ht="14.25" customHeight="1">
      <c r="C102" s="31"/>
      <c r="D102" s="27"/>
      <c r="E102" s="21"/>
      <c r="F102" s="28"/>
      <c r="G102" s="28"/>
      <c r="H102" s="26"/>
      <c r="I102" s="26"/>
      <c r="J102" s="26"/>
      <c r="K102" s="28"/>
      <c r="L102" s="29"/>
      <c r="M102" s="28"/>
      <c r="N102" s="27"/>
    </row>
    <row r="103" spans="3:14" s="1" customFormat="1" ht="14.25" customHeight="1">
      <c r="C103" s="30"/>
      <c r="D103" s="25"/>
      <c r="E103" s="21"/>
      <c r="F103" s="22"/>
      <c r="G103" s="22"/>
      <c r="H103" s="23"/>
      <c r="I103" s="23"/>
      <c r="J103" s="23"/>
      <c r="K103" s="22"/>
      <c r="L103" s="24"/>
      <c r="M103" s="22"/>
      <c r="N103" s="25"/>
    </row>
  </sheetData>
  <mergeCells count="5">
    <mergeCell ref="C2:G2"/>
    <mergeCell ref="H2:J2"/>
    <mergeCell ref="K2:L2"/>
    <mergeCell ref="M2:M3"/>
    <mergeCell ref="N2:N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9F5C2-C5C2-43F9-AE39-E3F4BDF36754}">
  <sheetPr>
    <tabColor rgb="FFFFC000"/>
  </sheetPr>
  <dimension ref="A2:O44"/>
  <sheetViews>
    <sheetView zoomScaleNormal="100" workbookViewId="0">
      <pane ySplit="4" topLeftCell="A37" activePane="bottomLeft" state="frozen"/>
      <selection pane="bottomLeft" activeCell="L44" sqref="L44"/>
    </sheetView>
  </sheetViews>
  <sheetFormatPr defaultRowHeight="15"/>
  <cols>
    <col min="3" max="3" width="21.42578125" customWidth="1"/>
    <col min="4" max="4" width="20.5703125"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customWidth="1"/>
    <col min="13" max="13" width="16.28515625" customWidth="1"/>
    <col min="14" max="14" width="12.85546875" customWidth="1"/>
  </cols>
  <sheetData>
    <row r="2" spans="1:15">
      <c r="C2" s="2627" t="s">
        <v>30</v>
      </c>
      <c r="D2" s="2627"/>
      <c r="E2" s="2627"/>
      <c r="F2" s="2627"/>
      <c r="G2" s="2627"/>
      <c r="H2" s="2628" t="s">
        <v>29</v>
      </c>
      <c r="I2" s="2628"/>
      <c r="J2" s="2628"/>
      <c r="K2" s="2627" t="s">
        <v>28</v>
      </c>
      <c r="L2" s="2627"/>
      <c r="M2" s="2628" t="s">
        <v>27</v>
      </c>
      <c r="N2" s="2628" t="s">
        <v>26</v>
      </c>
    </row>
    <row r="3" spans="1:15" ht="72">
      <c r="C3" s="10" t="s">
        <v>25</v>
      </c>
      <c r="D3" s="13" t="s">
        <v>24</v>
      </c>
      <c r="E3" s="12" t="s">
        <v>23</v>
      </c>
      <c r="F3" s="10" t="s">
        <v>22</v>
      </c>
      <c r="G3" s="11" t="s">
        <v>21</v>
      </c>
      <c r="H3" s="11" t="s">
        <v>20</v>
      </c>
      <c r="I3" s="11" t="s">
        <v>19</v>
      </c>
      <c r="J3" s="11" t="s">
        <v>18</v>
      </c>
      <c r="K3" s="10" t="s">
        <v>17</v>
      </c>
      <c r="L3" s="10" t="s">
        <v>16</v>
      </c>
      <c r="M3" s="2628"/>
      <c r="N3" s="2628"/>
    </row>
    <row r="4" spans="1:15">
      <c r="C4" s="9" t="s">
        <v>15</v>
      </c>
      <c r="D4" s="9" t="s">
        <v>14</v>
      </c>
      <c r="E4" s="9" t="s">
        <v>13</v>
      </c>
      <c r="F4" s="9" t="s">
        <v>12</v>
      </c>
      <c r="G4" s="9" t="s">
        <v>11</v>
      </c>
      <c r="H4" s="9" t="s">
        <v>10</v>
      </c>
      <c r="I4" s="9" t="s">
        <v>9</v>
      </c>
      <c r="J4" s="9" t="s">
        <v>8</v>
      </c>
      <c r="K4" s="9" t="s">
        <v>7</v>
      </c>
      <c r="L4" s="9" t="s">
        <v>6</v>
      </c>
      <c r="M4" s="9" t="s">
        <v>5</v>
      </c>
      <c r="N4" s="9" t="s">
        <v>4</v>
      </c>
    </row>
    <row r="5" spans="1:15" s="355" customFormat="1" ht="13.5">
      <c r="C5" s="616" t="s">
        <v>403</v>
      </c>
      <c r="D5" s="751"/>
      <c r="E5" s="752"/>
      <c r="F5" s="751"/>
      <c r="G5" s="751"/>
      <c r="H5" s="751"/>
      <c r="I5" s="751"/>
      <c r="J5" s="751"/>
      <c r="K5" s="751"/>
      <c r="L5" s="751"/>
      <c r="M5" s="751"/>
      <c r="N5" s="754"/>
    </row>
    <row r="6" spans="1:15" s="355" customFormat="1" ht="14.25" customHeight="1">
      <c r="A6" s="301" t="s">
        <v>388</v>
      </c>
      <c r="B6" s="302" t="s">
        <v>102</v>
      </c>
      <c r="C6" s="444" t="s">
        <v>402</v>
      </c>
      <c r="D6" s="438" t="s">
        <v>2</v>
      </c>
      <c r="E6" s="419" t="s">
        <v>94</v>
      </c>
      <c r="F6" s="438" t="s">
        <v>3</v>
      </c>
      <c r="G6" s="441" t="s">
        <v>1</v>
      </c>
      <c r="H6" s="504" t="s">
        <v>117</v>
      </c>
      <c r="I6" s="504" t="s">
        <v>118</v>
      </c>
      <c r="J6" s="504" t="s">
        <v>119</v>
      </c>
      <c r="K6" s="438" t="s">
        <v>98</v>
      </c>
      <c r="L6" s="926">
        <v>349999</v>
      </c>
      <c r="M6" s="438" t="s">
        <v>99</v>
      </c>
      <c r="N6" s="348"/>
    </row>
    <row r="7" spans="1:15" s="355" customFormat="1" ht="14.25" customHeight="1">
      <c r="A7" s="301" t="s">
        <v>388</v>
      </c>
      <c r="B7" s="302" t="s">
        <v>102</v>
      </c>
      <c r="D7" s="349" t="s">
        <v>406</v>
      </c>
      <c r="E7" s="355" t="s">
        <v>407</v>
      </c>
      <c r="F7" s="438"/>
      <c r="G7" s="441"/>
      <c r="H7" s="504"/>
      <c r="I7" s="504"/>
      <c r="J7" s="504"/>
      <c r="K7" s="438" t="s">
        <v>104</v>
      </c>
      <c r="L7" s="507"/>
      <c r="M7" s="438"/>
      <c r="N7" s="348"/>
    </row>
    <row r="8" spans="1:15" s="355" customFormat="1" ht="14.25" customHeight="1">
      <c r="A8" s="301" t="s">
        <v>388</v>
      </c>
      <c r="B8" s="302" t="s">
        <v>102</v>
      </c>
      <c r="C8" s="438" t="s">
        <v>404</v>
      </c>
      <c r="D8" s="766" t="s">
        <v>408</v>
      </c>
      <c r="E8" s="355" t="s">
        <v>409</v>
      </c>
      <c r="F8" s="438"/>
      <c r="G8" s="441"/>
      <c r="H8" s="504"/>
      <c r="I8" s="504"/>
      <c r="J8" s="504"/>
      <c r="K8" s="438"/>
      <c r="L8" s="507"/>
      <c r="M8" s="438"/>
      <c r="N8" s="348"/>
    </row>
    <row r="9" spans="1:15" s="355" customFormat="1" ht="14.25" customHeight="1">
      <c r="A9" s="301" t="s">
        <v>388</v>
      </c>
      <c r="B9" s="302" t="s">
        <v>102</v>
      </c>
      <c r="C9" s="438" t="s">
        <v>405</v>
      </c>
      <c r="D9" s="766" t="s">
        <v>410</v>
      </c>
      <c r="E9" s="355" t="s">
        <v>411</v>
      </c>
      <c r="F9" s="925"/>
      <c r="G9" s="438"/>
      <c r="H9" s="441"/>
      <c r="I9" s="504"/>
      <c r="J9" s="504"/>
      <c r="K9" s="504"/>
      <c r="L9" s="438"/>
      <c r="M9" s="507"/>
      <c r="N9" s="438"/>
      <c r="O9" s="348"/>
    </row>
    <row r="10" spans="1:15" s="355" customFormat="1" ht="14.25" customHeight="1">
      <c r="A10" s="301" t="s">
        <v>388</v>
      </c>
      <c r="B10" s="302" t="s">
        <v>102</v>
      </c>
      <c r="C10" s="438"/>
      <c r="D10" s="435" t="s">
        <v>412</v>
      </c>
      <c r="E10" s="355" t="s">
        <v>413</v>
      </c>
      <c r="F10" s="436"/>
      <c r="G10" s="437"/>
      <c r="H10" s="438"/>
      <c r="I10" s="439"/>
      <c r="J10" s="439"/>
      <c r="K10" s="439"/>
      <c r="L10" s="438"/>
      <c r="M10" s="440"/>
      <c r="N10" s="440"/>
      <c r="O10" s="438"/>
    </row>
    <row r="11" spans="1:15" s="355" customFormat="1" ht="14.25" customHeight="1">
      <c r="A11" s="301"/>
      <c r="B11" s="302"/>
      <c r="C11" s="444"/>
      <c r="D11" s="438"/>
      <c r="E11" s="419"/>
      <c r="F11" s="438"/>
      <c r="G11" s="441"/>
      <c r="H11" s="504"/>
      <c r="I11" s="504"/>
      <c r="J11" s="504"/>
      <c r="K11" s="438"/>
      <c r="L11" s="505"/>
      <c r="M11" s="438"/>
      <c r="N11" s="352"/>
      <c r="O11" s="348"/>
    </row>
    <row r="12" spans="1:15" s="355" customFormat="1" ht="14.25" customHeight="1">
      <c r="A12" s="301"/>
      <c r="B12" s="302"/>
      <c r="C12" s="438"/>
      <c r="D12" s="344"/>
      <c r="E12" s="344"/>
      <c r="F12" s="438"/>
      <c r="G12" s="441"/>
      <c r="H12" s="504"/>
      <c r="I12" s="504"/>
      <c r="J12" s="504"/>
      <c r="K12" s="438"/>
      <c r="L12" s="507"/>
      <c r="M12" s="438"/>
      <c r="N12" s="352"/>
      <c r="O12" s="348"/>
    </row>
    <row r="13" spans="1:15" s="355" customFormat="1" ht="14.25" customHeight="1">
      <c r="A13" s="301"/>
      <c r="B13" s="302"/>
      <c r="C13" s="438"/>
      <c r="D13" s="324"/>
      <c r="E13" s="349"/>
      <c r="F13" s="438"/>
      <c r="G13" s="441"/>
      <c r="H13" s="504"/>
      <c r="I13" s="504"/>
      <c r="J13" s="504"/>
      <c r="K13" s="438"/>
      <c r="L13" s="507"/>
      <c r="M13" s="438"/>
      <c r="N13" s="352"/>
      <c r="O13" s="348"/>
    </row>
    <row r="14" spans="1:15" ht="14.25" customHeight="1">
      <c r="A14" s="76"/>
      <c r="B14" s="63"/>
      <c r="C14" s="58"/>
      <c r="D14" s="78"/>
      <c r="E14" s="79"/>
      <c r="F14" s="81"/>
      <c r="G14" s="58"/>
      <c r="H14" s="59"/>
      <c r="I14" s="60"/>
      <c r="J14" s="60"/>
      <c r="K14" s="60"/>
      <c r="L14" s="58"/>
      <c r="M14" s="61"/>
      <c r="N14" s="58"/>
      <c r="O14" s="62"/>
    </row>
    <row r="15" spans="1:15" ht="14.25" customHeight="1">
      <c r="A15" s="76"/>
      <c r="B15" s="63"/>
      <c r="C15" s="58"/>
      <c r="D15" s="90"/>
      <c r="E15" s="94"/>
      <c r="F15" s="90"/>
      <c r="G15" s="90"/>
      <c r="H15" s="91"/>
      <c r="I15" s="91"/>
      <c r="J15" s="91"/>
      <c r="K15" s="91"/>
      <c r="L15" s="92"/>
      <c r="M15" s="93"/>
      <c r="N15" s="91"/>
      <c r="O15" s="91"/>
    </row>
    <row r="16" spans="1:15" ht="14.25" customHeight="1">
      <c r="A16" s="125"/>
      <c r="B16" s="63"/>
      <c r="C16" s="125"/>
      <c r="D16" s="125"/>
      <c r="E16" s="137"/>
      <c r="F16" s="125"/>
      <c r="G16" s="126"/>
      <c r="H16" s="127"/>
      <c r="I16" s="127"/>
      <c r="J16" s="127"/>
      <c r="K16" s="125"/>
      <c r="L16" s="140"/>
      <c r="M16" s="125"/>
      <c r="N16" s="129"/>
    </row>
    <row r="17" spans="1:15" ht="14.25" customHeight="1">
      <c r="A17" s="125"/>
      <c r="B17" s="63"/>
      <c r="C17" s="125"/>
      <c r="D17" s="134"/>
      <c r="F17" s="125"/>
      <c r="G17" s="126"/>
      <c r="H17" s="127"/>
      <c r="I17" s="127"/>
      <c r="J17" s="127"/>
      <c r="K17" s="125"/>
      <c r="L17" s="140"/>
      <c r="M17" s="125"/>
      <c r="N17" s="129"/>
    </row>
    <row r="18" spans="1:15" ht="14.25" customHeight="1">
      <c r="A18" s="125"/>
      <c r="B18" s="63"/>
      <c r="C18" s="125"/>
      <c r="D18" s="130"/>
      <c r="E18" s="135"/>
      <c r="F18" s="125"/>
      <c r="G18" s="126"/>
      <c r="H18" s="127"/>
      <c r="I18" s="127"/>
      <c r="J18" s="127"/>
      <c r="K18" s="125"/>
      <c r="L18" s="140"/>
      <c r="M18" s="125"/>
      <c r="N18" s="129"/>
    </row>
    <row r="19" spans="1:15" ht="14.25" customHeight="1">
      <c r="A19" s="125"/>
      <c r="B19" s="63"/>
      <c r="C19" s="125"/>
      <c r="D19" s="130"/>
      <c r="E19" s="135"/>
      <c r="F19" s="125"/>
      <c r="G19" s="126"/>
      <c r="H19" s="127"/>
      <c r="I19" s="127"/>
      <c r="J19" s="127"/>
      <c r="K19" s="125"/>
      <c r="L19" s="140"/>
      <c r="M19" s="125"/>
      <c r="N19" s="129"/>
    </row>
    <row r="20" spans="1:15" ht="14.25" customHeight="1">
      <c r="A20" s="125"/>
      <c r="B20" s="63"/>
      <c r="C20" s="125"/>
      <c r="D20" s="131"/>
      <c r="E20" s="132"/>
      <c r="F20" s="133"/>
      <c r="G20" s="125"/>
      <c r="H20" s="126"/>
      <c r="I20" s="127"/>
      <c r="J20" s="127"/>
      <c r="K20" s="127"/>
      <c r="L20" s="141"/>
      <c r="M20" s="128"/>
      <c r="N20" s="125"/>
      <c r="O20" s="129"/>
    </row>
    <row r="21" spans="1:15" ht="14.25" customHeight="1">
      <c r="A21" s="125"/>
      <c r="B21" s="63"/>
      <c r="D21" s="131"/>
      <c r="E21" s="132"/>
      <c r="F21" s="133"/>
      <c r="G21" s="125"/>
      <c r="H21" s="126"/>
      <c r="I21" s="127"/>
      <c r="J21" s="127"/>
      <c r="K21" s="127"/>
      <c r="L21" s="141"/>
      <c r="M21" s="128"/>
      <c r="N21" s="125"/>
      <c r="O21" s="129"/>
    </row>
    <row r="22" spans="1:15" ht="27" customHeight="1">
      <c r="A22" s="125"/>
      <c r="B22" s="63"/>
      <c r="C22" s="86"/>
      <c r="D22" s="87"/>
      <c r="E22" s="136"/>
      <c r="F22" s="87"/>
      <c r="G22" s="88"/>
      <c r="H22" s="89"/>
      <c r="I22" s="89"/>
      <c r="J22" s="89"/>
      <c r="K22" s="87"/>
      <c r="L22" s="98"/>
      <c r="M22" s="87"/>
      <c r="N22" s="19"/>
      <c r="O22" s="77"/>
    </row>
    <row r="23" spans="1:15" ht="14.25" customHeight="1">
      <c r="A23" s="125"/>
      <c r="B23" s="63"/>
      <c r="C23" s="58"/>
      <c r="D23" s="96"/>
      <c r="E23" s="96"/>
      <c r="F23" s="58"/>
      <c r="G23" s="59"/>
      <c r="H23" s="60"/>
      <c r="I23" s="60"/>
      <c r="J23" s="60"/>
      <c r="K23" s="58"/>
      <c r="L23" s="64"/>
      <c r="M23" s="58"/>
      <c r="N23" s="19"/>
      <c r="O23" s="62"/>
    </row>
    <row r="24" spans="1:15" ht="14.25" customHeight="1">
      <c r="A24" s="125"/>
      <c r="B24" s="63"/>
      <c r="C24" s="58"/>
      <c r="D24" s="78"/>
      <c r="E24" s="79"/>
      <c r="F24" s="58"/>
      <c r="G24" s="59"/>
      <c r="H24" s="60"/>
      <c r="I24" s="60"/>
      <c r="J24" s="60"/>
      <c r="K24" s="58"/>
      <c r="L24" s="64"/>
      <c r="M24" s="58"/>
      <c r="N24" s="19"/>
      <c r="O24" s="62"/>
    </row>
    <row r="25" spans="1:15" ht="14.25" customHeight="1">
      <c r="A25" s="125"/>
      <c r="B25" s="63"/>
      <c r="C25" s="58"/>
      <c r="D25" s="78"/>
      <c r="E25" s="79"/>
      <c r="F25" s="58"/>
      <c r="G25" s="59"/>
      <c r="H25" s="60"/>
      <c r="I25" s="60"/>
      <c r="J25" s="60"/>
      <c r="K25" s="58"/>
      <c r="L25" s="64"/>
      <c r="M25" s="58"/>
      <c r="N25" s="19"/>
      <c r="O25" s="62"/>
    </row>
    <row r="26" spans="1:15" ht="14.25" customHeight="1">
      <c r="A26" s="125"/>
      <c r="B26" s="63"/>
      <c r="C26" s="58"/>
      <c r="D26" s="78"/>
      <c r="E26" s="79"/>
      <c r="F26" s="58"/>
      <c r="G26" s="59"/>
      <c r="H26" s="60"/>
      <c r="I26" s="60"/>
      <c r="J26" s="60"/>
      <c r="K26" s="58"/>
      <c r="L26" s="64"/>
      <c r="M26" s="58"/>
      <c r="N26" s="19"/>
      <c r="O26" s="62"/>
    </row>
    <row r="27" spans="1:15" ht="14.25" customHeight="1">
      <c r="A27" s="125"/>
      <c r="B27" s="63"/>
      <c r="C27" s="58"/>
      <c r="D27" s="90"/>
      <c r="E27" s="94"/>
      <c r="F27" s="90"/>
      <c r="G27" s="90"/>
      <c r="H27" s="91"/>
      <c r="I27" s="91"/>
      <c r="J27" s="91"/>
      <c r="K27" s="91"/>
      <c r="L27" s="101"/>
      <c r="M27" s="93"/>
      <c r="N27" s="91"/>
      <c r="O27" s="91"/>
    </row>
    <row r="28" spans="1:15" ht="14.25" customHeight="1">
      <c r="A28" s="125"/>
      <c r="B28" s="63"/>
      <c r="C28" s="58"/>
      <c r="D28" s="90"/>
      <c r="E28" s="94"/>
      <c r="F28" s="90"/>
      <c r="G28" s="90"/>
      <c r="H28" s="91"/>
      <c r="I28" s="91"/>
      <c r="J28" s="91"/>
      <c r="K28" s="91"/>
      <c r="L28" s="101"/>
      <c r="M28" s="93"/>
      <c r="N28" s="91"/>
      <c r="O28" s="124"/>
    </row>
    <row r="29" spans="1:15" ht="22.5" customHeight="1">
      <c r="A29" s="125"/>
      <c r="B29" s="63"/>
      <c r="C29" s="86"/>
      <c r="D29" s="87"/>
      <c r="E29" s="95"/>
      <c r="F29" s="87"/>
      <c r="G29" s="88"/>
      <c r="H29" s="89"/>
      <c r="I29" s="89"/>
      <c r="J29" s="89"/>
      <c r="K29" s="87"/>
      <c r="L29" s="98"/>
      <c r="M29" s="87"/>
      <c r="N29" s="19"/>
      <c r="O29" s="77"/>
    </row>
    <row r="30" spans="1:15" ht="14.25" customHeight="1">
      <c r="A30" s="125"/>
      <c r="B30" s="63"/>
      <c r="C30" s="58"/>
      <c r="D30" s="96"/>
      <c r="E30" s="97"/>
      <c r="F30" s="58"/>
      <c r="G30" s="59"/>
      <c r="H30" s="60"/>
      <c r="I30" s="60"/>
      <c r="J30" s="60"/>
      <c r="K30" s="58"/>
      <c r="L30" s="64"/>
      <c r="M30" s="58"/>
      <c r="N30" s="19"/>
      <c r="O30" s="62"/>
    </row>
    <row r="31" spans="1:15" ht="14.25" customHeight="1">
      <c r="A31" s="125"/>
      <c r="B31" s="63"/>
      <c r="C31" s="58"/>
      <c r="D31" s="79"/>
      <c r="E31" s="81"/>
      <c r="F31" s="58"/>
      <c r="G31" s="59"/>
      <c r="H31" s="60"/>
      <c r="I31" s="60"/>
      <c r="J31" s="60"/>
      <c r="K31" s="58"/>
      <c r="L31" s="64"/>
      <c r="M31" s="58"/>
      <c r="N31" s="19"/>
      <c r="O31" s="62"/>
    </row>
    <row r="32" spans="1:15">
      <c r="A32" s="125"/>
      <c r="B32" s="63"/>
      <c r="C32" s="58"/>
      <c r="D32" s="79"/>
      <c r="E32" s="81"/>
      <c r="F32" s="58"/>
      <c r="G32" s="59"/>
      <c r="H32" s="60"/>
      <c r="I32" s="60"/>
      <c r="J32" s="60"/>
      <c r="K32" s="58"/>
      <c r="L32" s="64"/>
      <c r="M32" s="58"/>
      <c r="N32" s="19"/>
      <c r="O32" s="62"/>
    </row>
    <row r="33" spans="1:15">
      <c r="A33" s="125"/>
      <c r="B33" s="63"/>
      <c r="C33" s="58"/>
      <c r="D33" s="78"/>
      <c r="E33" s="79"/>
      <c r="F33" s="58"/>
      <c r="G33" s="59"/>
      <c r="H33" s="60"/>
      <c r="I33" s="60"/>
      <c r="J33" s="60"/>
      <c r="K33" s="58"/>
      <c r="L33" s="64"/>
      <c r="M33" s="58"/>
      <c r="N33" s="19"/>
      <c r="O33" s="62"/>
    </row>
    <row r="34" spans="1:15">
      <c r="C34" s="58"/>
      <c r="D34" s="90"/>
      <c r="E34" s="94"/>
      <c r="F34" s="90"/>
      <c r="G34" s="91"/>
      <c r="H34" s="91"/>
      <c r="I34" s="91"/>
      <c r="J34" s="91"/>
      <c r="K34" s="92"/>
      <c r="L34" s="101"/>
      <c r="M34" s="91"/>
      <c r="N34" s="19"/>
      <c r="O34" s="91"/>
    </row>
    <row r="35" spans="1:15">
      <c r="A35" s="125"/>
      <c r="B35" s="63"/>
      <c r="C35" s="86"/>
      <c r="D35" s="87"/>
      <c r="E35" s="95"/>
      <c r="F35" s="87"/>
      <c r="G35" s="88"/>
      <c r="H35" s="89"/>
      <c r="I35" s="89"/>
      <c r="J35" s="89"/>
      <c r="K35" s="87"/>
      <c r="L35" s="98"/>
      <c r="M35" s="87"/>
      <c r="N35" s="19"/>
      <c r="O35" s="77"/>
    </row>
    <row r="36" spans="1:15">
      <c r="A36" s="125"/>
      <c r="B36" s="63"/>
      <c r="C36" s="58"/>
      <c r="D36" s="96"/>
      <c r="E36" s="96"/>
      <c r="F36" s="58"/>
      <c r="G36" s="59"/>
      <c r="H36" s="60"/>
      <c r="I36" s="60"/>
      <c r="J36" s="60"/>
      <c r="K36" s="58"/>
      <c r="L36" s="64"/>
      <c r="M36" s="58"/>
      <c r="N36" s="19"/>
      <c r="O36" s="62"/>
    </row>
    <row r="37" spans="1:15" ht="14.25" customHeight="1">
      <c r="C37" s="8"/>
      <c r="D37" s="8"/>
      <c r="E37" s="7"/>
      <c r="F37" s="6"/>
      <c r="G37" s="6"/>
      <c r="H37" s="5"/>
      <c r="I37" s="5"/>
      <c r="J37" s="5"/>
      <c r="K37" s="6"/>
      <c r="L37" s="4"/>
      <c r="M37" s="6"/>
      <c r="N37" s="2"/>
    </row>
    <row r="38" spans="1:15" ht="14.25" customHeight="1">
      <c r="C38" s="8"/>
      <c r="D38" s="8"/>
      <c r="E38" s="7"/>
      <c r="F38" s="6"/>
      <c r="G38" s="6"/>
      <c r="H38" s="5"/>
      <c r="I38" s="5"/>
      <c r="J38" s="5"/>
      <c r="K38" s="6"/>
      <c r="L38" s="4"/>
      <c r="M38" s="3"/>
      <c r="N38" s="2"/>
    </row>
    <row r="39" spans="1:15" ht="14.25" customHeight="1">
      <c r="C39" s="8"/>
      <c r="D39" s="8"/>
      <c r="E39" s="7"/>
      <c r="F39" s="6"/>
      <c r="G39" s="5"/>
      <c r="H39" s="5"/>
      <c r="I39" s="5"/>
      <c r="J39" s="5"/>
      <c r="K39" s="4"/>
      <c r="L39" s="4"/>
      <c r="M39" s="3"/>
      <c r="N39" s="2"/>
    </row>
    <row r="40" spans="1:15" ht="14.25" customHeight="1">
      <c r="C40" s="19"/>
      <c r="D40" s="19"/>
      <c r="E40" s="19"/>
      <c r="F40" s="19"/>
      <c r="G40" s="19"/>
      <c r="H40" s="19"/>
      <c r="I40" s="19"/>
      <c r="J40" s="19"/>
      <c r="K40" s="19"/>
      <c r="L40" s="19"/>
      <c r="M40" s="19"/>
      <c r="N40" s="19"/>
    </row>
    <row r="41" spans="1:15" ht="14.25" customHeight="1">
      <c r="C41" s="31"/>
      <c r="D41" s="27"/>
      <c r="E41" s="20"/>
      <c r="F41" s="28"/>
      <c r="G41" s="28"/>
      <c r="H41" s="26"/>
      <c r="I41" s="26"/>
      <c r="J41" s="26"/>
      <c r="K41" s="28"/>
      <c r="L41" s="29"/>
      <c r="M41" s="28"/>
      <c r="N41" s="27"/>
    </row>
    <row r="42" spans="1:15" s="1" customFormat="1" ht="14.25" customHeight="1">
      <c r="C42" s="31"/>
      <c r="D42" s="27"/>
      <c r="E42" s="21"/>
      <c r="F42" s="28"/>
      <c r="G42" s="28"/>
      <c r="H42" s="26"/>
      <c r="I42" s="26"/>
      <c r="J42" s="26"/>
      <c r="K42" s="28"/>
      <c r="L42" s="29"/>
      <c r="M42" s="28"/>
      <c r="N42" s="27"/>
    </row>
    <row r="43" spans="1:15" s="1" customFormat="1" ht="14.25" customHeight="1">
      <c r="C43" s="30"/>
      <c r="D43" s="25"/>
      <c r="E43" s="21"/>
      <c r="F43" s="22"/>
      <c r="G43" s="22"/>
      <c r="H43" s="23"/>
      <c r="I43" s="23"/>
      <c r="J43" s="23"/>
      <c r="K43" s="22"/>
      <c r="L43" s="24"/>
      <c r="M43" s="22"/>
      <c r="N43" s="25"/>
    </row>
    <row r="44" spans="1:15">
      <c r="L44" s="2385">
        <f>SUM(L6:L43)</f>
        <v>349999</v>
      </c>
    </row>
  </sheetData>
  <mergeCells count="5">
    <mergeCell ref="C2:G2"/>
    <mergeCell ref="H2:J2"/>
    <mergeCell ref="K2:L2"/>
    <mergeCell ref="M2:M3"/>
    <mergeCell ref="N2:N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72DFC-CD80-4E7A-B99B-967A844190E4}">
  <sheetPr>
    <tabColor rgb="FFFFC000"/>
  </sheetPr>
  <dimension ref="A2:O88"/>
  <sheetViews>
    <sheetView workbookViewId="0">
      <pane ySplit="4" topLeftCell="A58" activePane="bottomLeft" state="frozen"/>
      <selection pane="bottomLeft" activeCell="L62" sqref="L62"/>
    </sheetView>
  </sheetViews>
  <sheetFormatPr defaultRowHeight="15"/>
  <cols>
    <col min="3" max="3" width="21.42578125" customWidth="1"/>
    <col min="4" max="4" width="20.5703125" customWidth="1"/>
    <col min="5" max="5" width="26" customWidth="1"/>
    <col min="6" max="6" width="16.7109375" customWidth="1"/>
    <col min="7" max="7" width="11.7109375" customWidth="1"/>
    <col min="8" max="8" width="13.7109375" customWidth="1"/>
    <col min="10" max="10" width="12.5703125" customWidth="1"/>
    <col min="11" max="11" width="21.85546875" customWidth="1"/>
    <col min="12" max="12" width="15.5703125" customWidth="1"/>
    <col min="13" max="13" width="16.28515625" customWidth="1"/>
    <col min="14" max="14" width="12.85546875" customWidth="1"/>
  </cols>
  <sheetData>
    <row r="2" spans="1:15">
      <c r="C2" s="2627" t="s">
        <v>30</v>
      </c>
      <c r="D2" s="2627"/>
      <c r="E2" s="2627"/>
      <c r="F2" s="2627"/>
      <c r="G2" s="2627"/>
      <c r="H2" s="2628" t="s">
        <v>29</v>
      </c>
      <c r="I2" s="2628"/>
      <c r="J2" s="2628"/>
      <c r="K2" s="2627" t="s">
        <v>28</v>
      </c>
      <c r="L2" s="2627"/>
      <c r="M2" s="2628" t="s">
        <v>27</v>
      </c>
      <c r="N2" s="2628" t="s">
        <v>26</v>
      </c>
    </row>
    <row r="3" spans="1:15" ht="72">
      <c r="C3" s="10" t="s">
        <v>25</v>
      </c>
      <c r="D3" s="13" t="s">
        <v>24</v>
      </c>
      <c r="E3" s="12" t="s">
        <v>23</v>
      </c>
      <c r="F3" s="10" t="s">
        <v>22</v>
      </c>
      <c r="G3" s="11" t="s">
        <v>21</v>
      </c>
      <c r="H3" s="11" t="s">
        <v>20</v>
      </c>
      <c r="I3" s="11" t="s">
        <v>19</v>
      </c>
      <c r="J3" s="11" t="s">
        <v>18</v>
      </c>
      <c r="K3" s="10" t="s">
        <v>17</v>
      </c>
      <c r="L3" s="10" t="s">
        <v>16</v>
      </c>
      <c r="M3" s="2628"/>
      <c r="N3" s="2628"/>
    </row>
    <row r="4" spans="1:15">
      <c r="C4" s="9" t="s">
        <v>15</v>
      </c>
      <c r="D4" s="9" t="s">
        <v>14</v>
      </c>
      <c r="E4" s="9" t="s">
        <v>13</v>
      </c>
      <c r="F4" s="9" t="s">
        <v>12</v>
      </c>
      <c r="G4" s="9" t="s">
        <v>11</v>
      </c>
      <c r="H4" s="9" t="s">
        <v>10</v>
      </c>
      <c r="I4" s="9" t="s">
        <v>9</v>
      </c>
      <c r="J4" s="9" t="s">
        <v>8</v>
      </c>
      <c r="K4" s="9" t="s">
        <v>7</v>
      </c>
      <c r="L4" s="9" t="s">
        <v>6</v>
      </c>
      <c r="M4" s="9" t="s">
        <v>5</v>
      </c>
      <c r="N4" s="9" t="s">
        <v>4</v>
      </c>
    </row>
    <row r="5" spans="1:15" s="355" customFormat="1" ht="13.5">
      <c r="C5" s="616" t="s">
        <v>158</v>
      </c>
      <c r="D5" s="751"/>
      <c r="E5" s="752"/>
      <c r="F5" s="751"/>
      <c r="G5" s="751"/>
      <c r="H5" s="751"/>
      <c r="I5" s="751"/>
      <c r="J5" s="751"/>
      <c r="K5" s="751"/>
      <c r="L5" s="751"/>
      <c r="M5" s="751"/>
      <c r="N5" s="754"/>
    </row>
    <row r="6" spans="1:15" s="355" customFormat="1" ht="14.25" customHeight="1">
      <c r="A6" s="301" t="s">
        <v>121</v>
      </c>
      <c r="B6" s="302" t="s">
        <v>102</v>
      </c>
      <c r="C6" s="444" t="s">
        <v>157</v>
      </c>
      <c r="D6" s="438" t="s">
        <v>2</v>
      </c>
      <c r="E6" s="419" t="s">
        <v>94</v>
      </c>
      <c r="F6" s="438" t="s">
        <v>3</v>
      </c>
      <c r="G6" s="441" t="s">
        <v>1</v>
      </c>
      <c r="H6" s="504" t="s">
        <v>117</v>
      </c>
      <c r="I6" s="504" t="s">
        <v>118</v>
      </c>
      <c r="J6" s="504" t="s">
        <v>119</v>
      </c>
      <c r="K6" s="438" t="s">
        <v>98</v>
      </c>
      <c r="L6" s="505">
        <v>270000</v>
      </c>
      <c r="M6" s="438" t="s">
        <v>99</v>
      </c>
      <c r="N6" s="348"/>
    </row>
    <row r="7" spans="1:15" s="355" customFormat="1" ht="14.25" customHeight="1">
      <c r="A7" s="301" t="s">
        <v>121</v>
      </c>
      <c r="B7" s="302" t="s">
        <v>102</v>
      </c>
      <c r="C7" s="438" t="s">
        <v>159</v>
      </c>
      <c r="D7" s="344" t="s">
        <v>365</v>
      </c>
      <c r="E7" s="344" t="s">
        <v>190</v>
      </c>
      <c r="F7" s="438"/>
      <c r="G7" s="441"/>
      <c r="H7" s="504"/>
      <c r="I7" s="504"/>
      <c r="J7" s="504"/>
      <c r="K7" s="438" t="s">
        <v>104</v>
      </c>
      <c r="L7" s="505"/>
      <c r="M7" s="438"/>
      <c r="N7" s="348"/>
    </row>
    <row r="8" spans="1:15" s="355" customFormat="1" ht="14.25" customHeight="1">
      <c r="A8" s="301" t="s">
        <v>121</v>
      </c>
      <c r="B8" s="302" t="s">
        <v>102</v>
      </c>
      <c r="C8" s="438" t="s">
        <v>160</v>
      </c>
      <c r="D8" s="324"/>
      <c r="E8" s="349"/>
      <c r="F8" s="438"/>
      <c r="G8" s="441"/>
      <c r="H8" s="504"/>
      <c r="I8" s="504"/>
      <c r="J8" s="504"/>
      <c r="K8" s="438"/>
      <c r="L8" s="505"/>
      <c r="M8" s="438"/>
      <c r="N8" s="348"/>
    </row>
    <row r="9" spans="1:15" s="355" customFormat="1" ht="14.25" customHeight="1">
      <c r="A9" s="301" t="s">
        <v>121</v>
      </c>
      <c r="B9" s="302" t="s">
        <v>102</v>
      </c>
      <c r="C9" s="438" t="s">
        <v>161</v>
      </c>
      <c r="D9" s="324"/>
      <c r="E9" s="349"/>
      <c r="F9" s="438"/>
      <c r="G9" s="441"/>
      <c r="H9" s="504"/>
      <c r="I9" s="504"/>
      <c r="J9" s="504"/>
      <c r="K9" s="438"/>
      <c r="L9" s="505"/>
      <c r="M9" s="438"/>
      <c r="N9" s="348"/>
    </row>
    <row r="10" spans="1:15" s="355" customFormat="1" ht="14.25" customHeight="1">
      <c r="A10" s="301" t="s">
        <v>121</v>
      </c>
      <c r="B10" s="302" t="s">
        <v>102</v>
      </c>
      <c r="D10" s="324"/>
      <c r="E10" s="349"/>
      <c r="F10" s="360"/>
      <c r="G10" s="438"/>
      <c r="H10" s="441"/>
      <c r="I10" s="504"/>
      <c r="J10" s="504"/>
      <c r="K10" s="504"/>
      <c r="L10" s="519"/>
      <c r="M10" s="507"/>
      <c r="N10" s="438"/>
      <c r="O10" s="348"/>
    </row>
    <row r="11" spans="1:15" s="355" customFormat="1" ht="14.25" customHeight="1">
      <c r="A11" s="301" t="s">
        <v>121</v>
      </c>
      <c r="B11" s="302" t="s">
        <v>102</v>
      </c>
      <c r="C11" s="444" t="s">
        <v>157</v>
      </c>
      <c r="D11" s="438" t="s">
        <v>2</v>
      </c>
      <c r="E11" s="419" t="s">
        <v>94</v>
      </c>
      <c r="F11" s="438" t="s">
        <v>3</v>
      </c>
      <c r="G11" s="441" t="s">
        <v>1</v>
      </c>
      <c r="H11" s="504" t="s">
        <v>117</v>
      </c>
      <c r="I11" s="504" t="s">
        <v>118</v>
      </c>
      <c r="J11" s="504" t="s">
        <v>119</v>
      </c>
      <c r="K11" s="438" t="s">
        <v>98</v>
      </c>
      <c r="L11" s="505">
        <v>45000</v>
      </c>
      <c r="M11" s="438" t="s">
        <v>99</v>
      </c>
      <c r="N11" s="352"/>
      <c r="O11" s="348"/>
    </row>
    <row r="12" spans="1:15" s="355" customFormat="1" ht="14.25" customHeight="1">
      <c r="A12" s="301" t="s">
        <v>121</v>
      </c>
      <c r="B12" s="302" t="s">
        <v>102</v>
      </c>
      <c r="C12" s="438" t="s">
        <v>158</v>
      </c>
      <c r="D12" s="344" t="s">
        <v>364</v>
      </c>
      <c r="E12" s="344" t="s">
        <v>362</v>
      </c>
      <c r="F12" s="438"/>
      <c r="G12" s="441"/>
      <c r="H12" s="504"/>
      <c r="I12" s="504"/>
      <c r="J12" s="504"/>
      <c r="K12" s="438" t="s">
        <v>104</v>
      </c>
      <c r="L12" s="507"/>
      <c r="M12" s="438"/>
      <c r="N12" s="352"/>
      <c r="O12" s="348"/>
    </row>
    <row r="13" spans="1:15" s="355" customFormat="1" ht="14.25" customHeight="1">
      <c r="A13" s="301" t="s">
        <v>121</v>
      </c>
      <c r="B13" s="302" t="s">
        <v>102</v>
      </c>
      <c r="C13" s="438" t="s">
        <v>160</v>
      </c>
      <c r="D13" s="324"/>
      <c r="E13" s="349"/>
      <c r="F13" s="438"/>
      <c r="G13" s="441"/>
      <c r="H13" s="504"/>
      <c r="I13" s="504"/>
      <c r="J13" s="504"/>
      <c r="K13" s="438"/>
      <c r="L13" s="507"/>
      <c r="M13" s="438"/>
      <c r="N13" s="352"/>
      <c r="O13" s="348"/>
    </row>
    <row r="14" spans="1:15" s="355" customFormat="1" ht="14.25" customHeight="1">
      <c r="A14" s="301" t="s">
        <v>121</v>
      </c>
      <c r="B14" s="302" t="s">
        <v>102</v>
      </c>
      <c r="C14" s="438" t="s">
        <v>161</v>
      </c>
      <c r="D14" s="324"/>
      <c r="E14" s="349"/>
      <c r="F14" s="358"/>
      <c r="G14" s="438"/>
      <c r="H14" s="441"/>
      <c r="I14" s="504"/>
      <c r="J14" s="504"/>
      <c r="K14" s="504"/>
      <c r="L14" s="438"/>
      <c r="M14" s="507"/>
      <c r="N14" s="438"/>
      <c r="O14" s="348"/>
    </row>
    <row r="15" spans="1:15" s="355" customFormat="1" ht="14.25" customHeight="1">
      <c r="A15" s="301"/>
      <c r="B15" s="302"/>
      <c r="C15" s="438"/>
      <c r="D15" s="350"/>
      <c r="E15" s="351"/>
      <c r="F15" s="350"/>
      <c r="G15" s="350"/>
      <c r="H15" s="352"/>
      <c r="I15" s="352"/>
      <c r="J15" s="352"/>
      <c r="K15" s="352"/>
      <c r="L15" s="352"/>
      <c r="M15" s="770"/>
      <c r="N15" s="352"/>
      <c r="O15" s="352"/>
    </row>
    <row r="16" spans="1:15" s="355" customFormat="1" ht="14.25" customHeight="1">
      <c r="A16" s="513" t="s">
        <v>273</v>
      </c>
      <c r="B16" s="302" t="s">
        <v>102</v>
      </c>
      <c r="C16" s="513" t="s">
        <v>144</v>
      </c>
      <c r="D16" s="513" t="s">
        <v>2</v>
      </c>
      <c r="E16" s="518" t="s">
        <v>94</v>
      </c>
      <c r="F16" s="513" t="s">
        <v>3</v>
      </c>
      <c r="G16" s="514" t="s">
        <v>1</v>
      </c>
      <c r="H16" s="515" t="s">
        <v>117</v>
      </c>
      <c r="I16" s="515" t="s">
        <v>118</v>
      </c>
      <c r="J16" s="515" t="s">
        <v>119</v>
      </c>
      <c r="K16" s="513" t="s">
        <v>356</v>
      </c>
      <c r="L16" s="516">
        <v>5000</v>
      </c>
      <c r="M16" s="513" t="s">
        <v>99</v>
      </c>
      <c r="N16" s="329"/>
    </row>
    <row r="17" spans="1:15" s="355" customFormat="1" ht="14.25" customHeight="1">
      <c r="A17" s="513" t="s">
        <v>273</v>
      </c>
      <c r="B17" s="302" t="s">
        <v>102</v>
      </c>
      <c r="C17" s="513" t="s">
        <v>158</v>
      </c>
      <c r="D17" s="349" t="s">
        <v>363</v>
      </c>
      <c r="E17" s="355" t="s">
        <v>362</v>
      </c>
      <c r="F17" s="513"/>
      <c r="G17" s="514"/>
      <c r="H17" s="515"/>
      <c r="I17" s="515"/>
      <c r="J17" s="515"/>
      <c r="K17" s="513" t="s">
        <v>104</v>
      </c>
      <c r="L17" s="516"/>
      <c r="M17" s="513" t="s">
        <v>0</v>
      </c>
      <c r="N17" s="329"/>
    </row>
    <row r="18" spans="1:15" s="355" customFormat="1" ht="14.25" customHeight="1">
      <c r="A18" s="513" t="s">
        <v>273</v>
      </c>
      <c r="B18" s="302" t="s">
        <v>102</v>
      </c>
      <c r="C18" s="513" t="s">
        <v>159</v>
      </c>
      <c r="D18" s="324"/>
      <c r="E18" s="325"/>
      <c r="F18" s="513"/>
      <c r="G18" s="514"/>
      <c r="H18" s="515"/>
      <c r="I18" s="515"/>
      <c r="J18" s="515"/>
      <c r="K18" s="513"/>
      <c r="L18" s="516"/>
      <c r="M18" s="513"/>
      <c r="N18" s="329"/>
    </row>
    <row r="19" spans="1:15" s="355" customFormat="1" ht="14.25" customHeight="1">
      <c r="A19" s="513" t="s">
        <v>273</v>
      </c>
      <c r="B19" s="302" t="s">
        <v>102</v>
      </c>
      <c r="C19" s="513" t="s">
        <v>270</v>
      </c>
      <c r="D19" s="324"/>
      <c r="E19" s="325"/>
      <c r="F19" s="513"/>
      <c r="G19" s="514"/>
      <c r="H19" s="515"/>
      <c r="I19" s="515"/>
      <c r="J19" s="515"/>
      <c r="K19" s="513"/>
      <c r="L19" s="516"/>
      <c r="M19" s="513"/>
      <c r="N19" s="329"/>
    </row>
    <row r="20" spans="1:15" s="355" customFormat="1" ht="14.25" customHeight="1">
      <c r="A20" s="513" t="s">
        <v>273</v>
      </c>
      <c r="B20" s="302" t="s">
        <v>102</v>
      </c>
      <c r="C20" s="513" t="s">
        <v>272</v>
      </c>
      <c r="D20" s="330"/>
      <c r="E20" s="331"/>
      <c r="F20" s="332"/>
      <c r="G20" s="513"/>
      <c r="H20" s="514"/>
      <c r="I20" s="515"/>
      <c r="J20" s="515"/>
      <c r="K20" s="515"/>
      <c r="L20" s="864"/>
      <c r="M20" s="517"/>
      <c r="N20" s="513"/>
      <c r="O20" s="329"/>
    </row>
    <row r="21" spans="1:15" s="355" customFormat="1" ht="14.25" customHeight="1">
      <c r="A21" s="513" t="s">
        <v>273</v>
      </c>
      <c r="B21" s="302" t="s">
        <v>102</v>
      </c>
      <c r="D21" s="330"/>
      <c r="E21" s="331"/>
      <c r="F21" s="332"/>
      <c r="G21" s="513"/>
      <c r="H21" s="514"/>
      <c r="I21" s="515"/>
      <c r="J21" s="515"/>
      <c r="K21" s="515"/>
      <c r="L21" s="864"/>
      <c r="M21" s="517"/>
      <c r="N21" s="513"/>
      <c r="O21" s="329"/>
    </row>
    <row r="22" spans="1:15" s="355" customFormat="1" ht="27" customHeight="1">
      <c r="A22" s="513" t="s">
        <v>273</v>
      </c>
      <c r="B22" s="302" t="s">
        <v>102</v>
      </c>
      <c r="C22" s="531" t="s">
        <v>157</v>
      </c>
      <c r="D22" s="532" t="s">
        <v>2</v>
      </c>
      <c r="E22" s="337" t="s">
        <v>94</v>
      </c>
      <c r="F22" s="532" t="s">
        <v>3</v>
      </c>
      <c r="G22" s="533" t="s">
        <v>1</v>
      </c>
      <c r="H22" s="619" t="s">
        <v>117</v>
      </c>
      <c r="I22" s="619" t="s">
        <v>118</v>
      </c>
      <c r="J22" s="619" t="s">
        <v>119</v>
      </c>
      <c r="K22" s="532" t="s">
        <v>357</v>
      </c>
      <c r="L22" s="620">
        <v>6240</v>
      </c>
      <c r="M22" s="532" t="s">
        <v>99</v>
      </c>
      <c r="N22" s="352"/>
      <c r="O22" s="342"/>
    </row>
    <row r="23" spans="1:15" s="355" customFormat="1" ht="14.25" customHeight="1">
      <c r="A23" s="513" t="s">
        <v>273</v>
      </c>
      <c r="B23" s="302" t="s">
        <v>102</v>
      </c>
      <c r="C23" s="438" t="s">
        <v>158</v>
      </c>
      <c r="D23" s="344" t="s">
        <v>361</v>
      </c>
      <c r="E23" s="344" t="s">
        <v>360</v>
      </c>
      <c r="F23" s="438"/>
      <c r="G23" s="441"/>
      <c r="H23" s="504"/>
      <c r="I23" s="504"/>
      <c r="J23" s="504"/>
      <c r="K23" s="438" t="s">
        <v>104</v>
      </c>
      <c r="L23" s="505"/>
      <c r="M23" s="438" t="s">
        <v>358</v>
      </c>
      <c r="N23" s="352"/>
      <c r="O23" s="348"/>
    </row>
    <row r="24" spans="1:15" s="355" customFormat="1" ht="14.25" customHeight="1">
      <c r="A24" s="513" t="s">
        <v>273</v>
      </c>
      <c r="B24" s="302" t="s">
        <v>102</v>
      </c>
      <c r="C24" s="438" t="s">
        <v>159</v>
      </c>
      <c r="D24" s="324"/>
      <c r="E24" s="349"/>
      <c r="F24" s="438"/>
      <c r="G24" s="441"/>
      <c r="H24" s="504"/>
      <c r="I24" s="504"/>
      <c r="J24" s="504"/>
      <c r="K24" s="438"/>
      <c r="L24" s="505"/>
      <c r="M24" s="438"/>
      <c r="N24" s="352"/>
      <c r="O24" s="348"/>
    </row>
    <row r="25" spans="1:15" s="355" customFormat="1" ht="14.25" customHeight="1">
      <c r="A25" s="513" t="s">
        <v>273</v>
      </c>
      <c r="B25" s="302" t="s">
        <v>102</v>
      </c>
      <c r="C25" s="438" t="s">
        <v>270</v>
      </c>
      <c r="D25" s="324"/>
      <c r="E25" s="349"/>
      <c r="F25" s="438"/>
      <c r="G25" s="441"/>
      <c r="H25" s="504"/>
      <c r="I25" s="504"/>
      <c r="J25" s="504"/>
      <c r="K25" s="438"/>
      <c r="L25" s="505"/>
      <c r="M25" s="438"/>
      <c r="N25" s="352"/>
      <c r="O25" s="348"/>
    </row>
    <row r="26" spans="1:15" s="355" customFormat="1" ht="14.25" customHeight="1">
      <c r="A26" s="513" t="s">
        <v>273</v>
      </c>
      <c r="B26" s="302" t="s">
        <v>102</v>
      </c>
      <c r="C26" s="438" t="s">
        <v>359</v>
      </c>
      <c r="D26" s="324"/>
      <c r="E26" s="349"/>
      <c r="F26" s="438"/>
      <c r="G26" s="441"/>
      <c r="H26" s="504"/>
      <c r="I26" s="504"/>
      <c r="J26" s="504"/>
      <c r="K26" s="438"/>
      <c r="L26" s="505"/>
      <c r="M26" s="438"/>
      <c r="N26" s="352"/>
      <c r="O26" s="348"/>
    </row>
    <row r="27" spans="1:15" s="355" customFormat="1" ht="14.25" customHeight="1">
      <c r="A27" s="568" t="s">
        <v>273</v>
      </c>
      <c r="B27" s="302" t="s">
        <v>102</v>
      </c>
      <c r="C27" s="520" t="s">
        <v>273</v>
      </c>
      <c r="D27" s="350"/>
      <c r="E27" s="351"/>
      <c r="F27" s="350"/>
      <c r="G27" s="350"/>
      <c r="H27" s="352"/>
      <c r="I27" s="352"/>
      <c r="J27" s="352"/>
      <c r="K27" s="352"/>
      <c r="L27" s="409"/>
      <c r="M27" s="770"/>
      <c r="N27" s="352"/>
      <c r="O27" s="352"/>
    </row>
    <row r="28" spans="1:15" s="355" customFormat="1" ht="14.25" customHeight="1">
      <c r="A28" s="513" t="s">
        <v>273</v>
      </c>
      <c r="B28" s="342" t="s">
        <v>102</v>
      </c>
      <c r="C28" s="438"/>
      <c r="D28" s="350"/>
      <c r="E28" s="351"/>
      <c r="F28" s="350"/>
      <c r="G28" s="350"/>
      <c r="H28" s="352"/>
      <c r="I28" s="352"/>
      <c r="J28" s="352"/>
      <c r="K28" s="352"/>
      <c r="L28" s="409"/>
      <c r="M28" s="770"/>
      <c r="N28" s="352"/>
    </row>
    <row r="29" spans="1:15" s="355" customFormat="1" ht="22.5" customHeight="1">
      <c r="A29" s="513" t="s">
        <v>273</v>
      </c>
      <c r="B29" s="342" t="s">
        <v>102</v>
      </c>
      <c r="C29" s="531" t="s">
        <v>157</v>
      </c>
      <c r="D29" s="532" t="s">
        <v>2</v>
      </c>
      <c r="E29" s="337" t="s">
        <v>94</v>
      </c>
      <c r="F29" s="532" t="s">
        <v>3</v>
      </c>
      <c r="G29" s="533" t="s">
        <v>1</v>
      </c>
      <c r="H29" s="619" t="s">
        <v>117</v>
      </c>
      <c r="I29" s="619" t="s">
        <v>118</v>
      </c>
      <c r="J29" s="619" t="s">
        <v>119</v>
      </c>
      <c r="K29" s="532" t="s">
        <v>357</v>
      </c>
      <c r="L29" s="620">
        <v>108500</v>
      </c>
      <c r="M29" s="532" t="s">
        <v>99</v>
      </c>
      <c r="N29" s="352"/>
      <c r="O29" s="342"/>
    </row>
    <row r="30" spans="1:15" s="355" customFormat="1" ht="14.25" customHeight="1">
      <c r="A30" s="513" t="s">
        <v>273</v>
      </c>
      <c r="B30" s="342" t="s">
        <v>102</v>
      </c>
      <c r="C30" s="438" t="s">
        <v>158</v>
      </c>
      <c r="D30" s="344" t="s">
        <v>366</v>
      </c>
      <c r="E30" s="357" t="s">
        <v>367</v>
      </c>
      <c r="F30" s="438"/>
      <c r="G30" s="441"/>
      <c r="H30" s="504"/>
      <c r="I30" s="504"/>
      <c r="J30" s="504"/>
      <c r="K30" s="438" t="s">
        <v>104</v>
      </c>
      <c r="L30" s="505"/>
      <c r="M30" s="438"/>
      <c r="N30" s="352"/>
      <c r="O30" s="348"/>
    </row>
    <row r="31" spans="1:15" s="355" customFormat="1" ht="14.25" customHeight="1">
      <c r="A31" s="513" t="s">
        <v>273</v>
      </c>
      <c r="B31" s="342" t="s">
        <v>102</v>
      </c>
      <c r="C31" s="438" t="s">
        <v>159</v>
      </c>
      <c r="D31" s="349" t="s">
        <v>368</v>
      </c>
      <c r="E31" s="358" t="s">
        <v>367</v>
      </c>
      <c r="F31" s="438"/>
      <c r="G31" s="441"/>
      <c r="H31" s="504"/>
      <c r="I31" s="504"/>
      <c r="J31" s="504"/>
      <c r="K31" s="438"/>
      <c r="L31" s="505"/>
      <c r="M31" s="438"/>
      <c r="N31" s="352"/>
      <c r="O31" s="348"/>
    </row>
    <row r="32" spans="1:15" s="355" customFormat="1" ht="14.25" customHeight="1">
      <c r="A32" s="513" t="s">
        <v>273</v>
      </c>
      <c r="B32" s="342" t="s">
        <v>102</v>
      </c>
      <c r="C32" s="438" t="s">
        <v>270</v>
      </c>
      <c r="D32" s="349" t="s">
        <v>369</v>
      </c>
      <c r="E32" s="358" t="s">
        <v>367</v>
      </c>
      <c r="F32" s="438"/>
      <c r="G32" s="441"/>
      <c r="H32" s="504"/>
      <c r="I32" s="504"/>
      <c r="J32" s="504"/>
      <c r="K32" s="438"/>
      <c r="L32" s="505"/>
      <c r="M32" s="438"/>
      <c r="N32" s="352"/>
      <c r="O32" s="348"/>
    </row>
    <row r="33" spans="1:15" s="355" customFormat="1" ht="14.25" customHeight="1">
      <c r="A33" s="513" t="s">
        <v>273</v>
      </c>
      <c r="B33" s="342" t="s">
        <v>102</v>
      </c>
      <c r="C33" s="438" t="s">
        <v>359</v>
      </c>
      <c r="D33" s="324"/>
      <c r="E33" s="349"/>
      <c r="F33" s="438"/>
      <c r="G33" s="441"/>
      <c r="H33" s="504"/>
      <c r="I33" s="504"/>
      <c r="J33" s="504"/>
      <c r="K33" s="438"/>
      <c r="L33" s="505"/>
      <c r="M33" s="438"/>
      <c r="N33" s="352"/>
      <c r="O33" s="348"/>
    </row>
    <row r="34" spans="1:15" s="355" customFormat="1" ht="14.25" customHeight="1">
      <c r="A34" s="352"/>
      <c r="B34" s="352"/>
      <c r="C34" s="438"/>
      <c r="D34" s="350"/>
      <c r="E34" s="351"/>
      <c r="F34" s="350"/>
      <c r="G34" s="352"/>
      <c r="H34" s="352"/>
      <c r="I34" s="352"/>
      <c r="J34" s="352"/>
      <c r="K34" s="352"/>
      <c r="L34" s="409"/>
      <c r="M34" s="352"/>
      <c r="N34" s="352"/>
      <c r="O34" s="352"/>
    </row>
    <row r="35" spans="1:15" s="355" customFormat="1" ht="14.25" customHeight="1">
      <c r="A35" s="513" t="s">
        <v>273</v>
      </c>
      <c r="B35" s="342" t="s">
        <v>102</v>
      </c>
      <c r="C35" s="531" t="s">
        <v>157</v>
      </c>
      <c r="D35" s="532" t="s">
        <v>2</v>
      </c>
      <c r="E35" s="337" t="s">
        <v>94</v>
      </c>
      <c r="F35" s="532" t="s">
        <v>3</v>
      </c>
      <c r="G35" s="533" t="s">
        <v>1</v>
      </c>
      <c r="H35" s="619" t="s">
        <v>117</v>
      </c>
      <c r="I35" s="619" t="s">
        <v>118</v>
      </c>
      <c r="J35" s="619" t="s">
        <v>119</v>
      </c>
      <c r="K35" s="532" t="s">
        <v>98</v>
      </c>
      <c r="L35" s="620">
        <v>5200</v>
      </c>
      <c r="M35" s="532" t="s">
        <v>99</v>
      </c>
      <c r="N35" s="352"/>
      <c r="O35" s="342"/>
    </row>
    <row r="36" spans="1:15" s="355" customFormat="1" ht="14.25" customHeight="1">
      <c r="A36" s="513" t="s">
        <v>273</v>
      </c>
      <c r="B36" s="342" t="s">
        <v>102</v>
      </c>
      <c r="C36" s="438" t="s">
        <v>158</v>
      </c>
      <c r="D36" s="344" t="s">
        <v>361</v>
      </c>
      <c r="E36" s="344" t="s">
        <v>370</v>
      </c>
      <c r="F36" s="438"/>
      <c r="G36" s="441"/>
      <c r="H36" s="504"/>
      <c r="I36" s="504"/>
      <c r="J36" s="504"/>
      <c r="K36" s="438" t="s">
        <v>104</v>
      </c>
      <c r="L36" s="505"/>
      <c r="M36" s="438"/>
      <c r="N36" s="352"/>
      <c r="O36" s="348"/>
    </row>
    <row r="37" spans="1:15" s="355" customFormat="1" ht="14.25" customHeight="1">
      <c r="A37" s="513" t="s">
        <v>273</v>
      </c>
      <c r="B37" s="342" t="s">
        <v>102</v>
      </c>
      <c r="C37" s="438" t="s">
        <v>159</v>
      </c>
      <c r="D37" s="324"/>
      <c r="E37" s="349"/>
      <c r="F37" s="360"/>
      <c r="G37" s="438"/>
      <c r="H37" s="441"/>
      <c r="I37" s="504"/>
      <c r="J37" s="504"/>
      <c r="K37" s="504"/>
      <c r="L37" s="519"/>
      <c r="M37" s="507"/>
      <c r="N37" s="438"/>
      <c r="O37" s="348"/>
    </row>
    <row r="38" spans="1:15" s="355" customFormat="1" ht="14.25" customHeight="1">
      <c r="A38" s="513" t="s">
        <v>273</v>
      </c>
      <c r="B38" s="342" t="s">
        <v>102</v>
      </c>
      <c r="C38" s="438" t="s">
        <v>270</v>
      </c>
      <c r="D38" s="324"/>
      <c r="E38" s="349"/>
      <c r="F38" s="360"/>
      <c r="G38" s="438"/>
      <c r="H38" s="441"/>
      <c r="I38" s="504"/>
      <c r="J38" s="504"/>
      <c r="K38" s="504"/>
      <c r="L38" s="519"/>
      <c r="M38" s="507"/>
      <c r="N38" s="438"/>
      <c r="O38" s="348"/>
    </row>
    <row r="39" spans="1:15" s="355" customFormat="1" ht="14.25" customHeight="1">
      <c r="A39" s="513" t="s">
        <v>273</v>
      </c>
      <c r="B39" s="342" t="s">
        <v>102</v>
      </c>
      <c r="C39" s="438" t="s">
        <v>359</v>
      </c>
      <c r="D39" s="324"/>
      <c r="E39" s="349"/>
      <c r="F39" s="360"/>
      <c r="G39" s="438"/>
      <c r="H39" s="441"/>
      <c r="I39" s="504"/>
      <c r="J39" s="504"/>
      <c r="K39" s="504"/>
      <c r="L39" s="519"/>
      <c r="M39" s="507"/>
      <c r="N39" s="438"/>
      <c r="O39" s="348"/>
    </row>
    <row r="40" spans="1:15" s="355" customFormat="1" ht="14.25" customHeight="1">
      <c r="A40" s="513" t="s">
        <v>273</v>
      </c>
      <c r="B40" s="342" t="s">
        <v>102</v>
      </c>
      <c r="C40" s="438"/>
      <c r="D40" s="350"/>
      <c r="E40" s="351"/>
      <c r="F40" s="350"/>
      <c r="G40" s="350"/>
      <c r="H40" s="352"/>
      <c r="I40" s="352"/>
      <c r="J40" s="352"/>
      <c r="K40" s="352"/>
      <c r="L40" s="409"/>
      <c r="M40" s="770"/>
      <c r="N40" s="352"/>
    </row>
    <row r="41" spans="1:15" s="355" customFormat="1" ht="14.25" customHeight="1">
      <c r="A41" s="513" t="s">
        <v>273</v>
      </c>
      <c r="B41" s="342" t="s">
        <v>102</v>
      </c>
      <c r="C41" s="531" t="s">
        <v>157</v>
      </c>
      <c r="D41" s="532" t="s">
        <v>2</v>
      </c>
      <c r="E41" s="337" t="s">
        <v>94</v>
      </c>
      <c r="F41" s="532" t="s">
        <v>3</v>
      </c>
      <c r="G41" s="533" t="s">
        <v>1</v>
      </c>
      <c r="H41" s="619" t="s">
        <v>117</v>
      </c>
      <c r="I41" s="619" t="s">
        <v>118</v>
      </c>
      <c r="J41" s="619" t="s">
        <v>119</v>
      </c>
      <c r="K41" s="532" t="s">
        <v>98</v>
      </c>
      <c r="L41" s="620">
        <v>15000</v>
      </c>
      <c r="M41" s="532" t="s">
        <v>99</v>
      </c>
      <c r="N41" s="352"/>
      <c r="O41" s="342"/>
    </row>
    <row r="42" spans="1:15" s="355" customFormat="1" ht="28.5" customHeight="1">
      <c r="A42" s="513" t="s">
        <v>273</v>
      </c>
      <c r="B42" s="342" t="s">
        <v>102</v>
      </c>
      <c r="C42" s="438" t="s">
        <v>158</v>
      </c>
      <c r="D42" s="363" t="s">
        <v>372</v>
      </c>
      <c r="E42" s="344" t="s">
        <v>371</v>
      </c>
      <c r="F42" s="438"/>
      <c r="G42" s="441"/>
      <c r="H42" s="504"/>
      <c r="I42" s="504"/>
      <c r="J42" s="504"/>
      <c r="K42" s="438" t="s">
        <v>104</v>
      </c>
      <c r="L42" s="505"/>
      <c r="M42" s="438"/>
      <c r="N42" s="352"/>
      <c r="O42" s="348"/>
    </row>
    <row r="43" spans="1:15" s="355" customFormat="1" ht="14.25" customHeight="1">
      <c r="A43" s="513" t="s">
        <v>273</v>
      </c>
      <c r="B43" s="342" t="s">
        <v>102</v>
      </c>
      <c r="C43" s="438" t="s">
        <v>159</v>
      </c>
      <c r="D43" s="349"/>
      <c r="E43" s="349"/>
      <c r="F43" s="438"/>
      <c r="G43" s="441"/>
      <c r="H43" s="504"/>
      <c r="I43" s="504"/>
      <c r="J43" s="504"/>
      <c r="K43" s="438"/>
      <c r="L43" s="505"/>
      <c r="M43" s="438"/>
      <c r="N43" s="352"/>
      <c r="O43" s="348"/>
    </row>
    <row r="44" spans="1:15" s="355" customFormat="1" ht="14.25" customHeight="1">
      <c r="A44" s="513" t="s">
        <v>273</v>
      </c>
      <c r="B44" s="342" t="s">
        <v>102</v>
      </c>
      <c r="C44" s="438" t="s">
        <v>270</v>
      </c>
      <c r="D44" s="324"/>
      <c r="E44" s="349"/>
      <c r="F44" s="360"/>
      <c r="G44" s="438"/>
      <c r="H44" s="441"/>
      <c r="I44" s="504"/>
      <c r="J44" s="504"/>
      <c r="K44" s="504"/>
      <c r="L44" s="519"/>
      <c r="M44" s="507"/>
      <c r="N44" s="438"/>
      <c r="O44" s="348"/>
    </row>
    <row r="45" spans="1:15" s="355" customFormat="1" ht="14.25" customHeight="1">
      <c r="A45" s="513" t="s">
        <v>273</v>
      </c>
      <c r="B45" s="342" t="s">
        <v>102</v>
      </c>
      <c r="C45" s="438" t="s">
        <v>359</v>
      </c>
      <c r="D45" s="324"/>
      <c r="E45" s="349"/>
      <c r="F45" s="360"/>
      <c r="G45" s="438"/>
      <c r="H45" s="441"/>
      <c r="I45" s="504"/>
      <c r="J45" s="504"/>
      <c r="K45" s="504"/>
      <c r="L45" s="519"/>
      <c r="M45" s="507"/>
      <c r="N45" s="438"/>
      <c r="O45" s="348"/>
    </row>
    <row r="46" spans="1:15" s="355" customFormat="1" ht="14.25" customHeight="1">
      <c r="A46" s="352"/>
      <c r="B46" s="352"/>
      <c r="C46" s="438"/>
      <c r="D46" s="350"/>
      <c r="E46" s="351"/>
      <c r="F46" s="350"/>
      <c r="G46" s="350"/>
      <c r="H46" s="352"/>
      <c r="I46" s="352"/>
      <c r="J46" s="352"/>
      <c r="K46" s="352"/>
      <c r="L46" s="409"/>
      <c r="M46" s="770"/>
      <c r="N46" s="352"/>
    </row>
    <row r="47" spans="1:15" s="355" customFormat="1" ht="14.25" customHeight="1">
      <c r="A47" s="352"/>
      <c r="B47" s="352"/>
      <c r="C47" s="438"/>
      <c r="D47" s="350"/>
      <c r="E47" s="351"/>
      <c r="F47" s="350"/>
      <c r="G47" s="350"/>
      <c r="H47" s="352"/>
      <c r="I47" s="352"/>
      <c r="J47" s="352"/>
      <c r="K47" s="352"/>
      <c r="L47" s="409"/>
      <c r="M47" s="770"/>
      <c r="N47" s="352"/>
    </row>
    <row r="48" spans="1:15" s="355" customFormat="1" ht="14.25" customHeight="1">
      <c r="A48" s="513" t="s">
        <v>273</v>
      </c>
      <c r="B48" s="342" t="s">
        <v>102</v>
      </c>
      <c r="C48" s="531" t="s">
        <v>157</v>
      </c>
      <c r="D48" s="532" t="s">
        <v>2</v>
      </c>
      <c r="E48" s="531" t="s">
        <v>94</v>
      </c>
      <c r="F48" s="532" t="s">
        <v>3</v>
      </c>
      <c r="G48" s="533" t="s">
        <v>1</v>
      </c>
      <c r="H48" s="619" t="s">
        <v>117</v>
      </c>
      <c r="I48" s="619" t="s">
        <v>118</v>
      </c>
      <c r="J48" s="619" t="s">
        <v>119</v>
      </c>
      <c r="K48" s="532" t="s">
        <v>98</v>
      </c>
      <c r="L48" s="620">
        <v>15000</v>
      </c>
      <c r="M48" s="532" t="s">
        <v>99</v>
      </c>
      <c r="N48" s="342"/>
    </row>
    <row r="49" spans="1:15" s="355" customFormat="1" ht="30" customHeight="1">
      <c r="A49" s="513" t="s">
        <v>273</v>
      </c>
      <c r="B49" s="342" t="s">
        <v>102</v>
      </c>
      <c r="C49" s="438" t="s">
        <v>158</v>
      </c>
      <c r="D49" s="364" t="s">
        <v>374</v>
      </c>
      <c r="E49" s="352" t="s">
        <v>373</v>
      </c>
      <c r="F49" s="438"/>
      <c r="G49" s="441"/>
      <c r="H49" s="504"/>
      <c r="I49" s="504"/>
      <c r="J49" s="504"/>
      <c r="K49" s="438" t="s">
        <v>104</v>
      </c>
      <c r="L49" s="505"/>
      <c r="M49" s="438"/>
      <c r="N49" s="348"/>
    </row>
    <row r="50" spans="1:15" s="355" customFormat="1" ht="14.25" customHeight="1">
      <c r="A50" s="513" t="s">
        <v>273</v>
      </c>
      <c r="B50" s="342" t="s">
        <v>102</v>
      </c>
      <c r="C50" s="438" t="s">
        <v>159</v>
      </c>
      <c r="D50" s="358"/>
      <c r="E50" s="352"/>
      <c r="F50" s="358"/>
      <c r="G50" s="438"/>
      <c r="H50" s="441"/>
      <c r="I50" s="504"/>
      <c r="J50" s="504"/>
      <c r="K50" s="504"/>
      <c r="L50" s="438"/>
      <c r="M50" s="507"/>
      <c r="N50" s="438"/>
      <c r="O50" s="348"/>
    </row>
    <row r="51" spans="1:15" s="355" customFormat="1" ht="14.25" customHeight="1">
      <c r="A51" s="513" t="s">
        <v>273</v>
      </c>
      <c r="B51" s="342" t="s">
        <v>102</v>
      </c>
      <c r="C51" s="438" t="s">
        <v>270</v>
      </c>
      <c r="D51" s="324"/>
      <c r="E51" s="358"/>
      <c r="F51" s="358"/>
      <c r="G51" s="438"/>
      <c r="H51" s="441"/>
      <c r="I51" s="504"/>
      <c r="J51" s="504"/>
      <c r="K51" s="504"/>
      <c r="L51" s="438"/>
      <c r="M51" s="507"/>
      <c r="N51" s="438"/>
      <c r="O51" s="348"/>
    </row>
    <row r="52" spans="1:15" s="355" customFormat="1" ht="14.25" customHeight="1">
      <c r="A52" s="513" t="s">
        <v>273</v>
      </c>
      <c r="B52" s="342" t="s">
        <v>102</v>
      </c>
      <c r="C52" s="438" t="s">
        <v>359</v>
      </c>
      <c r="D52" s="324"/>
      <c r="E52" s="358"/>
      <c r="F52" s="358"/>
      <c r="G52" s="438"/>
      <c r="H52" s="441"/>
      <c r="I52" s="504"/>
      <c r="J52" s="504"/>
      <c r="K52" s="504"/>
      <c r="L52" s="438"/>
      <c r="M52" s="507"/>
      <c r="N52" s="438"/>
      <c r="O52" s="348"/>
    </row>
    <row r="53" spans="1:15" s="355" customFormat="1" ht="14.25" customHeight="1">
      <c r="A53" s="352"/>
      <c r="B53" s="352"/>
      <c r="C53" s="438"/>
      <c r="D53" s="350"/>
      <c r="E53" s="351"/>
      <c r="F53" s="350"/>
      <c r="G53" s="350"/>
      <c r="H53" s="352"/>
      <c r="I53" s="352"/>
      <c r="J53" s="352"/>
      <c r="K53" s="352"/>
      <c r="L53" s="352"/>
      <c r="M53" s="770"/>
      <c r="N53" s="352"/>
    </row>
    <row r="54" spans="1:15" s="355" customFormat="1" ht="28.5" customHeight="1">
      <c r="A54" s="438" t="s">
        <v>388</v>
      </c>
      <c r="B54" s="342" t="s">
        <v>102</v>
      </c>
      <c r="C54" s="531" t="s">
        <v>157</v>
      </c>
      <c r="D54" s="532" t="s">
        <v>2</v>
      </c>
      <c r="E54" s="337" t="s">
        <v>94</v>
      </c>
      <c r="F54" s="532" t="s">
        <v>3</v>
      </c>
      <c r="G54" s="533" t="s">
        <v>1</v>
      </c>
      <c r="H54" s="619" t="s">
        <v>117</v>
      </c>
      <c r="I54" s="619" t="s">
        <v>118</v>
      </c>
      <c r="J54" s="619" t="s">
        <v>119</v>
      </c>
      <c r="K54" s="532" t="s">
        <v>357</v>
      </c>
      <c r="L54" s="620">
        <v>11640</v>
      </c>
      <c r="M54" s="532" t="s">
        <v>99</v>
      </c>
      <c r="O54" s="342"/>
    </row>
    <row r="55" spans="1:15" s="355" customFormat="1" ht="14.25" customHeight="1">
      <c r="A55" s="438" t="s">
        <v>388</v>
      </c>
      <c r="B55" s="342" t="s">
        <v>102</v>
      </c>
      <c r="C55" s="438" t="s">
        <v>396</v>
      </c>
      <c r="D55" s="344" t="s">
        <v>397</v>
      </c>
      <c r="E55" s="352" t="s">
        <v>362</v>
      </c>
      <c r="F55" s="617"/>
      <c r="G55" s="441"/>
      <c r="H55" s="504"/>
      <c r="I55" s="504"/>
      <c r="J55" s="504"/>
      <c r="K55" s="438" t="s">
        <v>104</v>
      </c>
      <c r="L55" s="507"/>
      <c r="M55" s="438"/>
      <c r="O55" s="348"/>
    </row>
    <row r="56" spans="1:15" s="355" customFormat="1" ht="14.25" customHeight="1">
      <c r="A56" s="438" t="s">
        <v>388</v>
      </c>
      <c r="B56" s="342" t="s">
        <v>102</v>
      </c>
      <c r="C56" s="438" t="s">
        <v>385</v>
      </c>
      <c r="D56" s="349" t="s">
        <v>398</v>
      </c>
      <c r="E56" s="352" t="s">
        <v>251</v>
      </c>
      <c r="F56" s="617"/>
      <c r="G56" s="441"/>
      <c r="H56" s="504"/>
      <c r="I56" s="504"/>
      <c r="J56" s="504"/>
      <c r="K56" s="438"/>
      <c r="L56" s="507"/>
      <c r="M56" s="438"/>
      <c r="O56" s="348"/>
    </row>
    <row r="57" spans="1:15" s="355" customFormat="1" ht="14.25" customHeight="1">
      <c r="A57" s="438" t="s">
        <v>388</v>
      </c>
      <c r="B57" s="342" t="s">
        <v>102</v>
      </c>
      <c r="C57" s="438" t="s">
        <v>386</v>
      </c>
      <c r="D57" s="349" t="s">
        <v>399</v>
      </c>
      <c r="E57" s="352" t="s">
        <v>251</v>
      </c>
      <c r="F57" s="360"/>
      <c r="G57" s="438"/>
      <c r="H57" s="441"/>
      <c r="I57" s="504"/>
      <c r="J57" s="504"/>
      <c r="K57" s="504"/>
      <c r="L57" s="438"/>
      <c r="M57" s="507"/>
      <c r="N57" s="438"/>
      <c r="O57" s="348"/>
    </row>
    <row r="58" spans="1:15" s="355" customFormat="1" ht="14.25" customHeight="1">
      <c r="A58" s="438" t="s">
        <v>388</v>
      </c>
      <c r="B58" s="342" t="s">
        <v>102</v>
      </c>
      <c r="C58" s="438" t="s">
        <v>387</v>
      </c>
      <c r="D58" s="324"/>
      <c r="E58" s="349"/>
      <c r="F58" s="358"/>
      <c r="G58" s="438"/>
      <c r="H58" s="441"/>
      <c r="I58" s="504"/>
      <c r="J58" s="504"/>
      <c r="K58" s="504"/>
      <c r="L58" s="438"/>
      <c r="M58" s="507"/>
      <c r="N58" s="438"/>
      <c r="O58" s="348"/>
    </row>
    <row r="59" spans="1:15" s="355" customFormat="1" ht="14.25" customHeight="1">
      <c r="C59" s="400"/>
      <c r="D59" s="400"/>
      <c r="E59" s="401"/>
      <c r="F59" s="402"/>
      <c r="G59" s="402"/>
      <c r="H59" s="403"/>
      <c r="I59" s="403"/>
      <c r="J59" s="403"/>
      <c r="K59" s="402"/>
      <c r="L59" s="408"/>
      <c r="M59" s="402"/>
      <c r="N59" s="405"/>
    </row>
    <row r="60" spans="1:15" s="355" customFormat="1" ht="14.25" customHeight="1">
      <c r="C60" s="400"/>
      <c r="D60" s="400"/>
      <c r="E60" s="401"/>
      <c r="F60" s="402"/>
      <c r="G60" s="402"/>
      <c r="H60" s="403"/>
      <c r="I60" s="403"/>
      <c r="J60" s="403"/>
      <c r="K60" s="402"/>
      <c r="L60" s="408"/>
      <c r="M60" s="402"/>
      <c r="N60" s="405"/>
    </row>
    <row r="61" spans="1:15" s="355" customFormat="1" ht="14.25" customHeight="1">
      <c r="C61" s="400"/>
      <c r="D61" s="400"/>
      <c r="E61" s="401"/>
      <c r="F61" s="402"/>
      <c r="G61" s="402"/>
      <c r="H61" s="403"/>
      <c r="I61" s="403"/>
      <c r="J61" s="403"/>
      <c r="K61" s="402"/>
      <c r="L61" s="408"/>
      <c r="M61" s="402"/>
      <c r="N61" s="405"/>
    </row>
    <row r="62" spans="1:15" s="355" customFormat="1" ht="14.25" customHeight="1">
      <c r="C62" s="400"/>
      <c r="D62" s="400"/>
      <c r="E62" s="401"/>
      <c r="F62" s="402"/>
      <c r="G62" s="402"/>
      <c r="H62" s="403"/>
      <c r="I62" s="403"/>
      <c r="J62" s="403"/>
      <c r="K62" s="402"/>
      <c r="L62" s="2426">
        <f>SUM(L6:L61)</f>
        <v>481580</v>
      </c>
      <c r="M62" s="402"/>
      <c r="N62" s="405"/>
    </row>
    <row r="63" spans="1:15" s="355" customFormat="1" ht="14.25" customHeight="1">
      <c r="C63" s="400"/>
      <c r="D63" s="400"/>
      <c r="E63" s="401"/>
      <c r="F63" s="402"/>
      <c r="G63" s="402"/>
      <c r="H63" s="403"/>
      <c r="I63" s="403"/>
      <c r="J63" s="403"/>
      <c r="K63" s="402"/>
      <c r="L63" s="408"/>
      <c r="M63" s="402"/>
      <c r="N63" s="405"/>
    </row>
    <row r="64" spans="1:15" s="355" customFormat="1" ht="14.25" customHeight="1">
      <c r="C64" s="400"/>
      <c r="D64" s="400"/>
      <c r="E64" s="401"/>
      <c r="F64" s="402"/>
      <c r="G64" s="402"/>
      <c r="H64" s="403"/>
      <c r="I64" s="403"/>
      <c r="J64" s="403"/>
      <c r="K64" s="402"/>
      <c r="L64" s="408"/>
      <c r="M64" s="402"/>
      <c r="N64" s="405"/>
    </row>
    <row r="65" spans="3:14" s="355" customFormat="1" ht="14.25" customHeight="1">
      <c r="C65" s="400"/>
      <c r="D65" s="400"/>
      <c r="E65" s="401"/>
      <c r="F65" s="402"/>
      <c r="G65" s="402"/>
      <c r="H65" s="403"/>
      <c r="I65" s="403"/>
      <c r="J65" s="403"/>
      <c r="K65" s="402"/>
      <c r="L65" s="408"/>
      <c r="M65" s="402"/>
      <c r="N65" s="405"/>
    </row>
    <row r="66" spans="3:14" ht="14.25" customHeight="1">
      <c r="C66" s="8"/>
      <c r="D66" s="8"/>
      <c r="E66" s="7"/>
      <c r="F66" s="6"/>
      <c r="G66" s="6"/>
      <c r="H66" s="5"/>
      <c r="I66" s="5"/>
      <c r="J66" s="5"/>
      <c r="K66" s="6"/>
      <c r="L66" s="4"/>
      <c r="M66" s="6"/>
      <c r="N66" s="2"/>
    </row>
    <row r="67" spans="3:14" ht="14.25" customHeight="1">
      <c r="C67" s="8"/>
      <c r="D67" s="8"/>
      <c r="E67" s="7"/>
      <c r="F67" s="6"/>
      <c r="G67" s="6"/>
      <c r="H67" s="5"/>
      <c r="I67" s="5"/>
      <c r="J67" s="5"/>
      <c r="K67" s="6"/>
      <c r="L67" s="4"/>
      <c r="M67" s="6"/>
      <c r="N67" s="2"/>
    </row>
    <row r="68" spans="3:14" ht="14.25" customHeight="1">
      <c r="C68" s="8"/>
      <c r="D68" s="8"/>
      <c r="E68" s="7"/>
      <c r="F68" s="6"/>
      <c r="G68" s="6"/>
      <c r="H68" s="5"/>
      <c r="I68" s="5"/>
      <c r="J68" s="5"/>
      <c r="K68" s="6"/>
      <c r="L68" s="4"/>
      <c r="M68" s="6"/>
      <c r="N68" s="2"/>
    </row>
    <row r="69" spans="3:14" ht="14.25" customHeight="1">
      <c r="C69" s="8"/>
      <c r="D69" s="8"/>
      <c r="E69" s="7"/>
      <c r="F69" s="6"/>
      <c r="G69" s="6"/>
      <c r="H69" s="5"/>
      <c r="I69" s="5"/>
      <c r="J69" s="5"/>
      <c r="K69" s="6"/>
      <c r="L69" s="4"/>
      <c r="M69" s="6"/>
      <c r="N69" s="2"/>
    </row>
    <row r="70" spans="3:14" ht="14.25" customHeight="1">
      <c r="C70" s="8"/>
      <c r="D70" s="8"/>
      <c r="E70" s="7"/>
      <c r="F70" s="6"/>
      <c r="G70" s="6"/>
      <c r="H70" s="5"/>
      <c r="I70" s="5"/>
      <c r="J70" s="5"/>
      <c r="K70" s="6"/>
      <c r="L70" s="4"/>
      <c r="M70" s="6"/>
      <c r="N70" s="2"/>
    </row>
    <row r="71" spans="3:14" ht="14.25" customHeight="1">
      <c r="C71" s="8"/>
      <c r="D71" s="8"/>
      <c r="E71" s="7"/>
      <c r="F71" s="6"/>
      <c r="G71" s="6"/>
      <c r="H71" s="5"/>
      <c r="I71" s="5"/>
      <c r="J71" s="5"/>
      <c r="K71" s="6"/>
      <c r="L71" s="4"/>
      <c r="M71" s="6"/>
      <c r="N71" s="2"/>
    </row>
    <row r="72" spans="3:14" ht="14.25" customHeight="1">
      <c r="C72" s="8"/>
      <c r="D72" s="8"/>
      <c r="E72" s="7"/>
      <c r="F72" s="6"/>
      <c r="G72" s="6"/>
      <c r="H72" s="5"/>
      <c r="I72" s="5"/>
      <c r="J72" s="5"/>
      <c r="K72" s="6"/>
      <c r="L72" s="4"/>
      <c r="M72" s="6"/>
      <c r="N72" s="2"/>
    </row>
    <row r="73" spans="3:14" ht="14.25" customHeight="1">
      <c r="C73" s="8"/>
      <c r="D73" s="8"/>
      <c r="E73" s="7"/>
      <c r="F73" s="6"/>
      <c r="G73" s="6"/>
      <c r="H73" s="5"/>
      <c r="I73" s="5"/>
      <c r="J73" s="5"/>
      <c r="K73" s="6"/>
      <c r="L73" s="4"/>
      <c r="M73" s="6"/>
      <c r="N73" s="2"/>
    </row>
    <row r="74" spans="3:14" ht="14.25" customHeight="1">
      <c r="C74" s="8"/>
      <c r="D74" s="8"/>
      <c r="E74" s="7"/>
      <c r="F74" s="6"/>
      <c r="G74" s="6"/>
      <c r="H74" s="5"/>
      <c r="I74" s="5"/>
      <c r="J74" s="5"/>
      <c r="K74" s="6"/>
      <c r="L74" s="4"/>
      <c r="M74" s="6"/>
      <c r="N74" s="2"/>
    </row>
    <row r="75" spans="3:14" ht="14.25" customHeight="1">
      <c r="C75" s="8"/>
      <c r="D75" s="8"/>
      <c r="E75" s="7"/>
      <c r="F75" s="6"/>
      <c r="G75" s="6"/>
      <c r="H75" s="5"/>
      <c r="I75" s="5"/>
      <c r="J75" s="5"/>
      <c r="K75" s="6"/>
      <c r="L75" s="4"/>
      <c r="M75" s="6"/>
      <c r="N75" s="2"/>
    </row>
    <row r="76" spans="3:14" ht="14.25" customHeight="1">
      <c r="C76" s="8"/>
      <c r="D76" s="8"/>
      <c r="E76" s="7"/>
      <c r="F76" s="6"/>
      <c r="G76" s="6"/>
      <c r="H76" s="5"/>
      <c r="I76" s="5"/>
      <c r="J76" s="5"/>
      <c r="K76" s="6"/>
      <c r="L76" s="4"/>
      <c r="M76" s="6"/>
      <c r="N76" s="2"/>
    </row>
    <row r="77" spans="3:14" ht="14.25" customHeight="1">
      <c r="C77" s="8"/>
      <c r="D77" s="8"/>
      <c r="E77" s="7"/>
      <c r="F77" s="6"/>
      <c r="G77" s="6"/>
      <c r="H77" s="5"/>
      <c r="I77" s="5"/>
      <c r="J77" s="5"/>
      <c r="K77" s="6"/>
      <c r="L77" s="4"/>
      <c r="M77" s="6"/>
      <c r="N77" s="2"/>
    </row>
    <row r="78" spans="3:14" ht="14.25" customHeight="1">
      <c r="C78" s="8"/>
      <c r="D78" s="8"/>
      <c r="E78" s="7"/>
      <c r="F78" s="6"/>
      <c r="G78" s="6"/>
      <c r="H78" s="5"/>
      <c r="I78" s="5"/>
      <c r="J78" s="5"/>
      <c r="K78" s="6"/>
      <c r="L78" s="4"/>
      <c r="M78" s="6"/>
      <c r="N78" s="2"/>
    </row>
    <row r="79" spans="3:14" ht="14.25" customHeight="1">
      <c r="C79" s="8"/>
      <c r="D79" s="8"/>
      <c r="E79" s="7"/>
      <c r="F79" s="6"/>
      <c r="G79" s="6"/>
      <c r="H79" s="5"/>
      <c r="I79" s="5"/>
      <c r="J79" s="5"/>
      <c r="K79" s="6"/>
      <c r="L79" s="4"/>
      <c r="M79" s="6"/>
      <c r="N79" s="2"/>
    </row>
    <row r="80" spans="3:14" ht="14.25" customHeight="1">
      <c r="C80" s="8"/>
      <c r="D80" s="8"/>
      <c r="E80" s="7"/>
      <c r="F80" s="6"/>
      <c r="G80" s="6"/>
      <c r="H80" s="5"/>
      <c r="I80" s="5"/>
      <c r="J80" s="5"/>
      <c r="K80" s="6"/>
      <c r="L80" s="4"/>
      <c r="M80" s="6"/>
      <c r="N80" s="2"/>
    </row>
    <row r="81" spans="3:14" ht="14.25" customHeight="1">
      <c r="C81" s="8"/>
      <c r="D81" s="8"/>
      <c r="E81" s="7"/>
      <c r="F81" s="6"/>
      <c r="G81" s="6"/>
      <c r="H81" s="5"/>
      <c r="I81" s="5"/>
      <c r="J81" s="5"/>
      <c r="K81" s="6"/>
      <c r="L81" s="4"/>
      <c r="M81" s="6"/>
      <c r="N81" s="2"/>
    </row>
    <row r="82" spans="3:14" ht="14.25" customHeight="1">
      <c r="C82" s="8"/>
      <c r="D82" s="8"/>
      <c r="E82" s="7"/>
      <c r="F82" s="6"/>
      <c r="G82" s="6"/>
      <c r="H82" s="5"/>
      <c r="I82" s="5"/>
      <c r="J82" s="5"/>
      <c r="K82" s="6"/>
      <c r="L82" s="4"/>
      <c r="M82" s="6"/>
      <c r="N82" s="2"/>
    </row>
    <row r="83" spans="3:14" ht="14.25" customHeight="1">
      <c r="C83" s="8"/>
      <c r="D83" s="8"/>
      <c r="E83" s="7"/>
      <c r="F83" s="6"/>
      <c r="G83" s="6"/>
      <c r="H83" s="5"/>
      <c r="I83" s="5"/>
      <c r="J83" s="5"/>
      <c r="K83" s="6"/>
      <c r="L83" s="4"/>
      <c r="M83" s="3"/>
      <c r="N83" s="2"/>
    </row>
    <row r="84" spans="3:14" ht="14.25" customHeight="1">
      <c r="C84" s="8"/>
      <c r="D84" s="8"/>
      <c r="E84" s="7"/>
      <c r="F84" s="6"/>
      <c r="G84" s="5"/>
      <c r="H84" s="5"/>
      <c r="I84" s="5"/>
      <c r="J84" s="5"/>
      <c r="K84" s="4"/>
      <c r="L84" s="4"/>
      <c r="M84" s="3"/>
      <c r="N84" s="2"/>
    </row>
    <row r="85" spans="3:14" ht="14.25" customHeight="1">
      <c r="C85" s="19"/>
      <c r="D85" s="19"/>
      <c r="E85" s="19"/>
      <c r="F85" s="19"/>
      <c r="G85" s="19"/>
      <c r="H85" s="19"/>
      <c r="I85" s="19"/>
      <c r="J85" s="19"/>
      <c r="K85" s="19"/>
      <c r="L85" s="19"/>
      <c r="M85" s="19"/>
      <c r="N85" s="19"/>
    </row>
    <row r="86" spans="3:14" ht="14.25" customHeight="1">
      <c r="C86" s="31"/>
      <c r="D86" s="27"/>
      <c r="E86" s="20"/>
      <c r="F86" s="28"/>
      <c r="G86" s="28"/>
      <c r="H86" s="26"/>
      <c r="I86" s="26"/>
      <c r="J86" s="26"/>
      <c r="K86" s="28"/>
      <c r="L86" s="29"/>
      <c r="M86" s="28"/>
      <c r="N86" s="27"/>
    </row>
    <row r="87" spans="3:14" s="1" customFormat="1" ht="14.25" customHeight="1">
      <c r="C87" s="31"/>
      <c r="D87" s="27"/>
      <c r="E87" s="21"/>
      <c r="F87" s="28"/>
      <c r="G87" s="28"/>
      <c r="H87" s="26"/>
      <c r="I87" s="26"/>
      <c r="J87" s="26"/>
      <c r="K87" s="28"/>
      <c r="L87" s="29"/>
      <c r="M87" s="28"/>
      <c r="N87" s="27"/>
    </row>
    <row r="88" spans="3:14" s="1" customFormat="1" ht="14.25" customHeight="1">
      <c r="C88" s="30"/>
      <c r="D88" s="25"/>
      <c r="E88" s="21"/>
      <c r="F88" s="22"/>
      <c r="G88" s="22"/>
      <c r="H88" s="23"/>
      <c r="I88" s="23"/>
      <c r="J88" s="23"/>
      <c r="K88" s="22"/>
      <c r="L88" s="24"/>
      <c r="M88" s="22"/>
      <c r="N88" s="25"/>
    </row>
  </sheetData>
  <mergeCells count="5">
    <mergeCell ref="N2:N3"/>
    <mergeCell ref="C2:G2"/>
    <mergeCell ref="H2:J2"/>
    <mergeCell ref="K2:L2"/>
    <mergeCell ref="M2:M3"/>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B4F3-9385-4C8B-B372-93C655A46E32}">
  <sheetPr>
    <tabColor rgb="FFFFC000"/>
  </sheetPr>
  <dimension ref="A2:O97"/>
  <sheetViews>
    <sheetView zoomScale="85" zoomScaleNormal="85" workbookViewId="0">
      <pane ySplit="4" topLeftCell="A5" activePane="bottomLeft" state="frozen"/>
      <selection pane="bottomLeft" activeCell="L21" sqref="L21"/>
    </sheetView>
  </sheetViews>
  <sheetFormatPr defaultRowHeight="15"/>
  <cols>
    <col min="3" max="3" width="36.42578125" customWidth="1"/>
    <col min="4" max="4" width="46.28515625" customWidth="1"/>
    <col min="5" max="5" width="26" customWidth="1"/>
    <col min="6" max="6" width="16.7109375" customWidth="1"/>
    <col min="7" max="7" width="11.7109375" customWidth="1"/>
    <col min="8" max="8" width="13.7109375" customWidth="1"/>
    <col min="9" max="9" width="10.28515625" bestFit="1" customWidth="1"/>
    <col min="10" max="10" width="12.5703125" customWidth="1"/>
    <col min="11" max="11" width="18.5703125" customWidth="1"/>
    <col min="12" max="12" width="15.5703125" customWidth="1"/>
    <col min="13" max="13" width="16.28515625" customWidth="1"/>
    <col min="14" max="14" width="12.85546875" customWidth="1"/>
  </cols>
  <sheetData>
    <row r="2" spans="1:15">
      <c r="C2" s="2627" t="s">
        <v>30</v>
      </c>
      <c r="D2" s="2627"/>
      <c r="E2" s="2627"/>
      <c r="F2" s="2627"/>
      <c r="G2" s="2627"/>
      <c r="H2" s="2628" t="s">
        <v>29</v>
      </c>
      <c r="I2" s="2628"/>
      <c r="J2" s="2628"/>
      <c r="K2" s="2627" t="s">
        <v>28</v>
      </c>
      <c r="L2" s="2627"/>
      <c r="M2" s="2628" t="s">
        <v>27</v>
      </c>
      <c r="N2" s="2628" t="s">
        <v>26</v>
      </c>
    </row>
    <row r="3" spans="1:15" ht="60">
      <c r="C3" s="10" t="s">
        <v>25</v>
      </c>
      <c r="D3" s="13" t="s">
        <v>24</v>
      </c>
      <c r="E3" s="12" t="s">
        <v>23</v>
      </c>
      <c r="F3" s="10" t="s">
        <v>22</v>
      </c>
      <c r="G3" s="11" t="s">
        <v>21</v>
      </c>
      <c r="H3" s="11" t="s">
        <v>20</v>
      </c>
      <c r="I3" s="11" t="s">
        <v>19</v>
      </c>
      <c r="J3" s="11" t="s">
        <v>18</v>
      </c>
      <c r="K3" s="10" t="s">
        <v>17</v>
      </c>
      <c r="L3" s="10" t="s">
        <v>16</v>
      </c>
      <c r="M3" s="2628"/>
      <c r="N3" s="2628"/>
    </row>
    <row r="4" spans="1:15">
      <c r="C4" s="9" t="s">
        <v>15</v>
      </c>
      <c r="D4" s="9" t="s">
        <v>14</v>
      </c>
      <c r="E4" s="9" t="s">
        <v>13</v>
      </c>
      <c r="F4" s="9" t="s">
        <v>12</v>
      </c>
      <c r="G4" s="9" t="s">
        <v>11</v>
      </c>
      <c r="H4" s="9" t="s">
        <v>10</v>
      </c>
      <c r="I4" s="9" t="s">
        <v>9</v>
      </c>
      <c r="J4" s="9" t="s">
        <v>8</v>
      </c>
      <c r="K4" s="9" t="s">
        <v>7</v>
      </c>
      <c r="L4" s="9" t="s">
        <v>6</v>
      </c>
      <c r="M4" s="9" t="s">
        <v>5</v>
      </c>
      <c r="N4" s="9" t="s">
        <v>4</v>
      </c>
    </row>
    <row r="5" spans="1:15" s="945" customFormat="1" ht="14.25" customHeight="1">
      <c r="A5" s="927"/>
      <c r="B5" s="928"/>
      <c r="C5" s="937" t="s">
        <v>639</v>
      </c>
      <c r="D5" s="943"/>
      <c r="E5" s="944"/>
      <c r="F5" s="943"/>
      <c r="G5" s="929"/>
      <c r="H5" s="930"/>
      <c r="I5" s="931"/>
      <c r="J5" s="931"/>
      <c r="K5" s="931"/>
      <c r="L5" s="930"/>
      <c r="M5" s="932"/>
      <c r="N5" s="932"/>
      <c r="O5" s="930"/>
    </row>
    <row r="6" spans="1:15" s="945" customFormat="1" ht="14.25" customHeight="1">
      <c r="A6" s="776" t="s">
        <v>590</v>
      </c>
      <c r="B6" s="777" t="s">
        <v>589</v>
      </c>
      <c r="C6" s="813" t="s">
        <v>636</v>
      </c>
      <c r="D6" s="808" t="s">
        <v>637</v>
      </c>
      <c r="E6" s="814" t="s">
        <v>631</v>
      </c>
      <c r="F6" s="808" t="s">
        <v>609</v>
      </c>
      <c r="G6" s="815"/>
      <c r="H6" s="946" t="s">
        <v>576</v>
      </c>
      <c r="I6" s="946" t="s">
        <v>576</v>
      </c>
      <c r="J6" s="817" t="s">
        <v>577</v>
      </c>
      <c r="K6" s="808" t="s">
        <v>578</v>
      </c>
      <c r="L6" s="947">
        <v>2340000</v>
      </c>
      <c r="M6" s="813" t="s">
        <v>579</v>
      </c>
      <c r="N6" s="813"/>
      <c r="O6" s="933"/>
    </row>
    <row r="7" spans="1:15" s="783" customFormat="1" ht="14.25" customHeight="1">
      <c r="A7" s="776" t="s">
        <v>590</v>
      </c>
      <c r="B7" s="777" t="s">
        <v>589</v>
      </c>
      <c r="C7" s="813" t="s">
        <v>638</v>
      </c>
      <c r="D7" s="808"/>
      <c r="E7" s="814"/>
      <c r="F7" s="808" t="s">
        <v>612</v>
      </c>
      <c r="G7" s="948"/>
      <c r="H7" s="813"/>
      <c r="I7" s="813"/>
      <c r="J7" s="813"/>
      <c r="L7" s="818"/>
      <c r="M7" s="808" t="s">
        <v>602</v>
      </c>
      <c r="N7" s="813"/>
      <c r="O7" s="785"/>
    </row>
    <row r="8" spans="1:15" s="783" customFormat="1" ht="14.25" customHeight="1">
      <c r="A8" s="776"/>
      <c r="B8" s="777"/>
      <c r="C8" s="813"/>
      <c r="D8" s="808"/>
      <c r="E8" s="814"/>
      <c r="F8" s="808"/>
      <c r="G8" s="948"/>
      <c r="H8" s="813"/>
      <c r="I8" s="813"/>
      <c r="J8" s="813"/>
      <c r="L8" s="818"/>
      <c r="M8" s="808"/>
      <c r="N8" s="813"/>
      <c r="O8" s="785"/>
    </row>
    <row r="9" spans="1:15" s="783" customFormat="1" ht="14.25" customHeight="1">
      <c r="A9" s="776"/>
      <c r="B9" s="777"/>
      <c r="C9" s="813"/>
      <c r="D9" s="808"/>
      <c r="E9" s="814"/>
      <c r="F9" s="808"/>
      <c r="G9" s="948"/>
      <c r="H9" s="813"/>
      <c r="I9" s="813"/>
      <c r="J9" s="813"/>
      <c r="L9" s="818"/>
      <c r="M9" s="808"/>
      <c r="N9" s="813"/>
      <c r="O9" s="785"/>
    </row>
    <row r="10" spans="1:15" s="783" customFormat="1" ht="14.25" customHeight="1">
      <c r="A10" s="776"/>
      <c r="B10" s="777"/>
      <c r="C10" s="813"/>
      <c r="D10" s="808"/>
      <c r="E10" s="814"/>
      <c r="F10" s="808"/>
      <c r="G10" s="948"/>
      <c r="H10" s="813"/>
      <c r="I10" s="813"/>
      <c r="J10" s="813"/>
      <c r="L10" s="818"/>
      <c r="M10" s="808"/>
      <c r="N10" s="813"/>
      <c r="O10" s="785"/>
    </row>
    <row r="11" spans="1:15" s="783" customFormat="1" ht="14.25" customHeight="1">
      <c r="A11" s="776"/>
      <c r="B11" s="777"/>
      <c r="C11" s="813"/>
      <c r="D11" s="808"/>
      <c r="E11" s="814"/>
      <c r="F11" s="808"/>
      <c r="G11" s="948"/>
      <c r="H11" s="813"/>
      <c r="I11" s="813"/>
      <c r="J11" s="813"/>
      <c r="L11" s="818"/>
      <c r="M11" s="808"/>
      <c r="N11" s="813"/>
      <c r="O11" s="785"/>
    </row>
    <row r="12" spans="1:15" s="783" customFormat="1" ht="14.25" customHeight="1">
      <c r="A12" s="776"/>
      <c r="B12" s="777"/>
      <c r="C12" s="813"/>
      <c r="D12" s="808"/>
      <c r="E12" s="814"/>
      <c r="F12" s="808"/>
      <c r="G12" s="948"/>
      <c r="H12" s="813"/>
      <c r="I12" s="813"/>
      <c r="J12" s="813"/>
      <c r="L12" s="818"/>
      <c r="M12" s="808"/>
      <c r="N12" s="813"/>
      <c r="O12" s="785"/>
    </row>
    <row r="13" spans="1:15" s="783" customFormat="1" ht="14.25" customHeight="1">
      <c r="A13" s="776"/>
      <c r="B13" s="777"/>
      <c r="C13" s="813"/>
      <c r="D13" s="808"/>
      <c r="E13" s="814"/>
      <c r="F13" s="808"/>
      <c r="G13" s="948"/>
      <c r="H13" s="813"/>
      <c r="I13" s="813"/>
      <c r="J13" s="813"/>
      <c r="L13" s="818"/>
      <c r="M13" s="808"/>
      <c r="N13" s="813"/>
      <c r="O13" s="785"/>
    </row>
    <row r="14" spans="1:15" s="783" customFormat="1" ht="14.25" customHeight="1">
      <c r="A14" s="776"/>
      <c r="B14" s="777"/>
      <c r="C14" s="813"/>
      <c r="D14" s="808"/>
      <c r="E14" s="814"/>
      <c r="F14" s="808"/>
      <c r="G14" s="948"/>
      <c r="H14" s="813"/>
      <c r="I14" s="813"/>
      <c r="J14" s="813"/>
      <c r="L14" s="818"/>
      <c r="M14" s="808"/>
      <c r="N14" s="813"/>
      <c r="O14" s="785"/>
    </row>
    <row r="15" spans="1:15" s="783" customFormat="1" ht="14.25" customHeight="1">
      <c r="A15" s="776"/>
      <c r="B15" s="777"/>
      <c r="C15" s="813"/>
      <c r="D15" s="808"/>
      <c r="E15" s="814"/>
      <c r="F15" s="808"/>
      <c r="G15" s="948"/>
      <c r="H15" s="813"/>
      <c r="I15" s="813"/>
      <c r="J15" s="813"/>
      <c r="L15" s="818"/>
      <c r="M15" s="808"/>
      <c r="N15" s="813"/>
      <c r="O15" s="785"/>
    </row>
    <row r="16" spans="1:15" s="783" customFormat="1" ht="14.25" customHeight="1">
      <c r="A16" s="776"/>
      <c r="B16" s="777"/>
      <c r="C16" s="813"/>
      <c r="D16" s="808"/>
      <c r="E16" s="814"/>
      <c r="F16" s="808"/>
      <c r="G16" s="948"/>
      <c r="H16" s="813"/>
      <c r="I16" s="813"/>
      <c r="J16" s="813"/>
      <c r="L16" s="818"/>
      <c r="M16" s="808"/>
      <c r="N16" s="813"/>
      <c r="O16" s="785"/>
    </row>
    <row r="17" spans="1:15" s="783" customFormat="1" ht="14.25" customHeight="1">
      <c r="A17" s="776"/>
      <c r="B17" s="777"/>
      <c r="C17" s="813"/>
      <c r="D17" s="808"/>
      <c r="E17" s="814"/>
      <c r="F17" s="808"/>
      <c r="G17" s="948"/>
      <c r="H17" s="813"/>
      <c r="I17" s="813"/>
      <c r="J17" s="813"/>
      <c r="L17" s="818"/>
      <c r="M17" s="808"/>
      <c r="N17" s="813"/>
      <c r="O17" s="785"/>
    </row>
    <row r="18" spans="1:15" s="783" customFormat="1" ht="14.25" customHeight="1">
      <c r="A18" s="840"/>
      <c r="B18" s="827"/>
      <c r="C18" s="791"/>
      <c r="D18" s="934"/>
      <c r="E18" s="934"/>
      <c r="F18" s="791"/>
      <c r="G18" s="797"/>
      <c r="H18" s="833"/>
      <c r="I18" s="833"/>
      <c r="J18" s="833"/>
      <c r="K18" s="791"/>
      <c r="L18" s="834"/>
      <c r="M18" s="791"/>
      <c r="N18" s="784"/>
      <c r="O18" s="785"/>
    </row>
    <row r="19" spans="1:15" s="783" customFormat="1" ht="14.25" customHeight="1">
      <c r="A19" s="938"/>
      <c r="B19" s="777"/>
      <c r="C19" s="939"/>
      <c r="D19" s="935"/>
      <c r="E19" s="936"/>
      <c r="F19" s="939"/>
      <c r="G19" s="940"/>
      <c r="H19" s="941"/>
      <c r="I19" s="941"/>
      <c r="J19" s="941"/>
      <c r="K19" s="939"/>
      <c r="L19" s="942"/>
      <c r="M19" s="791"/>
      <c r="N19" s="784"/>
      <c r="O19" s="785"/>
    </row>
    <row r="20" spans="1:15" s="783" customFormat="1" ht="14.25" customHeight="1">
      <c r="A20" s="840"/>
      <c r="B20" s="777"/>
      <c r="C20" s="791"/>
      <c r="D20" s="820"/>
      <c r="E20" s="786"/>
      <c r="F20" s="791"/>
      <c r="G20" s="797"/>
      <c r="H20" s="833"/>
      <c r="I20" s="833"/>
      <c r="J20" s="833"/>
      <c r="K20" s="791"/>
      <c r="L20" s="834"/>
      <c r="M20" s="791"/>
      <c r="N20" s="784"/>
      <c r="O20" s="785"/>
    </row>
    <row r="21" spans="1:15" s="783" customFormat="1" ht="14.25" customHeight="1">
      <c r="A21" s="840"/>
      <c r="B21" s="777"/>
      <c r="C21" s="791"/>
      <c r="D21" s="820"/>
      <c r="E21" s="786"/>
      <c r="F21" s="791"/>
      <c r="G21" s="797"/>
      <c r="H21" s="833"/>
      <c r="I21" s="833"/>
      <c r="J21" s="833"/>
      <c r="K21" s="791"/>
      <c r="L21" s="2428">
        <f>SUM(L6:L20)</f>
        <v>2340000</v>
      </c>
      <c r="M21" s="791"/>
      <c r="N21" s="784"/>
      <c r="O21" s="785"/>
    </row>
    <row r="22" spans="1:15" ht="14.25" customHeight="1">
      <c r="A22" s="125"/>
      <c r="B22" s="63"/>
      <c r="C22" s="58"/>
      <c r="D22" s="90"/>
      <c r="E22" s="94"/>
      <c r="F22" s="90"/>
      <c r="G22" s="90"/>
      <c r="H22" s="91"/>
      <c r="I22" s="91"/>
      <c r="J22" s="91"/>
      <c r="K22" s="91"/>
      <c r="L22" s="101"/>
      <c r="M22" s="93"/>
      <c r="N22" s="91"/>
      <c r="O22" s="91"/>
    </row>
    <row r="23" spans="1:15" ht="14.25" customHeight="1">
      <c r="A23" s="125"/>
      <c r="B23" s="63"/>
      <c r="C23" s="58"/>
      <c r="D23" s="90"/>
      <c r="E23" s="94"/>
      <c r="F23" s="90"/>
      <c r="G23" s="90"/>
      <c r="H23" s="91"/>
      <c r="I23" s="91"/>
      <c r="J23" s="91"/>
      <c r="K23" s="91"/>
      <c r="L23" s="101"/>
      <c r="M23" s="93"/>
      <c r="N23" s="91"/>
      <c r="O23" s="124"/>
    </row>
    <row r="24" spans="1:15" ht="22.5" customHeight="1">
      <c r="A24" s="125"/>
      <c r="B24" s="63"/>
      <c r="C24" s="86"/>
      <c r="D24" s="87"/>
      <c r="E24" s="95"/>
      <c r="F24" s="87"/>
      <c r="G24" s="88"/>
      <c r="H24" s="89"/>
      <c r="I24" s="89"/>
      <c r="J24" s="89"/>
      <c r="K24" s="87"/>
      <c r="L24" s="98"/>
      <c r="M24" s="87"/>
      <c r="N24" s="19"/>
      <c r="O24" s="77"/>
    </row>
    <row r="25" spans="1:15" ht="14.25" customHeight="1">
      <c r="A25" s="125"/>
      <c r="B25" s="63"/>
      <c r="C25" s="58"/>
      <c r="D25" s="96"/>
      <c r="E25" s="97"/>
      <c r="F25" s="58"/>
      <c r="G25" s="59"/>
      <c r="H25" s="60"/>
      <c r="I25" s="60"/>
      <c r="J25" s="60"/>
      <c r="K25" s="58"/>
      <c r="L25" s="64"/>
      <c r="M25" s="58"/>
      <c r="N25" s="19"/>
      <c r="O25" s="62"/>
    </row>
    <row r="26" spans="1:15" ht="14.25" customHeight="1">
      <c r="A26" s="125"/>
      <c r="B26" s="63"/>
      <c r="C26" s="58"/>
      <c r="D26" s="79"/>
      <c r="E26" s="81"/>
      <c r="F26" s="58"/>
      <c r="G26" s="59"/>
      <c r="H26" s="60"/>
      <c r="I26" s="60"/>
      <c r="J26" s="60"/>
      <c r="K26" s="58"/>
      <c r="L26" s="64"/>
      <c r="M26" s="58"/>
      <c r="N26" s="19"/>
      <c r="O26" s="62"/>
    </row>
    <row r="27" spans="1:15">
      <c r="A27" s="125"/>
      <c r="B27" s="63"/>
      <c r="C27" s="58"/>
      <c r="D27" s="79"/>
      <c r="E27" s="81"/>
      <c r="F27" s="58"/>
      <c r="G27" s="59"/>
      <c r="H27" s="60"/>
      <c r="I27" s="60"/>
      <c r="J27" s="60"/>
      <c r="K27" s="58"/>
      <c r="L27" s="64"/>
      <c r="M27" s="58"/>
      <c r="N27" s="19"/>
      <c r="O27" s="62"/>
    </row>
    <row r="28" spans="1:15">
      <c r="A28" s="125"/>
      <c r="B28" s="63"/>
      <c r="C28" s="58"/>
      <c r="D28" s="78"/>
      <c r="E28" s="79"/>
      <c r="F28" s="58"/>
      <c r="G28" s="59"/>
      <c r="H28" s="60"/>
      <c r="I28" s="60"/>
      <c r="J28" s="60"/>
      <c r="K28" s="58"/>
      <c r="L28" s="64"/>
      <c r="M28" s="58"/>
      <c r="N28" s="19"/>
      <c r="O28" s="62"/>
    </row>
    <row r="29" spans="1:15">
      <c r="C29" s="58"/>
      <c r="D29" s="90"/>
      <c r="E29" s="94"/>
      <c r="F29" s="90"/>
      <c r="G29" s="91"/>
      <c r="H29" s="91"/>
      <c r="I29" s="91"/>
      <c r="J29" s="91"/>
      <c r="K29" s="92"/>
      <c r="L29" s="101"/>
      <c r="M29" s="91"/>
      <c r="N29" s="19"/>
      <c r="O29" s="91"/>
    </row>
    <row r="30" spans="1:15">
      <c r="A30" s="125"/>
      <c r="B30" s="63"/>
      <c r="C30" s="86"/>
      <c r="D30" s="87"/>
      <c r="E30" s="95"/>
      <c r="F30" s="87"/>
      <c r="G30" s="88"/>
      <c r="H30" s="89"/>
      <c r="I30" s="89"/>
      <c r="J30" s="89"/>
      <c r="K30" s="87"/>
      <c r="L30" s="98"/>
      <c r="M30" s="87"/>
      <c r="N30" s="19"/>
      <c r="O30" s="77"/>
    </row>
    <row r="31" spans="1:15">
      <c r="A31" s="125"/>
      <c r="B31" s="63"/>
      <c r="C31" s="58"/>
      <c r="D31" s="96"/>
      <c r="E31" s="96"/>
      <c r="F31" s="58"/>
      <c r="G31" s="59"/>
      <c r="H31" s="60"/>
      <c r="I31" s="60"/>
      <c r="J31" s="60"/>
      <c r="K31" s="58"/>
      <c r="L31" s="64"/>
      <c r="M31" s="58"/>
      <c r="N31" s="19"/>
      <c r="O31" s="62"/>
    </row>
    <row r="32" spans="1:15">
      <c r="A32" s="125"/>
      <c r="B32" s="63"/>
      <c r="C32" s="58"/>
      <c r="D32" s="78"/>
      <c r="E32" s="79"/>
      <c r="F32" s="80"/>
      <c r="G32" s="58"/>
      <c r="H32" s="59"/>
      <c r="I32" s="60"/>
      <c r="J32" s="60"/>
      <c r="K32" s="60"/>
      <c r="L32" s="100"/>
      <c r="M32" s="61"/>
      <c r="N32" s="58"/>
      <c r="O32" s="62"/>
    </row>
    <row r="33" spans="1:15">
      <c r="A33" s="125"/>
      <c r="B33" s="63"/>
      <c r="C33" s="58"/>
      <c r="D33" s="78"/>
      <c r="E33" s="79"/>
      <c r="F33" s="80"/>
      <c r="G33" s="58"/>
      <c r="H33" s="59"/>
      <c r="I33" s="60"/>
      <c r="J33" s="60"/>
      <c r="K33" s="60"/>
      <c r="L33" s="100"/>
      <c r="M33" s="61"/>
      <c r="N33" s="58"/>
      <c r="O33" s="62"/>
    </row>
    <row r="34" spans="1:15">
      <c r="A34" s="125"/>
      <c r="B34" s="63"/>
      <c r="C34" s="58"/>
      <c r="D34" s="78"/>
      <c r="E34" s="79"/>
      <c r="F34" s="80"/>
      <c r="G34" s="58"/>
      <c r="H34" s="59"/>
      <c r="I34" s="60"/>
      <c r="J34" s="60"/>
      <c r="K34" s="60"/>
      <c r="L34" s="100"/>
      <c r="M34" s="61"/>
      <c r="N34" s="58"/>
      <c r="O34" s="62"/>
    </row>
    <row r="35" spans="1:15">
      <c r="A35" s="125"/>
      <c r="B35" s="63"/>
      <c r="C35" s="58"/>
      <c r="D35" s="90"/>
      <c r="E35" s="94"/>
      <c r="F35" s="90"/>
      <c r="G35" s="90"/>
      <c r="H35" s="91"/>
      <c r="I35" s="91"/>
      <c r="J35" s="91"/>
      <c r="K35" s="91"/>
      <c r="L35" s="101"/>
      <c r="M35" s="93"/>
      <c r="N35" s="91"/>
      <c r="O35" s="124"/>
    </row>
    <row r="36" spans="1:15">
      <c r="A36" s="125"/>
      <c r="B36" s="63"/>
      <c r="C36" s="86"/>
      <c r="D36" s="87"/>
      <c r="E36" s="95"/>
      <c r="F36" s="87"/>
      <c r="G36" s="88"/>
      <c r="H36" s="89"/>
      <c r="I36" s="89"/>
      <c r="J36" s="89"/>
      <c r="K36" s="87"/>
      <c r="L36" s="98"/>
      <c r="M36" s="87"/>
      <c r="N36" s="19"/>
      <c r="O36" s="77"/>
    </row>
    <row r="37" spans="1:15">
      <c r="A37" s="125"/>
      <c r="B37" s="63"/>
      <c r="C37" s="58"/>
      <c r="D37" s="138"/>
      <c r="E37" s="96"/>
      <c r="F37" s="58"/>
      <c r="G37" s="59"/>
      <c r="H37" s="60"/>
      <c r="I37" s="60"/>
      <c r="J37" s="60"/>
      <c r="K37" s="58"/>
      <c r="L37" s="64"/>
      <c r="M37" s="58"/>
      <c r="N37" s="19"/>
      <c r="O37" s="62"/>
    </row>
    <row r="38" spans="1:15">
      <c r="A38" s="125"/>
      <c r="B38" s="63"/>
      <c r="C38" s="58"/>
      <c r="D38" s="79"/>
      <c r="E38" s="79"/>
      <c r="F38" s="58"/>
      <c r="G38" s="59"/>
      <c r="H38" s="60"/>
      <c r="I38" s="60"/>
      <c r="J38" s="60"/>
      <c r="K38" s="58"/>
      <c r="L38" s="64"/>
      <c r="M38" s="58"/>
      <c r="N38" s="19"/>
      <c r="O38" s="62"/>
    </row>
    <row r="39" spans="1:15">
      <c r="A39" s="125"/>
      <c r="B39" s="63"/>
      <c r="C39" s="58"/>
      <c r="D39" s="78"/>
      <c r="E39" s="79"/>
      <c r="F39" s="80"/>
      <c r="G39" s="58"/>
      <c r="H39" s="59"/>
      <c r="I39" s="60"/>
      <c r="J39" s="60"/>
      <c r="K39" s="60"/>
      <c r="L39" s="100"/>
      <c r="M39" s="61"/>
      <c r="N39" s="58"/>
      <c r="O39" s="62"/>
    </row>
    <row r="40" spans="1:15">
      <c r="A40" s="125"/>
      <c r="B40" s="63"/>
      <c r="C40" s="58"/>
      <c r="D40" s="78"/>
      <c r="E40" s="79"/>
      <c r="F40" s="80"/>
      <c r="G40" s="58"/>
      <c r="H40" s="59"/>
      <c r="I40" s="60"/>
      <c r="J40" s="60"/>
      <c r="K40" s="60"/>
      <c r="L40" s="100"/>
      <c r="M40" s="61"/>
      <c r="N40" s="58"/>
      <c r="O40" s="62"/>
    </row>
    <row r="41" spans="1:15">
      <c r="C41" s="58"/>
      <c r="D41" s="90"/>
      <c r="E41" s="94"/>
      <c r="F41" s="90"/>
      <c r="G41" s="90"/>
      <c r="H41" s="91"/>
      <c r="I41" s="91"/>
      <c r="J41" s="91"/>
      <c r="K41" s="91"/>
      <c r="L41" s="101"/>
      <c r="M41" s="93"/>
      <c r="N41" s="91"/>
      <c r="O41" s="124"/>
    </row>
    <row r="42" spans="1:15">
      <c r="C42" s="58"/>
      <c r="D42" s="90"/>
      <c r="E42" s="94"/>
      <c r="F42" s="90"/>
      <c r="G42" s="90"/>
      <c r="H42" s="91"/>
      <c r="I42" s="91"/>
      <c r="J42" s="91"/>
      <c r="K42" s="91"/>
      <c r="L42" s="101"/>
      <c r="M42" s="93"/>
      <c r="N42" s="91"/>
      <c r="O42" s="124"/>
    </row>
    <row r="43" spans="1:15">
      <c r="A43" s="125"/>
      <c r="B43" s="63"/>
      <c r="C43" s="86"/>
      <c r="D43" s="87"/>
      <c r="E43" s="86"/>
      <c r="F43" s="87"/>
      <c r="G43" s="88"/>
      <c r="H43" s="89"/>
      <c r="I43" s="89"/>
      <c r="J43" s="89"/>
      <c r="K43" s="87"/>
      <c r="L43" s="98"/>
      <c r="M43" s="87"/>
      <c r="N43" s="77"/>
    </row>
    <row r="44" spans="1:15">
      <c r="A44" s="125"/>
      <c r="B44" s="63"/>
      <c r="C44" s="58"/>
      <c r="D44" s="139"/>
      <c r="E44" s="19"/>
      <c r="F44" s="58"/>
      <c r="G44" s="59"/>
      <c r="H44" s="60"/>
      <c r="I44" s="60"/>
      <c r="J44" s="60"/>
      <c r="K44" s="58"/>
      <c r="L44" s="64"/>
      <c r="M44" s="58"/>
      <c r="N44" s="62"/>
    </row>
    <row r="45" spans="1:15">
      <c r="A45" s="125"/>
      <c r="B45" s="63"/>
      <c r="C45" s="58"/>
      <c r="D45" s="81"/>
      <c r="E45" s="19"/>
      <c r="F45" s="81"/>
      <c r="G45" s="58"/>
      <c r="H45" s="59"/>
      <c r="I45" s="60"/>
      <c r="J45" s="60"/>
      <c r="K45" s="60"/>
      <c r="L45" s="58"/>
      <c r="M45" s="61"/>
      <c r="N45" s="58"/>
      <c r="O45" s="62"/>
    </row>
    <row r="46" spans="1:15">
      <c r="A46" s="125"/>
      <c r="B46" s="63"/>
      <c r="C46" s="58"/>
      <c r="D46" s="78"/>
      <c r="E46" s="81"/>
      <c r="F46" s="81"/>
      <c r="G46" s="58"/>
      <c r="H46" s="59"/>
      <c r="I46" s="60"/>
      <c r="J46" s="60"/>
      <c r="K46" s="60"/>
      <c r="L46" s="58"/>
      <c r="M46" s="61"/>
      <c r="N46" s="58"/>
      <c r="O46" s="62"/>
    </row>
    <row r="47" spans="1:15">
      <c r="A47" s="125"/>
      <c r="B47" s="63"/>
      <c r="C47" s="58"/>
      <c r="D47" s="78"/>
      <c r="E47" s="81"/>
      <c r="F47" s="81"/>
      <c r="G47" s="58"/>
      <c r="H47" s="59"/>
      <c r="I47" s="60"/>
      <c r="J47" s="60"/>
      <c r="K47" s="60"/>
      <c r="L47" s="58"/>
      <c r="M47" s="61"/>
      <c r="N47" s="58"/>
      <c r="O47" s="62"/>
    </row>
    <row r="48" spans="1:15">
      <c r="C48" s="58"/>
      <c r="D48" s="90"/>
      <c r="E48" s="94"/>
      <c r="F48" s="90"/>
      <c r="G48" s="90"/>
      <c r="H48" s="91"/>
      <c r="I48" s="91"/>
      <c r="J48" s="91"/>
      <c r="K48" s="91"/>
      <c r="L48" s="92"/>
      <c r="M48" s="93"/>
      <c r="N48" s="91"/>
      <c r="O48" s="124"/>
    </row>
    <row r="49" spans="1:15">
      <c r="A49" s="58"/>
      <c r="B49" s="63"/>
      <c r="C49" s="86"/>
      <c r="D49" s="87"/>
      <c r="E49" s="95"/>
      <c r="F49" s="87"/>
      <c r="G49" s="88"/>
      <c r="H49" s="89"/>
      <c r="I49" s="89"/>
      <c r="J49" s="89"/>
      <c r="K49" s="87"/>
      <c r="L49" s="123"/>
      <c r="M49" s="87"/>
      <c r="O49" s="77"/>
    </row>
    <row r="50" spans="1:15">
      <c r="A50" s="58"/>
      <c r="B50" s="63"/>
      <c r="C50" s="58"/>
      <c r="D50" s="96"/>
      <c r="E50" s="19"/>
      <c r="F50" s="109"/>
      <c r="G50" s="59"/>
      <c r="H50" s="60"/>
      <c r="I50" s="60"/>
      <c r="J50" s="60"/>
      <c r="K50" s="58"/>
      <c r="L50" s="61"/>
      <c r="M50" s="58"/>
      <c r="O50" s="62"/>
    </row>
    <row r="51" spans="1:15">
      <c r="A51" s="58"/>
      <c r="B51" s="63"/>
      <c r="C51" s="58"/>
      <c r="D51" s="79"/>
      <c r="E51" s="19"/>
      <c r="F51" s="109"/>
      <c r="G51" s="59"/>
      <c r="H51" s="60"/>
      <c r="I51" s="60"/>
      <c r="J51" s="60"/>
      <c r="K51" s="58"/>
      <c r="L51" s="61"/>
      <c r="M51" s="58"/>
      <c r="O51" s="62"/>
    </row>
    <row r="52" spans="1:15">
      <c r="A52" s="58"/>
      <c r="B52" s="63"/>
      <c r="C52" s="58"/>
      <c r="D52" s="79"/>
      <c r="E52" s="19"/>
      <c r="F52" s="80"/>
      <c r="G52" s="58"/>
      <c r="H52" s="59"/>
      <c r="I52" s="60"/>
      <c r="J52" s="60"/>
      <c r="K52" s="60"/>
      <c r="L52" s="58"/>
      <c r="M52" s="61"/>
      <c r="N52" s="58"/>
      <c r="O52" s="62"/>
    </row>
    <row r="53" spans="1:15">
      <c r="A53" s="58"/>
      <c r="B53" s="63"/>
      <c r="C53" s="58"/>
      <c r="D53" s="78"/>
      <c r="E53" s="79"/>
      <c r="F53" s="81"/>
      <c r="G53" s="58"/>
      <c r="H53" s="59"/>
      <c r="I53" s="60"/>
      <c r="J53" s="60"/>
      <c r="K53" s="60"/>
      <c r="L53" s="58"/>
      <c r="M53" s="61"/>
      <c r="N53" s="58"/>
      <c r="O53" s="62"/>
    </row>
    <row r="54" spans="1:15">
      <c r="D54" s="90"/>
      <c r="E54" s="94"/>
      <c r="F54" s="90"/>
      <c r="G54" s="90"/>
      <c r="H54" s="91"/>
      <c r="I54" s="91"/>
      <c r="J54" s="91"/>
      <c r="K54" s="91"/>
      <c r="L54" s="92"/>
      <c r="M54" s="93"/>
      <c r="N54" s="91"/>
      <c r="O54" s="91"/>
    </row>
    <row r="55" spans="1:15">
      <c r="C55" s="58"/>
      <c r="D55" s="90"/>
      <c r="E55" s="94"/>
      <c r="F55" s="90"/>
      <c r="G55" s="90"/>
      <c r="H55" s="91"/>
      <c r="I55" s="91"/>
      <c r="J55" s="91"/>
      <c r="K55" s="91"/>
      <c r="L55" s="92"/>
      <c r="M55" s="93"/>
      <c r="N55" s="91"/>
      <c r="O55" s="124"/>
    </row>
    <row r="56" spans="1:15">
      <c r="C56" s="58"/>
      <c r="D56" s="90"/>
      <c r="E56" s="94"/>
      <c r="F56" s="90"/>
      <c r="G56" s="90"/>
      <c r="H56" s="91"/>
      <c r="I56" s="91"/>
      <c r="J56" s="91"/>
      <c r="K56" s="91"/>
      <c r="L56" s="92"/>
      <c r="M56" s="93"/>
      <c r="N56" s="91"/>
      <c r="O56" s="124"/>
    </row>
    <row r="57" spans="1:15">
      <c r="C57" s="58"/>
      <c r="D57" s="90"/>
      <c r="E57" s="94"/>
      <c r="F57" s="90"/>
      <c r="G57" s="90"/>
      <c r="H57" s="91"/>
      <c r="I57" s="91"/>
      <c r="J57" s="91"/>
      <c r="K57" s="91"/>
      <c r="L57" s="92"/>
      <c r="M57" s="93"/>
      <c r="N57" s="91"/>
      <c r="O57" s="124"/>
    </row>
    <row r="58" spans="1:15">
      <c r="C58" s="58"/>
      <c r="D58" s="90"/>
      <c r="E58" s="94"/>
      <c r="F58" s="90"/>
      <c r="G58" s="90"/>
      <c r="H58" s="91"/>
      <c r="I58" s="91"/>
      <c r="J58" s="91"/>
      <c r="K58" s="91"/>
      <c r="L58" s="92"/>
      <c r="M58" s="93"/>
      <c r="N58" s="91"/>
      <c r="O58" s="124"/>
    </row>
    <row r="59" spans="1:15">
      <c r="C59" s="58"/>
      <c r="D59" s="90"/>
      <c r="E59" s="94"/>
      <c r="F59" s="90"/>
      <c r="G59" s="90"/>
      <c r="H59" s="91"/>
      <c r="I59" s="91"/>
      <c r="J59" s="91"/>
      <c r="K59" s="91"/>
      <c r="L59" s="92"/>
      <c r="M59" s="93"/>
      <c r="N59" s="91"/>
      <c r="O59" s="124"/>
    </row>
    <row r="60" spans="1:15">
      <c r="C60" s="58"/>
      <c r="D60" s="90"/>
      <c r="E60" s="94"/>
      <c r="F60" s="90"/>
      <c r="G60" s="90"/>
      <c r="H60" s="91"/>
      <c r="I60" s="91"/>
      <c r="J60" s="91"/>
      <c r="K60" s="91"/>
      <c r="L60" s="92"/>
      <c r="M60" s="93"/>
      <c r="N60" s="91"/>
      <c r="O60" s="124"/>
    </row>
    <row r="61" spans="1:15">
      <c r="C61" s="58"/>
      <c r="D61" s="90"/>
      <c r="E61" s="94"/>
      <c r="F61" s="90"/>
      <c r="G61" s="90"/>
      <c r="H61" s="91"/>
      <c r="I61" s="91"/>
      <c r="J61" s="91"/>
      <c r="K61" s="91"/>
      <c r="L61" s="92"/>
      <c r="M61" s="93"/>
      <c r="N61" s="91"/>
      <c r="O61" s="124"/>
    </row>
    <row r="62" spans="1:15">
      <c r="C62" s="58"/>
      <c r="D62" s="90"/>
      <c r="E62" s="94"/>
      <c r="F62" s="90"/>
      <c r="G62" s="90"/>
      <c r="H62" s="91"/>
      <c r="I62" s="91"/>
      <c r="J62" s="91"/>
      <c r="K62" s="91"/>
      <c r="L62" s="92"/>
      <c r="M62" s="93"/>
      <c r="N62" s="91"/>
      <c r="O62" s="124"/>
    </row>
    <row r="63" spans="1:15">
      <c r="C63" s="58"/>
      <c r="D63" s="90"/>
      <c r="E63" s="94"/>
      <c r="F63" s="90"/>
      <c r="G63" s="90"/>
      <c r="H63" s="91"/>
      <c r="I63" s="91"/>
      <c r="J63" s="91"/>
      <c r="K63" s="91"/>
      <c r="L63" s="92"/>
      <c r="M63" s="93"/>
      <c r="N63" s="91"/>
      <c r="O63" s="124"/>
    </row>
    <row r="64" spans="1:15">
      <c r="C64" s="8"/>
      <c r="D64" s="8"/>
      <c r="E64" s="7"/>
      <c r="F64" s="6"/>
      <c r="G64" s="6"/>
      <c r="H64" s="5"/>
      <c r="I64" s="5"/>
      <c r="J64" s="5"/>
      <c r="K64" s="6"/>
      <c r="L64" s="4"/>
      <c r="M64" s="6"/>
      <c r="N64" s="2"/>
    </row>
    <row r="65" spans="3:14">
      <c r="C65" s="8"/>
      <c r="D65" s="8"/>
      <c r="E65" s="7"/>
      <c r="F65" s="6"/>
      <c r="G65" s="6"/>
      <c r="H65" s="5"/>
      <c r="I65" s="5"/>
      <c r="J65" s="5"/>
      <c r="K65" s="6"/>
      <c r="L65" s="4"/>
      <c r="M65" s="6"/>
      <c r="N65" s="2"/>
    </row>
    <row r="66" spans="3:14">
      <c r="C66" s="8"/>
      <c r="D66" s="8"/>
      <c r="E66" s="7"/>
      <c r="F66" s="6"/>
      <c r="G66" s="6"/>
      <c r="H66" s="5"/>
      <c r="I66" s="5"/>
      <c r="J66" s="5"/>
      <c r="K66" s="6"/>
      <c r="L66" s="4"/>
      <c r="M66" s="6"/>
      <c r="N66" s="2"/>
    </row>
    <row r="67" spans="3:14">
      <c r="C67" s="8"/>
      <c r="D67" s="8"/>
      <c r="E67" s="7"/>
      <c r="F67" s="6"/>
      <c r="G67" s="6"/>
      <c r="H67" s="5"/>
      <c r="I67" s="5"/>
      <c r="J67" s="5"/>
      <c r="K67" s="6"/>
      <c r="L67" s="4"/>
      <c r="M67" s="6"/>
      <c r="N67" s="2"/>
    </row>
    <row r="68" spans="3:14">
      <c r="C68" s="8"/>
      <c r="D68" s="8"/>
      <c r="E68" s="7"/>
      <c r="F68" s="6"/>
      <c r="G68" s="6"/>
      <c r="H68" s="5"/>
      <c r="I68" s="5"/>
      <c r="J68" s="5"/>
      <c r="K68" s="6"/>
      <c r="L68" s="4"/>
      <c r="M68" s="6"/>
      <c r="N68" s="2"/>
    </row>
    <row r="69" spans="3:14">
      <c r="C69" s="8"/>
      <c r="D69" s="8"/>
      <c r="E69" s="7"/>
      <c r="F69" s="6"/>
      <c r="G69" s="6"/>
      <c r="H69" s="5"/>
      <c r="I69" s="5"/>
      <c r="J69" s="5"/>
      <c r="K69" s="6"/>
      <c r="L69" s="4"/>
      <c r="M69" s="6"/>
      <c r="N69" s="2"/>
    </row>
    <row r="70" spans="3:14">
      <c r="C70" s="8"/>
      <c r="D70" s="8"/>
      <c r="E70" s="7"/>
      <c r="F70" s="6"/>
      <c r="G70" s="6"/>
      <c r="H70" s="5"/>
      <c r="I70" s="5"/>
      <c r="J70" s="5"/>
      <c r="K70" s="6"/>
      <c r="L70" s="4"/>
      <c r="M70" s="6"/>
      <c r="N70" s="2"/>
    </row>
    <row r="71" spans="3:14">
      <c r="C71" s="8"/>
      <c r="D71" s="8"/>
      <c r="E71" s="7"/>
      <c r="F71" s="6"/>
      <c r="G71" s="6"/>
      <c r="H71" s="5"/>
      <c r="I71" s="5"/>
      <c r="J71" s="5"/>
      <c r="K71" s="6"/>
      <c r="L71" s="108"/>
      <c r="M71" s="6"/>
      <c r="N71" s="2"/>
    </row>
    <row r="72" spans="3:14">
      <c r="C72" s="8"/>
      <c r="D72" s="8"/>
      <c r="E72" s="7"/>
      <c r="F72" s="6"/>
      <c r="G72" s="6"/>
      <c r="H72" s="5"/>
      <c r="I72" s="5"/>
      <c r="J72" s="5"/>
      <c r="K72" s="6"/>
      <c r="L72" s="4"/>
      <c r="M72" s="6"/>
      <c r="N72" s="2"/>
    </row>
    <row r="73" spans="3:14">
      <c r="C73" s="8"/>
      <c r="D73" s="8"/>
      <c r="E73" s="7"/>
      <c r="F73" s="6"/>
      <c r="G73" s="6"/>
      <c r="H73" s="5"/>
      <c r="I73" s="5"/>
      <c r="J73" s="5"/>
      <c r="K73" s="6"/>
      <c r="L73" s="4"/>
      <c r="M73" s="6"/>
      <c r="N73" s="2"/>
    </row>
    <row r="74" spans="3:14">
      <c r="C74" s="8"/>
      <c r="D74" s="8"/>
      <c r="E74" s="7"/>
      <c r="F74" s="6"/>
      <c r="G74" s="6"/>
      <c r="H74" s="5"/>
      <c r="I74" s="5"/>
      <c r="J74" s="5"/>
      <c r="K74" s="6"/>
      <c r="L74" s="4"/>
      <c r="M74" s="6"/>
      <c r="N74" s="2"/>
    </row>
    <row r="75" spans="3:14">
      <c r="C75" s="8"/>
      <c r="D75" s="8"/>
      <c r="E75" s="7"/>
      <c r="F75" s="6"/>
      <c r="G75" s="6"/>
      <c r="H75" s="5"/>
      <c r="I75" s="5"/>
      <c r="J75" s="5"/>
      <c r="K75" s="6"/>
      <c r="L75" s="4"/>
      <c r="M75" s="6"/>
      <c r="N75" s="2"/>
    </row>
    <row r="76" spans="3:14">
      <c r="C76" s="8"/>
      <c r="D76" s="8"/>
      <c r="E76" s="7"/>
      <c r="F76" s="6"/>
      <c r="G76" s="6"/>
      <c r="H76" s="5"/>
      <c r="I76" s="5"/>
      <c r="J76" s="5"/>
      <c r="K76" s="6"/>
      <c r="L76" s="4"/>
      <c r="M76" s="6"/>
      <c r="N76" s="2"/>
    </row>
    <row r="77" spans="3:14" ht="14.25" customHeight="1">
      <c r="C77" s="8"/>
      <c r="D77" s="8"/>
      <c r="E77" s="7"/>
      <c r="F77" s="6"/>
      <c r="G77" s="6"/>
      <c r="H77" s="5"/>
      <c r="I77" s="5"/>
      <c r="J77" s="5"/>
      <c r="K77" s="6"/>
      <c r="L77" s="4"/>
      <c r="M77" s="6"/>
      <c r="N77" s="2"/>
    </row>
    <row r="78" spans="3:14" ht="14.25" customHeight="1">
      <c r="C78" s="8"/>
      <c r="D78" s="8"/>
      <c r="E78" s="7"/>
      <c r="F78" s="6"/>
      <c r="G78" s="6"/>
      <c r="H78" s="5"/>
      <c r="I78" s="5"/>
      <c r="J78" s="5"/>
      <c r="K78" s="6"/>
      <c r="L78" s="4"/>
      <c r="M78" s="6"/>
      <c r="N78" s="2"/>
    </row>
    <row r="79" spans="3:14" ht="14.25" customHeight="1">
      <c r="C79" s="8"/>
      <c r="D79" s="8"/>
      <c r="E79" s="7"/>
      <c r="F79" s="6"/>
      <c r="G79" s="6"/>
      <c r="H79" s="5"/>
      <c r="I79" s="5"/>
      <c r="J79" s="5"/>
      <c r="K79" s="6"/>
      <c r="L79" s="4"/>
      <c r="M79" s="6"/>
      <c r="N79" s="2"/>
    </row>
    <row r="80" spans="3:14" ht="14.25" customHeight="1">
      <c r="C80" s="8"/>
      <c r="D80" s="8"/>
      <c r="E80" s="7"/>
      <c r="F80" s="6"/>
      <c r="G80" s="6"/>
      <c r="H80" s="5"/>
      <c r="I80" s="5"/>
      <c r="J80" s="5"/>
      <c r="K80" s="6"/>
      <c r="L80" s="4"/>
      <c r="M80" s="6"/>
      <c r="N80" s="2"/>
    </row>
    <row r="81" spans="3:14" ht="14.25" customHeight="1">
      <c r="C81" s="8"/>
      <c r="D81" s="8"/>
      <c r="E81" s="7"/>
      <c r="F81" s="6"/>
      <c r="G81" s="6"/>
      <c r="H81" s="5"/>
      <c r="I81" s="5"/>
      <c r="J81" s="5"/>
      <c r="K81" s="6"/>
      <c r="L81" s="4"/>
      <c r="M81" s="6"/>
      <c r="N81" s="2"/>
    </row>
    <row r="82" spans="3:14" ht="14.25" customHeight="1">
      <c r="C82" s="8"/>
      <c r="D82" s="8"/>
      <c r="E82" s="7"/>
      <c r="F82" s="6"/>
      <c r="G82" s="6"/>
      <c r="H82" s="5"/>
      <c r="I82" s="5"/>
      <c r="J82" s="5"/>
      <c r="K82" s="6"/>
      <c r="L82" s="4"/>
      <c r="M82" s="6"/>
      <c r="N82" s="2"/>
    </row>
    <row r="83" spans="3:14" ht="14.25" customHeight="1">
      <c r="C83" s="8"/>
      <c r="D83" s="8"/>
      <c r="E83" s="7"/>
      <c r="F83" s="6"/>
      <c r="G83" s="6"/>
      <c r="H83" s="5"/>
      <c r="I83" s="5"/>
      <c r="J83" s="5"/>
      <c r="K83" s="6"/>
      <c r="L83" s="4"/>
      <c r="M83" s="6"/>
      <c r="N83" s="2"/>
    </row>
    <row r="84" spans="3:14" ht="14.25" customHeight="1">
      <c r="C84" s="8"/>
      <c r="D84" s="8"/>
      <c r="E84" s="7"/>
      <c r="F84" s="6"/>
      <c r="G84" s="6"/>
      <c r="H84" s="5"/>
      <c r="I84" s="5"/>
      <c r="J84" s="5"/>
      <c r="K84" s="6"/>
      <c r="L84" s="4"/>
      <c r="M84" s="6"/>
      <c r="N84" s="2"/>
    </row>
    <row r="85" spans="3:14" ht="14.25" customHeight="1">
      <c r="C85" s="8"/>
      <c r="D85" s="8"/>
      <c r="E85" s="7"/>
      <c r="F85" s="6"/>
      <c r="G85" s="6"/>
      <c r="H85" s="5"/>
      <c r="I85" s="5"/>
      <c r="J85" s="5"/>
      <c r="K85" s="6"/>
      <c r="L85" s="4"/>
      <c r="M85" s="6"/>
      <c r="N85" s="2"/>
    </row>
    <row r="86" spans="3:14" ht="14.25" customHeight="1">
      <c r="C86" s="8"/>
      <c r="D86" s="8"/>
      <c r="E86" s="7"/>
      <c r="F86" s="6"/>
      <c r="G86" s="6"/>
      <c r="H86" s="5"/>
      <c r="I86" s="5"/>
      <c r="J86" s="5"/>
      <c r="K86" s="6"/>
      <c r="L86" s="4"/>
      <c r="M86" s="6"/>
      <c r="N86" s="2"/>
    </row>
    <row r="87" spans="3:14" ht="14.25" customHeight="1">
      <c r="C87" s="8"/>
      <c r="D87" s="8"/>
      <c r="E87" s="7"/>
      <c r="F87" s="6"/>
      <c r="G87" s="6"/>
      <c r="H87" s="5"/>
      <c r="I87" s="5"/>
      <c r="J87" s="5"/>
      <c r="K87" s="6"/>
      <c r="L87" s="4"/>
      <c r="M87" s="6"/>
      <c r="N87" s="2"/>
    </row>
    <row r="88" spans="3:14" ht="14.25" customHeight="1">
      <c r="C88" s="8"/>
      <c r="D88" s="8"/>
      <c r="E88" s="7"/>
      <c r="F88" s="6"/>
      <c r="G88" s="6"/>
      <c r="H88" s="5"/>
      <c r="I88" s="5"/>
      <c r="J88" s="5"/>
      <c r="K88" s="6"/>
      <c r="L88" s="4"/>
      <c r="M88" s="6"/>
      <c r="N88" s="2"/>
    </row>
    <row r="89" spans="3:14" ht="14.25" customHeight="1">
      <c r="C89" s="8"/>
      <c r="D89" s="8"/>
      <c r="E89" s="7"/>
      <c r="F89" s="6"/>
      <c r="G89" s="6"/>
      <c r="H89" s="5"/>
      <c r="I89" s="5"/>
      <c r="J89" s="5"/>
      <c r="K89" s="6"/>
      <c r="L89" s="4"/>
      <c r="M89" s="6"/>
      <c r="N89" s="2"/>
    </row>
    <row r="90" spans="3:14" ht="14.25" customHeight="1">
      <c r="C90" s="8"/>
      <c r="D90" s="8"/>
      <c r="E90" s="7"/>
      <c r="F90" s="6"/>
      <c r="G90" s="6"/>
      <c r="H90" s="5"/>
      <c r="I90" s="5"/>
      <c r="J90" s="5"/>
      <c r="K90" s="6"/>
      <c r="L90" s="4"/>
      <c r="M90" s="6"/>
      <c r="N90" s="2"/>
    </row>
    <row r="91" spans="3:14" ht="14.25" customHeight="1">
      <c r="C91" s="8"/>
      <c r="D91" s="8"/>
      <c r="E91" s="7"/>
      <c r="F91" s="6"/>
      <c r="G91" s="6"/>
      <c r="H91" s="5"/>
      <c r="I91" s="5"/>
      <c r="J91" s="5"/>
      <c r="K91" s="6"/>
      <c r="L91" s="4"/>
      <c r="M91" s="6"/>
      <c r="N91" s="2"/>
    </row>
    <row r="92" spans="3:14" ht="14.25" customHeight="1">
      <c r="C92" s="8"/>
      <c r="D92" s="8"/>
      <c r="E92" s="7"/>
      <c r="F92" s="6"/>
      <c r="G92" s="6"/>
      <c r="H92" s="5"/>
      <c r="I92" s="5"/>
      <c r="J92" s="5"/>
      <c r="K92" s="6"/>
      <c r="L92" s="4"/>
      <c r="M92" s="3"/>
      <c r="N92" s="2"/>
    </row>
    <row r="93" spans="3:14" ht="14.25" customHeight="1">
      <c r="C93" s="8"/>
      <c r="D93" s="8"/>
      <c r="E93" s="7"/>
      <c r="F93" s="6"/>
      <c r="G93" s="5"/>
      <c r="H93" s="5"/>
      <c r="I93" s="5"/>
      <c r="J93" s="5"/>
      <c r="K93" s="4"/>
      <c r="L93" s="4"/>
      <c r="M93" s="3"/>
      <c r="N93" s="2"/>
    </row>
    <row r="94" spans="3:14" ht="14.25" customHeight="1">
      <c r="C94" s="19"/>
      <c r="D94" s="19"/>
      <c r="E94" s="19"/>
      <c r="F94" s="19"/>
      <c r="G94" s="19"/>
      <c r="H94" s="19"/>
      <c r="I94" s="19"/>
      <c r="J94" s="19"/>
      <c r="K94" s="19"/>
      <c r="L94" s="19"/>
      <c r="M94" s="19"/>
      <c r="N94" s="19"/>
    </row>
    <row r="95" spans="3:14" ht="14.25" customHeight="1">
      <c r="C95" s="31"/>
      <c r="D95" s="27"/>
      <c r="E95" s="20"/>
      <c r="F95" s="28"/>
      <c r="G95" s="28"/>
      <c r="H95" s="26"/>
      <c r="I95" s="26"/>
      <c r="J95" s="26"/>
      <c r="K95" s="28"/>
      <c r="L95" s="29"/>
      <c r="M95" s="28"/>
      <c r="N95" s="27"/>
    </row>
    <row r="96" spans="3:14" s="1" customFormat="1" ht="14.25" customHeight="1">
      <c r="C96" s="31"/>
      <c r="D96" s="27"/>
      <c r="E96" s="21"/>
      <c r="F96" s="28"/>
      <c r="G96" s="28"/>
      <c r="H96" s="26"/>
      <c r="I96" s="26"/>
      <c r="J96" s="26"/>
      <c r="K96" s="28"/>
      <c r="L96" s="29"/>
      <c r="M96" s="28"/>
      <c r="N96" s="27"/>
    </row>
    <row r="97" spans="3:14" s="1" customFormat="1" ht="14.25" customHeight="1">
      <c r="C97" s="30"/>
      <c r="D97" s="25"/>
      <c r="E97" s="21"/>
      <c r="F97" s="22"/>
      <c r="G97" s="22"/>
      <c r="H97" s="23"/>
      <c r="I97" s="23"/>
      <c r="J97" s="23"/>
      <c r="K97" s="22"/>
      <c r="L97" s="24"/>
      <c r="M97" s="22"/>
      <c r="N97" s="25"/>
    </row>
  </sheetData>
  <mergeCells count="5">
    <mergeCell ref="N2:N3"/>
    <mergeCell ref="C2:G2"/>
    <mergeCell ref="H2:J2"/>
    <mergeCell ref="K2:L2"/>
    <mergeCell ref="M2:M3"/>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9EF65-6CBB-4A3B-91AA-43AA97CA7EBA}">
  <sheetPr>
    <tabColor rgb="FFFFC000"/>
  </sheetPr>
  <dimension ref="A2:O98"/>
  <sheetViews>
    <sheetView topLeftCell="B1" zoomScale="101" zoomScaleNormal="115" workbookViewId="0">
      <pane ySplit="4" topLeftCell="A6" activePane="bottomLeft" state="frozen"/>
      <selection pane="bottomLeft" activeCell="L22" sqref="L22"/>
    </sheetView>
  </sheetViews>
  <sheetFormatPr defaultRowHeight="15"/>
  <cols>
    <col min="1" max="1" width="7.28515625" customWidth="1"/>
    <col min="3" max="3" width="21.42578125" customWidth="1"/>
    <col min="4" max="4" width="20.5703125"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customWidth="1"/>
    <col min="13" max="13" width="16.28515625" customWidth="1"/>
    <col min="14" max="14" width="12.85546875" customWidth="1"/>
  </cols>
  <sheetData>
    <row r="2" spans="1:15">
      <c r="C2" s="2627" t="s">
        <v>30</v>
      </c>
      <c r="D2" s="2627"/>
      <c r="E2" s="2627"/>
      <c r="F2" s="2627"/>
      <c r="G2" s="2627"/>
      <c r="H2" s="2628" t="s">
        <v>29</v>
      </c>
      <c r="I2" s="2628"/>
      <c r="J2" s="2628"/>
      <c r="K2" s="2627" t="s">
        <v>28</v>
      </c>
      <c r="L2" s="2627"/>
      <c r="M2" s="2628" t="s">
        <v>27</v>
      </c>
      <c r="N2" s="2628" t="s">
        <v>26</v>
      </c>
    </row>
    <row r="3" spans="1:15" ht="72">
      <c r="C3" s="10" t="s">
        <v>25</v>
      </c>
      <c r="D3" s="13" t="s">
        <v>24</v>
      </c>
      <c r="E3" s="12" t="s">
        <v>23</v>
      </c>
      <c r="F3" s="10" t="s">
        <v>22</v>
      </c>
      <c r="G3" s="11" t="s">
        <v>21</v>
      </c>
      <c r="H3" s="11" t="s">
        <v>20</v>
      </c>
      <c r="I3" s="11" t="s">
        <v>19</v>
      </c>
      <c r="J3" s="11" t="s">
        <v>18</v>
      </c>
      <c r="K3" s="10" t="s">
        <v>17</v>
      </c>
      <c r="L3" s="10" t="s">
        <v>16</v>
      </c>
      <c r="M3" s="2628"/>
      <c r="N3" s="2628"/>
    </row>
    <row r="4" spans="1:15">
      <c r="C4" s="9" t="s">
        <v>15</v>
      </c>
      <c r="D4" s="9" t="s">
        <v>14</v>
      </c>
      <c r="E4" s="9" t="s">
        <v>13</v>
      </c>
      <c r="F4" s="9" t="s">
        <v>12</v>
      </c>
      <c r="G4" s="9" t="s">
        <v>11</v>
      </c>
      <c r="H4" s="9" t="s">
        <v>10</v>
      </c>
      <c r="I4" s="9" t="s">
        <v>9</v>
      </c>
      <c r="J4" s="9" t="s">
        <v>8</v>
      </c>
      <c r="K4" s="9" t="s">
        <v>7</v>
      </c>
      <c r="L4" s="9" t="s">
        <v>6</v>
      </c>
      <c r="M4" s="9" t="s">
        <v>5</v>
      </c>
      <c r="N4" s="9" t="s">
        <v>4</v>
      </c>
    </row>
    <row r="5" spans="1:15" s="455" customFormat="1" ht="25.15" customHeight="1">
      <c r="A5" s="438" t="s">
        <v>1023</v>
      </c>
      <c r="B5" s="563" t="s">
        <v>1024</v>
      </c>
      <c r="C5" s="2656" t="s">
        <v>1288</v>
      </c>
      <c r="D5" s="309" t="s">
        <v>1049</v>
      </c>
      <c r="E5" s="304"/>
      <c r="F5" s="308" t="s">
        <v>674</v>
      </c>
      <c r="G5" s="313" t="s">
        <v>1</v>
      </c>
      <c r="H5" s="307" t="s">
        <v>675</v>
      </c>
      <c r="I5" s="307" t="s">
        <v>599</v>
      </c>
      <c r="J5" s="307" t="s">
        <v>599</v>
      </c>
      <c r="K5" s="308" t="s">
        <v>748</v>
      </c>
      <c r="L5" s="312">
        <v>24500</v>
      </c>
      <c r="M5" s="309" t="s">
        <v>659</v>
      </c>
      <c r="N5" s="306"/>
    </row>
    <row r="6" spans="1:15" s="455" customFormat="1" ht="24" customHeight="1">
      <c r="A6" s="438" t="s">
        <v>1023</v>
      </c>
      <c r="B6" s="563" t="s">
        <v>1024</v>
      </c>
      <c r="C6" s="2656"/>
      <c r="D6" s="304" t="s">
        <v>1050</v>
      </c>
      <c r="E6" s="304">
        <v>3</v>
      </c>
      <c r="F6" s="304" t="s">
        <v>1051</v>
      </c>
      <c r="G6" s="308"/>
      <c r="H6" s="306"/>
      <c r="I6" s="307"/>
      <c r="J6" s="307"/>
      <c r="K6" s="307"/>
      <c r="L6" s="308"/>
      <c r="M6" s="312"/>
      <c r="N6" s="306"/>
      <c r="O6" s="306"/>
    </row>
    <row r="7" spans="1:15" s="355" customFormat="1" ht="14.25" customHeight="1">
      <c r="A7" s="438" t="s">
        <v>1023</v>
      </c>
      <c r="B7" s="563" t="s">
        <v>1024</v>
      </c>
      <c r="C7" s="2656"/>
      <c r="D7" s="304" t="s">
        <v>1052</v>
      </c>
      <c r="E7" s="304">
        <v>10</v>
      </c>
      <c r="F7" s="304" t="s">
        <v>1051</v>
      </c>
      <c r="G7" s="306"/>
      <c r="H7" s="306"/>
      <c r="I7" s="601"/>
      <c r="J7" s="311"/>
      <c r="K7" s="600"/>
      <c r="L7" s="306"/>
      <c r="M7" s="312"/>
      <c r="N7" s="306"/>
      <c r="O7" s="306"/>
    </row>
    <row r="8" spans="1:15" s="355" customFormat="1" ht="14.25" customHeight="1">
      <c r="A8" s="438" t="s">
        <v>1023</v>
      </c>
      <c r="B8" s="563" t="s">
        <v>1024</v>
      </c>
      <c r="C8" s="2656"/>
      <c r="D8" s="304" t="s">
        <v>1053</v>
      </c>
      <c r="E8" s="304">
        <v>2</v>
      </c>
      <c r="F8" s="304" t="s">
        <v>1051</v>
      </c>
      <c r="G8" s="306"/>
      <c r="H8" s="306"/>
      <c r="I8" s="311"/>
      <c r="J8" s="311"/>
      <c r="K8" s="311"/>
      <c r="L8" s="306"/>
      <c r="M8" s="312"/>
      <c r="N8" s="306"/>
      <c r="O8" s="306"/>
    </row>
    <row r="9" spans="1:15" ht="14.25" customHeight="1">
      <c r="A9" s="76"/>
      <c r="B9" s="63"/>
      <c r="C9" s="168"/>
      <c r="D9" s="168"/>
      <c r="E9" s="212"/>
      <c r="F9" s="164"/>
      <c r="G9" s="168"/>
      <c r="H9" s="168"/>
      <c r="I9" s="168"/>
      <c r="J9" s="168"/>
      <c r="K9" s="168"/>
      <c r="L9" s="177"/>
      <c r="M9" s="164"/>
      <c r="N9" s="173"/>
      <c r="O9" s="62"/>
    </row>
    <row r="10" spans="1:15" ht="14.25" customHeight="1">
      <c r="A10" s="76"/>
      <c r="B10" s="63"/>
      <c r="C10" s="168"/>
      <c r="D10" s="168"/>
      <c r="E10" s="212"/>
      <c r="F10" s="164"/>
      <c r="G10" s="168"/>
      <c r="H10" s="168"/>
      <c r="I10" s="168"/>
      <c r="J10" s="168"/>
      <c r="K10" s="168"/>
      <c r="L10" s="177"/>
      <c r="M10" s="164"/>
      <c r="N10" s="173"/>
      <c r="O10" s="91"/>
    </row>
    <row r="11" spans="1:15" ht="14.25" customHeight="1">
      <c r="A11" s="76"/>
      <c r="B11" s="63"/>
      <c r="C11" s="168"/>
      <c r="D11" s="168"/>
      <c r="E11" s="168"/>
      <c r="F11" s="168"/>
      <c r="G11" s="168"/>
      <c r="H11" s="168"/>
      <c r="I11" s="168"/>
      <c r="J11" s="168"/>
      <c r="K11" s="168"/>
      <c r="L11" s="177"/>
      <c r="M11" s="168"/>
      <c r="N11" s="173"/>
    </row>
    <row r="12" spans="1:15" ht="14.25" customHeight="1">
      <c r="A12" s="76"/>
      <c r="B12" s="63"/>
      <c r="C12" s="168"/>
      <c r="D12" s="168"/>
      <c r="E12" s="168"/>
      <c r="F12" s="168"/>
      <c r="G12" s="168"/>
      <c r="H12" s="168"/>
      <c r="I12" s="168"/>
      <c r="J12" s="168"/>
      <c r="K12" s="168"/>
      <c r="L12" s="177"/>
      <c r="M12" s="168"/>
      <c r="N12" s="173"/>
    </row>
    <row r="13" spans="1:15" ht="14.25" customHeight="1">
      <c r="A13" s="76"/>
      <c r="B13" s="63"/>
      <c r="C13" s="168"/>
      <c r="D13" s="168"/>
      <c r="E13" s="168"/>
      <c r="F13" s="168"/>
      <c r="G13" s="168"/>
      <c r="H13" s="168"/>
      <c r="I13" s="168"/>
      <c r="J13" s="168"/>
      <c r="K13" s="168"/>
      <c r="L13" s="177"/>
      <c r="M13" s="168"/>
      <c r="N13" s="173"/>
    </row>
    <row r="14" spans="1:15" ht="14.25" customHeight="1">
      <c r="A14" s="125"/>
      <c r="B14" s="77"/>
      <c r="C14" s="125"/>
      <c r="D14" s="130"/>
      <c r="E14" s="209"/>
      <c r="F14" s="125"/>
      <c r="G14" s="126"/>
      <c r="H14" s="127"/>
      <c r="I14" s="127"/>
      <c r="J14" s="127"/>
      <c r="K14" s="125"/>
      <c r="L14" s="140"/>
      <c r="M14" s="125"/>
      <c r="N14" s="129"/>
    </row>
    <row r="15" spans="1:15" ht="14.25" customHeight="1">
      <c r="A15" s="125"/>
      <c r="B15" s="77"/>
      <c r="C15" s="125"/>
      <c r="D15" s="131"/>
      <c r="E15" s="210"/>
      <c r="F15" s="210"/>
      <c r="G15" s="125"/>
      <c r="H15" s="126"/>
      <c r="I15" s="127"/>
      <c r="J15" s="127"/>
      <c r="K15" s="127"/>
      <c r="L15" s="141"/>
      <c r="M15" s="128"/>
      <c r="N15" s="125"/>
      <c r="O15" s="129"/>
    </row>
    <row r="16" spans="1:15" ht="14.25" customHeight="1">
      <c r="A16" s="125"/>
      <c r="B16" s="77"/>
      <c r="C16" s="19"/>
      <c r="D16" s="131"/>
      <c r="E16" s="210"/>
      <c r="F16" s="210"/>
      <c r="G16" s="125"/>
      <c r="H16" s="126"/>
      <c r="I16" s="127"/>
      <c r="J16" s="127"/>
      <c r="K16" s="127"/>
      <c r="L16" s="141"/>
      <c r="M16" s="128"/>
      <c r="N16" s="125"/>
      <c r="O16" s="129"/>
    </row>
    <row r="17" spans="1:15" ht="27" customHeight="1">
      <c r="A17" s="151"/>
      <c r="B17" s="40"/>
      <c r="C17" s="2653"/>
      <c r="D17" s="217"/>
      <c r="E17" s="226"/>
      <c r="F17" s="218"/>
      <c r="G17" s="229"/>
      <c r="H17" s="230"/>
      <c r="I17" s="230"/>
      <c r="J17" s="230"/>
      <c r="K17" s="219"/>
      <c r="L17" s="231"/>
      <c r="M17" s="232"/>
      <c r="N17" s="2653"/>
    </row>
    <row r="18" spans="1:15" ht="14.25" customHeight="1">
      <c r="A18" s="125"/>
      <c r="B18" s="77"/>
      <c r="C18" s="2654"/>
      <c r="D18" s="221"/>
      <c r="E18" s="227"/>
      <c r="F18" s="222"/>
      <c r="G18" s="233"/>
      <c r="H18" s="234"/>
      <c r="I18" s="234"/>
      <c r="J18" s="234"/>
      <c r="K18" s="220"/>
      <c r="L18" s="235"/>
      <c r="M18" s="236"/>
      <c r="N18" s="2654"/>
    </row>
    <row r="19" spans="1:15" ht="14.25" customHeight="1">
      <c r="A19" s="197"/>
      <c r="B19" s="63"/>
      <c r="C19" s="2654"/>
      <c r="D19" s="221"/>
      <c r="E19" s="227"/>
      <c r="F19" s="222"/>
      <c r="G19" s="233"/>
      <c r="H19" s="234"/>
      <c r="I19" s="234"/>
      <c r="J19" s="234"/>
      <c r="K19" s="220"/>
      <c r="L19" s="235"/>
      <c r="M19" s="236"/>
      <c r="N19" s="2654"/>
    </row>
    <row r="20" spans="1:15" ht="14.25" customHeight="1">
      <c r="A20" s="125"/>
      <c r="B20" s="63"/>
      <c r="C20" s="2654"/>
      <c r="D20" s="223"/>
      <c r="E20" s="227"/>
      <c r="F20" s="222"/>
      <c r="G20" s="233"/>
      <c r="H20" s="234"/>
      <c r="I20" s="234"/>
      <c r="J20" s="234"/>
      <c r="K20" s="220"/>
      <c r="L20" s="235"/>
      <c r="M20" s="236"/>
      <c r="N20" s="2654"/>
    </row>
    <row r="21" spans="1:15" ht="14.25" customHeight="1">
      <c r="A21" s="125"/>
      <c r="B21" s="63"/>
      <c r="C21" s="2654"/>
      <c r="D21" s="224"/>
      <c r="E21" s="227"/>
      <c r="F21" s="222"/>
      <c r="G21" s="233"/>
      <c r="H21" s="234"/>
      <c r="I21" s="234"/>
      <c r="J21" s="234"/>
      <c r="K21" s="220"/>
      <c r="L21" s="235"/>
      <c r="M21" s="236"/>
      <c r="N21" s="2654"/>
    </row>
    <row r="22" spans="1:15" ht="14.25" customHeight="1">
      <c r="A22" s="125"/>
      <c r="B22" s="63"/>
      <c r="C22" s="2655"/>
      <c r="D22" s="223"/>
      <c r="E22" s="228"/>
      <c r="F22" s="222"/>
      <c r="G22" s="237"/>
      <c r="H22" s="238"/>
      <c r="I22" s="238"/>
      <c r="J22" s="238"/>
      <c r="K22" s="225"/>
      <c r="L22" s="2430">
        <f>SUM(L5:L21)</f>
        <v>24500</v>
      </c>
      <c r="M22" s="240"/>
      <c r="N22" s="2655"/>
    </row>
    <row r="23" spans="1:15" ht="14.25" customHeight="1">
      <c r="A23" s="125"/>
      <c r="B23" s="63"/>
      <c r="C23" s="58"/>
      <c r="D23" s="90"/>
      <c r="E23" s="94"/>
      <c r="F23" s="90"/>
      <c r="G23" s="90"/>
      <c r="H23" s="91"/>
      <c r="I23" s="91"/>
      <c r="J23" s="91"/>
      <c r="K23" s="91"/>
      <c r="L23" s="101"/>
      <c r="M23" s="93"/>
      <c r="N23" s="91"/>
      <c r="O23" s="124"/>
    </row>
    <row r="24" spans="1:15" ht="22.5" customHeight="1">
      <c r="A24" s="125"/>
      <c r="B24" s="63"/>
      <c r="C24" s="86"/>
      <c r="D24" s="87"/>
      <c r="E24" s="95"/>
      <c r="F24" s="87"/>
      <c r="G24" s="88"/>
      <c r="H24" s="89"/>
      <c r="I24" s="89"/>
      <c r="J24" s="89"/>
      <c r="K24" s="87"/>
      <c r="L24" s="98"/>
      <c r="M24" s="87"/>
      <c r="N24" s="19"/>
      <c r="O24" s="77"/>
    </row>
    <row r="25" spans="1:15" ht="14.25" customHeight="1">
      <c r="A25" s="125"/>
      <c r="B25" s="63"/>
      <c r="C25" s="58"/>
      <c r="D25" s="96"/>
      <c r="E25" s="97"/>
      <c r="F25" s="58"/>
      <c r="G25" s="59"/>
      <c r="H25" s="60"/>
      <c r="I25" s="60"/>
      <c r="J25" s="60"/>
      <c r="K25" s="58"/>
      <c r="L25" s="64"/>
      <c r="M25" s="58"/>
      <c r="N25" s="19"/>
      <c r="O25" s="62"/>
    </row>
    <row r="26" spans="1:15" ht="14.25" customHeight="1">
      <c r="A26" s="125"/>
      <c r="B26" s="63"/>
      <c r="C26" s="58"/>
      <c r="D26" s="79"/>
      <c r="E26" s="81"/>
      <c r="F26" s="58"/>
      <c r="G26" s="59"/>
      <c r="H26" s="60"/>
      <c r="I26" s="60"/>
      <c r="J26" s="60"/>
      <c r="K26" s="58"/>
      <c r="L26" s="64"/>
      <c r="M26" s="58"/>
      <c r="N26" s="19"/>
      <c r="O26" s="62"/>
    </row>
    <row r="27" spans="1:15">
      <c r="A27" s="125"/>
      <c r="B27" s="63"/>
      <c r="C27" s="58"/>
      <c r="D27" s="79"/>
      <c r="E27" s="81"/>
      <c r="F27" s="58"/>
      <c r="G27" s="59"/>
      <c r="H27" s="60"/>
      <c r="I27" s="60"/>
      <c r="J27" s="60"/>
      <c r="K27" s="58"/>
      <c r="L27" s="64"/>
      <c r="M27" s="58"/>
      <c r="N27" s="19"/>
      <c r="O27" s="62"/>
    </row>
    <row r="28" spans="1:15">
      <c r="A28" s="125"/>
      <c r="B28" s="63"/>
      <c r="C28" s="58"/>
      <c r="D28" s="78"/>
      <c r="E28" s="79"/>
      <c r="F28" s="58"/>
      <c r="G28" s="59"/>
      <c r="H28" s="60"/>
      <c r="I28" s="60"/>
      <c r="J28" s="60"/>
      <c r="K28" s="58"/>
      <c r="L28" s="64"/>
      <c r="M28" s="58"/>
      <c r="N28" s="19"/>
      <c r="O28" s="62"/>
    </row>
    <row r="29" spans="1:15">
      <c r="C29" s="58"/>
      <c r="D29" s="90"/>
      <c r="E29" s="94"/>
      <c r="F29" s="90"/>
      <c r="G29" s="91"/>
      <c r="H29" s="91"/>
      <c r="I29" s="91"/>
      <c r="J29" s="91"/>
      <c r="K29" s="92"/>
      <c r="L29" s="101"/>
      <c r="M29" s="91"/>
      <c r="N29" s="19"/>
      <c r="O29" s="91"/>
    </row>
    <row r="30" spans="1:15">
      <c r="A30" s="125"/>
      <c r="B30" s="63"/>
      <c r="C30" s="86"/>
      <c r="D30" s="87"/>
      <c r="E30" s="95"/>
      <c r="F30" s="87"/>
      <c r="G30" s="88"/>
      <c r="H30" s="89"/>
      <c r="I30" s="89"/>
      <c r="J30" s="89"/>
      <c r="K30" s="87"/>
      <c r="L30" s="98"/>
      <c r="M30" s="87"/>
      <c r="N30" s="19"/>
      <c r="O30" s="77"/>
    </row>
    <row r="31" spans="1:15">
      <c r="A31" s="125"/>
      <c r="B31" s="63"/>
      <c r="C31" s="58"/>
      <c r="D31" s="96"/>
      <c r="E31" s="96"/>
      <c r="F31" s="58"/>
      <c r="G31" s="59"/>
      <c r="H31" s="60"/>
      <c r="I31" s="60"/>
      <c r="J31" s="60"/>
      <c r="K31" s="58"/>
      <c r="L31" s="64"/>
      <c r="M31" s="58"/>
      <c r="N31" s="19"/>
      <c r="O31" s="62"/>
    </row>
    <row r="32" spans="1:15">
      <c r="A32" s="125"/>
      <c r="B32" s="63"/>
      <c r="C32" s="58"/>
      <c r="D32" s="78"/>
      <c r="E32" s="79"/>
      <c r="F32" s="80"/>
      <c r="G32" s="58"/>
      <c r="H32" s="59"/>
      <c r="I32" s="60"/>
      <c r="J32" s="60"/>
      <c r="K32" s="60"/>
      <c r="L32" s="100"/>
      <c r="M32" s="61"/>
      <c r="N32" s="58"/>
      <c r="O32" s="62"/>
    </row>
    <row r="33" spans="1:15">
      <c r="A33" s="125"/>
      <c r="B33" s="63"/>
      <c r="C33" s="58"/>
      <c r="D33" s="78"/>
      <c r="E33" s="79"/>
      <c r="F33" s="80"/>
      <c r="G33" s="58"/>
      <c r="H33" s="59"/>
      <c r="I33" s="60"/>
      <c r="J33" s="60"/>
      <c r="K33" s="60"/>
      <c r="L33" s="100"/>
      <c r="M33" s="61"/>
      <c r="N33" s="58"/>
      <c r="O33" s="62"/>
    </row>
    <row r="34" spans="1:15">
      <c r="A34" s="125"/>
      <c r="B34" s="63"/>
      <c r="C34" s="58"/>
      <c r="D34" s="78"/>
      <c r="E34" s="79"/>
      <c r="F34" s="80"/>
      <c r="G34" s="58"/>
      <c r="H34" s="59"/>
      <c r="I34" s="60"/>
      <c r="J34" s="60"/>
      <c r="K34" s="60"/>
      <c r="L34" s="100"/>
      <c r="M34" s="61"/>
      <c r="N34" s="58"/>
      <c r="O34" s="62"/>
    </row>
    <row r="35" spans="1:15">
      <c r="A35" s="125"/>
      <c r="B35" s="63"/>
      <c r="C35" s="58"/>
      <c r="D35" s="90"/>
      <c r="E35" s="94"/>
      <c r="F35" s="90"/>
      <c r="G35" s="90"/>
      <c r="H35" s="91"/>
      <c r="I35" s="91"/>
      <c r="J35" s="91"/>
      <c r="K35" s="91"/>
      <c r="L35" s="101"/>
      <c r="M35" s="93"/>
      <c r="N35" s="91"/>
      <c r="O35" s="124"/>
    </row>
    <row r="36" spans="1:15">
      <c r="A36" s="125"/>
      <c r="B36" s="63"/>
      <c r="C36" s="86"/>
      <c r="D36" s="87"/>
      <c r="E36" s="95"/>
      <c r="F36" s="87"/>
      <c r="G36" s="88"/>
      <c r="H36" s="89"/>
      <c r="I36" s="89"/>
      <c r="J36" s="89"/>
      <c r="K36" s="87"/>
      <c r="L36" s="98"/>
      <c r="M36" s="87"/>
      <c r="N36" s="19"/>
      <c r="O36" s="77"/>
    </row>
    <row r="37" spans="1:15">
      <c r="A37" s="125"/>
      <c r="B37" s="63"/>
      <c r="C37" s="58"/>
      <c r="D37" s="138"/>
      <c r="E37" s="96"/>
      <c r="F37" s="58"/>
      <c r="G37" s="59"/>
      <c r="H37" s="60"/>
      <c r="I37" s="60"/>
      <c r="J37" s="60"/>
      <c r="K37" s="58"/>
      <c r="L37" s="64"/>
      <c r="M37" s="58"/>
      <c r="N37" s="19"/>
      <c r="O37" s="62"/>
    </row>
    <row r="38" spans="1:15">
      <c r="A38" s="125"/>
      <c r="B38" s="63"/>
      <c r="C38" s="58"/>
      <c r="D38" s="79"/>
      <c r="E38" s="79"/>
      <c r="F38" s="58"/>
      <c r="G38" s="59"/>
      <c r="H38" s="60"/>
      <c r="I38" s="60"/>
      <c r="J38" s="60"/>
      <c r="K38" s="58"/>
      <c r="L38" s="64"/>
      <c r="M38" s="58"/>
      <c r="N38" s="19"/>
      <c r="O38" s="62"/>
    </row>
    <row r="39" spans="1:15">
      <c r="A39" s="125"/>
      <c r="B39" s="63"/>
      <c r="C39" s="58"/>
      <c r="D39" s="78"/>
      <c r="E39" s="79"/>
      <c r="F39" s="80"/>
      <c r="G39" s="58"/>
      <c r="H39" s="59"/>
      <c r="I39" s="60"/>
      <c r="J39" s="60"/>
      <c r="K39" s="60"/>
      <c r="L39" s="100"/>
      <c r="M39" s="61"/>
      <c r="N39" s="58"/>
      <c r="O39" s="62"/>
    </row>
    <row r="40" spans="1:15">
      <c r="A40" s="125"/>
      <c r="B40" s="63"/>
      <c r="C40" s="58"/>
      <c r="D40" s="78"/>
      <c r="E40" s="79"/>
      <c r="F40" s="80"/>
      <c r="G40" s="58"/>
      <c r="H40" s="59"/>
      <c r="I40" s="60"/>
      <c r="J40" s="60"/>
      <c r="K40" s="60"/>
      <c r="L40" s="100"/>
      <c r="M40" s="61"/>
      <c r="N40" s="58"/>
      <c r="O40" s="62"/>
    </row>
    <row r="41" spans="1:15">
      <c r="C41" s="58"/>
      <c r="D41" s="90"/>
      <c r="E41" s="94"/>
      <c r="F41" s="90"/>
      <c r="G41" s="90"/>
      <c r="H41" s="91"/>
      <c r="I41" s="91"/>
      <c r="J41" s="91"/>
      <c r="K41" s="91"/>
      <c r="L41" s="101"/>
      <c r="M41" s="93"/>
      <c r="N41" s="91"/>
      <c r="O41" s="124"/>
    </row>
    <row r="42" spans="1:15">
      <c r="C42" s="58"/>
      <c r="D42" s="90"/>
      <c r="E42" s="94"/>
      <c r="F42" s="90"/>
      <c r="G42" s="90"/>
      <c r="H42" s="91"/>
      <c r="I42" s="91"/>
      <c r="J42" s="91"/>
      <c r="K42" s="91"/>
      <c r="L42" s="101"/>
      <c r="M42" s="93"/>
      <c r="N42" s="91"/>
      <c r="O42" s="124"/>
    </row>
    <row r="43" spans="1:15">
      <c r="A43" s="125"/>
      <c r="B43" s="63"/>
      <c r="C43" s="86"/>
      <c r="D43" s="87"/>
      <c r="E43" s="86"/>
      <c r="F43" s="87"/>
      <c r="G43" s="88"/>
      <c r="H43" s="89"/>
      <c r="I43" s="89"/>
      <c r="J43" s="89"/>
      <c r="K43" s="87"/>
      <c r="L43" s="98"/>
      <c r="M43" s="87"/>
      <c r="N43" s="77"/>
    </row>
    <row r="44" spans="1:15">
      <c r="A44" s="125"/>
      <c r="B44" s="63"/>
      <c r="C44" s="58"/>
      <c r="D44" s="139"/>
      <c r="E44" s="19"/>
      <c r="F44" s="58"/>
      <c r="G44" s="59"/>
      <c r="H44" s="60"/>
      <c r="I44" s="60"/>
      <c r="J44" s="60"/>
      <c r="K44" s="58"/>
      <c r="L44" s="64"/>
      <c r="M44" s="58"/>
      <c r="N44" s="62"/>
    </row>
    <row r="45" spans="1:15">
      <c r="A45" s="125"/>
      <c r="B45" s="63"/>
      <c r="C45" s="58"/>
      <c r="D45" s="81"/>
      <c r="E45" s="19"/>
      <c r="F45" s="81"/>
      <c r="G45" s="58"/>
      <c r="H45" s="59"/>
      <c r="I45" s="60"/>
      <c r="J45" s="60"/>
      <c r="K45" s="60"/>
      <c r="L45" s="58"/>
      <c r="M45" s="61"/>
      <c r="N45" s="58"/>
      <c r="O45" s="62"/>
    </row>
    <row r="46" spans="1:15">
      <c r="A46" s="125"/>
      <c r="B46" s="63"/>
      <c r="C46" s="58"/>
      <c r="D46" s="78"/>
      <c r="E46" s="81"/>
      <c r="F46" s="81"/>
      <c r="G46" s="58"/>
      <c r="H46" s="59"/>
      <c r="I46" s="60"/>
      <c r="J46" s="60"/>
      <c r="K46" s="60"/>
      <c r="L46" s="58"/>
      <c r="M46" s="61"/>
      <c r="N46" s="58"/>
      <c r="O46" s="62"/>
    </row>
    <row r="47" spans="1:15">
      <c r="A47" s="125"/>
      <c r="B47" s="63"/>
      <c r="C47" s="58"/>
      <c r="D47" s="78"/>
      <c r="E47" s="81"/>
      <c r="F47" s="81"/>
      <c r="G47" s="58"/>
      <c r="H47" s="59"/>
      <c r="I47" s="60"/>
      <c r="J47" s="60"/>
      <c r="K47" s="60"/>
      <c r="L47" s="58"/>
      <c r="M47" s="61"/>
      <c r="N47" s="58"/>
      <c r="O47" s="62"/>
    </row>
    <row r="48" spans="1:15">
      <c r="C48" s="58"/>
      <c r="D48" s="90"/>
      <c r="E48" s="94"/>
      <c r="F48" s="90"/>
      <c r="G48" s="90"/>
      <c r="H48" s="91"/>
      <c r="I48" s="91"/>
      <c r="J48" s="91"/>
      <c r="K48" s="91"/>
      <c r="L48" s="92"/>
      <c r="M48" s="93"/>
      <c r="N48" s="91"/>
      <c r="O48" s="124"/>
    </row>
    <row r="49" spans="1:15">
      <c r="A49" s="58"/>
      <c r="B49" s="63"/>
      <c r="C49" s="86"/>
      <c r="D49" s="87"/>
      <c r="E49" s="95"/>
      <c r="F49" s="87"/>
      <c r="G49" s="88"/>
      <c r="H49" s="89"/>
      <c r="I49" s="89"/>
      <c r="J49" s="89"/>
      <c r="K49" s="87"/>
      <c r="L49" s="123"/>
      <c r="M49" s="87"/>
      <c r="O49" s="77"/>
    </row>
    <row r="50" spans="1:15">
      <c r="A50" s="58"/>
      <c r="B50" s="63"/>
      <c r="C50" s="58"/>
      <c r="D50" s="96"/>
      <c r="E50" s="19"/>
      <c r="F50" s="109"/>
      <c r="G50" s="59"/>
      <c r="H50" s="60"/>
      <c r="I50" s="60"/>
      <c r="J50" s="60"/>
      <c r="K50" s="58"/>
      <c r="L50" s="61"/>
      <c r="M50" s="58"/>
      <c r="O50" s="62"/>
    </row>
    <row r="51" spans="1:15">
      <c r="A51" s="58"/>
      <c r="B51" s="63"/>
      <c r="C51" s="58"/>
      <c r="D51" s="79"/>
      <c r="E51" s="19"/>
      <c r="F51" s="109"/>
      <c r="G51" s="59"/>
      <c r="H51" s="60"/>
      <c r="I51" s="60"/>
      <c r="J51" s="60"/>
      <c r="K51" s="58"/>
      <c r="L51" s="61"/>
      <c r="M51" s="58"/>
      <c r="O51" s="62"/>
    </row>
    <row r="52" spans="1:15">
      <c r="A52" s="58"/>
      <c r="B52" s="63"/>
      <c r="C52" s="58"/>
      <c r="D52" s="79"/>
      <c r="E52" s="19"/>
      <c r="F52" s="80"/>
      <c r="G52" s="58"/>
      <c r="H52" s="59"/>
      <c r="I52" s="60"/>
      <c r="J52" s="60"/>
      <c r="K52" s="60"/>
      <c r="L52" s="58"/>
      <c r="M52" s="61"/>
      <c r="N52" s="58"/>
      <c r="O52" s="62"/>
    </row>
    <row r="53" spans="1:15">
      <c r="A53" s="58"/>
      <c r="B53" s="63"/>
      <c r="C53" s="58"/>
      <c r="D53" s="78"/>
      <c r="E53" s="79"/>
      <c r="F53" s="81"/>
      <c r="G53" s="58"/>
      <c r="H53" s="59"/>
      <c r="I53" s="60"/>
      <c r="J53" s="60"/>
      <c r="K53" s="60"/>
      <c r="L53" s="58"/>
      <c r="M53" s="61"/>
      <c r="N53" s="58"/>
      <c r="O53" s="62"/>
    </row>
    <row r="54" spans="1:15">
      <c r="D54" s="90"/>
      <c r="E54" s="94"/>
      <c r="F54" s="90"/>
      <c r="G54" s="90"/>
      <c r="H54" s="91"/>
      <c r="I54" s="91"/>
      <c r="J54" s="91"/>
      <c r="K54" s="91"/>
      <c r="L54" s="92"/>
      <c r="M54" s="93"/>
      <c r="N54" s="91"/>
      <c r="O54" s="91"/>
    </row>
    <row r="55" spans="1:15">
      <c r="C55" s="58"/>
      <c r="D55" s="90"/>
      <c r="E55" s="94"/>
      <c r="F55" s="90"/>
      <c r="G55" s="90"/>
      <c r="H55" s="91"/>
      <c r="I55" s="91"/>
      <c r="J55" s="91"/>
      <c r="K55" s="91"/>
      <c r="L55" s="92"/>
      <c r="M55" s="93"/>
      <c r="N55" s="91"/>
      <c r="O55" s="124"/>
    </row>
    <row r="56" spans="1:15">
      <c r="C56" s="58"/>
      <c r="D56" s="90"/>
      <c r="E56" s="94"/>
      <c r="F56" s="90"/>
      <c r="G56" s="90"/>
      <c r="H56" s="91"/>
      <c r="I56" s="91"/>
      <c r="J56" s="91"/>
      <c r="K56" s="91"/>
      <c r="L56" s="92"/>
      <c r="M56" s="93"/>
      <c r="N56" s="91"/>
      <c r="O56" s="124"/>
    </row>
    <row r="57" spans="1:15">
      <c r="C57" s="58"/>
      <c r="D57" s="90"/>
      <c r="E57" s="94"/>
      <c r="F57" s="90"/>
      <c r="G57" s="90"/>
      <c r="H57" s="91"/>
      <c r="I57" s="91"/>
      <c r="J57" s="91"/>
      <c r="K57" s="91"/>
      <c r="L57" s="92"/>
      <c r="M57" s="93"/>
      <c r="N57" s="91"/>
      <c r="O57" s="124"/>
    </row>
    <row r="58" spans="1:15">
      <c r="C58" s="58"/>
      <c r="D58" s="90"/>
      <c r="E58" s="94"/>
      <c r="F58" s="90"/>
      <c r="G58" s="90"/>
      <c r="H58" s="91"/>
      <c r="I58" s="91"/>
      <c r="J58" s="91"/>
      <c r="K58" s="91"/>
      <c r="L58" s="92"/>
      <c r="M58" s="93"/>
      <c r="N58" s="91"/>
      <c r="O58" s="124"/>
    </row>
    <row r="59" spans="1:15">
      <c r="C59" s="58"/>
      <c r="D59" s="90"/>
      <c r="E59" s="94"/>
      <c r="F59" s="90"/>
      <c r="G59" s="90"/>
      <c r="H59" s="91"/>
      <c r="I59" s="91"/>
      <c r="J59" s="91"/>
      <c r="K59" s="91"/>
      <c r="L59" s="92"/>
      <c r="M59" s="93"/>
      <c r="N59" s="91"/>
      <c r="O59" s="124"/>
    </row>
    <row r="60" spans="1:15">
      <c r="C60" s="58"/>
      <c r="D60" s="90"/>
      <c r="E60" s="94"/>
      <c r="F60" s="90"/>
      <c r="G60" s="90"/>
      <c r="H60" s="91"/>
      <c r="I60" s="91"/>
      <c r="J60" s="91"/>
      <c r="K60" s="91"/>
      <c r="L60" s="92"/>
      <c r="M60" s="93"/>
      <c r="N60" s="91"/>
      <c r="O60" s="124"/>
    </row>
    <row r="61" spans="1:15">
      <c r="C61" s="58"/>
      <c r="D61" s="90"/>
      <c r="E61" s="94"/>
      <c r="F61" s="90"/>
      <c r="G61" s="90"/>
      <c r="H61" s="91"/>
      <c r="I61" s="91"/>
      <c r="J61" s="91"/>
      <c r="K61" s="91"/>
      <c r="L61" s="92"/>
      <c r="M61" s="93"/>
      <c r="N61" s="91"/>
      <c r="O61" s="124"/>
    </row>
    <row r="62" spans="1:15">
      <c r="C62" s="58"/>
      <c r="D62" s="90"/>
      <c r="E62" s="94"/>
      <c r="F62" s="90"/>
      <c r="G62" s="90"/>
      <c r="H62" s="91"/>
      <c r="I62" s="91"/>
      <c r="J62" s="91"/>
      <c r="K62" s="91"/>
      <c r="L62" s="92"/>
      <c r="M62" s="93"/>
      <c r="N62" s="91"/>
      <c r="O62" s="124"/>
    </row>
    <row r="63" spans="1:15">
      <c r="C63" s="58"/>
      <c r="D63" s="90"/>
      <c r="E63" s="94"/>
      <c r="F63" s="90"/>
      <c r="G63" s="90"/>
      <c r="H63" s="91"/>
      <c r="I63" s="91"/>
      <c r="J63" s="91"/>
      <c r="K63" s="91"/>
      <c r="L63" s="92"/>
      <c r="M63" s="93"/>
      <c r="N63" s="91"/>
      <c r="O63" s="124"/>
    </row>
    <row r="64" spans="1:15">
      <c r="C64" s="8"/>
      <c r="D64" s="8"/>
      <c r="E64" s="7"/>
      <c r="F64" s="6"/>
      <c r="G64" s="6"/>
      <c r="H64" s="5"/>
      <c r="I64" s="5"/>
      <c r="J64" s="5"/>
      <c r="K64" s="6"/>
      <c r="L64" s="4"/>
      <c r="M64" s="6"/>
      <c r="N64" s="2"/>
    </row>
    <row r="65" spans="3:14">
      <c r="C65" s="8"/>
      <c r="D65" s="8"/>
      <c r="E65" s="7"/>
      <c r="F65" s="6"/>
      <c r="G65" s="6"/>
      <c r="H65" s="5"/>
      <c r="I65" s="5"/>
      <c r="J65" s="5"/>
      <c r="K65" s="6"/>
      <c r="L65" s="4"/>
      <c r="M65" s="6"/>
      <c r="N65" s="2"/>
    </row>
    <row r="66" spans="3:14">
      <c r="C66" s="8"/>
      <c r="D66" s="8"/>
      <c r="E66" s="7"/>
      <c r="F66" s="6"/>
      <c r="G66" s="6"/>
      <c r="H66" s="5"/>
      <c r="I66" s="5"/>
      <c r="J66" s="5"/>
      <c r="K66" s="6"/>
      <c r="L66" s="4"/>
      <c r="M66" s="6"/>
      <c r="N66" s="2"/>
    </row>
    <row r="67" spans="3:14">
      <c r="C67" s="8"/>
      <c r="D67" s="8"/>
      <c r="E67" s="7"/>
      <c r="F67" s="6"/>
      <c r="G67" s="6"/>
      <c r="H67" s="5"/>
      <c r="I67" s="5"/>
      <c r="J67" s="5"/>
      <c r="K67" s="6"/>
      <c r="L67" s="4"/>
      <c r="M67" s="6"/>
      <c r="N67" s="2"/>
    </row>
    <row r="68" spans="3:14">
      <c r="C68" s="8"/>
      <c r="D68" s="8"/>
      <c r="E68" s="7"/>
      <c r="F68" s="6"/>
      <c r="G68" s="6"/>
      <c r="H68" s="5"/>
      <c r="I68" s="5"/>
      <c r="J68" s="5"/>
      <c r="K68" s="6"/>
      <c r="L68" s="4"/>
      <c r="M68" s="6"/>
      <c r="N68" s="2"/>
    </row>
    <row r="69" spans="3:14">
      <c r="C69" s="8"/>
      <c r="D69" s="8"/>
      <c r="E69" s="7"/>
      <c r="F69" s="6"/>
      <c r="G69" s="6"/>
      <c r="H69" s="5"/>
      <c r="I69" s="5"/>
      <c r="J69" s="5"/>
      <c r="K69" s="6"/>
      <c r="L69" s="4"/>
      <c r="M69" s="6"/>
      <c r="N69" s="2"/>
    </row>
    <row r="70" spans="3:14">
      <c r="C70" s="8"/>
      <c r="D70" s="8"/>
      <c r="E70" s="7"/>
      <c r="F70" s="6"/>
      <c r="G70" s="6"/>
      <c r="H70" s="5"/>
      <c r="I70" s="5"/>
      <c r="J70" s="5"/>
      <c r="K70" s="6"/>
      <c r="L70" s="4"/>
      <c r="M70" s="6"/>
      <c r="N70" s="2"/>
    </row>
    <row r="71" spans="3:14">
      <c r="C71" s="8"/>
      <c r="D71" s="8"/>
      <c r="E71" s="7"/>
      <c r="F71" s="6"/>
      <c r="G71" s="6"/>
      <c r="H71" s="5"/>
      <c r="I71" s="5"/>
      <c r="J71" s="5"/>
      <c r="K71" s="6"/>
      <c r="L71" s="108"/>
      <c r="M71" s="6"/>
      <c r="N71" s="2"/>
    </row>
    <row r="72" spans="3:14">
      <c r="C72" s="8"/>
      <c r="D72" s="8"/>
      <c r="E72" s="7"/>
      <c r="F72" s="6"/>
      <c r="G72" s="6"/>
      <c r="H72" s="5"/>
      <c r="I72" s="5"/>
      <c r="J72" s="5"/>
      <c r="K72" s="6"/>
      <c r="L72" s="4"/>
      <c r="M72" s="6"/>
      <c r="N72" s="2"/>
    </row>
    <row r="73" spans="3:14">
      <c r="C73" s="8"/>
      <c r="D73" s="8"/>
      <c r="E73" s="7"/>
      <c r="F73" s="6"/>
      <c r="G73" s="6"/>
      <c r="H73" s="5"/>
      <c r="I73" s="5"/>
      <c r="J73" s="5"/>
      <c r="K73" s="6"/>
      <c r="L73" s="4"/>
      <c r="M73" s="6"/>
      <c r="N73" s="2"/>
    </row>
    <row r="74" spans="3:14">
      <c r="C74" s="8"/>
      <c r="D74" s="8"/>
      <c r="E74" s="7"/>
      <c r="F74" s="6"/>
      <c r="G74" s="6"/>
      <c r="H74" s="5"/>
      <c r="I74" s="5"/>
      <c r="J74" s="5"/>
      <c r="K74" s="6"/>
      <c r="L74" s="4"/>
      <c r="M74" s="6"/>
      <c r="N74" s="2"/>
    </row>
    <row r="75" spans="3:14">
      <c r="C75" s="8"/>
      <c r="D75" s="8"/>
      <c r="E75" s="7"/>
      <c r="F75" s="6"/>
      <c r="G75" s="6"/>
      <c r="H75" s="5"/>
      <c r="I75" s="5"/>
      <c r="J75" s="5"/>
      <c r="K75" s="6"/>
      <c r="L75" s="4"/>
      <c r="M75" s="6"/>
      <c r="N75" s="2"/>
    </row>
    <row r="76" spans="3:14">
      <c r="C76" s="8"/>
      <c r="D76" s="8"/>
      <c r="E76" s="7"/>
      <c r="F76" s="6"/>
      <c r="G76" s="6"/>
      <c r="H76" s="5"/>
      <c r="I76" s="5"/>
      <c r="J76" s="5"/>
      <c r="K76" s="6"/>
      <c r="L76" s="4"/>
      <c r="M76" s="6"/>
      <c r="N76" s="2"/>
    </row>
    <row r="77" spans="3:14" ht="14.25" customHeight="1">
      <c r="C77" s="8"/>
      <c r="D77" s="8"/>
      <c r="E77" s="7"/>
      <c r="F77" s="6"/>
      <c r="G77" s="6"/>
      <c r="H77" s="5"/>
      <c r="I77" s="5"/>
      <c r="J77" s="5"/>
      <c r="K77" s="6"/>
      <c r="L77" s="4"/>
      <c r="M77" s="6"/>
      <c r="N77" s="2"/>
    </row>
    <row r="78" spans="3:14" ht="14.25" customHeight="1">
      <c r="C78" s="8"/>
      <c r="D78" s="8"/>
      <c r="E78" s="7"/>
      <c r="F78" s="6"/>
      <c r="G78" s="6"/>
      <c r="H78" s="5"/>
      <c r="I78" s="5"/>
      <c r="J78" s="5"/>
      <c r="K78" s="6"/>
      <c r="L78" s="4"/>
      <c r="M78" s="6"/>
      <c r="N78" s="2"/>
    </row>
    <row r="79" spans="3:14" ht="14.25" customHeight="1">
      <c r="C79" s="8"/>
      <c r="D79" s="8"/>
      <c r="E79" s="7"/>
      <c r="F79" s="6"/>
      <c r="G79" s="6"/>
      <c r="H79" s="5"/>
      <c r="I79" s="5"/>
      <c r="J79" s="5"/>
      <c r="K79" s="6"/>
      <c r="L79" s="4"/>
      <c r="M79" s="6"/>
      <c r="N79" s="2"/>
    </row>
    <row r="80" spans="3:14" ht="14.25" customHeight="1">
      <c r="C80" s="8"/>
      <c r="D80" s="8"/>
      <c r="E80" s="7"/>
      <c r="F80" s="6"/>
      <c r="G80" s="6"/>
      <c r="H80" s="5"/>
      <c r="I80" s="5"/>
      <c r="J80" s="5"/>
      <c r="K80" s="6"/>
      <c r="L80" s="4"/>
      <c r="M80" s="6"/>
      <c r="N80" s="2"/>
    </row>
    <row r="81" spans="3:14" ht="14.25" customHeight="1">
      <c r="C81" s="8"/>
      <c r="D81" s="8"/>
      <c r="E81" s="7"/>
      <c r="F81" s="6"/>
      <c r="G81" s="6"/>
      <c r="H81" s="5"/>
      <c r="I81" s="5"/>
      <c r="J81" s="5"/>
      <c r="K81" s="6"/>
      <c r="L81" s="4"/>
      <c r="M81" s="6"/>
      <c r="N81" s="2"/>
    </row>
    <row r="82" spans="3:14" ht="14.25" customHeight="1">
      <c r="C82" s="8"/>
      <c r="D82" s="8"/>
      <c r="E82" s="7"/>
      <c r="F82" s="6"/>
      <c r="G82" s="6"/>
      <c r="H82" s="5"/>
      <c r="I82" s="5"/>
      <c r="J82" s="5"/>
      <c r="K82" s="6"/>
      <c r="L82" s="4"/>
      <c r="M82" s="6"/>
      <c r="N82" s="2"/>
    </row>
    <row r="83" spans="3:14" ht="14.25" customHeight="1">
      <c r="C83" s="8"/>
      <c r="D83" s="8"/>
      <c r="E83" s="7"/>
      <c r="F83" s="6"/>
      <c r="G83" s="6"/>
      <c r="H83" s="5"/>
      <c r="I83" s="5"/>
      <c r="J83" s="5"/>
      <c r="K83" s="6"/>
      <c r="L83" s="4"/>
      <c r="M83" s="6"/>
      <c r="N83" s="2"/>
    </row>
    <row r="84" spans="3:14" ht="14.25" customHeight="1">
      <c r="C84" s="8"/>
      <c r="D84" s="8"/>
      <c r="E84" s="7"/>
      <c r="F84" s="6"/>
      <c r="G84" s="6"/>
      <c r="H84" s="5"/>
      <c r="I84" s="5"/>
      <c r="J84" s="5"/>
      <c r="K84" s="6"/>
      <c r="L84" s="4"/>
      <c r="M84" s="6"/>
      <c r="N84" s="2"/>
    </row>
    <row r="85" spans="3:14" ht="14.25" customHeight="1">
      <c r="C85" s="8"/>
      <c r="D85" s="8"/>
      <c r="E85" s="7"/>
      <c r="F85" s="6"/>
      <c r="G85" s="6"/>
      <c r="H85" s="5"/>
      <c r="I85" s="5"/>
      <c r="J85" s="5"/>
      <c r="K85" s="6"/>
      <c r="L85" s="4"/>
      <c r="M85" s="6"/>
      <c r="N85" s="2"/>
    </row>
    <row r="86" spans="3:14" ht="14.25" customHeight="1">
      <c r="C86" s="8"/>
      <c r="D86" s="8"/>
      <c r="E86" s="7"/>
      <c r="F86" s="6"/>
      <c r="G86" s="6"/>
      <c r="H86" s="5"/>
      <c r="I86" s="5"/>
      <c r="J86" s="5"/>
      <c r="K86" s="6"/>
      <c r="L86" s="4"/>
      <c r="M86" s="6"/>
      <c r="N86" s="2"/>
    </row>
    <row r="87" spans="3:14" ht="14.25" customHeight="1">
      <c r="C87" s="8"/>
      <c r="D87" s="8"/>
      <c r="E87" s="7"/>
      <c r="F87" s="6"/>
      <c r="G87" s="6"/>
      <c r="H87" s="5"/>
      <c r="I87" s="5"/>
      <c r="J87" s="5"/>
      <c r="K87" s="6"/>
      <c r="L87" s="4"/>
      <c r="M87" s="6"/>
      <c r="N87" s="2"/>
    </row>
    <row r="88" spans="3:14" ht="14.25" customHeight="1">
      <c r="C88" s="8"/>
      <c r="D88" s="8"/>
      <c r="E88" s="7"/>
      <c r="F88" s="6"/>
      <c r="G88" s="6"/>
      <c r="H88" s="5"/>
      <c r="I88" s="5"/>
      <c r="J88" s="5"/>
      <c r="K88" s="6"/>
      <c r="L88" s="4"/>
      <c r="M88" s="6"/>
      <c r="N88" s="2"/>
    </row>
    <row r="89" spans="3:14" ht="14.25" customHeight="1">
      <c r="C89" s="8"/>
      <c r="D89" s="8"/>
      <c r="E89" s="7"/>
      <c r="F89" s="6"/>
      <c r="G89" s="6"/>
      <c r="H89" s="5"/>
      <c r="I89" s="5"/>
      <c r="J89" s="5"/>
      <c r="K89" s="6"/>
      <c r="L89" s="4"/>
      <c r="M89" s="6"/>
      <c r="N89" s="2"/>
    </row>
    <row r="90" spans="3:14" ht="14.25" customHeight="1">
      <c r="C90" s="8"/>
      <c r="D90" s="8"/>
      <c r="E90" s="7"/>
      <c r="F90" s="6"/>
      <c r="G90" s="6"/>
      <c r="H90" s="5"/>
      <c r="I90" s="5"/>
      <c r="J90" s="5"/>
      <c r="K90" s="6"/>
      <c r="L90" s="4"/>
      <c r="M90" s="6"/>
      <c r="N90" s="2"/>
    </row>
    <row r="91" spans="3:14" ht="14.25" customHeight="1">
      <c r="C91" s="8"/>
      <c r="D91" s="8"/>
      <c r="E91" s="7"/>
      <c r="F91" s="6"/>
      <c r="G91" s="6"/>
      <c r="H91" s="5"/>
      <c r="I91" s="5"/>
      <c r="J91" s="5"/>
      <c r="K91" s="6"/>
      <c r="L91" s="4"/>
      <c r="M91" s="6"/>
      <c r="N91" s="2"/>
    </row>
    <row r="92" spans="3:14" ht="14.25" customHeight="1">
      <c r="C92" s="8"/>
      <c r="D92" s="8"/>
      <c r="E92" s="7"/>
      <c r="F92" s="6"/>
      <c r="G92" s="6"/>
      <c r="H92" s="5"/>
      <c r="I92" s="5"/>
      <c r="J92" s="5"/>
      <c r="K92" s="6"/>
      <c r="L92" s="4"/>
      <c r="M92" s="3"/>
      <c r="N92" s="2"/>
    </row>
    <row r="93" spans="3:14" ht="14.25" customHeight="1">
      <c r="C93" s="8"/>
      <c r="D93" s="8"/>
      <c r="E93" s="7"/>
      <c r="F93" s="6"/>
      <c r="G93" s="5"/>
      <c r="H93" s="5"/>
      <c r="I93" s="5"/>
      <c r="J93" s="5"/>
      <c r="K93" s="4"/>
      <c r="L93" s="4"/>
      <c r="M93" s="3"/>
      <c r="N93" s="2"/>
    </row>
    <row r="94" spans="3:14" ht="14.25" customHeight="1">
      <c r="C94" s="19"/>
      <c r="D94" s="19"/>
      <c r="E94" s="19"/>
      <c r="F94" s="19"/>
      <c r="G94" s="19"/>
      <c r="H94" s="19"/>
      <c r="I94" s="19"/>
      <c r="J94" s="19"/>
      <c r="K94" s="19"/>
      <c r="L94" s="19"/>
      <c r="M94" s="19"/>
      <c r="N94" s="19"/>
    </row>
    <row r="95" spans="3:14" ht="14.25" customHeight="1">
      <c r="C95" s="31"/>
      <c r="D95" s="27"/>
      <c r="E95" s="20"/>
      <c r="F95" s="28"/>
      <c r="G95" s="28"/>
      <c r="H95" s="26"/>
      <c r="I95" s="26"/>
      <c r="J95" s="26"/>
      <c r="K95" s="28"/>
      <c r="L95" s="29"/>
      <c r="M95" s="28"/>
      <c r="N95" s="27"/>
    </row>
    <row r="96" spans="3:14" s="1" customFormat="1" ht="14.25" customHeight="1">
      <c r="C96" s="31"/>
      <c r="D96" s="27"/>
      <c r="E96" s="21"/>
      <c r="F96" s="28"/>
      <c r="G96" s="28"/>
      <c r="H96" s="26"/>
      <c r="I96" s="26"/>
      <c r="J96" s="26"/>
      <c r="K96" s="28"/>
      <c r="L96" s="29"/>
      <c r="M96" s="28"/>
      <c r="N96" s="27"/>
    </row>
    <row r="97" spans="3:14" s="1" customFormat="1" ht="14.25" customHeight="1">
      <c r="C97" s="30"/>
      <c r="D97" s="25"/>
      <c r="E97" s="21"/>
      <c r="F97" s="22"/>
      <c r="G97" s="22"/>
      <c r="H97" s="23"/>
      <c r="I97" s="23"/>
      <c r="J97" s="23"/>
      <c r="K97" s="22"/>
      <c r="L97" s="24"/>
      <c r="M97" s="22"/>
      <c r="N97" s="25"/>
    </row>
    <row r="98" spans="3:14">
      <c r="L98" s="214">
        <f>SUM(L6:L97)</f>
        <v>24500</v>
      </c>
    </row>
  </sheetData>
  <mergeCells count="8">
    <mergeCell ref="C17:C22"/>
    <mergeCell ref="N17:N22"/>
    <mergeCell ref="C5:C8"/>
    <mergeCell ref="C2:G2"/>
    <mergeCell ref="H2:J2"/>
    <mergeCell ref="K2:L2"/>
    <mergeCell ref="M2:M3"/>
    <mergeCell ref="N2:N3"/>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46DB9-6A3D-4EF1-9660-2677D2CF155A}">
  <sheetPr>
    <tabColor rgb="FFFFC000"/>
  </sheetPr>
  <dimension ref="A2:O98"/>
  <sheetViews>
    <sheetView topLeftCell="C1" zoomScale="101" zoomScaleNormal="115" workbookViewId="0">
      <pane ySplit="4" topLeftCell="A5" activePane="bottomLeft" state="frozen"/>
      <selection pane="bottomLeft" activeCell="L18" sqref="L18"/>
    </sheetView>
  </sheetViews>
  <sheetFormatPr defaultRowHeight="15"/>
  <cols>
    <col min="1" max="1" width="7.28515625" customWidth="1"/>
    <col min="3" max="3" width="21.42578125" customWidth="1"/>
    <col min="4" max="4" width="20.5703125"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customWidth="1"/>
    <col min="13" max="13" width="16.28515625" customWidth="1"/>
    <col min="14" max="14" width="12.85546875" customWidth="1"/>
  </cols>
  <sheetData>
    <row r="2" spans="1:15">
      <c r="C2" s="2627" t="s">
        <v>30</v>
      </c>
      <c r="D2" s="2627"/>
      <c r="E2" s="2627"/>
      <c r="F2" s="2627"/>
      <c r="G2" s="2627"/>
      <c r="H2" s="2628" t="s">
        <v>29</v>
      </c>
      <c r="I2" s="2628"/>
      <c r="J2" s="2628"/>
      <c r="K2" s="2627" t="s">
        <v>28</v>
      </c>
      <c r="L2" s="2627"/>
      <c r="M2" s="2628" t="s">
        <v>27</v>
      </c>
      <c r="N2" s="2628" t="s">
        <v>26</v>
      </c>
    </row>
    <row r="3" spans="1:15" ht="72">
      <c r="C3" s="10" t="s">
        <v>25</v>
      </c>
      <c r="D3" s="13" t="s">
        <v>24</v>
      </c>
      <c r="E3" s="12" t="s">
        <v>23</v>
      </c>
      <c r="F3" s="10" t="s">
        <v>22</v>
      </c>
      <c r="G3" s="11" t="s">
        <v>21</v>
      </c>
      <c r="H3" s="11" t="s">
        <v>20</v>
      </c>
      <c r="I3" s="11" t="s">
        <v>19</v>
      </c>
      <c r="J3" s="11" t="s">
        <v>18</v>
      </c>
      <c r="K3" s="10" t="s">
        <v>17</v>
      </c>
      <c r="L3" s="10" t="s">
        <v>16</v>
      </c>
      <c r="M3" s="2628"/>
      <c r="N3" s="2628"/>
    </row>
    <row r="4" spans="1:15">
      <c r="C4" s="9" t="s">
        <v>15</v>
      </c>
      <c r="D4" s="9" t="s">
        <v>14</v>
      </c>
      <c r="E4" s="9" t="s">
        <v>13</v>
      </c>
      <c r="F4" s="9" t="s">
        <v>12</v>
      </c>
      <c r="G4" s="9" t="s">
        <v>11</v>
      </c>
      <c r="H4" s="9" t="s">
        <v>10</v>
      </c>
      <c r="I4" s="9" t="s">
        <v>9</v>
      </c>
      <c r="J4" s="9" t="s">
        <v>8</v>
      </c>
      <c r="K4" s="9" t="s">
        <v>7</v>
      </c>
      <c r="L4" s="9" t="s">
        <v>6</v>
      </c>
      <c r="M4" s="9" t="s">
        <v>5</v>
      </c>
      <c r="N4" s="9" t="s">
        <v>4</v>
      </c>
    </row>
    <row r="5" spans="1:15" s="455" customFormat="1" ht="25.15" customHeight="1">
      <c r="A5" s="438" t="s">
        <v>1023</v>
      </c>
      <c r="B5" s="563" t="s">
        <v>1024</v>
      </c>
      <c r="C5" s="503" t="s">
        <v>1047</v>
      </c>
      <c r="D5" s="309" t="s">
        <v>658</v>
      </c>
      <c r="E5" s="304"/>
      <c r="F5" s="304" t="s">
        <v>422</v>
      </c>
      <c r="G5" s="313" t="s">
        <v>1</v>
      </c>
      <c r="H5" s="307" t="s">
        <v>652</v>
      </c>
      <c r="I5" s="307" t="s">
        <v>653</v>
      </c>
      <c r="J5" s="307" t="s">
        <v>1037</v>
      </c>
      <c r="K5" s="308" t="s">
        <v>748</v>
      </c>
      <c r="L5" s="312">
        <v>12500</v>
      </c>
      <c r="M5" s="322"/>
      <c r="N5" s="318"/>
    </row>
    <row r="6" spans="1:15" s="455" customFormat="1" ht="24" customHeight="1">
      <c r="A6" s="438" t="s">
        <v>1023</v>
      </c>
      <c r="B6" s="563" t="s">
        <v>1024</v>
      </c>
      <c r="C6" s="503" t="s">
        <v>1048</v>
      </c>
      <c r="D6" s="309" t="s">
        <v>658</v>
      </c>
      <c r="E6" s="304"/>
      <c r="F6" s="304" t="s">
        <v>422</v>
      </c>
      <c r="G6" s="313" t="s">
        <v>1</v>
      </c>
      <c r="H6" s="307" t="s">
        <v>652</v>
      </c>
      <c r="I6" s="307" t="s">
        <v>653</v>
      </c>
      <c r="J6" s="307" t="s">
        <v>1037</v>
      </c>
      <c r="K6" s="308" t="s">
        <v>748</v>
      </c>
      <c r="L6" s="312">
        <v>12500</v>
      </c>
      <c r="M6" s="306"/>
      <c r="N6" s="306"/>
    </row>
    <row r="7" spans="1:15" s="355" customFormat="1" ht="14.25" customHeight="1">
      <c r="A7" s="301"/>
      <c r="B7" s="302"/>
      <c r="C7" s="393"/>
      <c r="D7" s="393"/>
      <c r="E7" s="393"/>
      <c r="F7" s="395"/>
      <c r="G7" s="393"/>
      <c r="H7" s="393"/>
      <c r="I7" s="393"/>
      <c r="J7" s="393"/>
      <c r="K7" s="393"/>
      <c r="L7" s="399"/>
      <c r="M7" s="395"/>
      <c r="N7" s="393"/>
      <c r="O7" s="348"/>
    </row>
    <row r="8" spans="1:15" s="355" customFormat="1" ht="14.25" customHeight="1">
      <c r="A8" s="301"/>
      <c r="B8" s="302"/>
      <c r="C8" s="393"/>
      <c r="D8" s="393"/>
      <c r="E8" s="393"/>
      <c r="F8" s="395"/>
      <c r="G8" s="393"/>
      <c r="H8" s="393"/>
      <c r="I8" s="393"/>
      <c r="J8" s="393"/>
      <c r="K8" s="393"/>
      <c r="L8" s="399"/>
      <c r="M8" s="395"/>
      <c r="N8" s="393"/>
      <c r="O8" s="348"/>
    </row>
    <row r="9" spans="1:15" s="355" customFormat="1" ht="14.25" customHeight="1">
      <c r="A9" s="301"/>
      <c r="B9" s="302"/>
      <c r="C9" s="393"/>
      <c r="D9" s="393"/>
      <c r="E9" s="393"/>
      <c r="F9" s="395"/>
      <c r="G9" s="393"/>
      <c r="H9" s="393"/>
      <c r="I9" s="393"/>
      <c r="J9" s="393"/>
      <c r="K9" s="393"/>
      <c r="L9" s="399"/>
      <c r="M9" s="395"/>
      <c r="N9" s="393"/>
      <c r="O9" s="348"/>
    </row>
    <row r="10" spans="1:15" s="355" customFormat="1" ht="14.25" customHeight="1">
      <c r="A10" s="301"/>
      <c r="B10" s="302"/>
      <c r="C10" s="393"/>
      <c r="D10" s="393"/>
      <c r="E10" s="393"/>
      <c r="F10" s="395"/>
      <c r="G10" s="393"/>
      <c r="H10" s="393"/>
      <c r="I10" s="393"/>
      <c r="J10" s="393"/>
      <c r="K10" s="393"/>
      <c r="L10" s="399"/>
      <c r="M10" s="395"/>
      <c r="N10" s="393"/>
      <c r="O10" s="352"/>
    </row>
    <row r="11" spans="1:15" s="355" customFormat="1" ht="14.25" customHeight="1">
      <c r="A11" s="301"/>
      <c r="B11" s="302"/>
      <c r="C11" s="393"/>
      <c r="D11" s="393"/>
      <c r="E11" s="393"/>
      <c r="F11" s="393"/>
      <c r="G11" s="393"/>
      <c r="H11" s="393"/>
      <c r="I11" s="393"/>
      <c r="J11" s="393"/>
      <c r="K11" s="393"/>
      <c r="L11" s="399"/>
      <c r="M11" s="393"/>
      <c r="N11" s="393"/>
    </row>
    <row r="12" spans="1:15" s="355" customFormat="1" ht="14.25" customHeight="1">
      <c r="A12" s="301"/>
      <c r="B12" s="302"/>
      <c r="C12" s="393"/>
      <c r="D12" s="393"/>
      <c r="E12" s="393"/>
      <c r="F12" s="393"/>
      <c r="G12" s="393"/>
      <c r="H12" s="393"/>
      <c r="I12" s="393"/>
      <c r="J12" s="393"/>
      <c r="K12" s="393"/>
      <c r="L12" s="399"/>
      <c r="M12" s="393"/>
      <c r="N12" s="393"/>
    </row>
    <row r="13" spans="1:15" s="355" customFormat="1" ht="14.25" customHeight="1">
      <c r="A13" s="301"/>
      <c r="B13" s="302"/>
      <c r="C13" s="393"/>
      <c r="D13" s="393"/>
      <c r="E13" s="393"/>
      <c r="F13" s="393"/>
      <c r="G13" s="393"/>
      <c r="H13" s="393"/>
      <c r="I13" s="393"/>
      <c r="J13" s="393"/>
      <c r="K13" s="393"/>
      <c r="L13" s="399"/>
      <c r="M13" s="393"/>
      <c r="N13" s="393"/>
    </row>
    <row r="14" spans="1:15" s="355" customFormat="1" ht="14.25" customHeight="1">
      <c r="A14" s="513"/>
      <c r="B14" s="342"/>
      <c r="C14" s="513"/>
      <c r="D14" s="324"/>
      <c r="E14" s="872"/>
      <c r="F14" s="513"/>
      <c r="G14" s="514"/>
      <c r="H14" s="515"/>
      <c r="I14" s="515"/>
      <c r="J14" s="515"/>
      <c r="K14" s="513"/>
      <c r="L14" s="516"/>
      <c r="M14" s="513"/>
      <c r="N14" s="329"/>
    </row>
    <row r="15" spans="1:15" s="355" customFormat="1" ht="14.25" customHeight="1">
      <c r="A15" s="513"/>
      <c r="B15" s="342"/>
      <c r="C15" s="513"/>
      <c r="D15" s="330"/>
      <c r="E15" s="873"/>
      <c r="F15" s="873"/>
      <c r="G15" s="513"/>
      <c r="H15" s="514"/>
      <c r="I15" s="515"/>
      <c r="J15" s="515"/>
      <c r="K15" s="515"/>
      <c r="L15" s="864"/>
      <c r="M15" s="517"/>
      <c r="N15" s="513"/>
      <c r="O15" s="329"/>
    </row>
    <row r="16" spans="1:15" s="355" customFormat="1" ht="14.25" customHeight="1">
      <c r="A16" s="513"/>
      <c r="B16" s="342"/>
      <c r="C16" s="352"/>
      <c r="D16" s="330"/>
      <c r="E16" s="873"/>
      <c r="F16" s="873"/>
      <c r="G16" s="513"/>
      <c r="H16" s="514"/>
      <c r="I16" s="515"/>
      <c r="J16" s="515"/>
      <c r="K16" s="515"/>
      <c r="L16" s="864"/>
      <c r="M16" s="517"/>
      <c r="N16" s="513"/>
      <c r="O16" s="329"/>
    </row>
    <row r="17" spans="1:15" s="355" customFormat="1" ht="27" customHeight="1">
      <c r="A17" s="151"/>
      <c r="B17" s="40"/>
      <c r="C17" s="2653"/>
      <c r="D17" s="309"/>
      <c r="E17" s="954"/>
      <c r="F17" s="308"/>
      <c r="G17" s="867"/>
      <c r="H17" s="602"/>
      <c r="I17" s="602"/>
      <c r="J17" s="602"/>
      <c r="K17" s="866"/>
      <c r="L17" s="955"/>
      <c r="M17" s="949"/>
      <c r="N17" s="2653"/>
    </row>
    <row r="18" spans="1:15" s="355" customFormat="1" ht="14.25" customHeight="1">
      <c r="A18" s="513"/>
      <c r="B18" s="342"/>
      <c r="C18" s="2654"/>
      <c r="D18" s="953"/>
      <c r="E18" s="956"/>
      <c r="F18" s="304"/>
      <c r="G18" s="957"/>
      <c r="H18" s="950"/>
      <c r="I18" s="950"/>
      <c r="J18" s="950"/>
      <c r="K18" s="951"/>
      <c r="L18" s="2431">
        <f>SUM(L5:L17)</f>
        <v>25000</v>
      </c>
      <c r="M18" s="952"/>
      <c r="N18" s="2654"/>
    </row>
    <row r="19" spans="1:15" s="355" customFormat="1" ht="14.25" customHeight="1">
      <c r="A19" s="874"/>
      <c r="B19" s="302"/>
      <c r="C19" s="2654"/>
      <c r="D19" s="953"/>
      <c r="E19" s="956"/>
      <c r="F19" s="304"/>
      <c r="G19" s="957"/>
      <c r="H19" s="950"/>
      <c r="I19" s="950"/>
      <c r="J19" s="950"/>
      <c r="K19" s="951"/>
      <c r="L19" s="958"/>
      <c r="M19" s="952"/>
      <c r="N19" s="2654"/>
    </row>
    <row r="20" spans="1:15" s="355" customFormat="1" ht="14.25" customHeight="1">
      <c r="A20" s="513"/>
      <c r="B20" s="302"/>
      <c r="C20" s="2654"/>
      <c r="D20" s="737"/>
      <c r="E20" s="956"/>
      <c r="F20" s="304"/>
      <c r="G20" s="957"/>
      <c r="H20" s="950"/>
      <c r="I20" s="950"/>
      <c r="J20" s="950"/>
      <c r="K20" s="951"/>
      <c r="L20" s="958"/>
      <c r="M20" s="952"/>
      <c r="N20" s="2654"/>
    </row>
    <row r="21" spans="1:15" ht="14.25" customHeight="1">
      <c r="A21" s="125"/>
      <c r="B21" s="63"/>
      <c r="C21" s="2654"/>
      <c r="D21" s="224"/>
      <c r="E21" s="227"/>
      <c r="F21" s="222"/>
      <c r="G21" s="233"/>
      <c r="H21" s="234"/>
      <c r="I21" s="234"/>
      <c r="J21" s="234"/>
      <c r="K21" s="220"/>
      <c r="L21" s="235"/>
      <c r="M21" s="236"/>
      <c r="N21" s="2654"/>
    </row>
    <row r="22" spans="1:15" ht="14.25" customHeight="1">
      <c r="A22" s="125"/>
      <c r="B22" s="63"/>
      <c r="C22" s="2655"/>
      <c r="D22" s="223"/>
      <c r="E22" s="228"/>
      <c r="F22" s="222"/>
      <c r="G22" s="237"/>
      <c r="H22" s="238"/>
      <c r="I22" s="238"/>
      <c r="J22" s="238"/>
      <c r="K22" s="225"/>
      <c r="L22" s="239"/>
      <c r="M22" s="240"/>
      <c r="N22" s="2655"/>
    </row>
    <row r="23" spans="1:15" ht="14.25" customHeight="1">
      <c r="A23" s="125"/>
      <c r="B23" s="63"/>
      <c r="C23" s="58"/>
      <c r="D23" s="90"/>
      <c r="E23" s="94"/>
      <c r="F23" s="90"/>
      <c r="G23" s="90"/>
      <c r="H23" s="91"/>
      <c r="I23" s="91"/>
      <c r="J23" s="91"/>
      <c r="K23" s="91"/>
      <c r="L23" s="101"/>
      <c r="M23" s="93"/>
      <c r="N23" s="91"/>
      <c r="O23" s="124"/>
    </row>
    <row r="24" spans="1:15" ht="22.5" customHeight="1">
      <c r="A24" s="125"/>
      <c r="B24" s="63"/>
      <c r="C24" s="86"/>
      <c r="D24" s="87"/>
      <c r="E24" s="95"/>
      <c r="F24" s="87"/>
      <c r="G24" s="88"/>
      <c r="H24" s="89"/>
      <c r="I24" s="89"/>
      <c r="J24" s="89"/>
      <c r="K24" s="87"/>
      <c r="L24" s="98"/>
      <c r="M24" s="87"/>
      <c r="N24" s="19"/>
      <c r="O24" s="77"/>
    </row>
    <row r="25" spans="1:15" ht="14.25" customHeight="1">
      <c r="A25" s="125"/>
      <c r="B25" s="63"/>
      <c r="C25" s="58"/>
      <c r="D25" s="96"/>
      <c r="E25" s="97"/>
      <c r="F25" s="58"/>
      <c r="G25" s="59"/>
      <c r="H25" s="60"/>
      <c r="I25" s="60"/>
      <c r="J25" s="60"/>
      <c r="K25" s="58"/>
      <c r="L25" s="64"/>
      <c r="M25" s="58"/>
      <c r="N25" s="19"/>
      <c r="O25" s="62"/>
    </row>
    <row r="26" spans="1:15" ht="14.25" customHeight="1">
      <c r="A26" s="125"/>
      <c r="B26" s="63"/>
      <c r="C26" s="58"/>
      <c r="D26" s="79"/>
      <c r="E26" s="81"/>
      <c r="F26" s="58"/>
      <c r="G26" s="59"/>
      <c r="H26" s="60"/>
      <c r="I26" s="60"/>
      <c r="J26" s="60"/>
      <c r="K26" s="58"/>
      <c r="L26" s="64"/>
      <c r="M26" s="58"/>
      <c r="N26" s="19"/>
      <c r="O26" s="62"/>
    </row>
    <row r="27" spans="1:15">
      <c r="A27" s="125"/>
      <c r="B27" s="63"/>
      <c r="C27" s="58"/>
      <c r="D27" s="79"/>
      <c r="E27" s="81"/>
      <c r="F27" s="58"/>
      <c r="G27" s="59"/>
      <c r="H27" s="60"/>
      <c r="I27" s="60"/>
      <c r="J27" s="60"/>
      <c r="K27" s="58"/>
      <c r="L27" s="64"/>
      <c r="M27" s="58"/>
      <c r="N27" s="19"/>
      <c r="O27" s="62"/>
    </row>
    <row r="28" spans="1:15">
      <c r="A28" s="125"/>
      <c r="B28" s="63"/>
      <c r="C28" s="58"/>
      <c r="D28" s="78"/>
      <c r="E28" s="79"/>
      <c r="F28" s="58"/>
      <c r="G28" s="59"/>
      <c r="H28" s="60"/>
      <c r="I28" s="60"/>
      <c r="J28" s="60"/>
      <c r="K28" s="58"/>
      <c r="L28" s="64"/>
      <c r="M28" s="58"/>
      <c r="N28" s="19"/>
      <c r="O28" s="62"/>
    </row>
    <row r="29" spans="1:15">
      <c r="C29" s="58"/>
      <c r="D29" s="90"/>
      <c r="E29" s="94"/>
      <c r="F29" s="90"/>
      <c r="G29" s="91"/>
      <c r="H29" s="91"/>
      <c r="I29" s="91"/>
      <c r="J29" s="91"/>
      <c r="K29" s="92"/>
      <c r="L29" s="101"/>
      <c r="M29" s="91"/>
      <c r="N29" s="19"/>
      <c r="O29" s="91"/>
    </row>
    <row r="30" spans="1:15">
      <c r="A30" s="125"/>
      <c r="B30" s="63"/>
      <c r="C30" s="86"/>
      <c r="D30" s="87"/>
      <c r="E30" s="95"/>
      <c r="F30" s="87"/>
      <c r="G30" s="88"/>
      <c r="H30" s="89"/>
      <c r="I30" s="89"/>
      <c r="J30" s="89"/>
      <c r="K30" s="87"/>
      <c r="L30" s="98"/>
      <c r="M30" s="87"/>
      <c r="N30" s="19"/>
      <c r="O30" s="77"/>
    </row>
    <row r="31" spans="1:15">
      <c r="A31" s="125"/>
      <c r="B31" s="63"/>
      <c r="C31" s="58"/>
      <c r="D31" s="96"/>
      <c r="E31" s="96"/>
      <c r="F31" s="58"/>
      <c r="G31" s="59"/>
      <c r="H31" s="60"/>
      <c r="I31" s="60"/>
      <c r="J31" s="60"/>
      <c r="K31" s="58"/>
      <c r="L31" s="64"/>
      <c r="M31" s="58"/>
      <c r="N31" s="19"/>
      <c r="O31" s="62"/>
    </row>
    <row r="32" spans="1:15">
      <c r="A32" s="125"/>
      <c r="B32" s="63"/>
      <c r="C32" s="58"/>
      <c r="D32" s="78"/>
      <c r="E32" s="79"/>
      <c r="F32" s="80"/>
      <c r="G32" s="58"/>
      <c r="H32" s="59"/>
      <c r="I32" s="60"/>
      <c r="J32" s="60"/>
      <c r="K32" s="60"/>
      <c r="L32" s="100"/>
      <c r="M32" s="61"/>
      <c r="N32" s="58"/>
      <c r="O32" s="62"/>
    </row>
    <row r="33" spans="1:15">
      <c r="A33" s="125"/>
      <c r="B33" s="63"/>
      <c r="C33" s="58"/>
      <c r="D33" s="78"/>
      <c r="E33" s="79"/>
      <c r="F33" s="80"/>
      <c r="G33" s="58"/>
      <c r="H33" s="59"/>
      <c r="I33" s="60"/>
      <c r="J33" s="60"/>
      <c r="K33" s="60"/>
      <c r="L33" s="100"/>
      <c r="M33" s="61"/>
      <c r="N33" s="58"/>
      <c r="O33" s="62"/>
    </row>
    <row r="34" spans="1:15">
      <c r="A34" s="125"/>
      <c r="B34" s="63"/>
      <c r="C34" s="58"/>
      <c r="D34" s="78"/>
      <c r="E34" s="79"/>
      <c r="F34" s="80"/>
      <c r="G34" s="58"/>
      <c r="H34" s="59"/>
      <c r="I34" s="60"/>
      <c r="J34" s="60"/>
      <c r="K34" s="60"/>
      <c r="L34" s="100"/>
      <c r="M34" s="61"/>
      <c r="N34" s="58"/>
      <c r="O34" s="62"/>
    </row>
    <row r="35" spans="1:15">
      <c r="A35" s="125"/>
      <c r="B35" s="63"/>
      <c r="C35" s="58"/>
      <c r="D35" s="90"/>
      <c r="E35" s="94"/>
      <c r="F35" s="90"/>
      <c r="G35" s="90"/>
      <c r="H35" s="91"/>
      <c r="I35" s="91"/>
      <c r="J35" s="91"/>
      <c r="K35" s="91"/>
      <c r="L35" s="101"/>
      <c r="M35" s="93"/>
      <c r="N35" s="91"/>
      <c r="O35" s="124"/>
    </row>
    <row r="36" spans="1:15">
      <c r="A36" s="125"/>
      <c r="B36" s="63"/>
      <c r="C36" s="86"/>
      <c r="D36" s="87"/>
      <c r="E36" s="95"/>
      <c r="F36" s="87"/>
      <c r="G36" s="88"/>
      <c r="H36" s="89"/>
      <c r="I36" s="89"/>
      <c r="J36" s="89"/>
      <c r="K36" s="87"/>
      <c r="L36" s="98"/>
      <c r="M36" s="87"/>
      <c r="N36" s="19"/>
      <c r="O36" s="77"/>
    </row>
    <row r="37" spans="1:15">
      <c r="A37" s="125"/>
      <c r="B37" s="63"/>
      <c r="C37" s="58"/>
      <c r="D37" s="138"/>
      <c r="E37" s="96"/>
      <c r="F37" s="58"/>
      <c r="G37" s="59"/>
      <c r="H37" s="60"/>
      <c r="I37" s="60"/>
      <c r="J37" s="60"/>
      <c r="K37" s="58"/>
      <c r="L37" s="64"/>
      <c r="M37" s="58"/>
      <c r="N37" s="19"/>
      <c r="O37" s="62"/>
    </row>
    <row r="38" spans="1:15">
      <c r="A38" s="125"/>
      <c r="B38" s="63"/>
      <c r="C38" s="58"/>
      <c r="D38" s="79"/>
      <c r="E38" s="79"/>
      <c r="F38" s="58"/>
      <c r="G38" s="59"/>
      <c r="H38" s="60"/>
      <c r="I38" s="60"/>
      <c r="J38" s="60"/>
      <c r="K38" s="58"/>
      <c r="L38" s="64"/>
      <c r="M38" s="58"/>
      <c r="N38" s="19"/>
      <c r="O38" s="62"/>
    </row>
    <row r="39" spans="1:15">
      <c r="A39" s="125"/>
      <c r="B39" s="63"/>
      <c r="C39" s="58"/>
      <c r="D39" s="78"/>
      <c r="E39" s="79"/>
      <c r="F39" s="80"/>
      <c r="G39" s="58"/>
      <c r="H39" s="59"/>
      <c r="I39" s="60"/>
      <c r="J39" s="60"/>
      <c r="K39" s="60"/>
      <c r="L39" s="100"/>
      <c r="M39" s="61"/>
      <c r="N39" s="58"/>
      <c r="O39" s="62"/>
    </row>
    <row r="40" spans="1:15">
      <c r="A40" s="125"/>
      <c r="B40" s="63"/>
      <c r="C40" s="58"/>
      <c r="D40" s="78"/>
      <c r="E40" s="79"/>
      <c r="F40" s="80"/>
      <c r="G40" s="58"/>
      <c r="H40" s="59"/>
      <c r="I40" s="60"/>
      <c r="J40" s="60"/>
      <c r="K40" s="60"/>
      <c r="L40" s="100"/>
      <c r="M40" s="61"/>
      <c r="N40" s="58"/>
      <c r="O40" s="62"/>
    </row>
    <row r="41" spans="1:15">
      <c r="C41" s="58"/>
      <c r="D41" s="90"/>
      <c r="E41" s="94"/>
      <c r="F41" s="90"/>
      <c r="G41" s="90"/>
      <c r="H41" s="91"/>
      <c r="I41" s="91"/>
      <c r="J41" s="91"/>
      <c r="K41" s="91"/>
      <c r="L41" s="101"/>
      <c r="M41" s="93"/>
      <c r="N41" s="91"/>
      <c r="O41" s="124"/>
    </row>
    <row r="42" spans="1:15">
      <c r="C42" s="58"/>
      <c r="D42" s="90"/>
      <c r="E42" s="94"/>
      <c r="F42" s="90"/>
      <c r="G42" s="90"/>
      <c r="H42" s="91"/>
      <c r="I42" s="91"/>
      <c r="J42" s="91"/>
      <c r="K42" s="91"/>
      <c r="L42" s="101"/>
      <c r="M42" s="93"/>
      <c r="N42" s="91"/>
      <c r="O42" s="124"/>
    </row>
    <row r="43" spans="1:15">
      <c r="A43" s="125"/>
      <c r="B43" s="63"/>
      <c r="C43" s="86"/>
      <c r="D43" s="87"/>
      <c r="E43" s="86"/>
      <c r="F43" s="87"/>
      <c r="G43" s="88"/>
      <c r="H43" s="89"/>
      <c r="I43" s="89"/>
      <c r="J43" s="89"/>
      <c r="K43" s="87"/>
      <c r="L43" s="98"/>
      <c r="M43" s="87"/>
      <c r="N43" s="77"/>
    </row>
    <row r="44" spans="1:15">
      <c r="A44" s="125"/>
      <c r="B44" s="63"/>
      <c r="C44" s="58"/>
      <c r="D44" s="139"/>
      <c r="E44" s="19"/>
      <c r="F44" s="58"/>
      <c r="G44" s="59"/>
      <c r="H44" s="60"/>
      <c r="I44" s="60"/>
      <c r="J44" s="60"/>
      <c r="K44" s="58"/>
      <c r="L44" s="64"/>
      <c r="M44" s="58"/>
      <c r="N44" s="62"/>
    </row>
    <row r="45" spans="1:15">
      <c r="A45" s="125"/>
      <c r="B45" s="63"/>
      <c r="C45" s="58"/>
      <c r="D45" s="81"/>
      <c r="E45" s="19"/>
      <c r="F45" s="81"/>
      <c r="G45" s="58"/>
      <c r="H45" s="59"/>
      <c r="I45" s="60"/>
      <c r="J45" s="60"/>
      <c r="K45" s="60"/>
      <c r="L45" s="58"/>
      <c r="M45" s="61"/>
      <c r="N45" s="58"/>
      <c r="O45" s="62"/>
    </row>
    <row r="46" spans="1:15">
      <c r="A46" s="125"/>
      <c r="B46" s="63"/>
      <c r="C46" s="58"/>
      <c r="D46" s="78"/>
      <c r="E46" s="81"/>
      <c r="F46" s="81"/>
      <c r="G46" s="58"/>
      <c r="H46" s="59"/>
      <c r="I46" s="60"/>
      <c r="J46" s="60"/>
      <c r="K46" s="60"/>
      <c r="L46" s="58"/>
      <c r="M46" s="61"/>
      <c r="N46" s="58"/>
      <c r="O46" s="62"/>
    </row>
    <row r="47" spans="1:15">
      <c r="A47" s="125"/>
      <c r="B47" s="63"/>
      <c r="C47" s="58"/>
      <c r="D47" s="78"/>
      <c r="E47" s="81"/>
      <c r="F47" s="81"/>
      <c r="G47" s="58"/>
      <c r="H47" s="59"/>
      <c r="I47" s="60"/>
      <c r="J47" s="60"/>
      <c r="K47" s="60"/>
      <c r="L47" s="58"/>
      <c r="M47" s="61"/>
      <c r="N47" s="58"/>
      <c r="O47" s="62"/>
    </row>
    <row r="48" spans="1:15">
      <c r="C48" s="58"/>
      <c r="D48" s="90"/>
      <c r="E48" s="94"/>
      <c r="F48" s="90"/>
      <c r="G48" s="90"/>
      <c r="H48" s="91"/>
      <c r="I48" s="91"/>
      <c r="J48" s="91"/>
      <c r="K48" s="91"/>
      <c r="L48" s="92"/>
      <c r="M48" s="93"/>
      <c r="N48" s="91"/>
      <c r="O48" s="124"/>
    </row>
    <row r="49" spans="1:15">
      <c r="A49" s="58"/>
      <c r="B49" s="63"/>
      <c r="C49" s="86"/>
      <c r="D49" s="87"/>
      <c r="E49" s="95"/>
      <c r="F49" s="87"/>
      <c r="G49" s="88"/>
      <c r="H49" s="89"/>
      <c r="I49" s="89"/>
      <c r="J49" s="89"/>
      <c r="K49" s="87"/>
      <c r="L49" s="123"/>
      <c r="M49" s="87"/>
      <c r="O49" s="77"/>
    </row>
    <row r="50" spans="1:15">
      <c r="A50" s="58"/>
      <c r="B50" s="63"/>
      <c r="C50" s="58"/>
      <c r="D50" s="96"/>
      <c r="E50" s="19"/>
      <c r="F50" s="109"/>
      <c r="G50" s="59"/>
      <c r="H50" s="60"/>
      <c r="I50" s="60"/>
      <c r="J50" s="60"/>
      <c r="K50" s="58"/>
      <c r="L50" s="61"/>
      <c r="M50" s="58"/>
      <c r="O50" s="62"/>
    </row>
    <row r="51" spans="1:15">
      <c r="A51" s="58"/>
      <c r="B51" s="63"/>
      <c r="C51" s="58"/>
      <c r="D51" s="79"/>
      <c r="E51" s="19"/>
      <c r="F51" s="109"/>
      <c r="G51" s="59"/>
      <c r="H51" s="60"/>
      <c r="I51" s="60"/>
      <c r="J51" s="60"/>
      <c r="K51" s="58"/>
      <c r="L51" s="61"/>
      <c r="M51" s="58"/>
      <c r="O51" s="62"/>
    </row>
    <row r="52" spans="1:15">
      <c r="A52" s="58"/>
      <c r="B52" s="63"/>
      <c r="C52" s="58"/>
      <c r="D52" s="79"/>
      <c r="E52" s="19"/>
      <c r="F52" s="80"/>
      <c r="G52" s="58"/>
      <c r="H52" s="59"/>
      <c r="I52" s="60"/>
      <c r="J52" s="60"/>
      <c r="K52" s="60"/>
      <c r="L52" s="58"/>
      <c r="M52" s="61"/>
      <c r="N52" s="58"/>
      <c r="O52" s="62"/>
    </row>
    <row r="53" spans="1:15">
      <c r="A53" s="58"/>
      <c r="B53" s="63"/>
      <c r="C53" s="58"/>
      <c r="D53" s="78"/>
      <c r="E53" s="79"/>
      <c r="F53" s="81"/>
      <c r="G53" s="58"/>
      <c r="H53" s="59"/>
      <c r="I53" s="60"/>
      <c r="J53" s="60"/>
      <c r="K53" s="60"/>
      <c r="L53" s="58"/>
      <c r="M53" s="61"/>
      <c r="N53" s="58"/>
      <c r="O53" s="62"/>
    </row>
    <row r="54" spans="1:15">
      <c r="D54" s="90"/>
      <c r="E54" s="94"/>
      <c r="F54" s="90"/>
      <c r="G54" s="90"/>
      <c r="H54" s="91"/>
      <c r="I54" s="91"/>
      <c r="J54" s="91"/>
      <c r="K54" s="91"/>
      <c r="L54" s="92"/>
      <c r="M54" s="93"/>
      <c r="N54" s="91"/>
      <c r="O54" s="91"/>
    </row>
    <row r="55" spans="1:15">
      <c r="C55" s="58"/>
      <c r="D55" s="90"/>
      <c r="E55" s="94"/>
      <c r="F55" s="90"/>
      <c r="G55" s="90"/>
      <c r="H55" s="91"/>
      <c r="I55" s="91"/>
      <c r="J55" s="91"/>
      <c r="K55" s="91"/>
      <c r="L55" s="92"/>
      <c r="M55" s="93"/>
      <c r="N55" s="91"/>
      <c r="O55" s="124"/>
    </row>
    <row r="56" spans="1:15">
      <c r="C56" s="58"/>
      <c r="D56" s="90"/>
      <c r="E56" s="94"/>
      <c r="F56" s="90"/>
      <c r="G56" s="90"/>
      <c r="H56" s="91"/>
      <c r="I56" s="91"/>
      <c r="J56" s="91"/>
      <c r="K56" s="91"/>
      <c r="L56" s="92"/>
      <c r="M56" s="93"/>
      <c r="N56" s="91"/>
      <c r="O56" s="124"/>
    </row>
    <row r="57" spans="1:15">
      <c r="C57" s="58"/>
      <c r="D57" s="90"/>
      <c r="E57" s="94"/>
      <c r="F57" s="90"/>
      <c r="G57" s="90"/>
      <c r="H57" s="91"/>
      <c r="I57" s="91"/>
      <c r="J57" s="91"/>
      <c r="K57" s="91"/>
      <c r="L57" s="92"/>
      <c r="M57" s="93"/>
      <c r="N57" s="91"/>
      <c r="O57" s="124"/>
    </row>
    <row r="58" spans="1:15">
      <c r="C58" s="58"/>
      <c r="D58" s="90"/>
      <c r="E58" s="94"/>
      <c r="F58" s="90"/>
      <c r="G58" s="90"/>
      <c r="H58" s="91"/>
      <c r="I58" s="91"/>
      <c r="J58" s="91"/>
      <c r="K58" s="91"/>
      <c r="L58" s="92"/>
      <c r="M58" s="93"/>
      <c r="N58" s="91"/>
      <c r="O58" s="124"/>
    </row>
    <row r="59" spans="1:15">
      <c r="C59" s="58"/>
      <c r="D59" s="90"/>
      <c r="E59" s="94"/>
      <c r="F59" s="90"/>
      <c r="G59" s="90"/>
      <c r="H59" s="91"/>
      <c r="I59" s="91"/>
      <c r="J59" s="91"/>
      <c r="K59" s="91"/>
      <c r="L59" s="92"/>
      <c r="M59" s="93"/>
      <c r="N59" s="91"/>
      <c r="O59" s="124"/>
    </row>
    <row r="60" spans="1:15">
      <c r="C60" s="58"/>
      <c r="D60" s="90"/>
      <c r="E60" s="94"/>
      <c r="F60" s="90"/>
      <c r="G60" s="90"/>
      <c r="H60" s="91"/>
      <c r="I60" s="91"/>
      <c r="J60" s="91"/>
      <c r="K60" s="91"/>
      <c r="L60" s="92"/>
      <c r="M60" s="93"/>
      <c r="N60" s="91"/>
      <c r="O60" s="124"/>
    </row>
    <row r="61" spans="1:15">
      <c r="C61" s="58"/>
      <c r="D61" s="90"/>
      <c r="E61" s="94"/>
      <c r="F61" s="90"/>
      <c r="G61" s="90"/>
      <c r="H61" s="91"/>
      <c r="I61" s="91"/>
      <c r="J61" s="91"/>
      <c r="K61" s="91"/>
      <c r="L61" s="92"/>
      <c r="M61" s="93"/>
      <c r="N61" s="91"/>
      <c r="O61" s="124"/>
    </row>
    <row r="62" spans="1:15">
      <c r="C62" s="58"/>
      <c r="D62" s="90"/>
      <c r="E62" s="94"/>
      <c r="F62" s="90"/>
      <c r="G62" s="90"/>
      <c r="H62" s="91"/>
      <c r="I62" s="91"/>
      <c r="J62" s="91"/>
      <c r="K62" s="91"/>
      <c r="L62" s="92"/>
      <c r="M62" s="93"/>
      <c r="N62" s="91"/>
      <c r="O62" s="124"/>
    </row>
    <row r="63" spans="1:15">
      <c r="C63" s="58"/>
      <c r="D63" s="90"/>
      <c r="E63" s="94"/>
      <c r="F63" s="90"/>
      <c r="G63" s="90"/>
      <c r="H63" s="91"/>
      <c r="I63" s="91"/>
      <c r="J63" s="91"/>
      <c r="K63" s="91"/>
      <c r="L63" s="92"/>
      <c r="M63" s="93"/>
      <c r="N63" s="91"/>
      <c r="O63" s="124"/>
    </row>
    <row r="64" spans="1:15">
      <c r="C64" s="8"/>
      <c r="D64" s="8"/>
      <c r="E64" s="7"/>
      <c r="F64" s="6"/>
      <c r="G64" s="6"/>
      <c r="H64" s="5"/>
      <c r="I64" s="5"/>
      <c r="J64" s="5"/>
      <c r="K64" s="6"/>
      <c r="L64" s="4"/>
      <c r="M64" s="6"/>
      <c r="N64" s="2"/>
    </row>
    <row r="65" spans="3:14">
      <c r="C65" s="8"/>
      <c r="D65" s="8"/>
      <c r="E65" s="7"/>
      <c r="F65" s="6"/>
      <c r="G65" s="6"/>
      <c r="H65" s="5"/>
      <c r="I65" s="5"/>
      <c r="J65" s="5"/>
      <c r="K65" s="6"/>
      <c r="L65" s="4"/>
      <c r="M65" s="6"/>
      <c r="N65" s="2"/>
    </row>
    <row r="66" spans="3:14">
      <c r="C66" s="8"/>
      <c r="D66" s="8"/>
      <c r="E66" s="7"/>
      <c r="F66" s="6"/>
      <c r="G66" s="6"/>
      <c r="H66" s="5"/>
      <c r="I66" s="5"/>
      <c r="J66" s="5"/>
      <c r="K66" s="6"/>
      <c r="L66" s="4"/>
      <c r="M66" s="6"/>
      <c r="N66" s="2"/>
    </row>
    <row r="67" spans="3:14">
      <c r="C67" s="8"/>
      <c r="D67" s="8"/>
      <c r="E67" s="7"/>
      <c r="F67" s="6"/>
      <c r="G67" s="6"/>
      <c r="H67" s="5"/>
      <c r="I67" s="5"/>
      <c r="J67" s="5"/>
      <c r="K67" s="6"/>
      <c r="L67" s="4"/>
      <c r="M67" s="6"/>
      <c r="N67" s="2"/>
    </row>
    <row r="68" spans="3:14">
      <c r="C68" s="8"/>
      <c r="D68" s="8"/>
      <c r="E68" s="7"/>
      <c r="F68" s="6"/>
      <c r="G68" s="6"/>
      <c r="H68" s="5"/>
      <c r="I68" s="5"/>
      <c r="J68" s="5"/>
      <c r="K68" s="6"/>
      <c r="L68" s="4"/>
      <c r="M68" s="6"/>
      <c r="N68" s="2"/>
    </row>
    <row r="69" spans="3:14">
      <c r="C69" s="8"/>
      <c r="D69" s="8"/>
      <c r="E69" s="7"/>
      <c r="F69" s="6"/>
      <c r="G69" s="6"/>
      <c r="H69" s="5"/>
      <c r="I69" s="5"/>
      <c r="J69" s="5"/>
      <c r="K69" s="6"/>
      <c r="L69" s="4"/>
      <c r="M69" s="6"/>
      <c r="N69" s="2"/>
    </row>
    <row r="70" spans="3:14">
      <c r="C70" s="8"/>
      <c r="D70" s="8"/>
      <c r="E70" s="7"/>
      <c r="F70" s="6"/>
      <c r="G70" s="6"/>
      <c r="H70" s="5"/>
      <c r="I70" s="5"/>
      <c r="J70" s="5"/>
      <c r="K70" s="6"/>
      <c r="L70" s="4"/>
      <c r="M70" s="6"/>
      <c r="N70" s="2"/>
    </row>
    <row r="71" spans="3:14">
      <c r="C71" s="8"/>
      <c r="D71" s="8"/>
      <c r="E71" s="7"/>
      <c r="F71" s="6"/>
      <c r="G71" s="6"/>
      <c r="H71" s="5"/>
      <c r="I71" s="5"/>
      <c r="J71" s="5"/>
      <c r="K71" s="6"/>
      <c r="L71" s="108"/>
      <c r="M71" s="6"/>
      <c r="N71" s="2"/>
    </row>
    <row r="72" spans="3:14">
      <c r="C72" s="8"/>
      <c r="D72" s="8"/>
      <c r="E72" s="7"/>
      <c r="F72" s="6"/>
      <c r="G72" s="6"/>
      <c r="H72" s="5"/>
      <c r="I72" s="5"/>
      <c r="J72" s="5"/>
      <c r="K72" s="6"/>
      <c r="L72" s="4"/>
      <c r="M72" s="6"/>
      <c r="N72" s="2"/>
    </row>
    <row r="73" spans="3:14">
      <c r="C73" s="8"/>
      <c r="D73" s="8"/>
      <c r="E73" s="7"/>
      <c r="F73" s="6"/>
      <c r="G73" s="6"/>
      <c r="H73" s="5"/>
      <c r="I73" s="5"/>
      <c r="J73" s="5"/>
      <c r="K73" s="6"/>
      <c r="L73" s="4"/>
      <c r="M73" s="6"/>
      <c r="N73" s="2"/>
    </row>
    <row r="74" spans="3:14">
      <c r="C74" s="8"/>
      <c r="D74" s="8"/>
      <c r="E74" s="7"/>
      <c r="F74" s="6"/>
      <c r="G74" s="6"/>
      <c r="H74" s="5"/>
      <c r="I74" s="5"/>
      <c r="J74" s="5"/>
      <c r="K74" s="6"/>
      <c r="L74" s="4"/>
      <c r="M74" s="6"/>
      <c r="N74" s="2"/>
    </row>
    <row r="75" spans="3:14">
      <c r="C75" s="8"/>
      <c r="D75" s="8"/>
      <c r="E75" s="7"/>
      <c r="F75" s="6"/>
      <c r="G75" s="6"/>
      <c r="H75" s="5"/>
      <c r="I75" s="5"/>
      <c r="J75" s="5"/>
      <c r="K75" s="6"/>
      <c r="L75" s="4"/>
      <c r="M75" s="6"/>
      <c r="N75" s="2"/>
    </row>
    <row r="76" spans="3:14">
      <c r="C76" s="8"/>
      <c r="D76" s="8"/>
      <c r="E76" s="7"/>
      <c r="F76" s="6"/>
      <c r="G76" s="6"/>
      <c r="H76" s="5"/>
      <c r="I76" s="5"/>
      <c r="J76" s="5"/>
      <c r="K76" s="6"/>
      <c r="L76" s="4"/>
      <c r="M76" s="6"/>
      <c r="N76" s="2"/>
    </row>
    <row r="77" spans="3:14" ht="14.25" customHeight="1">
      <c r="C77" s="8"/>
      <c r="D77" s="8"/>
      <c r="E77" s="7"/>
      <c r="F77" s="6"/>
      <c r="G77" s="6"/>
      <c r="H77" s="5"/>
      <c r="I77" s="5"/>
      <c r="J77" s="5"/>
      <c r="K77" s="6"/>
      <c r="L77" s="4"/>
      <c r="M77" s="6"/>
      <c r="N77" s="2"/>
    </row>
    <row r="78" spans="3:14" ht="14.25" customHeight="1">
      <c r="C78" s="8"/>
      <c r="D78" s="8"/>
      <c r="E78" s="7"/>
      <c r="F78" s="6"/>
      <c r="G78" s="6"/>
      <c r="H78" s="5"/>
      <c r="I78" s="5"/>
      <c r="J78" s="5"/>
      <c r="K78" s="6"/>
      <c r="L78" s="4"/>
      <c r="M78" s="6"/>
      <c r="N78" s="2"/>
    </row>
    <row r="79" spans="3:14" ht="14.25" customHeight="1">
      <c r="C79" s="8"/>
      <c r="D79" s="8"/>
      <c r="E79" s="7"/>
      <c r="F79" s="6"/>
      <c r="G79" s="6"/>
      <c r="H79" s="5"/>
      <c r="I79" s="5"/>
      <c r="J79" s="5"/>
      <c r="K79" s="6"/>
      <c r="L79" s="4"/>
      <c r="M79" s="6"/>
      <c r="N79" s="2"/>
    </row>
    <row r="80" spans="3:14" ht="14.25" customHeight="1">
      <c r="C80" s="8"/>
      <c r="D80" s="8"/>
      <c r="E80" s="7"/>
      <c r="F80" s="6"/>
      <c r="G80" s="6"/>
      <c r="H80" s="5"/>
      <c r="I80" s="5"/>
      <c r="J80" s="5"/>
      <c r="K80" s="6"/>
      <c r="L80" s="4"/>
      <c r="M80" s="6"/>
      <c r="N80" s="2"/>
    </row>
    <row r="81" spans="3:14" ht="14.25" customHeight="1">
      <c r="C81" s="8"/>
      <c r="D81" s="8"/>
      <c r="E81" s="7"/>
      <c r="F81" s="6"/>
      <c r="G81" s="6"/>
      <c r="H81" s="5"/>
      <c r="I81" s="5"/>
      <c r="J81" s="5"/>
      <c r="K81" s="6"/>
      <c r="L81" s="4"/>
      <c r="M81" s="6"/>
      <c r="N81" s="2"/>
    </row>
    <row r="82" spans="3:14" ht="14.25" customHeight="1">
      <c r="C82" s="8"/>
      <c r="D82" s="8"/>
      <c r="E82" s="7"/>
      <c r="F82" s="6"/>
      <c r="G82" s="6"/>
      <c r="H82" s="5"/>
      <c r="I82" s="5"/>
      <c r="J82" s="5"/>
      <c r="K82" s="6"/>
      <c r="L82" s="4"/>
      <c r="M82" s="6"/>
      <c r="N82" s="2"/>
    </row>
    <row r="83" spans="3:14" ht="14.25" customHeight="1">
      <c r="C83" s="8"/>
      <c r="D83" s="8"/>
      <c r="E83" s="7"/>
      <c r="F83" s="6"/>
      <c r="G83" s="6"/>
      <c r="H83" s="5"/>
      <c r="I83" s="5"/>
      <c r="J83" s="5"/>
      <c r="K83" s="6"/>
      <c r="L83" s="4"/>
      <c r="M83" s="6"/>
      <c r="N83" s="2"/>
    </row>
    <row r="84" spans="3:14" ht="14.25" customHeight="1">
      <c r="C84" s="8"/>
      <c r="D84" s="8"/>
      <c r="E84" s="7"/>
      <c r="F84" s="6"/>
      <c r="G84" s="6"/>
      <c r="H84" s="5"/>
      <c r="I84" s="5"/>
      <c r="J84" s="5"/>
      <c r="K84" s="6"/>
      <c r="L84" s="4"/>
      <c r="M84" s="6"/>
      <c r="N84" s="2"/>
    </row>
    <row r="85" spans="3:14" ht="14.25" customHeight="1">
      <c r="C85" s="8"/>
      <c r="D85" s="8"/>
      <c r="E85" s="7"/>
      <c r="F85" s="6"/>
      <c r="G85" s="6"/>
      <c r="H85" s="5"/>
      <c r="I85" s="5"/>
      <c r="J85" s="5"/>
      <c r="K85" s="6"/>
      <c r="L85" s="4"/>
      <c r="M85" s="6"/>
      <c r="N85" s="2"/>
    </row>
    <row r="86" spans="3:14" ht="14.25" customHeight="1">
      <c r="C86" s="8"/>
      <c r="D86" s="8"/>
      <c r="E86" s="7"/>
      <c r="F86" s="6"/>
      <c r="G86" s="6"/>
      <c r="H86" s="5"/>
      <c r="I86" s="5"/>
      <c r="J86" s="5"/>
      <c r="K86" s="6"/>
      <c r="L86" s="4"/>
      <c r="M86" s="6"/>
      <c r="N86" s="2"/>
    </row>
    <row r="87" spans="3:14" ht="14.25" customHeight="1">
      <c r="C87" s="8"/>
      <c r="D87" s="8"/>
      <c r="E87" s="7"/>
      <c r="F87" s="6"/>
      <c r="G87" s="6"/>
      <c r="H87" s="5"/>
      <c r="I87" s="5"/>
      <c r="J87" s="5"/>
      <c r="K87" s="6"/>
      <c r="L87" s="4"/>
      <c r="M87" s="6"/>
      <c r="N87" s="2"/>
    </row>
    <row r="88" spans="3:14" ht="14.25" customHeight="1">
      <c r="C88" s="8"/>
      <c r="D88" s="8"/>
      <c r="E88" s="7"/>
      <c r="F88" s="6"/>
      <c r="G88" s="6"/>
      <c r="H88" s="5"/>
      <c r="I88" s="5"/>
      <c r="J88" s="5"/>
      <c r="K88" s="6"/>
      <c r="L88" s="4"/>
      <c r="M88" s="6"/>
      <c r="N88" s="2"/>
    </row>
    <row r="89" spans="3:14" ht="14.25" customHeight="1">
      <c r="C89" s="8"/>
      <c r="D89" s="8"/>
      <c r="E89" s="7"/>
      <c r="F89" s="6"/>
      <c r="G89" s="6"/>
      <c r="H89" s="5"/>
      <c r="I89" s="5"/>
      <c r="J89" s="5"/>
      <c r="K89" s="6"/>
      <c r="L89" s="4"/>
      <c r="M89" s="6"/>
      <c r="N89" s="2"/>
    </row>
    <row r="90" spans="3:14" ht="14.25" customHeight="1">
      <c r="C90" s="8"/>
      <c r="D90" s="8"/>
      <c r="E90" s="7"/>
      <c r="F90" s="6"/>
      <c r="G90" s="6"/>
      <c r="H90" s="5"/>
      <c r="I90" s="5"/>
      <c r="J90" s="5"/>
      <c r="K90" s="6"/>
      <c r="L90" s="4"/>
      <c r="M90" s="6"/>
      <c r="N90" s="2"/>
    </row>
    <row r="91" spans="3:14" ht="14.25" customHeight="1">
      <c r="C91" s="8"/>
      <c r="D91" s="8"/>
      <c r="E91" s="7"/>
      <c r="F91" s="6"/>
      <c r="G91" s="6"/>
      <c r="H91" s="5"/>
      <c r="I91" s="5"/>
      <c r="J91" s="5"/>
      <c r="K91" s="6"/>
      <c r="L91" s="4"/>
      <c r="M91" s="6"/>
      <c r="N91" s="2"/>
    </row>
    <row r="92" spans="3:14" ht="14.25" customHeight="1">
      <c r="C92" s="8"/>
      <c r="D92" s="8"/>
      <c r="E92" s="7"/>
      <c r="F92" s="6"/>
      <c r="G92" s="6"/>
      <c r="H92" s="5"/>
      <c r="I92" s="5"/>
      <c r="J92" s="5"/>
      <c r="K92" s="6"/>
      <c r="L92" s="4"/>
      <c r="M92" s="3"/>
      <c r="N92" s="2"/>
    </row>
    <row r="93" spans="3:14" ht="14.25" customHeight="1">
      <c r="C93" s="8"/>
      <c r="D93" s="8"/>
      <c r="E93" s="7"/>
      <c r="F93" s="6"/>
      <c r="G93" s="5"/>
      <c r="H93" s="5"/>
      <c r="I93" s="5"/>
      <c r="J93" s="5"/>
      <c r="K93" s="4"/>
      <c r="L93" s="4"/>
      <c r="M93" s="3"/>
      <c r="N93" s="2"/>
    </row>
    <row r="94" spans="3:14" ht="14.25" customHeight="1">
      <c r="C94" s="19"/>
      <c r="D94" s="19"/>
      <c r="E94" s="19"/>
      <c r="F94" s="19"/>
      <c r="G94" s="19"/>
      <c r="H94" s="19"/>
      <c r="I94" s="19"/>
      <c r="J94" s="19"/>
      <c r="K94" s="19"/>
      <c r="L94" s="19"/>
      <c r="M94" s="19"/>
      <c r="N94" s="19"/>
    </row>
    <row r="95" spans="3:14" ht="14.25" customHeight="1">
      <c r="C95" s="31"/>
      <c r="D95" s="27"/>
      <c r="E95" s="20"/>
      <c r="F95" s="28"/>
      <c r="G95" s="28"/>
      <c r="H95" s="26"/>
      <c r="I95" s="26"/>
      <c r="J95" s="26"/>
      <c r="K95" s="28"/>
      <c r="L95" s="29"/>
      <c r="M95" s="28"/>
      <c r="N95" s="27"/>
    </row>
    <row r="96" spans="3:14" s="1" customFormat="1" ht="14.25" customHeight="1">
      <c r="C96" s="31"/>
      <c r="D96" s="27"/>
      <c r="E96" s="21"/>
      <c r="F96" s="28"/>
      <c r="G96" s="28"/>
      <c r="H96" s="26"/>
      <c r="I96" s="26"/>
      <c r="J96" s="26"/>
      <c r="K96" s="28"/>
      <c r="L96" s="29"/>
      <c r="M96" s="28"/>
      <c r="N96" s="27"/>
    </row>
    <row r="97" spans="3:14" s="1" customFormat="1" ht="14.25" customHeight="1">
      <c r="C97" s="30"/>
      <c r="D97" s="25"/>
      <c r="E97" s="21"/>
      <c r="F97" s="22"/>
      <c r="G97" s="22"/>
      <c r="H97" s="23"/>
      <c r="I97" s="23"/>
      <c r="J97" s="23"/>
      <c r="K97" s="22"/>
      <c r="L97" s="24"/>
      <c r="M97" s="22"/>
      <c r="N97" s="25"/>
    </row>
    <row r="98" spans="3:14">
      <c r="L98" s="214">
        <f>SUM(L6:L97)</f>
        <v>37500</v>
      </c>
    </row>
  </sheetData>
  <mergeCells count="7">
    <mergeCell ref="C17:C22"/>
    <mergeCell ref="N17:N22"/>
    <mergeCell ref="C2:G2"/>
    <mergeCell ref="H2:J2"/>
    <mergeCell ref="K2:L2"/>
    <mergeCell ref="M2:M3"/>
    <mergeCell ref="N2:N3"/>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D0F7-1996-4D8A-B3F2-2074EA03D4F3}">
  <sheetPr>
    <tabColor rgb="FFFFC000"/>
  </sheetPr>
  <dimension ref="A2:O98"/>
  <sheetViews>
    <sheetView topLeftCell="F1" zoomScale="130" zoomScaleNormal="130" workbookViewId="0">
      <pane ySplit="4" topLeftCell="A14" activePane="bottomLeft" state="frozen"/>
      <selection pane="bottomLeft" activeCell="L17" sqref="L17"/>
    </sheetView>
  </sheetViews>
  <sheetFormatPr defaultRowHeight="15"/>
  <cols>
    <col min="1" max="1" width="10.140625" bestFit="1" customWidth="1"/>
    <col min="3" max="3" width="21.42578125" customWidth="1"/>
    <col min="4" max="4" width="20.5703125" customWidth="1"/>
    <col min="5" max="5" width="26" customWidth="1"/>
    <col min="6" max="6" width="16.7109375" customWidth="1"/>
    <col min="7" max="7" width="11.7109375" customWidth="1"/>
    <col min="8" max="8" width="13.7109375" customWidth="1"/>
    <col min="9" max="9" width="14.28515625" bestFit="1" customWidth="1"/>
    <col min="10" max="10" width="12.5703125" customWidth="1"/>
    <col min="11" max="11" width="18.5703125" customWidth="1"/>
    <col min="12" max="12" width="15.5703125" customWidth="1"/>
    <col min="13" max="13" width="16.28515625" customWidth="1"/>
    <col min="14" max="14" width="12.85546875" customWidth="1"/>
  </cols>
  <sheetData>
    <row r="2" spans="1:15">
      <c r="C2" s="2627" t="s">
        <v>30</v>
      </c>
      <c r="D2" s="2627"/>
      <c r="E2" s="2627"/>
      <c r="F2" s="2627"/>
      <c r="G2" s="2627"/>
      <c r="H2" s="2628" t="s">
        <v>29</v>
      </c>
      <c r="I2" s="2628"/>
      <c r="J2" s="2628"/>
      <c r="K2" s="2627" t="s">
        <v>28</v>
      </c>
      <c r="L2" s="2627"/>
      <c r="M2" s="2628" t="s">
        <v>27</v>
      </c>
      <c r="N2" s="2628" t="s">
        <v>26</v>
      </c>
    </row>
    <row r="3" spans="1:15" ht="72">
      <c r="C3" s="10" t="s">
        <v>25</v>
      </c>
      <c r="D3" s="13" t="s">
        <v>24</v>
      </c>
      <c r="E3" s="12" t="s">
        <v>23</v>
      </c>
      <c r="F3" s="10" t="s">
        <v>22</v>
      </c>
      <c r="G3" s="11" t="s">
        <v>21</v>
      </c>
      <c r="H3" s="11" t="s">
        <v>20</v>
      </c>
      <c r="I3" s="11" t="s">
        <v>19</v>
      </c>
      <c r="J3" s="11" t="s">
        <v>18</v>
      </c>
      <c r="K3" s="10" t="s">
        <v>17</v>
      </c>
      <c r="L3" s="10" t="s">
        <v>16</v>
      </c>
      <c r="M3" s="2628"/>
      <c r="N3" s="2628"/>
    </row>
    <row r="4" spans="1:15">
      <c r="C4" s="9" t="s">
        <v>15</v>
      </c>
      <c r="D4" s="9" t="s">
        <v>14</v>
      </c>
      <c r="E4" s="9" t="s">
        <v>13</v>
      </c>
      <c r="F4" s="9" t="s">
        <v>12</v>
      </c>
      <c r="G4" s="9" t="s">
        <v>11</v>
      </c>
      <c r="H4" s="9" t="s">
        <v>10</v>
      </c>
      <c r="I4" s="9" t="s">
        <v>9</v>
      </c>
      <c r="J4" s="9" t="s">
        <v>8</v>
      </c>
      <c r="K4" s="9" t="s">
        <v>7</v>
      </c>
      <c r="L4" s="9" t="s">
        <v>6</v>
      </c>
      <c r="M4" s="9" t="s">
        <v>5</v>
      </c>
      <c r="N4" s="9" t="s">
        <v>4</v>
      </c>
    </row>
    <row r="5" spans="1:15" s="455" customFormat="1" ht="25.15" customHeight="1">
      <c r="A5" s="151" t="s">
        <v>649</v>
      </c>
      <c r="B5" s="40" t="s">
        <v>650</v>
      </c>
      <c r="C5" s="959" t="s">
        <v>699</v>
      </c>
      <c r="D5" s="309" t="s">
        <v>658</v>
      </c>
      <c r="E5" s="501"/>
      <c r="F5" s="662" t="s">
        <v>422</v>
      </c>
      <c r="G5" s="497" t="s">
        <v>1</v>
      </c>
      <c r="H5" s="498" t="s">
        <v>652</v>
      </c>
      <c r="I5" s="498" t="s">
        <v>653</v>
      </c>
      <c r="J5" s="498" t="s">
        <v>653</v>
      </c>
      <c r="K5" s="499" t="s">
        <v>676</v>
      </c>
      <c r="L5" s="538">
        <v>100000</v>
      </c>
      <c r="M5" s="392"/>
      <c r="N5" s="502"/>
    </row>
    <row r="6" spans="1:15" s="455" customFormat="1" ht="14.25" customHeight="1">
      <c r="A6" s="301"/>
      <c r="B6" s="302"/>
      <c r="C6" s="393"/>
      <c r="D6" s="393"/>
      <c r="E6" s="393"/>
      <c r="F6" s="396"/>
      <c r="G6" s="397"/>
      <c r="H6" s="397"/>
      <c r="I6" s="487"/>
      <c r="J6" s="395"/>
      <c r="K6" s="399"/>
      <c r="L6" s="393"/>
      <c r="M6" s="393"/>
      <c r="N6" s="458"/>
    </row>
    <row r="7" spans="1:15" s="355" customFormat="1" ht="14.25" customHeight="1">
      <c r="A7" s="301" t="s">
        <v>1086</v>
      </c>
      <c r="B7" s="302" t="s">
        <v>1087</v>
      </c>
      <c r="C7" s="532" t="s">
        <v>1101</v>
      </c>
      <c r="D7" s="962" t="s">
        <v>1102</v>
      </c>
      <c r="E7" s="960"/>
      <c r="F7" s="740"/>
      <c r="G7" s="740"/>
      <c r="H7" s="740"/>
      <c r="I7" s="961"/>
      <c r="J7" s="963"/>
      <c r="K7" s="613"/>
      <c r="L7" s="610"/>
      <c r="M7" s="531"/>
      <c r="N7" s="393"/>
      <c r="O7" s="348"/>
    </row>
    <row r="8" spans="1:15" s="355" customFormat="1" ht="27">
      <c r="A8" s="301" t="s">
        <v>1086</v>
      </c>
      <c r="B8" s="302" t="s">
        <v>1087</v>
      </c>
      <c r="C8" s="531"/>
      <c r="D8" s="734" t="s">
        <v>1103</v>
      </c>
      <c r="F8" s="610" t="s">
        <v>422</v>
      </c>
      <c r="G8" s="611" t="s">
        <v>1084</v>
      </c>
      <c r="H8" s="611">
        <v>46205</v>
      </c>
      <c r="I8" s="612">
        <v>46376</v>
      </c>
      <c r="J8" s="613" t="s">
        <v>1090</v>
      </c>
      <c r="K8" s="613" t="s">
        <v>98</v>
      </c>
      <c r="L8" s="735">
        <v>8000</v>
      </c>
      <c r="M8" s="610" t="s">
        <v>99</v>
      </c>
      <c r="N8" s="393"/>
      <c r="O8" s="348"/>
    </row>
    <row r="9" spans="1:15" s="355" customFormat="1" ht="14.25" customHeight="1">
      <c r="A9" s="301"/>
      <c r="B9" s="302"/>
      <c r="C9" s="393"/>
      <c r="D9" s="393"/>
      <c r="E9" s="393"/>
      <c r="F9" s="395"/>
      <c r="G9" s="393"/>
      <c r="H9" s="393"/>
      <c r="I9" s="393"/>
      <c r="J9" s="393"/>
      <c r="K9" s="393"/>
      <c r="L9" s="399"/>
      <c r="M9" s="395"/>
      <c r="N9" s="393"/>
      <c r="O9" s="348"/>
    </row>
    <row r="10" spans="1:15" s="355" customFormat="1" ht="14.25" customHeight="1">
      <c r="A10" s="301"/>
      <c r="B10" s="302"/>
      <c r="C10" s="393"/>
      <c r="D10" s="393"/>
      <c r="E10" s="393"/>
      <c r="F10" s="395"/>
      <c r="G10" s="393"/>
      <c r="H10" s="393"/>
      <c r="I10" s="393"/>
      <c r="J10" s="393"/>
      <c r="K10" s="393"/>
      <c r="L10" s="399"/>
      <c r="M10" s="395"/>
      <c r="N10" s="393"/>
      <c r="O10" s="352"/>
    </row>
    <row r="11" spans="1:15" s="355" customFormat="1" ht="14.25" customHeight="1">
      <c r="A11" s="301"/>
      <c r="B11" s="302"/>
      <c r="C11" s="393"/>
      <c r="D11" s="393"/>
      <c r="E11" s="393"/>
      <c r="F11" s="393"/>
      <c r="G11" s="393"/>
      <c r="H11" s="393"/>
      <c r="I11" s="393"/>
      <c r="J11" s="393"/>
      <c r="K11" s="393"/>
      <c r="L11" s="399"/>
      <c r="M11" s="393"/>
      <c r="N11" s="393"/>
    </row>
    <row r="12" spans="1:15" s="355" customFormat="1" ht="14.25" customHeight="1">
      <c r="A12" s="301"/>
      <c r="B12" s="302"/>
      <c r="C12" s="393"/>
      <c r="D12" s="393"/>
      <c r="E12" s="393"/>
      <c r="F12" s="393"/>
      <c r="G12" s="393"/>
      <c r="H12" s="393"/>
      <c r="I12" s="393"/>
      <c r="J12" s="393"/>
      <c r="K12" s="393"/>
      <c r="L12" s="399"/>
      <c r="M12" s="393"/>
      <c r="N12" s="393"/>
    </row>
    <row r="13" spans="1:15" s="355" customFormat="1" ht="14.25" customHeight="1">
      <c r="A13" s="301"/>
      <c r="B13" s="302"/>
      <c r="C13" s="393"/>
      <c r="D13" s="393"/>
      <c r="E13" s="393"/>
      <c r="F13" s="393"/>
      <c r="G13" s="393"/>
      <c r="H13" s="393"/>
      <c r="I13" s="393"/>
      <c r="J13" s="393"/>
      <c r="K13" s="393"/>
      <c r="L13" s="399"/>
      <c r="M13" s="393"/>
      <c r="N13" s="393"/>
    </row>
    <row r="14" spans="1:15" s="355" customFormat="1" ht="14.25" customHeight="1">
      <c r="A14" s="513"/>
      <c r="B14" s="342"/>
      <c r="C14" s="513"/>
      <c r="D14" s="324"/>
      <c r="E14" s="872"/>
      <c r="F14" s="513"/>
      <c r="G14" s="514"/>
      <c r="H14" s="515"/>
      <c r="I14" s="515"/>
      <c r="J14" s="515"/>
      <c r="K14" s="513"/>
      <c r="L14" s="516"/>
      <c r="M14" s="513"/>
      <c r="N14" s="329"/>
    </row>
    <row r="15" spans="1:15" s="355" customFormat="1" ht="14.25" customHeight="1">
      <c r="A15" s="513"/>
      <c r="B15" s="342"/>
      <c r="C15" s="513"/>
      <c r="D15" s="330"/>
      <c r="E15" s="873"/>
      <c r="F15" s="873"/>
      <c r="G15" s="513"/>
      <c r="H15" s="514"/>
      <c r="I15" s="515"/>
      <c r="J15" s="515"/>
      <c r="K15" s="515"/>
      <c r="L15" s="864"/>
      <c r="M15" s="517"/>
      <c r="N15" s="513"/>
      <c r="O15" s="329"/>
    </row>
    <row r="16" spans="1:15" s="355" customFormat="1" ht="14.25" customHeight="1">
      <c r="A16" s="513"/>
      <c r="B16" s="342"/>
      <c r="C16" s="352"/>
      <c r="D16" s="330"/>
      <c r="E16" s="873"/>
      <c r="F16" s="873"/>
      <c r="G16" s="513"/>
      <c r="H16" s="514"/>
      <c r="I16" s="515"/>
      <c r="J16" s="515"/>
      <c r="K16" s="515"/>
      <c r="L16" s="864"/>
      <c r="M16" s="517"/>
      <c r="N16" s="513"/>
      <c r="O16" s="329"/>
    </row>
    <row r="17" spans="1:15" s="355" customFormat="1" ht="27" customHeight="1">
      <c r="A17" s="151"/>
      <c r="B17" s="40"/>
      <c r="C17" s="2653"/>
      <c r="D17" s="309"/>
      <c r="E17" s="954"/>
      <c r="F17" s="308"/>
      <c r="G17" s="867"/>
      <c r="H17" s="602"/>
      <c r="I17" s="602"/>
      <c r="J17" s="602"/>
      <c r="K17" s="866"/>
      <c r="L17" s="2432">
        <f>SUM(L5:L16)</f>
        <v>108000</v>
      </c>
      <c r="M17" s="949"/>
      <c r="N17" s="2653"/>
    </row>
    <row r="18" spans="1:15" s="355" customFormat="1" ht="14.25" customHeight="1">
      <c r="A18" s="513"/>
      <c r="B18" s="342"/>
      <c r="C18" s="2654"/>
      <c r="D18" s="953"/>
      <c r="E18" s="956"/>
      <c r="F18" s="304"/>
      <c r="G18" s="957"/>
      <c r="H18" s="950"/>
      <c r="I18" s="950"/>
      <c r="J18" s="950"/>
      <c r="K18" s="951"/>
      <c r="L18" s="958"/>
      <c r="M18" s="952"/>
      <c r="N18" s="2654"/>
    </row>
    <row r="19" spans="1:15" ht="14.25" customHeight="1">
      <c r="A19" s="197"/>
      <c r="B19" s="63"/>
      <c r="C19" s="2654"/>
      <c r="D19" s="221"/>
      <c r="E19" s="227"/>
      <c r="F19" s="222"/>
      <c r="G19" s="233"/>
      <c r="H19" s="234"/>
      <c r="I19" s="234"/>
      <c r="J19" s="234"/>
      <c r="K19" s="220"/>
      <c r="L19" s="235"/>
      <c r="M19" s="236"/>
      <c r="N19" s="2654"/>
    </row>
    <row r="20" spans="1:15" ht="14.25" customHeight="1">
      <c r="A20" s="125"/>
      <c r="B20" s="63"/>
      <c r="C20" s="2654"/>
      <c r="D20" s="223"/>
      <c r="E20" s="227"/>
      <c r="F20" s="222"/>
      <c r="G20" s="233"/>
      <c r="H20" s="234"/>
      <c r="I20" s="234"/>
      <c r="J20" s="234"/>
      <c r="K20" s="220"/>
      <c r="L20" s="235"/>
      <c r="M20" s="236"/>
      <c r="N20" s="2654"/>
    </row>
    <row r="21" spans="1:15" ht="14.25" customHeight="1">
      <c r="A21" s="125"/>
      <c r="B21" s="63"/>
      <c r="C21" s="2654"/>
      <c r="D21" s="224"/>
      <c r="E21" s="227"/>
      <c r="F21" s="222"/>
      <c r="G21" s="233"/>
      <c r="H21" s="234"/>
      <c r="I21" s="234"/>
      <c r="J21" s="234"/>
      <c r="K21" s="220"/>
      <c r="L21" s="235"/>
      <c r="M21" s="236"/>
      <c r="N21" s="2654"/>
    </row>
    <row r="22" spans="1:15" ht="14.25" customHeight="1">
      <c r="A22" s="125"/>
      <c r="B22" s="63"/>
      <c r="C22" s="2655"/>
      <c r="D22" s="223"/>
      <c r="E22" s="228"/>
      <c r="F22" s="222"/>
      <c r="G22" s="237"/>
      <c r="H22" s="238"/>
      <c r="I22" s="238"/>
      <c r="J22" s="238"/>
      <c r="K22" s="225"/>
      <c r="L22" s="239"/>
      <c r="M22" s="240"/>
      <c r="N22" s="2655"/>
    </row>
    <row r="23" spans="1:15" ht="14.25" customHeight="1">
      <c r="A23" s="125"/>
      <c r="B23" s="63"/>
      <c r="C23" s="58"/>
      <c r="D23" s="90"/>
      <c r="E23" s="94"/>
      <c r="F23" s="90"/>
      <c r="G23" s="90"/>
      <c r="H23" s="91"/>
      <c r="I23" s="91"/>
      <c r="J23" s="91"/>
      <c r="K23" s="91"/>
      <c r="L23" s="101"/>
      <c r="M23" s="93"/>
      <c r="N23" s="91"/>
      <c r="O23" s="124"/>
    </row>
    <row r="24" spans="1:15" ht="22.5" customHeight="1">
      <c r="A24" s="125"/>
      <c r="B24" s="63"/>
      <c r="C24" s="86"/>
      <c r="D24" s="87"/>
      <c r="E24" s="95"/>
      <c r="F24" s="87"/>
      <c r="G24" s="88"/>
      <c r="H24" s="89"/>
      <c r="I24" s="89"/>
      <c r="J24" s="89"/>
      <c r="K24" s="87"/>
      <c r="L24" s="98"/>
      <c r="M24" s="87"/>
      <c r="N24" s="19"/>
      <c r="O24" s="77"/>
    </row>
    <row r="25" spans="1:15" ht="14.25" customHeight="1">
      <c r="A25" s="125"/>
      <c r="B25" s="63"/>
      <c r="C25" s="58"/>
      <c r="D25" s="96"/>
      <c r="E25" s="97"/>
      <c r="F25" s="58"/>
      <c r="G25" s="59"/>
      <c r="H25" s="60"/>
      <c r="I25" s="60"/>
      <c r="J25" s="60"/>
      <c r="K25" s="58"/>
      <c r="L25" s="64"/>
      <c r="M25" s="58"/>
      <c r="N25" s="19"/>
      <c r="O25" s="62"/>
    </row>
    <row r="26" spans="1:15" ht="14.25" customHeight="1">
      <c r="A26" s="125"/>
      <c r="B26" s="63"/>
      <c r="C26" s="58"/>
      <c r="D26" s="79"/>
      <c r="E26" s="81"/>
      <c r="F26" s="58"/>
      <c r="G26" s="59"/>
      <c r="H26" s="60"/>
      <c r="I26" s="60"/>
      <c r="J26" s="60"/>
      <c r="K26" s="58"/>
      <c r="L26" s="64"/>
      <c r="M26" s="58"/>
      <c r="N26" s="19"/>
      <c r="O26" s="62"/>
    </row>
    <row r="27" spans="1:15">
      <c r="A27" s="125"/>
      <c r="B27" s="63"/>
      <c r="C27" s="58"/>
      <c r="D27" s="79"/>
      <c r="E27" s="81"/>
      <c r="F27" s="58"/>
      <c r="G27" s="59"/>
      <c r="H27" s="60"/>
      <c r="I27" s="60"/>
      <c r="J27" s="60"/>
      <c r="K27" s="58"/>
      <c r="L27" s="64"/>
      <c r="M27" s="58"/>
      <c r="N27" s="19"/>
      <c r="O27" s="62"/>
    </row>
    <row r="28" spans="1:15">
      <c r="A28" s="125"/>
      <c r="B28" s="63"/>
      <c r="C28" s="58"/>
      <c r="D28" s="78"/>
      <c r="E28" s="79"/>
      <c r="F28" s="58"/>
      <c r="G28" s="59"/>
      <c r="H28" s="60"/>
      <c r="I28" s="60"/>
      <c r="J28" s="60"/>
      <c r="K28" s="58"/>
      <c r="L28" s="64"/>
      <c r="M28" s="58"/>
      <c r="N28" s="19"/>
      <c r="O28" s="62"/>
    </row>
    <row r="29" spans="1:15">
      <c r="C29" s="58"/>
      <c r="D29" s="90"/>
      <c r="E29" s="94"/>
      <c r="F29" s="90"/>
      <c r="G29" s="91"/>
      <c r="H29" s="91"/>
      <c r="I29" s="91"/>
      <c r="J29" s="91"/>
      <c r="K29" s="92"/>
      <c r="L29" s="101"/>
      <c r="M29" s="91"/>
      <c r="N29" s="19"/>
      <c r="O29" s="91"/>
    </row>
    <row r="30" spans="1:15">
      <c r="A30" s="125"/>
      <c r="B30" s="63"/>
      <c r="C30" s="86"/>
      <c r="D30" s="87"/>
      <c r="E30" s="95"/>
      <c r="F30" s="87"/>
      <c r="G30" s="88"/>
      <c r="H30" s="89"/>
      <c r="I30" s="89"/>
      <c r="J30" s="89"/>
      <c r="K30" s="87"/>
      <c r="L30" s="98"/>
      <c r="M30" s="87"/>
      <c r="N30" s="19"/>
      <c r="O30" s="77"/>
    </row>
    <row r="31" spans="1:15">
      <c r="A31" s="125"/>
      <c r="B31" s="63"/>
      <c r="C31" s="58"/>
      <c r="D31" s="96"/>
      <c r="E31" s="96"/>
      <c r="F31" s="58"/>
      <c r="G31" s="59"/>
      <c r="H31" s="60"/>
      <c r="I31" s="60"/>
      <c r="J31" s="60"/>
      <c r="K31" s="58"/>
      <c r="L31" s="64"/>
      <c r="M31" s="58"/>
      <c r="N31" s="19"/>
      <c r="O31" s="62"/>
    </row>
    <row r="32" spans="1:15">
      <c r="A32" s="125"/>
      <c r="B32" s="63"/>
      <c r="C32" s="58"/>
      <c r="D32" s="78"/>
      <c r="E32" s="79"/>
      <c r="F32" s="80"/>
      <c r="G32" s="58"/>
      <c r="H32" s="59"/>
      <c r="I32" s="60"/>
      <c r="J32" s="60"/>
      <c r="K32" s="60"/>
      <c r="L32" s="100"/>
      <c r="M32" s="61"/>
      <c r="N32" s="58"/>
      <c r="O32" s="62"/>
    </row>
    <row r="33" spans="1:15">
      <c r="A33" s="125"/>
      <c r="B33" s="63"/>
      <c r="C33" s="58"/>
      <c r="D33" s="78"/>
      <c r="E33" s="79"/>
      <c r="F33" s="80"/>
      <c r="G33" s="58"/>
      <c r="H33" s="59"/>
      <c r="I33" s="60"/>
      <c r="J33" s="60"/>
      <c r="K33" s="60"/>
      <c r="L33" s="100"/>
      <c r="M33" s="61"/>
      <c r="N33" s="58"/>
      <c r="O33" s="62"/>
    </row>
    <row r="34" spans="1:15">
      <c r="A34" s="125"/>
      <c r="B34" s="63"/>
      <c r="C34" s="58"/>
      <c r="D34" s="78"/>
      <c r="E34" s="79"/>
      <c r="F34" s="80"/>
      <c r="G34" s="58"/>
      <c r="H34" s="59"/>
      <c r="I34" s="60"/>
      <c r="J34" s="60"/>
      <c r="K34" s="60"/>
      <c r="L34" s="100"/>
      <c r="M34" s="61"/>
      <c r="N34" s="58"/>
      <c r="O34" s="62"/>
    </row>
    <row r="35" spans="1:15">
      <c r="A35" s="125"/>
      <c r="B35" s="63"/>
      <c r="C35" s="58"/>
      <c r="D35" s="90"/>
      <c r="E35" s="94"/>
      <c r="F35" s="90"/>
      <c r="G35" s="90"/>
      <c r="H35" s="91"/>
      <c r="I35" s="91"/>
      <c r="J35" s="91"/>
      <c r="K35" s="91"/>
      <c r="L35" s="101"/>
      <c r="M35" s="93"/>
      <c r="N35" s="91"/>
      <c r="O35" s="124"/>
    </row>
    <row r="36" spans="1:15">
      <c r="A36" s="125"/>
      <c r="B36" s="63"/>
      <c r="C36" s="86"/>
      <c r="D36" s="87"/>
      <c r="E36" s="95"/>
      <c r="F36" s="87"/>
      <c r="G36" s="88"/>
      <c r="H36" s="89"/>
      <c r="I36" s="89"/>
      <c r="J36" s="89"/>
      <c r="K36" s="87"/>
      <c r="L36" s="98"/>
      <c r="M36" s="87"/>
      <c r="N36" s="19"/>
      <c r="O36" s="77"/>
    </row>
    <row r="37" spans="1:15">
      <c r="A37" s="125"/>
      <c r="B37" s="63"/>
      <c r="C37" s="58"/>
      <c r="D37" s="138"/>
      <c r="E37" s="96"/>
      <c r="F37" s="58"/>
      <c r="G37" s="59"/>
      <c r="H37" s="60"/>
      <c r="I37" s="60"/>
      <c r="J37" s="60"/>
      <c r="K37" s="58"/>
      <c r="L37" s="64"/>
      <c r="M37" s="58"/>
      <c r="N37" s="19"/>
      <c r="O37" s="62"/>
    </row>
    <row r="38" spans="1:15">
      <c r="A38" s="125"/>
      <c r="B38" s="63"/>
      <c r="C38" s="58"/>
      <c r="D38" s="79"/>
      <c r="E38" s="79"/>
      <c r="F38" s="58"/>
      <c r="G38" s="59"/>
      <c r="H38" s="60"/>
      <c r="I38" s="60"/>
      <c r="J38" s="60"/>
      <c r="K38" s="58"/>
      <c r="L38" s="64"/>
      <c r="M38" s="58"/>
      <c r="N38" s="19"/>
      <c r="O38" s="62"/>
    </row>
    <row r="39" spans="1:15">
      <c r="A39" s="125"/>
      <c r="B39" s="63"/>
      <c r="C39" s="58"/>
      <c r="D39" s="78"/>
      <c r="E39" s="79"/>
      <c r="F39" s="80"/>
      <c r="G39" s="58"/>
      <c r="H39" s="59"/>
      <c r="I39" s="60"/>
      <c r="J39" s="60"/>
      <c r="K39" s="60"/>
      <c r="L39" s="100"/>
      <c r="M39" s="61"/>
      <c r="N39" s="58"/>
      <c r="O39" s="62"/>
    </row>
    <row r="40" spans="1:15">
      <c r="A40" s="125"/>
      <c r="B40" s="63"/>
      <c r="C40" s="58"/>
      <c r="D40" s="78"/>
      <c r="E40" s="79"/>
      <c r="F40" s="80"/>
      <c r="G40" s="58"/>
      <c r="H40" s="59"/>
      <c r="I40" s="60"/>
      <c r="J40" s="60"/>
      <c r="K40" s="60"/>
      <c r="L40" s="100"/>
      <c r="M40" s="61"/>
      <c r="N40" s="58"/>
      <c r="O40" s="62"/>
    </row>
    <row r="41" spans="1:15">
      <c r="C41" s="58"/>
      <c r="D41" s="90"/>
      <c r="E41" s="94"/>
      <c r="F41" s="90"/>
      <c r="G41" s="90"/>
      <c r="H41" s="91"/>
      <c r="I41" s="91"/>
      <c r="J41" s="91"/>
      <c r="K41" s="91"/>
      <c r="L41" s="101"/>
      <c r="M41" s="93"/>
      <c r="N41" s="91"/>
      <c r="O41" s="124"/>
    </row>
    <row r="42" spans="1:15">
      <c r="C42" s="58"/>
      <c r="D42" s="90"/>
      <c r="E42" s="94"/>
      <c r="F42" s="90"/>
      <c r="G42" s="90"/>
      <c r="H42" s="91"/>
      <c r="I42" s="91"/>
      <c r="J42" s="91"/>
      <c r="K42" s="91"/>
      <c r="L42" s="101"/>
      <c r="M42" s="93"/>
      <c r="N42" s="91"/>
      <c r="O42" s="124"/>
    </row>
    <row r="43" spans="1:15">
      <c r="A43" s="125"/>
      <c r="B43" s="63"/>
      <c r="C43" s="86"/>
      <c r="D43" s="87"/>
      <c r="E43" s="86"/>
      <c r="F43" s="87"/>
      <c r="G43" s="88"/>
      <c r="H43" s="89"/>
      <c r="I43" s="89"/>
      <c r="J43" s="89"/>
      <c r="K43" s="87"/>
      <c r="L43" s="98"/>
      <c r="M43" s="87"/>
      <c r="N43" s="77"/>
    </row>
    <row r="44" spans="1:15">
      <c r="A44" s="125"/>
      <c r="B44" s="63"/>
      <c r="C44" s="58"/>
      <c r="D44" s="139"/>
      <c r="E44" s="19"/>
      <c r="F44" s="58"/>
      <c r="G44" s="59"/>
      <c r="H44" s="60"/>
      <c r="I44" s="60"/>
      <c r="J44" s="60"/>
      <c r="K44" s="58"/>
      <c r="L44" s="64"/>
      <c r="M44" s="58"/>
      <c r="N44" s="62"/>
    </row>
    <row r="45" spans="1:15">
      <c r="A45" s="125"/>
      <c r="B45" s="63"/>
      <c r="C45" s="58"/>
      <c r="D45" s="81"/>
      <c r="E45" s="19"/>
      <c r="F45" s="81"/>
      <c r="G45" s="58"/>
      <c r="H45" s="59"/>
      <c r="I45" s="60"/>
      <c r="J45" s="60"/>
      <c r="K45" s="60"/>
      <c r="L45" s="58"/>
      <c r="M45" s="61"/>
      <c r="N45" s="58"/>
      <c r="O45" s="62"/>
    </row>
    <row r="46" spans="1:15">
      <c r="A46" s="125"/>
      <c r="B46" s="63"/>
      <c r="C46" s="58"/>
      <c r="D46" s="78"/>
      <c r="E46" s="81"/>
      <c r="F46" s="81"/>
      <c r="G46" s="58"/>
      <c r="H46" s="59"/>
      <c r="I46" s="60"/>
      <c r="J46" s="60"/>
      <c r="K46" s="60"/>
      <c r="L46" s="58"/>
      <c r="M46" s="61"/>
      <c r="N46" s="58"/>
      <c r="O46" s="62"/>
    </row>
    <row r="47" spans="1:15">
      <c r="A47" s="125"/>
      <c r="B47" s="63"/>
      <c r="C47" s="58"/>
      <c r="D47" s="78"/>
      <c r="E47" s="81"/>
      <c r="F47" s="81"/>
      <c r="G47" s="58"/>
      <c r="H47" s="59"/>
      <c r="I47" s="60"/>
      <c r="J47" s="60"/>
      <c r="K47" s="60"/>
      <c r="L47" s="58"/>
      <c r="M47" s="61"/>
      <c r="N47" s="58"/>
      <c r="O47" s="62"/>
    </row>
    <row r="48" spans="1:15">
      <c r="C48" s="58"/>
      <c r="D48" s="90"/>
      <c r="E48" s="94"/>
      <c r="F48" s="90"/>
      <c r="G48" s="90"/>
      <c r="H48" s="91"/>
      <c r="I48" s="91"/>
      <c r="J48" s="91"/>
      <c r="K48" s="91"/>
      <c r="L48" s="92"/>
      <c r="M48" s="93"/>
      <c r="N48" s="91"/>
      <c r="O48" s="124"/>
    </row>
    <row r="49" spans="1:15">
      <c r="A49" s="58"/>
      <c r="B49" s="63"/>
      <c r="C49" s="86"/>
      <c r="D49" s="87"/>
      <c r="E49" s="95"/>
      <c r="F49" s="87"/>
      <c r="G49" s="88"/>
      <c r="H49" s="89"/>
      <c r="I49" s="89"/>
      <c r="J49" s="89"/>
      <c r="K49" s="87"/>
      <c r="L49" s="123"/>
      <c r="M49" s="87"/>
      <c r="O49" s="77"/>
    </row>
    <row r="50" spans="1:15">
      <c r="A50" s="58"/>
      <c r="B50" s="63"/>
      <c r="C50" s="58"/>
      <c r="D50" s="96"/>
      <c r="E50" s="19"/>
      <c r="F50" s="109"/>
      <c r="G50" s="59"/>
      <c r="H50" s="60"/>
      <c r="I50" s="60"/>
      <c r="J50" s="60"/>
      <c r="K50" s="58"/>
      <c r="L50" s="61"/>
      <c r="M50" s="58"/>
      <c r="O50" s="62"/>
    </row>
    <row r="51" spans="1:15">
      <c r="A51" s="58"/>
      <c r="B51" s="63"/>
      <c r="C51" s="58"/>
      <c r="D51" s="79"/>
      <c r="E51" s="19"/>
      <c r="F51" s="109"/>
      <c r="G51" s="59"/>
      <c r="H51" s="60"/>
      <c r="I51" s="60"/>
      <c r="J51" s="60"/>
      <c r="K51" s="58"/>
      <c r="L51" s="61"/>
      <c r="M51" s="58"/>
      <c r="O51" s="62"/>
    </row>
    <row r="52" spans="1:15">
      <c r="A52" s="58"/>
      <c r="B52" s="63"/>
      <c r="C52" s="58"/>
      <c r="D52" s="79"/>
      <c r="E52" s="19"/>
      <c r="F52" s="80"/>
      <c r="G52" s="58"/>
      <c r="H52" s="59"/>
      <c r="I52" s="60"/>
      <c r="J52" s="60"/>
      <c r="K52" s="60"/>
      <c r="L52" s="58"/>
      <c r="M52" s="61"/>
      <c r="N52" s="58"/>
      <c r="O52" s="62"/>
    </row>
    <row r="53" spans="1:15">
      <c r="A53" s="58"/>
      <c r="B53" s="63"/>
      <c r="C53" s="58"/>
      <c r="D53" s="78"/>
      <c r="E53" s="79"/>
      <c r="F53" s="81"/>
      <c r="G53" s="58"/>
      <c r="H53" s="59"/>
      <c r="I53" s="60"/>
      <c r="J53" s="60"/>
      <c r="K53" s="60"/>
      <c r="L53" s="58"/>
      <c r="M53" s="61"/>
      <c r="N53" s="58"/>
      <c r="O53" s="62"/>
    </row>
    <row r="54" spans="1:15">
      <c r="D54" s="90"/>
      <c r="E54" s="94"/>
      <c r="F54" s="90"/>
      <c r="G54" s="90"/>
      <c r="H54" s="91"/>
      <c r="I54" s="91"/>
      <c r="J54" s="91"/>
      <c r="K54" s="91"/>
      <c r="L54" s="92"/>
      <c r="M54" s="93"/>
      <c r="N54" s="91"/>
      <c r="O54" s="91"/>
    </row>
    <row r="55" spans="1:15">
      <c r="C55" s="58"/>
      <c r="D55" s="90"/>
      <c r="E55" s="94"/>
      <c r="F55" s="90"/>
      <c r="G55" s="90"/>
      <c r="H55" s="91"/>
      <c r="I55" s="91"/>
      <c r="J55" s="91"/>
      <c r="K55" s="91"/>
      <c r="L55" s="92"/>
      <c r="M55" s="93"/>
      <c r="N55" s="91"/>
      <c r="O55" s="124"/>
    </row>
    <row r="56" spans="1:15">
      <c r="C56" s="58"/>
      <c r="D56" s="90"/>
      <c r="E56" s="94"/>
      <c r="F56" s="90"/>
      <c r="G56" s="90"/>
      <c r="H56" s="91"/>
      <c r="I56" s="91"/>
      <c r="J56" s="91"/>
      <c r="K56" s="91"/>
      <c r="L56" s="92"/>
      <c r="M56" s="93"/>
      <c r="N56" s="91"/>
      <c r="O56" s="124"/>
    </row>
    <row r="57" spans="1:15">
      <c r="C57" s="58"/>
      <c r="D57" s="90"/>
      <c r="E57" s="94"/>
      <c r="F57" s="90"/>
      <c r="G57" s="90"/>
      <c r="H57" s="91"/>
      <c r="I57" s="91"/>
      <c r="J57" s="91"/>
      <c r="K57" s="91"/>
      <c r="L57" s="92"/>
      <c r="M57" s="93"/>
      <c r="N57" s="91"/>
      <c r="O57" s="124"/>
    </row>
    <row r="58" spans="1:15">
      <c r="C58" s="58"/>
      <c r="D58" s="90"/>
      <c r="E58" s="94"/>
      <c r="F58" s="90"/>
      <c r="G58" s="90"/>
      <c r="H58" s="91"/>
      <c r="I58" s="91"/>
      <c r="J58" s="91"/>
      <c r="K58" s="91"/>
      <c r="L58" s="92"/>
      <c r="M58" s="93"/>
      <c r="N58" s="91"/>
      <c r="O58" s="124"/>
    </row>
    <row r="59" spans="1:15">
      <c r="C59" s="58"/>
      <c r="D59" s="90"/>
      <c r="E59" s="94"/>
      <c r="F59" s="90"/>
      <c r="G59" s="90"/>
      <c r="H59" s="91"/>
      <c r="I59" s="91"/>
      <c r="J59" s="91"/>
      <c r="K59" s="91"/>
      <c r="L59" s="92"/>
      <c r="M59" s="93"/>
      <c r="N59" s="91"/>
      <c r="O59" s="124"/>
    </row>
    <row r="60" spans="1:15">
      <c r="C60" s="58"/>
      <c r="D60" s="90"/>
      <c r="E60" s="94"/>
      <c r="F60" s="90"/>
      <c r="G60" s="90"/>
      <c r="H60" s="91"/>
      <c r="I60" s="91"/>
      <c r="J60" s="91"/>
      <c r="K60" s="91"/>
      <c r="L60" s="92"/>
      <c r="M60" s="93"/>
      <c r="N60" s="91"/>
      <c r="O60" s="124"/>
    </row>
    <row r="61" spans="1:15">
      <c r="C61" s="58"/>
      <c r="D61" s="90"/>
      <c r="E61" s="94"/>
      <c r="F61" s="90"/>
      <c r="G61" s="90"/>
      <c r="H61" s="91"/>
      <c r="I61" s="91"/>
      <c r="J61" s="91"/>
      <c r="K61" s="91"/>
      <c r="L61" s="92"/>
      <c r="M61" s="93"/>
      <c r="N61" s="91"/>
      <c r="O61" s="124"/>
    </row>
    <row r="62" spans="1:15">
      <c r="C62" s="58"/>
      <c r="D62" s="90"/>
      <c r="E62" s="94"/>
      <c r="F62" s="90"/>
      <c r="G62" s="90"/>
      <c r="H62" s="91"/>
      <c r="I62" s="91"/>
      <c r="J62" s="91"/>
      <c r="K62" s="91"/>
      <c r="L62" s="92"/>
      <c r="M62" s="93"/>
      <c r="N62" s="91"/>
      <c r="O62" s="124"/>
    </row>
    <row r="63" spans="1:15">
      <c r="C63" s="58"/>
      <c r="D63" s="90"/>
      <c r="E63" s="94"/>
      <c r="F63" s="90"/>
      <c r="G63" s="90"/>
      <c r="H63" s="91"/>
      <c r="I63" s="91"/>
      <c r="J63" s="91"/>
      <c r="K63" s="91"/>
      <c r="L63" s="92"/>
      <c r="M63" s="93"/>
      <c r="N63" s="91"/>
      <c r="O63" s="124"/>
    </row>
    <row r="64" spans="1:15">
      <c r="C64" s="8"/>
      <c r="D64" s="8"/>
      <c r="E64" s="7"/>
      <c r="F64" s="6"/>
      <c r="G64" s="6"/>
      <c r="H64" s="5"/>
      <c r="I64" s="5"/>
      <c r="J64" s="5"/>
      <c r="K64" s="6"/>
      <c r="L64" s="4"/>
      <c r="M64" s="6"/>
      <c r="N64" s="2"/>
    </row>
    <row r="65" spans="3:14">
      <c r="C65" s="8"/>
      <c r="D65" s="8"/>
      <c r="E65" s="7"/>
      <c r="F65" s="6"/>
      <c r="G65" s="6"/>
      <c r="H65" s="5"/>
      <c r="I65" s="5"/>
      <c r="J65" s="5"/>
      <c r="K65" s="6"/>
      <c r="L65" s="4"/>
      <c r="M65" s="6"/>
      <c r="N65" s="2"/>
    </row>
    <row r="66" spans="3:14">
      <c r="C66" s="8"/>
      <c r="D66" s="8"/>
      <c r="E66" s="7"/>
      <c r="F66" s="6"/>
      <c r="G66" s="6"/>
      <c r="H66" s="5"/>
      <c r="I66" s="5"/>
      <c r="J66" s="5"/>
      <c r="K66" s="6"/>
      <c r="L66" s="4"/>
      <c r="M66" s="6"/>
      <c r="N66" s="2"/>
    </row>
    <row r="67" spans="3:14">
      <c r="C67" s="8"/>
      <c r="D67" s="8"/>
      <c r="E67" s="7"/>
      <c r="F67" s="6"/>
      <c r="G67" s="6"/>
      <c r="H67" s="5"/>
      <c r="I67" s="5"/>
      <c r="J67" s="5"/>
      <c r="K67" s="6"/>
      <c r="L67" s="4"/>
      <c r="M67" s="6"/>
      <c r="N67" s="2"/>
    </row>
    <row r="68" spans="3:14">
      <c r="C68" s="8"/>
      <c r="D68" s="8"/>
      <c r="E68" s="7"/>
      <c r="F68" s="6"/>
      <c r="G68" s="6"/>
      <c r="H68" s="5"/>
      <c r="I68" s="5"/>
      <c r="J68" s="5"/>
      <c r="K68" s="6"/>
      <c r="L68" s="4"/>
      <c r="M68" s="6"/>
      <c r="N68" s="2"/>
    </row>
    <row r="69" spans="3:14">
      <c r="C69" s="8"/>
      <c r="D69" s="8"/>
      <c r="E69" s="7"/>
      <c r="F69" s="6"/>
      <c r="G69" s="6"/>
      <c r="H69" s="5"/>
      <c r="I69" s="5"/>
      <c r="J69" s="5"/>
      <c r="K69" s="6"/>
      <c r="L69" s="4"/>
      <c r="M69" s="6"/>
      <c r="N69" s="2"/>
    </row>
    <row r="70" spans="3:14">
      <c r="C70" s="8"/>
      <c r="D70" s="8"/>
      <c r="E70" s="7"/>
      <c r="F70" s="6"/>
      <c r="G70" s="6"/>
      <c r="H70" s="5"/>
      <c r="I70" s="5"/>
      <c r="J70" s="5"/>
      <c r="K70" s="6"/>
      <c r="L70" s="4"/>
      <c r="M70" s="6"/>
      <c r="N70" s="2"/>
    </row>
    <row r="71" spans="3:14">
      <c r="C71" s="8"/>
      <c r="D71" s="8"/>
      <c r="E71" s="7"/>
      <c r="F71" s="6"/>
      <c r="G71" s="6"/>
      <c r="H71" s="5"/>
      <c r="I71" s="5"/>
      <c r="J71" s="5"/>
      <c r="K71" s="6"/>
      <c r="L71" s="108"/>
      <c r="M71" s="6"/>
      <c r="N71" s="2"/>
    </row>
    <row r="72" spans="3:14">
      <c r="C72" s="8"/>
      <c r="D72" s="8"/>
      <c r="E72" s="7"/>
      <c r="F72" s="6"/>
      <c r="G72" s="6"/>
      <c r="H72" s="5"/>
      <c r="I72" s="5"/>
      <c r="J72" s="5"/>
      <c r="K72" s="6"/>
      <c r="L72" s="4"/>
      <c r="M72" s="6"/>
      <c r="N72" s="2"/>
    </row>
    <row r="73" spans="3:14">
      <c r="C73" s="8"/>
      <c r="D73" s="8"/>
      <c r="E73" s="7"/>
      <c r="F73" s="6"/>
      <c r="G73" s="6"/>
      <c r="H73" s="5"/>
      <c r="I73" s="5"/>
      <c r="J73" s="5"/>
      <c r="K73" s="6"/>
      <c r="L73" s="4"/>
      <c r="M73" s="6"/>
      <c r="N73" s="2"/>
    </row>
    <row r="74" spans="3:14">
      <c r="C74" s="8"/>
      <c r="D74" s="8"/>
      <c r="E74" s="7"/>
      <c r="F74" s="6"/>
      <c r="G74" s="6"/>
      <c r="H74" s="5"/>
      <c r="I74" s="5"/>
      <c r="J74" s="5"/>
      <c r="K74" s="6"/>
      <c r="L74" s="4"/>
      <c r="M74" s="6"/>
      <c r="N74" s="2"/>
    </row>
    <row r="75" spans="3:14">
      <c r="C75" s="8"/>
      <c r="D75" s="8"/>
      <c r="E75" s="7"/>
      <c r="F75" s="6"/>
      <c r="G75" s="6"/>
      <c r="H75" s="5"/>
      <c r="I75" s="5"/>
      <c r="J75" s="5"/>
      <c r="K75" s="6"/>
      <c r="L75" s="4"/>
      <c r="M75" s="6"/>
      <c r="N75" s="2"/>
    </row>
    <row r="76" spans="3:14">
      <c r="C76" s="8"/>
      <c r="D76" s="8"/>
      <c r="E76" s="7"/>
      <c r="F76" s="6"/>
      <c r="G76" s="6"/>
      <c r="H76" s="5"/>
      <c r="I76" s="5"/>
      <c r="J76" s="5"/>
      <c r="K76" s="6"/>
      <c r="L76" s="4"/>
      <c r="M76" s="6"/>
      <c r="N76" s="2"/>
    </row>
    <row r="77" spans="3:14" ht="14.25" customHeight="1">
      <c r="C77" s="8"/>
      <c r="D77" s="8"/>
      <c r="E77" s="7"/>
      <c r="F77" s="6"/>
      <c r="G77" s="6"/>
      <c r="H77" s="5"/>
      <c r="I77" s="5"/>
      <c r="J77" s="5"/>
      <c r="K77" s="6"/>
      <c r="L77" s="4"/>
      <c r="M77" s="6"/>
      <c r="N77" s="2"/>
    </row>
    <row r="78" spans="3:14" ht="14.25" customHeight="1">
      <c r="C78" s="8"/>
      <c r="D78" s="8"/>
      <c r="E78" s="7"/>
      <c r="F78" s="6"/>
      <c r="G78" s="6"/>
      <c r="H78" s="5"/>
      <c r="I78" s="5"/>
      <c r="J78" s="5"/>
      <c r="K78" s="6"/>
      <c r="L78" s="4"/>
      <c r="M78" s="6"/>
      <c r="N78" s="2"/>
    </row>
    <row r="79" spans="3:14" ht="14.25" customHeight="1">
      <c r="C79" s="8"/>
      <c r="D79" s="8"/>
      <c r="E79" s="7"/>
      <c r="F79" s="6"/>
      <c r="G79" s="6"/>
      <c r="H79" s="5"/>
      <c r="I79" s="5"/>
      <c r="J79" s="5"/>
      <c r="K79" s="6"/>
      <c r="L79" s="4"/>
      <c r="M79" s="6"/>
      <c r="N79" s="2"/>
    </row>
    <row r="80" spans="3:14" ht="14.25" customHeight="1">
      <c r="C80" s="8"/>
      <c r="D80" s="8"/>
      <c r="E80" s="7"/>
      <c r="F80" s="6"/>
      <c r="G80" s="6"/>
      <c r="H80" s="5"/>
      <c r="I80" s="5"/>
      <c r="J80" s="5"/>
      <c r="K80" s="6"/>
      <c r="L80" s="4"/>
      <c r="M80" s="6"/>
      <c r="N80" s="2"/>
    </row>
    <row r="81" spans="3:14" ht="14.25" customHeight="1">
      <c r="C81" s="8"/>
      <c r="D81" s="8"/>
      <c r="E81" s="7"/>
      <c r="F81" s="6"/>
      <c r="G81" s="6"/>
      <c r="H81" s="5"/>
      <c r="I81" s="5"/>
      <c r="J81" s="5"/>
      <c r="K81" s="6"/>
      <c r="L81" s="4"/>
      <c r="M81" s="6"/>
      <c r="N81" s="2"/>
    </row>
    <row r="82" spans="3:14" ht="14.25" customHeight="1">
      <c r="C82" s="8"/>
      <c r="D82" s="8"/>
      <c r="E82" s="7"/>
      <c r="F82" s="6"/>
      <c r="G82" s="6"/>
      <c r="H82" s="5"/>
      <c r="I82" s="5"/>
      <c r="J82" s="5"/>
      <c r="K82" s="6"/>
      <c r="L82" s="4"/>
      <c r="M82" s="6"/>
      <c r="N82" s="2"/>
    </row>
    <row r="83" spans="3:14" ht="14.25" customHeight="1">
      <c r="C83" s="8"/>
      <c r="D83" s="8"/>
      <c r="E83" s="7"/>
      <c r="F83" s="6"/>
      <c r="G83" s="6"/>
      <c r="H83" s="5"/>
      <c r="I83" s="5"/>
      <c r="J83" s="5"/>
      <c r="K83" s="6"/>
      <c r="L83" s="4"/>
      <c r="M83" s="6"/>
      <c r="N83" s="2"/>
    </row>
    <row r="84" spans="3:14" ht="14.25" customHeight="1">
      <c r="C84" s="8"/>
      <c r="D84" s="8"/>
      <c r="E84" s="7"/>
      <c r="F84" s="6"/>
      <c r="G84" s="6"/>
      <c r="H84" s="5"/>
      <c r="I84" s="5"/>
      <c r="J84" s="5"/>
      <c r="K84" s="6"/>
      <c r="L84" s="4"/>
      <c r="M84" s="6"/>
      <c r="N84" s="2"/>
    </row>
    <row r="85" spans="3:14" ht="14.25" customHeight="1">
      <c r="C85" s="8"/>
      <c r="D85" s="8"/>
      <c r="E85" s="7"/>
      <c r="F85" s="6"/>
      <c r="G85" s="6"/>
      <c r="H85" s="5"/>
      <c r="I85" s="5"/>
      <c r="J85" s="5"/>
      <c r="K85" s="6"/>
      <c r="L85" s="4"/>
      <c r="M85" s="6"/>
      <c r="N85" s="2"/>
    </row>
    <row r="86" spans="3:14" ht="14.25" customHeight="1">
      <c r="C86" s="8"/>
      <c r="D86" s="8"/>
      <c r="E86" s="7"/>
      <c r="F86" s="6"/>
      <c r="G86" s="6"/>
      <c r="H86" s="5"/>
      <c r="I86" s="5"/>
      <c r="J86" s="5"/>
      <c r="K86" s="6"/>
      <c r="L86" s="4"/>
      <c r="M86" s="6"/>
      <c r="N86" s="2"/>
    </row>
    <row r="87" spans="3:14" ht="14.25" customHeight="1">
      <c r="C87" s="8"/>
      <c r="D87" s="8"/>
      <c r="E87" s="7"/>
      <c r="F87" s="6"/>
      <c r="G87" s="6"/>
      <c r="H87" s="5"/>
      <c r="I87" s="5"/>
      <c r="J87" s="5"/>
      <c r="K87" s="6"/>
      <c r="L87" s="4"/>
      <c r="M87" s="6"/>
      <c r="N87" s="2"/>
    </row>
    <row r="88" spans="3:14" ht="14.25" customHeight="1">
      <c r="C88" s="8"/>
      <c r="D88" s="8"/>
      <c r="E88" s="7"/>
      <c r="F88" s="6"/>
      <c r="G88" s="6"/>
      <c r="H88" s="5"/>
      <c r="I88" s="5"/>
      <c r="J88" s="5"/>
      <c r="K88" s="6"/>
      <c r="L88" s="4"/>
      <c r="M88" s="6"/>
      <c r="N88" s="2"/>
    </row>
    <row r="89" spans="3:14" ht="14.25" customHeight="1">
      <c r="C89" s="8"/>
      <c r="D89" s="8"/>
      <c r="E89" s="7"/>
      <c r="F89" s="6"/>
      <c r="G89" s="6"/>
      <c r="H89" s="5"/>
      <c r="I89" s="5"/>
      <c r="J89" s="5"/>
      <c r="K89" s="6"/>
      <c r="L89" s="4"/>
      <c r="M89" s="6"/>
      <c r="N89" s="2"/>
    </row>
    <row r="90" spans="3:14" ht="14.25" customHeight="1">
      <c r="C90" s="8"/>
      <c r="D90" s="8"/>
      <c r="E90" s="7"/>
      <c r="F90" s="6"/>
      <c r="G90" s="6"/>
      <c r="H90" s="5"/>
      <c r="I90" s="5"/>
      <c r="J90" s="5"/>
      <c r="K90" s="6"/>
      <c r="L90" s="4"/>
      <c r="M90" s="6"/>
      <c r="N90" s="2"/>
    </row>
    <row r="91" spans="3:14" ht="14.25" customHeight="1">
      <c r="C91" s="8"/>
      <c r="D91" s="8"/>
      <c r="E91" s="7"/>
      <c r="F91" s="6"/>
      <c r="G91" s="6"/>
      <c r="H91" s="5"/>
      <c r="I91" s="5"/>
      <c r="J91" s="5"/>
      <c r="K91" s="6"/>
      <c r="L91" s="4"/>
      <c r="M91" s="6"/>
      <c r="N91" s="2"/>
    </row>
    <row r="92" spans="3:14" ht="14.25" customHeight="1">
      <c r="C92" s="8"/>
      <c r="D92" s="8"/>
      <c r="E92" s="7"/>
      <c r="F92" s="6"/>
      <c r="G92" s="6"/>
      <c r="H92" s="5"/>
      <c r="I92" s="5"/>
      <c r="J92" s="5"/>
      <c r="K92" s="6"/>
      <c r="L92" s="4"/>
      <c r="M92" s="3"/>
      <c r="N92" s="2"/>
    </row>
    <row r="93" spans="3:14" ht="14.25" customHeight="1">
      <c r="C93" s="8"/>
      <c r="D93" s="8"/>
      <c r="E93" s="7"/>
      <c r="F93" s="6"/>
      <c r="G93" s="5"/>
      <c r="H93" s="5"/>
      <c r="I93" s="5"/>
      <c r="J93" s="5"/>
      <c r="K93" s="4"/>
      <c r="L93" s="4"/>
      <c r="M93" s="3"/>
      <c r="N93" s="2"/>
    </row>
    <row r="94" spans="3:14" ht="14.25" customHeight="1">
      <c r="C94" s="19"/>
      <c r="D94" s="19"/>
      <c r="E94" s="19"/>
      <c r="F94" s="19"/>
      <c r="G94" s="19"/>
      <c r="H94" s="19"/>
      <c r="I94" s="19"/>
      <c r="J94" s="19"/>
      <c r="K94" s="19"/>
      <c r="L94" s="19"/>
      <c r="M94" s="19"/>
      <c r="N94" s="19"/>
    </row>
    <row r="95" spans="3:14" ht="14.25" customHeight="1">
      <c r="C95" s="31"/>
      <c r="D95" s="27"/>
      <c r="E95" s="20"/>
      <c r="F95" s="28"/>
      <c r="G95" s="28"/>
      <c r="H95" s="26"/>
      <c r="I95" s="26"/>
      <c r="J95" s="26"/>
      <c r="K95" s="28"/>
      <c r="L95" s="29"/>
      <c r="M95" s="28"/>
      <c r="N95" s="27"/>
    </row>
    <row r="96" spans="3:14" s="1" customFormat="1" ht="14.25" customHeight="1">
      <c r="C96" s="31"/>
      <c r="D96" s="27"/>
      <c r="E96" s="21"/>
      <c r="F96" s="28"/>
      <c r="G96" s="28"/>
      <c r="H96" s="26"/>
      <c r="I96" s="26"/>
      <c r="J96" s="26"/>
      <c r="K96" s="28"/>
      <c r="L96" s="29"/>
      <c r="M96" s="28"/>
      <c r="N96" s="27"/>
    </row>
    <row r="97" spans="3:14" s="1" customFormat="1" ht="14.25" customHeight="1">
      <c r="C97" s="30"/>
      <c r="D97" s="25"/>
      <c r="E97" s="21"/>
      <c r="F97" s="22"/>
      <c r="G97" s="22"/>
      <c r="H97" s="23"/>
      <c r="I97" s="23"/>
      <c r="J97" s="23"/>
      <c r="K97" s="22"/>
      <c r="L97" s="24"/>
      <c r="M97" s="22"/>
      <c r="N97" s="25"/>
    </row>
    <row r="98" spans="3:14">
      <c r="L98" s="214">
        <f>SUM(L6:L97)</f>
        <v>116000</v>
      </c>
    </row>
  </sheetData>
  <mergeCells count="7">
    <mergeCell ref="C17:C22"/>
    <mergeCell ref="N17:N22"/>
    <mergeCell ref="C2:G2"/>
    <mergeCell ref="H2:J2"/>
    <mergeCell ref="K2:L2"/>
    <mergeCell ref="M2:M3"/>
    <mergeCell ref="N2:N3"/>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53EDC-3439-405F-8337-E04A6A163780}">
  <sheetPr>
    <tabColor rgb="FFFFC000"/>
  </sheetPr>
  <dimension ref="A2:O98"/>
  <sheetViews>
    <sheetView topLeftCell="C1" zoomScale="90" zoomScaleNormal="90" workbookViewId="0">
      <pane ySplit="4" topLeftCell="A10" activePane="bottomLeft" state="frozen"/>
      <selection pane="bottomLeft" activeCell="D30" sqref="D30"/>
    </sheetView>
  </sheetViews>
  <sheetFormatPr defaultRowHeight="15"/>
  <cols>
    <col min="3" max="3" width="21.42578125" customWidth="1"/>
    <col min="4" max="4" width="58.7109375" customWidth="1"/>
    <col min="5" max="5" width="26" customWidth="1"/>
    <col min="6" max="6" width="27.85546875" customWidth="1"/>
    <col min="7" max="7" width="11.7109375" customWidth="1"/>
    <col min="8" max="8" width="13.7109375" customWidth="1"/>
    <col min="10" max="10" width="12.5703125" customWidth="1"/>
    <col min="11" max="11" width="18.5703125" customWidth="1"/>
    <col min="12" max="12" width="17.42578125" customWidth="1"/>
    <col min="13" max="13" width="16.28515625" customWidth="1"/>
    <col min="14" max="14" width="12.85546875" customWidth="1"/>
  </cols>
  <sheetData>
    <row r="2" spans="1:15">
      <c r="C2" s="2627" t="s">
        <v>30</v>
      </c>
      <c r="D2" s="2627"/>
      <c r="E2" s="2627"/>
      <c r="F2" s="2627"/>
      <c r="G2" s="2627"/>
      <c r="H2" s="2628" t="s">
        <v>29</v>
      </c>
      <c r="I2" s="2628"/>
      <c r="J2" s="2628"/>
      <c r="K2" s="2627" t="s">
        <v>28</v>
      </c>
      <c r="L2" s="2627"/>
      <c r="M2" s="2628" t="s">
        <v>27</v>
      </c>
      <c r="N2" s="2628" t="s">
        <v>26</v>
      </c>
    </row>
    <row r="3" spans="1:15" ht="72">
      <c r="C3" s="10" t="s">
        <v>25</v>
      </c>
      <c r="D3" s="13" t="s">
        <v>24</v>
      </c>
      <c r="E3" s="12" t="s">
        <v>23</v>
      </c>
      <c r="F3" s="10" t="s">
        <v>22</v>
      </c>
      <c r="G3" s="11" t="s">
        <v>21</v>
      </c>
      <c r="H3" s="11" t="s">
        <v>20</v>
      </c>
      <c r="I3" s="11" t="s">
        <v>19</v>
      </c>
      <c r="J3" s="11" t="s">
        <v>18</v>
      </c>
      <c r="K3" s="10" t="s">
        <v>17</v>
      </c>
      <c r="L3" s="10" t="s">
        <v>16</v>
      </c>
      <c r="M3" s="2628"/>
      <c r="N3" s="2628"/>
    </row>
    <row r="4" spans="1:15">
      <c r="C4" s="9" t="s">
        <v>15</v>
      </c>
      <c r="D4" s="9" t="s">
        <v>14</v>
      </c>
      <c r="E4" s="9" t="s">
        <v>13</v>
      </c>
      <c r="F4" s="9" t="s">
        <v>12</v>
      </c>
      <c r="G4" s="9" t="s">
        <v>11</v>
      </c>
      <c r="H4" s="9" t="s">
        <v>10</v>
      </c>
      <c r="I4" s="9" t="s">
        <v>9</v>
      </c>
      <c r="J4" s="9" t="s">
        <v>8</v>
      </c>
      <c r="K4" s="9" t="s">
        <v>7</v>
      </c>
      <c r="L4" s="9" t="s">
        <v>6</v>
      </c>
      <c r="M4" s="9" t="s">
        <v>5</v>
      </c>
      <c r="N4" s="9" t="s">
        <v>4</v>
      </c>
    </row>
    <row r="5" spans="1:15" s="455" customFormat="1" ht="14.25" customHeight="1">
      <c r="A5" s="869"/>
      <c r="B5" s="454"/>
      <c r="C5" s="393" t="s">
        <v>613</v>
      </c>
      <c r="D5" s="630"/>
      <c r="E5" s="460"/>
      <c r="F5" s="630"/>
      <c r="G5" s="470"/>
      <c r="H5" s="471"/>
      <c r="I5" s="472"/>
      <c r="J5" s="472"/>
      <c r="K5" s="472"/>
      <c r="L5" s="471"/>
      <c r="M5" s="474"/>
      <c r="N5" s="474"/>
      <c r="O5" s="471"/>
    </row>
    <row r="6" spans="1:15" s="455" customFormat="1" ht="14.25" customHeight="1">
      <c r="A6" s="301" t="s">
        <v>590</v>
      </c>
      <c r="B6" s="302" t="s">
        <v>589</v>
      </c>
      <c r="C6" s="393" t="s">
        <v>607</v>
      </c>
      <c r="D6" s="393" t="s">
        <v>2</v>
      </c>
      <c r="E6" s="393" t="s">
        <v>608</v>
      </c>
      <c r="F6" s="395" t="s">
        <v>609</v>
      </c>
      <c r="G6" s="396" t="s">
        <v>1</v>
      </c>
      <c r="H6" s="397" t="s">
        <v>599</v>
      </c>
      <c r="I6" s="397" t="s">
        <v>599</v>
      </c>
      <c r="J6" s="487" t="s">
        <v>594</v>
      </c>
      <c r="K6" s="395" t="s">
        <v>578</v>
      </c>
      <c r="L6" s="399">
        <v>20000</v>
      </c>
      <c r="M6" s="393" t="s">
        <v>579</v>
      </c>
      <c r="N6" s="393"/>
      <c r="O6" s="458"/>
    </row>
    <row r="7" spans="1:15" s="355" customFormat="1" ht="14.25" customHeight="1">
      <c r="A7" s="301" t="s">
        <v>590</v>
      </c>
      <c r="B7" s="302" t="s">
        <v>589</v>
      </c>
      <c r="C7" s="393" t="s">
        <v>610</v>
      </c>
      <c r="D7" s="393"/>
      <c r="E7" s="393" t="s">
        <v>611</v>
      </c>
      <c r="F7" s="395" t="s">
        <v>612</v>
      </c>
      <c r="G7" s="393"/>
      <c r="H7" s="393"/>
      <c r="I7" s="393"/>
      <c r="J7" s="393"/>
      <c r="K7" s="393" t="s">
        <v>613</v>
      </c>
      <c r="L7" s="399">
        <v>5900</v>
      </c>
      <c r="M7" s="395" t="s">
        <v>602</v>
      </c>
      <c r="N7" s="393"/>
      <c r="O7" s="348"/>
    </row>
    <row r="8" spans="1:15" s="355" customFormat="1" ht="14.25" customHeight="1">
      <c r="A8" s="301" t="s">
        <v>590</v>
      </c>
      <c r="B8" s="302" t="s">
        <v>589</v>
      </c>
      <c r="C8" s="393"/>
      <c r="D8" s="393"/>
      <c r="E8" s="393" t="s">
        <v>614</v>
      </c>
      <c r="F8" s="395"/>
      <c r="G8" s="393"/>
      <c r="H8" s="393"/>
      <c r="I8" s="393"/>
      <c r="J8" s="393"/>
      <c r="K8" s="393"/>
      <c r="L8" s="399">
        <v>7500</v>
      </c>
      <c r="M8" s="395"/>
      <c r="N8" s="393"/>
      <c r="O8" s="348"/>
    </row>
    <row r="9" spans="1:15" s="355" customFormat="1" ht="14.25" customHeight="1">
      <c r="A9" s="301" t="s">
        <v>590</v>
      </c>
      <c r="B9" s="302" t="s">
        <v>589</v>
      </c>
      <c r="C9" s="393"/>
      <c r="D9" s="393"/>
      <c r="E9" s="393" t="s">
        <v>615</v>
      </c>
      <c r="F9" s="395"/>
      <c r="G9" s="393"/>
      <c r="H9" s="393"/>
      <c r="I9" s="393"/>
      <c r="J9" s="393"/>
      <c r="K9" s="393"/>
      <c r="L9" s="399">
        <v>8100</v>
      </c>
      <c r="M9" s="395"/>
      <c r="N9" s="393"/>
      <c r="O9" s="348"/>
    </row>
    <row r="10" spans="1:15" s="355" customFormat="1" ht="14.25" customHeight="1">
      <c r="A10" s="301" t="s">
        <v>590</v>
      </c>
      <c r="B10" s="302" t="s">
        <v>589</v>
      </c>
      <c r="C10" s="393"/>
      <c r="D10" s="393"/>
      <c r="E10" s="393" t="s">
        <v>616</v>
      </c>
      <c r="F10" s="395"/>
      <c r="G10" s="393"/>
      <c r="H10" s="393"/>
      <c r="I10" s="393"/>
      <c r="J10" s="393"/>
      <c r="K10" s="393"/>
      <c r="L10" s="399">
        <v>14100</v>
      </c>
      <c r="M10" s="395"/>
      <c r="N10" s="393"/>
      <c r="O10" s="352"/>
    </row>
    <row r="11" spans="1:15" s="355" customFormat="1" ht="14.25" customHeight="1">
      <c r="A11" s="301" t="s">
        <v>590</v>
      </c>
      <c r="B11" s="302" t="s">
        <v>589</v>
      </c>
      <c r="C11" s="393"/>
      <c r="D11" s="393"/>
      <c r="E11" s="393" t="s">
        <v>617</v>
      </c>
      <c r="F11" s="393"/>
      <c r="G11" s="393"/>
      <c r="H11" s="393"/>
      <c r="I11" s="393"/>
      <c r="J11" s="393"/>
      <c r="K11" s="393"/>
      <c r="L11" s="399">
        <v>9800</v>
      </c>
      <c r="M11" s="393"/>
      <c r="N11" s="393"/>
    </row>
    <row r="12" spans="1:15" s="355" customFormat="1" ht="14.25" customHeight="1">
      <c r="A12" s="301" t="s">
        <v>590</v>
      </c>
      <c r="B12" s="302" t="s">
        <v>589</v>
      </c>
      <c r="C12" s="393"/>
      <c r="D12" s="393"/>
      <c r="E12" s="393" t="s">
        <v>618</v>
      </c>
      <c r="F12" s="393"/>
      <c r="G12" s="393"/>
      <c r="H12" s="393"/>
      <c r="I12" s="393"/>
      <c r="J12" s="393"/>
      <c r="K12" s="393"/>
      <c r="L12" s="399">
        <v>4900</v>
      </c>
      <c r="M12" s="393"/>
      <c r="N12" s="393"/>
    </row>
    <row r="13" spans="1:15" s="355" customFormat="1" ht="14.25" customHeight="1">
      <c r="A13" s="301" t="s">
        <v>590</v>
      </c>
      <c r="B13" s="302" t="s">
        <v>589</v>
      </c>
      <c r="C13" s="393"/>
      <c r="D13" s="393"/>
      <c r="E13" s="393" t="s">
        <v>619</v>
      </c>
      <c r="F13" s="393"/>
      <c r="G13" s="393"/>
      <c r="H13" s="393"/>
      <c r="I13" s="393"/>
      <c r="J13" s="393"/>
      <c r="K13" s="393"/>
      <c r="L13" s="399">
        <v>29700</v>
      </c>
      <c r="M13" s="393"/>
      <c r="N13" s="393"/>
    </row>
    <row r="14" spans="1:15" s="355" customFormat="1" ht="14.25" customHeight="1">
      <c r="A14" s="513"/>
      <c r="B14" s="342"/>
      <c r="C14" s="513"/>
      <c r="D14" s="324"/>
      <c r="E14" s="872"/>
      <c r="F14" s="513"/>
      <c r="G14" s="514"/>
      <c r="H14" s="515"/>
      <c r="I14" s="515"/>
      <c r="J14" s="515"/>
      <c r="K14" s="513"/>
      <c r="L14" s="516"/>
      <c r="M14" s="513"/>
      <c r="N14" s="329"/>
    </row>
    <row r="15" spans="1:15" s="355" customFormat="1" ht="14.25" customHeight="1">
      <c r="A15" s="513"/>
      <c r="B15" s="342"/>
      <c r="C15" s="513"/>
      <c r="D15" s="330"/>
      <c r="E15" s="873"/>
      <c r="F15" s="873"/>
      <c r="G15" s="513"/>
      <c r="H15" s="514"/>
      <c r="I15" s="515"/>
      <c r="J15" s="515"/>
      <c r="K15" s="515"/>
      <c r="L15" s="864"/>
      <c r="M15" s="517"/>
      <c r="N15" s="513"/>
      <c r="O15" s="329"/>
    </row>
    <row r="16" spans="1:15" s="355" customFormat="1" ht="14.25" customHeight="1">
      <c r="A16" s="513"/>
      <c r="B16" s="342"/>
      <c r="C16" s="352"/>
      <c r="D16" s="330"/>
      <c r="E16" s="873"/>
      <c r="F16" s="873"/>
      <c r="G16" s="513"/>
      <c r="H16" s="514"/>
      <c r="I16" s="515"/>
      <c r="J16" s="515"/>
      <c r="K16" s="515"/>
      <c r="L16" s="864"/>
      <c r="M16" s="517"/>
      <c r="N16" s="513"/>
      <c r="O16" s="329"/>
    </row>
    <row r="17" spans="1:15" s="355" customFormat="1" ht="27" customHeight="1">
      <c r="A17" s="151" t="s">
        <v>649</v>
      </c>
      <c r="B17" s="40" t="s">
        <v>650</v>
      </c>
      <c r="C17" s="2657" t="s">
        <v>1289</v>
      </c>
      <c r="D17" s="309" t="s">
        <v>2</v>
      </c>
      <c r="E17" s="954"/>
      <c r="F17" s="308"/>
      <c r="G17" s="867" t="s">
        <v>1</v>
      </c>
      <c r="H17" s="602" t="s">
        <v>652</v>
      </c>
      <c r="I17" s="602" t="s">
        <v>653</v>
      </c>
      <c r="J17" s="602" t="s">
        <v>654</v>
      </c>
      <c r="K17" s="866" t="s">
        <v>648</v>
      </c>
      <c r="L17" s="2433">
        <v>13500000</v>
      </c>
      <c r="M17" s="949" t="s">
        <v>659</v>
      </c>
      <c r="N17" s="2657"/>
    </row>
    <row r="18" spans="1:15" s="355" customFormat="1" ht="14.25" customHeight="1">
      <c r="A18" s="151" t="s">
        <v>649</v>
      </c>
      <c r="B18" s="40" t="s">
        <v>650</v>
      </c>
      <c r="C18" s="2658"/>
      <c r="D18" s="953" t="s">
        <v>666</v>
      </c>
      <c r="E18" s="956"/>
      <c r="F18" s="304" t="s">
        <v>667</v>
      </c>
      <c r="G18" s="957"/>
      <c r="H18" s="950"/>
      <c r="I18" s="950"/>
      <c r="J18" s="950"/>
      <c r="K18" s="951"/>
      <c r="L18" s="958"/>
      <c r="M18" s="952"/>
      <c r="N18" s="2658"/>
    </row>
    <row r="19" spans="1:15" s="355" customFormat="1" ht="14.25" customHeight="1">
      <c r="A19" s="151" t="s">
        <v>649</v>
      </c>
      <c r="B19" s="40" t="s">
        <v>650</v>
      </c>
      <c r="C19" s="2658"/>
      <c r="D19" s="953" t="s">
        <v>668</v>
      </c>
      <c r="E19" s="956"/>
      <c r="F19" s="304" t="s">
        <v>116</v>
      </c>
      <c r="G19" s="957"/>
      <c r="H19" s="950"/>
      <c r="I19" s="950"/>
      <c r="J19" s="950"/>
      <c r="K19" s="951"/>
      <c r="L19" s="958"/>
      <c r="M19" s="952"/>
      <c r="N19" s="2658"/>
    </row>
    <row r="20" spans="1:15" s="355" customFormat="1" ht="14.25" customHeight="1">
      <c r="A20" s="151" t="s">
        <v>649</v>
      </c>
      <c r="B20" s="40" t="s">
        <v>650</v>
      </c>
      <c r="C20" s="2658"/>
      <c r="D20" s="737" t="s">
        <v>669</v>
      </c>
      <c r="E20" s="956"/>
      <c r="F20" s="304" t="s">
        <v>667</v>
      </c>
      <c r="G20" s="957"/>
      <c r="H20" s="950"/>
      <c r="I20" s="950"/>
      <c r="J20" s="950"/>
      <c r="K20" s="951"/>
      <c r="L20" s="958"/>
      <c r="M20" s="952"/>
      <c r="N20" s="2658"/>
    </row>
    <row r="21" spans="1:15" s="355" customFormat="1" ht="27">
      <c r="A21" s="151" t="s">
        <v>649</v>
      </c>
      <c r="B21" s="40" t="s">
        <v>650</v>
      </c>
      <c r="C21" s="2658"/>
      <c r="D21" s="970" t="s">
        <v>670</v>
      </c>
      <c r="E21" s="956"/>
      <c r="F21" s="304" t="s">
        <v>671</v>
      </c>
      <c r="G21" s="957"/>
      <c r="H21" s="950"/>
      <c r="I21" s="950"/>
      <c r="J21" s="950"/>
      <c r="K21" s="951"/>
      <c r="L21" s="958"/>
      <c r="M21" s="952"/>
      <c r="N21" s="2658"/>
    </row>
    <row r="22" spans="1:15" s="355" customFormat="1" ht="27">
      <c r="A22" s="151" t="s">
        <v>649</v>
      </c>
      <c r="B22" s="40" t="s">
        <v>650</v>
      </c>
      <c r="C22" s="2659"/>
      <c r="D22" s="737" t="s">
        <v>672</v>
      </c>
      <c r="E22" s="967"/>
      <c r="F22" s="304" t="s">
        <v>671</v>
      </c>
      <c r="G22" s="968"/>
      <c r="H22" s="965"/>
      <c r="I22" s="965"/>
      <c r="J22" s="965"/>
      <c r="K22" s="964"/>
      <c r="L22" s="969"/>
      <c r="M22" s="966"/>
      <c r="N22" s="2659"/>
    </row>
    <row r="23" spans="1:15" s="355" customFormat="1" ht="14.25" customHeight="1">
      <c r="A23" s="513"/>
      <c r="B23" s="302"/>
      <c r="C23" s="438"/>
      <c r="D23" s="350"/>
      <c r="E23" s="351"/>
      <c r="F23" s="350"/>
      <c r="G23" s="350"/>
      <c r="H23" s="352"/>
      <c r="I23" s="352"/>
      <c r="J23" s="352"/>
      <c r="K23" s="352"/>
      <c r="L23" s="409"/>
      <c r="M23" s="770"/>
      <c r="N23" s="352"/>
    </row>
    <row r="24" spans="1:15" s="355" customFormat="1" ht="22.5" customHeight="1">
      <c r="A24" s="513"/>
      <c r="B24" s="302"/>
      <c r="C24" s="531"/>
      <c r="D24" s="532"/>
      <c r="E24" s="337"/>
      <c r="F24" s="532"/>
      <c r="G24" s="533"/>
      <c r="H24" s="619"/>
      <c r="I24" s="619"/>
      <c r="J24" s="619"/>
      <c r="K24" s="532"/>
      <c r="L24" s="620"/>
      <c r="M24" s="532"/>
      <c r="N24" s="352"/>
      <c r="O24" s="342"/>
    </row>
    <row r="25" spans="1:15" s="355" customFormat="1" ht="14.25" customHeight="1">
      <c r="A25" s="513"/>
      <c r="B25" s="302"/>
      <c r="C25" s="438"/>
      <c r="D25" s="344"/>
      <c r="E25" s="357"/>
      <c r="F25" s="438"/>
      <c r="G25" s="441"/>
      <c r="H25" s="504"/>
      <c r="I25" s="504"/>
      <c r="J25" s="504"/>
      <c r="K25" s="438"/>
      <c r="L25" s="505"/>
      <c r="M25" s="438"/>
      <c r="N25" s="352"/>
      <c r="O25" s="348"/>
    </row>
    <row r="26" spans="1:15" s="355" customFormat="1" ht="14.25" customHeight="1">
      <c r="A26" s="513"/>
      <c r="B26" s="302"/>
      <c r="C26" s="438"/>
      <c r="D26" s="349"/>
      <c r="E26" s="358"/>
      <c r="F26" s="438"/>
      <c r="G26" s="441"/>
      <c r="H26" s="504"/>
      <c r="I26" s="504"/>
      <c r="J26" s="504"/>
      <c r="K26" s="438"/>
      <c r="L26" s="2392">
        <f>SUM(L6:L25)</f>
        <v>13600000</v>
      </c>
      <c r="M26" s="438"/>
      <c r="N26" s="352"/>
      <c r="O26" s="348"/>
    </row>
    <row r="27" spans="1:15" s="355" customFormat="1" ht="13.5">
      <c r="A27" s="513"/>
      <c r="B27" s="302"/>
      <c r="C27" s="438"/>
      <c r="D27" s="349"/>
      <c r="E27" s="358"/>
      <c r="F27" s="438"/>
      <c r="G27" s="441"/>
      <c r="H27" s="504"/>
      <c r="I27" s="504"/>
      <c r="J27" s="504"/>
      <c r="K27" s="438"/>
      <c r="L27" s="505"/>
      <c r="M27" s="438"/>
      <c r="N27" s="352"/>
      <c r="O27" s="348"/>
    </row>
    <row r="28" spans="1:15">
      <c r="A28" s="125"/>
      <c r="B28" s="63"/>
      <c r="C28" s="58"/>
      <c r="D28" s="78"/>
      <c r="E28" s="79"/>
      <c r="F28" s="58"/>
      <c r="G28" s="59"/>
      <c r="H28" s="60"/>
      <c r="I28" s="60"/>
      <c r="J28" s="60"/>
      <c r="K28" s="58"/>
      <c r="L28" s="64"/>
      <c r="M28" s="58"/>
      <c r="N28" s="19"/>
      <c r="O28" s="62"/>
    </row>
    <row r="29" spans="1:15">
      <c r="C29" s="58"/>
      <c r="D29" s="90"/>
      <c r="E29" s="94"/>
      <c r="F29" s="90"/>
      <c r="G29" s="91"/>
      <c r="H29" s="91"/>
      <c r="I29" s="91"/>
      <c r="J29" s="91"/>
      <c r="K29" s="92"/>
      <c r="L29" s="101"/>
      <c r="M29" s="91"/>
      <c r="N29" s="19"/>
      <c r="O29" s="91"/>
    </row>
    <row r="30" spans="1:15">
      <c r="A30" s="125"/>
      <c r="B30" s="63"/>
      <c r="C30" s="86"/>
      <c r="D30" s="87"/>
      <c r="E30" s="95"/>
      <c r="F30" s="87"/>
      <c r="G30" s="88"/>
      <c r="H30" s="89"/>
      <c r="I30" s="89"/>
      <c r="J30" s="89"/>
      <c r="K30" s="87"/>
      <c r="L30" s="98"/>
      <c r="M30" s="87"/>
      <c r="N30" s="19"/>
      <c r="O30" s="77"/>
    </row>
    <row r="31" spans="1:15">
      <c r="A31" s="125"/>
      <c r="B31" s="63"/>
      <c r="C31" s="58"/>
      <c r="D31" s="96"/>
      <c r="E31" s="96"/>
      <c r="F31" s="58"/>
      <c r="G31" s="59"/>
      <c r="H31" s="60"/>
      <c r="I31" s="60"/>
      <c r="J31" s="60"/>
      <c r="K31" s="58"/>
      <c r="L31" s="64"/>
      <c r="M31" s="58"/>
      <c r="N31" s="19"/>
      <c r="O31" s="62"/>
    </row>
    <row r="32" spans="1:15">
      <c r="A32" s="125"/>
      <c r="B32" s="63"/>
      <c r="C32" s="58"/>
      <c r="D32" s="78"/>
      <c r="E32" s="79"/>
      <c r="F32" s="80"/>
      <c r="G32" s="58"/>
      <c r="H32" s="59"/>
      <c r="I32" s="60"/>
      <c r="J32" s="60"/>
      <c r="K32" s="60"/>
      <c r="L32" s="100"/>
      <c r="M32" s="61"/>
      <c r="N32" s="58"/>
      <c r="O32" s="62"/>
    </row>
    <row r="33" spans="1:15">
      <c r="A33" s="125"/>
      <c r="B33" s="63"/>
      <c r="C33" s="58"/>
      <c r="D33" s="78"/>
      <c r="E33" s="79"/>
      <c r="F33" s="80"/>
      <c r="G33" s="58"/>
      <c r="H33" s="59"/>
      <c r="I33" s="60"/>
      <c r="J33" s="60"/>
      <c r="K33" s="60"/>
      <c r="L33" s="100"/>
      <c r="M33" s="61"/>
      <c r="N33" s="58"/>
      <c r="O33" s="62"/>
    </row>
    <row r="34" spans="1:15">
      <c r="A34" s="125"/>
      <c r="B34" s="63"/>
      <c r="C34" s="58"/>
      <c r="D34" s="78"/>
      <c r="E34" s="79"/>
      <c r="F34" s="80"/>
      <c r="G34" s="58"/>
      <c r="H34" s="59"/>
      <c r="I34" s="60"/>
      <c r="J34" s="60"/>
      <c r="K34" s="60"/>
      <c r="L34" s="100"/>
      <c r="M34" s="61"/>
      <c r="N34" s="58"/>
      <c r="O34" s="62"/>
    </row>
    <row r="35" spans="1:15">
      <c r="A35" s="125"/>
      <c r="B35" s="63"/>
      <c r="C35" s="58"/>
      <c r="D35" s="90"/>
      <c r="E35" s="94"/>
      <c r="F35" s="90"/>
      <c r="G35" s="90"/>
      <c r="H35" s="91"/>
      <c r="I35" s="91"/>
      <c r="J35" s="91"/>
      <c r="K35" s="91"/>
      <c r="L35" s="101"/>
      <c r="M35" s="93"/>
      <c r="N35" s="91"/>
      <c r="O35" s="124"/>
    </row>
    <row r="36" spans="1:15">
      <c r="A36" s="125"/>
      <c r="B36" s="63"/>
      <c r="C36" s="86"/>
      <c r="D36" s="87"/>
      <c r="E36" s="95"/>
      <c r="F36" s="87"/>
      <c r="G36" s="88"/>
      <c r="H36" s="89"/>
      <c r="I36" s="89"/>
      <c r="J36" s="89"/>
      <c r="K36" s="87"/>
      <c r="L36" s="98"/>
      <c r="M36" s="87"/>
      <c r="N36" s="19"/>
      <c r="O36" s="77"/>
    </row>
    <row r="37" spans="1:15">
      <c r="A37" s="125"/>
      <c r="B37" s="63"/>
      <c r="C37" s="58"/>
      <c r="D37" s="138"/>
      <c r="E37" s="96"/>
      <c r="F37" s="58"/>
      <c r="G37" s="59"/>
      <c r="H37" s="60"/>
      <c r="I37" s="60"/>
      <c r="J37" s="60"/>
      <c r="K37" s="58"/>
      <c r="L37" s="64"/>
      <c r="M37" s="58"/>
      <c r="N37" s="19"/>
      <c r="O37" s="62"/>
    </row>
    <row r="38" spans="1:15">
      <c r="A38" s="125"/>
      <c r="B38" s="63"/>
      <c r="C38" s="58"/>
      <c r="D38" s="79"/>
      <c r="E38" s="79"/>
      <c r="F38" s="58"/>
      <c r="G38" s="59"/>
      <c r="H38" s="60"/>
      <c r="I38" s="60"/>
      <c r="J38" s="60"/>
      <c r="K38" s="58"/>
      <c r="L38" s="64"/>
      <c r="M38" s="58"/>
      <c r="N38" s="19"/>
      <c r="O38" s="62"/>
    </row>
    <row r="39" spans="1:15">
      <c r="A39" s="125"/>
      <c r="B39" s="63"/>
      <c r="C39" s="58"/>
      <c r="D39" s="78"/>
      <c r="E39" s="79"/>
      <c r="F39" s="80"/>
      <c r="G39" s="58"/>
      <c r="H39" s="59"/>
      <c r="I39" s="60"/>
      <c r="J39" s="60"/>
      <c r="K39" s="60"/>
      <c r="L39" s="100"/>
      <c r="M39" s="61"/>
      <c r="N39" s="58"/>
      <c r="O39" s="62"/>
    </row>
    <row r="40" spans="1:15">
      <c r="A40" s="125"/>
      <c r="B40" s="63"/>
      <c r="C40" s="58"/>
      <c r="D40" s="78"/>
      <c r="E40" s="79"/>
      <c r="F40" s="80"/>
      <c r="G40" s="58"/>
      <c r="H40" s="59"/>
      <c r="I40" s="60"/>
      <c r="J40" s="60"/>
      <c r="K40" s="60"/>
      <c r="L40" s="100"/>
      <c r="M40" s="61"/>
      <c r="N40" s="58"/>
      <c r="O40" s="62"/>
    </row>
    <row r="41" spans="1:15">
      <c r="C41" s="58"/>
      <c r="D41" s="90"/>
      <c r="E41" s="94"/>
      <c r="F41" s="90"/>
      <c r="G41" s="90"/>
      <c r="H41" s="91"/>
      <c r="I41" s="91"/>
      <c r="J41" s="91"/>
      <c r="K41" s="91"/>
      <c r="L41" s="101"/>
      <c r="M41" s="93"/>
      <c r="N41" s="91"/>
      <c r="O41" s="124"/>
    </row>
    <row r="42" spans="1:15">
      <c r="C42" s="58"/>
      <c r="D42" s="90"/>
      <c r="E42" s="94"/>
      <c r="F42" s="90"/>
      <c r="G42" s="90"/>
      <c r="H42" s="91"/>
      <c r="I42" s="91"/>
      <c r="J42" s="91"/>
      <c r="K42" s="91"/>
      <c r="L42" s="101"/>
      <c r="M42" s="93"/>
      <c r="N42" s="91"/>
      <c r="O42" s="124"/>
    </row>
    <row r="43" spans="1:15">
      <c r="A43" s="125"/>
      <c r="B43" s="63"/>
      <c r="C43" s="86"/>
      <c r="D43" s="87"/>
      <c r="E43" s="86"/>
      <c r="F43" s="87"/>
      <c r="G43" s="88"/>
      <c r="H43" s="89"/>
      <c r="I43" s="89"/>
      <c r="J43" s="89"/>
      <c r="K43" s="87"/>
      <c r="L43" s="98"/>
      <c r="M43" s="87"/>
      <c r="N43" s="77"/>
    </row>
    <row r="44" spans="1:15">
      <c r="A44" s="125"/>
      <c r="B44" s="63"/>
      <c r="C44" s="58"/>
      <c r="D44" s="139"/>
      <c r="E44" s="19"/>
      <c r="F44" s="58"/>
      <c r="G44" s="59"/>
      <c r="H44" s="60"/>
      <c r="I44" s="60"/>
      <c r="J44" s="60"/>
      <c r="K44" s="58"/>
      <c r="L44" s="64"/>
      <c r="M44" s="58"/>
      <c r="N44" s="62"/>
    </row>
    <row r="45" spans="1:15">
      <c r="A45" s="125"/>
      <c r="B45" s="63"/>
      <c r="C45" s="58"/>
      <c r="D45" s="81"/>
      <c r="E45" s="19"/>
      <c r="F45" s="81"/>
      <c r="G45" s="58"/>
      <c r="H45" s="59"/>
      <c r="I45" s="60"/>
      <c r="J45" s="60"/>
      <c r="K45" s="60"/>
      <c r="L45" s="58"/>
      <c r="M45" s="61"/>
      <c r="N45" s="58"/>
      <c r="O45" s="62"/>
    </row>
    <row r="46" spans="1:15">
      <c r="A46" s="125"/>
      <c r="B46" s="63"/>
      <c r="C46" s="58"/>
      <c r="D46" s="78"/>
      <c r="E46" s="81"/>
      <c r="F46" s="81"/>
      <c r="G46" s="58"/>
      <c r="H46" s="59"/>
      <c r="I46" s="60"/>
      <c r="J46" s="60"/>
      <c r="K46" s="60"/>
      <c r="L46" s="58"/>
      <c r="M46" s="61"/>
      <c r="N46" s="58"/>
      <c r="O46" s="62"/>
    </row>
    <row r="47" spans="1:15">
      <c r="A47" s="125"/>
      <c r="B47" s="63"/>
      <c r="C47" s="58"/>
      <c r="D47" s="78"/>
      <c r="E47" s="81"/>
      <c r="F47" s="81"/>
      <c r="G47" s="58"/>
      <c r="H47" s="59"/>
      <c r="I47" s="60"/>
      <c r="J47" s="60"/>
      <c r="K47" s="60"/>
      <c r="L47" s="58"/>
      <c r="M47" s="61"/>
      <c r="N47" s="58"/>
      <c r="O47" s="62"/>
    </row>
    <row r="48" spans="1:15">
      <c r="C48" s="58"/>
      <c r="D48" s="90"/>
      <c r="E48" s="94"/>
      <c r="F48" s="90"/>
      <c r="G48" s="90"/>
      <c r="H48" s="91"/>
      <c r="I48" s="91"/>
      <c r="J48" s="91"/>
      <c r="K48" s="91"/>
      <c r="L48" s="92"/>
      <c r="M48" s="93"/>
      <c r="N48" s="91"/>
      <c r="O48" s="124"/>
    </row>
    <row r="49" spans="1:15">
      <c r="A49" s="58"/>
      <c r="B49" s="63"/>
      <c r="C49" s="86"/>
      <c r="D49" s="87"/>
      <c r="E49" s="95"/>
      <c r="F49" s="87"/>
      <c r="G49" s="88"/>
      <c r="H49" s="89"/>
      <c r="I49" s="89"/>
      <c r="J49" s="89"/>
      <c r="K49" s="87"/>
      <c r="L49" s="123"/>
      <c r="M49" s="87"/>
      <c r="O49" s="77"/>
    </row>
    <row r="50" spans="1:15">
      <c r="A50" s="58"/>
      <c r="B50" s="63"/>
      <c r="C50" s="58"/>
      <c r="D50" s="96"/>
      <c r="E50" s="19"/>
      <c r="F50" s="109"/>
      <c r="G50" s="59"/>
      <c r="H50" s="60"/>
      <c r="I50" s="60"/>
      <c r="J50" s="60"/>
      <c r="K50" s="58"/>
      <c r="L50" s="61"/>
      <c r="M50" s="58"/>
      <c r="O50" s="62"/>
    </row>
    <row r="51" spans="1:15">
      <c r="A51" s="58"/>
      <c r="B51" s="63"/>
      <c r="C51" s="58"/>
      <c r="D51" s="79"/>
      <c r="E51" s="19"/>
      <c r="F51" s="109"/>
      <c r="G51" s="59"/>
      <c r="H51" s="60"/>
      <c r="I51" s="60"/>
      <c r="J51" s="60"/>
      <c r="K51" s="58"/>
      <c r="L51" s="61"/>
      <c r="M51" s="58"/>
      <c r="O51" s="62"/>
    </row>
    <row r="52" spans="1:15">
      <c r="A52" s="58"/>
      <c r="B52" s="63"/>
      <c r="C52" s="58"/>
      <c r="D52" s="79"/>
      <c r="E52" s="19"/>
      <c r="F52" s="80"/>
      <c r="G52" s="58"/>
      <c r="H52" s="59"/>
      <c r="I52" s="60"/>
      <c r="J52" s="60"/>
      <c r="K52" s="60"/>
      <c r="L52" s="58"/>
      <c r="M52" s="61"/>
      <c r="N52" s="58"/>
      <c r="O52" s="62"/>
    </row>
    <row r="53" spans="1:15">
      <c r="A53" s="58"/>
      <c r="B53" s="63"/>
      <c r="C53" s="58"/>
      <c r="D53" s="78"/>
      <c r="E53" s="79"/>
      <c r="F53" s="81"/>
      <c r="G53" s="58"/>
      <c r="H53" s="59"/>
      <c r="I53" s="60"/>
      <c r="J53" s="60"/>
      <c r="K53" s="60"/>
      <c r="L53" s="58"/>
      <c r="M53" s="61"/>
      <c r="N53" s="58"/>
      <c r="O53" s="62"/>
    </row>
    <row r="54" spans="1:15">
      <c r="D54" s="90"/>
      <c r="E54" s="94"/>
      <c r="F54" s="90"/>
      <c r="G54" s="90"/>
      <c r="H54" s="91"/>
      <c r="I54" s="91"/>
      <c r="J54" s="91"/>
      <c r="K54" s="91"/>
      <c r="L54" s="92"/>
      <c r="M54" s="93"/>
      <c r="N54" s="91"/>
      <c r="O54" s="91"/>
    </row>
    <row r="55" spans="1:15">
      <c r="C55" s="58"/>
      <c r="D55" s="90"/>
      <c r="E55" s="94"/>
      <c r="F55" s="90"/>
      <c r="G55" s="90"/>
      <c r="H55" s="91"/>
      <c r="I55" s="91"/>
      <c r="J55" s="91"/>
      <c r="K55" s="91"/>
      <c r="L55" s="92"/>
      <c r="M55" s="93"/>
      <c r="N55" s="91"/>
      <c r="O55" s="124"/>
    </row>
    <row r="56" spans="1:15">
      <c r="C56" s="58"/>
      <c r="D56" s="90"/>
      <c r="E56" s="94"/>
      <c r="F56" s="90"/>
      <c r="G56" s="90"/>
      <c r="H56" s="91"/>
      <c r="I56" s="91"/>
      <c r="J56" s="91"/>
      <c r="K56" s="91"/>
      <c r="L56" s="92"/>
      <c r="M56" s="93"/>
      <c r="N56" s="91"/>
      <c r="O56" s="124"/>
    </row>
    <row r="57" spans="1:15">
      <c r="C57" s="58"/>
      <c r="D57" s="90"/>
      <c r="E57" s="94"/>
      <c r="F57" s="90"/>
      <c r="G57" s="90"/>
      <c r="H57" s="91"/>
      <c r="I57" s="91"/>
      <c r="J57" s="91"/>
      <c r="K57" s="91"/>
      <c r="L57" s="92"/>
      <c r="M57" s="93"/>
      <c r="N57" s="91"/>
      <c r="O57" s="124"/>
    </row>
    <row r="58" spans="1:15">
      <c r="C58" s="58"/>
      <c r="D58" s="90"/>
      <c r="E58" s="94"/>
      <c r="F58" s="90"/>
      <c r="G58" s="90"/>
      <c r="H58" s="91"/>
      <c r="I58" s="91"/>
      <c r="J58" s="91"/>
      <c r="K58" s="91"/>
      <c r="L58" s="92"/>
      <c r="M58" s="93"/>
      <c r="N58" s="91"/>
      <c r="O58" s="124"/>
    </row>
    <row r="59" spans="1:15">
      <c r="C59" s="58"/>
      <c r="D59" s="90"/>
      <c r="E59" s="94"/>
      <c r="F59" s="90"/>
      <c r="G59" s="90"/>
      <c r="H59" s="91"/>
      <c r="I59" s="91"/>
      <c r="J59" s="91"/>
      <c r="K59" s="91"/>
      <c r="L59" s="92"/>
      <c r="M59" s="93"/>
      <c r="N59" s="91"/>
      <c r="O59" s="124"/>
    </row>
    <row r="60" spans="1:15">
      <c r="C60" s="58"/>
      <c r="D60" s="90"/>
      <c r="E60" s="94"/>
      <c r="F60" s="90"/>
      <c r="G60" s="90"/>
      <c r="H60" s="91"/>
      <c r="I60" s="91"/>
      <c r="J60" s="91"/>
      <c r="K60" s="91"/>
      <c r="L60" s="92"/>
      <c r="M60" s="93"/>
      <c r="N60" s="91"/>
      <c r="O60" s="124"/>
    </row>
    <row r="61" spans="1:15">
      <c r="C61" s="58"/>
      <c r="D61" s="90"/>
      <c r="E61" s="94"/>
      <c r="F61" s="90"/>
      <c r="G61" s="90"/>
      <c r="H61" s="91"/>
      <c r="I61" s="91"/>
      <c r="J61" s="91"/>
      <c r="K61" s="91"/>
      <c r="L61" s="92"/>
      <c r="M61" s="93"/>
      <c r="N61" s="91"/>
      <c r="O61" s="124"/>
    </row>
    <row r="62" spans="1:15">
      <c r="C62" s="58"/>
      <c r="D62" s="90"/>
      <c r="E62" s="94"/>
      <c r="F62" s="90"/>
      <c r="G62" s="90"/>
      <c r="H62" s="91"/>
      <c r="I62" s="91"/>
      <c r="J62" s="91"/>
      <c r="K62" s="91"/>
      <c r="L62" s="92"/>
      <c r="M62" s="93"/>
      <c r="N62" s="91"/>
      <c r="O62" s="124"/>
    </row>
    <row r="63" spans="1:15">
      <c r="C63" s="58"/>
      <c r="D63" s="90"/>
      <c r="E63" s="94"/>
      <c r="F63" s="90"/>
      <c r="G63" s="90"/>
      <c r="H63" s="91"/>
      <c r="I63" s="91"/>
      <c r="J63" s="91"/>
      <c r="K63" s="91"/>
      <c r="L63" s="92"/>
      <c r="M63" s="93"/>
      <c r="N63" s="91"/>
      <c r="O63" s="124"/>
    </row>
    <row r="64" spans="1:15">
      <c r="C64" s="8"/>
      <c r="D64" s="8"/>
      <c r="E64" s="7"/>
      <c r="F64" s="6"/>
      <c r="G64" s="6"/>
      <c r="H64" s="5"/>
      <c r="I64" s="5"/>
      <c r="J64" s="5"/>
      <c r="K64" s="6"/>
      <c r="L64" s="4"/>
      <c r="M64" s="6"/>
      <c r="N64" s="2"/>
    </row>
    <row r="65" spans="3:14">
      <c r="C65" s="8"/>
      <c r="D65" s="8"/>
      <c r="E65" s="7"/>
      <c r="F65" s="6"/>
      <c r="G65" s="6"/>
      <c r="H65" s="5"/>
      <c r="I65" s="5"/>
      <c r="J65" s="5"/>
      <c r="K65" s="6"/>
      <c r="L65" s="4"/>
      <c r="M65" s="6"/>
      <c r="N65" s="2"/>
    </row>
    <row r="66" spans="3:14">
      <c r="C66" s="8"/>
      <c r="D66" s="8"/>
      <c r="E66" s="7"/>
      <c r="F66" s="6"/>
      <c r="G66" s="6"/>
      <c r="H66" s="5"/>
      <c r="I66" s="5"/>
      <c r="J66" s="5"/>
      <c r="K66" s="6"/>
      <c r="L66" s="4"/>
      <c r="M66" s="6"/>
      <c r="N66" s="2"/>
    </row>
    <row r="67" spans="3:14">
      <c r="C67" s="8"/>
      <c r="D67" s="8"/>
      <c r="E67" s="7"/>
      <c r="F67" s="6"/>
      <c r="G67" s="6"/>
      <c r="H67" s="5"/>
      <c r="I67" s="5"/>
      <c r="J67" s="5"/>
      <c r="K67" s="6"/>
      <c r="L67" s="4"/>
      <c r="M67" s="6"/>
      <c r="N67" s="2"/>
    </row>
    <row r="68" spans="3:14">
      <c r="C68" s="8"/>
      <c r="D68" s="8"/>
      <c r="E68" s="7"/>
      <c r="F68" s="6"/>
      <c r="G68" s="6"/>
      <c r="H68" s="5"/>
      <c r="I68" s="5"/>
      <c r="J68" s="5"/>
      <c r="K68" s="6"/>
      <c r="L68" s="4"/>
      <c r="M68" s="6"/>
      <c r="N68" s="2"/>
    </row>
    <row r="69" spans="3:14">
      <c r="C69" s="8"/>
      <c r="D69" s="8"/>
      <c r="E69" s="7"/>
      <c r="F69" s="6"/>
      <c r="G69" s="6"/>
      <c r="H69" s="5"/>
      <c r="I69" s="5"/>
      <c r="J69" s="5"/>
      <c r="K69" s="6"/>
      <c r="L69" s="4"/>
      <c r="M69" s="6"/>
      <c r="N69" s="2"/>
    </row>
    <row r="70" spans="3:14">
      <c r="C70" s="8"/>
      <c r="D70" s="8"/>
      <c r="E70" s="7"/>
      <c r="F70" s="6"/>
      <c r="G70" s="6"/>
      <c r="H70" s="5"/>
      <c r="I70" s="5"/>
      <c r="J70" s="5"/>
      <c r="K70" s="6"/>
      <c r="L70" s="4"/>
      <c r="M70" s="6"/>
      <c r="N70" s="2"/>
    </row>
    <row r="71" spans="3:14">
      <c r="C71" s="8"/>
      <c r="D71" s="8"/>
      <c r="E71" s="7"/>
      <c r="F71" s="6"/>
      <c r="G71" s="6"/>
      <c r="H71" s="5"/>
      <c r="I71" s="5"/>
      <c r="J71" s="5"/>
      <c r="K71" s="6"/>
      <c r="L71" s="108"/>
      <c r="M71" s="6"/>
      <c r="N71" s="2"/>
    </row>
    <row r="72" spans="3:14">
      <c r="C72" s="8"/>
      <c r="D72" s="8"/>
      <c r="E72" s="7"/>
      <c r="F72" s="6"/>
      <c r="G72" s="6"/>
      <c r="H72" s="5"/>
      <c r="I72" s="5"/>
      <c r="J72" s="5"/>
      <c r="K72" s="6"/>
      <c r="L72" s="4"/>
      <c r="M72" s="6"/>
      <c r="N72" s="2"/>
    </row>
    <row r="73" spans="3:14">
      <c r="C73" s="8"/>
      <c r="D73" s="8"/>
      <c r="E73" s="7"/>
      <c r="F73" s="6"/>
      <c r="G73" s="6"/>
      <c r="H73" s="5"/>
      <c r="I73" s="5"/>
      <c r="J73" s="5"/>
      <c r="K73" s="6"/>
      <c r="L73" s="4"/>
      <c r="M73" s="6"/>
      <c r="N73" s="2"/>
    </row>
    <row r="74" spans="3:14">
      <c r="C74" s="8"/>
      <c r="D74" s="8"/>
      <c r="E74" s="7"/>
      <c r="F74" s="6"/>
      <c r="G74" s="6"/>
      <c r="H74" s="5"/>
      <c r="I74" s="5"/>
      <c r="J74" s="5"/>
      <c r="K74" s="6"/>
      <c r="L74" s="4"/>
      <c r="M74" s="6"/>
      <c r="N74" s="2"/>
    </row>
    <row r="75" spans="3:14">
      <c r="C75" s="8"/>
      <c r="D75" s="8"/>
      <c r="E75" s="7"/>
      <c r="F75" s="6"/>
      <c r="G75" s="6"/>
      <c r="H75" s="5"/>
      <c r="I75" s="5"/>
      <c r="J75" s="5"/>
      <c r="K75" s="6"/>
      <c r="L75" s="4"/>
      <c r="M75" s="6"/>
      <c r="N75" s="2"/>
    </row>
    <row r="76" spans="3:14">
      <c r="C76" s="8"/>
      <c r="D76" s="8"/>
      <c r="E76" s="7"/>
      <c r="F76" s="6"/>
      <c r="G76" s="6"/>
      <c r="H76" s="5"/>
      <c r="I76" s="5"/>
      <c r="J76" s="5"/>
      <c r="K76" s="6"/>
      <c r="L76" s="4"/>
      <c r="M76" s="6"/>
      <c r="N76" s="2"/>
    </row>
    <row r="77" spans="3:14" ht="14.25" customHeight="1">
      <c r="C77" s="8"/>
      <c r="D77" s="8"/>
      <c r="E77" s="7"/>
      <c r="F77" s="6"/>
      <c r="G77" s="6"/>
      <c r="H77" s="5"/>
      <c r="I77" s="5"/>
      <c r="J77" s="5"/>
      <c r="K77" s="6"/>
      <c r="L77" s="4"/>
      <c r="M77" s="6"/>
      <c r="N77" s="2"/>
    </row>
    <row r="78" spans="3:14" ht="14.25" customHeight="1">
      <c r="C78" s="8"/>
      <c r="D78" s="8"/>
      <c r="E78" s="7"/>
      <c r="F78" s="6"/>
      <c r="G78" s="6"/>
      <c r="H78" s="5"/>
      <c r="I78" s="5"/>
      <c r="J78" s="5"/>
      <c r="K78" s="6"/>
      <c r="L78" s="4"/>
      <c r="M78" s="6"/>
      <c r="N78" s="2"/>
    </row>
    <row r="79" spans="3:14" ht="14.25" customHeight="1">
      <c r="C79" s="8"/>
      <c r="D79" s="8"/>
      <c r="E79" s="7"/>
      <c r="F79" s="6"/>
      <c r="G79" s="6"/>
      <c r="H79" s="5"/>
      <c r="I79" s="5"/>
      <c r="J79" s="5"/>
      <c r="K79" s="6"/>
      <c r="L79" s="4"/>
      <c r="M79" s="6"/>
      <c r="N79" s="2"/>
    </row>
    <row r="80" spans="3:14" ht="14.25" customHeight="1">
      <c r="C80" s="8"/>
      <c r="D80" s="8"/>
      <c r="E80" s="7"/>
      <c r="F80" s="6"/>
      <c r="G80" s="6"/>
      <c r="H80" s="5"/>
      <c r="I80" s="5"/>
      <c r="J80" s="5"/>
      <c r="K80" s="6"/>
      <c r="L80" s="4"/>
      <c r="M80" s="6"/>
      <c r="N80" s="2"/>
    </row>
    <row r="81" spans="3:14" ht="14.25" customHeight="1">
      <c r="C81" s="8"/>
      <c r="D81" s="8"/>
      <c r="E81" s="7"/>
      <c r="F81" s="6"/>
      <c r="G81" s="6"/>
      <c r="H81" s="5"/>
      <c r="I81" s="5"/>
      <c r="J81" s="5"/>
      <c r="K81" s="6"/>
      <c r="L81" s="4"/>
      <c r="M81" s="6"/>
      <c r="N81" s="2"/>
    </row>
    <row r="82" spans="3:14" ht="14.25" customHeight="1">
      <c r="C82" s="8"/>
      <c r="D82" s="8"/>
      <c r="E82" s="7"/>
      <c r="F82" s="6"/>
      <c r="G82" s="6"/>
      <c r="H82" s="5"/>
      <c r="I82" s="5"/>
      <c r="J82" s="5"/>
      <c r="K82" s="6"/>
      <c r="L82" s="4"/>
      <c r="M82" s="6"/>
      <c r="N82" s="2"/>
    </row>
    <row r="83" spans="3:14" ht="14.25" customHeight="1">
      <c r="C83" s="8"/>
      <c r="D83" s="8"/>
      <c r="E83" s="7"/>
      <c r="F83" s="6"/>
      <c r="G83" s="6"/>
      <c r="H83" s="5"/>
      <c r="I83" s="5"/>
      <c r="J83" s="5"/>
      <c r="K83" s="6"/>
      <c r="L83" s="4"/>
      <c r="M83" s="6"/>
      <c r="N83" s="2"/>
    </row>
    <row r="84" spans="3:14" ht="14.25" customHeight="1">
      <c r="C84" s="8"/>
      <c r="D84" s="8"/>
      <c r="E84" s="7"/>
      <c r="F84" s="6"/>
      <c r="G84" s="6"/>
      <c r="H84" s="5"/>
      <c r="I84" s="5"/>
      <c r="J84" s="5"/>
      <c r="K84" s="6"/>
      <c r="L84" s="4"/>
      <c r="M84" s="6"/>
      <c r="N84" s="2"/>
    </row>
    <row r="85" spans="3:14" ht="14.25" customHeight="1">
      <c r="C85" s="8"/>
      <c r="D85" s="8"/>
      <c r="E85" s="7"/>
      <c r="F85" s="6"/>
      <c r="G85" s="6"/>
      <c r="H85" s="5"/>
      <c r="I85" s="5"/>
      <c r="J85" s="5"/>
      <c r="K85" s="6"/>
      <c r="L85" s="4"/>
      <c r="M85" s="6"/>
      <c r="N85" s="2"/>
    </row>
    <row r="86" spans="3:14" ht="14.25" customHeight="1">
      <c r="C86" s="8"/>
      <c r="D86" s="8"/>
      <c r="E86" s="7"/>
      <c r="F86" s="6"/>
      <c r="G86" s="6"/>
      <c r="H86" s="5"/>
      <c r="I86" s="5"/>
      <c r="J86" s="5"/>
      <c r="K86" s="6"/>
      <c r="L86" s="4"/>
      <c r="M86" s="6"/>
      <c r="N86" s="2"/>
    </row>
    <row r="87" spans="3:14" ht="14.25" customHeight="1">
      <c r="C87" s="8"/>
      <c r="D87" s="8"/>
      <c r="E87" s="7"/>
      <c r="F87" s="6"/>
      <c r="G87" s="6"/>
      <c r="H87" s="5"/>
      <c r="I87" s="5"/>
      <c r="J87" s="5"/>
      <c r="K87" s="6"/>
      <c r="L87" s="4"/>
      <c r="M87" s="6"/>
      <c r="N87" s="2"/>
    </row>
    <row r="88" spans="3:14" ht="14.25" customHeight="1">
      <c r="C88" s="8"/>
      <c r="D88" s="8"/>
      <c r="E88" s="7"/>
      <c r="F88" s="6"/>
      <c r="G88" s="6"/>
      <c r="H88" s="5"/>
      <c r="I88" s="5"/>
      <c r="J88" s="5"/>
      <c r="K88" s="6"/>
      <c r="L88" s="4"/>
      <c r="M88" s="6"/>
      <c r="N88" s="2"/>
    </row>
    <row r="89" spans="3:14" ht="14.25" customHeight="1">
      <c r="C89" s="8"/>
      <c r="D89" s="8"/>
      <c r="E89" s="7"/>
      <c r="F89" s="6"/>
      <c r="G89" s="6"/>
      <c r="H89" s="5"/>
      <c r="I89" s="5"/>
      <c r="J89" s="5"/>
      <c r="K89" s="6"/>
      <c r="L89" s="4"/>
      <c r="M89" s="6"/>
      <c r="N89" s="2"/>
    </row>
    <row r="90" spans="3:14" ht="14.25" customHeight="1">
      <c r="C90" s="8"/>
      <c r="D90" s="8"/>
      <c r="E90" s="7"/>
      <c r="F90" s="6"/>
      <c r="G90" s="6"/>
      <c r="H90" s="5"/>
      <c r="I90" s="5"/>
      <c r="J90" s="5"/>
      <c r="K90" s="6"/>
      <c r="L90" s="4"/>
      <c r="M90" s="6"/>
      <c r="N90" s="2"/>
    </row>
    <row r="91" spans="3:14" ht="14.25" customHeight="1">
      <c r="C91" s="8"/>
      <c r="D91" s="8"/>
      <c r="E91" s="7"/>
      <c r="F91" s="6"/>
      <c r="G91" s="6"/>
      <c r="H91" s="5"/>
      <c r="I91" s="5"/>
      <c r="J91" s="5"/>
      <c r="K91" s="6"/>
      <c r="L91" s="4"/>
      <c r="M91" s="6"/>
      <c r="N91" s="2"/>
    </row>
    <row r="92" spans="3:14" ht="14.25" customHeight="1">
      <c r="C92" s="8"/>
      <c r="D92" s="8"/>
      <c r="E92" s="7"/>
      <c r="F92" s="6"/>
      <c r="G92" s="6"/>
      <c r="H92" s="5"/>
      <c r="I92" s="5"/>
      <c r="J92" s="5"/>
      <c r="K92" s="6"/>
      <c r="L92" s="4"/>
      <c r="M92" s="3"/>
      <c r="N92" s="2"/>
    </row>
    <row r="93" spans="3:14" ht="14.25" customHeight="1">
      <c r="C93" s="8"/>
      <c r="D93" s="8"/>
      <c r="E93" s="7"/>
      <c r="F93" s="6"/>
      <c r="G93" s="5"/>
      <c r="H93" s="5"/>
      <c r="I93" s="5"/>
      <c r="J93" s="5"/>
      <c r="K93" s="4"/>
      <c r="L93" s="4"/>
      <c r="M93" s="3"/>
      <c r="N93" s="2"/>
    </row>
    <row r="94" spans="3:14" ht="14.25" customHeight="1">
      <c r="C94" s="19"/>
      <c r="D94" s="19"/>
      <c r="E94" s="19"/>
      <c r="F94" s="19"/>
      <c r="G94" s="19"/>
      <c r="H94" s="19"/>
      <c r="I94" s="19"/>
      <c r="J94" s="19"/>
      <c r="K94" s="19"/>
      <c r="L94" s="19"/>
      <c r="M94" s="19"/>
      <c r="N94" s="19"/>
    </row>
    <row r="95" spans="3:14" ht="14.25" customHeight="1">
      <c r="C95" s="31"/>
      <c r="D95" s="27"/>
      <c r="E95" s="20"/>
      <c r="F95" s="28"/>
      <c r="G95" s="28"/>
      <c r="H95" s="26"/>
      <c r="I95" s="26"/>
      <c r="J95" s="26"/>
      <c r="K95" s="28"/>
      <c r="L95" s="29"/>
      <c r="M95" s="28"/>
      <c r="N95" s="27"/>
    </row>
    <row r="96" spans="3:14" s="1" customFormat="1" ht="14.25" customHeight="1">
      <c r="C96" s="31"/>
      <c r="D96" s="27"/>
      <c r="E96" s="21"/>
      <c r="F96" s="28"/>
      <c r="G96" s="28"/>
      <c r="H96" s="26"/>
      <c r="I96" s="26"/>
      <c r="J96" s="26"/>
      <c r="K96" s="28"/>
      <c r="L96" s="29"/>
      <c r="M96" s="28"/>
      <c r="N96" s="27"/>
    </row>
    <row r="97" spans="3:14" s="1" customFormat="1" ht="14.25" customHeight="1">
      <c r="C97" s="30"/>
      <c r="D97" s="25"/>
      <c r="E97" s="21"/>
      <c r="F97" s="22"/>
      <c r="G97" s="22"/>
      <c r="H97" s="23"/>
      <c r="I97" s="23"/>
      <c r="J97" s="23"/>
      <c r="K97" s="22"/>
      <c r="L97" s="24"/>
      <c r="M97" s="22"/>
      <c r="N97" s="25"/>
    </row>
    <row r="98" spans="3:14">
      <c r="L98" s="214">
        <f>SUM(L6:L97)</f>
        <v>27200000</v>
      </c>
    </row>
  </sheetData>
  <mergeCells count="7">
    <mergeCell ref="N17:N22"/>
    <mergeCell ref="C17:C22"/>
    <mergeCell ref="C2:G2"/>
    <mergeCell ref="H2:J2"/>
    <mergeCell ref="K2:L2"/>
    <mergeCell ref="M2:M3"/>
    <mergeCell ref="N2:N3"/>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29638-6060-4D36-85B7-FB742FBC35C1}">
  <sheetPr>
    <tabColor rgb="FFFFC000"/>
  </sheetPr>
  <dimension ref="A2:O99"/>
  <sheetViews>
    <sheetView workbookViewId="0">
      <pane ySplit="4" topLeftCell="A83" activePane="bottomLeft" state="frozen"/>
      <selection activeCell="B1" sqref="B1"/>
      <selection pane="bottomLeft" activeCell="L99" sqref="L99"/>
    </sheetView>
  </sheetViews>
  <sheetFormatPr defaultRowHeight="15"/>
  <cols>
    <col min="3" max="3" width="21.42578125" customWidth="1"/>
    <col min="4" max="4" width="16.85546875" customWidth="1"/>
    <col min="5" max="5" width="26" customWidth="1"/>
    <col min="6" max="6" width="16.7109375" customWidth="1"/>
    <col min="7" max="7" width="11.7109375" customWidth="1"/>
    <col min="8" max="8" width="13.7109375" customWidth="1"/>
    <col min="10" max="10" width="12.5703125" customWidth="1"/>
    <col min="11" max="11" width="21.7109375" customWidth="1"/>
    <col min="12" max="12" width="15" customWidth="1"/>
    <col min="13" max="13" width="18.5703125" customWidth="1"/>
  </cols>
  <sheetData>
    <row r="2" spans="1:15">
      <c r="C2" s="2627" t="s">
        <v>30</v>
      </c>
      <c r="D2" s="2627"/>
      <c r="E2" s="2627"/>
      <c r="F2" s="2627"/>
      <c r="G2" s="2627"/>
      <c r="H2" s="2628" t="s">
        <v>29</v>
      </c>
      <c r="I2" s="2628"/>
      <c r="J2" s="2628"/>
      <c r="K2" s="2627" t="s">
        <v>28</v>
      </c>
      <c r="L2" s="2627"/>
      <c r="M2" s="2628" t="s">
        <v>27</v>
      </c>
      <c r="N2" s="2628" t="s">
        <v>26</v>
      </c>
    </row>
    <row r="3" spans="1:15" ht="72">
      <c r="C3" s="10" t="s">
        <v>25</v>
      </c>
      <c r="D3" s="13" t="s">
        <v>24</v>
      </c>
      <c r="E3" s="12" t="s">
        <v>23</v>
      </c>
      <c r="F3" s="10" t="s">
        <v>22</v>
      </c>
      <c r="G3" s="11" t="s">
        <v>21</v>
      </c>
      <c r="H3" s="11" t="s">
        <v>20</v>
      </c>
      <c r="I3" s="11" t="s">
        <v>19</v>
      </c>
      <c r="J3" s="11" t="s">
        <v>18</v>
      </c>
      <c r="K3" s="10" t="s">
        <v>17</v>
      </c>
      <c r="L3" s="10" t="s">
        <v>16</v>
      </c>
      <c r="M3" s="2628"/>
      <c r="N3" s="2628"/>
    </row>
    <row r="4" spans="1:15" ht="24">
      <c r="C4" s="9" t="s">
        <v>15</v>
      </c>
      <c r="D4" s="9" t="s">
        <v>14</v>
      </c>
      <c r="E4" s="9" t="s">
        <v>13</v>
      </c>
      <c r="F4" s="9" t="s">
        <v>12</v>
      </c>
      <c r="G4" s="9" t="s">
        <v>11</v>
      </c>
      <c r="H4" s="9" t="s">
        <v>10</v>
      </c>
      <c r="I4" s="9" t="s">
        <v>9</v>
      </c>
      <c r="J4" s="9" t="s">
        <v>8</v>
      </c>
      <c r="K4" s="9" t="s">
        <v>7</v>
      </c>
      <c r="L4" s="9" t="s">
        <v>6</v>
      </c>
      <c r="M4" s="9" t="s">
        <v>5</v>
      </c>
      <c r="N4" s="9" t="s">
        <v>4</v>
      </c>
    </row>
    <row r="5" spans="1:15" s="355" customFormat="1" ht="14.25" customHeight="1">
      <c r="C5" s="438" t="s">
        <v>124</v>
      </c>
      <c r="D5" s="352"/>
      <c r="E5" s="352"/>
      <c r="F5" s="352"/>
      <c r="G5" s="352"/>
      <c r="H5" s="352"/>
      <c r="I5" s="352"/>
      <c r="J5" s="352"/>
      <c r="K5" s="352"/>
      <c r="L5" s="352"/>
      <c r="M5" s="352"/>
      <c r="N5" s="352"/>
    </row>
    <row r="6" spans="1:15" s="355" customFormat="1" ht="25.5" customHeight="1">
      <c r="A6" s="355" t="s">
        <v>129</v>
      </c>
      <c r="B6" s="355" t="s">
        <v>102</v>
      </c>
      <c r="C6" s="531" t="s">
        <v>123</v>
      </c>
      <c r="D6" s="532" t="s">
        <v>2</v>
      </c>
      <c r="E6" s="337" t="s">
        <v>94</v>
      </c>
      <c r="F6" s="532" t="s">
        <v>3</v>
      </c>
      <c r="G6" s="533" t="s">
        <v>1</v>
      </c>
      <c r="H6" s="619" t="s">
        <v>95</v>
      </c>
      <c r="I6" s="619" t="s">
        <v>96</v>
      </c>
      <c r="J6" s="619" t="s">
        <v>97</v>
      </c>
      <c r="K6" s="979" t="s">
        <v>98</v>
      </c>
      <c r="L6" s="56">
        <v>11490</v>
      </c>
      <c r="M6" s="532" t="s">
        <v>99</v>
      </c>
      <c r="N6" s="342"/>
    </row>
    <row r="7" spans="1:15" s="355" customFormat="1" ht="14.25" customHeight="1">
      <c r="A7" s="355" t="s">
        <v>129</v>
      </c>
      <c r="B7" s="355" t="s">
        <v>102</v>
      </c>
      <c r="C7" s="2647" t="s">
        <v>135</v>
      </c>
      <c r="D7" s="324"/>
      <c r="E7" s="344" t="s">
        <v>125</v>
      </c>
      <c r="F7" s="357"/>
      <c r="G7" s="438"/>
      <c r="H7" s="441"/>
      <c r="I7" s="504"/>
      <c r="J7" s="504"/>
      <c r="K7" s="438" t="s">
        <v>104</v>
      </c>
      <c r="L7" s="32"/>
      <c r="M7" s="507"/>
      <c r="N7" s="438"/>
      <c r="O7" s="348"/>
    </row>
    <row r="8" spans="1:15" s="355" customFormat="1" ht="14.25" customHeight="1">
      <c r="A8" s="355" t="s">
        <v>129</v>
      </c>
      <c r="B8" s="355" t="s">
        <v>102</v>
      </c>
      <c r="C8" s="2648"/>
      <c r="D8" s="324"/>
      <c r="E8" s="349" t="s">
        <v>126</v>
      </c>
      <c r="F8" s="358"/>
      <c r="G8" s="438"/>
      <c r="H8" s="441"/>
      <c r="I8" s="504"/>
      <c r="J8" s="504"/>
      <c r="K8" s="504"/>
      <c r="L8" s="519"/>
      <c r="M8" s="507"/>
      <c r="N8" s="438"/>
      <c r="O8" s="348"/>
    </row>
    <row r="9" spans="1:15" s="355" customFormat="1" ht="14.25" customHeight="1">
      <c r="A9" s="355" t="s">
        <v>129</v>
      </c>
      <c r="B9" s="355" t="s">
        <v>102</v>
      </c>
      <c r="C9" s="2649"/>
      <c r="D9" s="324"/>
      <c r="E9" s="349" t="s">
        <v>127</v>
      </c>
      <c r="F9" s="358"/>
      <c r="G9" s="438"/>
      <c r="H9" s="441"/>
      <c r="I9" s="504"/>
      <c r="J9" s="504"/>
      <c r="K9" s="504"/>
      <c r="L9" s="519"/>
      <c r="M9" s="507"/>
      <c r="N9" s="438"/>
      <c r="O9" s="348"/>
    </row>
    <row r="10" spans="1:15" s="355" customFormat="1" ht="14.25" customHeight="1">
      <c r="A10" s="355" t="s">
        <v>129</v>
      </c>
      <c r="B10" s="355" t="s">
        <v>102</v>
      </c>
      <c r="C10" s="438"/>
      <c r="D10" s="324"/>
      <c r="E10" s="349" t="s">
        <v>128</v>
      </c>
      <c r="F10" s="358"/>
      <c r="G10" s="438"/>
      <c r="H10" s="441"/>
      <c r="I10" s="504"/>
      <c r="J10" s="504"/>
      <c r="K10" s="504"/>
      <c r="L10" s="519"/>
      <c r="M10" s="507"/>
      <c r="N10" s="438"/>
      <c r="O10" s="348"/>
    </row>
    <row r="11" spans="1:15" s="355" customFormat="1" ht="14.25" customHeight="1">
      <c r="A11" s="355" t="s">
        <v>129</v>
      </c>
      <c r="B11" s="355" t="s">
        <v>102</v>
      </c>
      <c r="C11" s="438"/>
      <c r="D11" s="350"/>
      <c r="E11" s="351" t="s">
        <v>130</v>
      </c>
      <c r="F11" s="350"/>
      <c r="G11" s="350"/>
      <c r="H11" s="352"/>
      <c r="I11" s="352"/>
      <c r="J11" s="352"/>
      <c r="K11" s="352"/>
      <c r="L11" s="409"/>
      <c r="M11" s="770"/>
      <c r="N11" s="352"/>
      <c r="O11" s="352"/>
    </row>
    <row r="12" spans="1:15" s="355" customFormat="1" ht="14.25" customHeight="1">
      <c r="A12" s="355" t="s">
        <v>129</v>
      </c>
      <c r="B12" s="355" t="s">
        <v>102</v>
      </c>
      <c r="C12" s="438"/>
      <c r="D12" s="350"/>
      <c r="E12" s="351" t="s">
        <v>131</v>
      </c>
      <c r="F12" s="350"/>
      <c r="G12" s="350"/>
      <c r="H12" s="352"/>
      <c r="I12" s="352"/>
      <c r="J12" s="352"/>
      <c r="K12" s="352"/>
      <c r="L12" s="409"/>
      <c r="M12" s="770"/>
      <c r="N12" s="352"/>
      <c r="O12" s="352"/>
    </row>
    <row r="13" spans="1:15" s="355" customFormat="1" ht="14.25" customHeight="1">
      <c r="A13" s="355" t="s">
        <v>129</v>
      </c>
      <c r="B13" s="355" t="s">
        <v>102</v>
      </c>
      <c r="C13" s="438"/>
      <c r="D13" s="350"/>
      <c r="E13" s="350" t="s">
        <v>132</v>
      </c>
      <c r="F13" s="350"/>
      <c r="G13" s="350"/>
      <c r="H13" s="352"/>
      <c r="I13" s="352"/>
      <c r="J13" s="352"/>
      <c r="K13" s="352"/>
      <c r="L13" s="409"/>
      <c r="M13" s="770"/>
      <c r="N13" s="352"/>
      <c r="O13" s="352"/>
    </row>
    <row r="14" spans="1:15" s="355" customFormat="1" ht="14.25" customHeight="1">
      <c r="A14" s="355" t="s">
        <v>129</v>
      </c>
      <c r="B14" s="355" t="s">
        <v>102</v>
      </c>
      <c r="C14" s="438"/>
      <c r="D14" s="350"/>
      <c r="E14" s="350" t="s">
        <v>133</v>
      </c>
      <c r="F14" s="350"/>
      <c r="G14" s="350"/>
      <c r="H14" s="352"/>
      <c r="I14" s="352"/>
      <c r="J14" s="352"/>
      <c r="K14" s="352"/>
      <c r="L14" s="409"/>
      <c r="M14" s="770"/>
      <c r="N14" s="352"/>
      <c r="O14" s="352"/>
    </row>
    <row r="15" spans="1:15" s="355" customFormat="1" ht="14.25" customHeight="1">
      <c r="A15" s="355" t="s">
        <v>129</v>
      </c>
      <c r="B15" s="355" t="s">
        <v>102</v>
      </c>
      <c r="C15" s="438"/>
      <c r="D15" s="350"/>
      <c r="E15" s="350" t="s">
        <v>134</v>
      </c>
      <c r="F15" s="350"/>
      <c r="G15" s="350"/>
      <c r="H15" s="352"/>
      <c r="I15" s="352"/>
      <c r="J15" s="352"/>
      <c r="K15" s="352"/>
      <c r="L15" s="409"/>
      <c r="M15" s="770"/>
      <c r="N15" s="352"/>
      <c r="O15" s="352"/>
    </row>
    <row r="16" spans="1:15" s="355" customFormat="1" ht="24.75" customHeight="1">
      <c r="A16" s="355" t="s">
        <v>129</v>
      </c>
      <c r="B16" s="355" t="s">
        <v>102</v>
      </c>
      <c r="C16" s="531"/>
      <c r="D16" s="532" t="s">
        <v>2</v>
      </c>
      <c r="E16" s="337" t="s">
        <v>94</v>
      </c>
      <c r="F16" s="532" t="s">
        <v>3</v>
      </c>
      <c r="G16" s="533" t="s">
        <v>1</v>
      </c>
      <c r="H16" s="619" t="s">
        <v>117</v>
      </c>
      <c r="I16" s="619" t="s">
        <v>118</v>
      </c>
      <c r="J16" s="619" t="s">
        <v>119</v>
      </c>
      <c r="K16" s="532" t="s">
        <v>98</v>
      </c>
      <c r="L16" s="620">
        <v>11370</v>
      </c>
      <c r="M16" s="532" t="s">
        <v>99</v>
      </c>
      <c r="O16" s="342"/>
    </row>
    <row r="17" spans="1:15" s="355" customFormat="1" ht="14.25" customHeight="1">
      <c r="A17" s="355" t="s">
        <v>129</v>
      </c>
      <c r="B17" s="355" t="s">
        <v>102</v>
      </c>
      <c r="C17" s="438"/>
      <c r="D17" s="324"/>
      <c r="E17" s="344" t="s">
        <v>136</v>
      </c>
      <c r="F17" s="438"/>
      <c r="G17" s="441"/>
      <c r="H17" s="504"/>
      <c r="I17" s="504"/>
      <c r="J17" s="504"/>
      <c r="K17" s="438" t="s">
        <v>104</v>
      </c>
      <c r="L17" s="507"/>
      <c r="M17" s="438"/>
      <c r="N17" s="352"/>
      <c r="O17" s="348"/>
    </row>
    <row r="18" spans="1:15" s="355" customFormat="1" ht="14.25" customHeight="1">
      <c r="A18" s="355" t="s">
        <v>129</v>
      </c>
      <c r="B18" s="355" t="s">
        <v>102</v>
      </c>
      <c r="C18" s="438"/>
      <c r="D18" s="324"/>
      <c r="E18" s="349" t="s">
        <v>137</v>
      </c>
      <c r="F18" s="360"/>
      <c r="G18" s="438"/>
      <c r="H18" s="441"/>
      <c r="I18" s="504"/>
      <c r="J18" s="504"/>
      <c r="K18" s="504"/>
      <c r="L18" s="438"/>
      <c r="M18" s="507"/>
      <c r="N18" s="438"/>
      <c r="O18" s="348"/>
    </row>
    <row r="19" spans="1:15" s="355" customFormat="1" ht="14.25" customHeight="1">
      <c r="A19" s="355" t="s">
        <v>129</v>
      </c>
      <c r="B19" s="355" t="s">
        <v>102</v>
      </c>
      <c r="C19" s="438"/>
      <c r="D19" s="324"/>
      <c r="E19" s="349" t="s">
        <v>138</v>
      </c>
      <c r="F19" s="360"/>
      <c r="G19" s="438"/>
      <c r="H19" s="441"/>
      <c r="I19" s="504"/>
      <c r="J19" s="504"/>
      <c r="K19" s="504"/>
      <c r="L19" s="438"/>
      <c r="M19" s="507"/>
      <c r="N19" s="438"/>
      <c r="O19" s="348"/>
    </row>
    <row r="20" spans="1:15" s="355" customFormat="1" ht="14.25" customHeight="1">
      <c r="A20" s="355" t="s">
        <v>129</v>
      </c>
      <c r="B20" s="355" t="s">
        <v>102</v>
      </c>
      <c r="C20" s="438"/>
      <c r="D20" s="324"/>
      <c r="E20" s="349" t="s">
        <v>139</v>
      </c>
      <c r="F20" s="360"/>
      <c r="G20" s="438"/>
      <c r="H20" s="441"/>
      <c r="I20" s="504"/>
      <c r="J20" s="504"/>
      <c r="K20" s="504"/>
      <c r="L20" s="438"/>
      <c r="M20" s="507"/>
      <c r="N20" s="438"/>
      <c r="O20" s="348"/>
    </row>
    <row r="21" spans="1:15" s="355" customFormat="1" ht="14.25" customHeight="1">
      <c r="A21" s="355" t="s">
        <v>129</v>
      </c>
      <c r="B21" s="355" t="s">
        <v>102</v>
      </c>
      <c r="C21" s="438"/>
      <c r="D21" s="350"/>
      <c r="E21" s="351" t="s">
        <v>140</v>
      </c>
      <c r="F21" s="771"/>
      <c r="G21" s="350"/>
      <c r="H21" s="352"/>
      <c r="I21" s="352"/>
      <c r="J21" s="352"/>
      <c r="K21" s="352"/>
      <c r="L21" s="352"/>
      <c r="M21" s="770"/>
      <c r="N21" s="352"/>
      <c r="O21" s="352"/>
    </row>
    <row r="22" spans="1:15" s="355" customFormat="1" ht="14.25" customHeight="1">
      <c r="A22" s="355" t="s">
        <v>129</v>
      </c>
      <c r="B22" s="355" t="s">
        <v>102</v>
      </c>
      <c r="C22" s="438"/>
      <c r="D22" s="350"/>
      <c r="E22" s="350" t="s">
        <v>141</v>
      </c>
      <c r="F22" s="350"/>
      <c r="G22" s="350"/>
      <c r="H22" s="352"/>
      <c r="I22" s="352"/>
      <c r="J22" s="352"/>
      <c r="K22" s="352"/>
      <c r="L22" s="352"/>
      <c r="M22" s="770"/>
      <c r="N22" s="352"/>
      <c r="O22" s="352"/>
    </row>
    <row r="23" spans="1:15" s="355" customFormat="1" ht="14.25" customHeight="1">
      <c r="A23" s="355" t="s">
        <v>129</v>
      </c>
      <c r="B23" s="355" t="s">
        <v>102</v>
      </c>
      <c r="C23" s="438"/>
      <c r="D23" s="350"/>
      <c r="E23" s="350" t="s">
        <v>142</v>
      </c>
      <c r="F23" s="350"/>
      <c r="G23" s="350"/>
      <c r="H23" s="352"/>
      <c r="I23" s="352"/>
      <c r="J23" s="352"/>
      <c r="K23" s="352"/>
      <c r="L23" s="352"/>
      <c r="M23" s="770"/>
      <c r="N23" s="352"/>
      <c r="O23" s="352"/>
    </row>
    <row r="24" spans="1:15" s="355" customFormat="1" ht="14.25" customHeight="1">
      <c r="A24" s="355" t="s">
        <v>129</v>
      </c>
      <c r="B24" s="355" t="s">
        <v>102</v>
      </c>
      <c r="C24" s="438"/>
      <c r="D24" s="350"/>
      <c r="E24" s="350" t="s">
        <v>143</v>
      </c>
      <c r="F24" s="350"/>
      <c r="G24" s="350"/>
      <c r="H24" s="352"/>
      <c r="I24" s="352"/>
      <c r="J24" s="352"/>
      <c r="K24" s="352"/>
      <c r="L24" s="352"/>
      <c r="M24" s="770"/>
      <c r="N24" s="352"/>
      <c r="O24" s="352"/>
    </row>
    <row r="25" spans="1:15" s="355" customFormat="1" ht="14.25" customHeight="1">
      <c r="C25" s="438"/>
      <c r="D25" s="350"/>
      <c r="E25" s="350"/>
      <c r="F25" s="350"/>
      <c r="G25" s="350"/>
      <c r="H25" s="352"/>
      <c r="I25" s="352"/>
      <c r="J25" s="352"/>
      <c r="K25" s="352"/>
      <c r="L25" s="352"/>
      <c r="M25" s="770"/>
      <c r="N25" s="352"/>
      <c r="O25" s="352"/>
    </row>
    <row r="26" spans="1:15" s="355" customFormat="1" ht="22.5" customHeight="1">
      <c r="A26" s="355" t="s">
        <v>129</v>
      </c>
      <c r="B26" s="355" t="s">
        <v>102</v>
      </c>
      <c r="C26" s="531" t="s">
        <v>123</v>
      </c>
      <c r="D26" s="532" t="s">
        <v>2</v>
      </c>
      <c r="E26" s="337" t="s">
        <v>94</v>
      </c>
      <c r="F26" s="532" t="s">
        <v>3</v>
      </c>
      <c r="G26" s="533" t="s">
        <v>1</v>
      </c>
      <c r="H26" s="619" t="s">
        <v>95</v>
      </c>
      <c r="I26" s="619" t="s">
        <v>96</v>
      </c>
      <c r="J26" s="619" t="s">
        <v>97</v>
      </c>
      <c r="K26" s="532" t="s">
        <v>98</v>
      </c>
      <c r="L26" s="620">
        <v>12391</v>
      </c>
      <c r="M26" s="532" t="s">
        <v>99</v>
      </c>
      <c r="O26" s="342"/>
    </row>
    <row r="27" spans="1:15" s="355" customFormat="1" ht="14.25" customHeight="1">
      <c r="A27" s="355" t="s">
        <v>129</v>
      </c>
      <c r="B27" s="355" t="s">
        <v>102</v>
      </c>
      <c r="C27" s="438" t="s">
        <v>124</v>
      </c>
      <c r="D27" s="324"/>
      <c r="E27" s="344" t="s">
        <v>209</v>
      </c>
      <c r="F27" s="438"/>
      <c r="G27" s="441"/>
      <c r="H27" s="504"/>
      <c r="I27" s="504"/>
      <c r="J27" s="504"/>
      <c r="K27" s="438" t="s">
        <v>104</v>
      </c>
      <c r="L27" s="507"/>
      <c r="M27" s="438"/>
      <c r="O27" s="348"/>
    </row>
    <row r="28" spans="1:15" s="355" customFormat="1" ht="14.25" customHeight="1">
      <c r="A28" s="355" t="s">
        <v>129</v>
      </c>
      <c r="B28" s="355" t="s">
        <v>102</v>
      </c>
      <c r="C28" s="438" t="s">
        <v>159</v>
      </c>
      <c r="D28" s="324"/>
      <c r="E28" s="349" t="s">
        <v>210</v>
      </c>
      <c r="F28" s="360"/>
      <c r="G28" s="438"/>
      <c r="H28" s="441"/>
      <c r="I28" s="504"/>
      <c r="J28" s="504"/>
      <c r="K28" s="504"/>
      <c r="L28" s="438"/>
      <c r="M28" s="507"/>
      <c r="N28" s="438"/>
      <c r="O28" s="348"/>
    </row>
    <row r="29" spans="1:15" s="355" customFormat="1" ht="14.25" customHeight="1">
      <c r="A29" s="355" t="s">
        <v>129</v>
      </c>
      <c r="B29" s="355" t="s">
        <v>102</v>
      </c>
      <c r="C29" s="438" t="s">
        <v>207</v>
      </c>
      <c r="D29" s="324"/>
      <c r="E29" s="349" t="s">
        <v>211</v>
      </c>
      <c r="F29" s="360"/>
      <c r="G29" s="438"/>
      <c r="H29" s="441"/>
      <c r="I29" s="504"/>
      <c r="J29" s="504"/>
      <c r="K29" s="504"/>
      <c r="L29" s="438"/>
      <c r="M29" s="507"/>
      <c r="N29" s="438"/>
      <c r="O29" s="348"/>
    </row>
    <row r="30" spans="1:15" s="355" customFormat="1" ht="14.25" customHeight="1">
      <c r="A30" s="355" t="s">
        <v>129</v>
      </c>
      <c r="B30" s="355" t="s">
        <v>102</v>
      </c>
      <c r="C30" s="438" t="s">
        <v>208</v>
      </c>
      <c r="D30" s="324"/>
      <c r="E30" s="349"/>
      <c r="F30" s="360"/>
      <c r="G30" s="438"/>
      <c r="H30" s="441"/>
      <c r="I30" s="504"/>
      <c r="J30" s="504"/>
      <c r="K30" s="504"/>
      <c r="L30" s="438"/>
      <c r="M30" s="507"/>
      <c r="N30" s="438"/>
      <c r="O30" s="348"/>
    </row>
    <row r="31" spans="1:15" s="355" customFormat="1" ht="14.25" customHeight="1">
      <c r="C31" s="438" t="s">
        <v>129</v>
      </c>
      <c r="D31" s="350"/>
      <c r="E31" s="351"/>
      <c r="F31" s="771"/>
      <c r="G31" s="350"/>
      <c r="H31" s="352"/>
      <c r="I31" s="352"/>
      <c r="J31" s="352"/>
      <c r="K31" s="352"/>
      <c r="L31" s="352"/>
      <c r="M31" s="770"/>
      <c r="N31" s="352"/>
      <c r="O31" s="352"/>
    </row>
    <row r="32" spans="1:15" s="355" customFormat="1" ht="14.25" customHeight="1">
      <c r="C32" s="438"/>
      <c r="D32" s="350"/>
      <c r="E32" s="350"/>
      <c r="F32" s="350"/>
      <c r="G32" s="350"/>
      <c r="H32" s="352"/>
      <c r="I32" s="352"/>
      <c r="J32" s="352"/>
      <c r="K32" s="352"/>
      <c r="L32" s="352"/>
      <c r="M32" s="770"/>
      <c r="N32" s="352"/>
      <c r="O32" s="352"/>
    </row>
    <row r="33" spans="1:15" s="355" customFormat="1" ht="24.75" customHeight="1">
      <c r="A33" s="355" t="s">
        <v>129</v>
      </c>
      <c r="B33" s="355" t="s">
        <v>102</v>
      </c>
      <c r="C33" s="531" t="s">
        <v>123</v>
      </c>
      <c r="D33" s="532" t="s">
        <v>2</v>
      </c>
      <c r="E33" s="337" t="s">
        <v>94</v>
      </c>
      <c r="F33" s="532" t="s">
        <v>3</v>
      </c>
      <c r="G33" s="533" t="s">
        <v>1</v>
      </c>
      <c r="H33" s="619" t="s">
        <v>95</v>
      </c>
      <c r="I33" s="619" t="s">
        <v>96</v>
      </c>
      <c r="J33" s="619" t="s">
        <v>97</v>
      </c>
      <c r="K33" s="532" t="s">
        <v>159</v>
      </c>
      <c r="L33" s="620">
        <v>38808</v>
      </c>
      <c r="M33" s="532" t="s">
        <v>99</v>
      </c>
      <c r="N33" s="342"/>
    </row>
    <row r="34" spans="1:15" s="355" customFormat="1" ht="14.25" customHeight="1">
      <c r="A34" s="355" t="s">
        <v>129</v>
      </c>
      <c r="B34" s="355" t="s">
        <v>102</v>
      </c>
      <c r="C34" s="438" t="s">
        <v>212</v>
      </c>
      <c r="D34" s="324"/>
      <c r="E34" s="344" t="s">
        <v>213</v>
      </c>
      <c r="F34" s="438"/>
      <c r="G34" s="441"/>
      <c r="H34" s="504"/>
      <c r="I34" s="504"/>
      <c r="J34" s="504"/>
      <c r="K34" s="438" t="s">
        <v>104</v>
      </c>
      <c r="L34" s="505"/>
      <c r="M34" s="438"/>
      <c r="N34" s="348"/>
    </row>
    <row r="35" spans="1:15" s="355" customFormat="1" ht="14.25" customHeight="1">
      <c r="A35" s="355" t="s">
        <v>129</v>
      </c>
      <c r="B35" s="355" t="s">
        <v>102</v>
      </c>
      <c r="C35" s="438" t="s">
        <v>159</v>
      </c>
      <c r="D35" s="324"/>
      <c r="E35" s="349" t="s">
        <v>214</v>
      </c>
      <c r="F35" s="360"/>
      <c r="G35" s="438"/>
      <c r="H35" s="441"/>
      <c r="I35" s="504"/>
      <c r="J35" s="504"/>
      <c r="K35" s="504"/>
      <c r="L35" s="519"/>
      <c r="M35" s="507"/>
      <c r="N35" s="438"/>
      <c r="O35" s="348"/>
    </row>
    <row r="36" spans="1:15" s="355" customFormat="1" ht="14.25" customHeight="1">
      <c r="A36" s="355" t="s">
        <v>129</v>
      </c>
      <c r="B36" s="355" t="s">
        <v>102</v>
      </c>
      <c r="C36" s="438" t="s">
        <v>207</v>
      </c>
      <c r="D36" s="324"/>
      <c r="E36" s="349"/>
      <c r="F36" s="360"/>
      <c r="G36" s="438"/>
      <c r="H36" s="441"/>
      <c r="I36" s="504"/>
      <c r="J36" s="504"/>
      <c r="K36" s="504"/>
      <c r="L36" s="519"/>
      <c r="M36" s="507"/>
      <c r="N36" s="438"/>
      <c r="O36" s="348"/>
    </row>
    <row r="37" spans="1:15" s="355" customFormat="1" ht="14.25" customHeight="1">
      <c r="A37" s="355" t="s">
        <v>129</v>
      </c>
      <c r="B37" s="355" t="s">
        <v>102</v>
      </c>
      <c r="C37" s="438" t="s">
        <v>208</v>
      </c>
      <c r="D37" s="324"/>
      <c r="E37" s="2660"/>
      <c r="F37" s="2661"/>
      <c r="G37" s="438"/>
      <c r="H37" s="441"/>
      <c r="I37" s="504"/>
      <c r="J37" s="504"/>
      <c r="K37" s="504"/>
      <c r="L37" s="519"/>
      <c r="M37" s="507"/>
      <c r="N37" s="438"/>
      <c r="O37" s="348"/>
    </row>
    <row r="38" spans="1:15" s="355" customFormat="1" ht="14.25" customHeight="1">
      <c r="A38" s="355" t="s">
        <v>129</v>
      </c>
      <c r="B38" s="355" t="s">
        <v>102</v>
      </c>
      <c r="C38" s="438" t="s">
        <v>129</v>
      </c>
      <c r="D38" s="350"/>
      <c r="E38" s="2662"/>
      <c r="F38" s="2663"/>
      <c r="G38" s="350"/>
      <c r="H38" s="352"/>
      <c r="I38" s="352"/>
      <c r="J38" s="352"/>
      <c r="K38" s="352"/>
      <c r="L38" s="409"/>
      <c r="M38" s="770"/>
      <c r="N38" s="352"/>
      <c r="O38" s="352"/>
    </row>
    <row r="39" spans="1:15" s="355" customFormat="1" ht="14.25" customHeight="1">
      <c r="A39" s="355" t="s">
        <v>129</v>
      </c>
      <c r="B39" s="355" t="s">
        <v>102</v>
      </c>
      <c r="C39" s="444" t="s">
        <v>216</v>
      </c>
      <c r="D39" s="438" t="s">
        <v>2</v>
      </c>
      <c r="E39" s="419" t="s">
        <v>94</v>
      </c>
      <c r="F39" s="438" t="s">
        <v>3</v>
      </c>
      <c r="G39" s="441" t="s">
        <v>1</v>
      </c>
      <c r="H39" s="504" t="s">
        <v>95</v>
      </c>
      <c r="I39" s="504" t="s">
        <v>96</v>
      </c>
      <c r="J39" s="504" t="s">
        <v>97</v>
      </c>
      <c r="K39" s="438" t="s">
        <v>98</v>
      </c>
      <c r="L39" s="505">
        <v>33987</v>
      </c>
      <c r="M39" s="438" t="s">
        <v>0</v>
      </c>
      <c r="N39" s="348"/>
    </row>
    <row r="40" spans="1:15" s="355" customFormat="1" ht="14.25" customHeight="1">
      <c r="A40" s="355" t="s">
        <v>129</v>
      </c>
      <c r="B40" s="355" t="s">
        <v>102</v>
      </c>
      <c r="C40" s="438"/>
      <c r="D40" s="973" t="s">
        <v>217</v>
      </c>
      <c r="E40" s="524" t="s">
        <v>246</v>
      </c>
      <c r="F40" s="438"/>
      <c r="G40" s="441"/>
      <c r="H40" s="504"/>
      <c r="I40" s="504"/>
      <c r="J40" s="504"/>
      <c r="K40" s="438" t="s">
        <v>104</v>
      </c>
      <c r="L40" s="507"/>
      <c r="M40" s="438"/>
      <c r="N40" s="348"/>
    </row>
    <row r="41" spans="1:15" s="355" customFormat="1" ht="14.25" customHeight="1">
      <c r="A41" s="355" t="s">
        <v>129</v>
      </c>
      <c r="B41" s="355" t="s">
        <v>102</v>
      </c>
      <c r="C41" s="444"/>
      <c r="D41" s="973" t="s">
        <v>218</v>
      </c>
      <c r="E41" s="524" t="s">
        <v>247</v>
      </c>
      <c r="F41" s="438"/>
      <c r="G41" s="441"/>
      <c r="H41" s="504"/>
      <c r="I41" s="504"/>
      <c r="J41" s="504"/>
      <c r="K41" s="438" t="s">
        <v>159</v>
      </c>
      <c r="L41" s="507"/>
      <c r="M41" s="438"/>
      <c r="N41" s="348"/>
    </row>
    <row r="42" spans="1:15" s="355" customFormat="1" ht="14.25" customHeight="1">
      <c r="A42" s="355" t="s">
        <v>129</v>
      </c>
      <c r="B42" s="355" t="s">
        <v>102</v>
      </c>
      <c r="C42" s="444"/>
      <c r="D42" s="973" t="s">
        <v>219</v>
      </c>
      <c r="E42" s="524" t="s">
        <v>248</v>
      </c>
      <c r="F42" s="438"/>
      <c r="G42" s="441"/>
      <c r="H42" s="504"/>
      <c r="I42" s="504"/>
      <c r="J42" s="504"/>
      <c r="K42" s="438" t="s">
        <v>207</v>
      </c>
      <c r="L42" s="507"/>
      <c r="M42" s="438"/>
      <c r="N42" s="348"/>
    </row>
    <row r="43" spans="1:15" s="355" customFormat="1" ht="14.25" customHeight="1">
      <c r="A43" s="355" t="s">
        <v>129</v>
      </c>
      <c r="B43" s="355" t="s">
        <v>102</v>
      </c>
      <c r="C43" s="444"/>
      <c r="D43" s="973" t="s">
        <v>220</v>
      </c>
      <c r="E43" s="524" t="s">
        <v>249</v>
      </c>
      <c r="F43" s="438"/>
      <c r="G43" s="441"/>
      <c r="H43" s="504"/>
      <c r="I43" s="504"/>
      <c r="J43" s="504"/>
      <c r="K43" s="438" t="s">
        <v>221</v>
      </c>
      <c r="L43" s="507"/>
      <c r="M43" s="438"/>
      <c r="N43" s="348"/>
    </row>
    <row r="44" spans="1:15" s="355" customFormat="1" ht="14.25" customHeight="1">
      <c r="A44" s="355" t="s">
        <v>129</v>
      </c>
      <c r="B44" s="355" t="s">
        <v>102</v>
      </c>
      <c r="C44" s="444"/>
      <c r="D44" s="973" t="s">
        <v>222</v>
      </c>
      <c r="E44" s="524" t="s">
        <v>250</v>
      </c>
      <c r="F44" s="438"/>
      <c r="G44" s="441"/>
      <c r="H44" s="504"/>
      <c r="I44" s="504"/>
      <c r="J44" s="504"/>
      <c r="K44" s="438" t="s">
        <v>129</v>
      </c>
      <c r="L44" s="507"/>
      <c r="M44" s="438"/>
      <c r="N44" s="348"/>
    </row>
    <row r="45" spans="1:15" s="355" customFormat="1" ht="14.25" customHeight="1">
      <c r="A45" s="355" t="s">
        <v>129</v>
      </c>
      <c r="B45" s="355" t="s">
        <v>102</v>
      </c>
      <c r="C45" s="444"/>
      <c r="D45" s="973" t="s">
        <v>223</v>
      </c>
      <c r="E45" s="524" t="s">
        <v>250</v>
      </c>
      <c r="F45" s="438"/>
      <c r="G45" s="441"/>
      <c r="H45" s="504"/>
      <c r="I45" s="504"/>
      <c r="J45" s="504"/>
      <c r="K45" s="438"/>
      <c r="L45" s="507"/>
      <c r="M45" s="438"/>
      <c r="N45" s="348"/>
    </row>
    <row r="46" spans="1:15" s="355" customFormat="1" ht="14.25" customHeight="1">
      <c r="A46" s="355" t="s">
        <v>129</v>
      </c>
      <c r="B46" s="355" t="s">
        <v>102</v>
      </c>
      <c r="C46" s="444"/>
      <c r="D46" s="973" t="s">
        <v>224</v>
      </c>
      <c r="E46" s="524" t="s">
        <v>251</v>
      </c>
      <c r="F46" s="438"/>
      <c r="G46" s="441"/>
      <c r="H46" s="504"/>
      <c r="I46" s="504"/>
      <c r="J46" s="504"/>
      <c r="K46" s="438"/>
      <c r="L46" s="507"/>
      <c r="M46" s="438"/>
      <c r="N46" s="348"/>
    </row>
    <row r="47" spans="1:15" s="355" customFormat="1" ht="14.25" customHeight="1">
      <c r="A47" s="355" t="s">
        <v>129</v>
      </c>
      <c r="B47" s="355" t="s">
        <v>102</v>
      </c>
      <c r="C47" s="444"/>
      <c r="D47" s="973" t="s">
        <v>225</v>
      </c>
      <c r="E47" s="524" t="s">
        <v>252</v>
      </c>
      <c r="F47" s="438"/>
      <c r="G47" s="441"/>
      <c r="H47" s="504"/>
      <c r="I47" s="504"/>
      <c r="J47" s="504"/>
      <c r="K47" s="438"/>
      <c r="L47" s="507"/>
      <c r="M47" s="438"/>
      <c r="N47" s="348"/>
    </row>
    <row r="48" spans="1:15" s="355" customFormat="1" ht="14.25" customHeight="1">
      <c r="A48" s="355" t="s">
        <v>129</v>
      </c>
      <c r="B48" s="355" t="s">
        <v>102</v>
      </c>
      <c r="C48" s="444"/>
      <c r="D48" s="973" t="s">
        <v>226</v>
      </c>
      <c r="E48" s="524" t="s">
        <v>253</v>
      </c>
      <c r="F48" s="438"/>
      <c r="G48" s="441"/>
      <c r="H48" s="504"/>
      <c r="I48" s="504"/>
      <c r="J48" s="504"/>
      <c r="K48" s="438"/>
      <c r="L48" s="507"/>
      <c r="M48" s="438"/>
      <c r="N48" s="348"/>
    </row>
    <row r="49" spans="1:14" s="355" customFormat="1" ht="14.25" customHeight="1">
      <c r="A49" s="355" t="s">
        <v>129</v>
      </c>
      <c r="B49" s="355" t="s">
        <v>102</v>
      </c>
      <c r="C49" s="444"/>
      <c r="D49" s="973" t="s">
        <v>227</v>
      </c>
      <c r="E49" s="524" t="s">
        <v>253</v>
      </c>
      <c r="F49" s="438"/>
      <c r="G49" s="441"/>
      <c r="H49" s="504"/>
      <c r="I49" s="504"/>
      <c r="J49" s="504"/>
      <c r="K49" s="438"/>
      <c r="L49" s="507"/>
      <c r="M49" s="438"/>
      <c r="N49" s="348"/>
    </row>
    <row r="50" spans="1:14" s="355" customFormat="1" ht="14.25" customHeight="1">
      <c r="A50" s="355" t="s">
        <v>129</v>
      </c>
      <c r="B50" s="355" t="s">
        <v>102</v>
      </c>
      <c r="C50" s="444"/>
      <c r="D50" s="973" t="s">
        <v>228</v>
      </c>
      <c r="E50" s="524" t="s">
        <v>254</v>
      </c>
      <c r="F50" s="438"/>
      <c r="G50" s="441"/>
      <c r="H50" s="504"/>
      <c r="I50" s="504"/>
      <c r="J50" s="504"/>
      <c r="K50" s="438"/>
      <c r="L50" s="507"/>
      <c r="M50" s="438"/>
      <c r="N50" s="348"/>
    </row>
    <row r="51" spans="1:14" s="355" customFormat="1" ht="14.25" customHeight="1">
      <c r="A51" s="355" t="s">
        <v>129</v>
      </c>
      <c r="B51" s="355" t="s">
        <v>102</v>
      </c>
      <c r="C51" s="444"/>
      <c r="D51" s="973" t="s">
        <v>229</v>
      </c>
      <c r="E51" s="524" t="s">
        <v>255</v>
      </c>
      <c r="F51" s="438"/>
      <c r="G51" s="441"/>
      <c r="H51" s="504"/>
      <c r="I51" s="504"/>
      <c r="J51" s="504"/>
      <c r="K51" s="438"/>
      <c r="L51" s="507"/>
      <c r="M51" s="438"/>
      <c r="N51" s="348"/>
    </row>
    <row r="52" spans="1:14" s="355" customFormat="1" ht="14.25" customHeight="1">
      <c r="A52" s="355" t="s">
        <v>129</v>
      </c>
      <c r="B52" s="355" t="s">
        <v>102</v>
      </c>
      <c r="C52" s="444"/>
      <c r="D52" s="973" t="s">
        <v>230</v>
      </c>
      <c r="E52" s="524" t="s">
        <v>256</v>
      </c>
      <c r="F52" s="438"/>
      <c r="G52" s="441"/>
      <c r="H52" s="504"/>
      <c r="I52" s="504"/>
      <c r="J52" s="504"/>
      <c r="K52" s="438"/>
      <c r="L52" s="507"/>
      <c r="M52" s="438"/>
      <c r="N52" s="348"/>
    </row>
    <row r="53" spans="1:14" s="355" customFormat="1" ht="14.25" customHeight="1">
      <c r="A53" s="355" t="s">
        <v>129</v>
      </c>
      <c r="B53" s="355" t="s">
        <v>102</v>
      </c>
      <c r="C53" s="444"/>
      <c r="D53" s="974" t="s">
        <v>231</v>
      </c>
      <c r="E53" s="675" t="s">
        <v>257</v>
      </c>
      <c r="F53" s="438"/>
      <c r="G53" s="441"/>
      <c r="H53" s="504"/>
      <c r="I53" s="504"/>
      <c r="J53" s="504"/>
      <c r="K53" s="438"/>
      <c r="L53" s="507"/>
      <c r="M53" s="438"/>
      <c r="N53" s="348"/>
    </row>
    <row r="54" spans="1:14" s="355" customFormat="1" ht="14.25" customHeight="1">
      <c r="A54" s="355" t="s">
        <v>129</v>
      </c>
      <c r="B54" s="355" t="s">
        <v>102</v>
      </c>
      <c r="C54" s="444"/>
      <c r="D54" s="974" t="s">
        <v>232</v>
      </c>
      <c r="E54" s="675" t="s">
        <v>258</v>
      </c>
      <c r="F54" s="438"/>
      <c r="G54" s="441"/>
      <c r="H54" s="504"/>
      <c r="I54" s="504"/>
      <c r="J54" s="504"/>
      <c r="K54" s="438"/>
      <c r="L54" s="507"/>
      <c r="M54" s="438"/>
      <c r="N54" s="348"/>
    </row>
    <row r="55" spans="1:14" s="355" customFormat="1" ht="14.25" customHeight="1">
      <c r="A55" s="355" t="s">
        <v>129</v>
      </c>
      <c r="B55" s="355" t="s">
        <v>102</v>
      </c>
      <c r="C55" s="444"/>
      <c r="D55" s="974" t="s">
        <v>233</v>
      </c>
      <c r="E55" s="675" t="s">
        <v>258</v>
      </c>
      <c r="F55" s="438"/>
      <c r="G55" s="441"/>
      <c r="H55" s="504"/>
      <c r="I55" s="504"/>
      <c r="J55" s="504"/>
      <c r="K55" s="438"/>
      <c r="L55" s="507"/>
      <c r="M55" s="438"/>
      <c r="N55" s="348"/>
    </row>
    <row r="56" spans="1:14" s="355" customFormat="1" ht="14.25" customHeight="1">
      <c r="A56" s="355" t="s">
        <v>129</v>
      </c>
      <c r="B56" s="355" t="s">
        <v>102</v>
      </c>
      <c r="C56" s="444"/>
      <c r="D56" s="974" t="s">
        <v>234</v>
      </c>
      <c r="E56" s="675" t="s">
        <v>259</v>
      </c>
      <c r="F56" s="438"/>
      <c r="G56" s="441"/>
      <c r="H56" s="504"/>
      <c r="I56" s="504"/>
      <c r="J56" s="504"/>
      <c r="K56" s="438"/>
      <c r="L56" s="507"/>
      <c r="M56" s="438"/>
      <c r="N56" s="348"/>
    </row>
    <row r="57" spans="1:14" s="355" customFormat="1" ht="14.25" customHeight="1">
      <c r="A57" s="355" t="s">
        <v>129</v>
      </c>
      <c r="B57" s="355" t="s">
        <v>102</v>
      </c>
      <c r="C57" s="444"/>
      <c r="D57" s="974" t="s">
        <v>235</v>
      </c>
      <c r="E57" s="675" t="s">
        <v>260</v>
      </c>
      <c r="F57" s="438"/>
      <c r="G57" s="441"/>
      <c r="H57" s="504"/>
      <c r="I57" s="504"/>
      <c r="J57" s="504"/>
      <c r="K57" s="438"/>
      <c r="L57" s="507"/>
      <c r="M57" s="438"/>
      <c r="N57" s="348"/>
    </row>
    <row r="58" spans="1:14" s="355" customFormat="1" ht="14.25" customHeight="1">
      <c r="A58" s="355" t="s">
        <v>129</v>
      </c>
      <c r="B58" s="355" t="s">
        <v>102</v>
      </c>
      <c r="C58" s="444"/>
      <c r="D58" s="974" t="s">
        <v>236</v>
      </c>
      <c r="E58" s="975" t="s">
        <v>261</v>
      </c>
      <c r="F58" s="438"/>
      <c r="G58" s="441"/>
      <c r="H58" s="504"/>
      <c r="I58" s="504"/>
      <c r="J58" s="504"/>
      <c r="K58" s="438"/>
      <c r="L58" s="507"/>
      <c r="M58" s="438"/>
      <c r="N58" s="348"/>
    </row>
    <row r="59" spans="1:14" s="355" customFormat="1" ht="14.25" customHeight="1">
      <c r="A59" s="355" t="s">
        <v>129</v>
      </c>
      <c r="B59" s="355" t="s">
        <v>102</v>
      </c>
      <c r="C59" s="444"/>
      <c r="D59" s="976" t="s">
        <v>237</v>
      </c>
      <c r="E59" s="977" t="s">
        <v>262</v>
      </c>
      <c r="F59" s="438"/>
      <c r="G59" s="441"/>
      <c r="H59" s="504"/>
      <c r="I59" s="504"/>
      <c r="J59" s="504"/>
      <c r="K59" s="438"/>
      <c r="L59" s="507"/>
      <c r="M59" s="438"/>
      <c r="N59" s="348"/>
    </row>
    <row r="60" spans="1:14" s="355" customFormat="1" ht="14.25" customHeight="1">
      <c r="A60" s="355" t="s">
        <v>129</v>
      </c>
      <c r="B60" s="355" t="s">
        <v>102</v>
      </c>
      <c r="C60" s="444"/>
      <c r="D60" s="976" t="s">
        <v>238</v>
      </c>
      <c r="E60" s="675" t="s">
        <v>259</v>
      </c>
      <c r="F60" s="438"/>
      <c r="G60" s="441"/>
      <c r="H60" s="504"/>
      <c r="I60" s="504"/>
      <c r="J60" s="504"/>
      <c r="K60" s="438"/>
      <c r="L60" s="507"/>
      <c r="M60" s="438"/>
      <c r="N60" s="348"/>
    </row>
    <row r="61" spans="1:14" s="355" customFormat="1" ht="14.25" customHeight="1">
      <c r="A61" s="355" t="s">
        <v>129</v>
      </c>
      <c r="B61" s="355" t="s">
        <v>102</v>
      </c>
      <c r="C61" s="444"/>
      <c r="D61" s="976" t="s">
        <v>239</v>
      </c>
      <c r="E61" s="978" t="s">
        <v>263</v>
      </c>
      <c r="F61" s="438"/>
      <c r="G61" s="441"/>
      <c r="H61" s="504"/>
      <c r="I61" s="504"/>
      <c r="J61" s="504"/>
      <c r="K61" s="438"/>
      <c r="L61" s="507"/>
      <c r="M61" s="438"/>
      <c r="N61" s="348"/>
    </row>
    <row r="62" spans="1:14" s="355" customFormat="1" ht="14.25" customHeight="1">
      <c r="A62" s="355" t="s">
        <v>129</v>
      </c>
      <c r="B62" s="355" t="s">
        <v>102</v>
      </c>
      <c r="C62" s="444"/>
      <c r="D62" s="976" t="s">
        <v>240</v>
      </c>
      <c r="E62" s="978" t="s">
        <v>264</v>
      </c>
      <c r="F62" s="438"/>
      <c r="G62" s="441"/>
      <c r="H62" s="504"/>
      <c r="I62" s="504"/>
      <c r="J62" s="504"/>
      <c r="K62" s="438"/>
      <c r="L62" s="507"/>
      <c r="M62" s="438"/>
      <c r="N62" s="348"/>
    </row>
    <row r="63" spans="1:14" s="355" customFormat="1" ht="13.9" customHeight="1">
      <c r="A63" s="355" t="s">
        <v>129</v>
      </c>
      <c r="B63" s="355" t="s">
        <v>102</v>
      </c>
      <c r="C63" s="444"/>
      <c r="D63" s="976" t="s">
        <v>241</v>
      </c>
      <c r="E63" s="978" t="s">
        <v>265</v>
      </c>
      <c r="F63" s="438"/>
      <c r="G63" s="441"/>
      <c r="H63" s="504"/>
      <c r="I63" s="504"/>
      <c r="J63" s="504"/>
      <c r="K63" s="438"/>
      <c r="L63" s="507"/>
      <c r="M63" s="438"/>
      <c r="N63" s="348"/>
    </row>
    <row r="64" spans="1:14" s="355" customFormat="1" ht="13.9" customHeight="1">
      <c r="A64" s="355" t="s">
        <v>129</v>
      </c>
      <c r="B64" s="355" t="s">
        <v>102</v>
      </c>
      <c r="C64" s="444"/>
      <c r="D64" s="976" t="s">
        <v>242</v>
      </c>
      <c r="E64" s="978" t="s">
        <v>265</v>
      </c>
      <c r="F64" s="438"/>
      <c r="G64" s="441"/>
      <c r="H64" s="504"/>
      <c r="I64" s="504"/>
      <c r="J64" s="504"/>
      <c r="K64" s="438"/>
      <c r="L64" s="507"/>
      <c r="M64" s="438"/>
      <c r="N64" s="348"/>
    </row>
    <row r="65" spans="1:15" s="355" customFormat="1" ht="13.9" customHeight="1">
      <c r="A65" s="355" t="s">
        <v>129</v>
      </c>
      <c r="B65" s="355" t="s">
        <v>102</v>
      </c>
      <c r="C65" s="444"/>
      <c r="D65" s="976" t="s">
        <v>243</v>
      </c>
      <c r="E65" s="978" t="s">
        <v>266</v>
      </c>
      <c r="F65" s="438"/>
      <c r="G65" s="441"/>
      <c r="H65" s="504"/>
      <c r="I65" s="504"/>
      <c r="J65" s="504"/>
      <c r="K65" s="438"/>
      <c r="L65" s="507"/>
      <c r="M65" s="438"/>
      <c r="N65" s="348"/>
    </row>
    <row r="66" spans="1:15" s="355" customFormat="1" ht="13.9" customHeight="1">
      <c r="A66" s="355" t="s">
        <v>129</v>
      </c>
      <c r="B66" s="355" t="s">
        <v>102</v>
      </c>
      <c r="C66" s="444"/>
      <c r="D66" s="974" t="s">
        <v>244</v>
      </c>
      <c r="E66" s="675" t="s">
        <v>259</v>
      </c>
      <c r="F66" s="438"/>
      <c r="G66" s="441"/>
      <c r="H66" s="504"/>
      <c r="I66" s="504"/>
      <c r="J66" s="504"/>
      <c r="K66" s="438"/>
      <c r="L66" s="507"/>
      <c r="M66" s="438"/>
      <c r="N66" s="348"/>
    </row>
    <row r="67" spans="1:15" s="355" customFormat="1" ht="13.9" customHeight="1">
      <c r="A67" s="355" t="s">
        <v>129</v>
      </c>
      <c r="B67" s="355" t="s">
        <v>102</v>
      </c>
      <c r="C67" s="444"/>
      <c r="D67" s="974" t="s">
        <v>245</v>
      </c>
      <c r="E67" s="675" t="s">
        <v>267</v>
      </c>
      <c r="F67" s="438"/>
      <c r="G67" s="441"/>
      <c r="H67" s="504"/>
      <c r="I67" s="504"/>
      <c r="J67" s="504"/>
      <c r="K67" s="438"/>
      <c r="L67" s="507"/>
      <c r="M67" s="438"/>
      <c r="N67" s="348"/>
    </row>
    <row r="68" spans="1:15" s="355" customFormat="1" ht="13.9" customHeight="1">
      <c r="C68" s="438"/>
      <c r="D68" s="350"/>
      <c r="E68" s="971"/>
      <c r="F68" s="972"/>
      <c r="G68" s="350"/>
      <c r="H68" s="352"/>
      <c r="I68" s="352"/>
      <c r="J68" s="352"/>
      <c r="K68" s="352"/>
      <c r="L68" s="352"/>
      <c r="M68" s="770"/>
      <c r="N68" s="352"/>
    </row>
    <row r="69" spans="1:15" s="355" customFormat="1" ht="13.5">
      <c r="A69" s="301" t="s">
        <v>590</v>
      </c>
      <c r="B69" s="302" t="s">
        <v>589</v>
      </c>
      <c r="C69" s="393" t="s">
        <v>597</v>
      </c>
      <c r="D69" s="393" t="s">
        <v>2</v>
      </c>
      <c r="E69" s="393" t="s">
        <v>598</v>
      </c>
      <c r="F69" s="395"/>
      <c r="G69" s="396" t="s">
        <v>1</v>
      </c>
      <c r="H69" s="397" t="s">
        <v>599</v>
      </c>
      <c r="I69" s="397" t="s">
        <v>599</v>
      </c>
      <c r="J69" s="487" t="s">
        <v>594</v>
      </c>
      <c r="K69" s="395" t="s">
        <v>578</v>
      </c>
      <c r="L69" s="606">
        <v>3900</v>
      </c>
      <c r="M69" s="393" t="s">
        <v>579</v>
      </c>
      <c r="N69" s="393"/>
    </row>
    <row r="70" spans="1:15" s="483" customFormat="1" ht="19.149999999999999" customHeight="1">
      <c r="A70" s="301" t="s">
        <v>590</v>
      </c>
      <c r="B70" s="302" t="s">
        <v>589</v>
      </c>
      <c r="C70" s="393" t="s">
        <v>600</v>
      </c>
      <c r="D70" s="393"/>
      <c r="E70" s="393" t="s">
        <v>601</v>
      </c>
      <c r="F70" s="393"/>
      <c r="G70" s="883"/>
      <c r="H70" s="393"/>
      <c r="I70" s="393"/>
      <c r="J70" s="393"/>
      <c r="K70" s="393" t="s">
        <v>124</v>
      </c>
      <c r="L70" s="399">
        <v>3500</v>
      </c>
      <c r="M70" s="395" t="s">
        <v>602</v>
      </c>
      <c r="N70" s="393"/>
    </row>
    <row r="71" spans="1:15" s="455" customFormat="1" ht="13.9" customHeight="1">
      <c r="A71" s="301" t="s">
        <v>590</v>
      </c>
      <c r="B71" s="302" t="s">
        <v>589</v>
      </c>
      <c r="C71" s="393"/>
      <c r="D71" s="393"/>
      <c r="E71" s="394" t="s">
        <v>603</v>
      </c>
      <c r="F71" s="393"/>
      <c r="G71" s="883"/>
      <c r="H71" s="393"/>
      <c r="I71" s="393"/>
      <c r="J71" s="606"/>
      <c r="K71" s="395"/>
      <c r="L71" s="399">
        <v>18750</v>
      </c>
      <c r="M71" s="393"/>
      <c r="N71" s="393"/>
    </row>
    <row r="72" spans="1:15" s="455" customFormat="1" ht="13.9" customHeight="1">
      <c r="A72" s="301" t="s">
        <v>590</v>
      </c>
      <c r="B72" s="302" t="s">
        <v>589</v>
      </c>
      <c r="C72" s="393"/>
      <c r="D72" s="393"/>
      <c r="E72" s="394" t="s">
        <v>604</v>
      </c>
      <c r="F72" s="393"/>
      <c r="G72" s="883"/>
      <c r="H72" s="393"/>
      <c r="I72" s="393"/>
      <c r="J72" s="606"/>
      <c r="K72" s="395"/>
      <c r="L72" s="885">
        <v>660</v>
      </c>
      <c r="M72" s="393"/>
      <c r="N72" s="393"/>
    </row>
    <row r="73" spans="1:15" s="455" customFormat="1" ht="13.9" customHeight="1">
      <c r="A73" s="301" t="s">
        <v>590</v>
      </c>
      <c r="B73" s="302" t="s">
        <v>589</v>
      </c>
      <c r="C73" s="393"/>
      <c r="D73" s="393"/>
      <c r="E73" s="394" t="s">
        <v>605</v>
      </c>
      <c r="F73" s="393"/>
      <c r="G73" s="883"/>
      <c r="H73" s="393"/>
      <c r="I73" s="393"/>
      <c r="J73" s="606"/>
      <c r="K73" s="395"/>
      <c r="L73" s="885">
        <v>600</v>
      </c>
      <c r="M73" s="393"/>
      <c r="N73" s="393"/>
    </row>
    <row r="74" spans="1:15" s="455" customFormat="1" ht="13.9" customHeight="1">
      <c r="A74" s="301" t="s">
        <v>590</v>
      </c>
      <c r="B74" s="302" t="s">
        <v>589</v>
      </c>
      <c r="C74" s="393"/>
      <c r="D74" s="393"/>
      <c r="E74" s="394" t="s">
        <v>606</v>
      </c>
      <c r="F74" s="393"/>
      <c r="G74" s="883"/>
      <c r="H74" s="393"/>
      <c r="I74" s="393"/>
      <c r="J74" s="606"/>
      <c r="K74" s="395"/>
      <c r="L74" s="606">
        <v>22590</v>
      </c>
      <c r="M74" s="393"/>
      <c r="N74" s="393"/>
      <c r="O74" s="458"/>
    </row>
    <row r="75" spans="1:15" s="355" customFormat="1" ht="13.9" customHeight="1">
      <c r="C75" s="438"/>
      <c r="D75" s="350"/>
      <c r="E75" s="971"/>
      <c r="F75" s="972"/>
      <c r="G75" s="350"/>
      <c r="H75" s="352"/>
      <c r="I75" s="352"/>
      <c r="J75" s="352"/>
      <c r="K75" s="352"/>
      <c r="L75" s="352"/>
      <c r="M75" s="770"/>
      <c r="N75" s="352"/>
    </row>
    <row r="76" spans="1:15" s="355" customFormat="1" ht="14.25" customHeight="1">
      <c r="C76" s="438"/>
      <c r="D76" s="350"/>
      <c r="E76" s="971"/>
      <c r="F76" s="972"/>
      <c r="G76" s="350"/>
      <c r="H76" s="352"/>
      <c r="I76" s="352"/>
      <c r="J76" s="352"/>
      <c r="K76" s="352"/>
      <c r="L76" s="352"/>
      <c r="M76" s="770"/>
      <c r="N76" s="352"/>
    </row>
    <row r="77" spans="1:15" s="355" customFormat="1" ht="14.25" customHeight="1">
      <c r="C77" s="438"/>
      <c r="D77" s="350"/>
      <c r="E77" s="971"/>
      <c r="F77" s="972"/>
      <c r="G77" s="350"/>
      <c r="H77" s="352"/>
      <c r="I77" s="352"/>
      <c r="J77" s="352"/>
      <c r="K77" s="352"/>
      <c r="L77" s="352"/>
      <c r="M77" s="770"/>
      <c r="N77" s="352"/>
    </row>
    <row r="78" spans="1:15" ht="14.25" customHeight="1">
      <c r="C78" s="58"/>
      <c r="D78" s="90"/>
      <c r="E78" s="106"/>
      <c r="F78" s="107"/>
      <c r="G78" s="90"/>
      <c r="H78" s="91"/>
      <c r="I78" s="91"/>
      <c r="J78" s="91"/>
      <c r="K78" s="91"/>
      <c r="L78" s="92"/>
      <c r="M78" s="93"/>
      <c r="N78" s="91"/>
      <c r="O78" s="124"/>
    </row>
    <row r="79" spans="1:15" ht="14.25" customHeight="1">
      <c r="C79" s="58"/>
      <c r="D79" s="90"/>
      <c r="E79" s="106"/>
      <c r="F79" s="107"/>
      <c r="G79" s="90"/>
      <c r="H79" s="91"/>
      <c r="I79" s="91"/>
      <c r="J79" s="91"/>
      <c r="K79" s="91"/>
      <c r="L79" s="92"/>
      <c r="M79" s="93"/>
      <c r="N79" s="91"/>
      <c r="O79" s="124"/>
    </row>
    <row r="80" spans="1:15" ht="14.25" customHeight="1">
      <c r="C80" s="58"/>
      <c r="D80" s="90"/>
      <c r="E80" s="106"/>
      <c r="F80" s="107"/>
      <c r="G80" s="90"/>
      <c r="H80" s="91"/>
      <c r="I80" s="91"/>
      <c r="J80" s="91"/>
      <c r="K80" s="91"/>
      <c r="L80" s="92"/>
      <c r="M80" s="93"/>
      <c r="N80" s="91"/>
      <c r="O80" s="124"/>
    </row>
    <row r="81" spans="3:15" ht="14.25" customHeight="1">
      <c r="C81" s="58"/>
      <c r="D81" s="90"/>
      <c r="E81" s="106"/>
      <c r="F81" s="107"/>
      <c r="G81" s="90"/>
      <c r="H81" s="91"/>
      <c r="I81" s="91"/>
      <c r="J81" s="91"/>
      <c r="K81" s="91"/>
      <c r="L81" s="92"/>
      <c r="M81" s="93"/>
      <c r="N81" s="91"/>
      <c r="O81" s="124"/>
    </row>
    <row r="82" spans="3:15" ht="14.25" customHeight="1">
      <c r="C82" s="58"/>
      <c r="D82" s="90"/>
      <c r="E82" s="106"/>
      <c r="F82" s="107"/>
      <c r="G82" s="90"/>
      <c r="H82" s="91"/>
      <c r="I82" s="91"/>
      <c r="J82" s="91"/>
      <c r="K82" s="91"/>
      <c r="L82" s="92"/>
      <c r="M82" s="93"/>
      <c r="N82" s="91"/>
      <c r="O82" s="124"/>
    </row>
    <row r="83" spans="3:15" ht="14.25" customHeight="1">
      <c r="C83" s="58"/>
      <c r="D83" s="90"/>
      <c r="E83" s="106"/>
      <c r="F83" s="107"/>
      <c r="G83" s="90"/>
      <c r="H83" s="91"/>
      <c r="I83" s="91"/>
      <c r="J83" s="91"/>
      <c r="K83" s="91"/>
      <c r="L83" s="92"/>
      <c r="M83" s="93"/>
      <c r="N83" s="91"/>
      <c r="O83" s="124"/>
    </row>
    <row r="84" spans="3:15" ht="14.25" customHeight="1">
      <c r="C84" s="58"/>
      <c r="D84" s="90"/>
      <c r="E84" s="106"/>
      <c r="F84" s="107"/>
      <c r="G84" s="90"/>
      <c r="H84" s="91"/>
      <c r="I84" s="91"/>
      <c r="J84" s="91"/>
      <c r="K84" s="91"/>
      <c r="L84" s="92"/>
      <c r="M84" s="93"/>
      <c r="N84" s="91"/>
      <c r="O84" s="124"/>
    </row>
    <row r="85" spans="3:15" ht="14.25" customHeight="1">
      <c r="C85" s="58"/>
      <c r="D85" s="90"/>
      <c r="E85" s="106"/>
      <c r="F85" s="107"/>
      <c r="G85" s="90"/>
      <c r="H85" s="91"/>
      <c r="I85" s="91"/>
      <c r="J85" s="91"/>
      <c r="K85" s="91"/>
      <c r="L85" s="92"/>
      <c r="M85" s="93"/>
      <c r="N85" s="91"/>
      <c r="O85" s="124"/>
    </row>
    <row r="86" spans="3:15" ht="14.25" customHeight="1">
      <c r="C86" s="58"/>
      <c r="D86" s="90"/>
      <c r="E86" s="106"/>
      <c r="F86" s="107"/>
      <c r="G86" s="90"/>
      <c r="H86" s="91"/>
      <c r="I86" s="91"/>
      <c r="J86" s="91"/>
      <c r="K86" s="91"/>
      <c r="L86" s="92"/>
      <c r="M86" s="93"/>
      <c r="N86" s="91"/>
      <c r="O86" s="124"/>
    </row>
    <row r="87" spans="3:15" ht="14.25" customHeight="1">
      <c r="C87" s="58"/>
      <c r="D87" s="90"/>
      <c r="E87" s="106"/>
      <c r="F87" s="107"/>
      <c r="G87" s="90"/>
      <c r="H87" s="91"/>
      <c r="I87" s="91"/>
      <c r="J87" s="91"/>
      <c r="K87" s="91"/>
      <c r="L87" s="92"/>
      <c r="M87" s="93"/>
      <c r="N87" s="91"/>
      <c r="O87" s="124"/>
    </row>
    <row r="88" spans="3:15" ht="14.25" customHeight="1">
      <c r="C88" s="58"/>
      <c r="D88" s="90"/>
      <c r="E88" s="106"/>
      <c r="F88" s="107"/>
      <c r="G88" s="90"/>
      <c r="H88" s="91"/>
      <c r="I88" s="91"/>
      <c r="J88" s="91"/>
      <c r="K88" s="91"/>
      <c r="L88" s="92"/>
      <c r="M88" s="93"/>
      <c r="N88" s="91"/>
      <c r="O88" s="124"/>
    </row>
    <row r="89" spans="3:15" ht="14.25" customHeight="1">
      <c r="C89" s="58"/>
      <c r="D89" s="90"/>
      <c r="E89" s="106"/>
      <c r="F89" s="107"/>
      <c r="G89" s="90"/>
      <c r="H89" s="91"/>
      <c r="I89" s="91"/>
      <c r="J89" s="91"/>
      <c r="K89" s="91"/>
      <c r="L89" s="92"/>
      <c r="M89" s="93"/>
      <c r="N89" s="91"/>
      <c r="O89" s="124"/>
    </row>
    <row r="90" spans="3:15" ht="14.25" customHeight="1">
      <c r="C90" s="8"/>
      <c r="D90" s="8"/>
      <c r="E90" s="7"/>
      <c r="F90" s="6"/>
      <c r="G90" s="6"/>
      <c r="H90" s="5"/>
      <c r="I90" s="5"/>
      <c r="J90" s="5"/>
      <c r="K90" s="6"/>
      <c r="L90" s="4"/>
      <c r="M90" s="6"/>
      <c r="N90" s="2"/>
    </row>
    <row r="91" spans="3:15" ht="14.25" customHeight="1">
      <c r="C91" s="8"/>
      <c r="D91" s="8"/>
      <c r="E91" s="7"/>
      <c r="F91" s="6"/>
      <c r="G91" s="6"/>
      <c r="H91" s="5"/>
      <c r="I91" s="5"/>
      <c r="J91" s="5"/>
      <c r="K91" s="6"/>
      <c r="L91" s="4"/>
      <c r="M91" s="6"/>
      <c r="N91" s="2"/>
    </row>
    <row r="92" spans="3:15" ht="14.25" customHeight="1">
      <c r="C92" s="8"/>
      <c r="D92" s="8"/>
      <c r="E92" s="7"/>
      <c r="F92" s="6"/>
      <c r="G92" s="6"/>
      <c r="H92" s="5"/>
      <c r="I92" s="5"/>
      <c r="J92" s="5"/>
      <c r="K92" s="6"/>
      <c r="L92" s="4"/>
      <c r="M92" s="6"/>
      <c r="N92" s="2"/>
    </row>
    <row r="93" spans="3:15" ht="14.25" customHeight="1">
      <c r="C93" s="8"/>
      <c r="D93" s="8" t="s">
        <v>111</v>
      </c>
      <c r="E93" s="7"/>
      <c r="F93" s="6"/>
      <c r="G93" s="6"/>
      <c r="H93" s="5"/>
      <c r="I93" s="5"/>
      <c r="J93" s="5"/>
      <c r="K93" s="6"/>
      <c r="L93" s="4"/>
      <c r="M93" s="3"/>
      <c r="N93" s="2"/>
    </row>
    <row r="94" spans="3:15" ht="14.25" customHeight="1">
      <c r="C94" s="8"/>
      <c r="D94" s="8"/>
      <c r="E94" s="7"/>
      <c r="F94" s="6"/>
      <c r="G94" s="5"/>
      <c r="H94" s="5"/>
      <c r="I94" s="5"/>
      <c r="J94" s="5"/>
      <c r="K94" s="4"/>
      <c r="L94" s="4"/>
      <c r="M94" s="3"/>
      <c r="N94" s="2"/>
    </row>
    <row r="95" spans="3:15" ht="14.25" customHeight="1">
      <c r="C95" s="19"/>
      <c r="D95" s="19"/>
      <c r="E95" s="19"/>
      <c r="F95" s="19"/>
      <c r="G95" s="19"/>
      <c r="H95" s="19"/>
      <c r="I95" s="19"/>
      <c r="J95" s="19"/>
      <c r="K95" s="19"/>
      <c r="L95" s="19"/>
      <c r="M95" s="19"/>
      <c r="N95" s="19"/>
    </row>
    <row r="96" spans="3:15" ht="14.25" customHeight="1">
      <c r="C96" s="31"/>
      <c r="D96" s="27"/>
      <c r="E96" s="20"/>
      <c r="F96" s="28"/>
      <c r="G96" s="28"/>
      <c r="H96" s="26"/>
      <c r="I96" s="26"/>
      <c r="J96" s="26"/>
      <c r="K96" s="28"/>
      <c r="L96" s="29"/>
      <c r="M96" s="28"/>
      <c r="N96" s="27"/>
    </row>
    <row r="97" spans="3:14" s="1" customFormat="1" ht="14.25" customHeight="1">
      <c r="C97" s="31"/>
      <c r="D97" s="27"/>
      <c r="E97" s="21"/>
      <c r="F97" s="28"/>
      <c r="G97" s="28"/>
      <c r="H97" s="26"/>
      <c r="I97" s="26"/>
      <c r="J97" s="26"/>
      <c r="K97" s="28"/>
      <c r="L97" s="29"/>
      <c r="M97" s="28"/>
      <c r="N97" s="27"/>
    </row>
    <row r="98" spans="3:14" s="1" customFormat="1" ht="14.25" customHeight="1">
      <c r="C98" s="30"/>
      <c r="D98" s="25"/>
      <c r="E98" s="21"/>
      <c r="F98" s="22"/>
      <c r="G98" s="22"/>
      <c r="H98" s="23"/>
      <c r="I98" s="23"/>
      <c r="J98" s="23"/>
      <c r="K98" s="22"/>
      <c r="L98" s="24"/>
      <c r="M98" s="22"/>
      <c r="N98" s="25"/>
    </row>
    <row r="99" spans="3:14" ht="15.75">
      <c r="L99" s="2434">
        <f>SUM(L6:L98)</f>
        <v>158046</v>
      </c>
    </row>
  </sheetData>
  <mergeCells count="8">
    <mergeCell ref="E37:F37"/>
    <mergeCell ref="E38:F38"/>
    <mergeCell ref="N2:N3"/>
    <mergeCell ref="C7:C9"/>
    <mergeCell ref="C2:G2"/>
    <mergeCell ref="H2:J2"/>
    <mergeCell ref="K2:L2"/>
    <mergeCell ref="M2:M3"/>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3F421-4D05-491D-BF24-655DED4EFA52}">
  <sheetPr>
    <tabColor rgb="FF92D050"/>
  </sheetPr>
  <dimension ref="A2:Q156"/>
  <sheetViews>
    <sheetView zoomScale="84" zoomScaleNormal="80" workbookViewId="0">
      <pane ySplit="4" topLeftCell="A102" activePane="bottomLeft" state="frozen"/>
      <selection pane="bottomLeft" activeCell="L120" sqref="L120"/>
    </sheetView>
  </sheetViews>
  <sheetFormatPr defaultRowHeight="15"/>
  <cols>
    <col min="2" max="2" width="15.85546875" bestFit="1" customWidth="1"/>
    <col min="3" max="3" width="21.42578125" customWidth="1"/>
    <col min="4" max="4" width="20.5703125" customWidth="1"/>
    <col min="5" max="5" width="26" customWidth="1"/>
    <col min="6" max="6" width="16.7109375" customWidth="1"/>
    <col min="7" max="7" width="11.7109375" customWidth="1"/>
    <col min="8" max="8" width="13.7109375" customWidth="1"/>
    <col min="9" max="9" width="14.85546875" customWidth="1"/>
    <col min="10" max="10" width="12.5703125" customWidth="1"/>
    <col min="11" max="11" width="18.5703125" customWidth="1"/>
    <col min="12" max="12" width="15.5703125" style="99" customWidth="1"/>
    <col min="13" max="13" width="16.28515625" customWidth="1"/>
    <col min="14" max="14" width="12.85546875" customWidth="1"/>
    <col min="17" max="17" width="81.42578125" bestFit="1" customWidth="1"/>
  </cols>
  <sheetData>
    <row r="2" spans="1:17">
      <c r="C2" s="2627" t="s">
        <v>30</v>
      </c>
      <c r="D2" s="2627"/>
      <c r="E2" s="2627"/>
      <c r="F2" s="2627"/>
      <c r="G2" s="2627"/>
      <c r="H2" s="2628" t="s">
        <v>29</v>
      </c>
      <c r="I2" s="2628"/>
      <c r="J2" s="2628"/>
      <c r="K2" s="2627" t="s">
        <v>28</v>
      </c>
      <c r="L2" s="2627"/>
      <c r="M2" s="2628" t="s">
        <v>27</v>
      </c>
      <c r="N2" s="2628" t="s">
        <v>26</v>
      </c>
    </row>
    <row r="3" spans="1:17" ht="72">
      <c r="C3" s="10" t="s">
        <v>25</v>
      </c>
      <c r="D3" s="13" t="s">
        <v>24</v>
      </c>
      <c r="E3" s="12" t="s">
        <v>23</v>
      </c>
      <c r="F3" s="10" t="s">
        <v>22</v>
      </c>
      <c r="G3" s="11" t="s">
        <v>21</v>
      </c>
      <c r="H3" s="11" t="s">
        <v>20</v>
      </c>
      <c r="I3" s="11" t="s">
        <v>19</v>
      </c>
      <c r="J3" s="11" t="s">
        <v>18</v>
      </c>
      <c r="K3" s="10" t="s">
        <v>17</v>
      </c>
      <c r="L3" s="159" t="s">
        <v>16</v>
      </c>
      <c r="M3" s="2628"/>
      <c r="N3" s="2628"/>
    </row>
    <row r="4" spans="1:17">
      <c r="C4" s="243" t="s">
        <v>15</v>
      </c>
      <c r="D4" s="243" t="s">
        <v>14</v>
      </c>
      <c r="E4" s="243" t="s">
        <v>13</v>
      </c>
      <c r="F4" s="243" t="s">
        <v>12</v>
      </c>
      <c r="G4" s="243" t="s">
        <v>11</v>
      </c>
      <c r="H4" s="243" t="s">
        <v>10</v>
      </c>
      <c r="I4" s="243" t="s">
        <v>9</v>
      </c>
      <c r="J4" s="243" t="s">
        <v>8</v>
      </c>
      <c r="K4" s="243" t="s">
        <v>7</v>
      </c>
      <c r="L4" s="244" t="s">
        <v>6</v>
      </c>
      <c r="M4" s="243" t="s">
        <v>5</v>
      </c>
      <c r="N4" s="243" t="s">
        <v>4</v>
      </c>
    </row>
    <row r="5" spans="1:17" s="783" customFormat="1" ht="12.75">
      <c r="A5" s="1096" t="s">
        <v>743</v>
      </c>
      <c r="B5" s="1097" t="s">
        <v>744</v>
      </c>
      <c r="C5" s="1098" t="s">
        <v>752</v>
      </c>
      <c r="D5" s="1099"/>
      <c r="E5" s="1100"/>
      <c r="F5" s="1101"/>
      <c r="G5" s="1102"/>
      <c r="H5" s="1103"/>
      <c r="I5" s="1102"/>
      <c r="J5" s="1102"/>
      <c r="K5" s="1102"/>
      <c r="L5" s="1104"/>
      <c r="M5" s="1105"/>
      <c r="N5" s="1102"/>
      <c r="O5" s="1099"/>
      <c r="Q5" s="783" t="s">
        <v>751</v>
      </c>
    </row>
    <row r="6" spans="1:17" s="783" customFormat="1" ht="43.9" customHeight="1">
      <c r="A6" s="791"/>
      <c r="B6" s="827"/>
      <c r="C6" s="1106" t="s">
        <v>753</v>
      </c>
      <c r="D6" s="1098" t="s">
        <v>2</v>
      </c>
      <c r="E6" s="1107"/>
      <c r="F6" s="1104" t="s">
        <v>661</v>
      </c>
      <c r="G6" s="1108" t="s">
        <v>1</v>
      </c>
      <c r="H6" s="1109">
        <v>46023</v>
      </c>
      <c r="I6" s="1109">
        <v>46023</v>
      </c>
      <c r="J6" s="1109">
        <v>46054</v>
      </c>
      <c r="K6" s="1104" t="s">
        <v>748</v>
      </c>
      <c r="L6" s="1110">
        <v>50000</v>
      </c>
      <c r="M6" s="1104" t="s">
        <v>742</v>
      </c>
      <c r="N6" s="1098" t="s">
        <v>703</v>
      </c>
    </row>
    <row r="7" spans="1:17" s="783" customFormat="1" ht="14.25" customHeight="1">
      <c r="A7" s="791"/>
      <c r="B7" s="827"/>
      <c r="C7" s="1111"/>
      <c r="D7" s="1112" t="s">
        <v>754</v>
      </c>
      <c r="E7" s="1113">
        <v>15</v>
      </c>
      <c r="F7" s="1114" t="s">
        <v>755</v>
      </c>
      <c r="G7" s="1115"/>
      <c r="H7" s="1116"/>
      <c r="I7" s="1117"/>
      <c r="J7" s="1117"/>
      <c r="K7" s="1118"/>
      <c r="L7" s="1118"/>
      <c r="M7" s="1119"/>
      <c r="N7" s="1118"/>
      <c r="O7" s="1120"/>
    </row>
    <row r="8" spans="1:17" s="783" customFormat="1" ht="14.25" customHeight="1">
      <c r="A8" s="791"/>
      <c r="B8" s="827"/>
      <c r="C8" s="1121"/>
      <c r="D8" s="1112" t="s">
        <v>756</v>
      </c>
      <c r="E8" s="1113">
        <v>5</v>
      </c>
      <c r="F8" s="1114" t="s">
        <v>755</v>
      </c>
      <c r="G8" s="1122"/>
      <c r="H8" s="1123"/>
      <c r="I8" s="1124"/>
      <c r="J8" s="1124"/>
      <c r="K8" s="1125"/>
      <c r="L8" s="1125"/>
      <c r="M8" s="1126"/>
      <c r="N8" s="1125"/>
      <c r="O8" s="1127"/>
    </row>
    <row r="9" spans="1:17" s="783" customFormat="1" ht="14.25" customHeight="1">
      <c r="A9" s="791"/>
      <c r="B9" s="827"/>
      <c r="C9" s="1121"/>
      <c r="D9" s="1112" t="s">
        <v>757</v>
      </c>
      <c r="E9" s="1113">
        <v>20</v>
      </c>
      <c r="F9" s="1114" t="s">
        <v>758</v>
      </c>
      <c r="G9" s="1122"/>
      <c r="H9" s="1123"/>
      <c r="I9" s="1124"/>
      <c r="J9" s="1124"/>
      <c r="K9" s="1125"/>
      <c r="L9" s="1125"/>
      <c r="M9" s="1126"/>
      <c r="N9" s="1125"/>
      <c r="O9" s="1127"/>
    </row>
    <row r="10" spans="1:17" s="783" customFormat="1" ht="14.25" customHeight="1">
      <c r="A10" s="791"/>
      <c r="B10" s="827"/>
      <c r="C10" s="1121"/>
      <c r="D10" s="1112" t="s">
        <v>759</v>
      </c>
      <c r="E10" s="1113">
        <v>20</v>
      </c>
      <c r="F10" s="1114" t="s">
        <v>758</v>
      </c>
      <c r="G10" s="1122"/>
      <c r="H10" s="1123"/>
      <c r="I10" s="1124"/>
      <c r="J10" s="1124"/>
      <c r="K10" s="1125"/>
      <c r="L10" s="1125"/>
      <c r="M10" s="1126"/>
      <c r="N10" s="1125"/>
      <c r="O10" s="1127"/>
    </row>
    <row r="11" spans="1:17" s="783" customFormat="1" ht="14.25" customHeight="1">
      <c r="A11" s="1128"/>
      <c r="B11" s="827"/>
      <c r="C11" s="1121"/>
      <c r="D11" s="1112" t="s">
        <v>760</v>
      </c>
      <c r="E11" s="1113">
        <v>2</v>
      </c>
      <c r="F11" s="1114" t="s">
        <v>761</v>
      </c>
      <c r="G11" s="1122"/>
      <c r="H11" s="1123"/>
      <c r="I11" s="1124"/>
      <c r="J11" s="1124"/>
      <c r="K11" s="1125"/>
      <c r="L11" s="1125"/>
      <c r="M11" s="1126"/>
      <c r="N11" s="1125"/>
      <c r="O11" s="1127"/>
    </row>
    <row r="12" spans="1:17" s="783" customFormat="1" ht="14.25" customHeight="1">
      <c r="A12" s="1128"/>
      <c r="B12" s="827"/>
      <c r="C12" s="1121"/>
      <c r="D12" s="1112" t="s">
        <v>762</v>
      </c>
      <c r="E12" s="1113">
        <v>2</v>
      </c>
      <c r="F12" s="1114" t="s">
        <v>763</v>
      </c>
      <c r="G12" s="1122"/>
      <c r="H12" s="1123"/>
      <c r="I12" s="1124"/>
      <c r="J12" s="1124"/>
      <c r="K12" s="1125"/>
      <c r="L12" s="1125"/>
      <c r="M12" s="1126"/>
      <c r="N12" s="1125"/>
      <c r="O12" s="1127"/>
    </row>
    <row r="13" spans="1:17" s="783" customFormat="1" ht="14.25" customHeight="1">
      <c r="A13" s="1128"/>
      <c r="B13" s="827"/>
      <c r="C13" s="1121"/>
      <c r="D13" s="1112" t="s">
        <v>764</v>
      </c>
      <c r="E13" s="1113">
        <v>2</v>
      </c>
      <c r="F13" s="1114" t="s">
        <v>763</v>
      </c>
      <c r="G13" s="1122"/>
      <c r="H13" s="1123"/>
      <c r="I13" s="1124"/>
      <c r="J13" s="1124"/>
      <c r="K13" s="1125"/>
      <c r="L13" s="1125"/>
      <c r="M13" s="1126"/>
      <c r="N13" s="1125"/>
      <c r="O13" s="1127"/>
    </row>
    <row r="14" spans="1:17" s="783" customFormat="1" ht="14.25" customHeight="1">
      <c r="A14" s="1128"/>
      <c r="B14" s="827"/>
      <c r="C14" s="1121"/>
      <c r="D14" s="1112" t="s">
        <v>475</v>
      </c>
      <c r="E14" s="1113">
        <v>20</v>
      </c>
      <c r="F14" s="1114" t="s">
        <v>761</v>
      </c>
      <c r="G14" s="1122"/>
      <c r="H14" s="1123"/>
      <c r="I14" s="1124"/>
      <c r="J14" s="1124"/>
      <c r="K14" s="1125"/>
      <c r="L14" s="1125"/>
      <c r="M14" s="1126"/>
      <c r="N14" s="1125"/>
      <c r="O14" s="1127"/>
    </row>
    <row r="15" spans="1:17" s="783" customFormat="1" ht="14.25" customHeight="1">
      <c r="A15" s="1128"/>
      <c r="B15" s="827"/>
      <c r="C15" s="1121"/>
      <c r="D15" s="1112" t="s">
        <v>765</v>
      </c>
      <c r="E15" s="1113">
        <v>50</v>
      </c>
      <c r="F15" s="1114" t="s">
        <v>761</v>
      </c>
      <c r="G15" s="1122"/>
      <c r="H15" s="1123"/>
      <c r="I15" s="1124"/>
      <c r="J15" s="1124"/>
      <c r="K15" s="1125"/>
      <c r="L15" s="1125"/>
      <c r="M15" s="1126"/>
      <c r="N15" s="1125"/>
      <c r="O15" s="1127"/>
    </row>
    <row r="16" spans="1:17" s="783" customFormat="1" ht="14.25" customHeight="1">
      <c r="A16" s="1128"/>
      <c r="B16" s="827"/>
      <c r="C16" s="1121"/>
      <c r="D16" s="1112" t="s">
        <v>766</v>
      </c>
      <c r="E16" s="1113">
        <v>50</v>
      </c>
      <c r="F16" s="1114" t="s">
        <v>761</v>
      </c>
      <c r="G16" s="1122"/>
      <c r="H16" s="1123"/>
      <c r="I16" s="1124"/>
      <c r="J16" s="1124"/>
      <c r="K16" s="1125"/>
      <c r="L16" s="1125"/>
      <c r="M16" s="1126"/>
      <c r="N16" s="1125"/>
      <c r="O16" s="1127"/>
    </row>
    <row r="17" spans="1:15" s="783" customFormat="1" ht="14.25" customHeight="1">
      <c r="A17" s="840"/>
      <c r="B17" s="827"/>
      <c r="C17" s="1121"/>
      <c r="D17" s="1112" t="s">
        <v>767</v>
      </c>
      <c r="E17" s="1113">
        <v>5</v>
      </c>
      <c r="F17" s="1114" t="s">
        <v>763</v>
      </c>
      <c r="G17" s="1122"/>
      <c r="H17" s="1123"/>
      <c r="I17" s="1124"/>
      <c r="J17" s="1124"/>
      <c r="K17" s="1125"/>
      <c r="L17" s="1125"/>
      <c r="M17" s="1126"/>
      <c r="N17" s="1125"/>
      <c r="O17" s="1127"/>
    </row>
    <row r="18" spans="1:15" s="783" customFormat="1" ht="14.25" customHeight="1">
      <c r="A18" s="840"/>
      <c r="B18" s="827"/>
      <c r="C18" s="1121"/>
      <c r="D18" s="1112" t="s">
        <v>768</v>
      </c>
      <c r="E18" s="1113">
        <v>5</v>
      </c>
      <c r="F18" s="1114" t="s">
        <v>769</v>
      </c>
      <c r="G18" s="1122"/>
      <c r="H18" s="1123"/>
      <c r="I18" s="1124"/>
      <c r="J18" s="1124"/>
      <c r="K18" s="1125"/>
      <c r="L18" s="1125"/>
      <c r="M18" s="1126"/>
      <c r="N18" s="1125"/>
      <c r="O18" s="1127"/>
    </row>
    <row r="19" spans="1:15" s="783" customFormat="1" ht="14.25" customHeight="1">
      <c r="A19" s="840"/>
      <c r="B19" s="827"/>
      <c r="C19" s="1121"/>
      <c r="D19" s="1112" t="s">
        <v>770</v>
      </c>
      <c r="E19" s="1113">
        <v>5</v>
      </c>
      <c r="F19" s="1114" t="s">
        <v>755</v>
      </c>
      <c r="G19" s="1122"/>
      <c r="H19" s="1123"/>
      <c r="I19" s="1124"/>
      <c r="J19" s="1124"/>
      <c r="K19" s="1125"/>
      <c r="L19" s="1125"/>
      <c r="M19" s="1126"/>
      <c r="N19" s="1125"/>
      <c r="O19" s="1127"/>
    </row>
    <row r="20" spans="1:15" s="783" customFormat="1" ht="27" customHeight="1">
      <c r="A20" s="840"/>
      <c r="B20" s="827"/>
      <c r="C20" s="1121"/>
      <c r="D20" s="1112" t="s">
        <v>771</v>
      </c>
      <c r="E20" s="1113">
        <v>2</v>
      </c>
      <c r="F20" s="1114" t="s">
        <v>755</v>
      </c>
      <c r="G20" s="1122"/>
      <c r="H20" s="1123"/>
      <c r="I20" s="1124"/>
      <c r="J20" s="1124"/>
      <c r="K20" s="1125"/>
      <c r="L20" s="1125"/>
      <c r="M20" s="1126"/>
      <c r="N20" s="1125"/>
      <c r="O20" s="1127"/>
    </row>
    <row r="21" spans="1:15" s="783" customFormat="1" ht="14.25" customHeight="1">
      <c r="A21" s="840"/>
      <c r="B21" s="827"/>
      <c r="C21" s="1121"/>
      <c r="D21" s="1112" t="s">
        <v>772</v>
      </c>
      <c r="E21" s="1113">
        <v>2</v>
      </c>
      <c r="F21" s="1114" t="s">
        <v>755</v>
      </c>
      <c r="G21" s="1122"/>
      <c r="H21" s="1123"/>
      <c r="I21" s="1124"/>
      <c r="J21" s="1124"/>
      <c r="K21" s="1125"/>
      <c r="L21" s="1125"/>
      <c r="M21" s="1126"/>
      <c r="N21" s="1125"/>
      <c r="O21" s="1127"/>
    </row>
    <row r="22" spans="1:15" s="783" customFormat="1" ht="14.25" customHeight="1">
      <c r="A22" s="840"/>
      <c r="B22" s="827"/>
      <c r="C22" s="1121"/>
      <c r="D22" s="1112" t="s">
        <v>773</v>
      </c>
      <c r="E22" s="1113">
        <v>10</v>
      </c>
      <c r="F22" s="1114" t="s">
        <v>763</v>
      </c>
      <c r="G22" s="1122"/>
      <c r="H22" s="1123"/>
      <c r="I22" s="1124"/>
      <c r="J22" s="1124"/>
      <c r="K22" s="1125"/>
      <c r="L22" s="1125"/>
      <c r="M22" s="1126"/>
      <c r="N22" s="1125"/>
      <c r="O22" s="1127"/>
    </row>
    <row r="23" spans="1:15" s="783" customFormat="1" ht="14.25" customHeight="1">
      <c r="A23" s="840"/>
      <c r="B23" s="827"/>
      <c r="C23" s="1121"/>
      <c r="D23" s="1112" t="s">
        <v>774</v>
      </c>
      <c r="E23" s="1113">
        <v>4</v>
      </c>
      <c r="F23" s="1114" t="s">
        <v>761</v>
      </c>
      <c r="G23" s="1122"/>
      <c r="H23" s="1123"/>
      <c r="I23" s="1124"/>
      <c r="J23" s="1124"/>
      <c r="K23" s="1125"/>
      <c r="L23" s="1125"/>
      <c r="M23" s="1126"/>
      <c r="N23" s="1125"/>
      <c r="O23" s="1127"/>
    </row>
    <row r="24" spans="1:15" s="783" customFormat="1" ht="14.25" customHeight="1">
      <c r="A24" s="840"/>
      <c r="B24" s="827"/>
      <c r="C24" s="1121"/>
      <c r="D24" s="1112" t="s">
        <v>775</v>
      </c>
      <c r="E24" s="1113">
        <v>4</v>
      </c>
      <c r="F24" s="1114" t="s">
        <v>776</v>
      </c>
      <c r="G24" s="1122"/>
      <c r="H24" s="1123"/>
      <c r="I24" s="1124"/>
      <c r="J24" s="1124"/>
      <c r="K24" s="1125"/>
      <c r="L24" s="1125"/>
      <c r="M24" s="1126"/>
      <c r="N24" s="1125"/>
      <c r="O24" s="1127"/>
    </row>
    <row r="25" spans="1:15" s="783" customFormat="1" ht="14.25" customHeight="1">
      <c r="A25" s="840"/>
      <c r="B25" s="827"/>
      <c r="C25" s="1121"/>
      <c r="D25" s="1112" t="s">
        <v>777</v>
      </c>
      <c r="E25" s="1113">
        <v>10</v>
      </c>
      <c r="F25" s="1114" t="s">
        <v>778</v>
      </c>
      <c r="G25" s="1122"/>
      <c r="H25" s="1123"/>
      <c r="I25" s="1124"/>
      <c r="J25" s="1124"/>
      <c r="K25" s="1125"/>
      <c r="L25" s="1125"/>
      <c r="M25" s="1126"/>
      <c r="N25" s="1125"/>
      <c r="O25" s="1127"/>
    </row>
    <row r="26" spans="1:15" s="783" customFormat="1" ht="14.25" customHeight="1">
      <c r="A26" s="840"/>
      <c r="B26" s="827"/>
      <c r="C26" s="1121"/>
      <c r="D26" s="1112" t="s">
        <v>480</v>
      </c>
      <c r="E26" s="1113">
        <v>4</v>
      </c>
      <c r="F26" s="1114" t="s">
        <v>755</v>
      </c>
      <c r="G26" s="1122"/>
      <c r="H26" s="1123"/>
      <c r="I26" s="1124"/>
      <c r="J26" s="1124"/>
      <c r="K26" s="1125"/>
      <c r="L26" s="1125"/>
      <c r="M26" s="1126"/>
      <c r="N26" s="1125"/>
      <c r="O26" s="1127"/>
    </row>
    <row r="27" spans="1:15" s="783" customFormat="1" ht="22.5" customHeight="1">
      <c r="A27" s="938"/>
      <c r="B27" s="777"/>
      <c r="C27" s="1121"/>
      <c r="D27" s="1112" t="s">
        <v>779</v>
      </c>
      <c r="E27" s="1113">
        <v>4</v>
      </c>
      <c r="F27" s="1114" t="s">
        <v>761</v>
      </c>
      <c r="G27" s="1122"/>
      <c r="H27" s="1123"/>
      <c r="I27" s="1124"/>
      <c r="J27" s="1124"/>
      <c r="K27" s="1125"/>
      <c r="L27" s="1125"/>
      <c r="M27" s="1126"/>
      <c r="N27" s="1125"/>
      <c r="O27" s="1127"/>
    </row>
    <row r="28" spans="1:15" s="783" customFormat="1" ht="14.25" customHeight="1">
      <c r="A28" s="840"/>
      <c r="B28" s="777"/>
      <c r="C28" s="1121"/>
      <c r="D28" s="1112" t="s">
        <v>780</v>
      </c>
      <c r="E28" s="1113">
        <v>5</v>
      </c>
      <c r="F28" s="1114" t="s">
        <v>755</v>
      </c>
      <c r="G28" s="1122"/>
      <c r="H28" s="1123"/>
      <c r="I28" s="1124"/>
      <c r="J28" s="1124"/>
      <c r="K28" s="1125"/>
      <c r="L28" s="1125"/>
      <c r="M28" s="1126"/>
      <c r="N28" s="1125"/>
      <c r="O28" s="1127"/>
    </row>
    <row r="29" spans="1:15" s="783" customFormat="1" ht="14.25" customHeight="1">
      <c r="A29" s="840"/>
      <c r="B29" s="777"/>
      <c r="C29" s="1121"/>
      <c r="D29" s="1112" t="s">
        <v>781</v>
      </c>
      <c r="E29" s="1113">
        <v>4</v>
      </c>
      <c r="F29" s="1114" t="s">
        <v>763</v>
      </c>
      <c r="G29" s="1122"/>
      <c r="H29" s="1123"/>
      <c r="I29" s="1124"/>
      <c r="J29" s="1124"/>
      <c r="K29" s="1125"/>
      <c r="L29" s="1125"/>
      <c r="M29" s="1126"/>
      <c r="N29" s="1125"/>
      <c r="O29" s="1127"/>
    </row>
    <row r="30" spans="1:15" s="783" customFormat="1" ht="12.75">
      <c r="A30" s="840"/>
      <c r="B30" s="777"/>
      <c r="C30" s="1121"/>
      <c r="D30" s="1112" t="s">
        <v>782</v>
      </c>
      <c r="E30" s="1113">
        <v>10</v>
      </c>
      <c r="F30" s="1114" t="s">
        <v>778</v>
      </c>
      <c r="G30" s="1122"/>
      <c r="H30" s="1123"/>
      <c r="I30" s="1124"/>
      <c r="J30" s="1124"/>
      <c r="K30" s="1125"/>
      <c r="L30" s="1125"/>
      <c r="M30" s="1126"/>
      <c r="N30" s="1125"/>
      <c r="O30" s="1127"/>
    </row>
    <row r="31" spans="1:15" s="783" customFormat="1" ht="25.5">
      <c r="A31" s="840"/>
      <c r="B31" s="777"/>
      <c r="C31" s="1121"/>
      <c r="D31" s="1112" t="s">
        <v>783</v>
      </c>
      <c r="E31" s="1113">
        <v>30</v>
      </c>
      <c r="F31" s="1114" t="s">
        <v>763</v>
      </c>
      <c r="G31" s="1122"/>
      <c r="H31" s="1123"/>
      <c r="I31" s="1124"/>
      <c r="J31" s="1124"/>
      <c r="K31" s="1125"/>
      <c r="L31" s="1125"/>
      <c r="M31" s="1126"/>
      <c r="N31" s="1125"/>
      <c r="O31" s="1127"/>
    </row>
    <row r="32" spans="1:15" s="783" customFormat="1" ht="25.5">
      <c r="C32" s="1121"/>
      <c r="D32" s="1112" t="s">
        <v>784</v>
      </c>
      <c r="E32" s="1113">
        <v>1</v>
      </c>
      <c r="F32" s="1114" t="s">
        <v>785</v>
      </c>
      <c r="G32" s="1122"/>
      <c r="H32" s="1123"/>
      <c r="I32" s="1124"/>
      <c r="J32" s="1124"/>
      <c r="K32" s="1125"/>
      <c r="L32" s="1125"/>
      <c r="M32" s="1126"/>
      <c r="N32" s="1125"/>
      <c r="O32" s="1127"/>
    </row>
    <row r="33" spans="1:17" s="783" customFormat="1" ht="12.75">
      <c r="A33" s="840"/>
      <c r="B33" s="777"/>
      <c r="C33" s="1121"/>
      <c r="D33" s="1112" t="s">
        <v>786</v>
      </c>
      <c r="E33" s="1113">
        <v>20</v>
      </c>
      <c r="F33" s="1114" t="s">
        <v>761</v>
      </c>
      <c r="G33" s="1122"/>
      <c r="H33" s="1123"/>
      <c r="I33" s="1124"/>
      <c r="J33" s="1124"/>
      <c r="K33" s="1125"/>
      <c r="L33" s="1125"/>
      <c r="M33" s="1126"/>
      <c r="N33" s="1125"/>
      <c r="O33" s="1127"/>
    </row>
    <row r="34" spans="1:17" s="783" customFormat="1" ht="12.75">
      <c r="A34" s="840"/>
      <c r="B34" s="777"/>
      <c r="C34" s="1121"/>
      <c r="D34" s="1112" t="s">
        <v>787</v>
      </c>
      <c r="E34" s="1113">
        <v>20</v>
      </c>
      <c r="F34" s="1114" t="s">
        <v>763</v>
      </c>
      <c r="G34" s="1122"/>
      <c r="H34" s="1123"/>
      <c r="I34" s="1124"/>
      <c r="J34" s="1124"/>
      <c r="K34" s="1125"/>
      <c r="L34" s="1125"/>
      <c r="M34" s="1126"/>
      <c r="N34" s="1125"/>
      <c r="O34" s="1127"/>
    </row>
    <row r="35" spans="1:17" s="783" customFormat="1" ht="25.5">
      <c r="A35" s="840"/>
      <c r="B35" s="777"/>
      <c r="C35" s="1121"/>
      <c r="D35" s="1112" t="s">
        <v>788</v>
      </c>
      <c r="E35" s="1113">
        <v>10</v>
      </c>
      <c r="F35" s="1114" t="s">
        <v>761</v>
      </c>
      <c r="G35" s="1122"/>
      <c r="H35" s="1123"/>
      <c r="I35" s="1124"/>
      <c r="J35" s="1124"/>
      <c r="K35" s="1125"/>
      <c r="L35" s="1125"/>
      <c r="M35" s="1126"/>
      <c r="N35" s="1125"/>
      <c r="O35" s="1127"/>
    </row>
    <row r="36" spans="1:17" s="783" customFormat="1" ht="25.5">
      <c r="A36" s="840"/>
      <c r="B36" s="777"/>
      <c r="C36" s="1121"/>
      <c r="D36" s="1112" t="s">
        <v>789</v>
      </c>
      <c r="E36" s="1113">
        <v>2</v>
      </c>
      <c r="F36" s="1114" t="s">
        <v>761</v>
      </c>
      <c r="G36" s="1122"/>
      <c r="H36" s="1123"/>
      <c r="I36" s="1124"/>
      <c r="J36" s="1124"/>
      <c r="K36" s="1125"/>
      <c r="L36" s="1125"/>
      <c r="M36" s="1126"/>
      <c r="N36" s="1125"/>
      <c r="O36" s="1127"/>
    </row>
    <row r="37" spans="1:17" s="783" customFormat="1" ht="25.5">
      <c r="A37" s="840"/>
      <c r="B37" s="777"/>
      <c r="C37" s="1121"/>
      <c r="D37" s="1112" t="s">
        <v>790</v>
      </c>
      <c r="E37" s="1113">
        <v>5</v>
      </c>
      <c r="F37" s="1114" t="s">
        <v>761</v>
      </c>
      <c r="G37" s="1122"/>
      <c r="H37" s="1123"/>
      <c r="I37" s="1124"/>
      <c r="J37" s="1124"/>
      <c r="K37" s="1125"/>
      <c r="L37" s="1125"/>
      <c r="M37" s="1126"/>
      <c r="N37" s="1125"/>
      <c r="O37" s="1127"/>
    </row>
    <row r="38" spans="1:17" s="783" customFormat="1" ht="25.5">
      <c r="A38" s="840"/>
      <c r="B38" s="777"/>
      <c r="C38" s="1121"/>
      <c r="D38" s="1112" t="s">
        <v>791</v>
      </c>
      <c r="E38" s="1113">
        <v>20</v>
      </c>
      <c r="F38" s="1114" t="s">
        <v>763</v>
      </c>
      <c r="G38" s="1122"/>
      <c r="H38" s="1123"/>
      <c r="I38" s="1124"/>
      <c r="J38" s="1124"/>
      <c r="K38" s="1125"/>
      <c r="L38" s="1125"/>
      <c r="M38" s="1126"/>
      <c r="N38" s="1125"/>
      <c r="O38" s="1127"/>
    </row>
    <row r="39" spans="1:17" s="783" customFormat="1" ht="25.5">
      <c r="A39" s="840"/>
      <c r="B39" s="777"/>
      <c r="C39" s="1121"/>
      <c r="D39" s="1112" t="s">
        <v>792</v>
      </c>
      <c r="E39" s="1113">
        <v>6</v>
      </c>
      <c r="F39" s="1114" t="s">
        <v>763</v>
      </c>
      <c r="G39" s="1122"/>
      <c r="H39" s="1123"/>
      <c r="I39" s="1124"/>
      <c r="J39" s="1124"/>
      <c r="K39" s="1125"/>
      <c r="L39" s="1125"/>
      <c r="M39" s="1126"/>
      <c r="N39" s="1125"/>
      <c r="O39" s="1127"/>
    </row>
    <row r="40" spans="1:17" s="783" customFormat="1" ht="25.5">
      <c r="A40" s="840"/>
      <c r="B40" s="777"/>
      <c r="C40" s="1121"/>
      <c r="D40" s="1112" t="s">
        <v>793</v>
      </c>
      <c r="E40" s="1113">
        <v>10</v>
      </c>
      <c r="F40" s="1114" t="s">
        <v>763</v>
      </c>
      <c r="G40" s="1122"/>
      <c r="H40" s="1123"/>
      <c r="I40" s="1124"/>
      <c r="J40" s="1124"/>
      <c r="K40" s="1125"/>
      <c r="L40" s="1125"/>
      <c r="M40" s="1126"/>
      <c r="N40" s="1125"/>
      <c r="O40" s="1127"/>
    </row>
    <row r="41" spans="1:17" s="783" customFormat="1" ht="25.5">
      <c r="A41" s="1260"/>
      <c r="B41" s="777"/>
      <c r="C41" s="1121"/>
      <c r="D41" s="1261" t="s">
        <v>794</v>
      </c>
      <c r="E41" s="1262">
        <v>40</v>
      </c>
      <c r="F41" s="1263" t="s">
        <v>795</v>
      </c>
      <c r="G41" s="1122"/>
      <c r="H41" s="1123"/>
      <c r="I41" s="1124"/>
      <c r="J41" s="1124"/>
      <c r="K41" s="1125"/>
      <c r="L41" s="1125"/>
      <c r="M41" s="1126"/>
      <c r="N41" s="1125"/>
      <c r="O41" s="1127"/>
    </row>
    <row r="42" spans="1:17" s="783" customFormat="1" ht="12.75">
      <c r="A42" s="840"/>
      <c r="B42" s="827"/>
      <c r="C42" s="1106"/>
      <c r="D42" s="1112" t="s">
        <v>796</v>
      </c>
      <c r="E42" s="1113">
        <v>4</v>
      </c>
      <c r="F42" s="1114" t="s">
        <v>755</v>
      </c>
      <c r="G42" s="1104"/>
      <c r="H42" s="1265"/>
      <c r="I42" s="1266"/>
      <c r="J42" s="1266"/>
      <c r="K42" s="1267"/>
      <c r="L42" s="1267"/>
      <c r="M42" s="1268"/>
      <c r="N42" s="1267"/>
      <c r="O42" s="1242"/>
    </row>
    <row r="43" spans="1:17" s="945" customFormat="1" ht="12.75">
      <c r="A43" s="1258"/>
      <c r="B43" s="928"/>
      <c r="C43" s="1269"/>
      <c r="D43" s="1259"/>
      <c r="E43" s="1270"/>
      <c r="F43" s="1271"/>
      <c r="G43" s="1272"/>
      <c r="H43" s="1273"/>
      <c r="I43" s="1274"/>
      <c r="J43" s="1274"/>
      <c r="K43" s="1275"/>
      <c r="L43" s="1275"/>
      <c r="M43" s="1276"/>
      <c r="N43" s="1275"/>
      <c r="O43" s="1277"/>
    </row>
    <row r="44" spans="1:17" s="945" customFormat="1" ht="30">
      <c r="A44" s="1258"/>
      <c r="B44" s="928" t="s">
        <v>1319</v>
      </c>
      <c r="C44" s="1278"/>
      <c r="D44" s="1279" t="s">
        <v>2</v>
      </c>
      <c r="E44" s="1280" t="s">
        <v>1083</v>
      </c>
      <c r="F44" s="1281"/>
      <c r="G44" s="1282"/>
      <c r="H44" s="1283"/>
      <c r="I44" s="1284"/>
      <c r="J44" s="1285"/>
      <c r="K44" s="1286"/>
      <c r="M44" s="1288"/>
      <c r="N44" s="1289"/>
      <c r="O44" s="1277"/>
      <c r="Q44" s="1287">
        <v>24500</v>
      </c>
    </row>
    <row r="45" spans="1:17" s="945" customFormat="1" ht="22.5">
      <c r="A45" s="1258"/>
      <c r="B45" s="928" t="s">
        <v>1319</v>
      </c>
      <c r="C45" s="1290"/>
      <c r="D45" s="1291"/>
      <c r="E45" s="1292" t="s">
        <v>1308</v>
      </c>
      <c r="F45" s="1293" t="s">
        <v>422</v>
      </c>
      <c r="G45" s="1294" t="s">
        <v>1084</v>
      </c>
      <c r="H45" s="1294">
        <v>46205</v>
      </c>
      <c r="I45" s="1295">
        <v>46376</v>
      </c>
      <c r="J45" s="1296" t="s">
        <v>1085</v>
      </c>
      <c r="K45" s="1297" t="s">
        <v>98</v>
      </c>
      <c r="L45" s="1298">
        <v>3175</v>
      </c>
      <c r="M45" s="1299" t="s">
        <v>99</v>
      </c>
      <c r="N45" s="1300"/>
      <c r="O45" s="1277"/>
    </row>
    <row r="46" spans="1:17" s="945" customFormat="1" ht="22.5">
      <c r="A46" s="1258"/>
      <c r="B46" s="928" t="s">
        <v>1319</v>
      </c>
      <c r="C46" s="1301"/>
      <c r="D46" s="1291"/>
      <c r="E46" s="1292" t="s">
        <v>1309</v>
      </c>
      <c r="F46" s="1293" t="s">
        <v>422</v>
      </c>
      <c r="G46" s="1294" t="s">
        <v>1084</v>
      </c>
      <c r="H46" s="1294">
        <v>46205</v>
      </c>
      <c r="I46" s="1295">
        <v>46376</v>
      </c>
      <c r="J46" s="1296" t="s">
        <v>1085</v>
      </c>
      <c r="K46" s="1296" t="s">
        <v>98</v>
      </c>
      <c r="L46" s="1302">
        <v>1625</v>
      </c>
      <c r="M46" s="1299" t="s">
        <v>99</v>
      </c>
      <c r="N46" s="1300"/>
      <c r="O46" s="1277"/>
    </row>
    <row r="47" spans="1:17" s="945" customFormat="1" ht="22.5">
      <c r="A47" s="1258"/>
      <c r="B47" s="928" t="s">
        <v>1319</v>
      </c>
      <c r="C47" s="1301"/>
      <c r="D47" s="1291"/>
      <c r="E47" s="1292" t="s">
        <v>1310</v>
      </c>
      <c r="F47" s="1293" t="s">
        <v>422</v>
      </c>
      <c r="G47" s="1294" t="s">
        <v>1084</v>
      </c>
      <c r="H47" s="1294">
        <v>46205</v>
      </c>
      <c r="I47" s="1295">
        <v>46376</v>
      </c>
      <c r="J47" s="1296" t="s">
        <v>1085</v>
      </c>
      <c r="K47" s="1296" t="s">
        <v>98</v>
      </c>
      <c r="L47" s="1302">
        <v>1860</v>
      </c>
      <c r="M47" s="1299" t="s">
        <v>99</v>
      </c>
      <c r="N47" s="1300"/>
      <c r="O47" s="1277"/>
    </row>
    <row r="48" spans="1:17" s="945" customFormat="1" ht="22.5">
      <c r="A48" s="1258"/>
      <c r="B48" s="928" t="s">
        <v>1319</v>
      </c>
      <c r="C48" s="1290"/>
      <c r="D48" s="1291"/>
      <c r="E48" s="1292" t="s">
        <v>1311</v>
      </c>
      <c r="F48" s="1293" t="s">
        <v>422</v>
      </c>
      <c r="G48" s="1294" t="s">
        <v>1084</v>
      </c>
      <c r="H48" s="1294">
        <v>46205</v>
      </c>
      <c r="I48" s="1295">
        <v>46376</v>
      </c>
      <c r="J48" s="1296" t="s">
        <v>1085</v>
      </c>
      <c r="K48" s="1296" t="s">
        <v>98</v>
      </c>
      <c r="L48" s="1298">
        <v>2400</v>
      </c>
      <c r="M48" s="1303" t="s">
        <v>99</v>
      </c>
      <c r="N48" s="1300"/>
      <c r="O48" s="1277"/>
    </row>
    <row r="49" spans="1:15" s="945" customFormat="1" ht="22.5">
      <c r="A49" s="1258"/>
      <c r="B49" s="928" t="s">
        <v>1319</v>
      </c>
      <c r="C49" s="1301"/>
      <c r="D49" s="1304"/>
      <c r="E49" s="1305" t="s">
        <v>1312</v>
      </c>
      <c r="F49" s="1293" t="s">
        <v>422</v>
      </c>
      <c r="G49" s="1294" t="s">
        <v>1084</v>
      </c>
      <c r="H49" s="1294">
        <v>46205</v>
      </c>
      <c r="I49" s="1295">
        <v>46376</v>
      </c>
      <c r="J49" s="1296" t="s">
        <v>1085</v>
      </c>
      <c r="K49" s="1296" t="s">
        <v>98</v>
      </c>
      <c r="L49" s="1302">
        <v>4000</v>
      </c>
      <c r="M49" s="1303" t="s">
        <v>99</v>
      </c>
      <c r="N49" s="1300"/>
      <c r="O49" s="1277"/>
    </row>
    <row r="50" spans="1:15" s="945" customFormat="1" ht="22.5">
      <c r="A50" s="1258"/>
      <c r="B50" s="928" t="s">
        <v>1319</v>
      </c>
      <c r="C50" s="1301"/>
      <c r="D50" s="1304"/>
      <c r="E50" s="1292" t="s">
        <v>1313</v>
      </c>
      <c r="F50" s="1293" t="s">
        <v>422</v>
      </c>
      <c r="G50" s="1294" t="s">
        <v>1084</v>
      </c>
      <c r="H50" s="1294">
        <v>46205</v>
      </c>
      <c r="I50" s="1295">
        <v>46376</v>
      </c>
      <c r="J50" s="1296" t="s">
        <v>1085</v>
      </c>
      <c r="K50" s="1296" t="s">
        <v>98</v>
      </c>
      <c r="L50" s="1302">
        <v>2000</v>
      </c>
      <c r="M50" s="1303" t="s">
        <v>99</v>
      </c>
      <c r="N50" s="1300"/>
      <c r="O50" s="1277"/>
    </row>
    <row r="51" spans="1:15" s="945" customFormat="1" ht="22.5">
      <c r="A51" s="1258"/>
      <c r="B51" s="928" t="s">
        <v>1319</v>
      </c>
      <c r="C51" s="1301"/>
      <c r="D51" s="1306"/>
      <c r="E51" s="1307" t="s">
        <v>1314</v>
      </c>
      <c r="F51" s="1293" t="s">
        <v>422</v>
      </c>
      <c r="G51" s="1294" t="s">
        <v>1084</v>
      </c>
      <c r="H51" s="1294">
        <v>46205</v>
      </c>
      <c r="I51" s="1295">
        <v>46376</v>
      </c>
      <c r="J51" s="1296" t="s">
        <v>1085</v>
      </c>
      <c r="K51" s="1296" t="s">
        <v>98</v>
      </c>
      <c r="L51" s="1302">
        <v>1180</v>
      </c>
      <c r="M51" s="1303" t="s">
        <v>99</v>
      </c>
      <c r="N51" s="1300"/>
      <c r="O51" s="1277"/>
    </row>
    <row r="52" spans="1:15" s="945" customFormat="1" ht="22.5">
      <c r="A52" s="1258"/>
      <c r="B52" s="928" t="s">
        <v>1319</v>
      </c>
      <c r="C52" s="1290"/>
      <c r="D52" s="1291"/>
      <c r="E52" s="1308" t="s">
        <v>1315</v>
      </c>
      <c r="F52" s="1293" t="s">
        <v>422</v>
      </c>
      <c r="G52" s="1294" t="s">
        <v>1084</v>
      </c>
      <c r="H52" s="1294">
        <v>46205</v>
      </c>
      <c r="I52" s="1295">
        <v>46376</v>
      </c>
      <c r="J52" s="1296" t="s">
        <v>1085</v>
      </c>
      <c r="K52" s="1296" t="s">
        <v>98</v>
      </c>
      <c r="L52" s="1298">
        <v>2700</v>
      </c>
      <c r="M52" s="1303" t="s">
        <v>99</v>
      </c>
      <c r="N52" s="1300"/>
      <c r="O52" s="1277"/>
    </row>
    <row r="53" spans="1:15" s="945" customFormat="1" ht="22.5">
      <c r="A53" s="1258"/>
      <c r="B53" s="928" t="s">
        <v>1319</v>
      </c>
      <c r="C53" s="1290"/>
      <c r="D53" s="1291"/>
      <c r="E53" s="1292" t="s">
        <v>1316</v>
      </c>
      <c r="F53" s="1293" t="s">
        <v>422</v>
      </c>
      <c r="G53" s="1294" t="s">
        <v>1084</v>
      </c>
      <c r="H53" s="1294">
        <v>46205</v>
      </c>
      <c r="I53" s="1295">
        <v>46376</v>
      </c>
      <c r="J53" s="1296" t="s">
        <v>1085</v>
      </c>
      <c r="K53" s="1296" t="s">
        <v>98</v>
      </c>
      <c r="L53" s="1298">
        <v>3800</v>
      </c>
      <c r="M53" s="1303" t="s">
        <v>99</v>
      </c>
      <c r="N53" s="1300"/>
      <c r="O53" s="1277"/>
    </row>
    <row r="54" spans="1:15" s="945" customFormat="1" ht="22.5">
      <c r="A54" s="1258"/>
      <c r="B54" s="928" t="s">
        <v>1319</v>
      </c>
      <c r="C54" s="1301"/>
      <c r="D54" s="1309"/>
      <c r="E54" s="1310" t="s">
        <v>1317</v>
      </c>
      <c r="F54" s="1293" t="s">
        <v>422</v>
      </c>
      <c r="G54" s="1294" t="s">
        <v>1084</v>
      </c>
      <c r="H54" s="1294">
        <v>46205</v>
      </c>
      <c r="I54" s="1295">
        <v>46376</v>
      </c>
      <c r="J54" s="1296" t="s">
        <v>1085</v>
      </c>
      <c r="K54" s="1296" t="s">
        <v>98</v>
      </c>
      <c r="L54" s="1302">
        <v>900</v>
      </c>
      <c r="M54" s="1303" t="s">
        <v>99</v>
      </c>
      <c r="N54" s="1300"/>
      <c r="O54" s="1277"/>
    </row>
    <row r="55" spans="1:15" s="945" customFormat="1" ht="22.5">
      <c r="A55" s="1258"/>
      <c r="B55" s="928" t="s">
        <v>1319</v>
      </c>
      <c r="C55" s="1311"/>
      <c r="D55" s="1291"/>
      <c r="E55" s="1292" t="s">
        <v>1318</v>
      </c>
      <c r="F55" s="1293" t="s">
        <v>422</v>
      </c>
      <c r="G55" s="1294" t="s">
        <v>1084</v>
      </c>
      <c r="H55" s="1294">
        <v>46205</v>
      </c>
      <c r="I55" s="1295">
        <v>46376</v>
      </c>
      <c r="J55" s="1296" t="s">
        <v>1085</v>
      </c>
      <c r="K55" s="1296" t="s">
        <v>98</v>
      </c>
      <c r="L55" s="1312">
        <v>860</v>
      </c>
      <c r="M55" s="1299" t="s">
        <v>99</v>
      </c>
      <c r="N55" s="1300"/>
      <c r="O55" s="1277"/>
    </row>
    <row r="56" spans="1:15" s="945" customFormat="1" ht="12.75">
      <c r="A56" s="1258"/>
      <c r="B56" s="928"/>
      <c r="C56" s="1269"/>
      <c r="D56" s="1259"/>
      <c r="E56" s="1270"/>
      <c r="F56" s="1271"/>
      <c r="G56" s="1272"/>
      <c r="H56" s="1273"/>
      <c r="I56" s="1274"/>
      <c r="J56" s="1274"/>
      <c r="K56" s="1275"/>
      <c r="L56" s="1275"/>
      <c r="M56" s="1276"/>
      <c r="N56" s="1275"/>
      <c r="O56" s="1277"/>
    </row>
    <row r="57" spans="1:15" s="945" customFormat="1" ht="12.75">
      <c r="A57" s="1258"/>
      <c r="B57" s="928"/>
      <c r="C57" s="1269"/>
      <c r="D57" s="1259"/>
      <c r="E57" s="1270"/>
      <c r="F57" s="1271"/>
      <c r="G57" s="1272"/>
      <c r="H57" s="1273"/>
      <c r="I57" s="1274"/>
      <c r="J57" s="1274"/>
      <c r="K57" s="1275"/>
      <c r="L57" s="1275"/>
      <c r="M57" s="1276"/>
      <c r="N57" s="1275"/>
      <c r="O57" s="1277"/>
    </row>
    <row r="58" spans="1:15" s="945" customFormat="1">
      <c r="A58" s="1258"/>
      <c r="B58" s="928" t="s">
        <v>1328</v>
      </c>
      <c r="C58" s="1278"/>
      <c r="D58" s="1279" t="s">
        <v>2</v>
      </c>
      <c r="E58" s="2664" t="s">
        <v>1083</v>
      </c>
      <c r="F58" s="2665"/>
      <c r="G58" s="2666"/>
      <c r="H58" s="1283"/>
      <c r="I58" s="1284"/>
      <c r="J58" s="1285"/>
      <c r="K58" s="1365"/>
      <c r="L58" s="1287"/>
      <c r="M58" s="1288"/>
      <c r="N58" s="1289"/>
      <c r="O58" s="1277"/>
    </row>
    <row r="59" spans="1:15" s="945" customFormat="1" ht="25.5">
      <c r="A59" s="1258"/>
      <c r="B59" s="928" t="s">
        <v>1328</v>
      </c>
      <c r="C59" s="1290"/>
      <c r="D59" s="1366"/>
      <c r="E59" s="1367" t="s">
        <v>1354</v>
      </c>
      <c r="F59" s="1352" t="s">
        <v>1104</v>
      </c>
      <c r="G59" s="1294" t="s">
        <v>1084</v>
      </c>
      <c r="H59" s="1294" t="s">
        <v>972</v>
      </c>
      <c r="I59" s="1295" t="s">
        <v>1147</v>
      </c>
      <c r="J59" s="1296" t="s">
        <v>1148</v>
      </c>
      <c r="K59" s="1353" t="s">
        <v>1149</v>
      </c>
      <c r="L59" s="1368">
        <v>420</v>
      </c>
      <c r="M59" s="1303" t="s">
        <v>659</v>
      </c>
      <c r="N59" s="1300"/>
      <c r="O59" s="1277"/>
    </row>
    <row r="60" spans="1:15" s="945" customFormat="1" ht="25.5">
      <c r="A60" s="1258"/>
      <c r="B60" s="928" t="s">
        <v>1328</v>
      </c>
      <c r="C60" s="1301"/>
      <c r="D60" s="1366"/>
      <c r="E60" s="1369" t="s">
        <v>1355</v>
      </c>
      <c r="F60" s="1352" t="s">
        <v>1104</v>
      </c>
      <c r="G60" s="1294" t="s">
        <v>1084</v>
      </c>
      <c r="H60" s="1294" t="s">
        <v>972</v>
      </c>
      <c r="I60" s="1295" t="s">
        <v>1147</v>
      </c>
      <c r="J60" s="1296" t="s">
        <v>1148</v>
      </c>
      <c r="K60" s="1353" t="s">
        <v>1149</v>
      </c>
      <c r="L60" s="1368">
        <v>96</v>
      </c>
      <c r="M60" s="1303" t="s">
        <v>659</v>
      </c>
      <c r="N60" s="1300"/>
      <c r="O60" s="1277"/>
    </row>
    <row r="61" spans="1:15" s="945" customFormat="1" ht="25.5">
      <c r="A61" s="1258"/>
      <c r="B61" s="928" t="s">
        <v>1328</v>
      </c>
      <c r="C61" s="1301"/>
      <c r="D61" s="1366"/>
      <c r="E61" s="1369" t="s">
        <v>1356</v>
      </c>
      <c r="F61" s="1352" t="s">
        <v>1104</v>
      </c>
      <c r="G61" s="1294" t="s">
        <v>1084</v>
      </c>
      <c r="H61" s="1294" t="s">
        <v>972</v>
      </c>
      <c r="I61" s="1295" t="s">
        <v>1147</v>
      </c>
      <c r="J61" s="1296" t="s">
        <v>1148</v>
      </c>
      <c r="K61" s="1353" t="s">
        <v>1149</v>
      </c>
      <c r="L61" s="1368">
        <v>144</v>
      </c>
      <c r="M61" s="1303" t="s">
        <v>659</v>
      </c>
      <c r="N61" s="1300"/>
      <c r="O61" s="1277"/>
    </row>
    <row r="62" spans="1:15" s="945" customFormat="1" ht="25.5">
      <c r="A62" s="1258"/>
      <c r="B62" s="928" t="s">
        <v>1328</v>
      </c>
      <c r="C62" s="1290"/>
      <c r="D62" s="1366"/>
      <c r="E62" s="1370" t="s">
        <v>732</v>
      </c>
      <c r="F62" s="1352" t="s">
        <v>1104</v>
      </c>
      <c r="G62" s="1294" t="s">
        <v>1084</v>
      </c>
      <c r="H62" s="1294" t="s">
        <v>972</v>
      </c>
      <c r="I62" s="1295" t="s">
        <v>1147</v>
      </c>
      <c r="J62" s="1296" t="s">
        <v>1148</v>
      </c>
      <c r="K62" s="1353" t="s">
        <v>1149</v>
      </c>
      <c r="L62" s="1368">
        <v>2100</v>
      </c>
      <c r="M62" s="1303" t="s">
        <v>659</v>
      </c>
      <c r="N62" s="1300"/>
      <c r="O62" s="1277"/>
    </row>
    <row r="63" spans="1:15" s="945" customFormat="1" ht="25.5">
      <c r="A63" s="1258"/>
      <c r="B63" s="928" t="s">
        <v>1328</v>
      </c>
      <c r="C63" s="1301"/>
      <c r="D63" s="1366"/>
      <c r="E63" s="1370" t="s">
        <v>733</v>
      </c>
      <c r="F63" s="1352" t="s">
        <v>1104</v>
      </c>
      <c r="G63" s="1294" t="s">
        <v>1084</v>
      </c>
      <c r="H63" s="1294" t="s">
        <v>972</v>
      </c>
      <c r="I63" s="1295" t="s">
        <v>1147</v>
      </c>
      <c r="J63" s="1296" t="s">
        <v>1148</v>
      </c>
      <c r="K63" s="1353" t="s">
        <v>1149</v>
      </c>
      <c r="L63" s="1368">
        <v>1960</v>
      </c>
      <c r="M63" s="1303" t="s">
        <v>659</v>
      </c>
      <c r="N63" s="1300"/>
      <c r="O63" s="1277"/>
    </row>
    <row r="64" spans="1:15" s="945" customFormat="1" ht="25.5">
      <c r="A64" s="1258"/>
      <c r="B64" s="928" t="s">
        <v>1328</v>
      </c>
      <c r="C64" s="1301"/>
      <c r="D64" s="1366"/>
      <c r="E64" s="1369" t="s">
        <v>1357</v>
      </c>
      <c r="F64" s="1352" t="s">
        <v>1104</v>
      </c>
      <c r="G64" s="1294" t="s">
        <v>1084</v>
      </c>
      <c r="H64" s="1294" t="s">
        <v>972</v>
      </c>
      <c r="I64" s="1295" t="s">
        <v>1147</v>
      </c>
      <c r="J64" s="1296" t="s">
        <v>1148</v>
      </c>
      <c r="K64" s="1353" t="s">
        <v>1149</v>
      </c>
      <c r="L64" s="1368">
        <v>150</v>
      </c>
      <c r="M64" s="1303" t="s">
        <v>659</v>
      </c>
      <c r="N64" s="1300"/>
      <c r="O64" s="1277"/>
    </row>
    <row r="65" spans="1:15" s="945" customFormat="1" ht="25.5">
      <c r="A65" s="1258"/>
      <c r="B65" s="928" t="s">
        <v>1328</v>
      </c>
      <c r="C65" s="1301"/>
      <c r="D65" s="1366"/>
      <c r="E65" s="1369" t="s">
        <v>1358</v>
      </c>
      <c r="F65" s="1352" t="s">
        <v>1104</v>
      </c>
      <c r="G65" s="1294" t="s">
        <v>1084</v>
      </c>
      <c r="H65" s="1294" t="s">
        <v>972</v>
      </c>
      <c r="I65" s="1295" t="s">
        <v>1147</v>
      </c>
      <c r="J65" s="1296" t="s">
        <v>1148</v>
      </c>
      <c r="K65" s="1353" t="s">
        <v>1149</v>
      </c>
      <c r="L65" s="1368">
        <v>110</v>
      </c>
      <c r="M65" s="1303" t="s">
        <v>659</v>
      </c>
      <c r="N65" s="1300"/>
      <c r="O65" s="1277"/>
    </row>
    <row r="66" spans="1:15" s="945" customFormat="1" ht="25.5">
      <c r="A66" s="1258"/>
      <c r="B66" s="928" t="s">
        <v>1328</v>
      </c>
      <c r="C66" s="1290"/>
      <c r="D66" s="1371"/>
      <c r="E66" s="1370" t="s">
        <v>1011</v>
      </c>
      <c r="F66" s="1352" t="s">
        <v>1104</v>
      </c>
      <c r="G66" s="1294" t="s">
        <v>1084</v>
      </c>
      <c r="H66" s="1294" t="s">
        <v>972</v>
      </c>
      <c r="I66" s="1295" t="s">
        <v>1147</v>
      </c>
      <c r="J66" s="1296" t="s">
        <v>1148</v>
      </c>
      <c r="K66" s="1353" t="s">
        <v>1149</v>
      </c>
      <c r="L66" s="1368">
        <v>100</v>
      </c>
      <c r="M66" s="1303" t="s">
        <v>659</v>
      </c>
      <c r="N66" s="1300"/>
      <c r="O66" s="1277"/>
    </row>
    <row r="67" spans="1:15" s="945" customFormat="1" ht="25.5">
      <c r="A67" s="1258"/>
      <c r="B67" s="928" t="s">
        <v>1328</v>
      </c>
      <c r="C67" s="1290"/>
      <c r="D67" s="1371"/>
      <c r="E67" s="1369" t="s">
        <v>1359</v>
      </c>
      <c r="F67" s="1352" t="s">
        <v>1104</v>
      </c>
      <c r="G67" s="1294" t="s">
        <v>1084</v>
      </c>
      <c r="H67" s="1294" t="s">
        <v>972</v>
      </c>
      <c r="I67" s="1295" t="s">
        <v>1147</v>
      </c>
      <c r="J67" s="1296" t="s">
        <v>1148</v>
      </c>
      <c r="K67" s="1353" t="s">
        <v>1149</v>
      </c>
      <c r="L67" s="1368">
        <v>150</v>
      </c>
      <c r="M67" s="1303" t="s">
        <v>659</v>
      </c>
      <c r="N67" s="1300"/>
      <c r="O67" s="1277"/>
    </row>
    <row r="68" spans="1:15" s="945" customFormat="1" ht="25.5">
      <c r="A68" s="1258"/>
      <c r="B68" s="928" t="s">
        <v>1328</v>
      </c>
      <c r="C68" s="1301"/>
      <c r="D68" s="1371"/>
      <c r="E68" s="1369" t="s">
        <v>1360</v>
      </c>
      <c r="F68" s="1352" t="s">
        <v>1104</v>
      </c>
      <c r="G68" s="1294" t="s">
        <v>1084</v>
      </c>
      <c r="H68" s="1294" t="s">
        <v>972</v>
      </c>
      <c r="I68" s="1295" t="s">
        <v>1147</v>
      </c>
      <c r="J68" s="1296" t="s">
        <v>1148</v>
      </c>
      <c r="K68" s="1353" t="s">
        <v>1149</v>
      </c>
      <c r="L68" s="1372">
        <v>150</v>
      </c>
      <c r="M68" s="1303" t="s">
        <v>659</v>
      </c>
      <c r="N68" s="1300"/>
      <c r="O68" s="1277"/>
    </row>
    <row r="69" spans="1:15" s="945" customFormat="1" ht="25.5">
      <c r="A69" s="1258"/>
      <c r="B69" s="928" t="s">
        <v>1328</v>
      </c>
      <c r="C69" s="1311"/>
      <c r="D69" s="1373"/>
      <c r="E69" s="1369" t="s">
        <v>1361</v>
      </c>
      <c r="F69" s="1352" t="s">
        <v>1104</v>
      </c>
      <c r="G69" s="1294" t="s">
        <v>1084</v>
      </c>
      <c r="H69" s="1294" t="s">
        <v>972</v>
      </c>
      <c r="I69" s="1295" t="s">
        <v>1147</v>
      </c>
      <c r="J69" s="1296" t="s">
        <v>1148</v>
      </c>
      <c r="K69" s="1353" t="s">
        <v>1149</v>
      </c>
      <c r="L69" s="1374">
        <v>280</v>
      </c>
      <c r="M69" s="1303" t="s">
        <v>659</v>
      </c>
      <c r="N69" s="1300"/>
      <c r="O69" s="1277"/>
    </row>
    <row r="70" spans="1:15" s="945" customFormat="1" ht="25.5">
      <c r="A70" s="1258"/>
      <c r="B70" s="928" t="s">
        <v>1328</v>
      </c>
      <c r="C70" s="1311"/>
      <c r="D70" s="1366"/>
      <c r="E70" s="1369" t="s">
        <v>1362</v>
      </c>
      <c r="F70" s="1352" t="s">
        <v>1104</v>
      </c>
      <c r="G70" s="1294" t="s">
        <v>1084</v>
      </c>
      <c r="H70" s="1294" t="s">
        <v>972</v>
      </c>
      <c r="I70" s="1295" t="s">
        <v>1147</v>
      </c>
      <c r="J70" s="1296" t="s">
        <v>1148</v>
      </c>
      <c r="K70" s="1353" t="s">
        <v>1149</v>
      </c>
      <c r="L70" s="1368">
        <v>85</v>
      </c>
      <c r="M70" s="1303" t="s">
        <v>659</v>
      </c>
      <c r="N70" s="1300"/>
      <c r="O70" s="1277"/>
    </row>
    <row r="71" spans="1:15" s="945" customFormat="1" ht="25.5">
      <c r="A71" s="1258"/>
      <c r="B71" s="928" t="s">
        <v>1328</v>
      </c>
      <c r="C71" s="1311"/>
      <c r="D71" s="1366"/>
      <c r="E71" s="1369" t="s">
        <v>1363</v>
      </c>
      <c r="F71" s="1352" t="s">
        <v>1104</v>
      </c>
      <c r="G71" s="1294" t="s">
        <v>1084</v>
      </c>
      <c r="H71" s="1294" t="s">
        <v>972</v>
      </c>
      <c r="I71" s="1295" t="s">
        <v>1147</v>
      </c>
      <c r="J71" s="1296" t="s">
        <v>1148</v>
      </c>
      <c r="K71" s="1353" t="s">
        <v>1149</v>
      </c>
      <c r="L71" s="1368">
        <v>110</v>
      </c>
      <c r="M71" s="1303" t="s">
        <v>659</v>
      </c>
      <c r="N71" s="1300"/>
      <c r="O71" s="1277"/>
    </row>
    <row r="72" spans="1:15" s="945" customFormat="1" ht="25.5">
      <c r="A72" s="1258"/>
      <c r="B72" s="928" t="s">
        <v>1328</v>
      </c>
      <c r="C72" s="1311"/>
      <c r="D72" s="1366"/>
      <c r="E72" s="1369" t="s">
        <v>1364</v>
      </c>
      <c r="F72" s="1352" t="s">
        <v>1104</v>
      </c>
      <c r="G72" s="1294" t="s">
        <v>1084</v>
      </c>
      <c r="H72" s="1294" t="s">
        <v>972</v>
      </c>
      <c r="I72" s="1295" t="s">
        <v>1147</v>
      </c>
      <c r="J72" s="1296" t="s">
        <v>1148</v>
      </c>
      <c r="K72" s="1353" t="s">
        <v>1149</v>
      </c>
      <c r="L72" s="1368">
        <v>140</v>
      </c>
      <c r="M72" s="1303" t="s">
        <v>659</v>
      </c>
      <c r="N72" s="1300"/>
      <c r="O72" s="1277"/>
    </row>
    <row r="73" spans="1:15" s="945" customFormat="1" ht="25.5">
      <c r="A73" s="1258"/>
      <c r="B73" s="928" t="s">
        <v>1328</v>
      </c>
      <c r="C73" s="1311"/>
      <c r="D73" s="1366"/>
      <c r="E73" s="1369" t="s">
        <v>1365</v>
      </c>
      <c r="F73" s="1352" t="s">
        <v>1104</v>
      </c>
      <c r="G73" s="1294" t="s">
        <v>1084</v>
      </c>
      <c r="H73" s="1294" t="s">
        <v>972</v>
      </c>
      <c r="I73" s="1295" t="s">
        <v>1147</v>
      </c>
      <c r="J73" s="1296" t="s">
        <v>1148</v>
      </c>
      <c r="K73" s="1353" t="s">
        <v>1149</v>
      </c>
      <c r="L73" s="1368">
        <v>120</v>
      </c>
      <c r="M73" s="1303" t="s">
        <v>659</v>
      </c>
      <c r="N73" s="1300"/>
      <c r="O73" s="1277"/>
    </row>
    <row r="74" spans="1:15" s="945" customFormat="1" ht="25.5">
      <c r="A74" s="1258"/>
      <c r="B74" s="928" t="s">
        <v>1328</v>
      </c>
      <c r="C74" s="1311"/>
      <c r="D74" s="1366"/>
      <c r="E74" s="1369" t="s">
        <v>1366</v>
      </c>
      <c r="F74" s="1352" t="s">
        <v>1104</v>
      </c>
      <c r="G74" s="1294" t="s">
        <v>1084</v>
      </c>
      <c r="H74" s="1294" t="s">
        <v>972</v>
      </c>
      <c r="I74" s="1295" t="s">
        <v>1147</v>
      </c>
      <c r="J74" s="1296" t="s">
        <v>1148</v>
      </c>
      <c r="K74" s="1353" t="s">
        <v>1149</v>
      </c>
      <c r="L74" s="1375">
        <v>105</v>
      </c>
      <c r="M74" s="1303" t="s">
        <v>659</v>
      </c>
      <c r="N74" s="1300"/>
      <c r="O74" s="1277"/>
    </row>
    <row r="75" spans="1:15" s="945" customFormat="1" ht="25.5">
      <c r="A75" s="1258"/>
      <c r="B75" s="928" t="s">
        <v>1328</v>
      </c>
      <c r="C75" s="1311"/>
      <c r="D75" s="1366"/>
      <c r="E75" s="1369" t="s">
        <v>1367</v>
      </c>
      <c r="F75" s="1352" t="s">
        <v>1104</v>
      </c>
      <c r="G75" s="1294" t="s">
        <v>1084</v>
      </c>
      <c r="H75" s="1294" t="s">
        <v>972</v>
      </c>
      <c r="I75" s="1295" t="s">
        <v>1147</v>
      </c>
      <c r="J75" s="1296" t="s">
        <v>1148</v>
      </c>
      <c r="K75" s="1353" t="s">
        <v>1149</v>
      </c>
      <c r="L75" s="1376">
        <v>84</v>
      </c>
      <c r="M75" s="1303" t="s">
        <v>659</v>
      </c>
      <c r="N75" s="1300"/>
      <c r="O75" s="1277"/>
    </row>
    <row r="76" spans="1:15" s="945" customFormat="1" ht="25.5">
      <c r="A76" s="1258"/>
      <c r="B76" s="928" t="s">
        <v>1328</v>
      </c>
      <c r="C76" s="1311"/>
      <c r="D76" s="1366"/>
      <c r="E76" s="1377" t="s">
        <v>1368</v>
      </c>
      <c r="F76" s="1352" t="s">
        <v>1104</v>
      </c>
      <c r="G76" s="1294" t="s">
        <v>1084</v>
      </c>
      <c r="H76" s="1294" t="s">
        <v>972</v>
      </c>
      <c r="I76" s="1295" t="s">
        <v>1147</v>
      </c>
      <c r="J76" s="1296" t="s">
        <v>1148</v>
      </c>
      <c r="K76" s="1353" t="s">
        <v>1149</v>
      </c>
      <c r="L76" s="1376">
        <v>680</v>
      </c>
      <c r="M76" s="1303" t="s">
        <v>659</v>
      </c>
      <c r="N76" s="1300"/>
      <c r="O76" s="1277"/>
    </row>
    <row r="77" spans="1:15" s="945" customFormat="1" ht="25.5">
      <c r="A77" s="1258"/>
      <c r="B77" s="928" t="s">
        <v>1328</v>
      </c>
      <c r="C77" s="1311"/>
      <c r="D77" s="1366"/>
      <c r="E77" s="1370" t="s">
        <v>1369</v>
      </c>
      <c r="F77" s="1352" t="s">
        <v>1104</v>
      </c>
      <c r="G77" s="1294" t="s">
        <v>1084</v>
      </c>
      <c r="H77" s="1294" t="s">
        <v>972</v>
      </c>
      <c r="I77" s="1295" t="s">
        <v>1147</v>
      </c>
      <c r="J77" s="1296" t="s">
        <v>1148</v>
      </c>
      <c r="K77" s="1353" t="s">
        <v>1149</v>
      </c>
      <c r="L77" s="1376">
        <v>350</v>
      </c>
      <c r="M77" s="1303" t="s">
        <v>659</v>
      </c>
      <c r="N77" s="1300"/>
      <c r="O77" s="1277"/>
    </row>
    <row r="78" spans="1:15" s="945" customFormat="1" ht="25.5">
      <c r="A78" s="1258"/>
      <c r="B78" s="928" t="s">
        <v>1328</v>
      </c>
      <c r="C78" s="1311"/>
      <c r="D78" s="1366"/>
      <c r="E78" s="1370" t="s">
        <v>1370</v>
      </c>
      <c r="F78" s="1352" t="s">
        <v>1104</v>
      </c>
      <c r="G78" s="1294" t="s">
        <v>1084</v>
      </c>
      <c r="H78" s="1294" t="s">
        <v>972</v>
      </c>
      <c r="I78" s="1295" t="s">
        <v>1147</v>
      </c>
      <c r="J78" s="1296" t="s">
        <v>1148</v>
      </c>
      <c r="K78" s="1353" t="s">
        <v>1149</v>
      </c>
      <c r="L78" s="1376">
        <v>2600</v>
      </c>
      <c r="M78" s="1303" t="s">
        <v>659</v>
      </c>
      <c r="N78" s="1300"/>
      <c r="O78" s="1277"/>
    </row>
    <row r="79" spans="1:15" s="945" customFormat="1" ht="25.5">
      <c r="A79" s="1258"/>
      <c r="B79" s="928" t="s">
        <v>1328</v>
      </c>
      <c r="C79" s="1311"/>
      <c r="D79" s="1366"/>
      <c r="E79" s="1370" t="s">
        <v>1371</v>
      </c>
      <c r="F79" s="1352" t="s">
        <v>1104</v>
      </c>
      <c r="G79" s="1294" t="s">
        <v>1084</v>
      </c>
      <c r="H79" s="1294" t="s">
        <v>972</v>
      </c>
      <c r="I79" s="1295" t="s">
        <v>1147</v>
      </c>
      <c r="J79" s="1296" t="s">
        <v>1148</v>
      </c>
      <c r="K79" s="1353" t="s">
        <v>1149</v>
      </c>
      <c r="L79" s="1376">
        <v>200</v>
      </c>
      <c r="M79" s="1303" t="s">
        <v>659</v>
      </c>
      <c r="N79" s="1300"/>
      <c r="O79" s="1277"/>
    </row>
    <row r="80" spans="1:15" s="945" customFormat="1" ht="25.5">
      <c r="A80" s="1258"/>
      <c r="B80" s="928" t="s">
        <v>1328</v>
      </c>
      <c r="C80" s="1311"/>
      <c r="D80" s="1366"/>
      <c r="E80" s="1370" t="s">
        <v>1372</v>
      </c>
      <c r="F80" s="1352" t="s">
        <v>1104</v>
      </c>
      <c r="G80" s="1294" t="s">
        <v>1084</v>
      </c>
      <c r="H80" s="1294" t="s">
        <v>972</v>
      </c>
      <c r="I80" s="1295" t="s">
        <v>1147</v>
      </c>
      <c r="J80" s="1296" t="s">
        <v>1148</v>
      </c>
      <c r="K80" s="1353" t="s">
        <v>1149</v>
      </c>
      <c r="L80" s="1376">
        <v>2000</v>
      </c>
      <c r="M80" s="1303" t="s">
        <v>659</v>
      </c>
      <c r="N80" s="1300"/>
      <c r="O80" s="1277"/>
    </row>
    <row r="81" spans="1:15" s="945" customFormat="1" ht="25.5">
      <c r="A81" s="1258"/>
      <c r="B81" s="928" t="s">
        <v>1328</v>
      </c>
      <c r="C81" s="1311"/>
      <c r="D81" s="1314"/>
      <c r="E81" s="1370" t="s">
        <v>1373</v>
      </c>
      <c r="F81" s="1352" t="s">
        <v>1104</v>
      </c>
      <c r="G81" s="1294" t="s">
        <v>1084</v>
      </c>
      <c r="H81" s="1294" t="s">
        <v>972</v>
      </c>
      <c r="I81" s="1295" t="s">
        <v>1147</v>
      </c>
      <c r="J81" s="1296" t="s">
        <v>1148</v>
      </c>
      <c r="K81" s="1353" t="s">
        <v>1149</v>
      </c>
      <c r="L81" s="1376">
        <v>500</v>
      </c>
      <c r="M81" s="1303" t="s">
        <v>659</v>
      </c>
      <c r="N81" s="1300"/>
      <c r="O81" s="1277"/>
    </row>
    <row r="82" spans="1:15" s="945" customFormat="1" ht="12.75">
      <c r="A82" s="1258"/>
      <c r="B82" s="928"/>
      <c r="C82" s="1269"/>
      <c r="D82" s="1259"/>
      <c r="E82" s="1270"/>
      <c r="F82" s="1271"/>
      <c r="G82" s="1272"/>
      <c r="H82" s="1273"/>
      <c r="I82" s="1274"/>
      <c r="J82" s="1274"/>
      <c r="K82" s="1275"/>
      <c r="L82" s="1275"/>
      <c r="M82" s="1276"/>
      <c r="N82" s="1275"/>
      <c r="O82" s="1277"/>
    </row>
    <row r="83" spans="1:15" s="945" customFormat="1">
      <c r="A83" s="1258"/>
      <c r="B83" s="928" t="s">
        <v>1374</v>
      </c>
      <c r="C83" s="1401"/>
      <c r="D83" s="1392" t="s">
        <v>2</v>
      </c>
      <c r="E83" s="2667" t="s">
        <v>1083</v>
      </c>
      <c r="F83" s="2667"/>
      <c r="G83" s="2667"/>
      <c r="H83" s="1394"/>
      <c r="I83" s="1395"/>
      <c r="J83" s="1396"/>
      <c r="K83" s="1397"/>
      <c r="L83" s="1346"/>
      <c r="M83" s="1398"/>
      <c r="N83" s="1399"/>
      <c r="O83" s="1277"/>
    </row>
    <row r="84" spans="1:15" s="945" customFormat="1" ht="25.5">
      <c r="A84" s="1258"/>
      <c r="B84" s="928" t="s">
        <v>1374</v>
      </c>
      <c r="C84" s="1404"/>
      <c r="D84" s="1366"/>
      <c r="E84" s="1405" t="s">
        <v>1512</v>
      </c>
      <c r="F84" s="1352" t="s">
        <v>1104</v>
      </c>
      <c r="G84" s="1294" t="s">
        <v>1084</v>
      </c>
      <c r="H84" s="1294" t="s">
        <v>972</v>
      </c>
      <c r="I84" s="1295" t="s">
        <v>1147</v>
      </c>
      <c r="J84" s="1296" t="s">
        <v>1148</v>
      </c>
      <c r="K84" s="1353" t="s">
        <v>1149</v>
      </c>
      <c r="L84" s="2668">
        <v>9000</v>
      </c>
      <c r="M84" s="1303" t="s">
        <v>659</v>
      </c>
      <c r="N84" s="1354"/>
      <c r="O84" s="1277"/>
    </row>
    <row r="85" spans="1:15" s="945" customFormat="1" ht="25.5">
      <c r="A85" s="1258"/>
      <c r="B85" s="928" t="s">
        <v>1374</v>
      </c>
      <c r="C85" s="1406"/>
      <c r="D85" s="1366"/>
      <c r="E85" s="1407" t="s">
        <v>1513</v>
      </c>
      <c r="F85" s="1352" t="s">
        <v>1104</v>
      </c>
      <c r="G85" s="1294" t="s">
        <v>1084</v>
      </c>
      <c r="H85" s="1294" t="s">
        <v>972</v>
      </c>
      <c r="I85" s="1295" t="s">
        <v>1147</v>
      </c>
      <c r="J85" s="1296" t="s">
        <v>1148</v>
      </c>
      <c r="K85" s="1353" t="s">
        <v>1149</v>
      </c>
      <c r="L85" s="2668"/>
      <c r="M85" s="1303" t="s">
        <v>659</v>
      </c>
      <c r="N85" s="1354"/>
      <c r="O85" s="1277"/>
    </row>
    <row r="86" spans="1:15" s="945" customFormat="1" ht="30">
      <c r="A86" s="1258"/>
      <c r="B86" s="928" t="s">
        <v>1374</v>
      </c>
      <c r="C86" s="1406"/>
      <c r="D86" s="1366"/>
      <c r="E86" s="1405" t="s">
        <v>1514</v>
      </c>
      <c r="F86" s="1352" t="s">
        <v>1104</v>
      </c>
      <c r="G86" s="1294" t="s">
        <v>1084</v>
      </c>
      <c r="H86" s="1294" t="s">
        <v>972</v>
      </c>
      <c r="I86" s="1295" t="s">
        <v>1147</v>
      </c>
      <c r="J86" s="1296" t="s">
        <v>1148</v>
      </c>
      <c r="K86" s="1353" t="s">
        <v>1149</v>
      </c>
      <c r="L86" s="2668"/>
      <c r="M86" s="1303" t="s">
        <v>659</v>
      </c>
      <c r="N86" s="1354"/>
      <c r="O86" s="1277"/>
    </row>
    <row r="87" spans="1:15" s="945" customFormat="1" ht="30">
      <c r="A87" s="1258"/>
      <c r="B87" s="928" t="s">
        <v>1374</v>
      </c>
      <c r="C87" s="1404"/>
      <c r="D87" s="1366"/>
      <c r="E87" s="1407" t="s">
        <v>1515</v>
      </c>
      <c r="F87" s="1352" t="s">
        <v>1104</v>
      </c>
      <c r="G87" s="1294" t="s">
        <v>1084</v>
      </c>
      <c r="H87" s="1294" t="s">
        <v>972</v>
      </c>
      <c r="I87" s="1295" t="s">
        <v>1147</v>
      </c>
      <c r="J87" s="1296" t="s">
        <v>1148</v>
      </c>
      <c r="K87" s="1353" t="s">
        <v>1149</v>
      </c>
      <c r="L87" s="2668"/>
      <c r="M87" s="1303" t="s">
        <v>659</v>
      </c>
      <c r="N87" s="1354"/>
      <c r="O87" s="1277"/>
    </row>
    <row r="88" spans="1:15" s="945" customFormat="1" ht="30">
      <c r="A88" s="1258"/>
      <c r="B88" s="928" t="s">
        <v>1374</v>
      </c>
      <c r="C88" s="1406"/>
      <c r="D88" s="1366"/>
      <c r="E88" s="1405" t="s">
        <v>1516</v>
      </c>
      <c r="F88" s="1352" t="s">
        <v>1104</v>
      </c>
      <c r="G88" s="1294" t="s">
        <v>1084</v>
      </c>
      <c r="H88" s="1294" t="s">
        <v>972</v>
      </c>
      <c r="I88" s="1295" t="s">
        <v>1147</v>
      </c>
      <c r="J88" s="1296" t="s">
        <v>1148</v>
      </c>
      <c r="K88" s="1353" t="s">
        <v>1149</v>
      </c>
      <c r="L88" s="2668"/>
      <c r="M88" s="1303" t="s">
        <v>659</v>
      </c>
      <c r="N88" s="1354"/>
      <c r="O88" s="1277"/>
    </row>
    <row r="89" spans="1:15" s="945" customFormat="1" ht="25.5">
      <c r="A89" s="1258"/>
      <c r="B89" s="928" t="s">
        <v>1374</v>
      </c>
      <c r="C89" s="1406"/>
      <c r="D89" s="1366"/>
      <c r="E89" s="1407" t="s">
        <v>1517</v>
      </c>
      <c r="F89" s="1352" t="s">
        <v>1104</v>
      </c>
      <c r="G89" s="1294" t="s">
        <v>1084</v>
      </c>
      <c r="H89" s="1294" t="s">
        <v>972</v>
      </c>
      <c r="I89" s="1295" t="s">
        <v>1147</v>
      </c>
      <c r="J89" s="1296" t="s">
        <v>1148</v>
      </c>
      <c r="K89" s="1353" t="s">
        <v>1149</v>
      </c>
      <c r="L89" s="2668"/>
      <c r="M89" s="1303" t="s">
        <v>659</v>
      </c>
      <c r="N89" s="1354"/>
      <c r="O89" s="1277"/>
    </row>
    <row r="90" spans="1:15" s="945" customFormat="1" ht="25.5">
      <c r="A90" s="1258"/>
      <c r="B90" s="928" t="s">
        <v>1374</v>
      </c>
      <c r="C90" s="1406"/>
      <c r="D90" s="1366"/>
      <c r="E90" s="1408" t="s">
        <v>1518</v>
      </c>
      <c r="F90" s="1352" t="s">
        <v>1104</v>
      </c>
      <c r="G90" s="1294" t="s">
        <v>1084</v>
      </c>
      <c r="H90" s="1294" t="s">
        <v>972</v>
      </c>
      <c r="I90" s="1295" t="s">
        <v>1147</v>
      </c>
      <c r="J90" s="1296" t="s">
        <v>1148</v>
      </c>
      <c r="K90" s="1353" t="s">
        <v>1149</v>
      </c>
      <c r="L90" s="2668"/>
      <c r="M90" s="1303" t="s">
        <v>659</v>
      </c>
      <c r="N90" s="1354"/>
      <c r="O90" s="1277"/>
    </row>
    <row r="91" spans="1:15" s="945" customFormat="1" ht="25.5">
      <c r="A91" s="1258"/>
      <c r="B91" s="928" t="s">
        <v>1374</v>
      </c>
      <c r="C91" s="1404"/>
      <c r="D91" s="1366"/>
      <c r="E91" s="1408" t="s">
        <v>1519</v>
      </c>
      <c r="F91" s="1352" t="s">
        <v>1104</v>
      </c>
      <c r="G91" s="1294" t="s">
        <v>1084</v>
      </c>
      <c r="H91" s="1294" t="s">
        <v>972</v>
      </c>
      <c r="I91" s="1295" t="s">
        <v>1147</v>
      </c>
      <c r="J91" s="1296" t="s">
        <v>1148</v>
      </c>
      <c r="K91" s="1353" t="s">
        <v>1149</v>
      </c>
      <c r="L91" s="2668"/>
      <c r="M91" s="1303" t="s">
        <v>659</v>
      </c>
      <c r="N91" s="1354"/>
      <c r="O91" s="1277"/>
    </row>
    <row r="92" spans="1:15" s="945" customFormat="1" ht="25.5">
      <c r="A92" s="1258"/>
      <c r="B92" s="928" t="s">
        <v>1374</v>
      </c>
      <c r="C92" s="1404"/>
      <c r="D92" s="1366"/>
      <c r="E92" s="1405" t="s">
        <v>1520</v>
      </c>
      <c r="F92" s="1352" t="s">
        <v>1104</v>
      </c>
      <c r="G92" s="1294" t="s">
        <v>1084</v>
      </c>
      <c r="H92" s="1294" t="s">
        <v>972</v>
      </c>
      <c r="I92" s="1295" t="s">
        <v>1147</v>
      </c>
      <c r="J92" s="1296" t="s">
        <v>1148</v>
      </c>
      <c r="K92" s="1353" t="s">
        <v>1149</v>
      </c>
      <c r="L92" s="2668"/>
      <c r="M92" s="1303" t="s">
        <v>659</v>
      </c>
      <c r="N92" s="1354"/>
      <c r="O92" s="1277"/>
    </row>
    <row r="93" spans="1:15" s="945" customFormat="1" ht="30">
      <c r="A93" s="1258"/>
      <c r="B93" s="928" t="s">
        <v>1374</v>
      </c>
      <c r="C93" s="1406"/>
      <c r="D93" s="1366"/>
      <c r="E93" s="1407" t="s">
        <v>1521</v>
      </c>
      <c r="F93" s="1352" t="s">
        <v>1104</v>
      </c>
      <c r="G93" s="1294" t="s">
        <v>1084</v>
      </c>
      <c r="H93" s="1294" t="s">
        <v>972</v>
      </c>
      <c r="I93" s="1295" t="s">
        <v>1147</v>
      </c>
      <c r="J93" s="1296" t="s">
        <v>1148</v>
      </c>
      <c r="K93" s="1353" t="s">
        <v>1149</v>
      </c>
      <c r="L93" s="2668"/>
      <c r="M93" s="1303" t="s">
        <v>659</v>
      </c>
      <c r="N93" s="1354"/>
      <c r="O93" s="1277"/>
    </row>
    <row r="94" spans="1:15" s="945" customFormat="1" ht="25.5">
      <c r="A94" s="1258"/>
      <c r="B94" s="928" t="s">
        <v>1374</v>
      </c>
      <c r="C94" s="1351"/>
      <c r="D94" s="1373"/>
      <c r="E94" s="1408" t="s">
        <v>1522</v>
      </c>
      <c r="F94" s="1352" t="s">
        <v>1104</v>
      </c>
      <c r="G94" s="1294" t="s">
        <v>1084</v>
      </c>
      <c r="H94" s="1294" t="s">
        <v>972</v>
      </c>
      <c r="I94" s="1295" t="s">
        <v>1147</v>
      </c>
      <c r="J94" s="1296" t="s">
        <v>1148</v>
      </c>
      <c r="K94" s="1353" t="s">
        <v>1149</v>
      </c>
      <c r="L94" s="2668"/>
      <c r="M94" s="1303" t="s">
        <v>659</v>
      </c>
      <c r="N94" s="1354"/>
      <c r="O94" s="1277"/>
    </row>
    <row r="95" spans="1:15" s="945" customFormat="1" ht="25.5">
      <c r="A95" s="1258"/>
      <c r="B95" s="928" t="s">
        <v>1374</v>
      </c>
      <c r="C95" s="1351"/>
      <c r="D95" s="1366"/>
      <c r="E95" s="1405" t="s">
        <v>1523</v>
      </c>
      <c r="F95" s="1352" t="s">
        <v>1104</v>
      </c>
      <c r="G95" s="1294" t="s">
        <v>1084</v>
      </c>
      <c r="H95" s="1294" t="s">
        <v>972</v>
      </c>
      <c r="I95" s="1295" t="s">
        <v>1147</v>
      </c>
      <c r="J95" s="1296" t="s">
        <v>1148</v>
      </c>
      <c r="K95" s="1353" t="s">
        <v>1149</v>
      </c>
      <c r="L95" s="2668"/>
      <c r="M95" s="1303" t="s">
        <v>659</v>
      </c>
      <c r="N95" s="1354"/>
      <c r="O95" s="1277"/>
    </row>
    <row r="96" spans="1:15" s="945" customFormat="1" ht="30">
      <c r="A96" s="1258"/>
      <c r="B96" s="928" t="s">
        <v>1374</v>
      </c>
      <c r="C96" s="1351"/>
      <c r="D96" s="1366"/>
      <c r="E96" s="1407" t="s">
        <v>1524</v>
      </c>
      <c r="F96" s="1352" t="s">
        <v>1104</v>
      </c>
      <c r="G96" s="1294" t="s">
        <v>1084</v>
      </c>
      <c r="H96" s="1294" t="s">
        <v>972</v>
      </c>
      <c r="I96" s="1295" t="s">
        <v>1147</v>
      </c>
      <c r="J96" s="1296" t="s">
        <v>1148</v>
      </c>
      <c r="K96" s="1353" t="s">
        <v>1149</v>
      </c>
      <c r="L96" s="2668"/>
      <c r="M96" s="1303" t="s">
        <v>659</v>
      </c>
      <c r="N96" s="1354"/>
      <c r="O96" s="1277"/>
    </row>
    <row r="97" spans="1:15" s="945" customFormat="1" ht="25.5">
      <c r="A97" s="1258"/>
      <c r="B97" s="928" t="s">
        <v>1374</v>
      </c>
      <c r="C97" s="1351"/>
      <c r="D97" s="1366"/>
      <c r="E97" s="1405" t="s">
        <v>1525</v>
      </c>
      <c r="F97" s="1352" t="s">
        <v>1104</v>
      </c>
      <c r="G97" s="1294" t="s">
        <v>1084</v>
      </c>
      <c r="H97" s="1294" t="s">
        <v>972</v>
      </c>
      <c r="I97" s="1295" t="s">
        <v>1147</v>
      </c>
      <c r="J97" s="1296" t="s">
        <v>1148</v>
      </c>
      <c r="K97" s="1353" t="s">
        <v>1149</v>
      </c>
      <c r="L97" s="2668"/>
      <c r="M97" s="1303" t="s">
        <v>659</v>
      </c>
      <c r="N97" s="1354"/>
      <c r="O97" s="1277"/>
    </row>
    <row r="98" spans="1:15" s="945" customFormat="1" ht="25.5">
      <c r="A98" s="1258"/>
      <c r="B98" s="928" t="s">
        <v>1374</v>
      </c>
      <c r="C98" s="1351"/>
      <c r="D98" s="1366"/>
      <c r="E98" s="1369" t="s">
        <v>1365</v>
      </c>
      <c r="F98" s="1352" t="s">
        <v>1104</v>
      </c>
      <c r="G98" s="1294" t="s">
        <v>1084</v>
      </c>
      <c r="H98" s="1294" t="s">
        <v>972</v>
      </c>
      <c r="I98" s="1295" t="s">
        <v>1147</v>
      </c>
      <c r="J98" s="1296" t="s">
        <v>1148</v>
      </c>
      <c r="K98" s="1353" t="s">
        <v>1149</v>
      </c>
      <c r="L98" s="2668"/>
      <c r="M98" s="1303" t="s">
        <v>659</v>
      </c>
      <c r="N98" s="1354"/>
      <c r="O98" s="1277"/>
    </row>
    <row r="99" spans="1:15" s="783" customFormat="1" ht="25.5">
      <c r="A99" s="840"/>
      <c r="B99" s="928" t="s">
        <v>1374</v>
      </c>
      <c r="C99" s="1351"/>
      <c r="D99" s="1366"/>
      <c r="E99" s="1369" t="s">
        <v>1366</v>
      </c>
      <c r="F99" s="1352" t="s">
        <v>1104</v>
      </c>
      <c r="G99" s="1294" t="s">
        <v>1084</v>
      </c>
      <c r="H99" s="1294" t="s">
        <v>972</v>
      </c>
      <c r="I99" s="1295" t="s">
        <v>1147</v>
      </c>
      <c r="J99" s="1296" t="s">
        <v>1148</v>
      </c>
      <c r="K99" s="1353" t="s">
        <v>1149</v>
      </c>
      <c r="L99" s="2668"/>
      <c r="M99" s="1303" t="s">
        <v>659</v>
      </c>
      <c r="N99" s="1354"/>
      <c r="O99" s="785"/>
    </row>
    <row r="100" spans="1:15" s="783" customFormat="1" ht="25.5">
      <c r="A100" s="784"/>
      <c r="B100" s="928" t="s">
        <v>1374</v>
      </c>
      <c r="C100" s="1351"/>
      <c r="D100" s="1366"/>
      <c r="E100" s="1369" t="s">
        <v>1367</v>
      </c>
      <c r="F100" s="1352" t="s">
        <v>1104</v>
      </c>
      <c r="G100" s="1294" t="s">
        <v>1084</v>
      </c>
      <c r="H100" s="1294" t="s">
        <v>972</v>
      </c>
      <c r="I100" s="1295" t="s">
        <v>1147</v>
      </c>
      <c r="J100" s="1296" t="s">
        <v>1148</v>
      </c>
      <c r="K100" s="1353" t="s">
        <v>1149</v>
      </c>
      <c r="L100" s="2668"/>
      <c r="M100" s="1303" t="s">
        <v>659</v>
      </c>
      <c r="N100" s="1354"/>
      <c r="O100" s="784"/>
    </row>
    <row r="101" spans="1:15" s="783" customFormat="1" ht="25.5">
      <c r="A101" s="784"/>
      <c r="B101" s="928" t="s">
        <v>1374</v>
      </c>
      <c r="C101" s="1351"/>
      <c r="D101" s="1366"/>
      <c r="E101" s="1377" t="s">
        <v>1368</v>
      </c>
      <c r="F101" s="1352" t="s">
        <v>1104</v>
      </c>
      <c r="G101" s="1294" t="s">
        <v>1084</v>
      </c>
      <c r="H101" s="1294" t="s">
        <v>972</v>
      </c>
      <c r="I101" s="1295" t="s">
        <v>1147</v>
      </c>
      <c r="J101" s="1296" t="s">
        <v>1148</v>
      </c>
      <c r="K101" s="1353" t="s">
        <v>1149</v>
      </c>
      <c r="L101" s="2668"/>
      <c r="M101" s="1303" t="s">
        <v>659</v>
      </c>
      <c r="N101" s="1354"/>
      <c r="O101" s="784"/>
    </row>
    <row r="102" spans="1:15" s="783" customFormat="1" ht="25.5">
      <c r="A102" s="840"/>
      <c r="B102" s="928" t="s">
        <v>1374</v>
      </c>
      <c r="C102" s="1351"/>
      <c r="D102" s="1366"/>
      <c r="E102" s="1370" t="s">
        <v>1369</v>
      </c>
      <c r="F102" s="1352" t="s">
        <v>1104</v>
      </c>
      <c r="G102" s="1294" t="s">
        <v>1084</v>
      </c>
      <c r="H102" s="1294" t="s">
        <v>972</v>
      </c>
      <c r="I102" s="1295" t="s">
        <v>1147</v>
      </c>
      <c r="J102" s="1296" t="s">
        <v>1148</v>
      </c>
      <c r="K102" s="1353" t="s">
        <v>1149</v>
      </c>
      <c r="L102" s="2668"/>
      <c r="M102" s="1303" t="s">
        <v>659</v>
      </c>
      <c r="N102" s="1354"/>
      <c r="O102" s="784"/>
    </row>
    <row r="103" spans="1:15" s="783" customFormat="1" ht="25.5">
      <c r="A103" s="840"/>
      <c r="B103" s="928" t="s">
        <v>1374</v>
      </c>
      <c r="C103" s="1351"/>
      <c r="D103" s="1366"/>
      <c r="E103" s="1370" t="s">
        <v>1370</v>
      </c>
      <c r="F103" s="1352" t="s">
        <v>1104</v>
      </c>
      <c r="G103" s="1294" t="s">
        <v>1084</v>
      </c>
      <c r="H103" s="1294" t="s">
        <v>972</v>
      </c>
      <c r="I103" s="1295" t="s">
        <v>1147</v>
      </c>
      <c r="J103" s="1296" t="s">
        <v>1148</v>
      </c>
      <c r="K103" s="1353" t="s">
        <v>1149</v>
      </c>
      <c r="L103" s="2668"/>
      <c r="M103" s="1303" t="s">
        <v>659</v>
      </c>
      <c r="N103" s="1354"/>
      <c r="O103" s="784"/>
    </row>
    <row r="104" spans="1:15" s="783" customFormat="1" ht="25.5">
      <c r="A104" s="938"/>
      <c r="B104" s="928" t="s">
        <v>1374</v>
      </c>
      <c r="C104" s="1351"/>
      <c r="D104" s="1366"/>
      <c r="E104" s="1370" t="s">
        <v>1371</v>
      </c>
      <c r="F104" s="1352" t="s">
        <v>1104</v>
      </c>
      <c r="G104" s="1294" t="s">
        <v>1084</v>
      </c>
      <c r="H104" s="1294" t="s">
        <v>972</v>
      </c>
      <c r="I104" s="1295" t="s">
        <v>1147</v>
      </c>
      <c r="J104" s="1296" t="s">
        <v>1148</v>
      </c>
      <c r="K104" s="1353" t="s">
        <v>1149</v>
      </c>
      <c r="L104" s="2668"/>
      <c r="M104" s="1303" t="s">
        <v>659</v>
      </c>
      <c r="N104" s="1354"/>
      <c r="O104" s="1264"/>
    </row>
    <row r="105" spans="1:15" s="783" customFormat="1" ht="25.5">
      <c r="A105" s="840"/>
      <c r="B105" s="928" t="s">
        <v>1374</v>
      </c>
      <c r="C105" s="1351"/>
      <c r="D105" s="1366"/>
      <c r="E105" s="1370" t="s">
        <v>1372</v>
      </c>
      <c r="F105" s="1352" t="s">
        <v>1104</v>
      </c>
      <c r="G105" s="1294" t="s">
        <v>1084</v>
      </c>
      <c r="H105" s="1294" t="s">
        <v>972</v>
      </c>
      <c r="I105" s="1295" t="s">
        <v>1147</v>
      </c>
      <c r="J105" s="1296" t="s">
        <v>1148</v>
      </c>
      <c r="K105" s="1353" t="s">
        <v>1149</v>
      </c>
      <c r="L105" s="2668"/>
      <c r="M105" s="1303" t="s">
        <v>659</v>
      </c>
      <c r="N105" s="1354"/>
      <c r="O105" s="785"/>
    </row>
    <row r="106" spans="1:15" ht="25.5">
      <c r="A106" s="125"/>
      <c r="B106" s="928" t="s">
        <v>1374</v>
      </c>
      <c r="C106" s="1351"/>
      <c r="D106" s="1314"/>
      <c r="E106" s="1370" t="s">
        <v>1373</v>
      </c>
      <c r="F106" s="1352" t="s">
        <v>1104</v>
      </c>
      <c r="G106" s="1294" t="s">
        <v>1084</v>
      </c>
      <c r="H106" s="1294" t="s">
        <v>972</v>
      </c>
      <c r="I106" s="1295" t="s">
        <v>1147</v>
      </c>
      <c r="J106" s="1296" t="s">
        <v>1148</v>
      </c>
      <c r="K106" s="1353" t="s">
        <v>1149</v>
      </c>
      <c r="L106" s="2668"/>
      <c r="M106" s="1303" t="s">
        <v>659</v>
      </c>
      <c r="N106" s="1354"/>
      <c r="O106" s="62"/>
    </row>
    <row r="107" spans="1:15">
      <c r="C107" s="58"/>
      <c r="D107" s="90"/>
      <c r="E107" s="94"/>
      <c r="F107" s="90"/>
      <c r="G107" s="90"/>
      <c r="H107" s="91"/>
      <c r="I107" s="91"/>
      <c r="J107" s="91"/>
      <c r="K107" s="91"/>
      <c r="L107" s="101"/>
      <c r="M107" s="93"/>
      <c r="N107" s="91"/>
      <c r="O107" s="124"/>
    </row>
    <row r="108" spans="1:15">
      <c r="A108" s="58"/>
      <c r="B108" s="63"/>
      <c r="C108" s="86"/>
      <c r="D108" s="87"/>
      <c r="E108" s="95"/>
      <c r="F108" s="87"/>
      <c r="G108" s="88"/>
      <c r="H108" s="89"/>
      <c r="I108" s="89"/>
      <c r="J108" s="89"/>
      <c r="K108" s="87"/>
      <c r="L108" s="98"/>
      <c r="M108" s="87"/>
      <c r="O108" s="77"/>
    </row>
    <row r="109" spans="1:15">
      <c r="A109" s="58"/>
      <c r="B109" s="63"/>
      <c r="C109" s="58"/>
      <c r="D109" s="96"/>
      <c r="E109" s="19"/>
      <c r="F109" s="109"/>
      <c r="G109" s="59"/>
      <c r="H109" s="60"/>
      <c r="I109" s="60"/>
      <c r="J109" s="60"/>
      <c r="K109" s="58"/>
      <c r="L109" s="64"/>
      <c r="M109" s="58"/>
      <c r="O109" s="62"/>
    </row>
    <row r="110" spans="1:15">
      <c r="A110" s="58"/>
      <c r="B110" s="63"/>
      <c r="C110" s="58"/>
      <c r="D110" s="79"/>
      <c r="E110" s="19"/>
      <c r="F110" s="109"/>
      <c r="G110" s="59"/>
      <c r="H110" s="60"/>
      <c r="I110" s="60"/>
      <c r="J110" s="60"/>
      <c r="K110" s="58"/>
      <c r="L110" s="64"/>
      <c r="M110" s="58"/>
      <c r="O110" s="62"/>
    </row>
    <row r="111" spans="1:15">
      <c r="A111" s="58"/>
      <c r="B111" s="63"/>
      <c r="C111" s="58"/>
      <c r="D111" s="79"/>
      <c r="E111" s="19"/>
      <c r="F111" s="80"/>
      <c r="G111" s="58"/>
      <c r="H111" s="59"/>
      <c r="I111" s="60"/>
      <c r="J111" s="60"/>
      <c r="K111" s="60"/>
      <c r="L111" s="100"/>
      <c r="M111" s="61"/>
      <c r="N111" s="58"/>
      <c r="O111" s="62"/>
    </row>
    <row r="112" spans="1:15">
      <c r="A112" s="58"/>
      <c r="B112" s="63"/>
      <c r="C112" s="58"/>
      <c r="D112" s="78"/>
      <c r="E112" s="79"/>
      <c r="F112" s="81"/>
      <c r="G112" s="58"/>
      <c r="H112" s="59"/>
      <c r="I112" s="60"/>
      <c r="J112" s="60"/>
      <c r="K112" s="60"/>
      <c r="L112" s="100"/>
      <c r="M112" s="61"/>
      <c r="N112" s="58"/>
      <c r="O112" s="62"/>
    </row>
    <row r="113" spans="3:15">
      <c r="D113" s="90"/>
      <c r="E113" s="94"/>
      <c r="F113" s="90"/>
      <c r="G113" s="90"/>
      <c r="H113" s="91"/>
      <c r="I113" s="91"/>
      <c r="J113" s="91"/>
      <c r="K113" s="91"/>
      <c r="L113" s="101"/>
      <c r="M113" s="93"/>
      <c r="N113" s="91"/>
      <c r="O113" s="91"/>
    </row>
    <row r="114" spans="3:15">
      <c r="C114" s="58"/>
      <c r="D114" s="90"/>
      <c r="E114" s="94"/>
      <c r="F114" s="90"/>
      <c r="G114" s="90"/>
      <c r="H114" s="91"/>
      <c r="I114" s="91"/>
      <c r="J114" s="91"/>
      <c r="K114" s="91"/>
      <c r="L114" s="101"/>
      <c r="M114" s="93"/>
      <c r="N114" s="91"/>
      <c r="O114" s="124"/>
    </row>
    <row r="115" spans="3:15">
      <c r="C115" s="58"/>
      <c r="D115" s="90"/>
      <c r="E115" s="94"/>
      <c r="F115" s="90"/>
      <c r="G115" s="90"/>
      <c r="H115" s="91"/>
      <c r="I115" s="91"/>
      <c r="J115" s="91"/>
      <c r="K115" s="91"/>
      <c r="L115" s="101"/>
      <c r="M115" s="93"/>
      <c r="N115" s="91"/>
      <c r="O115" s="124"/>
    </row>
    <row r="116" spans="3:15">
      <c r="C116" s="58"/>
      <c r="D116" s="90"/>
      <c r="E116" s="94"/>
      <c r="F116" s="90"/>
      <c r="G116" s="90"/>
      <c r="H116" s="91"/>
      <c r="I116" s="91"/>
      <c r="J116" s="91"/>
      <c r="K116" s="91"/>
      <c r="L116" s="101"/>
      <c r="M116" s="93"/>
      <c r="N116" s="91"/>
      <c r="O116" s="124"/>
    </row>
    <row r="117" spans="3:15">
      <c r="C117" s="58"/>
      <c r="D117" s="90"/>
      <c r="E117" s="94"/>
      <c r="F117" s="90"/>
      <c r="G117" s="90"/>
      <c r="H117" s="91"/>
      <c r="I117" s="91"/>
      <c r="J117" s="91"/>
      <c r="K117" s="91"/>
      <c r="L117" s="101"/>
      <c r="M117" s="93"/>
      <c r="N117" s="91"/>
      <c r="O117" s="124"/>
    </row>
    <row r="118" spans="3:15">
      <c r="C118" s="58"/>
      <c r="D118" s="90"/>
      <c r="E118" s="94"/>
      <c r="F118" s="90"/>
      <c r="G118" s="90"/>
      <c r="H118" s="91"/>
      <c r="I118" s="91"/>
      <c r="J118" s="91"/>
      <c r="K118" s="91"/>
      <c r="L118" s="101"/>
      <c r="M118" s="93"/>
      <c r="N118" s="91"/>
      <c r="O118" s="124"/>
    </row>
    <row r="119" spans="3:15">
      <c r="C119" s="58"/>
      <c r="D119" s="90"/>
      <c r="E119" s="94"/>
      <c r="F119" s="90"/>
      <c r="G119" s="90"/>
      <c r="H119" s="91"/>
      <c r="I119" s="91"/>
      <c r="J119" s="91"/>
      <c r="K119" s="91"/>
      <c r="L119" s="101"/>
      <c r="M119" s="93"/>
      <c r="N119" s="91"/>
      <c r="O119" s="124"/>
    </row>
    <row r="120" spans="3:15">
      <c r="C120" s="58"/>
      <c r="D120" s="90"/>
      <c r="E120" s="94"/>
      <c r="F120" s="90"/>
      <c r="G120" s="90"/>
      <c r="H120" s="91"/>
      <c r="I120" s="91"/>
      <c r="J120" s="91"/>
      <c r="K120" s="91"/>
      <c r="L120" s="2380">
        <f>SUM(L6:L119)</f>
        <v>96134</v>
      </c>
      <c r="M120" s="93"/>
      <c r="N120" s="91"/>
      <c r="O120" s="124"/>
    </row>
    <row r="121" spans="3:15">
      <c r="C121" s="58"/>
      <c r="D121" s="90"/>
      <c r="E121" s="94"/>
      <c r="F121" s="90"/>
      <c r="G121" s="90"/>
      <c r="H121" s="91"/>
      <c r="I121" s="91"/>
      <c r="J121" s="91"/>
      <c r="K121" s="91"/>
      <c r="L121" s="101"/>
      <c r="M121" s="93"/>
      <c r="N121" s="91"/>
      <c r="O121" s="124"/>
    </row>
    <row r="122" spans="3:15">
      <c r="C122" s="58"/>
      <c r="D122" s="90"/>
      <c r="E122" s="94"/>
      <c r="F122" s="90"/>
      <c r="G122" s="90"/>
      <c r="H122" s="91"/>
      <c r="I122" s="91"/>
      <c r="J122" s="91"/>
      <c r="K122" s="91"/>
      <c r="L122" s="101"/>
      <c r="M122" s="93"/>
      <c r="N122" s="91"/>
      <c r="O122" s="124"/>
    </row>
    <row r="123" spans="3:15">
      <c r="C123" s="8"/>
      <c r="D123" s="8"/>
      <c r="E123" s="7"/>
      <c r="F123" s="6"/>
      <c r="G123" s="6"/>
      <c r="H123" s="5"/>
      <c r="I123" s="5"/>
      <c r="J123" s="5"/>
      <c r="K123" s="6"/>
      <c r="L123" s="178"/>
      <c r="M123" s="6"/>
      <c r="N123" s="2"/>
    </row>
    <row r="124" spans="3:15">
      <c r="C124" s="8"/>
      <c r="D124" s="8"/>
      <c r="E124" s="7"/>
      <c r="F124" s="6"/>
      <c r="G124" s="6"/>
      <c r="H124" s="5"/>
      <c r="I124" s="5"/>
      <c r="J124" s="5"/>
      <c r="K124" s="6"/>
      <c r="L124" s="178"/>
      <c r="M124" s="6"/>
      <c r="N124" s="2"/>
    </row>
    <row r="125" spans="3:15">
      <c r="C125" s="8"/>
      <c r="D125" s="8"/>
      <c r="E125" s="7"/>
      <c r="F125" s="6"/>
      <c r="G125" s="6"/>
      <c r="H125" s="5"/>
      <c r="I125" s="5"/>
      <c r="J125" s="5"/>
      <c r="K125" s="6"/>
      <c r="L125" s="178"/>
      <c r="M125" s="6"/>
      <c r="N125" s="2"/>
    </row>
    <row r="126" spans="3:15">
      <c r="C126" s="8"/>
      <c r="D126" s="8"/>
      <c r="E126" s="7"/>
      <c r="F126" s="6"/>
      <c r="G126" s="6"/>
      <c r="H126" s="5"/>
      <c r="I126" s="5"/>
      <c r="J126" s="5"/>
      <c r="K126" s="6"/>
      <c r="L126" s="178"/>
      <c r="M126" s="6"/>
      <c r="N126" s="2"/>
    </row>
    <row r="127" spans="3:15">
      <c r="C127" s="8"/>
      <c r="D127" s="8"/>
      <c r="E127" s="7"/>
      <c r="F127" s="6"/>
      <c r="G127" s="6"/>
      <c r="H127" s="5"/>
      <c r="I127" s="5"/>
      <c r="J127" s="5"/>
      <c r="K127" s="6"/>
      <c r="L127" s="178"/>
      <c r="M127" s="6"/>
      <c r="N127" s="2"/>
    </row>
    <row r="128" spans="3:15">
      <c r="C128" s="8"/>
      <c r="D128" s="8"/>
      <c r="E128" s="7"/>
      <c r="F128" s="6"/>
      <c r="G128" s="6"/>
      <c r="H128" s="5"/>
      <c r="I128" s="5"/>
      <c r="J128" s="5"/>
      <c r="K128" s="6"/>
      <c r="L128" s="178"/>
      <c r="M128" s="6"/>
      <c r="N128" s="2"/>
    </row>
    <row r="129" spans="3:14">
      <c r="C129" s="8"/>
      <c r="D129" s="8"/>
      <c r="E129" s="7"/>
      <c r="F129" s="6"/>
      <c r="G129" s="6"/>
      <c r="H129" s="5"/>
      <c r="I129" s="5"/>
      <c r="J129" s="5"/>
      <c r="K129" s="6"/>
      <c r="L129" s="178"/>
      <c r="M129" s="6"/>
      <c r="N129" s="2"/>
    </row>
    <row r="130" spans="3:14">
      <c r="C130" s="8"/>
      <c r="D130" s="8"/>
      <c r="E130" s="7"/>
      <c r="F130" s="6"/>
      <c r="G130" s="6"/>
      <c r="H130" s="5"/>
      <c r="I130" s="5"/>
      <c r="J130" s="5"/>
      <c r="K130" s="6"/>
      <c r="L130" s="108"/>
      <c r="M130" s="6"/>
      <c r="N130" s="2"/>
    </row>
    <row r="131" spans="3:14">
      <c r="C131" s="8"/>
      <c r="D131" s="8"/>
      <c r="E131" s="7"/>
      <c r="F131" s="6"/>
      <c r="G131" s="6"/>
      <c r="H131" s="5"/>
      <c r="I131" s="5"/>
      <c r="J131" s="5"/>
      <c r="K131" s="6"/>
      <c r="L131" s="178"/>
      <c r="M131" s="6"/>
      <c r="N131" s="2"/>
    </row>
    <row r="132" spans="3:14">
      <c r="C132" s="8"/>
      <c r="D132" s="8"/>
      <c r="E132" s="7"/>
      <c r="F132" s="6"/>
      <c r="G132" s="6"/>
      <c r="H132" s="5"/>
      <c r="I132" s="5"/>
      <c r="J132" s="5"/>
      <c r="K132" s="6"/>
      <c r="L132" s="178"/>
      <c r="M132" s="6"/>
      <c r="N132" s="2"/>
    </row>
    <row r="133" spans="3:14">
      <c r="C133" s="8"/>
      <c r="D133" s="8"/>
      <c r="E133" s="7"/>
      <c r="F133" s="6"/>
      <c r="G133" s="6"/>
      <c r="H133" s="5"/>
      <c r="I133" s="5"/>
      <c r="J133" s="5"/>
      <c r="K133" s="6"/>
      <c r="L133" s="178"/>
      <c r="M133" s="6"/>
      <c r="N133" s="2"/>
    </row>
    <row r="134" spans="3:14">
      <c r="C134" s="8"/>
      <c r="D134" s="8"/>
      <c r="E134" s="7"/>
      <c r="F134" s="6"/>
      <c r="G134" s="6"/>
      <c r="H134" s="5"/>
      <c r="I134" s="5"/>
      <c r="J134" s="5"/>
      <c r="K134" s="6"/>
      <c r="L134" s="178"/>
      <c r="M134" s="6"/>
      <c r="N134" s="2"/>
    </row>
    <row r="135" spans="3:14">
      <c r="C135" s="8"/>
      <c r="D135" s="8"/>
      <c r="E135" s="7"/>
      <c r="F135" s="6"/>
      <c r="G135" s="6"/>
      <c r="H135" s="5"/>
      <c r="I135" s="5"/>
      <c r="J135" s="5"/>
      <c r="K135" s="6"/>
      <c r="L135" s="178"/>
      <c r="M135" s="6"/>
      <c r="N135" s="2"/>
    </row>
    <row r="136" spans="3:14" ht="14.25" customHeight="1">
      <c r="C136" s="8"/>
      <c r="D136" s="8"/>
      <c r="E136" s="7"/>
      <c r="F136" s="6"/>
      <c r="G136" s="6"/>
      <c r="H136" s="5"/>
      <c r="I136" s="5"/>
      <c r="J136" s="5"/>
      <c r="K136" s="6"/>
      <c r="L136" s="178"/>
      <c r="M136" s="6"/>
      <c r="N136" s="2"/>
    </row>
    <row r="137" spans="3:14" ht="14.25" customHeight="1">
      <c r="C137" s="8"/>
      <c r="D137" s="8"/>
      <c r="E137" s="7"/>
      <c r="F137" s="6"/>
      <c r="G137" s="6"/>
      <c r="H137" s="5"/>
      <c r="I137" s="5"/>
      <c r="J137" s="5"/>
      <c r="K137" s="6"/>
      <c r="L137" s="178"/>
      <c r="M137" s="6"/>
      <c r="N137" s="2"/>
    </row>
    <row r="138" spans="3:14" ht="14.25" customHeight="1">
      <c r="C138" s="8"/>
      <c r="D138" s="8"/>
      <c r="E138" s="7"/>
      <c r="F138" s="6"/>
      <c r="G138" s="6"/>
      <c r="H138" s="5"/>
      <c r="I138" s="5"/>
      <c r="J138" s="5"/>
      <c r="K138" s="6"/>
      <c r="L138" s="178"/>
      <c r="M138" s="6"/>
      <c r="N138" s="2"/>
    </row>
    <row r="139" spans="3:14" ht="14.25" customHeight="1">
      <c r="C139" s="8"/>
      <c r="D139" s="8"/>
      <c r="E139" s="7"/>
      <c r="F139" s="6"/>
      <c r="G139" s="6"/>
      <c r="H139" s="5"/>
      <c r="I139" s="5"/>
      <c r="J139" s="5"/>
      <c r="K139" s="6"/>
      <c r="L139" s="178"/>
      <c r="M139" s="6"/>
      <c r="N139" s="2"/>
    </row>
    <row r="140" spans="3:14" ht="14.25" customHeight="1">
      <c r="C140" s="8"/>
      <c r="D140" s="8"/>
      <c r="E140" s="7"/>
      <c r="F140" s="6"/>
      <c r="G140" s="6"/>
      <c r="H140" s="5"/>
      <c r="I140" s="5"/>
      <c r="J140" s="5"/>
      <c r="K140" s="6"/>
      <c r="L140" s="178"/>
      <c r="M140" s="6"/>
      <c r="N140" s="2"/>
    </row>
    <row r="141" spans="3:14" ht="14.25" customHeight="1">
      <c r="C141" s="8"/>
      <c r="D141" s="8"/>
      <c r="E141" s="7"/>
      <c r="F141" s="6"/>
      <c r="G141" s="6"/>
      <c r="H141" s="5"/>
      <c r="I141" s="5"/>
      <c r="J141" s="5"/>
      <c r="K141" s="6"/>
      <c r="L141" s="178"/>
      <c r="M141" s="6"/>
      <c r="N141" s="2"/>
    </row>
    <row r="142" spans="3:14" ht="14.25" customHeight="1">
      <c r="C142" s="8"/>
      <c r="D142" s="8"/>
      <c r="E142" s="7"/>
      <c r="F142" s="6"/>
      <c r="G142" s="6"/>
      <c r="H142" s="5"/>
      <c r="I142" s="5"/>
      <c r="J142" s="5"/>
      <c r="K142" s="6"/>
      <c r="L142" s="178"/>
      <c r="M142" s="6"/>
      <c r="N142" s="2"/>
    </row>
    <row r="143" spans="3:14" ht="14.25" customHeight="1">
      <c r="C143" s="8"/>
      <c r="D143" s="8"/>
      <c r="E143" s="7"/>
      <c r="F143" s="6"/>
      <c r="G143" s="6"/>
      <c r="H143" s="5"/>
      <c r="I143" s="5"/>
      <c r="J143" s="5"/>
      <c r="K143" s="6"/>
      <c r="L143" s="178"/>
      <c r="M143" s="6"/>
      <c r="N143" s="2"/>
    </row>
    <row r="144" spans="3:14" ht="14.25" customHeight="1">
      <c r="C144" s="8"/>
      <c r="D144" s="8"/>
      <c r="E144" s="7"/>
      <c r="F144" s="6"/>
      <c r="G144" s="6"/>
      <c r="H144" s="5"/>
      <c r="I144" s="5"/>
      <c r="J144" s="5"/>
      <c r="K144" s="6"/>
      <c r="L144" s="178"/>
      <c r="M144" s="6"/>
      <c r="N144" s="2"/>
    </row>
    <row r="145" spans="3:14" ht="14.25" customHeight="1">
      <c r="C145" s="8"/>
      <c r="D145" s="8"/>
      <c r="E145" s="7"/>
      <c r="F145" s="6"/>
      <c r="G145" s="6"/>
      <c r="H145" s="5"/>
      <c r="I145" s="5"/>
      <c r="J145" s="5"/>
      <c r="K145" s="6"/>
      <c r="L145" s="178"/>
      <c r="M145" s="6"/>
      <c r="N145" s="2"/>
    </row>
    <row r="146" spans="3:14" ht="14.25" customHeight="1">
      <c r="C146" s="8"/>
      <c r="D146" s="8"/>
      <c r="E146" s="7"/>
      <c r="F146" s="6"/>
      <c r="G146" s="6"/>
      <c r="H146" s="5"/>
      <c r="I146" s="5"/>
      <c r="J146" s="5"/>
      <c r="K146" s="6"/>
      <c r="L146" s="178"/>
      <c r="M146" s="6"/>
      <c r="N146" s="2"/>
    </row>
    <row r="147" spans="3:14" ht="14.25" customHeight="1">
      <c r="C147" s="8"/>
      <c r="D147" s="8"/>
      <c r="E147" s="7"/>
      <c r="F147" s="6"/>
      <c r="G147" s="6"/>
      <c r="H147" s="5"/>
      <c r="I147" s="5"/>
      <c r="J147" s="5"/>
      <c r="K147" s="6"/>
      <c r="L147" s="178"/>
      <c r="M147" s="6"/>
      <c r="N147" s="2"/>
    </row>
    <row r="148" spans="3:14" ht="14.25" customHeight="1">
      <c r="C148" s="8"/>
      <c r="D148" s="8"/>
      <c r="E148" s="7"/>
      <c r="F148" s="6"/>
      <c r="G148" s="6"/>
      <c r="H148" s="5"/>
      <c r="I148" s="5"/>
      <c r="J148" s="5"/>
      <c r="K148" s="6"/>
      <c r="L148" s="178"/>
      <c r="M148" s="6"/>
      <c r="N148" s="2"/>
    </row>
    <row r="149" spans="3:14" ht="14.25" customHeight="1">
      <c r="C149" s="8"/>
      <c r="D149" s="8"/>
      <c r="E149" s="7"/>
      <c r="F149" s="6"/>
      <c r="G149" s="6"/>
      <c r="H149" s="5"/>
      <c r="I149" s="5"/>
      <c r="J149" s="5"/>
      <c r="K149" s="6"/>
      <c r="L149" s="178"/>
      <c r="M149" s="6"/>
      <c r="N149" s="2"/>
    </row>
    <row r="150" spans="3:14" ht="14.25" customHeight="1">
      <c r="C150" s="8"/>
      <c r="D150" s="8"/>
      <c r="E150" s="7"/>
      <c r="F150" s="6"/>
      <c r="G150" s="6"/>
      <c r="H150" s="5"/>
      <c r="I150" s="5"/>
      <c r="J150" s="5"/>
      <c r="K150" s="6"/>
      <c r="L150" s="178"/>
      <c r="M150" s="6"/>
      <c r="N150" s="2"/>
    </row>
    <row r="151" spans="3:14" ht="14.25" customHeight="1">
      <c r="C151" s="8"/>
      <c r="D151" s="8"/>
      <c r="E151" s="7"/>
      <c r="F151" s="6"/>
      <c r="G151" s="6"/>
      <c r="H151" s="5"/>
      <c r="I151" s="5"/>
      <c r="J151" s="5"/>
      <c r="K151" s="6"/>
      <c r="L151" s="178"/>
      <c r="M151" s="3"/>
      <c r="N151" s="2"/>
    </row>
    <row r="152" spans="3:14" ht="14.25" customHeight="1">
      <c r="C152" s="8"/>
      <c r="D152" s="8"/>
      <c r="E152" s="7"/>
      <c r="F152" s="6"/>
      <c r="G152" s="5"/>
      <c r="H152" s="5"/>
      <c r="I152" s="5"/>
      <c r="J152" s="5"/>
      <c r="K152" s="4"/>
      <c r="L152" s="178"/>
      <c r="M152" s="3"/>
      <c r="N152" s="2"/>
    </row>
    <row r="153" spans="3:14" ht="14.25" customHeight="1">
      <c r="C153" s="19"/>
      <c r="D153" s="19"/>
      <c r="E153" s="19"/>
      <c r="F153" s="19"/>
      <c r="G153" s="19"/>
      <c r="H153" s="19"/>
      <c r="I153" s="19"/>
      <c r="J153" s="19"/>
      <c r="K153" s="19"/>
      <c r="L153" s="146"/>
      <c r="M153" s="19"/>
      <c r="N153" s="19"/>
    </row>
    <row r="154" spans="3:14" ht="14.25" customHeight="1">
      <c r="C154" s="31"/>
      <c r="D154" s="27"/>
      <c r="E154" s="20"/>
      <c r="F154" s="28"/>
      <c r="G154" s="28"/>
      <c r="H154" s="26"/>
      <c r="I154" s="26"/>
      <c r="J154" s="26"/>
      <c r="K154" s="28"/>
      <c r="L154" s="179"/>
      <c r="M154" s="28"/>
      <c r="N154" s="27"/>
    </row>
    <row r="155" spans="3:14" s="1" customFormat="1" ht="14.25" customHeight="1">
      <c r="C155" s="31"/>
      <c r="D155" s="27"/>
      <c r="E155" s="21"/>
      <c r="F155" s="28"/>
      <c r="G155" s="28"/>
      <c r="H155" s="26"/>
      <c r="I155" s="26"/>
      <c r="J155" s="26"/>
      <c r="K155" s="28"/>
      <c r="L155" s="179"/>
      <c r="M155" s="28"/>
      <c r="N155" s="27"/>
    </row>
    <row r="156" spans="3:14" s="1" customFormat="1" ht="14.25" customHeight="1">
      <c r="C156" s="30"/>
      <c r="D156" s="25"/>
      <c r="E156" s="21"/>
      <c r="F156" s="22"/>
      <c r="G156" s="22"/>
      <c r="H156" s="23"/>
      <c r="I156" s="23"/>
      <c r="J156" s="23"/>
      <c r="K156" s="22"/>
      <c r="L156" s="180"/>
      <c r="M156" s="22"/>
      <c r="N156" s="25"/>
    </row>
  </sheetData>
  <mergeCells count="8">
    <mergeCell ref="M2:M3"/>
    <mergeCell ref="N2:N3"/>
    <mergeCell ref="E58:G58"/>
    <mergeCell ref="E83:G83"/>
    <mergeCell ref="L84:L106"/>
    <mergeCell ref="C2:G2"/>
    <mergeCell ref="H2:J2"/>
    <mergeCell ref="K2:L2"/>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FD487-57DD-414C-ADBE-9B994B30E105}">
  <sheetPr>
    <tabColor rgb="FF92D050"/>
  </sheetPr>
  <dimension ref="A2:O100"/>
  <sheetViews>
    <sheetView zoomScale="80" zoomScaleNormal="80" workbookViewId="0">
      <pane ySplit="4" topLeftCell="A5" activePane="bottomLeft" state="frozen"/>
      <selection pane="bottomLeft" activeCell="L24" sqref="L24"/>
    </sheetView>
  </sheetViews>
  <sheetFormatPr defaultRowHeight="15"/>
  <cols>
    <col min="2" max="2" width="16.28515625" bestFit="1" customWidth="1"/>
    <col min="3" max="3" width="21.42578125" customWidth="1"/>
    <col min="4" max="4" width="20.5703125" customWidth="1"/>
    <col min="5" max="5" width="26" customWidth="1"/>
    <col min="6" max="6" width="16.7109375" customWidth="1"/>
    <col min="7" max="7" width="11.7109375" customWidth="1"/>
    <col min="8" max="8" width="13.7109375" customWidth="1"/>
    <col min="10" max="10" width="12.5703125" customWidth="1"/>
    <col min="11" max="11" width="22.85546875" customWidth="1"/>
    <col min="12" max="12" width="15.5703125" style="99" customWidth="1"/>
    <col min="13" max="13" width="16.28515625" customWidth="1"/>
    <col min="14" max="14" width="12.85546875" customWidth="1"/>
    <col min="18" max="18" width="73.7109375" bestFit="1" customWidth="1"/>
  </cols>
  <sheetData>
    <row r="2" spans="1:15">
      <c r="C2" s="2627" t="s">
        <v>30</v>
      </c>
      <c r="D2" s="2627"/>
      <c r="E2" s="2627"/>
      <c r="F2" s="2627"/>
      <c r="G2" s="2627"/>
      <c r="H2" s="2628" t="s">
        <v>29</v>
      </c>
      <c r="I2" s="2628"/>
      <c r="J2" s="2628"/>
      <c r="K2" s="2627" t="s">
        <v>28</v>
      </c>
      <c r="L2" s="2627"/>
      <c r="M2" s="2628" t="s">
        <v>27</v>
      </c>
      <c r="N2" s="2628" t="s">
        <v>26</v>
      </c>
    </row>
    <row r="3" spans="1:15" ht="72">
      <c r="C3" s="10" t="s">
        <v>25</v>
      </c>
      <c r="D3" s="13" t="s">
        <v>24</v>
      </c>
      <c r="E3" s="12" t="s">
        <v>23</v>
      </c>
      <c r="F3" s="10" t="s">
        <v>22</v>
      </c>
      <c r="G3" s="11" t="s">
        <v>21</v>
      </c>
      <c r="H3" s="11" t="s">
        <v>20</v>
      </c>
      <c r="I3" s="11" t="s">
        <v>19</v>
      </c>
      <c r="J3" s="11" t="s">
        <v>18</v>
      </c>
      <c r="K3" s="10" t="s">
        <v>17</v>
      </c>
      <c r="L3" s="159" t="s">
        <v>16</v>
      </c>
      <c r="M3" s="2628"/>
      <c r="N3" s="2628"/>
    </row>
    <row r="4" spans="1:15">
      <c r="C4" s="243" t="s">
        <v>15</v>
      </c>
      <c r="D4" s="243" t="s">
        <v>14</v>
      </c>
      <c r="E4" s="243" t="s">
        <v>13</v>
      </c>
      <c r="F4" s="243" t="s">
        <v>12</v>
      </c>
      <c r="G4" s="243" t="s">
        <v>11</v>
      </c>
      <c r="H4" s="243" t="s">
        <v>10</v>
      </c>
      <c r="I4" s="243" t="s">
        <v>9</v>
      </c>
      <c r="J4" s="243" t="s">
        <v>8</v>
      </c>
      <c r="K4" s="243" t="s">
        <v>7</v>
      </c>
      <c r="L4" s="244" t="s">
        <v>6</v>
      </c>
      <c r="M4" s="243" t="s">
        <v>5</v>
      </c>
      <c r="N4" s="243" t="s">
        <v>4</v>
      </c>
    </row>
    <row r="5" spans="1:15" s="455" customFormat="1" ht="26.25">
      <c r="A5" s="471"/>
      <c r="B5" s="483" t="s">
        <v>1319</v>
      </c>
      <c r="C5" s="1314"/>
      <c r="D5" s="1332" t="s">
        <v>1101</v>
      </c>
      <c r="E5" s="1333" t="s">
        <v>1321</v>
      </c>
      <c r="F5" s="1317"/>
      <c r="G5" s="1317"/>
      <c r="H5" s="1317"/>
      <c r="I5" s="1317"/>
      <c r="J5" s="1334"/>
      <c r="K5" s="1318"/>
      <c r="L5" s="1335"/>
      <c r="M5" s="1320"/>
      <c r="N5" s="1314"/>
    </row>
    <row r="6" spans="1:15" s="355" customFormat="1" ht="14.25" customHeight="1">
      <c r="A6" s="438"/>
      <c r="B6" s="342"/>
      <c r="C6" s="1314"/>
      <c r="D6" s="1314"/>
      <c r="E6" s="1336" t="s">
        <v>1152</v>
      </c>
      <c r="F6" s="1293" t="s">
        <v>422</v>
      </c>
      <c r="G6" s="1294" t="s">
        <v>1084</v>
      </c>
      <c r="H6" s="1294">
        <v>46042</v>
      </c>
      <c r="I6" s="1295">
        <v>46376</v>
      </c>
      <c r="J6" s="1296" t="s">
        <v>1322</v>
      </c>
      <c r="K6" s="1296" t="s">
        <v>98</v>
      </c>
      <c r="L6" s="1337">
        <v>44000</v>
      </c>
      <c r="M6" s="1299" t="s">
        <v>99</v>
      </c>
      <c r="N6" s="1314"/>
      <c r="O6" s="1133"/>
    </row>
    <row r="7" spans="1:15" s="355" customFormat="1" ht="14.25" customHeight="1">
      <c r="A7" s="438"/>
      <c r="B7" s="342"/>
      <c r="C7" s="410"/>
      <c r="D7" s="410"/>
      <c r="E7" s="410"/>
      <c r="F7" s="1091"/>
      <c r="G7" s="618"/>
      <c r="H7" s="1092"/>
      <c r="I7" s="1092"/>
      <c r="J7" s="1092"/>
      <c r="K7" s="1091"/>
      <c r="L7" s="1093"/>
      <c r="M7" s="2669"/>
      <c r="N7" s="352"/>
      <c r="O7" s="2670"/>
    </row>
    <row r="8" spans="1:15" s="355" customFormat="1" ht="14.25" customHeight="1">
      <c r="A8" s="438"/>
      <c r="B8" s="342"/>
      <c r="C8" s="410"/>
      <c r="D8" s="410"/>
      <c r="E8" s="410"/>
      <c r="F8" s="1091"/>
      <c r="G8" s="618"/>
      <c r="H8" s="1092"/>
      <c r="I8" s="1092"/>
      <c r="J8" s="1092"/>
      <c r="K8" s="1091"/>
      <c r="L8" s="1093"/>
      <c r="M8" s="2669"/>
      <c r="N8" s="352"/>
      <c r="O8" s="2671"/>
    </row>
    <row r="9" spans="1:15" s="355" customFormat="1" ht="14.25" customHeight="1">
      <c r="A9" s="438"/>
      <c r="B9" s="342"/>
      <c r="C9" s="410"/>
      <c r="D9" s="410"/>
      <c r="E9" s="410"/>
      <c r="F9" s="1091"/>
      <c r="G9" s="618"/>
      <c r="H9" s="1092"/>
      <c r="I9" s="1092"/>
      <c r="J9" s="1092"/>
      <c r="K9" s="1091"/>
      <c r="L9" s="1093"/>
      <c r="M9" s="2669"/>
      <c r="N9" s="352"/>
      <c r="O9" s="2672"/>
    </row>
    <row r="10" spans="1:15" s="355" customFormat="1" ht="14.25" customHeight="1">
      <c r="A10" s="438"/>
      <c r="B10" s="342"/>
      <c r="C10" s="438"/>
      <c r="D10" s="451"/>
      <c r="E10" s="420"/>
      <c r="F10" s="420"/>
      <c r="G10" s="437"/>
      <c r="H10" s="441"/>
      <c r="I10" s="442"/>
      <c r="J10" s="442"/>
      <c r="K10" s="439"/>
      <c r="L10" s="519"/>
      <c r="M10" s="443"/>
      <c r="N10" s="440"/>
      <c r="O10" s="617"/>
    </row>
    <row r="11" spans="1:15" s="355" customFormat="1" ht="14.25" customHeight="1">
      <c r="A11" s="871"/>
      <c r="B11" s="342"/>
      <c r="C11" s="352"/>
      <c r="D11" s="434"/>
      <c r="E11" s="592"/>
      <c r="F11" s="592"/>
      <c r="G11" s="437"/>
      <c r="H11" s="441"/>
      <c r="I11" s="442"/>
      <c r="J11" s="442"/>
      <c r="K11" s="439"/>
      <c r="L11" s="519"/>
      <c r="M11" s="443"/>
      <c r="N11" s="440"/>
      <c r="O11" s="617"/>
    </row>
    <row r="12" spans="1:15" s="355" customFormat="1" ht="14.25" customHeight="1">
      <c r="A12" s="871"/>
      <c r="B12" s="342"/>
      <c r="C12" s="350"/>
      <c r="D12" s="350"/>
      <c r="E12" s="350"/>
      <c r="F12" s="350"/>
      <c r="G12" s="350"/>
      <c r="H12" s="352"/>
      <c r="I12" s="352"/>
      <c r="J12" s="352"/>
      <c r="K12" s="352"/>
      <c r="L12" s="409"/>
      <c r="M12" s="770"/>
      <c r="N12" s="352"/>
      <c r="O12" s="731"/>
    </row>
    <row r="13" spans="1:15" s="355" customFormat="1" ht="14.25" customHeight="1">
      <c r="A13" s="871"/>
      <c r="B13" s="342"/>
      <c r="C13" s="1134"/>
      <c r="D13" s="352"/>
      <c r="E13" s="574"/>
      <c r="F13" s="450"/>
      <c r="G13" s="352"/>
      <c r="H13" s="485"/>
      <c r="I13" s="485"/>
      <c r="J13" s="352"/>
      <c r="K13" s="352"/>
      <c r="L13" s="409"/>
      <c r="M13" s="450"/>
      <c r="N13" s="352"/>
      <c r="O13" s="765"/>
    </row>
    <row r="14" spans="1:15" s="355" customFormat="1" ht="14.25" customHeight="1">
      <c r="A14" s="871"/>
      <c r="B14" s="342"/>
      <c r="C14" s="352"/>
      <c r="D14" s="352"/>
      <c r="E14" s="574"/>
      <c r="F14" s="450"/>
      <c r="G14" s="450"/>
      <c r="H14" s="485"/>
      <c r="I14" s="485"/>
      <c r="J14" s="1135"/>
      <c r="K14" s="450"/>
      <c r="L14" s="409"/>
      <c r="M14" s="352"/>
      <c r="N14" s="352"/>
    </row>
    <row r="15" spans="1:15" s="355" customFormat="1" ht="14.25" customHeight="1">
      <c r="A15" s="871"/>
      <c r="B15" s="342"/>
      <c r="C15" s="352"/>
      <c r="D15" s="352"/>
      <c r="E15" s="574"/>
      <c r="F15" s="450"/>
      <c r="G15" s="450"/>
      <c r="H15" s="485"/>
      <c r="I15" s="485"/>
      <c r="J15" s="352"/>
      <c r="K15" s="1136"/>
      <c r="L15" s="409"/>
      <c r="M15" s="450"/>
      <c r="N15" s="352"/>
    </row>
    <row r="16" spans="1:15" s="355" customFormat="1" ht="14.25" customHeight="1">
      <c r="A16" s="871"/>
      <c r="B16" s="342"/>
      <c r="C16" s="352"/>
      <c r="D16" s="352"/>
      <c r="E16" s="574"/>
      <c r="F16" s="450"/>
      <c r="G16" s="450"/>
      <c r="H16" s="352"/>
      <c r="I16" s="352"/>
      <c r="J16" s="352"/>
      <c r="K16" s="352"/>
      <c r="L16" s="409"/>
      <c r="M16" s="352"/>
      <c r="N16" s="352"/>
    </row>
    <row r="17" spans="1:15" s="355" customFormat="1" ht="14.25" customHeight="1">
      <c r="A17" s="513"/>
      <c r="B17" s="342"/>
      <c r="C17" s="513"/>
      <c r="D17" s="324"/>
      <c r="E17" s="872"/>
      <c r="F17" s="513"/>
      <c r="G17" s="514"/>
      <c r="H17" s="515"/>
      <c r="I17" s="515"/>
      <c r="J17" s="515"/>
      <c r="K17" s="513"/>
      <c r="L17" s="516"/>
      <c r="M17" s="513"/>
      <c r="N17" s="329"/>
    </row>
    <row r="18" spans="1:15" s="355" customFormat="1" ht="14.25" customHeight="1">
      <c r="A18" s="513"/>
      <c r="B18" s="342"/>
      <c r="C18" s="513"/>
      <c r="D18" s="330"/>
      <c r="E18" s="873"/>
      <c r="F18" s="873"/>
      <c r="G18" s="513"/>
      <c r="H18" s="514"/>
      <c r="I18" s="515"/>
      <c r="J18" s="515"/>
      <c r="K18" s="515"/>
      <c r="L18" s="864"/>
      <c r="M18" s="517"/>
      <c r="N18" s="513"/>
      <c r="O18" s="1054"/>
    </row>
    <row r="19" spans="1:15" s="355" customFormat="1" ht="14.25" customHeight="1">
      <c r="A19" s="513"/>
      <c r="B19" s="342"/>
      <c r="C19" s="352"/>
      <c r="D19" s="330"/>
      <c r="E19" s="873"/>
      <c r="F19" s="873"/>
      <c r="G19" s="513"/>
      <c r="H19" s="514"/>
      <c r="I19" s="515"/>
      <c r="J19" s="515"/>
      <c r="K19" s="515"/>
      <c r="L19" s="864"/>
      <c r="M19" s="517"/>
      <c r="N19" s="513"/>
      <c r="O19" s="1054"/>
    </row>
    <row r="20" spans="1:15" s="355" customFormat="1" ht="27" customHeight="1">
      <c r="A20" s="513"/>
      <c r="B20" s="342"/>
      <c r="C20" s="531"/>
      <c r="D20" s="532"/>
      <c r="E20" s="531"/>
      <c r="F20" s="532"/>
      <c r="G20" s="533"/>
      <c r="H20" s="619"/>
      <c r="I20" s="619"/>
      <c r="J20" s="619"/>
      <c r="K20" s="532"/>
      <c r="L20" s="620"/>
      <c r="M20" s="532"/>
      <c r="N20" s="352"/>
      <c r="O20" s="1055"/>
    </row>
    <row r="21" spans="1:15" s="355" customFormat="1" ht="14.25" customHeight="1">
      <c r="A21" s="513"/>
      <c r="B21" s="342"/>
      <c r="C21" s="438"/>
      <c r="D21" s="357"/>
      <c r="E21" s="357"/>
      <c r="F21" s="438"/>
      <c r="G21" s="441"/>
      <c r="H21" s="504"/>
      <c r="I21" s="504"/>
      <c r="J21" s="504"/>
      <c r="K21" s="438"/>
      <c r="L21" s="505"/>
      <c r="M21" s="438"/>
      <c r="N21" s="352"/>
      <c r="O21" s="728"/>
    </row>
    <row r="22" spans="1:15" s="355" customFormat="1" ht="14.25" customHeight="1">
      <c r="A22" s="513"/>
      <c r="B22" s="342"/>
      <c r="C22" s="438"/>
      <c r="D22" s="324"/>
      <c r="E22" s="358"/>
      <c r="F22" s="438"/>
      <c r="G22" s="441"/>
      <c r="H22" s="504"/>
      <c r="I22" s="504"/>
      <c r="J22" s="504"/>
      <c r="K22" s="438"/>
      <c r="L22" s="505"/>
      <c r="M22" s="438"/>
      <c r="N22" s="352"/>
      <c r="O22" s="728"/>
    </row>
    <row r="23" spans="1:15" s="355" customFormat="1" ht="14.25" customHeight="1">
      <c r="A23" s="513"/>
      <c r="B23" s="342"/>
      <c r="C23" s="438"/>
      <c r="D23" s="324"/>
      <c r="E23" s="358"/>
      <c r="F23" s="438"/>
      <c r="G23" s="441"/>
      <c r="H23" s="504"/>
      <c r="I23" s="504"/>
      <c r="J23" s="504"/>
      <c r="K23" s="438"/>
      <c r="L23" s="505"/>
      <c r="M23" s="438"/>
      <c r="N23" s="352"/>
      <c r="O23" s="728"/>
    </row>
    <row r="24" spans="1:15" s="355" customFormat="1" ht="14.25" customHeight="1">
      <c r="A24" s="513"/>
      <c r="B24" s="342"/>
      <c r="C24" s="438"/>
      <c r="D24" s="324"/>
      <c r="E24" s="358"/>
      <c r="F24" s="438"/>
      <c r="G24" s="441"/>
      <c r="H24" s="504"/>
      <c r="I24" s="504"/>
      <c r="J24" s="504"/>
      <c r="K24" s="438"/>
      <c r="L24" s="2392">
        <f>SUM(L5:L23)</f>
        <v>44000</v>
      </c>
      <c r="M24" s="438"/>
      <c r="N24" s="352"/>
      <c r="O24" s="728"/>
    </row>
    <row r="25" spans="1:15" ht="14.25" customHeight="1">
      <c r="A25" s="125"/>
      <c r="B25" s="77"/>
      <c r="C25" s="58"/>
      <c r="D25" s="90"/>
      <c r="E25" s="90"/>
      <c r="F25" s="90"/>
      <c r="G25" s="90"/>
      <c r="H25" s="91"/>
      <c r="I25" s="91"/>
      <c r="J25" s="91"/>
      <c r="K25" s="91"/>
      <c r="L25" s="101"/>
      <c r="M25" s="93"/>
      <c r="N25" s="91"/>
      <c r="O25" s="120"/>
    </row>
    <row r="26" spans="1:15" ht="14.25" customHeight="1">
      <c r="A26" s="125"/>
      <c r="B26" s="77"/>
      <c r="C26" s="58"/>
      <c r="D26" s="90"/>
      <c r="E26" s="90"/>
      <c r="F26" s="90"/>
      <c r="G26" s="90"/>
      <c r="H26" s="91"/>
      <c r="I26" s="91"/>
      <c r="J26" s="91"/>
      <c r="K26" s="91"/>
      <c r="L26" s="101"/>
      <c r="M26" s="93"/>
      <c r="N26" s="91"/>
      <c r="O26" s="124"/>
    </row>
    <row r="27" spans="1:15" ht="22.5" customHeight="1">
      <c r="A27" s="197"/>
      <c r="B27" s="63"/>
      <c r="C27" s="245"/>
      <c r="D27" s="246"/>
      <c r="E27" s="247"/>
      <c r="F27" s="246"/>
      <c r="G27" s="248"/>
      <c r="H27" s="249"/>
      <c r="I27" s="249"/>
      <c r="J27" s="249"/>
      <c r="K27" s="246"/>
      <c r="L27" s="250"/>
      <c r="M27" s="246"/>
      <c r="N27" s="251"/>
      <c r="O27" s="77"/>
    </row>
    <row r="28" spans="1:15" ht="14.25" customHeight="1">
      <c r="A28" s="125"/>
      <c r="B28" s="63"/>
      <c r="C28" s="58"/>
      <c r="D28" s="96"/>
      <c r="E28" s="97"/>
      <c r="F28" s="58"/>
      <c r="G28" s="59"/>
      <c r="H28" s="60"/>
      <c r="I28" s="60"/>
      <c r="J28" s="60"/>
      <c r="K28" s="58"/>
      <c r="L28" s="64"/>
      <c r="M28" s="58"/>
      <c r="N28" s="19"/>
      <c r="O28" s="62"/>
    </row>
    <row r="29" spans="1:15" ht="14.25" customHeight="1">
      <c r="A29" s="125"/>
      <c r="B29" s="63"/>
      <c r="C29" s="58"/>
      <c r="D29" s="79"/>
      <c r="E29" s="81"/>
      <c r="F29" s="58"/>
      <c r="G29" s="59"/>
      <c r="H29" s="60"/>
      <c r="I29" s="60"/>
      <c r="J29" s="60"/>
      <c r="K29" s="58"/>
      <c r="L29" s="64"/>
      <c r="M29" s="58"/>
      <c r="N29" s="19"/>
      <c r="O29" s="62"/>
    </row>
    <row r="30" spans="1:15">
      <c r="A30" s="125"/>
      <c r="B30" s="63"/>
      <c r="C30" s="58"/>
      <c r="D30" s="79"/>
      <c r="E30" s="81"/>
      <c r="F30" s="58"/>
      <c r="G30" s="59"/>
      <c r="H30" s="60"/>
      <c r="I30" s="60"/>
      <c r="J30" s="60"/>
      <c r="K30" s="58"/>
      <c r="L30" s="64"/>
      <c r="M30" s="58"/>
      <c r="N30" s="19"/>
      <c r="O30" s="62"/>
    </row>
    <row r="31" spans="1:15">
      <c r="A31" s="125"/>
      <c r="B31" s="63"/>
      <c r="C31" s="58"/>
      <c r="D31" s="78"/>
      <c r="E31" s="79"/>
      <c r="F31" s="58"/>
      <c r="G31" s="59"/>
      <c r="H31" s="60"/>
      <c r="I31" s="60"/>
      <c r="J31" s="60"/>
      <c r="K31" s="58"/>
      <c r="L31" s="64"/>
      <c r="M31" s="58"/>
      <c r="N31" s="19"/>
      <c r="O31" s="62"/>
    </row>
    <row r="32" spans="1:15">
      <c r="C32" s="58"/>
      <c r="D32" s="90"/>
      <c r="E32" s="94"/>
      <c r="F32" s="90"/>
      <c r="G32" s="91"/>
      <c r="H32" s="91"/>
      <c r="I32" s="91"/>
      <c r="J32" s="91"/>
      <c r="K32" s="92"/>
      <c r="L32" s="101"/>
      <c r="M32" s="91"/>
      <c r="N32" s="19"/>
      <c r="O32" s="91"/>
    </row>
    <row r="33" spans="1:15">
      <c r="A33" s="125"/>
      <c r="B33" s="63"/>
      <c r="C33" s="86"/>
      <c r="D33" s="87"/>
      <c r="E33" s="95"/>
      <c r="F33" s="87"/>
      <c r="G33" s="88"/>
      <c r="H33" s="89"/>
      <c r="I33" s="89"/>
      <c r="J33" s="89"/>
      <c r="K33" s="87"/>
      <c r="L33" s="98"/>
      <c r="M33" s="87"/>
      <c r="N33" s="19"/>
      <c r="O33" s="77"/>
    </row>
    <row r="34" spans="1:15">
      <c r="A34" s="125"/>
      <c r="B34" s="63"/>
      <c r="C34" s="58"/>
      <c r="D34" s="96"/>
      <c r="E34" s="96"/>
      <c r="F34" s="58"/>
      <c r="G34" s="59"/>
      <c r="H34" s="60"/>
      <c r="I34" s="60"/>
      <c r="J34" s="60"/>
      <c r="K34" s="58"/>
      <c r="L34" s="64"/>
      <c r="M34" s="58"/>
      <c r="N34" s="19"/>
      <c r="O34" s="62"/>
    </row>
    <row r="35" spans="1:15">
      <c r="A35" s="125"/>
      <c r="B35" s="63"/>
      <c r="C35" s="58"/>
      <c r="D35" s="78"/>
      <c r="E35" s="79"/>
      <c r="F35" s="80"/>
      <c r="G35" s="58"/>
      <c r="H35" s="59"/>
      <c r="I35" s="60"/>
      <c r="J35" s="60"/>
      <c r="K35" s="60"/>
      <c r="L35" s="100"/>
      <c r="M35" s="61"/>
      <c r="N35" s="58"/>
      <c r="O35" s="62"/>
    </row>
    <row r="36" spans="1:15">
      <c r="A36" s="125"/>
      <c r="B36" s="63"/>
      <c r="C36" s="58"/>
      <c r="D36" s="78"/>
      <c r="E36" s="79"/>
      <c r="F36" s="80"/>
      <c r="G36" s="58"/>
      <c r="H36" s="59"/>
      <c r="I36" s="60"/>
      <c r="J36" s="60"/>
      <c r="K36" s="60"/>
      <c r="L36" s="100"/>
      <c r="M36" s="61"/>
      <c r="N36" s="58"/>
      <c r="O36" s="62"/>
    </row>
    <row r="37" spans="1:15">
      <c r="A37" s="125"/>
      <c r="B37" s="63"/>
      <c r="C37" s="58"/>
      <c r="D37" s="78"/>
      <c r="E37" s="79"/>
      <c r="F37" s="80"/>
      <c r="G37" s="58"/>
      <c r="H37" s="59"/>
      <c r="I37" s="60"/>
      <c r="J37" s="60"/>
      <c r="K37" s="60"/>
      <c r="L37" s="100"/>
      <c r="M37" s="61"/>
      <c r="N37" s="58"/>
      <c r="O37" s="62"/>
    </row>
    <row r="38" spans="1:15">
      <c r="A38" s="125"/>
      <c r="B38" s="63"/>
      <c r="C38" s="58"/>
      <c r="D38" s="90"/>
      <c r="E38" s="94"/>
      <c r="F38" s="90"/>
      <c r="G38" s="90"/>
      <c r="H38" s="91"/>
      <c r="I38" s="91"/>
      <c r="J38" s="91"/>
      <c r="K38" s="91"/>
      <c r="L38" s="101"/>
      <c r="M38" s="93"/>
      <c r="N38" s="91"/>
      <c r="O38" s="124"/>
    </row>
    <row r="39" spans="1:15">
      <c r="A39" s="125"/>
      <c r="B39" s="63"/>
      <c r="C39" s="86"/>
      <c r="D39" s="87"/>
      <c r="E39" s="95"/>
      <c r="F39" s="87"/>
      <c r="G39" s="88"/>
      <c r="H39" s="89"/>
      <c r="I39" s="89"/>
      <c r="J39" s="89"/>
      <c r="K39" s="87"/>
      <c r="L39" s="98"/>
      <c r="M39" s="87"/>
      <c r="N39" s="19"/>
      <c r="O39" s="77"/>
    </row>
    <row r="40" spans="1:15">
      <c r="A40" s="125"/>
      <c r="B40" s="63"/>
      <c r="C40" s="58"/>
      <c r="D40" s="138"/>
      <c r="E40" s="96"/>
      <c r="F40" s="58"/>
      <c r="G40" s="59"/>
      <c r="H40" s="60"/>
      <c r="I40" s="60"/>
      <c r="J40" s="60"/>
      <c r="K40" s="58"/>
      <c r="L40" s="64"/>
      <c r="M40" s="58"/>
      <c r="N40" s="19"/>
      <c r="O40" s="62"/>
    </row>
    <row r="41" spans="1:15">
      <c r="A41" s="125"/>
      <c r="B41" s="63"/>
      <c r="C41" s="58"/>
      <c r="D41" s="79"/>
      <c r="E41" s="79"/>
      <c r="F41" s="58"/>
      <c r="G41" s="59"/>
      <c r="H41" s="60"/>
      <c r="I41" s="60"/>
      <c r="J41" s="60"/>
      <c r="K41" s="58"/>
      <c r="L41" s="64"/>
      <c r="M41" s="58"/>
      <c r="N41" s="19"/>
      <c r="O41" s="62"/>
    </row>
    <row r="42" spans="1:15">
      <c r="A42" s="125"/>
      <c r="B42" s="63"/>
      <c r="C42" s="58"/>
      <c r="D42" s="78"/>
      <c r="E42" s="79"/>
      <c r="F42" s="80"/>
      <c r="G42" s="58"/>
      <c r="H42" s="59"/>
      <c r="I42" s="60"/>
      <c r="J42" s="60"/>
      <c r="K42" s="60"/>
      <c r="L42" s="100"/>
      <c r="M42" s="61"/>
      <c r="N42" s="58"/>
      <c r="O42" s="62"/>
    </row>
    <row r="43" spans="1:15">
      <c r="A43" s="125"/>
      <c r="B43" s="63"/>
      <c r="C43" s="58"/>
      <c r="D43" s="78"/>
      <c r="E43" s="79"/>
      <c r="F43" s="80"/>
      <c r="G43" s="58"/>
      <c r="H43" s="59"/>
      <c r="I43" s="60"/>
      <c r="J43" s="60"/>
      <c r="K43" s="60"/>
      <c r="L43" s="100"/>
      <c r="M43" s="61"/>
      <c r="N43" s="58"/>
      <c r="O43" s="62"/>
    </row>
    <row r="44" spans="1:15">
      <c r="C44" s="58"/>
      <c r="D44" s="90"/>
      <c r="E44" s="94"/>
      <c r="F44" s="90"/>
      <c r="G44" s="90"/>
      <c r="H44" s="91"/>
      <c r="I44" s="91"/>
      <c r="J44" s="91"/>
      <c r="K44" s="91"/>
      <c r="L44" s="101"/>
      <c r="M44" s="93"/>
      <c r="N44" s="91"/>
      <c r="O44" s="124"/>
    </row>
    <row r="45" spans="1:15">
      <c r="C45" s="58"/>
      <c r="D45" s="90"/>
      <c r="E45" s="94"/>
      <c r="F45" s="90"/>
      <c r="G45" s="90"/>
      <c r="H45" s="91"/>
      <c r="I45" s="91"/>
      <c r="J45" s="91"/>
      <c r="K45" s="91"/>
      <c r="L45" s="101"/>
      <c r="M45" s="93"/>
      <c r="N45" s="91"/>
      <c r="O45" s="124"/>
    </row>
    <row r="46" spans="1:15">
      <c r="A46" s="125"/>
      <c r="B46" s="63"/>
      <c r="C46" s="86"/>
      <c r="D46" s="87"/>
      <c r="E46" s="86"/>
      <c r="F46" s="87"/>
      <c r="G46" s="88"/>
      <c r="H46" s="89"/>
      <c r="I46" s="89"/>
      <c r="J46" s="89"/>
      <c r="K46" s="87"/>
      <c r="L46" s="98"/>
      <c r="M46" s="87"/>
      <c r="N46" s="77"/>
    </row>
    <row r="47" spans="1:15">
      <c r="A47" s="125"/>
      <c r="B47" s="63"/>
      <c r="C47" s="58"/>
      <c r="D47" s="139"/>
      <c r="E47" s="19"/>
      <c r="F47" s="58"/>
      <c r="G47" s="59"/>
      <c r="H47" s="60"/>
      <c r="I47" s="60"/>
      <c r="J47" s="60"/>
      <c r="K47" s="58"/>
      <c r="L47" s="64"/>
      <c r="M47" s="58"/>
      <c r="N47" s="62"/>
    </row>
    <row r="48" spans="1:15">
      <c r="A48" s="125"/>
      <c r="B48" s="63"/>
      <c r="C48" s="58"/>
      <c r="D48" s="81"/>
      <c r="E48" s="19"/>
      <c r="F48" s="81"/>
      <c r="G48" s="58"/>
      <c r="H48" s="59"/>
      <c r="I48" s="60"/>
      <c r="J48" s="60"/>
      <c r="K48" s="60"/>
      <c r="L48" s="100"/>
      <c r="M48" s="61"/>
      <c r="N48" s="58"/>
      <c r="O48" s="62"/>
    </row>
    <row r="49" spans="1:15">
      <c r="A49" s="125"/>
      <c r="B49" s="63"/>
      <c r="C49" s="58"/>
      <c r="D49" s="78"/>
      <c r="E49" s="81"/>
      <c r="F49" s="81"/>
      <c r="G49" s="58"/>
      <c r="H49" s="59"/>
      <c r="I49" s="60"/>
      <c r="J49" s="60"/>
      <c r="K49" s="60"/>
      <c r="L49" s="100"/>
      <c r="M49" s="61"/>
      <c r="N49" s="58"/>
      <c r="O49" s="62"/>
    </row>
    <row r="50" spans="1:15">
      <c r="A50" s="125"/>
      <c r="B50" s="63"/>
      <c r="C50" s="58"/>
      <c r="D50" s="78"/>
      <c r="E50" s="81"/>
      <c r="F50" s="81"/>
      <c r="G50" s="58"/>
      <c r="H50" s="59"/>
      <c r="I50" s="60"/>
      <c r="J50" s="60"/>
      <c r="K50" s="60"/>
      <c r="L50" s="100"/>
      <c r="M50" s="61"/>
      <c r="N50" s="58"/>
      <c r="O50" s="62"/>
    </row>
    <row r="51" spans="1:15">
      <c r="C51" s="58"/>
      <c r="D51" s="90"/>
      <c r="E51" s="94"/>
      <c r="F51" s="90"/>
      <c r="G51" s="90"/>
      <c r="H51" s="91"/>
      <c r="I51" s="91"/>
      <c r="J51" s="91"/>
      <c r="K51" s="91"/>
      <c r="L51" s="101"/>
      <c r="M51" s="93"/>
      <c r="N51" s="91"/>
      <c r="O51" s="124"/>
    </row>
    <row r="52" spans="1:15">
      <c r="A52" s="58"/>
      <c r="B52" s="63"/>
      <c r="C52" s="86"/>
      <c r="D52" s="87"/>
      <c r="E52" s="95"/>
      <c r="F52" s="87"/>
      <c r="G52" s="88"/>
      <c r="H52" s="89"/>
      <c r="I52" s="89"/>
      <c r="J52" s="89"/>
      <c r="K52" s="87"/>
      <c r="L52" s="98"/>
      <c r="M52" s="87"/>
      <c r="O52" s="77"/>
    </row>
    <row r="53" spans="1:15">
      <c r="A53" s="58"/>
      <c r="B53" s="63"/>
      <c r="C53" s="58"/>
      <c r="D53" s="96"/>
      <c r="E53" s="19"/>
      <c r="F53" s="109"/>
      <c r="G53" s="59"/>
      <c r="H53" s="60"/>
      <c r="I53" s="60"/>
      <c r="J53" s="60"/>
      <c r="K53" s="58"/>
      <c r="L53" s="64"/>
      <c r="M53" s="58"/>
      <c r="O53" s="62"/>
    </row>
    <row r="54" spans="1:15">
      <c r="A54" s="58"/>
      <c r="B54" s="63"/>
      <c r="C54" s="58"/>
      <c r="D54" s="79"/>
      <c r="E54" s="19"/>
      <c r="F54" s="109"/>
      <c r="G54" s="59"/>
      <c r="H54" s="60"/>
      <c r="I54" s="60"/>
      <c r="J54" s="60"/>
      <c r="K54" s="58"/>
      <c r="L54" s="64"/>
      <c r="M54" s="58"/>
      <c r="O54" s="62"/>
    </row>
    <row r="55" spans="1:15">
      <c r="A55" s="58"/>
      <c r="B55" s="63"/>
      <c r="C55" s="58"/>
      <c r="D55" s="79"/>
      <c r="E55" s="19"/>
      <c r="F55" s="80"/>
      <c r="G55" s="58"/>
      <c r="H55" s="59"/>
      <c r="I55" s="60"/>
      <c r="J55" s="60"/>
      <c r="K55" s="60"/>
      <c r="L55" s="100"/>
      <c r="M55" s="61"/>
      <c r="N55" s="58"/>
      <c r="O55" s="62"/>
    </row>
    <row r="56" spans="1:15">
      <c r="A56" s="58"/>
      <c r="B56" s="63"/>
      <c r="C56" s="58"/>
      <c r="D56" s="78"/>
      <c r="E56" s="79"/>
      <c r="F56" s="81"/>
      <c r="G56" s="58"/>
      <c r="H56" s="59"/>
      <c r="I56" s="60"/>
      <c r="J56" s="60"/>
      <c r="K56" s="60"/>
      <c r="L56" s="100"/>
      <c r="M56" s="61"/>
      <c r="N56" s="58"/>
      <c r="O56" s="62"/>
    </row>
    <row r="57" spans="1:15">
      <c r="D57" s="90"/>
      <c r="E57" s="94"/>
      <c r="F57" s="90"/>
      <c r="G57" s="90"/>
      <c r="H57" s="91"/>
      <c r="I57" s="91"/>
      <c r="J57" s="91"/>
      <c r="K57" s="91"/>
      <c r="L57" s="101"/>
      <c r="M57" s="93"/>
      <c r="N57" s="91"/>
      <c r="O57" s="91"/>
    </row>
    <row r="58" spans="1:15">
      <c r="C58" s="58"/>
      <c r="D58" s="90"/>
      <c r="E58" s="94"/>
      <c r="F58" s="90"/>
      <c r="G58" s="90"/>
      <c r="H58" s="91"/>
      <c r="I58" s="91"/>
      <c r="J58" s="91"/>
      <c r="K58" s="91"/>
      <c r="L58" s="101"/>
      <c r="M58" s="93"/>
      <c r="N58" s="91"/>
      <c r="O58" s="124"/>
    </row>
    <row r="59" spans="1:15">
      <c r="C59" s="58"/>
      <c r="D59" s="90"/>
      <c r="E59" s="94"/>
      <c r="F59" s="90"/>
      <c r="G59" s="90"/>
      <c r="H59" s="91"/>
      <c r="I59" s="91"/>
      <c r="J59" s="91"/>
      <c r="K59" s="91"/>
      <c r="L59" s="101"/>
      <c r="M59" s="93"/>
      <c r="N59" s="91"/>
      <c r="O59" s="124"/>
    </row>
    <row r="60" spans="1:15">
      <c r="C60" s="58"/>
      <c r="D60" s="90"/>
      <c r="E60" s="94"/>
      <c r="F60" s="90"/>
      <c r="G60" s="90"/>
      <c r="H60" s="91"/>
      <c r="I60" s="91"/>
      <c r="J60" s="91"/>
      <c r="K60" s="91"/>
      <c r="L60" s="101"/>
      <c r="M60" s="93"/>
      <c r="N60" s="91"/>
      <c r="O60" s="124"/>
    </row>
    <row r="61" spans="1:15">
      <c r="C61" s="58"/>
      <c r="D61" s="90"/>
      <c r="E61" s="94"/>
      <c r="F61" s="90"/>
      <c r="G61" s="90"/>
      <c r="H61" s="91"/>
      <c r="I61" s="91"/>
      <c r="J61" s="91"/>
      <c r="K61" s="91"/>
      <c r="L61" s="101"/>
      <c r="M61" s="93"/>
      <c r="N61" s="91"/>
      <c r="O61" s="124"/>
    </row>
    <row r="62" spans="1:15">
      <c r="C62" s="58"/>
      <c r="D62" s="90"/>
      <c r="E62" s="94"/>
      <c r="F62" s="90"/>
      <c r="G62" s="90"/>
      <c r="H62" s="91"/>
      <c r="I62" s="91"/>
      <c r="J62" s="91"/>
      <c r="K62" s="91"/>
      <c r="L62" s="101"/>
      <c r="M62" s="93"/>
      <c r="N62" s="91"/>
      <c r="O62" s="124"/>
    </row>
    <row r="63" spans="1:15">
      <c r="C63" s="58"/>
      <c r="D63" s="90"/>
      <c r="E63" s="94"/>
      <c r="F63" s="90"/>
      <c r="G63" s="90"/>
      <c r="H63" s="91"/>
      <c r="I63" s="91"/>
      <c r="J63" s="91"/>
      <c r="K63" s="91"/>
      <c r="L63" s="101"/>
      <c r="M63" s="93"/>
      <c r="N63" s="91"/>
      <c r="O63" s="124"/>
    </row>
    <row r="64" spans="1:15">
      <c r="C64" s="58"/>
      <c r="D64" s="90"/>
      <c r="E64" s="94"/>
      <c r="F64" s="90"/>
      <c r="G64" s="90"/>
      <c r="H64" s="91"/>
      <c r="I64" s="91"/>
      <c r="J64" s="91"/>
      <c r="K64" s="91"/>
      <c r="L64" s="216">
        <f>SUM(L6:L63)</f>
        <v>88000</v>
      </c>
      <c r="M64" s="93"/>
      <c r="N64" s="91"/>
      <c r="O64" s="124"/>
    </row>
    <row r="65" spans="3:15">
      <c r="C65" s="58"/>
      <c r="D65" s="90"/>
      <c r="E65" s="94"/>
      <c r="F65" s="90"/>
      <c r="G65" s="90"/>
      <c r="H65" s="91"/>
      <c r="I65" s="91"/>
      <c r="J65" s="91"/>
      <c r="K65" s="91"/>
      <c r="L65" s="101"/>
      <c r="M65" s="93"/>
      <c r="N65" s="91"/>
      <c r="O65" s="124"/>
    </row>
    <row r="66" spans="3:15">
      <c r="C66" s="58"/>
      <c r="D66" s="90"/>
      <c r="E66" s="94"/>
      <c r="F66" s="90"/>
      <c r="G66" s="90"/>
      <c r="H66" s="91"/>
      <c r="I66" s="91"/>
      <c r="J66" s="91"/>
      <c r="K66" s="91"/>
      <c r="L66" s="101"/>
      <c r="M66" s="93"/>
      <c r="N66" s="91"/>
      <c r="O66" s="124"/>
    </row>
    <row r="67" spans="3:15">
      <c r="C67" s="8"/>
      <c r="D67" s="8"/>
      <c r="E67" s="7"/>
      <c r="F67" s="6"/>
      <c r="G67" s="6"/>
      <c r="H67" s="5"/>
      <c r="I67" s="5"/>
      <c r="J67" s="5"/>
      <c r="K67" s="6"/>
      <c r="L67" s="178"/>
      <c r="M67" s="6"/>
      <c r="N67" s="2"/>
    </row>
    <row r="68" spans="3:15">
      <c r="C68" s="8"/>
      <c r="D68" s="8"/>
      <c r="E68" s="7"/>
      <c r="F68" s="6"/>
      <c r="G68" s="6"/>
      <c r="H68" s="5"/>
      <c r="I68" s="5"/>
      <c r="J68" s="5"/>
      <c r="K68" s="6"/>
      <c r="L68" s="178"/>
      <c r="M68" s="6"/>
      <c r="N68" s="2"/>
    </row>
    <row r="69" spans="3:15">
      <c r="C69" s="8"/>
      <c r="D69" s="8"/>
      <c r="E69" s="7"/>
      <c r="F69" s="6"/>
      <c r="G69" s="6"/>
      <c r="H69" s="5"/>
      <c r="I69" s="5"/>
      <c r="J69" s="5"/>
      <c r="K69" s="6"/>
      <c r="L69" s="178"/>
      <c r="M69" s="6"/>
      <c r="N69" s="2"/>
    </row>
    <row r="70" spans="3:15">
      <c r="C70" s="8"/>
      <c r="D70" s="8"/>
      <c r="E70" s="7"/>
      <c r="F70" s="6"/>
      <c r="G70" s="6"/>
      <c r="H70" s="5"/>
      <c r="I70" s="5"/>
      <c r="J70" s="5"/>
      <c r="K70" s="6"/>
      <c r="L70" s="178"/>
      <c r="M70" s="6"/>
      <c r="N70" s="2"/>
    </row>
    <row r="71" spans="3:15">
      <c r="C71" s="8"/>
      <c r="D71" s="8"/>
      <c r="E71" s="7"/>
      <c r="F71" s="6"/>
      <c r="G71" s="6"/>
      <c r="H71" s="5"/>
      <c r="I71" s="5"/>
      <c r="J71" s="5"/>
      <c r="K71" s="6"/>
      <c r="L71" s="178"/>
      <c r="M71" s="6"/>
      <c r="N71" s="2"/>
    </row>
    <row r="72" spans="3:15">
      <c r="C72" s="8"/>
      <c r="D72" s="8"/>
      <c r="E72" s="7"/>
      <c r="F72" s="6"/>
      <c r="G72" s="6"/>
      <c r="H72" s="5"/>
      <c r="I72" s="5"/>
      <c r="J72" s="5"/>
      <c r="K72" s="6"/>
      <c r="L72" s="178"/>
      <c r="M72" s="6"/>
      <c r="N72" s="2"/>
    </row>
    <row r="73" spans="3:15">
      <c r="C73" s="8"/>
      <c r="D73" s="8"/>
      <c r="E73" s="7"/>
      <c r="F73" s="6"/>
      <c r="G73" s="6"/>
      <c r="H73" s="5"/>
      <c r="I73" s="5"/>
      <c r="J73" s="5"/>
      <c r="K73" s="6"/>
      <c r="L73" s="178"/>
      <c r="M73" s="6"/>
      <c r="N73" s="2"/>
    </row>
    <row r="74" spans="3:15">
      <c r="C74" s="8"/>
      <c r="D74" s="8"/>
      <c r="E74" s="7"/>
      <c r="F74" s="6"/>
      <c r="G74" s="6"/>
      <c r="H74" s="5"/>
      <c r="I74" s="5"/>
      <c r="J74" s="5"/>
      <c r="K74" s="6"/>
      <c r="L74" s="108"/>
      <c r="M74" s="6"/>
      <c r="N74" s="2"/>
    </row>
    <row r="75" spans="3:15">
      <c r="C75" s="8"/>
      <c r="D75" s="8"/>
      <c r="E75" s="7"/>
      <c r="F75" s="6"/>
      <c r="G75" s="6"/>
      <c r="H75" s="5"/>
      <c r="I75" s="5"/>
      <c r="J75" s="5"/>
      <c r="K75" s="6"/>
      <c r="L75" s="178"/>
      <c r="M75" s="6"/>
      <c r="N75" s="2"/>
    </row>
    <row r="76" spans="3:15">
      <c r="C76" s="8"/>
      <c r="D76" s="8"/>
      <c r="E76" s="7"/>
      <c r="F76" s="6"/>
      <c r="G76" s="6"/>
      <c r="H76" s="5"/>
      <c r="I76" s="5"/>
      <c r="J76" s="5"/>
      <c r="K76" s="6"/>
      <c r="L76" s="178"/>
      <c r="M76" s="6"/>
      <c r="N76" s="2"/>
    </row>
    <row r="77" spans="3:15">
      <c r="C77" s="8"/>
      <c r="D77" s="8"/>
      <c r="E77" s="7"/>
      <c r="F77" s="6"/>
      <c r="G77" s="6"/>
      <c r="H77" s="5"/>
      <c r="I77" s="5"/>
      <c r="J77" s="5"/>
      <c r="K77" s="6"/>
      <c r="L77" s="178"/>
      <c r="M77" s="6"/>
      <c r="N77" s="2"/>
    </row>
    <row r="78" spans="3:15">
      <c r="C78" s="8"/>
      <c r="D78" s="8"/>
      <c r="E78" s="7"/>
      <c r="F78" s="6"/>
      <c r="G78" s="6"/>
      <c r="H78" s="5"/>
      <c r="I78" s="5"/>
      <c r="J78" s="5"/>
      <c r="K78" s="6"/>
      <c r="L78" s="178"/>
      <c r="M78" s="6"/>
      <c r="N78" s="2"/>
    </row>
    <row r="79" spans="3:15">
      <c r="C79" s="8"/>
      <c r="D79" s="8"/>
      <c r="E79" s="7"/>
      <c r="F79" s="6"/>
      <c r="G79" s="6"/>
      <c r="H79" s="5"/>
      <c r="I79" s="5"/>
      <c r="J79" s="5"/>
      <c r="K79" s="6"/>
      <c r="L79" s="178"/>
      <c r="M79" s="6"/>
      <c r="N79" s="2"/>
    </row>
    <row r="80" spans="3:15" ht="14.25" customHeight="1">
      <c r="C80" s="8"/>
      <c r="D80" s="8"/>
      <c r="E80" s="7"/>
      <c r="F80" s="6"/>
      <c r="G80" s="6"/>
      <c r="H80" s="5"/>
      <c r="I80" s="5"/>
      <c r="J80" s="5"/>
      <c r="K80" s="6"/>
      <c r="L80" s="178"/>
      <c r="M80" s="6"/>
      <c r="N80" s="2"/>
    </row>
    <row r="81" spans="3:14" ht="14.25" customHeight="1">
      <c r="C81" s="8"/>
      <c r="D81" s="8"/>
      <c r="E81" s="7"/>
      <c r="F81" s="6"/>
      <c r="G81" s="6"/>
      <c r="H81" s="5"/>
      <c r="I81" s="5"/>
      <c r="J81" s="5"/>
      <c r="K81" s="6"/>
      <c r="L81" s="178"/>
      <c r="M81" s="6"/>
      <c r="N81" s="2"/>
    </row>
    <row r="82" spans="3:14" ht="14.25" customHeight="1">
      <c r="C82" s="8"/>
      <c r="D82" s="8"/>
      <c r="E82" s="7"/>
      <c r="F82" s="6"/>
      <c r="G82" s="6"/>
      <c r="H82" s="5"/>
      <c r="I82" s="5"/>
      <c r="J82" s="5"/>
      <c r="K82" s="6"/>
      <c r="L82" s="178"/>
      <c r="M82" s="6"/>
      <c r="N82" s="2"/>
    </row>
    <row r="83" spans="3:14" ht="14.25" customHeight="1">
      <c r="C83" s="8"/>
      <c r="D83" s="8"/>
      <c r="E83" s="7"/>
      <c r="F83" s="6"/>
      <c r="G83" s="6"/>
      <c r="H83" s="5"/>
      <c r="I83" s="5"/>
      <c r="J83" s="5"/>
      <c r="K83" s="6"/>
      <c r="L83" s="178"/>
      <c r="M83" s="6"/>
      <c r="N83" s="2"/>
    </row>
    <row r="84" spans="3:14" ht="14.25" customHeight="1">
      <c r="C84" s="8"/>
      <c r="D84" s="8"/>
      <c r="E84" s="7"/>
      <c r="F84" s="6"/>
      <c r="G84" s="6"/>
      <c r="H84" s="5"/>
      <c r="I84" s="5"/>
      <c r="J84" s="5"/>
      <c r="K84" s="6"/>
      <c r="L84" s="178"/>
      <c r="M84" s="6"/>
      <c r="N84" s="2"/>
    </row>
    <row r="85" spans="3:14" ht="14.25" customHeight="1">
      <c r="C85" s="8"/>
      <c r="D85" s="8"/>
      <c r="E85" s="7"/>
      <c r="F85" s="6"/>
      <c r="G85" s="6"/>
      <c r="H85" s="5"/>
      <c r="I85" s="5"/>
      <c r="J85" s="5"/>
      <c r="K85" s="6"/>
      <c r="L85" s="178"/>
      <c r="M85" s="6"/>
      <c r="N85" s="2"/>
    </row>
    <row r="86" spans="3:14" ht="14.25" customHeight="1">
      <c r="C86" s="8"/>
      <c r="D86" s="8"/>
      <c r="E86" s="7"/>
      <c r="F86" s="6"/>
      <c r="G86" s="6"/>
      <c r="H86" s="5"/>
      <c r="I86" s="5"/>
      <c r="J86" s="5"/>
      <c r="K86" s="6"/>
      <c r="L86" s="178"/>
      <c r="M86" s="6"/>
      <c r="N86" s="2"/>
    </row>
    <row r="87" spans="3:14" ht="14.25" customHeight="1">
      <c r="C87" s="8"/>
      <c r="D87" s="8"/>
      <c r="E87" s="7"/>
      <c r="F87" s="6"/>
      <c r="G87" s="6"/>
      <c r="H87" s="5"/>
      <c r="I87" s="5"/>
      <c r="J87" s="5"/>
      <c r="K87" s="6"/>
      <c r="L87" s="178"/>
      <c r="M87" s="6"/>
      <c r="N87" s="2"/>
    </row>
    <row r="88" spans="3:14" ht="14.25" customHeight="1">
      <c r="C88" s="8"/>
      <c r="D88" s="8"/>
      <c r="E88" s="7"/>
      <c r="F88" s="6"/>
      <c r="G88" s="6"/>
      <c r="H88" s="5"/>
      <c r="I88" s="5"/>
      <c r="J88" s="5"/>
      <c r="K88" s="6"/>
      <c r="L88" s="178"/>
      <c r="M88" s="6"/>
      <c r="N88" s="2"/>
    </row>
    <row r="89" spans="3:14" ht="14.25" customHeight="1">
      <c r="C89" s="8"/>
      <c r="D89" s="8"/>
      <c r="E89" s="7"/>
      <c r="F89" s="6"/>
      <c r="G89" s="6"/>
      <c r="H89" s="5"/>
      <c r="I89" s="5"/>
      <c r="J89" s="5"/>
      <c r="K89" s="6"/>
      <c r="L89" s="178"/>
      <c r="M89" s="6"/>
      <c r="N89" s="2"/>
    </row>
    <row r="90" spans="3:14" ht="14.25" customHeight="1">
      <c r="C90" s="8"/>
      <c r="D90" s="8"/>
      <c r="E90" s="7"/>
      <c r="F90" s="6"/>
      <c r="G90" s="6"/>
      <c r="H90" s="5"/>
      <c r="I90" s="5"/>
      <c r="J90" s="5"/>
      <c r="K90" s="6"/>
      <c r="L90" s="178"/>
      <c r="M90" s="6"/>
      <c r="N90" s="2"/>
    </row>
    <row r="91" spans="3:14" ht="14.25" customHeight="1">
      <c r="C91" s="8"/>
      <c r="D91" s="8"/>
      <c r="E91" s="7"/>
      <c r="F91" s="6"/>
      <c r="G91" s="6"/>
      <c r="H91" s="5"/>
      <c r="I91" s="5"/>
      <c r="J91" s="5"/>
      <c r="K91" s="6"/>
      <c r="L91" s="178"/>
      <c r="M91" s="6"/>
      <c r="N91" s="2"/>
    </row>
    <row r="92" spans="3:14" ht="14.25" customHeight="1">
      <c r="C92" s="8"/>
      <c r="D92" s="8"/>
      <c r="E92" s="7"/>
      <c r="F92" s="6"/>
      <c r="G92" s="6"/>
      <c r="H92" s="5"/>
      <c r="I92" s="5"/>
      <c r="J92" s="5"/>
      <c r="K92" s="6"/>
      <c r="L92" s="178"/>
      <c r="M92" s="6"/>
      <c r="N92" s="2"/>
    </row>
    <row r="93" spans="3:14" ht="14.25" customHeight="1">
      <c r="C93" s="8"/>
      <c r="D93" s="8"/>
      <c r="E93" s="7"/>
      <c r="F93" s="6"/>
      <c r="G93" s="6"/>
      <c r="H93" s="5"/>
      <c r="I93" s="5"/>
      <c r="J93" s="5"/>
      <c r="K93" s="6"/>
      <c r="L93" s="178"/>
      <c r="M93" s="6"/>
      <c r="N93" s="2"/>
    </row>
    <row r="94" spans="3:14" ht="14.25" customHeight="1">
      <c r="C94" s="8"/>
      <c r="D94" s="8"/>
      <c r="E94" s="7"/>
      <c r="F94" s="6"/>
      <c r="G94" s="6"/>
      <c r="H94" s="5"/>
      <c r="I94" s="5"/>
      <c r="J94" s="5"/>
      <c r="K94" s="6"/>
      <c r="L94" s="178"/>
      <c r="M94" s="6"/>
      <c r="N94" s="2"/>
    </row>
    <row r="95" spans="3:14" ht="14.25" customHeight="1">
      <c r="C95" s="8"/>
      <c r="D95" s="8"/>
      <c r="E95" s="7"/>
      <c r="F95" s="6"/>
      <c r="G95" s="6"/>
      <c r="H95" s="5"/>
      <c r="I95" s="5"/>
      <c r="J95" s="5"/>
      <c r="K95" s="6"/>
      <c r="L95" s="178"/>
      <c r="M95" s="3"/>
      <c r="N95" s="2"/>
    </row>
    <row r="96" spans="3:14" ht="14.25" customHeight="1">
      <c r="C96" s="8"/>
      <c r="D96" s="8"/>
      <c r="E96" s="7"/>
      <c r="F96" s="6"/>
      <c r="G96" s="5"/>
      <c r="H96" s="5"/>
      <c r="I96" s="5"/>
      <c r="J96" s="5"/>
      <c r="K96" s="4"/>
      <c r="L96" s="178"/>
      <c r="M96" s="3"/>
      <c r="N96" s="2"/>
    </row>
    <row r="97" spans="3:14" ht="14.25" customHeight="1">
      <c r="C97" s="19"/>
      <c r="D97" s="19"/>
      <c r="E97" s="19"/>
      <c r="F97" s="19"/>
      <c r="G97" s="19"/>
      <c r="H97" s="19"/>
      <c r="I97" s="19"/>
      <c r="J97" s="19"/>
      <c r="K97" s="19"/>
      <c r="L97" s="146"/>
      <c r="M97" s="19"/>
      <c r="N97" s="19"/>
    </row>
    <row r="98" spans="3:14" ht="14.25" customHeight="1">
      <c r="C98" s="31"/>
      <c r="D98" s="27"/>
      <c r="E98" s="20"/>
      <c r="F98" s="28"/>
      <c r="G98" s="28"/>
      <c r="H98" s="26"/>
      <c r="I98" s="26"/>
      <c r="J98" s="26"/>
      <c r="K98" s="28"/>
      <c r="L98" s="179"/>
      <c r="M98" s="28"/>
      <c r="N98" s="27"/>
    </row>
    <row r="99" spans="3:14" s="1" customFormat="1" ht="14.25" customHeight="1">
      <c r="C99" s="31"/>
      <c r="D99" s="27"/>
      <c r="E99" s="21"/>
      <c r="F99" s="28"/>
      <c r="G99" s="28"/>
      <c r="H99" s="26"/>
      <c r="I99" s="26"/>
      <c r="J99" s="26"/>
      <c r="K99" s="28"/>
      <c r="L99" s="179"/>
      <c r="M99" s="28"/>
      <c r="N99" s="27"/>
    </row>
    <row r="100" spans="3:14" s="1" customFormat="1" ht="14.25" customHeight="1">
      <c r="C100" s="30"/>
      <c r="D100" s="25"/>
      <c r="E100" s="21"/>
      <c r="F100" s="22"/>
      <c r="G100" s="22"/>
      <c r="H100" s="23"/>
      <c r="I100" s="23"/>
      <c r="J100" s="23"/>
      <c r="K100" s="22"/>
      <c r="L100" s="180"/>
      <c r="M100" s="22"/>
      <c r="N100" s="25"/>
    </row>
  </sheetData>
  <mergeCells count="7">
    <mergeCell ref="M7:M9"/>
    <mergeCell ref="O7:O9"/>
    <mergeCell ref="C2:G2"/>
    <mergeCell ref="H2:J2"/>
    <mergeCell ref="K2:L2"/>
    <mergeCell ref="M2:M3"/>
    <mergeCell ref="N2:N3"/>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4BFAF-7C2D-4D3C-9B1E-D4EA82BFA81D}">
  <sheetPr>
    <tabColor rgb="FF92D050"/>
  </sheetPr>
  <dimension ref="A2:R100"/>
  <sheetViews>
    <sheetView zoomScale="80" zoomScaleNormal="80" workbookViewId="0">
      <pane ySplit="4" topLeftCell="A5" activePane="bottomLeft" state="frozen"/>
      <selection pane="bottomLeft" activeCell="L24" sqref="L24"/>
    </sheetView>
  </sheetViews>
  <sheetFormatPr defaultRowHeight="15"/>
  <cols>
    <col min="3" max="3" width="21.42578125" customWidth="1"/>
    <col min="4" max="4" width="20.5703125" customWidth="1"/>
    <col min="5" max="5" width="26" customWidth="1"/>
    <col min="6" max="6" width="16.7109375" customWidth="1"/>
    <col min="7" max="7" width="11.7109375" customWidth="1"/>
    <col min="8" max="8" width="13.7109375" customWidth="1"/>
    <col min="10" max="10" width="12.5703125" customWidth="1"/>
    <col min="11" max="11" width="22.85546875" customWidth="1"/>
    <col min="12" max="12" width="15.5703125" style="99" customWidth="1"/>
    <col min="13" max="13" width="16.28515625" customWidth="1"/>
    <col min="14" max="14" width="12.85546875" customWidth="1"/>
    <col min="18" max="18" width="73.7109375" bestFit="1" customWidth="1"/>
  </cols>
  <sheetData>
    <row r="2" spans="1:18">
      <c r="C2" s="2627" t="s">
        <v>30</v>
      </c>
      <c r="D2" s="2627"/>
      <c r="E2" s="2627"/>
      <c r="F2" s="2627"/>
      <c r="G2" s="2627"/>
      <c r="H2" s="2628" t="s">
        <v>29</v>
      </c>
      <c r="I2" s="2628"/>
      <c r="J2" s="2628"/>
      <c r="K2" s="2627" t="s">
        <v>28</v>
      </c>
      <c r="L2" s="2627"/>
      <c r="M2" s="2628" t="s">
        <v>27</v>
      </c>
      <c r="N2" s="2628" t="s">
        <v>26</v>
      </c>
    </row>
    <row r="3" spans="1:18" ht="72">
      <c r="C3" s="10" t="s">
        <v>25</v>
      </c>
      <c r="D3" s="13" t="s">
        <v>24</v>
      </c>
      <c r="E3" s="12" t="s">
        <v>23</v>
      </c>
      <c r="F3" s="10" t="s">
        <v>22</v>
      </c>
      <c r="G3" s="11" t="s">
        <v>21</v>
      </c>
      <c r="H3" s="11" t="s">
        <v>20</v>
      </c>
      <c r="I3" s="11" t="s">
        <v>19</v>
      </c>
      <c r="J3" s="11" t="s">
        <v>18</v>
      </c>
      <c r="K3" s="10" t="s">
        <v>17</v>
      </c>
      <c r="L3" s="159" t="s">
        <v>16</v>
      </c>
      <c r="M3" s="2628"/>
      <c r="N3" s="2628"/>
    </row>
    <row r="4" spans="1:18">
      <c r="C4" s="243" t="s">
        <v>15</v>
      </c>
      <c r="D4" s="243" t="s">
        <v>14</v>
      </c>
      <c r="E4" s="243" t="s">
        <v>13</v>
      </c>
      <c r="F4" s="243" t="s">
        <v>12</v>
      </c>
      <c r="G4" s="243" t="s">
        <v>11</v>
      </c>
      <c r="H4" s="243" t="s">
        <v>10</v>
      </c>
      <c r="I4" s="243" t="s">
        <v>9</v>
      </c>
      <c r="J4" s="243" t="s">
        <v>8</v>
      </c>
      <c r="K4" s="243" t="s">
        <v>7</v>
      </c>
      <c r="L4" s="244" t="s">
        <v>6</v>
      </c>
      <c r="M4" s="243" t="s">
        <v>5</v>
      </c>
      <c r="N4" s="243" t="s">
        <v>4</v>
      </c>
    </row>
    <row r="5" spans="1:18" s="355" customFormat="1" ht="40.5">
      <c r="A5" s="1063" t="s">
        <v>743</v>
      </c>
      <c r="B5" s="1041" t="s">
        <v>744</v>
      </c>
      <c r="C5" s="1009" t="s">
        <v>815</v>
      </c>
      <c r="D5" s="1008" t="s">
        <v>747</v>
      </c>
      <c r="E5" s="2673"/>
      <c r="F5" s="2674"/>
      <c r="G5" s="1003" t="s">
        <v>1</v>
      </c>
      <c r="H5" s="1004"/>
      <c r="I5" s="1004"/>
      <c r="J5" s="1004"/>
      <c r="K5" s="1002" t="s">
        <v>748</v>
      </c>
      <c r="L5" s="1005">
        <v>10000</v>
      </c>
      <c r="M5" s="1006"/>
      <c r="N5" s="1007"/>
      <c r="R5" s="355" t="s">
        <v>751</v>
      </c>
    </row>
    <row r="6" spans="1:18" s="355" customFormat="1" ht="14.25" customHeight="1">
      <c r="A6" s="438"/>
      <c r="B6" s="342"/>
      <c r="C6" s="410"/>
      <c r="D6" s="410"/>
      <c r="E6" s="2595"/>
      <c r="F6" s="2595"/>
      <c r="G6" s="1091"/>
      <c r="H6" s="618"/>
      <c r="I6" s="1092"/>
      <c r="J6" s="1092"/>
      <c r="K6" s="1092"/>
      <c r="L6" s="1091"/>
      <c r="M6" s="1093"/>
      <c r="N6" s="1132"/>
      <c r="O6" s="1133"/>
    </row>
    <row r="7" spans="1:18" s="355" customFormat="1" ht="14.25" customHeight="1">
      <c r="A7" s="438"/>
      <c r="B7" s="342"/>
      <c r="C7" s="410"/>
      <c r="D7" s="410"/>
      <c r="E7" s="410"/>
      <c r="F7" s="1091"/>
      <c r="G7" s="618"/>
      <c r="H7" s="1092"/>
      <c r="I7" s="1092"/>
      <c r="J7" s="1092"/>
      <c r="K7" s="1091"/>
      <c r="L7" s="1093"/>
      <c r="M7" s="2669"/>
      <c r="N7" s="352"/>
      <c r="O7" s="2670"/>
    </row>
    <row r="8" spans="1:18" s="355" customFormat="1" ht="14.25" customHeight="1">
      <c r="A8" s="438"/>
      <c r="B8" s="342"/>
      <c r="C8" s="410"/>
      <c r="D8" s="410"/>
      <c r="E8" s="410"/>
      <c r="F8" s="1091"/>
      <c r="G8" s="618"/>
      <c r="H8" s="1092"/>
      <c r="I8" s="1092"/>
      <c r="J8" s="1092"/>
      <c r="K8" s="1091"/>
      <c r="L8" s="1093"/>
      <c r="M8" s="2669"/>
      <c r="N8" s="352"/>
      <c r="O8" s="2671"/>
    </row>
    <row r="9" spans="1:18" s="355" customFormat="1" ht="14.25" customHeight="1">
      <c r="A9" s="438"/>
      <c r="B9" s="342"/>
      <c r="C9" s="410"/>
      <c r="D9" s="410"/>
      <c r="E9" s="410"/>
      <c r="F9" s="1091"/>
      <c r="G9" s="618"/>
      <c r="H9" s="1092"/>
      <c r="I9" s="1092"/>
      <c r="J9" s="1092"/>
      <c r="K9" s="1091"/>
      <c r="L9" s="1093"/>
      <c r="M9" s="2669"/>
      <c r="N9" s="352"/>
      <c r="O9" s="2672"/>
    </row>
    <row r="10" spans="1:18" s="355" customFormat="1" ht="14.25" customHeight="1">
      <c r="A10" s="438"/>
      <c r="B10" s="342"/>
      <c r="C10" s="438"/>
      <c r="D10" s="451"/>
      <c r="E10" s="420"/>
      <c r="F10" s="420"/>
      <c r="G10" s="437"/>
      <c r="H10" s="441"/>
      <c r="I10" s="442"/>
      <c r="J10" s="442"/>
      <c r="K10" s="439"/>
      <c r="L10" s="519"/>
      <c r="M10" s="443"/>
      <c r="N10" s="440"/>
      <c r="O10" s="617"/>
    </row>
    <row r="11" spans="1:18" s="355" customFormat="1" ht="14.25" customHeight="1">
      <c r="A11" s="871"/>
      <c r="B11" s="342"/>
      <c r="C11" s="352"/>
      <c r="D11" s="434"/>
      <c r="E11" s="592"/>
      <c r="F11" s="592"/>
      <c r="G11" s="437"/>
      <c r="H11" s="441"/>
      <c r="I11" s="442"/>
      <c r="J11" s="442"/>
      <c r="K11" s="439"/>
      <c r="L11" s="519"/>
      <c r="M11" s="443"/>
      <c r="N11" s="440"/>
      <c r="O11" s="617"/>
    </row>
    <row r="12" spans="1:18" s="355" customFormat="1" ht="14.25" customHeight="1">
      <c r="A12" s="871"/>
      <c r="B12" s="342"/>
      <c r="C12" s="350"/>
      <c r="D12" s="350"/>
      <c r="E12" s="350"/>
      <c r="F12" s="350"/>
      <c r="G12" s="350"/>
      <c r="H12" s="352"/>
      <c r="I12" s="352"/>
      <c r="J12" s="352"/>
      <c r="K12" s="352"/>
      <c r="L12" s="409"/>
      <c r="M12" s="770"/>
      <c r="N12" s="352"/>
      <c r="O12" s="731"/>
    </row>
    <row r="13" spans="1:18" s="355" customFormat="1" ht="14.25" customHeight="1">
      <c r="A13" s="871"/>
      <c r="B13" s="342"/>
      <c r="C13" s="1134"/>
      <c r="D13" s="352"/>
      <c r="E13" s="574"/>
      <c r="F13" s="450"/>
      <c r="G13" s="352"/>
      <c r="H13" s="485"/>
      <c r="I13" s="485"/>
      <c r="J13" s="352"/>
      <c r="K13" s="352"/>
      <c r="L13" s="409"/>
      <c r="M13" s="450"/>
      <c r="N13" s="352"/>
      <c r="O13" s="765"/>
    </row>
    <row r="14" spans="1:18" s="355" customFormat="1" ht="14.25" customHeight="1">
      <c r="A14" s="871"/>
      <c r="B14" s="342"/>
      <c r="C14" s="352"/>
      <c r="D14" s="352"/>
      <c r="E14" s="574"/>
      <c r="F14" s="450"/>
      <c r="G14" s="450"/>
      <c r="H14" s="485"/>
      <c r="I14" s="485"/>
      <c r="J14" s="1135"/>
      <c r="K14" s="450"/>
      <c r="L14" s="409"/>
      <c r="M14" s="352"/>
      <c r="N14" s="352"/>
    </row>
    <row r="15" spans="1:18" s="355" customFormat="1" ht="14.25" customHeight="1">
      <c r="A15" s="871"/>
      <c r="B15" s="342"/>
      <c r="C15" s="352"/>
      <c r="D15" s="352"/>
      <c r="E15" s="574"/>
      <c r="F15" s="450"/>
      <c r="G15" s="450"/>
      <c r="H15" s="485"/>
      <c r="I15" s="485"/>
      <c r="J15" s="352"/>
      <c r="K15" s="1136"/>
      <c r="L15" s="409"/>
      <c r="M15" s="450"/>
      <c r="N15" s="352"/>
    </row>
    <row r="16" spans="1:18" s="355" customFormat="1" ht="14.25" customHeight="1">
      <c r="A16" s="871"/>
      <c r="B16" s="342"/>
      <c r="C16" s="352"/>
      <c r="D16" s="352"/>
      <c r="E16" s="574"/>
      <c r="F16" s="450"/>
      <c r="G16" s="450"/>
      <c r="H16" s="352"/>
      <c r="I16" s="352"/>
      <c r="J16" s="352"/>
      <c r="K16" s="352"/>
      <c r="L16" s="409"/>
      <c r="M16" s="352"/>
      <c r="N16" s="352"/>
    </row>
    <row r="17" spans="1:15" s="355" customFormat="1" ht="14.25" customHeight="1">
      <c r="A17" s="513"/>
      <c r="B17" s="342"/>
      <c r="C17" s="513"/>
      <c r="D17" s="324"/>
      <c r="E17" s="872"/>
      <c r="F17" s="513"/>
      <c r="G17" s="514"/>
      <c r="H17" s="515"/>
      <c r="I17" s="515"/>
      <c r="J17" s="515"/>
      <c r="K17" s="513"/>
      <c r="L17" s="516"/>
      <c r="M17" s="513"/>
      <c r="N17" s="329"/>
    </row>
    <row r="18" spans="1:15" s="355" customFormat="1" ht="14.25" customHeight="1">
      <c r="A18" s="513"/>
      <c r="B18" s="342"/>
      <c r="C18" s="513"/>
      <c r="D18" s="330"/>
      <c r="E18" s="873"/>
      <c r="F18" s="873"/>
      <c r="G18" s="513"/>
      <c r="H18" s="514"/>
      <c r="I18" s="515"/>
      <c r="J18" s="515"/>
      <c r="K18" s="515"/>
      <c r="L18" s="864"/>
      <c r="M18" s="517"/>
      <c r="N18" s="513"/>
      <c r="O18" s="1054"/>
    </row>
    <row r="19" spans="1:15" s="355" customFormat="1" ht="14.25" customHeight="1">
      <c r="A19" s="513"/>
      <c r="B19" s="342"/>
      <c r="C19" s="352"/>
      <c r="D19" s="330"/>
      <c r="E19" s="873"/>
      <c r="F19" s="873"/>
      <c r="G19" s="513"/>
      <c r="H19" s="514"/>
      <c r="I19" s="515"/>
      <c r="J19" s="515"/>
      <c r="K19" s="515"/>
      <c r="L19" s="864"/>
      <c r="M19" s="517"/>
      <c r="N19" s="513"/>
      <c r="O19" s="1054"/>
    </row>
    <row r="20" spans="1:15" s="355" customFormat="1" ht="27" customHeight="1">
      <c r="A20" s="513"/>
      <c r="B20" s="342"/>
      <c r="C20" s="531"/>
      <c r="D20" s="532"/>
      <c r="E20" s="531"/>
      <c r="F20" s="532"/>
      <c r="G20" s="533"/>
      <c r="H20" s="619"/>
      <c r="I20" s="619"/>
      <c r="J20" s="619"/>
      <c r="K20" s="532"/>
      <c r="L20" s="620"/>
      <c r="M20" s="532"/>
      <c r="N20" s="352"/>
      <c r="O20" s="1055"/>
    </row>
    <row r="21" spans="1:15" s="355" customFormat="1" ht="14.25" customHeight="1">
      <c r="A21" s="513"/>
      <c r="B21" s="342"/>
      <c r="C21" s="438"/>
      <c r="D21" s="357"/>
      <c r="E21" s="357"/>
      <c r="F21" s="438"/>
      <c r="G21" s="441"/>
      <c r="H21" s="504"/>
      <c r="I21" s="504"/>
      <c r="J21" s="504"/>
      <c r="K21" s="438"/>
      <c r="L21" s="505"/>
      <c r="M21" s="438"/>
      <c r="N21" s="352"/>
      <c r="O21" s="728"/>
    </row>
    <row r="22" spans="1:15" s="355" customFormat="1" ht="14.25" customHeight="1">
      <c r="A22" s="513"/>
      <c r="B22" s="342"/>
      <c r="C22" s="438"/>
      <c r="D22" s="324"/>
      <c r="E22" s="358"/>
      <c r="F22" s="438"/>
      <c r="G22" s="441"/>
      <c r="H22" s="504"/>
      <c r="I22" s="504"/>
      <c r="J22" s="504"/>
      <c r="K22" s="438"/>
      <c r="L22" s="505"/>
      <c r="M22" s="438"/>
      <c r="N22" s="352"/>
      <c r="O22" s="728"/>
    </row>
    <row r="23" spans="1:15" s="355" customFormat="1" ht="14.25" customHeight="1">
      <c r="A23" s="513"/>
      <c r="B23" s="342"/>
      <c r="C23" s="438"/>
      <c r="D23" s="324"/>
      <c r="E23" s="358"/>
      <c r="F23" s="438"/>
      <c r="G23" s="441"/>
      <c r="H23" s="504"/>
      <c r="I23" s="504"/>
      <c r="J23" s="504"/>
      <c r="K23" s="438"/>
      <c r="L23" s="505"/>
      <c r="M23" s="438"/>
      <c r="N23" s="352"/>
      <c r="O23" s="728"/>
    </row>
    <row r="24" spans="1:15" s="355" customFormat="1" ht="14.25" customHeight="1">
      <c r="A24" s="513"/>
      <c r="B24" s="342"/>
      <c r="C24" s="438"/>
      <c r="D24" s="324"/>
      <c r="E24" s="358"/>
      <c r="F24" s="438"/>
      <c r="G24" s="441"/>
      <c r="H24" s="504"/>
      <c r="I24" s="504"/>
      <c r="J24" s="504"/>
      <c r="K24" s="438"/>
      <c r="L24" s="2560">
        <f>SUM(L5:L23)</f>
        <v>10000</v>
      </c>
      <c r="M24" s="438"/>
      <c r="N24" s="352"/>
      <c r="O24" s="728"/>
    </row>
    <row r="25" spans="1:15" ht="14.25" customHeight="1">
      <c r="A25" s="125"/>
      <c r="B25" s="77"/>
      <c r="C25" s="58"/>
      <c r="D25" s="90"/>
      <c r="E25" s="90"/>
      <c r="F25" s="90"/>
      <c r="G25" s="90"/>
      <c r="H25" s="91"/>
      <c r="I25" s="91"/>
      <c r="J25" s="91"/>
      <c r="K25" s="91"/>
      <c r="L25" s="101"/>
      <c r="M25" s="93"/>
      <c r="N25" s="91"/>
      <c r="O25" s="120"/>
    </row>
    <row r="26" spans="1:15" ht="14.25" customHeight="1">
      <c r="A26" s="125"/>
      <c r="B26" s="77"/>
      <c r="C26" s="58"/>
      <c r="D26" s="90"/>
      <c r="E26" s="90"/>
      <c r="F26" s="90"/>
      <c r="G26" s="90"/>
      <c r="H26" s="91"/>
      <c r="I26" s="91"/>
      <c r="J26" s="91"/>
      <c r="K26" s="91"/>
      <c r="L26" s="101"/>
      <c r="M26" s="93"/>
      <c r="N26" s="91"/>
      <c r="O26" s="124"/>
    </row>
    <row r="27" spans="1:15" ht="22.5" customHeight="1">
      <c r="A27" s="197"/>
      <c r="B27" s="63"/>
      <c r="C27" s="245"/>
      <c r="D27" s="246"/>
      <c r="E27" s="247"/>
      <c r="F27" s="246"/>
      <c r="G27" s="248"/>
      <c r="H27" s="249"/>
      <c r="I27" s="249"/>
      <c r="J27" s="249"/>
      <c r="K27" s="246"/>
      <c r="L27" s="250"/>
      <c r="M27" s="246"/>
      <c r="N27" s="251"/>
      <c r="O27" s="77"/>
    </row>
    <row r="28" spans="1:15" ht="14.25" customHeight="1">
      <c r="A28" s="125"/>
      <c r="B28" s="63"/>
      <c r="C28" s="58"/>
      <c r="D28" s="96"/>
      <c r="E28" s="97"/>
      <c r="F28" s="58"/>
      <c r="G28" s="59"/>
      <c r="H28" s="60"/>
      <c r="I28" s="60"/>
      <c r="J28" s="60"/>
      <c r="K28" s="58"/>
      <c r="L28" s="64"/>
      <c r="M28" s="58"/>
      <c r="N28" s="19"/>
      <c r="O28" s="62"/>
    </row>
    <row r="29" spans="1:15" ht="14.25" customHeight="1">
      <c r="A29" s="125"/>
      <c r="B29" s="63"/>
      <c r="C29" s="58"/>
      <c r="D29" s="79"/>
      <c r="E29" s="81"/>
      <c r="F29" s="58"/>
      <c r="G29" s="59"/>
      <c r="H29" s="60"/>
      <c r="I29" s="60"/>
      <c r="J29" s="60"/>
      <c r="K29" s="58"/>
      <c r="L29" s="64"/>
      <c r="M29" s="58"/>
      <c r="N29" s="19"/>
      <c r="O29" s="62"/>
    </row>
    <row r="30" spans="1:15">
      <c r="A30" s="125"/>
      <c r="B30" s="63"/>
      <c r="C30" s="58"/>
      <c r="D30" s="79"/>
      <c r="E30" s="81"/>
      <c r="F30" s="58"/>
      <c r="G30" s="59"/>
      <c r="H30" s="60"/>
      <c r="I30" s="60"/>
      <c r="J30" s="60"/>
      <c r="K30" s="58"/>
      <c r="L30" s="64"/>
      <c r="M30" s="58"/>
      <c r="N30" s="19"/>
      <c r="O30" s="62"/>
    </row>
    <row r="31" spans="1:15">
      <c r="A31" s="125"/>
      <c r="B31" s="63"/>
      <c r="C31" s="58"/>
      <c r="D31" s="78"/>
      <c r="E31" s="79"/>
      <c r="F31" s="58"/>
      <c r="G31" s="59"/>
      <c r="H31" s="60"/>
      <c r="I31" s="60"/>
      <c r="J31" s="60"/>
      <c r="K31" s="58"/>
      <c r="L31" s="64"/>
      <c r="M31" s="58"/>
      <c r="N31" s="19"/>
      <c r="O31" s="62"/>
    </row>
    <row r="32" spans="1:15">
      <c r="C32" s="58"/>
      <c r="D32" s="90"/>
      <c r="E32" s="94"/>
      <c r="F32" s="90"/>
      <c r="G32" s="91"/>
      <c r="H32" s="91"/>
      <c r="I32" s="91"/>
      <c r="J32" s="91"/>
      <c r="K32" s="92"/>
      <c r="L32" s="101"/>
      <c r="M32" s="91"/>
      <c r="N32" s="19"/>
      <c r="O32" s="91"/>
    </row>
    <row r="33" spans="1:15">
      <c r="A33" s="125"/>
      <c r="B33" s="63"/>
      <c r="C33" s="86"/>
      <c r="D33" s="87"/>
      <c r="E33" s="95"/>
      <c r="F33" s="87"/>
      <c r="G33" s="88"/>
      <c r="H33" s="89"/>
      <c r="I33" s="89"/>
      <c r="J33" s="89"/>
      <c r="K33" s="87"/>
      <c r="L33" s="98"/>
      <c r="M33" s="87"/>
      <c r="N33" s="19"/>
      <c r="O33" s="77"/>
    </row>
    <row r="34" spans="1:15">
      <c r="A34" s="125"/>
      <c r="B34" s="63"/>
      <c r="C34" s="58"/>
      <c r="D34" s="96"/>
      <c r="E34" s="96"/>
      <c r="F34" s="58"/>
      <c r="G34" s="59"/>
      <c r="H34" s="60"/>
      <c r="I34" s="60"/>
      <c r="J34" s="60"/>
      <c r="K34" s="58"/>
      <c r="L34" s="64"/>
      <c r="M34" s="58"/>
      <c r="N34" s="19"/>
      <c r="O34" s="62"/>
    </row>
    <row r="35" spans="1:15">
      <c r="A35" s="125"/>
      <c r="B35" s="63"/>
      <c r="C35" s="58"/>
      <c r="D35" s="78"/>
      <c r="E35" s="79"/>
      <c r="F35" s="80"/>
      <c r="G35" s="58"/>
      <c r="H35" s="59"/>
      <c r="I35" s="60"/>
      <c r="J35" s="60"/>
      <c r="K35" s="60"/>
      <c r="L35" s="100"/>
      <c r="M35" s="61"/>
      <c r="N35" s="58"/>
      <c r="O35" s="62"/>
    </row>
    <row r="36" spans="1:15">
      <c r="A36" s="125"/>
      <c r="B36" s="63"/>
      <c r="C36" s="58"/>
      <c r="D36" s="78"/>
      <c r="E36" s="79"/>
      <c r="F36" s="80"/>
      <c r="G36" s="58"/>
      <c r="H36" s="59"/>
      <c r="I36" s="60"/>
      <c r="J36" s="60"/>
      <c r="K36" s="60"/>
      <c r="L36" s="100"/>
      <c r="M36" s="61"/>
      <c r="N36" s="58"/>
      <c r="O36" s="62"/>
    </row>
    <row r="37" spans="1:15">
      <c r="A37" s="125"/>
      <c r="B37" s="63"/>
      <c r="C37" s="58"/>
      <c r="D37" s="78"/>
      <c r="E37" s="79"/>
      <c r="F37" s="80"/>
      <c r="G37" s="58"/>
      <c r="H37" s="59"/>
      <c r="I37" s="60"/>
      <c r="J37" s="60"/>
      <c r="K37" s="60"/>
      <c r="L37" s="100"/>
      <c r="M37" s="61"/>
      <c r="N37" s="58"/>
      <c r="O37" s="62"/>
    </row>
    <row r="38" spans="1:15">
      <c r="A38" s="125"/>
      <c r="B38" s="63"/>
      <c r="C38" s="58"/>
      <c r="D38" s="90"/>
      <c r="E38" s="94"/>
      <c r="F38" s="90"/>
      <c r="G38" s="90"/>
      <c r="H38" s="91"/>
      <c r="I38" s="91"/>
      <c r="J38" s="91"/>
      <c r="K38" s="91"/>
      <c r="L38" s="101"/>
      <c r="M38" s="93"/>
      <c r="N38" s="91"/>
      <c r="O38" s="124"/>
    </row>
    <row r="39" spans="1:15">
      <c r="A39" s="125"/>
      <c r="B39" s="63"/>
      <c r="C39" s="86"/>
      <c r="D39" s="87"/>
      <c r="E39" s="95"/>
      <c r="F39" s="87"/>
      <c r="G39" s="88"/>
      <c r="H39" s="89"/>
      <c r="I39" s="89"/>
      <c r="J39" s="89"/>
      <c r="K39" s="87"/>
      <c r="L39" s="98"/>
      <c r="M39" s="87"/>
      <c r="N39" s="19"/>
      <c r="O39" s="77"/>
    </row>
    <row r="40" spans="1:15">
      <c r="A40" s="125"/>
      <c r="B40" s="63"/>
      <c r="C40" s="58"/>
      <c r="D40" s="138"/>
      <c r="E40" s="96"/>
      <c r="F40" s="58"/>
      <c r="G40" s="59"/>
      <c r="H40" s="60"/>
      <c r="I40" s="60"/>
      <c r="J40" s="60"/>
      <c r="K40" s="58"/>
      <c r="L40" s="64"/>
      <c r="M40" s="58"/>
      <c r="N40" s="19"/>
      <c r="O40" s="62"/>
    </row>
    <row r="41" spans="1:15">
      <c r="A41" s="125"/>
      <c r="B41" s="63"/>
      <c r="C41" s="58"/>
      <c r="D41" s="79"/>
      <c r="E41" s="79"/>
      <c r="F41" s="58"/>
      <c r="G41" s="59"/>
      <c r="H41" s="60"/>
      <c r="I41" s="60"/>
      <c r="J41" s="60"/>
      <c r="K41" s="58"/>
      <c r="L41" s="64"/>
      <c r="M41" s="58"/>
      <c r="N41" s="19"/>
      <c r="O41" s="62"/>
    </row>
    <row r="42" spans="1:15">
      <c r="A42" s="125"/>
      <c r="B42" s="63"/>
      <c r="C42" s="58"/>
      <c r="D42" s="78"/>
      <c r="E42" s="79"/>
      <c r="F42" s="80"/>
      <c r="G42" s="58"/>
      <c r="H42" s="59"/>
      <c r="I42" s="60"/>
      <c r="J42" s="60"/>
      <c r="K42" s="60"/>
      <c r="L42" s="100"/>
      <c r="M42" s="61"/>
      <c r="N42" s="58"/>
      <c r="O42" s="62"/>
    </row>
    <row r="43" spans="1:15">
      <c r="A43" s="125"/>
      <c r="B43" s="63"/>
      <c r="C43" s="58"/>
      <c r="D43" s="78"/>
      <c r="E43" s="79"/>
      <c r="F43" s="80"/>
      <c r="G43" s="58"/>
      <c r="H43" s="59"/>
      <c r="I43" s="60"/>
      <c r="J43" s="60"/>
      <c r="K43" s="60"/>
      <c r="L43" s="100"/>
      <c r="M43" s="61"/>
      <c r="N43" s="58"/>
      <c r="O43" s="62"/>
    </row>
    <row r="44" spans="1:15">
      <c r="C44" s="58"/>
      <c r="D44" s="90"/>
      <c r="E44" s="94"/>
      <c r="F44" s="90"/>
      <c r="G44" s="90"/>
      <c r="H44" s="91"/>
      <c r="I44" s="91"/>
      <c r="J44" s="91"/>
      <c r="K44" s="91"/>
      <c r="L44" s="101"/>
      <c r="M44" s="93"/>
      <c r="N44" s="91"/>
      <c r="O44" s="124"/>
    </row>
    <row r="45" spans="1:15">
      <c r="C45" s="58"/>
      <c r="D45" s="90"/>
      <c r="E45" s="94"/>
      <c r="F45" s="90"/>
      <c r="G45" s="90"/>
      <c r="H45" s="91"/>
      <c r="I45" s="91"/>
      <c r="J45" s="91"/>
      <c r="K45" s="91"/>
      <c r="L45" s="101"/>
      <c r="M45" s="93"/>
      <c r="N45" s="91"/>
      <c r="O45" s="124"/>
    </row>
    <row r="46" spans="1:15">
      <c r="A46" s="125"/>
      <c r="B46" s="63"/>
      <c r="C46" s="86"/>
      <c r="D46" s="87"/>
      <c r="E46" s="86"/>
      <c r="F46" s="87"/>
      <c r="G46" s="88"/>
      <c r="H46" s="89"/>
      <c r="I46" s="89"/>
      <c r="J46" s="89"/>
      <c r="K46" s="87"/>
      <c r="L46" s="98"/>
      <c r="M46" s="87"/>
      <c r="N46" s="77"/>
    </row>
    <row r="47" spans="1:15">
      <c r="A47" s="125"/>
      <c r="B47" s="63"/>
      <c r="C47" s="58"/>
      <c r="D47" s="139"/>
      <c r="E47" s="19"/>
      <c r="F47" s="58"/>
      <c r="G47" s="59"/>
      <c r="H47" s="60"/>
      <c r="I47" s="60"/>
      <c r="J47" s="60"/>
      <c r="K47" s="58"/>
      <c r="L47" s="64"/>
      <c r="M47" s="58"/>
      <c r="N47" s="62"/>
    </row>
    <row r="48" spans="1:15">
      <c r="A48" s="125"/>
      <c r="B48" s="63"/>
      <c r="C48" s="58"/>
      <c r="D48" s="81"/>
      <c r="E48" s="19"/>
      <c r="F48" s="81"/>
      <c r="G48" s="58"/>
      <c r="H48" s="59"/>
      <c r="I48" s="60"/>
      <c r="J48" s="60"/>
      <c r="K48" s="60"/>
      <c r="L48" s="100"/>
      <c r="M48" s="61"/>
      <c r="N48" s="58"/>
      <c r="O48" s="62"/>
    </row>
    <row r="49" spans="1:15">
      <c r="A49" s="125"/>
      <c r="B49" s="63"/>
      <c r="C49" s="58"/>
      <c r="D49" s="78"/>
      <c r="E49" s="81"/>
      <c r="F49" s="81"/>
      <c r="G49" s="58"/>
      <c r="H49" s="59"/>
      <c r="I49" s="60"/>
      <c r="J49" s="60"/>
      <c r="K49" s="60"/>
      <c r="L49" s="100"/>
      <c r="M49" s="61"/>
      <c r="N49" s="58"/>
      <c r="O49" s="62"/>
    </row>
    <row r="50" spans="1:15">
      <c r="A50" s="125"/>
      <c r="B50" s="63"/>
      <c r="C50" s="58"/>
      <c r="D50" s="78"/>
      <c r="E50" s="81"/>
      <c r="F50" s="81"/>
      <c r="G50" s="58"/>
      <c r="H50" s="59"/>
      <c r="I50" s="60"/>
      <c r="J50" s="60"/>
      <c r="K50" s="60"/>
      <c r="L50" s="100"/>
      <c r="M50" s="61"/>
      <c r="N50" s="58"/>
      <c r="O50" s="62"/>
    </row>
    <row r="51" spans="1:15">
      <c r="C51" s="58"/>
      <c r="D51" s="90"/>
      <c r="E51" s="94"/>
      <c r="F51" s="90"/>
      <c r="G51" s="90"/>
      <c r="H51" s="91"/>
      <c r="I51" s="91"/>
      <c r="J51" s="91"/>
      <c r="K51" s="91"/>
      <c r="L51" s="101"/>
      <c r="M51" s="93"/>
      <c r="N51" s="91"/>
      <c r="O51" s="124"/>
    </row>
    <row r="52" spans="1:15">
      <c r="A52" s="58"/>
      <c r="B52" s="63"/>
      <c r="C52" s="86"/>
      <c r="D52" s="87"/>
      <c r="E52" s="95"/>
      <c r="F52" s="87"/>
      <c r="G52" s="88"/>
      <c r="H52" s="89"/>
      <c r="I52" s="89"/>
      <c r="J52" s="89"/>
      <c r="K52" s="87"/>
      <c r="L52" s="98"/>
      <c r="M52" s="87"/>
      <c r="O52" s="77"/>
    </row>
    <row r="53" spans="1:15">
      <c r="A53" s="58"/>
      <c r="B53" s="63"/>
      <c r="C53" s="58"/>
      <c r="D53" s="96"/>
      <c r="E53" s="19"/>
      <c r="F53" s="109"/>
      <c r="G53" s="59"/>
      <c r="H53" s="60"/>
      <c r="I53" s="60"/>
      <c r="J53" s="60"/>
      <c r="K53" s="58"/>
      <c r="L53" s="64"/>
      <c r="M53" s="58"/>
      <c r="O53" s="62"/>
    </row>
    <row r="54" spans="1:15">
      <c r="A54" s="58"/>
      <c r="B54" s="63"/>
      <c r="C54" s="58"/>
      <c r="D54" s="79"/>
      <c r="E54" s="19"/>
      <c r="F54" s="109"/>
      <c r="G54" s="59"/>
      <c r="H54" s="60"/>
      <c r="I54" s="60"/>
      <c r="J54" s="60"/>
      <c r="K54" s="58"/>
      <c r="L54" s="64"/>
      <c r="M54" s="58"/>
      <c r="O54" s="62"/>
    </row>
    <row r="55" spans="1:15">
      <c r="A55" s="58"/>
      <c r="B55" s="63"/>
      <c r="C55" s="58"/>
      <c r="D55" s="79"/>
      <c r="E55" s="19"/>
      <c r="F55" s="80"/>
      <c r="G55" s="58"/>
      <c r="H55" s="59"/>
      <c r="I55" s="60"/>
      <c r="J55" s="60"/>
      <c r="K55" s="60"/>
      <c r="L55" s="100"/>
      <c r="M55" s="61"/>
      <c r="N55" s="58"/>
      <c r="O55" s="62"/>
    </row>
    <row r="56" spans="1:15">
      <c r="A56" s="58"/>
      <c r="B56" s="63"/>
      <c r="C56" s="58"/>
      <c r="D56" s="78"/>
      <c r="E56" s="79"/>
      <c r="F56" s="81"/>
      <c r="G56" s="58"/>
      <c r="H56" s="59"/>
      <c r="I56" s="60"/>
      <c r="J56" s="60"/>
      <c r="K56" s="60"/>
      <c r="L56" s="100"/>
      <c r="M56" s="61"/>
      <c r="N56" s="58"/>
      <c r="O56" s="62"/>
    </row>
    <row r="57" spans="1:15">
      <c r="D57" s="90"/>
      <c r="E57" s="94"/>
      <c r="F57" s="90"/>
      <c r="G57" s="90"/>
      <c r="H57" s="91"/>
      <c r="I57" s="91"/>
      <c r="J57" s="91"/>
      <c r="K57" s="91"/>
      <c r="L57" s="101"/>
      <c r="M57" s="93"/>
      <c r="N57" s="91"/>
      <c r="O57" s="91"/>
    </row>
    <row r="58" spans="1:15">
      <c r="C58" s="58"/>
      <c r="D58" s="90"/>
      <c r="E58" s="94"/>
      <c r="F58" s="90"/>
      <c r="G58" s="90"/>
      <c r="H58" s="91"/>
      <c r="I58" s="91"/>
      <c r="J58" s="91"/>
      <c r="K58" s="91"/>
      <c r="L58" s="101"/>
      <c r="M58" s="93"/>
      <c r="N58" s="91"/>
      <c r="O58" s="124"/>
    </row>
    <row r="59" spans="1:15">
      <c r="C59" s="58"/>
      <c r="D59" s="90"/>
      <c r="E59" s="94"/>
      <c r="F59" s="90"/>
      <c r="G59" s="90"/>
      <c r="H59" s="91"/>
      <c r="I59" s="91"/>
      <c r="J59" s="91"/>
      <c r="K59" s="91"/>
      <c r="L59" s="101"/>
      <c r="M59" s="93"/>
      <c r="N59" s="91"/>
      <c r="O59" s="124"/>
    </row>
    <row r="60" spans="1:15">
      <c r="C60" s="58"/>
      <c r="D60" s="90"/>
      <c r="E60" s="94"/>
      <c r="F60" s="90"/>
      <c r="G60" s="90"/>
      <c r="H60" s="91"/>
      <c r="I60" s="91"/>
      <c r="J60" s="91"/>
      <c r="K60" s="91"/>
      <c r="L60" s="101"/>
      <c r="M60" s="93"/>
      <c r="N60" s="91"/>
      <c r="O60" s="124"/>
    </row>
    <row r="61" spans="1:15">
      <c r="C61" s="58"/>
      <c r="D61" s="90"/>
      <c r="E61" s="94"/>
      <c r="F61" s="90"/>
      <c r="G61" s="90"/>
      <c r="H61" s="91"/>
      <c r="I61" s="91"/>
      <c r="J61" s="91"/>
      <c r="K61" s="91"/>
      <c r="L61" s="101"/>
      <c r="M61" s="93"/>
      <c r="N61" s="91"/>
      <c r="O61" s="124"/>
    </row>
    <row r="62" spans="1:15">
      <c r="C62" s="58"/>
      <c r="D62" s="90"/>
      <c r="E62" s="94"/>
      <c r="F62" s="90"/>
      <c r="G62" s="90"/>
      <c r="H62" s="91"/>
      <c r="I62" s="91"/>
      <c r="J62" s="91"/>
      <c r="K62" s="91"/>
      <c r="L62" s="101"/>
      <c r="M62" s="93"/>
      <c r="N62" s="91"/>
      <c r="O62" s="124"/>
    </row>
    <row r="63" spans="1:15">
      <c r="C63" s="58"/>
      <c r="D63" s="90"/>
      <c r="E63" s="94"/>
      <c r="F63" s="90"/>
      <c r="G63" s="90"/>
      <c r="H63" s="91"/>
      <c r="I63" s="91"/>
      <c r="J63" s="91"/>
      <c r="K63" s="91"/>
      <c r="L63" s="101"/>
      <c r="M63" s="93"/>
      <c r="N63" s="91"/>
      <c r="O63" s="124"/>
    </row>
    <row r="64" spans="1:15">
      <c r="C64" s="58"/>
      <c r="D64" s="90"/>
      <c r="E64" s="94"/>
      <c r="F64" s="90"/>
      <c r="G64" s="90"/>
      <c r="H64" s="91"/>
      <c r="I64" s="91"/>
      <c r="J64" s="91"/>
      <c r="K64" s="91"/>
      <c r="L64" s="216">
        <f>SUM(L6:L63)</f>
        <v>10000</v>
      </c>
      <c r="M64" s="93"/>
      <c r="N64" s="91"/>
      <c r="O64" s="124"/>
    </row>
    <row r="65" spans="3:15">
      <c r="C65" s="58"/>
      <c r="D65" s="90"/>
      <c r="E65" s="94"/>
      <c r="F65" s="90"/>
      <c r="G65" s="90"/>
      <c r="H65" s="91"/>
      <c r="I65" s="91"/>
      <c r="J65" s="91"/>
      <c r="K65" s="91"/>
      <c r="L65" s="101"/>
      <c r="M65" s="93"/>
      <c r="N65" s="91"/>
      <c r="O65" s="124"/>
    </row>
    <row r="66" spans="3:15">
      <c r="C66" s="58"/>
      <c r="D66" s="90"/>
      <c r="E66" s="94"/>
      <c r="F66" s="90"/>
      <c r="G66" s="90"/>
      <c r="H66" s="91"/>
      <c r="I66" s="91"/>
      <c r="J66" s="91"/>
      <c r="K66" s="91"/>
      <c r="L66" s="101"/>
      <c r="M66" s="93"/>
      <c r="N66" s="91"/>
      <c r="O66" s="124"/>
    </row>
    <row r="67" spans="3:15">
      <c r="C67" s="8"/>
      <c r="D67" s="8"/>
      <c r="E67" s="7"/>
      <c r="F67" s="6"/>
      <c r="G67" s="6"/>
      <c r="H67" s="5"/>
      <c r="I67" s="5"/>
      <c r="J67" s="5"/>
      <c r="K67" s="6"/>
      <c r="L67" s="178"/>
      <c r="M67" s="6"/>
      <c r="N67" s="2"/>
    </row>
    <row r="68" spans="3:15">
      <c r="C68" s="8"/>
      <c r="D68" s="8"/>
      <c r="E68" s="7"/>
      <c r="F68" s="6"/>
      <c r="G68" s="6"/>
      <c r="H68" s="5"/>
      <c r="I68" s="5"/>
      <c r="J68" s="5"/>
      <c r="K68" s="6"/>
      <c r="L68" s="178"/>
      <c r="M68" s="6"/>
      <c r="N68" s="2"/>
    </row>
    <row r="69" spans="3:15">
      <c r="C69" s="8"/>
      <c r="D69" s="8"/>
      <c r="E69" s="7"/>
      <c r="F69" s="6"/>
      <c r="G69" s="6"/>
      <c r="H69" s="5"/>
      <c r="I69" s="5"/>
      <c r="J69" s="5"/>
      <c r="K69" s="6"/>
      <c r="L69" s="178"/>
      <c r="M69" s="6"/>
      <c r="N69" s="2"/>
    </row>
    <row r="70" spans="3:15">
      <c r="C70" s="8"/>
      <c r="D70" s="8"/>
      <c r="E70" s="7"/>
      <c r="F70" s="6"/>
      <c r="G70" s="6"/>
      <c r="H70" s="5"/>
      <c r="I70" s="5"/>
      <c r="J70" s="5"/>
      <c r="K70" s="6"/>
      <c r="L70" s="178"/>
      <c r="M70" s="6"/>
      <c r="N70" s="2"/>
    </row>
    <row r="71" spans="3:15">
      <c r="C71" s="8"/>
      <c r="D71" s="8"/>
      <c r="E71" s="7"/>
      <c r="F71" s="6"/>
      <c r="G71" s="6"/>
      <c r="H71" s="5"/>
      <c r="I71" s="5"/>
      <c r="J71" s="5"/>
      <c r="K71" s="6"/>
      <c r="L71" s="178"/>
      <c r="M71" s="6"/>
      <c r="N71" s="2"/>
    </row>
    <row r="72" spans="3:15">
      <c r="C72" s="8"/>
      <c r="D72" s="8"/>
      <c r="E72" s="7"/>
      <c r="F72" s="6"/>
      <c r="G72" s="6"/>
      <c r="H72" s="5"/>
      <c r="I72" s="5"/>
      <c r="J72" s="5"/>
      <c r="K72" s="6"/>
      <c r="L72" s="178"/>
      <c r="M72" s="6"/>
      <c r="N72" s="2"/>
    </row>
    <row r="73" spans="3:15">
      <c r="C73" s="8"/>
      <c r="D73" s="8"/>
      <c r="E73" s="7"/>
      <c r="F73" s="6"/>
      <c r="G73" s="6"/>
      <c r="H73" s="5"/>
      <c r="I73" s="5"/>
      <c r="J73" s="5"/>
      <c r="K73" s="6"/>
      <c r="L73" s="178"/>
      <c r="M73" s="6"/>
      <c r="N73" s="2"/>
    </row>
    <row r="74" spans="3:15">
      <c r="C74" s="8"/>
      <c r="D74" s="8"/>
      <c r="E74" s="7"/>
      <c r="F74" s="6"/>
      <c r="G74" s="6"/>
      <c r="H74" s="5"/>
      <c r="I74" s="5"/>
      <c r="J74" s="5"/>
      <c r="K74" s="6"/>
      <c r="L74" s="108"/>
      <c r="M74" s="6"/>
      <c r="N74" s="2"/>
    </row>
    <row r="75" spans="3:15">
      <c r="C75" s="8"/>
      <c r="D75" s="8"/>
      <c r="E75" s="7"/>
      <c r="F75" s="6"/>
      <c r="G75" s="6"/>
      <c r="H75" s="5"/>
      <c r="I75" s="5"/>
      <c r="J75" s="5"/>
      <c r="K75" s="6"/>
      <c r="L75" s="178"/>
      <c r="M75" s="6"/>
      <c r="N75" s="2"/>
    </row>
    <row r="76" spans="3:15">
      <c r="C76" s="8"/>
      <c r="D76" s="8"/>
      <c r="E76" s="7"/>
      <c r="F76" s="6"/>
      <c r="G76" s="6"/>
      <c r="H76" s="5"/>
      <c r="I76" s="5"/>
      <c r="J76" s="5"/>
      <c r="K76" s="6"/>
      <c r="L76" s="178"/>
      <c r="M76" s="6"/>
      <c r="N76" s="2"/>
    </row>
    <row r="77" spans="3:15">
      <c r="C77" s="8"/>
      <c r="D77" s="8"/>
      <c r="E77" s="7"/>
      <c r="F77" s="6"/>
      <c r="G77" s="6"/>
      <c r="H77" s="5"/>
      <c r="I77" s="5"/>
      <c r="J77" s="5"/>
      <c r="K77" s="6"/>
      <c r="L77" s="178"/>
      <c r="M77" s="6"/>
      <c r="N77" s="2"/>
    </row>
    <row r="78" spans="3:15">
      <c r="C78" s="8"/>
      <c r="D78" s="8"/>
      <c r="E78" s="7"/>
      <c r="F78" s="6"/>
      <c r="G78" s="6"/>
      <c r="H78" s="5"/>
      <c r="I78" s="5"/>
      <c r="J78" s="5"/>
      <c r="K78" s="6"/>
      <c r="L78" s="178"/>
      <c r="M78" s="6"/>
      <c r="N78" s="2"/>
    </row>
    <row r="79" spans="3:15">
      <c r="C79" s="8"/>
      <c r="D79" s="8"/>
      <c r="E79" s="7"/>
      <c r="F79" s="6"/>
      <c r="G79" s="6"/>
      <c r="H79" s="5"/>
      <c r="I79" s="5"/>
      <c r="J79" s="5"/>
      <c r="K79" s="6"/>
      <c r="L79" s="178"/>
      <c r="M79" s="6"/>
      <c r="N79" s="2"/>
    </row>
    <row r="80" spans="3:15" ht="14.25" customHeight="1">
      <c r="C80" s="8"/>
      <c r="D80" s="8"/>
      <c r="E80" s="7"/>
      <c r="F80" s="6"/>
      <c r="G80" s="6"/>
      <c r="H80" s="5"/>
      <c r="I80" s="5"/>
      <c r="J80" s="5"/>
      <c r="K80" s="6"/>
      <c r="L80" s="178"/>
      <c r="M80" s="6"/>
      <c r="N80" s="2"/>
    </row>
    <row r="81" spans="3:14" ht="14.25" customHeight="1">
      <c r="C81" s="8"/>
      <c r="D81" s="8"/>
      <c r="E81" s="7"/>
      <c r="F81" s="6"/>
      <c r="G81" s="6"/>
      <c r="H81" s="5"/>
      <c r="I81" s="5"/>
      <c r="J81" s="5"/>
      <c r="K81" s="6"/>
      <c r="L81" s="178"/>
      <c r="M81" s="6"/>
      <c r="N81" s="2"/>
    </row>
    <row r="82" spans="3:14" ht="14.25" customHeight="1">
      <c r="C82" s="8"/>
      <c r="D82" s="8"/>
      <c r="E82" s="7"/>
      <c r="F82" s="6"/>
      <c r="G82" s="6"/>
      <c r="H82" s="5"/>
      <c r="I82" s="5"/>
      <c r="J82" s="5"/>
      <c r="K82" s="6"/>
      <c r="L82" s="178"/>
      <c r="M82" s="6"/>
      <c r="N82" s="2"/>
    </row>
    <row r="83" spans="3:14" ht="14.25" customHeight="1">
      <c r="C83" s="8"/>
      <c r="D83" s="8"/>
      <c r="E83" s="7"/>
      <c r="F83" s="6"/>
      <c r="G83" s="6"/>
      <c r="H83" s="5"/>
      <c r="I83" s="5"/>
      <c r="J83" s="5"/>
      <c r="K83" s="6"/>
      <c r="L83" s="178"/>
      <c r="M83" s="6"/>
      <c r="N83" s="2"/>
    </row>
    <row r="84" spans="3:14" ht="14.25" customHeight="1">
      <c r="C84" s="8"/>
      <c r="D84" s="8"/>
      <c r="E84" s="7"/>
      <c r="F84" s="6"/>
      <c r="G84" s="6"/>
      <c r="H84" s="5"/>
      <c r="I84" s="5"/>
      <c r="J84" s="5"/>
      <c r="K84" s="6"/>
      <c r="L84" s="178"/>
      <c r="M84" s="6"/>
      <c r="N84" s="2"/>
    </row>
    <row r="85" spans="3:14" ht="14.25" customHeight="1">
      <c r="C85" s="8"/>
      <c r="D85" s="8"/>
      <c r="E85" s="7"/>
      <c r="F85" s="6"/>
      <c r="G85" s="6"/>
      <c r="H85" s="5"/>
      <c r="I85" s="5"/>
      <c r="J85" s="5"/>
      <c r="K85" s="6"/>
      <c r="L85" s="178"/>
      <c r="M85" s="6"/>
      <c r="N85" s="2"/>
    </row>
    <row r="86" spans="3:14" ht="14.25" customHeight="1">
      <c r="C86" s="8"/>
      <c r="D86" s="8"/>
      <c r="E86" s="7"/>
      <c r="F86" s="6"/>
      <c r="G86" s="6"/>
      <c r="H86" s="5"/>
      <c r="I86" s="5"/>
      <c r="J86" s="5"/>
      <c r="K86" s="6"/>
      <c r="L86" s="178"/>
      <c r="M86" s="6"/>
      <c r="N86" s="2"/>
    </row>
    <row r="87" spans="3:14" ht="14.25" customHeight="1">
      <c r="C87" s="8"/>
      <c r="D87" s="8"/>
      <c r="E87" s="7"/>
      <c r="F87" s="6"/>
      <c r="G87" s="6"/>
      <c r="H87" s="5"/>
      <c r="I87" s="5"/>
      <c r="J87" s="5"/>
      <c r="K87" s="6"/>
      <c r="L87" s="178"/>
      <c r="M87" s="6"/>
      <c r="N87" s="2"/>
    </row>
    <row r="88" spans="3:14" ht="14.25" customHeight="1">
      <c r="C88" s="8"/>
      <c r="D88" s="8"/>
      <c r="E88" s="7"/>
      <c r="F88" s="6"/>
      <c r="G88" s="6"/>
      <c r="H88" s="5"/>
      <c r="I88" s="5"/>
      <c r="J88" s="5"/>
      <c r="K88" s="6"/>
      <c r="L88" s="178"/>
      <c r="M88" s="6"/>
      <c r="N88" s="2"/>
    </row>
    <row r="89" spans="3:14" ht="14.25" customHeight="1">
      <c r="C89" s="8"/>
      <c r="D89" s="8"/>
      <c r="E89" s="7"/>
      <c r="F89" s="6"/>
      <c r="G89" s="6"/>
      <c r="H89" s="5"/>
      <c r="I89" s="5"/>
      <c r="J89" s="5"/>
      <c r="K89" s="6"/>
      <c r="L89" s="178"/>
      <c r="M89" s="6"/>
      <c r="N89" s="2"/>
    </row>
    <row r="90" spans="3:14" ht="14.25" customHeight="1">
      <c r="C90" s="8"/>
      <c r="D90" s="8"/>
      <c r="E90" s="7"/>
      <c r="F90" s="6"/>
      <c r="G90" s="6"/>
      <c r="H90" s="5"/>
      <c r="I90" s="5"/>
      <c r="J90" s="5"/>
      <c r="K90" s="6"/>
      <c r="L90" s="178"/>
      <c r="M90" s="6"/>
      <c r="N90" s="2"/>
    </row>
    <row r="91" spans="3:14" ht="14.25" customHeight="1">
      <c r="C91" s="8"/>
      <c r="D91" s="8"/>
      <c r="E91" s="7"/>
      <c r="F91" s="6"/>
      <c r="G91" s="6"/>
      <c r="H91" s="5"/>
      <c r="I91" s="5"/>
      <c r="J91" s="5"/>
      <c r="K91" s="6"/>
      <c r="L91" s="178"/>
      <c r="M91" s="6"/>
      <c r="N91" s="2"/>
    </row>
    <row r="92" spans="3:14" ht="14.25" customHeight="1">
      <c r="C92" s="8"/>
      <c r="D92" s="8"/>
      <c r="E92" s="7"/>
      <c r="F92" s="6"/>
      <c r="G92" s="6"/>
      <c r="H92" s="5"/>
      <c r="I92" s="5"/>
      <c r="J92" s="5"/>
      <c r="K92" s="6"/>
      <c r="L92" s="178"/>
      <c r="M92" s="6"/>
      <c r="N92" s="2"/>
    </row>
    <row r="93" spans="3:14" ht="14.25" customHeight="1">
      <c r="C93" s="8"/>
      <c r="D93" s="8"/>
      <c r="E93" s="7"/>
      <c r="F93" s="6"/>
      <c r="G93" s="6"/>
      <c r="H93" s="5"/>
      <c r="I93" s="5"/>
      <c r="J93" s="5"/>
      <c r="K93" s="6"/>
      <c r="L93" s="178"/>
      <c r="M93" s="6"/>
      <c r="N93" s="2"/>
    </row>
    <row r="94" spans="3:14" ht="14.25" customHeight="1">
      <c r="C94" s="8"/>
      <c r="D94" s="8"/>
      <c r="E94" s="7"/>
      <c r="F94" s="6"/>
      <c r="G94" s="6"/>
      <c r="H94" s="5"/>
      <c r="I94" s="5"/>
      <c r="J94" s="5"/>
      <c r="K94" s="6"/>
      <c r="L94" s="178"/>
      <c r="M94" s="6"/>
      <c r="N94" s="2"/>
    </row>
    <row r="95" spans="3:14" ht="14.25" customHeight="1">
      <c r="C95" s="8"/>
      <c r="D95" s="8"/>
      <c r="E95" s="7"/>
      <c r="F95" s="6"/>
      <c r="G95" s="6"/>
      <c r="H95" s="5"/>
      <c r="I95" s="5"/>
      <c r="J95" s="5"/>
      <c r="K95" s="6"/>
      <c r="L95" s="178"/>
      <c r="M95" s="3"/>
      <c r="N95" s="2"/>
    </row>
    <row r="96" spans="3:14" ht="14.25" customHeight="1">
      <c r="C96" s="8"/>
      <c r="D96" s="8"/>
      <c r="E96" s="7"/>
      <c r="F96" s="6"/>
      <c r="G96" s="5"/>
      <c r="H96" s="5"/>
      <c r="I96" s="5"/>
      <c r="J96" s="5"/>
      <c r="K96" s="4"/>
      <c r="L96" s="178"/>
      <c r="M96" s="3"/>
      <c r="N96" s="2"/>
    </row>
    <row r="97" spans="3:14" ht="14.25" customHeight="1">
      <c r="C97" s="19"/>
      <c r="D97" s="19"/>
      <c r="E97" s="19"/>
      <c r="F97" s="19"/>
      <c r="G97" s="19"/>
      <c r="H97" s="19"/>
      <c r="I97" s="19"/>
      <c r="J97" s="19"/>
      <c r="K97" s="19"/>
      <c r="L97" s="146"/>
      <c r="M97" s="19"/>
      <c r="N97" s="19"/>
    </row>
    <row r="98" spans="3:14" ht="14.25" customHeight="1">
      <c r="C98" s="31"/>
      <c r="D98" s="27"/>
      <c r="E98" s="20"/>
      <c r="F98" s="28"/>
      <c r="G98" s="28"/>
      <c r="H98" s="26"/>
      <c r="I98" s="26"/>
      <c r="J98" s="26"/>
      <c r="K98" s="28"/>
      <c r="L98" s="179"/>
      <c r="M98" s="28"/>
      <c r="N98" s="27"/>
    </row>
    <row r="99" spans="3:14" s="1" customFormat="1" ht="14.25" customHeight="1">
      <c r="C99" s="31"/>
      <c r="D99" s="27"/>
      <c r="E99" s="21"/>
      <c r="F99" s="28"/>
      <c r="G99" s="28"/>
      <c r="H99" s="26"/>
      <c r="I99" s="26"/>
      <c r="J99" s="26"/>
      <c r="K99" s="28"/>
      <c r="L99" s="179"/>
      <c r="M99" s="28"/>
      <c r="N99" s="27"/>
    </row>
    <row r="100" spans="3:14" s="1" customFormat="1" ht="14.25" customHeight="1">
      <c r="C100" s="30"/>
      <c r="D100" s="25"/>
      <c r="E100" s="21"/>
      <c r="F100" s="22"/>
      <c r="G100" s="22"/>
      <c r="H100" s="23"/>
      <c r="I100" s="23"/>
      <c r="J100" s="23"/>
      <c r="K100" s="22"/>
      <c r="L100" s="180"/>
      <c r="M100" s="22"/>
      <c r="N100" s="25"/>
    </row>
  </sheetData>
  <mergeCells count="9">
    <mergeCell ref="M7:M9"/>
    <mergeCell ref="O7:O9"/>
    <mergeCell ref="E5:F5"/>
    <mergeCell ref="C2:G2"/>
    <mergeCell ref="H2:J2"/>
    <mergeCell ref="K2:L2"/>
    <mergeCell ref="M2:M3"/>
    <mergeCell ref="N2:N3"/>
    <mergeCell ref="E6:F6"/>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738B5-1AC0-4619-8DBF-7E0043216561}">
  <sheetPr>
    <tabColor rgb="FF92D050"/>
  </sheetPr>
  <dimension ref="A2:Q97"/>
  <sheetViews>
    <sheetView zoomScale="85" zoomScaleNormal="85" workbookViewId="0">
      <pane ySplit="4" topLeftCell="A32" activePane="bottomLeft" state="frozen"/>
      <selection pane="bottomLeft" activeCell="L47" sqref="L47"/>
    </sheetView>
  </sheetViews>
  <sheetFormatPr defaultRowHeight="15"/>
  <cols>
    <col min="2" max="2" width="12" bestFit="1" customWidth="1"/>
    <col min="3" max="3" width="21.42578125" customWidth="1"/>
    <col min="4" max="4" width="41.140625" customWidth="1"/>
    <col min="5" max="5" width="26" customWidth="1"/>
    <col min="6" max="6" width="16.7109375" customWidth="1"/>
    <col min="7" max="7" width="11.7109375" customWidth="1"/>
    <col min="8" max="8" width="13.7109375" customWidth="1"/>
    <col min="9" max="9" width="10.5703125" customWidth="1"/>
    <col min="10" max="10" width="12.5703125" customWidth="1"/>
    <col min="11" max="11" width="18.5703125" customWidth="1"/>
    <col min="12" max="12" width="15.5703125" style="99" customWidth="1"/>
    <col min="13" max="13" width="16.28515625" customWidth="1"/>
    <col min="14" max="14" width="12.85546875" customWidth="1"/>
    <col min="17" max="17" width="73.7109375" bestFit="1" customWidth="1"/>
  </cols>
  <sheetData>
    <row r="2" spans="1:17">
      <c r="C2" s="2627" t="s">
        <v>30</v>
      </c>
      <c r="D2" s="2627"/>
      <c r="E2" s="2627"/>
      <c r="F2" s="2627"/>
      <c r="G2" s="2627"/>
      <c r="H2" s="2628" t="s">
        <v>29</v>
      </c>
      <c r="I2" s="2628"/>
      <c r="J2" s="2628"/>
      <c r="K2" s="2627" t="s">
        <v>28</v>
      </c>
      <c r="L2" s="2627"/>
      <c r="M2" s="2628" t="s">
        <v>27</v>
      </c>
      <c r="N2" s="2628" t="s">
        <v>26</v>
      </c>
    </row>
    <row r="3" spans="1:17" ht="72">
      <c r="C3" s="10" t="s">
        <v>25</v>
      </c>
      <c r="D3" s="13" t="s">
        <v>24</v>
      </c>
      <c r="E3" s="12" t="s">
        <v>23</v>
      </c>
      <c r="F3" s="10" t="s">
        <v>22</v>
      </c>
      <c r="G3" s="11" t="s">
        <v>21</v>
      </c>
      <c r="H3" s="11" t="s">
        <v>20</v>
      </c>
      <c r="I3" s="11" t="s">
        <v>19</v>
      </c>
      <c r="J3" s="11" t="s">
        <v>18</v>
      </c>
      <c r="K3" s="10" t="s">
        <v>17</v>
      </c>
      <c r="L3" s="159" t="s">
        <v>16</v>
      </c>
      <c r="M3" s="2628"/>
      <c r="N3" s="2628"/>
    </row>
    <row r="4" spans="1:17">
      <c r="C4" s="243" t="s">
        <v>15</v>
      </c>
      <c r="D4" s="243" t="s">
        <v>14</v>
      </c>
      <c r="E4" s="243" t="s">
        <v>13</v>
      </c>
      <c r="F4" s="243" t="s">
        <v>12</v>
      </c>
      <c r="G4" s="243" t="s">
        <v>11</v>
      </c>
      <c r="H4" s="243" t="s">
        <v>10</v>
      </c>
      <c r="I4" s="243" t="s">
        <v>9</v>
      </c>
      <c r="J4" s="243" t="s">
        <v>8</v>
      </c>
      <c r="K4" s="243" t="s">
        <v>7</v>
      </c>
      <c r="L4" s="244" t="s">
        <v>6</v>
      </c>
      <c r="M4" s="243" t="s">
        <v>5</v>
      </c>
      <c r="N4" s="243" t="s">
        <v>4</v>
      </c>
    </row>
    <row r="5" spans="1:17" ht="15.75">
      <c r="A5" s="183"/>
      <c r="B5" s="181"/>
      <c r="C5" s="282"/>
      <c r="D5" s="283"/>
      <c r="E5" s="284"/>
      <c r="F5" s="285"/>
      <c r="G5" s="286"/>
      <c r="H5" s="287"/>
      <c r="I5" s="287"/>
      <c r="J5" s="287"/>
      <c r="K5" s="288"/>
      <c r="L5" s="289"/>
      <c r="M5" s="290"/>
      <c r="N5" s="291"/>
      <c r="O5" s="14"/>
      <c r="Q5" t="s">
        <v>751</v>
      </c>
    </row>
    <row r="6" spans="1:17" ht="43.9" customHeight="1">
      <c r="A6" s="183"/>
      <c r="B6" s="202"/>
      <c r="C6" s="276" t="s">
        <v>861</v>
      </c>
      <c r="D6" s="277"/>
      <c r="E6" s="279"/>
      <c r="F6" s="292"/>
      <c r="G6" s="277"/>
      <c r="H6" s="277"/>
      <c r="I6" s="277"/>
      <c r="J6" s="277"/>
      <c r="K6" s="277"/>
      <c r="L6" s="277"/>
      <c r="M6" s="277"/>
      <c r="N6" s="277"/>
      <c r="O6" s="277"/>
    </row>
    <row r="7" spans="1:17" ht="14.25" customHeight="1">
      <c r="A7" s="183"/>
      <c r="B7" s="202"/>
      <c r="C7" s="276" t="s">
        <v>639</v>
      </c>
      <c r="D7" s="293"/>
      <c r="E7" s="293"/>
      <c r="F7" s="293"/>
      <c r="G7" s="293"/>
      <c r="H7" s="293"/>
      <c r="I7" s="293"/>
      <c r="J7" s="293"/>
      <c r="K7" s="293" t="s">
        <v>824</v>
      </c>
      <c r="L7" s="281">
        <v>1000000</v>
      </c>
      <c r="N7" s="293"/>
      <c r="O7" s="242"/>
    </row>
    <row r="8" spans="1:17" ht="14.25" customHeight="1">
      <c r="A8" s="183"/>
      <c r="B8" s="202"/>
      <c r="C8" s="276"/>
      <c r="D8" s="294" t="s">
        <v>823</v>
      </c>
      <c r="E8" s="293"/>
      <c r="F8" s="293"/>
      <c r="G8" s="293"/>
      <c r="H8" s="293"/>
      <c r="I8" s="293"/>
      <c r="J8" s="293"/>
      <c r="K8" s="293"/>
      <c r="L8" s="293"/>
      <c r="M8" s="242"/>
      <c r="N8" s="293"/>
      <c r="O8" s="242"/>
    </row>
    <row r="9" spans="1:17" ht="26.25" customHeight="1">
      <c r="A9" s="183"/>
      <c r="B9" s="202" t="s">
        <v>860</v>
      </c>
      <c r="C9" s="276"/>
      <c r="D9" s="278" t="s">
        <v>862</v>
      </c>
      <c r="E9" s="295" t="s">
        <v>1527</v>
      </c>
      <c r="F9" s="280"/>
      <c r="G9" s="293"/>
      <c r="H9" s="293"/>
      <c r="I9" s="293"/>
      <c r="J9" s="293"/>
      <c r="K9" s="293"/>
      <c r="L9" s="293"/>
      <c r="M9" s="293"/>
      <c r="N9" s="293"/>
      <c r="O9" s="293"/>
    </row>
    <row r="10" spans="1:17" ht="14.25" customHeight="1">
      <c r="A10" s="58"/>
      <c r="B10" s="202" t="s">
        <v>860</v>
      </c>
      <c r="C10" s="276"/>
      <c r="D10" s="278" t="s">
        <v>863</v>
      </c>
      <c r="E10" s="295" t="s">
        <v>1528</v>
      </c>
      <c r="F10" s="280"/>
      <c r="G10" s="293"/>
      <c r="H10" s="293"/>
      <c r="I10" s="293"/>
      <c r="J10" s="293"/>
      <c r="K10" s="293"/>
      <c r="L10" s="293"/>
      <c r="M10" s="293"/>
      <c r="N10" s="293"/>
      <c r="O10" s="293"/>
    </row>
    <row r="11" spans="1:17" ht="14.25" customHeight="1">
      <c r="A11" s="206"/>
      <c r="B11" s="202" t="s">
        <v>860</v>
      </c>
      <c r="C11" s="276"/>
      <c r="D11" s="278" t="s">
        <v>864</v>
      </c>
      <c r="E11" s="295" t="s">
        <v>1529</v>
      </c>
      <c r="F11" s="280"/>
      <c r="G11" s="293"/>
      <c r="H11" s="293"/>
      <c r="I11" s="293"/>
      <c r="J11" s="293"/>
      <c r="K11" s="293"/>
      <c r="L11" s="293"/>
      <c r="M11" s="293"/>
      <c r="N11" s="293"/>
      <c r="O11" s="293"/>
    </row>
    <row r="12" spans="1:17" ht="14.25" customHeight="1">
      <c r="A12" s="206"/>
      <c r="B12" s="202" t="s">
        <v>860</v>
      </c>
      <c r="C12" s="276"/>
      <c r="D12" s="278" t="s">
        <v>865</v>
      </c>
      <c r="E12" s="295" t="s">
        <v>1250</v>
      </c>
      <c r="F12" s="280"/>
      <c r="G12" s="293"/>
      <c r="H12" s="293"/>
      <c r="I12" s="293"/>
      <c r="J12" s="293"/>
      <c r="K12" s="293"/>
      <c r="L12" s="293"/>
      <c r="M12" s="293"/>
      <c r="N12" s="293"/>
      <c r="O12" s="293"/>
    </row>
    <row r="13" spans="1:17" ht="14.25" customHeight="1">
      <c r="A13" s="206"/>
      <c r="B13" s="202" t="s">
        <v>860</v>
      </c>
      <c r="C13" s="276"/>
      <c r="D13" s="278" t="s">
        <v>866</v>
      </c>
      <c r="E13" s="295" t="s">
        <v>1530</v>
      </c>
      <c r="F13" s="280"/>
      <c r="G13" s="293"/>
      <c r="H13" s="293"/>
      <c r="I13" s="293"/>
      <c r="J13" s="293"/>
      <c r="K13" s="293"/>
      <c r="L13" s="293"/>
      <c r="M13" s="293"/>
      <c r="N13" s="293"/>
      <c r="O13" s="293"/>
    </row>
    <row r="14" spans="1:17" ht="14.25" customHeight="1">
      <c r="A14" s="206"/>
      <c r="B14" s="202" t="s">
        <v>860</v>
      </c>
      <c r="C14" s="276"/>
      <c r="D14" s="278" t="s">
        <v>867</v>
      </c>
      <c r="E14" s="295" t="s">
        <v>1530</v>
      </c>
      <c r="F14" s="280"/>
      <c r="G14" s="293"/>
      <c r="H14" s="293"/>
      <c r="I14" s="293"/>
      <c r="J14" s="293"/>
      <c r="K14" s="293"/>
      <c r="L14" s="293"/>
      <c r="M14" s="293"/>
      <c r="N14" s="293"/>
      <c r="O14" s="293"/>
    </row>
    <row r="15" spans="1:17" ht="14.25" customHeight="1">
      <c r="A15" s="206"/>
      <c r="B15" s="202" t="s">
        <v>860</v>
      </c>
      <c r="C15" s="276"/>
      <c r="D15" s="278" t="s">
        <v>868</v>
      </c>
      <c r="E15" s="295" t="s">
        <v>1530</v>
      </c>
      <c r="F15" s="280"/>
      <c r="G15" s="293"/>
      <c r="H15" s="293"/>
      <c r="I15" s="293"/>
      <c r="J15" s="293"/>
      <c r="K15" s="293"/>
      <c r="L15" s="293"/>
      <c r="M15" s="293"/>
      <c r="N15" s="293"/>
      <c r="O15" s="293"/>
    </row>
    <row r="16" spans="1:17" ht="14.25" customHeight="1">
      <c r="A16" s="206"/>
      <c r="B16" s="202" t="s">
        <v>860</v>
      </c>
      <c r="C16" s="276"/>
      <c r="D16" s="278" t="s">
        <v>869</v>
      </c>
      <c r="E16" s="295" t="s">
        <v>1530</v>
      </c>
      <c r="F16" s="280"/>
      <c r="G16" s="293"/>
      <c r="H16" s="293"/>
      <c r="I16" s="293"/>
      <c r="J16" s="293"/>
      <c r="K16" s="293"/>
      <c r="L16" s="293"/>
      <c r="M16" s="293"/>
      <c r="N16" s="293"/>
      <c r="O16" s="293"/>
    </row>
    <row r="17" spans="1:15" ht="14.25" customHeight="1">
      <c r="A17" s="125"/>
      <c r="B17" s="202" t="s">
        <v>860</v>
      </c>
      <c r="C17" s="276"/>
      <c r="D17" s="278" t="s">
        <v>870</v>
      </c>
      <c r="E17" s="295" t="s">
        <v>1530</v>
      </c>
      <c r="F17" s="280"/>
      <c r="G17" s="293"/>
      <c r="H17" s="293"/>
      <c r="I17" s="293"/>
      <c r="J17" s="293"/>
      <c r="K17" s="293"/>
      <c r="L17" s="293"/>
      <c r="M17" s="293"/>
      <c r="N17" s="293"/>
      <c r="O17" s="293"/>
    </row>
    <row r="18" spans="1:15" ht="14.25" customHeight="1">
      <c r="A18" s="125"/>
      <c r="B18" s="202" t="s">
        <v>860</v>
      </c>
      <c r="C18" s="276"/>
      <c r="D18" s="278" t="s">
        <v>871</v>
      </c>
      <c r="E18" s="295" t="s">
        <v>1250</v>
      </c>
      <c r="F18" s="280"/>
      <c r="G18" s="293"/>
      <c r="H18" s="293"/>
      <c r="I18" s="293"/>
      <c r="J18" s="293"/>
      <c r="K18" s="293"/>
      <c r="L18" s="293"/>
      <c r="M18" s="293"/>
      <c r="N18" s="293"/>
      <c r="O18" s="293"/>
    </row>
    <row r="19" spans="1:15" ht="14.25" customHeight="1">
      <c r="A19" s="125"/>
      <c r="B19" s="202" t="s">
        <v>860</v>
      </c>
      <c r="C19" s="276"/>
      <c r="D19" s="278" t="s">
        <v>872</v>
      </c>
      <c r="E19" s="295" t="s">
        <v>1250</v>
      </c>
      <c r="F19" s="280"/>
      <c r="G19" s="293"/>
      <c r="H19" s="293"/>
      <c r="I19" s="293"/>
      <c r="J19" s="293"/>
      <c r="K19" s="293"/>
      <c r="L19" s="293"/>
      <c r="M19" s="293"/>
      <c r="N19" s="293"/>
      <c r="O19" s="293"/>
    </row>
    <row r="20" spans="1:15" ht="27" customHeight="1">
      <c r="A20" s="125"/>
      <c r="B20" s="202" t="s">
        <v>860</v>
      </c>
      <c r="C20" s="276"/>
      <c r="D20" s="278" t="s">
        <v>873</v>
      </c>
      <c r="E20" s="295" t="s">
        <v>1250</v>
      </c>
      <c r="F20" s="280"/>
      <c r="G20" s="293"/>
      <c r="H20" s="293"/>
      <c r="I20" s="293"/>
      <c r="J20" s="293"/>
      <c r="K20" s="293"/>
      <c r="L20" s="293"/>
      <c r="M20" s="293"/>
      <c r="N20" s="293"/>
      <c r="O20" s="293"/>
    </row>
    <row r="21" spans="1:15" ht="14.25" customHeight="1">
      <c r="A21" s="125"/>
      <c r="B21" s="202" t="s">
        <v>860</v>
      </c>
      <c r="C21" s="276"/>
      <c r="D21" s="278" t="s">
        <v>874</v>
      </c>
      <c r="E21" s="295" t="s">
        <v>1530</v>
      </c>
      <c r="F21" s="280"/>
      <c r="G21" s="293"/>
      <c r="H21" s="293"/>
      <c r="I21" s="293"/>
      <c r="J21" s="293"/>
      <c r="K21" s="293"/>
      <c r="L21" s="293"/>
      <c r="M21" s="293"/>
      <c r="N21" s="293"/>
      <c r="O21" s="293"/>
    </row>
    <row r="22" spans="1:15" ht="14.25" customHeight="1">
      <c r="A22" s="125"/>
      <c r="B22" s="202" t="s">
        <v>860</v>
      </c>
      <c r="C22" s="276"/>
      <c r="D22" s="278" t="s">
        <v>875</v>
      </c>
      <c r="E22" s="295" t="s">
        <v>1073</v>
      </c>
      <c r="F22" s="280"/>
      <c r="G22" s="293"/>
      <c r="H22" s="293"/>
      <c r="I22" s="293"/>
      <c r="J22" s="293"/>
      <c r="K22" s="293"/>
      <c r="L22" s="293"/>
      <c r="M22" s="293"/>
      <c r="N22" s="293"/>
      <c r="O22" s="293"/>
    </row>
    <row r="23" spans="1:15" ht="14.25" customHeight="1">
      <c r="A23" s="125"/>
      <c r="B23" s="202" t="s">
        <v>860</v>
      </c>
      <c r="C23" s="276"/>
      <c r="D23" s="278" t="s">
        <v>876</v>
      </c>
      <c r="E23" s="295" t="s">
        <v>1530</v>
      </c>
      <c r="F23" s="280"/>
      <c r="G23" s="293"/>
      <c r="H23" s="293"/>
      <c r="I23" s="293"/>
      <c r="J23" s="293"/>
      <c r="K23" s="293"/>
      <c r="L23" s="293"/>
      <c r="M23" s="293"/>
      <c r="N23" s="293"/>
      <c r="O23" s="293"/>
    </row>
    <row r="24" spans="1:15" ht="14.25" customHeight="1">
      <c r="A24" s="125"/>
      <c r="B24" s="202" t="s">
        <v>860</v>
      </c>
      <c r="C24" s="276"/>
      <c r="D24" s="278" t="s">
        <v>877</v>
      </c>
      <c r="E24" s="295" t="s">
        <v>1531</v>
      </c>
      <c r="F24" s="280"/>
      <c r="G24" s="293"/>
      <c r="H24" s="293"/>
      <c r="I24" s="293"/>
      <c r="J24" s="293"/>
      <c r="K24" s="293"/>
      <c r="L24" s="293"/>
      <c r="M24" s="293"/>
      <c r="N24" s="293"/>
      <c r="O24" s="293"/>
    </row>
    <row r="25" spans="1:15" ht="14.25" customHeight="1">
      <c r="A25" s="125"/>
      <c r="B25" s="202" t="s">
        <v>860</v>
      </c>
      <c r="C25" s="276"/>
      <c r="D25" s="278" t="s">
        <v>878</v>
      </c>
      <c r="E25" s="295" t="s">
        <v>1532</v>
      </c>
      <c r="F25" s="280"/>
      <c r="G25" s="293"/>
      <c r="H25" s="293"/>
      <c r="I25" s="293"/>
      <c r="J25" s="293"/>
      <c r="K25" s="293"/>
      <c r="L25" s="293"/>
      <c r="M25" s="293"/>
      <c r="N25" s="293"/>
      <c r="O25" s="293"/>
    </row>
    <row r="26" spans="1:15" ht="14.25" customHeight="1">
      <c r="A26" s="125"/>
      <c r="B26" s="202" t="s">
        <v>860</v>
      </c>
      <c r="C26" s="276"/>
      <c r="D26" s="278" t="s">
        <v>879</v>
      </c>
      <c r="E26" s="295" t="s">
        <v>1531</v>
      </c>
      <c r="F26" s="280"/>
      <c r="G26" s="293"/>
      <c r="H26" s="293"/>
      <c r="I26" s="293"/>
      <c r="J26" s="293"/>
      <c r="K26" s="293"/>
      <c r="L26" s="293"/>
      <c r="M26" s="293"/>
      <c r="N26" s="293"/>
      <c r="O26" s="293"/>
    </row>
    <row r="27" spans="1:15" ht="22.5" customHeight="1">
      <c r="A27" s="197"/>
      <c r="B27" s="202" t="s">
        <v>860</v>
      </c>
      <c r="C27" s="276"/>
      <c r="D27" s="278" t="s">
        <v>880</v>
      </c>
      <c r="E27" s="295" t="s">
        <v>193</v>
      </c>
      <c r="F27" s="280"/>
      <c r="G27" s="293"/>
      <c r="H27" s="293"/>
      <c r="I27" s="293"/>
      <c r="J27" s="293"/>
      <c r="K27" s="293"/>
      <c r="L27" s="293"/>
      <c r="M27" s="293"/>
      <c r="N27" s="293"/>
      <c r="O27" s="293"/>
    </row>
    <row r="28" spans="1:15" ht="14.25" customHeight="1">
      <c r="A28" s="125"/>
      <c r="B28" s="202" t="s">
        <v>860</v>
      </c>
      <c r="C28" s="276"/>
      <c r="D28" s="278" t="s">
        <v>881</v>
      </c>
      <c r="E28" s="295" t="s">
        <v>1531</v>
      </c>
      <c r="F28" s="280"/>
      <c r="G28" s="293"/>
      <c r="H28" s="293"/>
      <c r="I28" s="293"/>
      <c r="J28" s="293"/>
      <c r="K28" s="293"/>
      <c r="L28" s="293"/>
      <c r="M28" s="293"/>
      <c r="N28" s="293"/>
      <c r="O28" s="293"/>
    </row>
    <row r="29" spans="1:15" ht="14.25" customHeight="1">
      <c r="A29" s="125"/>
      <c r="B29" s="202" t="s">
        <v>860</v>
      </c>
      <c r="C29" s="276"/>
      <c r="D29" s="278" t="s">
        <v>882</v>
      </c>
      <c r="E29" s="295" t="s">
        <v>1530</v>
      </c>
      <c r="F29" s="280"/>
      <c r="G29" s="293"/>
      <c r="H29" s="293"/>
      <c r="I29" s="293"/>
      <c r="J29" s="293"/>
      <c r="K29" s="293"/>
      <c r="L29" s="293"/>
      <c r="M29" s="293"/>
      <c r="N29" s="293"/>
      <c r="O29" s="293"/>
    </row>
    <row r="30" spans="1:15">
      <c r="A30" s="125"/>
      <c r="B30" s="202" t="s">
        <v>860</v>
      </c>
      <c r="C30" s="276"/>
      <c r="D30" s="278" t="s">
        <v>883</v>
      </c>
      <c r="E30" s="295" t="s">
        <v>193</v>
      </c>
      <c r="F30" s="280"/>
      <c r="G30" s="293"/>
      <c r="H30" s="293"/>
      <c r="I30" s="293"/>
      <c r="J30" s="293"/>
      <c r="K30" s="293"/>
      <c r="L30" s="293"/>
      <c r="M30" s="293"/>
      <c r="N30" s="293"/>
      <c r="O30" s="293"/>
    </row>
    <row r="31" spans="1:15">
      <c r="A31" s="125"/>
      <c r="B31" s="202" t="s">
        <v>860</v>
      </c>
      <c r="C31" s="276"/>
      <c r="D31" s="278" t="s">
        <v>884</v>
      </c>
      <c r="E31" s="295" t="s">
        <v>193</v>
      </c>
      <c r="F31" s="280"/>
      <c r="G31" s="293"/>
      <c r="H31" s="293"/>
      <c r="I31" s="293"/>
      <c r="J31" s="293"/>
      <c r="K31" s="293"/>
      <c r="L31" s="293"/>
      <c r="M31" s="293"/>
      <c r="N31" s="293"/>
      <c r="O31" s="293"/>
    </row>
    <row r="32" spans="1:15" s="355" customFormat="1" ht="40.5">
      <c r="B32" s="202" t="s">
        <v>860</v>
      </c>
      <c r="C32" s="983"/>
      <c r="D32" s="983" t="s">
        <v>885</v>
      </c>
      <c r="E32" s="304" t="s">
        <v>1533</v>
      </c>
      <c r="F32" s="304"/>
      <c r="G32" s="1024"/>
      <c r="H32" s="1024"/>
      <c r="I32" s="1024"/>
      <c r="J32" s="1024"/>
      <c r="K32" s="1024"/>
      <c r="L32" s="1024"/>
      <c r="M32" s="1024"/>
      <c r="N32" s="1024"/>
      <c r="O32" s="1024"/>
    </row>
    <row r="33" spans="1:15">
      <c r="A33" s="125"/>
      <c r="B33" s="63"/>
      <c r="C33" s="58"/>
      <c r="D33" s="78"/>
      <c r="E33" s="79"/>
      <c r="F33" s="80"/>
      <c r="G33" s="58"/>
      <c r="H33" s="59"/>
      <c r="I33" s="60"/>
      <c r="J33" s="60"/>
      <c r="K33" s="60"/>
      <c r="L33" s="100"/>
      <c r="M33" s="61"/>
      <c r="N33" s="58"/>
      <c r="O33" s="62"/>
    </row>
    <row r="34" spans="1:15" ht="15" customHeight="1">
      <c r="A34" s="125"/>
      <c r="B34" s="63" t="s">
        <v>1374</v>
      </c>
      <c r="C34" s="1401"/>
      <c r="D34" s="1393" t="s">
        <v>1526</v>
      </c>
      <c r="F34" s="1393"/>
      <c r="G34" s="1393"/>
      <c r="H34" s="1394"/>
      <c r="I34" s="1395"/>
      <c r="J34" s="1396"/>
      <c r="K34" s="1397"/>
      <c r="L34" s="1346"/>
      <c r="M34" s="1398"/>
      <c r="N34" s="1399"/>
      <c r="O34" s="62"/>
    </row>
    <row r="35" spans="1:15" ht="25.5">
      <c r="A35" s="125"/>
      <c r="B35" s="63" t="s">
        <v>1374</v>
      </c>
      <c r="C35" s="1351"/>
      <c r="D35" s="1409" t="s">
        <v>1539</v>
      </c>
      <c r="E35" t="s">
        <v>1534</v>
      </c>
      <c r="F35" s="1352" t="s">
        <v>1104</v>
      </c>
      <c r="G35" s="1294" t="s">
        <v>1084</v>
      </c>
      <c r="H35" s="1294" t="s">
        <v>972</v>
      </c>
      <c r="I35" s="1295" t="s">
        <v>1147</v>
      </c>
      <c r="J35" s="1296" t="s">
        <v>1148</v>
      </c>
      <c r="K35" s="1353" t="s">
        <v>1149</v>
      </c>
      <c r="L35" s="1410">
        <v>325</v>
      </c>
      <c r="M35" s="1303" t="s">
        <v>659</v>
      </c>
      <c r="N35" s="1354"/>
      <c r="O35" s="124"/>
    </row>
    <row r="36" spans="1:15" ht="25.5">
      <c r="A36" s="125"/>
      <c r="B36" s="63" t="s">
        <v>1374</v>
      </c>
      <c r="C36" s="1351"/>
      <c r="D36" s="1409" t="s">
        <v>1540</v>
      </c>
      <c r="E36" t="s">
        <v>1535</v>
      </c>
      <c r="F36" s="1352" t="s">
        <v>1104</v>
      </c>
      <c r="G36" s="1294" t="s">
        <v>1084</v>
      </c>
      <c r="H36" s="1294" t="s">
        <v>972</v>
      </c>
      <c r="I36" s="1295" t="s">
        <v>1147</v>
      </c>
      <c r="J36" s="1296" t="s">
        <v>1148</v>
      </c>
      <c r="K36" s="1353" t="s">
        <v>1149</v>
      </c>
      <c r="L36" s="1410">
        <v>180</v>
      </c>
      <c r="M36" s="1303" t="s">
        <v>659</v>
      </c>
      <c r="N36" s="1354"/>
      <c r="O36" s="77"/>
    </row>
    <row r="37" spans="1:15" ht="25.5">
      <c r="A37" s="125"/>
      <c r="B37" s="63" t="s">
        <v>1374</v>
      </c>
      <c r="C37" s="1351"/>
      <c r="D37" s="1409" t="s">
        <v>1541</v>
      </c>
      <c r="E37" t="s">
        <v>1536</v>
      </c>
      <c r="F37" s="1352" t="s">
        <v>1104</v>
      </c>
      <c r="G37" s="1294" t="s">
        <v>1084</v>
      </c>
      <c r="H37" s="1294" t="s">
        <v>972</v>
      </c>
      <c r="I37" s="1295" t="s">
        <v>1147</v>
      </c>
      <c r="J37" s="1296" t="s">
        <v>1148</v>
      </c>
      <c r="K37" s="1353" t="s">
        <v>1149</v>
      </c>
      <c r="L37" s="1410">
        <v>270</v>
      </c>
      <c r="M37" s="1303" t="s">
        <v>659</v>
      </c>
      <c r="N37" s="1354"/>
      <c r="O37" s="62"/>
    </row>
    <row r="38" spans="1:15" ht="25.5">
      <c r="A38" s="125"/>
      <c r="B38" s="63" t="s">
        <v>1374</v>
      </c>
      <c r="C38" s="1351"/>
      <c r="D38" s="1409" t="s">
        <v>1542</v>
      </c>
      <c r="E38" t="s">
        <v>1536</v>
      </c>
      <c r="F38" s="1352" t="s">
        <v>1104</v>
      </c>
      <c r="G38" s="1294" t="s">
        <v>1084</v>
      </c>
      <c r="H38" s="1294" t="s">
        <v>972</v>
      </c>
      <c r="I38" s="1295" t="s">
        <v>1147</v>
      </c>
      <c r="J38" s="1296" t="s">
        <v>1148</v>
      </c>
      <c r="K38" s="1353" t="s">
        <v>1149</v>
      </c>
      <c r="L38" s="1410">
        <v>270</v>
      </c>
      <c r="M38" s="1303" t="s">
        <v>659</v>
      </c>
      <c r="N38" s="1354"/>
      <c r="O38" s="62"/>
    </row>
    <row r="39" spans="1:15" ht="25.5">
      <c r="A39" s="125"/>
      <c r="B39" s="63" t="s">
        <v>1374</v>
      </c>
      <c r="C39" s="1351"/>
      <c r="D39" s="1409" t="s">
        <v>1543</v>
      </c>
      <c r="E39" t="s">
        <v>1536</v>
      </c>
      <c r="F39" s="1352" t="s">
        <v>1104</v>
      </c>
      <c r="G39" s="1294" t="s">
        <v>1084</v>
      </c>
      <c r="H39" s="1294" t="s">
        <v>972</v>
      </c>
      <c r="I39" s="1295" t="s">
        <v>1147</v>
      </c>
      <c r="J39" s="1296" t="s">
        <v>1148</v>
      </c>
      <c r="K39" s="1353" t="s">
        <v>1149</v>
      </c>
      <c r="L39" s="1410">
        <v>280</v>
      </c>
      <c r="M39" s="1303" t="s">
        <v>659</v>
      </c>
      <c r="N39" s="1354"/>
      <c r="O39" s="62"/>
    </row>
    <row r="40" spans="1:15" ht="25.5">
      <c r="A40" s="125"/>
      <c r="B40" s="63" t="s">
        <v>1374</v>
      </c>
      <c r="C40" s="1351"/>
      <c r="D40" s="1409" t="s">
        <v>1544</v>
      </c>
      <c r="E40" t="s">
        <v>1537</v>
      </c>
      <c r="F40" s="1352" t="s">
        <v>1104</v>
      </c>
      <c r="G40" s="1294" t="s">
        <v>1084</v>
      </c>
      <c r="H40" s="1294" t="s">
        <v>972</v>
      </c>
      <c r="I40" s="1295" t="s">
        <v>1147</v>
      </c>
      <c r="J40" s="1296" t="s">
        <v>1148</v>
      </c>
      <c r="K40" s="1353" t="s">
        <v>1149</v>
      </c>
      <c r="L40" s="1410">
        <v>300</v>
      </c>
      <c r="M40" s="1303" t="s">
        <v>659</v>
      </c>
      <c r="N40" s="1354"/>
      <c r="O40" s="62"/>
    </row>
    <row r="41" spans="1:15" ht="25.5">
      <c r="B41" s="63" t="s">
        <v>1374</v>
      </c>
      <c r="C41" s="1351"/>
      <c r="D41" s="1408" t="s">
        <v>1545</v>
      </c>
      <c r="E41" t="s">
        <v>1538</v>
      </c>
      <c r="F41" s="1352" t="s">
        <v>1104</v>
      </c>
      <c r="G41" s="1294" t="s">
        <v>1084</v>
      </c>
      <c r="H41" s="1294" t="s">
        <v>972</v>
      </c>
      <c r="I41" s="1295" t="s">
        <v>1147</v>
      </c>
      <c r="J41" s="1296" t="s">
        <v>1148</v>
      </c>
      <c r="K41" s="1353" t="s">
        <v>1149</v>
      </c>
      <c r="L41" s="1410">
        <v>1100</v>
      </c>
      <c r="M41" s="1303" t="s">
        <v>659</v>
      </c>
      <c r="N41" s="1354"/>
      <c r="O41" s="124"/>
    </row>
    <row r="42" spans="1:15" ht="25.5">
      <c r="B42" s="63" t="s">
        <v>1374</v>
      </c>
      <c r="C42" s="1351"/>
      <c r="D42" s="1408" t="s">
        <v>1546</v>
      </c>
      <c r="E42" t="s">
        <v>1534</v>
      </c>
      <c r="F42" s="1352" t="s">
        <v>1104</v>
      </c>
      <c r="G42" s="1294" t="s">
        <v>1084</v>
      </c>
      <c r="H42" s="1294" t="s">
        <v>972</v>
      </c>
      <c r="I42" s="1295" t="s">
        <v>1147</v>
      </c>
      <c r="J42" s="1296" t="s">
        <v>1148</v>
      </c>
      <c r="K42" s="1353" t="s">
        <v>1149</v>
      </c>
      <c r="L42" s="1410">
        <v>725</v>
      </c>
      <c r="M42" s="1303" t="s">
        <v>659</v>
      </c>
      <c r="N42" s="1354"/>
      <c r="O42" s="124"/>
    </row>
    <row r="43" spans="1:15" ht="26.25" thickBot="1">
      <c r="A43" s="125"/>
      <c r="B43" s="63" t="s">
        <v>1374</v>
      </c>
      <c r="C43" s="1411"/>
      <c r="D43" s="1412" t="s">
        <v>1547</v>
      </c>
      <c r="E43" t="s">
        <v>1536</v>
      </c>
      <c r="F43" s="1413" t="s">
        <v>1104</v>
      </c>
      <c r="G43" s="1414" t="s">
        <v>1084</v>
      </c>
      <c r="H43" s="1414" t="s">
        <v>972</v>
      </c>
      <c r="I43" s="1415" t="s">
        <v>1147</v>
      </c>
      <c r="J43" s="1416" t="s">
        <v>1148</v>
      </c>
      <c r="K43" s="1417" t="s">
        <v>1149</v>
      </c>
      <c r="L43" s="1418">
        <v>1050</v>
      </c>
      <c r="M43" s="1419" t="s">
        <v>659</v>
      </c>
      <c r="N43" s="1420"/>
    </row>
    <row r="44" spans="1:15">
      <c r="A44" s="125"/>
      <c r="B44" s="63"/>
      <c r="C44" s="58"/>
      <c r="D44" s="139"/>
      <c r="E44" s="19"/>
      <c r="F44" s="58"/>
      <c r="G44" s="59"/>
      <c r="H44" s="60"/>
      <c r="I44" s="60"/>
      <c r="J44" s="60"/>
      <c r="K44" s="58"/>
      <c r="L44" s="64"/>
      <c r="M44" s="58"/>
      <c r="N44" s="62"/>
    </row>
    <row r="45" spans="1:15">
      <c r="A45" s="125"/>
      <c r="B45" s="63"/>
      <c r="C45" s="58"/>
      <c r="D45" s="81"/>
      <c r="E45" s="19"/>
      <c r="F45" s="81"/>
      <c r="G45" s="58"/>
      <c r="H45" s="59"/>
      <c r="I45" s="60"/>
      <c r="J45" s="60"/>
      <c r="K45" s="60"/>
      <c r="L45" s="100"/>
      <c r="M45" s="61"/>
      <c r="N45" s="58"/>
      <c r="O45" s="62"/>
    </row>
    <row r="46" spans="1:15">
      <c r="A46" s="125"/>
      <c r="B46" s="63"/>
      <c r="C46" s="58"/>
      <c r="D46" s="78"/>
      <c r="E46" s="81"/>
      <c r="F46" s="81"/>
      <c r="G46" s="58"/>
      <c r="H46" s="59"/>
      <c r="I46" s="60"/>
      <c r="J46" s="60"/>
      <c r="K46" s="60"/>
      <c r="L46" s="100"/>
      <c r="M46" s="61"/>
      <c r="N46" s="58"/>
      <c r="O46" s="62"/>
    </row>
    <row r="47" spans="1:15" ht="15.75">
      <c r="A47" s="125"/>
      <c r="B47" s="63"/>
      <c r="C47" s="58"/>
      <c r="D47" s="78"/>
      <c r="E47" s="81"/>
      <c r="F47" s="81"/>
      <c r="G47" s="58"/>
      <c r="H47" s="59"/>
      <c r="I47" s="60"/>
      <c r="J47" s="60"/>
      <c r="K47" s="60"/>
      <c r="L47" s="2561">
        <f>SUM(L7:L46)</f>
        <v>1004500</v>
      </c>
      <c r="M47" s="61"/>
      <c r="N47" s="58"/>
      <c r="O47" s="62"/>
    </row>
    <row r="48" spans="1:15">
      <c r="C48" s="58"/>
      <c r="D48" s="90"/>
      <c r="E48" s="94"/>
      <c r="F48" s="90"/>
      <c r="G48" s="90"/>
      <c r="H48" s="91"/>
      <c r="I48" s="91"/>
      <c r="J48" s="91"/>
      <c r="K48" s="91"/>
      <c r="L48" s="101"/>
      <c r="M48" s="93"/>
      <c r="N48" s="91"/>
      <c r="O48" s="124"/>
    </row>
    <row r="49" spans="1:15">
      <c r="A49" s="58"/>
      <c r="B49" s="63"/>
      <c r="C49" s="86"/>
      <c r="D49" s="87"/>
      <c r="E49" s="95"/>
      <c r="F49" s="87"/>
      <c r="G49" s="88"/>
      <c r="H49" s="89"/>
      <c r="I49" s="89"/>
      <c r="J49" s="89"/>
      <c r="K49" s="87"/>
      <c r="L49" s="98"/>
      <c r="M49" s="87"/>
      <c r="O49" s="77"/>
    </row>
    <row r="50" spans="1:15">
      <c r="A50" s="58"/>
      <c r="B50" s="63"/>
      <c r="C50" s="58"/>
      <c r="D50" s="96"/>
      <c r="E50" s="19"/>
      <c r="F50" s="109"/>
      <c r="G50" s="59"/>
      <c r="H50" s="60"/>
      <c r="I50" s="60"/>
      <c r="J50" s="60"/>
      <c r="K50" s="58"/>
      <c r="L50" s="64"/>
      <c r="M50" s="58"/>
      <c r="O50" s="62"/>
    </row>
    <row r="51" spans="1:15">
      <c r="A51" s="58"/>
      <c r="B51" s="63"/>
      <c r="C51" s="58"/>
      <c r="D51" s="79"/>
      <c r="E51" s="19"/>
      <c r="F51" s="109"/>
      <c r="G51" s="59"/>
      <c r="H51" s="60"/>
      <c r="I51" s="60"/>
      <c r="J51" s="60"/>
      <c r="K51" s="58"/>
      <c r="L51" s="64"/>
      <c r="M51" s="58"/>
      <c r="O51" s="62"/>
    </row>
    <row r="52" spans="1:15">
      <c r="A52" s="58"/>
      <c r="B52" s="63"/>
      <c r="C52" s="58"/>
      <c r="D52" s="79"/>
      <c r="E52" s="19"/>
      <c r="F52" s="80"/>
      <c r="G52" s="58"/>
      <c r="H52" s="59"/>
      <c r="I52" s="60"/>
      <c r="J52" s="60"/>
      <c r="K52" s="60"/>
      <c r="L52" s="100"/>
      <c r="M52" s="61"/>
      <c r="N52" s="58"/>
      <c r="O52" s="62"/>
    </row>
    <row r="53" spans="1:15">
      <c r="A53" s="58"/>
      <c r="B53" s="63"/>
      <c r="C53" s="58"/>
      <c r="D53" s="78"/>
      <c r="E53" s="79"/>
      <c r="F53" s="81"/>
      <c r="G53" s="58"/>
      <c r="H53" s="59"/>
      <c r="I53" s="60"/>
      <c r="J53" s="60"/>
      <c r="K53" s="60"/>
      <c r="L53" s="100"/>
      <c r="M53" s="61"/>
      <c r="N53" s="58"/>
      <c r="O53" s="62"/>
    </row>
    <row r="54" spans="1:15">
      <c r="D54" s="90"/>
      <c r="E54" s="94"/>
      <c r="F54" s="90"/>
      <c r="G54" s="90"/>
      <c r="H54" s="91"/>
      <c r="I54" s="91"/>
      <c r="J54" s="91"/>
      <c r="K54" s="91"/>
      <c r="L54" s="101"/>
      <c r="M54" s="93"/>
      <c r="N54" s="91"/>
      <c r="O54" s="91"/>
    </row>
    <row r="55" spans="1:15">
      <c r="C55" s="58"/>
      <c r="D55" s="90"/>
      <c r="E55" s="94"/>
      <c r="F55" s="90"/>
      <c r="G55" s="90"/>
      <c r="H55" s="91"/>
      <c r="I55" s="91"/>
      <c r="J55" s="91"/>
      <c r="K55" s="91"/>
      <c r="L55" s="101"/>
      <c r="M55" s="93"/>
      <c r="N55" s="91"/>
      <c r="O55" s="124"/>
    </row>
    <row r="56" spans="1:15">
      <c r="C56" s="58"/>
      <c r="D56" s="90"/>
      <c r="E56" s="94"/>
      <c r="F56" s="90"/>
      <c r="G56" s="90"/>
      <c r="H56" s="91"/>
      <c r="I56" s="91"/>
      <c r="J56" s="91"/>
      <c r="K56" s="91"/>
      <c r="L56" s="101"/>
      <c r="M56" s="93"/>
      <c r="N56" s="91"/>
      <c r="O56" s="124"/>
    </row>
    <row r="57" spans="1:15">
      <c r="C57" s="58"/>
      <c r="D57" s="90"/>
      <c r="E57" s="94"/>
      <c r="F57" s="90"/>
      <c r="G57" s="90"/>
      <c r="H57" s="91"/>
      <c r="I57" s="91"/>
      <c r="J57" s="91"/>
      <c r="K57" s="91"/>
      <c r="L57" s="101"/>
      <c r="M57" s="93"/>
      <c r="N57" s="91"/>
      <c r="O57" s="124"/>
    </row>
    <row r="58" spans="1:15">
      <c r="C58" s="58"/>
      <c r="D58" s="90"/>
      <c r="E58" s="94"/>
      <c r="F58" s="90"/>
      <c r="G58" s="90"/>
      <c r="H58" s="91"/>
      <c r="I58" s="91"/>
      <c r="J58" s="91"/>
      <c r="K58" s="91"/>
      <c r="L58" s="101"/>
      <c r="M58" s="93"/>
      <c r="N58" s="91"/>
      <c r="O58" s="124"/>
    </row>
    <row r="59" spans="1:15">
      <c r="C59" s="58"/>
      <c r="D59" s="90"/>
      <c r="E59" s="94"/>
      <c r="F59" s="90"/>
      <c r="G59" s="90"/>
      <c r="H59" s="91"/>
      <c r="I59" s="91"/>
      <c r="J59" s="91"/>
      <c r="K59" s="91"/>
      <c r="L59" s="101"/>
      <c r="M59" s="93"/>
      <c r="N59" s="91"/>
      <c r="O59" s="124"/>
    </row>
    <row r="60" spans="1:15">
      <c r="C60" s="58"/>
      <c r="D60" s="90"/>
      <c r="E60" s="94"/>
      <c r="F60" s="90"/>
      <c r="G60" s="90"/>
      <c r="H60" s="91"/>
      <c r="I60" s="91"/>
      <c r="J60" s="91"/>
      <c r="K60" s="91"/>
      <c r="L60" s="101"/>
      <c r="M60" s="93"/>
      <c r="N60" s="91"/>
      <c r="O60" s="124"/>
    </row>
    <row r="61" spans="1:15">
      <c r="C61" s="58"/>
      <c r="D61" s="90"/>
      <c r="E61" s="94"/>
      <c r="F61" s="90"/>
      <c r="G61" s="90"/>
      <c r="H61" s="91"/>
      <c r="I61" s="91"/>
      <c r="J61" s="91"/>
      <c r="K61" s="91"/>
      <c r="L61" s="216">
        <f>SUM(L6:L60)</f>
        <v>2009000</v>
      </c>
      <c r="M61" s="93"/>
      <c r="N61" s="91"/>
      <c r="O61" s="124"/>
    </row>
    <row r="62" spans="1:15">
      <c r="C62" s="58"/>
      <c r="D62" s="90"/>
      <c r="E62" s="94"/>
      <c r="F62" s="90"/>
      <c r="G62" s="90"/>
      <c r="H62" s="91"/>
      <c r="I62" s="91"/>
      <c r="J62" s="91"/>
      <c r="K62" s="91"/>
      <c r="L62" s="101"/>
      <c r="M62" s="93"/>
      <c r="N62" s="91"/>
      <c r="O62" s="124"/>
    </row>
    <row r="63" spans="1:15">
      <c r="C63" s="58"/>
      <c r="D63" s="90"/>
      <c r="E63" s="94"/>
      <c r="F63" s="90"/>
      <c r="G63" s="90"/>
      <c r="H63" s="91"/>
      <c r="I63" s="91"/>
      <c r="J63" s="91"/>
      <c r="K63" s="91"/>
      <c r="L63" s="101"/>
      <c r="M63" s="93"/>
      <c r="N63" s="91"/>
      <c r="O63" s="124"/>
    </row>
    <row r="64" spans="1:15">
      <c r="C64" s="8"/>
      <c r="D64" s="8"/>
      <c r="E64" s="7"/>
      <c r="F64" s="6"/>
      <c r="G64" s="6"/>
      <c r="H64" s="5"/>
      <c r="I64" s="5"/>
      <c r="J64" s="5"/>
      <c r="K64" s="6"/>
      <c r="L64" s="178"/>
      <c r="M64" s="6"/>
      <c r="N64" s="2"/>
    </row>
    <row r="65" spans="3:14">
      <c r="C65" s="8"/>
      <c r="D65" s="8"/>
      <c r="E65" s="7"/>
      <c r="F65" s="6"/>
      <c r="G65" s="6"/>
      <c r="H65" s="5"/>
      <c r="I65" s="5"/>
      <c r="J65" s="5"/>
      <c r="K65" s="6"/>
      <c r="L65" s="178"/>
      <c r="M65" s="6"/>
      <c r="N65" s="2"/>
    </row>
    <row r="66" spans="3:14">
      <c r="C66" s="8"/>
      <c r="D66" s="8"/>
      <c r="E66" s="7"/>
      <c r="F66" s="6"/>
      <c r="G66" s="6"/>
      <c r="H66" s="5"/>
      <c r="I66" s="5"/>
      <c r="J66" s="5"/>
      <c r="K66" s="6"/>
      <c r="L66" s="178"/>
      <c r="M66" s="6"/>
      <c r="N66" s="2"/>
    </row>
    <row r="67" spans="3:14">
      <c r="C67" s="8"/>
      <c r="D67" s="8"/>
      <c r="E67" s="7"/>
      <c r="F67" s="6"/>
      <c r="G67" s="6"/>
      <c r="H67" s="5"/>
      <c r="I67" s="5"/>
      <c r="J67" s="5"/>
      <c r="K67" s="6"/>
      <c r="L67" s="178"/>
      <c r="M67" s="6"/>
      <c r="N67" s="2"/>
    </row>
    <row r="68" spans="3:14">
      <c r="C68" s="8"/>
      <c r="D68" s="8"/>
      <c r="E68" s="7"/>
      <c r="F68" s="6"/>
      <c r="G68" s="6"/>
      <c r="H68" s="5"/>
      <c r="I68" s="5"/>
      <c r="J68" s="5"/>
      <c r="K68" s="6"/>
      <c r="L68" s="178"/>
      <c r="M68" s="6"/>
      <c r="N68" s="2"/>
    </row>
    <row r="69" spans="3:14">
      <c r="C69" s="8"/>
      <c r="D69" s="8"/>
      <c r="E69" s="7"/>
      <c r="F69" s="6"/>
      <c r="G69" s="6"/>
      <c r="H69" s="5"/>
      <c r="I69" s="5"/>
      <c r="J69" s="5"/>
      <c r="K69" s="6"/>
      <c r="L69" s="178"/>
      <c r="M69" s="6"/>
      <c r="N69" s="2"/>
    </row>
    <row r="70" spans="3:14">
      <c r="C70" s="8"/>
      <c r="D70" s="8"/>
      <c r="E70" s="7"/>
      <c r="F70" s="6"/>
      <c r="G70" s="6"/>
      <c r="H70" s="5"/>
      <c r="I70" s="5"/>
      <c r="J70" s="5"/>
      <c r="K70" s="6"/>
      <c r="L70" s="178"/>
      <c r="M70" s="6"/>
      <c r="N70" s="2"/>
    </row>
    <row r="71" spans="3:14">
      <c r="C71" s="8"/>
      <c r="D71" s="8"/>
      <c r="E71" s="7"/>
      <c r="F71" s="6"/>
      <c r="G71" s="6"/>
      <c r="H71" s="5"/>
      <c r="I71" s="5"/>
      <c r="J71" s="5"/>
      <c r="K71" s="6"/>
      <c r="L71" s="108"/>
      <c r="M71" s="6"/>
      <c r="N71" s="2"/>
    </row>
    <row r="72" spans="3:14">
      <c r="C72" s="8"/>
      <c r="D72" s="8"/>
      <c r="E72" s="7"/>
      <c r="F72" s="6"/>
      <c r="G72" s="6"/>
      <c r="H72" s="5"/>
      <c r="I72" s="5"/>
      <c r="J72" s="5"/>
      <c r="K72" s="6"/>
      <c r="L72" s="178"/>
      <c r="M72" s="6"/>
      <c r="N72" s="2"/>
    </row>
    <row r="73" spans="3:14">
      <c r="C73" s="8"/>
      <c r="D73" s="8"/>
      <c r="E73" s="7"/>
      <c r="F73" s="6"/>
      <c r="G73" s="6"/>
      <c r="H73" s="5"/>
      <c r="I73" s="5"/>
      <c r="J73" s="5"/>
      <c r="K73" s="6"/>
      <c r="L73" s="178"/>
      <c r="M73" s="6"/>
      <c r="N73" s="2"/>
    </row>
    <row r="74" spans="3:14">
      <c r="C74" s="8"/>
      <c r="D74" s="8"/>
      <c r="E74" s="7"/>
      <c r="F74" s="6"/>
      <c r="G74" s="6"/>
      <c r="H74" s="5"/>
      <c r="I74" s="5"/>
      <c r="J74" s="5"/>
      <c r="K74" s="6"/>
      <c r="L74" s="178"/>
      <c r="M74" s="6"/>
      <c r="N74" s="2"/>
    </row>
    <row r="75" spans="3:14">
      <c r="C75" s="8"/>
      <c r="D75" s="8"/>
      <c r="E75" s="7"/>
      <c r="F75" s="6"/>
      <c r="G75" s="6"/>
      <c r="H75" s="5"/>
      <c r="I75" s="5"/>
      <c r="J75" s="5"/>
      <c r="K75" s="6"/>
      <c r="L75" s="178"/>
      <c r="M75" s="6"/>
      <c r="N75" s="2"/>
    </row>
    <row r="76" spans="3:14">
      <c r="C76" s="8"/>
      <c r="D76" s="8"/>
      <c r="E76" s="7"/>
      <c r="F76" s="6"/>
      <c r="G76" s="6"/>
      <c r="H76" s="5"/>
      <c r="I76" s="5"/>
      <c r="J76" s="5"/>
      <c r="K76" s="6"/>
      <c r="L76" s="178"/>
      <c r="M76" s="6"/>
      <c r="N76" s="2"/>
    </row>
    <row r="77" spans="3:14" ht="14.25" customHeight="1">
      <c r="C77" s="8"/>
      <c r="D77" s="8"/>
      <c r="E77" s="7"/>
      <c r="F77" s="6"/>
      <c r="G77" s="6"/>
      <c r="H77" s="5"/>
      <c r="I77" s="5"/>
      <c r="J77" s="5"/>
      <c r="K77" s="6"/>
      <c r="L77" s="178"/>
      <c r="M77" s="6"/>
      <c r="N77" s="2"/>
    </row>
    <row r="78" spans="3:14" ht="14.25" customHeight="1">
      <c r="C78" s="8"/>
      <c r="D78" s="8"/>
      <c r="E78" s="7"/>
      <c r="F78" s="6"/>
      <c r="G78" s="6"/>
      <c r="H78" s="5"/>
      <c r="I78" s="5"/>
      <c r="J78" s="5"/>
      <c r="K78" s="6"/>
      <c r="L78" s="178"/>
      <c r="M78" s="6"/>
      <c r="N78" s="2"/>
    </row>
    <row r="79" spans="3:14" ht="14.25" customHeight="1">
      <c r="C79" s="8"/>
      <c r="D79" s="8"/>
      <c r="E79" s="7"/>
      <c r="F79" s="6"/>
      <c r="G79" s="6"/>
      <c r="H79" s="5"/>
      <c r="I79" s="5"/>
      <c r="J79" s="5"/>
      <c r="K79" s="6"/>
      <c r="L79" s="178"/>
      <c r="M79" s="6"/>
      <c r="N79" s="2"/>
    </row>
    <row r="80" spans="3:14" ht="14.25" customHeight="1">
      <c r="C80" s="8"/>
      <c r="D80" s="8"/>
      <c r="E80" s="7"/>
      <c r="F80" s="6"/>
      <c r="G80" s="6"/>
      <c r="H80" s="5"/>
      <c r="I80" s="5"/>
      <c r="J80" s="5"/>
      <c r="K80" s="6"/>
      <c r="L80" s="178"/>
      <c r="M80" s="6"/>
      <c r="N80" s="2"/>
    </row>
    <row r="81" spans="3:14" ht="14.25" customHeight="1">
      <c r="C81" s="8"/>
      <c r="D81" s="8"/>
      <c r="E81" s="7"/>
      <c r="F81" s="6"/>
      <c r="G81" s="6"/>
      <c r="H81" s="5"/>
      <c r="I81" s="5"/>
      <c r="J81" s="5"/>
      <c r="K81" s="6"/>
      <c r="L81" s="178"/>
      <c r="M81" s="6"/>
      <c r="N81" s="2"/>
    </row>
    <row r="82" spans="3:14" ht="14.25" customHeight="1">
      <c r="C82" s="8"/>
      <c r="D82" s="8"/>
      <c r="E82" s="7"/>
      <c r="F82" s="6"/>
      <c r="G82" s="6"/>
      <c r="H82" s="5"/>
      <c r="I82" s="5"/>
      <c r="J82" s="5"/>
      <c r="K82" s="6"/>
      <c r="L82" s="178"/>
      <c r="M82" s="6"/>
      <c r="N82" s="2"/>
    </row>
    <row r="83" spans="3:14" ht="14.25" customHeight="1">
      <c r="C83" s="8"/>
      <c r="D83" s="8"/>
      <c r="E83" s="7"/>
      <c r="F83" s="6"/>
      <c r="G83" s="6"/>
      <c r="H83" s="5"/>
      <c r="I83" s="5"/>
      <c r="J83" s="5"/>
      <c r="K83" s="6"/>
      <c r="L83" s="178"/>
      <c r="M83" s="6"/>
      <c r="N83" s="2"/>
    </row>
    <row r="84" spans="3:14" ht="14.25" customHeight="1">
      <c r="C84" s="8"/>
      <c r="D84" s="8"/>
      <c r="E84" s="7"/>
      <c r="F84" s="6"/>
      <c r="G84" s="6"/>
      <c r="H84" s="5"/>
      <c r="I84" s="5"/>
      <c r="J84" s="5"/>
      <c r="K84" s="6"/>
      <c r="L84" s="178"/>
      <c r="M84" s="6"/>
      <c r="N84" s="2"/>
    </row>
    <row r="85" spans="3:14" ht="14.25" customHeight="1">
      <c r="C85" s="8"/>
      <c r="D85" s="8"/>
      <c r="E85" s="7"/>
      <c r="F85" s="6"/>
      <c r="G85" s="6"/>
      <c r="H85" s="5"/>
      <c r="I85" s="5"/>
      <c r="J85" s="5"/>
      <c r="K85" s="6"/>
      <c r="L85" s="178"/>
      <c r="M85" s="6"/>
      <c r="N85" s="2"/>
    </row>
    <row r="86" spans="3:14" ht="14.25" customHeight="1">
      <c r="C86" s="8"/>
      <c r="D86" s="8"/>
      <c r="E86" s="7"/>
      <c r="F86" s="6"/>
      <c r="G86" s="6"/>
      <c r="H86" s="5"/>
      <c r="I86" s="5"/>
      <c r="J86" s="5"/>
      <c r="K86" s="6"/>
      <c r="L86" s="178"/>
      <c r="M86" s="6"/>
      <c r="N86" s="2"/>
    </row>
    <row r="87" spans="3:14" ht="14.25" customHeight="1">
      <c r="C87" s="8"/>
      <c r="D87" s="8"/>
      <c r="E87" s="7"/>
      <c r="F87" s="6"/>
      <c r="G87" s="6"/>
      <c r="H87" s="5"/>
      <c r="I87" s="5"/>
      <c r="J87" s="5"/>
      <c r="K87" s="6"/>
      <c r="L87" s="178"/>
      <c r="M87" s="6"/>
      <c r="N87" s="2"/>
    </row>
    <row r="88" spans="3:14" ht="14.25" customHeight="1">
      <c r="C88" s="8"/>
      <c r="D88" s="8"/>
      <c r="E88" s="7"/>
      <c r="F88" s="6"/>
      <c r="G88" s="6"/>
      <c r="H88" s="5"/>
      <c r="I88" s="5"/>
      <c r="J88" s="5"/>
      <c r="K88" s="6"/>
      <c r="L88" s="178"/>
      <c r="M88" s="6"/>
      <c r="N88" s="2"/>
    </row>
    <row r="89" spans="3:14" ht="14.25" customHeight="1">
      <c r="C89" s="8"/>
      <c r="D89" s="8"/>
      <c r="E89" s="7"/>
      <c r="F89" s="6"/>
      <c r="G89" s="6"/>
      <c r="H89" s="5"/>
      <c r="I89" s="5"/>
      <c r="J89" s="5"/>
      <c r="K89" s="6"/>
      <c r="L89" s="178"/>
      <c r="M89" s="6"/>
      <c r="N89" s="2"/>
    </row>
    <row r="90" spans="3:14" ht="14.25" customHeight="1">
      <c r="C90" s="8"/>
      <c r="D90" s="8"/>
      <c r="E90" s="7"/>
      <c r="F90" s="6"/>
      <c r="G90" s="6"/>
      <c r="H90" s="5"/>
      <c r="I90" s="5"/>
      <c r="J90" s="5"/>
      <c r="K90" s="6"/>
      <c r="L90" s="178"/>
      <c r="M90" s="6"/>
      <c r="N90" s="2"/>
    </row>
    <row r="91" spans="3:14" ht="14.25" customHeight="1">
      <c r="C91" s="8"/>
      <c r="D91" s="8"/>
      <c r="E91" s="7"/>
      <c r="F91" s="6"/>
      <c r="G91" s="6"/>
      <c r="H91" s="5"/>
      <c r="I91" s="5"/>
      <c r="J91" s="5"/>
      <c r="K91" s="6"/>
      <c r="L91" s="178"/>
      <c r="M91" s="6"/>
      <c r="N91" s="2"/>
    </row>
    <row r="92" spans="3:14" ht="14.25" customHeight="1">
      <c r="C92" s="8"/>
      <c r="D92" s="8"/>
      <c r="E92" s="7"/>
      <c r="F92" s="6"/>
      <c r="G92" s="6"/>
      <c r="H92" s="5"/>
      <c r="I92" s="5"/>
      <c r="J92" s="5"/>
      <c r="K92" s="6"/>
      <c r="L92" s="178"/>
      <c r="M92" s="3"/>
      <c r="N92" s="2"/>
    </row>
    <row r="93" spans="3:14" ht="14.25" customHeight="1">
      <c r="C93" s="8"/>
      <c r="D93" s="8"/>
      <c r="E93" s="7"/>
      <c r="F93" s="6"/>
      <c r="G93" s="5"/>
      <c r="H93" s="5"/>
      <c r="I93" s="5"/>
      <c r="J93" s="5"/>
      <c r="K93" s="4"/>
      <c r="L93" s="178"/>
      <c r="M93" s="3"/>
      <c r="N93" s="2"/>
    </row>
    <row r="94" spans="3:14" ht="14.25" customHeight="1">
      <c r="C94" s="19"/>
      <c r="D94" s="19"/>
      <c r="E94" s="19"/>
      <c r="F94" s="19"/>
      <c r="G94" s="19"/>
      <c r="H94" s="19"/>
      <c r="I94" s="19"/>
      <c r="J94" s="19"/>
      <c r="K94" s="19"/>
      <c r="L94" s="146"/>
      <c r="M94" s="19"/>
      <c r="N94" s="19"/>
    </row>
    <row r="95" spans="3:14" ht="14.25" customHeight="1">
      <c r="C95" s="31"/>
      <c r="D95" s="27"/>
      <c r="E95" s="20"/>
      <c r="F95" s="28"/>
      <c r="G95" s="28"/>
      <c r="H95" s="26"/>
      <c r="I95" s="26"/>
      <c r="J95" s="26"/>
      <c r="K95" s="28"/>
      <c r="L95" s="179"/>
      <c r="M95" s="28"/>
      <c r="N95" s="27"/>
    </row>
    <row r="96" spans="3:14" s="1" customFormat="1" ht="14.25" customHeight="1">
      <c r="C96" s="31"/>
      <c r="D96" s="27"/>
      <c r="E96" s="21"/>
      <c r="F96" s="28"/>
      <c r="G96" s="28"/>
      <c r="H96" s="26"/>
      <c r="I96" s="26"/>
      <c r="J96" s="26"/>
      <c r="K96" s="28"/>
      <c r="L96" s="179"/>
      <c r="M96" s="28"/>
      <c r="N96" s="27"/>
    </row>
    <row r="97" spans="3:14" s="1" customFormat="1" ht="14.25" customHeight="1">
      <c r="C97" s="30"/>
      <c r="D97" s="25"/>
      <c r="E97" s="21"/>
      <c r="F97" s="22"/>
      <c r="G97" s="22"/>
      <c r="H97" s="23"/>
      <c r="I97" s="23"/>
      <c r="J97" s="23"/>
      <c r="K97" s="22"/>
      <c r="L97" s="180"/>
      <c r="M97" s="22"/>
      <c r="N97" s="25"/>
    </row>
  </sheetData>
  <mergeCells count="5">
    <mergeCell ref="C2:G2"/>
    <mergeCell ref="H2:J2"/>
    <mergeCell ref="K2:L2"/>
    <mergeCell ref="M2:M3"/>
    <mergeCell ref="N2:N3"/>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0662B-3510-4C98-81F5-B903E2CB60DB}">
  <sheetPr>
    <tabColor rgb="FF92D050"/>
  </sheetPr>
  <dimension ref="A2:Q74"/>
  <sheetViews>
    <sheetView zoomScale="70" zoomScaleNormal="70" workbookViewId="0">
      <pane ySplit="4" topLeftCell="A14" activePane="bottomLeft" state="frozen"/>
      <selection pane="bottomLeft" activeCell="A26" sqref="A26"/>
    </sheetView>
  </sheetViews>
  <sheetFormatPr defaultRowHeight="15"/>
  <cols>
    <col min="2" max="2" width="13.42578125" bestFit="1" customWidth="1"/>
    <col min="3" max="3" width="21.42578125" customWidth="1"/>
    <col min="4" max="4" width="20.5703125" customWidth="1"/>
    <col min="5" max="5" width="26" customWidth="1"/>
    <col min="6" max="6" width="16.7109375" customWidth="1"/>
    <col min="7" max="7" width="11.7109375" customWidth="1"/>
    <col min="8" max="8" width="13.7109375" customWidth="1"/>
    <col min="9" max="9" width="15" customWidth="1"/>
    <col min="10" max="10" width="17.42578125" customWidth="1"/>
    <col min="11" max="11" width="18.5703125" customWidth="1"/>
    <col min="12" max="12" width="15.5703125" style="99" customWidth="1"/>
    <col min="13" max="13" width="16.28515625" customWidth="1"/>
    <col min="14" max="14" width="12.85546875" customWidth="1"/>
    <col min="17" max="17" width="73.7109375" bestFit="1" customWidth="1"/>
  </cols>
  <sheetData>
    <row r="2" spans="1:17">
      <c r="C2" s="2627" t="s">
        <v>30</v>
      </c>
      <c r="D2" s="2627"/>
      <c r="E2" s="2627"/>
      <c r="F2" s="2627"/>
      <c r="G2" s="2627"/>
      <c r="H2" s="2628" t="s">
        <v>29</v>
      </c>
      <c r="I2" s="2628"/>
      <c r="J2" s="2628"/>
      <c r="K2" s="2627" t="s">
        <v>28</v>
      </c>
      <c r="L2" s="2627"/>
      <c r="M2" s="2628" t="s">
        <v>27</v>
      </c>
      <c r="N2" s="2628" t="s">
        <v>26</v>
      </c>
    </row>
    <row r="3" spans="1:17" ht="72">
      <c r="C3" s="10" t="s">
        <v>25</v>
      </c>
      <c r="D3" s="13" t="s">
        <v>24</v>
      </c>
      <c r="E3" s="12" t="s">
        <v>23</v>
      </c>
      <c r="F3" s="10" t="s">
        <v>22</v>
      </c>
      <c r="G3" s="11" t="s">
        <v>21</v>
      </c>
      <c r="H3" s="11" t="s">
        <v>20</v>
      </c>
      <c r="I3" s="11" t="s">
        <v>19</v>
      </c>
      <c r="J3" s="11" t="s">
        <v>18</v>
      </c>
      <c r="K3" s="10" t="s">
        <v>17</v>
      </c>
      <c r="L3" s="159" t="s">
        <v>16</v>
      </c>
      <c r="M3" s="2628"/>
      <c r="N3" s="2628"/>
    </row>
    <row r="4" spans="1:17">
      <c r="C4" s="243" t="s">
        <v>15</v>
      </c>
      <c r="D4" s="243" t="s">
        <v>14</v>
      </c>
      <c r="E4" s="243" t="s">
        <v>13</v>
      </c>
      <c r="F4" s="243" t="s">
        <v>12</v>
      </c>
      <c r="G4" s="243" t="s">
        <v>11</v>
      </c>
      <c r="H4" s="243" t="s">
        <v>10</v>
      </c>
      <c r="I4" s="243" t="s">
        <v>9</v>
      </c>
      <c r="J4" s="243" t="s">
        <v>8</v>
      </c>
      <c r="K4" s="243" t="s">
        <v>7</v>
      </c>
      <c r="L4" s="244" t="s">
        <v>6</v>
      </c>
      <c r="M4" s="243" t="s">
        <v>5</v>
      </c>
      <c r="N4" s="243" t="s">
        <v>4</v>
      </c>
    </row>
    <row r="5" spans="1:17" s="355" customFormat="1" ht="40.5">
      <c r="A5" s="1063" t="s">
        <v>743</v>
      </c>
      <c r="B5" s="1041" t="s">
        <v>744</v>
      </c>
      <c r="C5" s="1009" t="s">
        <v>797</v>
      </c>
      <c r="D5" s="1008" t="s">
        <v>2</v>
      </c>
      <c r="E5" s="1144"/>
      <c r="F5" s="1145" t="s">
        <v>661</v>
      </c>
      <c r="G5" s="1003" t="s">
        <v>1</v>
      </c>
      <c r="H5" s="1004"/>
      <c r="I5" s="1004"/>
      <c r="J5" s="1004"/>
      <c r="K5" s="1002" t="s">
        <v>748</v>
      </c>
      <c r="L5" s="1005">
        <v>106000</v>
      </c>
      <c r="M5" s="1089"/>
      <c r="N5" s="1007"/>
      <c r="Q5" s="355" t="s">
        <v>751</v>
      </c>
    </row>
    <row r="6" spans="1:17" s="355" customFormat="1" ht="13.5">
      <c r="A6" s="438"/>
      <c r="B6" s="342"/>
      <c r="C6" s="1009"/>
      <c r="D6" s="1146" t="s">
        <v>798</v>
      </c>
      <c r="E6" s="1086">
        <v>1630</v>
      </c>
      <c r="F6" s="1086" t="s">
        <v>799</v>
      </c>
      <c r="G6" s="1147"/>
      <c r="H6" s="1081"/>
      <c r="I6" s="1147"/>
      <c r="J6" s="1147"/>
      <c r="K6" s="1147"/>
      <c r="L6" s="1147"/>
      <c r="M6" s="1148"/>
      <c r="N6" s="1147"/>
      <c r="O6" s="1147"/>
    </row>
    <row r="7" spans="1:17" s="355" customFormat="1" ht="13.5">
      <c r="A7" s="438"/>
      <c r="B7" s="342"/>
      <c r="C7" s="410"/>
      <c r="D7" s="410"/>
      <c r="E7" s="410"/>
      <c r="F7" s="1091"/>
      <c r="G7" s="618"/>
      <c r="H7" s="1092"/>
      <c r="I7" s="1092"/>
      <c r="J7" s="1092"/>
      <c r="K7" s="1091"/>
      <c r="L7" s="1093"/>
      <c r="M7" s="1094"/>
      <c r="N7" s="352"/>
      <c r="O7" s="1149"/>
    </row>
    <row r="8" spans="1:17" s="355" customFormat="1" ht="54">
      <c r="A8" s="438" t="s">
        <v>1137</v>
      </c>
      <c r="B8" s="342" t="s">
        <v>1087</v>
      </c>
      <c r="C8" s="866" t="s">
        <v>1305</v>
      </c>
      <c r="D8" s="1024" t="s">
        <v>2</v>
      </c>
      <c r="E8" s="1074"/>
      <c r="F8" s="308" t="s">
        <v>674</v>
      </c>
      <c r="G8" s="313" t="s">
        <v>1</v>
      </c>
      <c r="H8" s="1058" t="s">
        <v>675</v>
      </c>
      <c r="I8" s="1058" t="s">
        <v>599</v>
      </c>
      <c r="J8" s="1058" t="s">
        <v>599</v>
      </c>
      <c r="K8" s="308" t="s">
        <v>748</v>
      </c>
      <c r="L8" s="1075">
        <v>21750</v>
      </c>
      <c r="M8" s="1024" t="s">
        <v>659</v>
      </c>
      <c r="N8" s="352"/>
      <c r="O8" s="308" t="s">
        <v>703</v>
      </c>
    </row>
    <row r="9" spans="1:17" s="355" customFormat="1" ht="13.5">
      <c r="A9" s="438" t="s">
        <v>1137</v>
      </c>
      <c r="B9" s="342" t="s">
        <v>1087</v>
      </c>
      <c r="C9" s="313" t="s">
        <v>1133</v>
      </c>
      <c r="D9" s="1150" t="s">
        <v>1134</v>
      </c>
      <c r="E9" s="1151" t="s">
        <v>1138</v>
      </c>
      <c r="F9" s="609" t="s">
        <v>1135</v>
      </c>
      <c r="G9" s="306"/>
      <c r="H9" s="318"/>
      <c r="I9" s="319"/>
      <c r="J9" s="313"/>
      <c r="K9" s="320"/>
      <c r="L9" s="318"/>
      <c r="M9" s="1059"/>
      <c r="N9" s="322"/>
      <c r="O9" s="318"/>
    </row>
    <row r="10" spans="1:17" s="355" customFormat="1" ht="13.5">
      <c r="A10" s="438" t="s">
        <v>1137</v>
      </c>
      <c r="B10" s="342" t="s">
        <v>1087</v>
      </c>
      <c r="C10" s="532"/>
      <c r="D10" s="2566" t="s">
        <v>1136</v>
      </c>
      <c r="E10" s="1151" t="s">
        <v>1139</v>
      </c>
      <c r="F10" s="609" t="s">
        <v>1135</v>
      </c>
      <c r="G10" s="609"/>
      <c r="H10" s="1152"/>
      <c r="I10" s="531"/>
      <c r="J10" s="533"/>
      <c r="K10" s="533"/>
      <c r="L10" s="533"/>
      <c r="M10" s="533"/>
      <c r="N10" s="533"/>
      <c r="O10" s="533"/>
    </row>
    <row r="11" spans="1:17" s="355" customFormat="1" ht="13.5">
      <c r="A11" s="871"/>
      <c r="B11" s="342"/>
      <c r="C11" s="352"/>
      <c r="D11" s="434"/>
      <c r="E11" s="592"/>
      <c r="F11" s="592"/>
      <c r="G11" s="437"/>
      <c r="H11" s="441"/>
      <c r="I11" s="442"/>
      <c r="J11" s="442"/>
      <c r="K11" s="439"/>
      <c r="L11" s="519"/>
      <c r="M11" s="443"/>
      <c r="N11" s="440"/>
      <c r="O11" s="438"/>
    </row>
    <row r="12" spans="1:17" s="355" customFormat="1" ht="13.5">
      <c r="A12" s="871"/>
      <c r="B12" s="342"/>
      <c r="C12" s="350"/>
      <c r="D12" s="350"/>
      <c r="E12" s="350"/>
      <c r="F12" s="350"/>
      <c r="G12" s="350"/>
      <c r="H12" s="352"/>
      <c r="I12" s="352"/>
      <c r="J12" s="352"/>
      <c r="K12" s="352"/>
      <c r="L12" s="409"/>
      <c r="M12" s="770"/>
      <c r="N12" s="352"/>
      <c r="O12" s="352"/>
    </row>
    <row r="13" spans="1:17" s="355" customFormat="1" ht="13.5">
      <c r="A13" s="871" t="s">
        <v>1150</v>
      </c>
      <c r="B13" s="342" t="s">
        <v>1087</v>
      </c>
      <c r="C13" s="610" t="s">
        <v>2</v>
      </c>
      <c r="D13" s="740" t="s">
        <v>1088</v>
      </c>
      <c r="E13" s="610"/>
      <c r="F13" s="611"/>
      <c r="G13" s="611"/>
      <c r="H13" s="612"/>
      <c r="I13" s="613"/>
      <c r="J13" s="610"/>
      <c r="K13" s="613"/>
      <c r="L13" s="610"/>
      <c r="M13" s="610"/>
      <c r="N13" s="352"/>
      <c r="O13" s="352"/>
    </row>
    <row r="14" spans="1:17" s="355" customFormat="1" ht="40.5">
      <c r="A14" s="871" t="s">
        <v>1150</v>
      </c>
      <c r="B14" s="342" t="s">
        <v>1087</v>
      </c>
      <c r="C14" s="531"/>
      <c r="D14" s="734" t="s">
        <v>1146</v>
      </c>
      <c r="E14" s="352"/>
      <c r="F14" s="610" t="s">
        <v>1104</v>
      </c>
      <c r="G14" s="611" t="s">
        <v>1084</v>
      </c>
      <c r="H14" s="611" t="s">
        <v>972</v>
      </c>
      <c r="I14" s="612" t="s">
        <v>1147</v>
      </c>
      <c r="J14" s="613" t="s">
        <v>1148</v>
      </c>
      <c r="K14" s="610" t="s">
        <v>1149</v>
      </c>
      <c r="L14" s="2567">
        <v>22500</v>
      </c>
      <c r="M14" s="610" t="s">
        <v>659</v>
      </c>
      <c r="N14" s="610"/>
      <c r="O14" s="352"/>
    </row>
    <row r="15" spans="1:17" s="355" customFormat="1" ht="13.5">
      <c r="A15" s="871"/>
      <c r="B15" s="342"/>
      <c r="C15" s="352"/>
      <c r="D15" s="352"/>
      <c r="E15" s="574"/>
      <c r="F15" s="450"/>
      <c r="G15" s="450"/>
      <c r="H15" s="485"/>
      <c r="I15" s="485"/>
      <c r="J15" s="352"/>
      <c r="K15" s="1136"/>
      <c r="L15" s="409"/>
      <c r="M15" s="450"/>
      <c r="N15" s="352"/>
      <c r="O15" s="352"/>
    </row>
    <row r="16" spans="1:17" s="355" customFormat="1" ht="13.5">
      <c r="A16" s="871"/>
      <c r="B16" s="342"/>
      <c r="C16" s="352"/>
      <c r="D16" s="352"/>
      <c r="E16" s="574"/>
      <c r="F16" s="450"/>
      <c r="G16" s="450"/>
      <c r="H16" s="352"/>
      <c r="I16" s="352"/>
      <c r="J16" s="352"/>
      <c r="K16" s="352"/>
      <c r="L16" s="409"/>
      <c r="M16" s="352"/>
      <c r="N16" s="352"/>
      <c r="O16" s="352"/>
    </row>
    <row r="17" spans="1:15" ht="14.25" customHeight="1">
      <c r="A17" s="125"/>
      <c r="B17" s="77" t="s">
        <v>1319</v>
      </c>
      <c r="C17" s="1300" t="s">
        <v>2</v>
      </c>
      <c r="D17" s="1316" t="s">
        <v>1088</v>
      </c>
      <c r="E17" s="1316"/>
      <c r="F17" s="1316"/>
      <c r="G17" s="1316"/>
      <c r="H17" s="1318"/>
      <c r="I17" s="1318"/>
      <c r="J17" s="1318"/>
      <c r="K17" s="1330"/>
      <c r="L17" s="1303"/>
      <c r="M17" s="1300"/>
      <c r="N17" s="129"/>
      <c r="O17" s="19"/>
    </row>
    <row r="18" spans="1:15" ht="14.25" customHeight="1">
      <c r="A18" s="125"/>
      <c r="B18" s="77" t="s">
        <v>1319</v>
      </c>
      <c r="C18" s="1314"/>
      <c r="D18" s="1331" t="s">
        <v>1146</v>
      </c>
      <c r="E18" s="19"/>
      <c r="F18" s="1293" t="s">
        <v>422</v>
      </c>
      <c r="G18" s="1294" t="s">
        <v>1084</v>
      </c>
      <c r="H18" s="1294">
        <v>46205</v>
      </c>
      <c r="I18" s="1295">
        <v>46376</v>
      </c>
      <c r="J18" s="1296" t="s">
        <v>1090</v>
      </c>
      <c r="K18" s="1303" t="s">
        <v>98</v>
      </c>
      <c r="L18" s="2572">
        <v>57500</v>
      </c>
      <c r="M18" s="1303" t="s">
        <v>99</v>
      </c>
      <c r="N18" s="125"/>
      <c r="O18" s="129"/>
    </row>
    <row r="19" spans="1:15" ht="14.25" customHeight="1">
      <c r="A19" s="125"/>
      <c r="B19" s="77"/>
      <c r="C19" s="1314"/>
      <c r="D19" s="1331"/>
      <c r="E19" s="19"/>
      <c r="F19" s="1293"/>
      <c r="G19" s="1294"/>
      <c r="H19" s="1294"/>
      <c r="I19" s="1295"/>
      <c r="J19" s="1296"/>
      <c r="K19" s="1303"/>
      <c r="L19" s="2572"/>
      <c r="M19" s="1303"/>
      <c r="N19" s="125"/>
      <c r="O19" s="129"/>
    </row>
    <row r="20" spans="1:15" ht="27" customHeight="1">
      <c r="A20" s="125"/>
      <c r="B20" s="77" t="s">
        <v>1328</v>
      </c>
      <c r="C20" s="1311"/>
      <c r="D20" s="1300" t="s">
        <v>2</v>
      </c>
      <c r="E20" s="1316" t="s">
        <v>1088</v>
      </c>
      <c r="F20" s="1293"/>
      <c r="G20" s="1294"/>
      <c r="H20" s="1294"/>
      <c r="I20" s="1295"/>
      <c r="J20" s="1296"/>
      <c r="K20" s="1353"/>
      <c r="L20" s="1335"/>
      <c r="M20" s="1303"/>
      <c r="N20" s="1300"/>
      <c r="O20" s="77"/>
    </row>
    <row r="21" spans="1:15" ht="25.5" customHeight="1">
      <c r="A21" s="125"/>
      <c r="B21" s="77" t="s">
        <v>1328</v>
      </c>
      <c r="C21" s="1311"/>
      <c r="D21" s="1314"/>
      <c r="E21" s="1331" t="s">
        <v>1146</v>
      </c>
      <c r="F21" s="1352" t="s">
        <v>1104</v>
      </c>
      <c r="G21" s="1294" t="s">
        <v>1084</v>
      </c>
      <c r="H21" s="1294" t="s">
        <v>972</v>
      </c>
      <c r="I21" s="1295" t="s">
        <v>1147</v>
      </c>
      <c r="J21" s="1296" t="s">
        <v>1148</v>
      </c>
      <c r="K21" s="1353" t="s">
        <v>1149</v>
      </c>
      <c r="L21" s="2572">
        <v>22500</v>
      </c>
      <c r="M21" s="1303" t="s">
        <v>659</v>
      </c>
      <c r="N21" s="1300"/>
      <c r="O21" s="62"/>
    </row>
    <row r="22" spans="1:15" ht="14.25" customHeight="1">
      <c r="A22" s="125"/>
      <c r="B22" s="77"/>
      <c r="C22" s="58"/>
      <c r="D22" s="78"/>
      <c r="E22" s="81"/>
      <c r="F22" s="58"/>
      <c r="G22" s="59"/>
      <c r="H22" s="60"/>
      <c r="I22" s="60"/>
      <c r="J22" s="60"/>
      <c r="K22" s="58"/>
      <c r="L22" s="2573"/>
      <c r="M22" s="58"/>
      <c r="N22" s="19"/>
      <c r="O22" s="62"/>
    </row>
    <row r="23" spans="1:15" ht="14.25" customHeight="1">
      <c r="A23" s="125"/>
      <c r="B23" s="77"/>
      <c r="C23" s="58"/>
      <c r="D23" s="78"/>
      <c r="E23" s="81"/>
      <c r="F23" s="58"/>
      <c r="G23" s="59"/>
      <c r="H23" s="60"/>
      <c r="I23" s="60"/>
      <c r="J23" s="60"/>
      <c r="K23" s="58"/>
      <c r="L23" s="2574"/>
      <c r="M23" s="58"/>
      <c r="N23" s="19"/>
      <c r="O23" s="62"/>
    </row>
    <row r="24" spans="1:15" ht="14.25" customHeight="1">
      <c r="A24" s="125"/>
      <c r="B24" s="77" t="s">
        <v>1374</v>
      </c>
      <c r="C24" s="1311"/>
      <c r="D24" s="1300" t="s">
        <v>2</v>
      </c>
      <c r="E24" s="1316" t="s">
        <v>1088</v>
      </c>
      <c r="F24" s="1293"/>
      <c r="G24" s="1294"/>
      <c r="H24" s="1294"/>
      <c r="I24" s="1295"/>
      <c r="J24" s="1296"/>
      <c r="K24" s="1353"/>
      <c r="L24" s="1335"/>
      <c r="M24" s="1303"/>
      <c r="N24" s="1300"/>
      <c r="O24" s="62"/>
    </row>
    <row r="25" spans="1:15" ht="24" customHeight="1">
      <c r="A25" s="125"/>
      <c r="B25" s="77" t="s">
        <v>1374</v>
      </c>
      <c r="C25" s="1311"/>
      <c r="D25" s="1314"/>
      <c r="E25" s="1331" t="s">
        <v>1146</v>
      </c>
      <c r="F25" s="1352" t="s">
        <v>1104</v>
      </c>
      <c r="G25" s="1294" t="s">
        <v>1084</v>
      </c>
      <c r="H25" s="1294" t="s">
        <v>972</v>
      </c>
      <c r="I25" s="1295" t="s">
        <v>1147</v>
      </c>
      <c r="J25" s="1296" t="s">
        <v>1148</v>
      </c>
      <c r="K25" s="1353" t="s">
        <v>1149</v>
      </c>
      <c r="L25" s="2572">
        <v>36000</v>
      </c>
      <c r="M25" s="1303" t="s">
        <v>659</v>
      </c>
      <c r="N25" s="1300"/>
      <c r="O25" s="91"/>
    </row>
    <row r="26" spans="1:15" ht="14.25" customHeight="1">
      <c r="A26" s="125"/>
      <c r="B26" s="77"/>
      <c r="C26" s="58"/>
      <c r="D26" s="90"/>
      <c r="E26" s="90"/>
      <c r="F26" s="90"/>
      <c r="G26" s="90"/>
      <c r="H26" s="91"/>
      <c r="I26" s="91"/>
      <c r="J26" s="91"/>
      <c r="K26" s="91"/>
      <c r="L26" s="101"/>
      <c r="M26" s="93"/>
      <c r="N26" s="91"/>
      <c r="O26" s="91"/>
    </row>
    <row r="27" spans="1:15">
      <c r="A27" s="58"/>
      <c r="B27" s="77"/>
      <c r="C27" s="58"/>
      <c r="D27" s="97"/>
      <c r="E27" s="19"/>
      <c r="F27" s="58"/>
      <c r="G27" s="59"/>
      <c r="H27" s="60"/>
      <c r="I27" s="60"/>
      <c r="J27" s="60"/>
      <c r="K27" s="58"/>
      <c r="L27" s="64"/>
      <c r="M27" s="58"/>
      <c r="N27" s="19"/>
      <c r="O27" s="62"/>
    </row>
    <row r="28" spans="1:15">
      <c r="A28" s="58"/>
      <c r="B28" s="77"/>
      <c r="C28" s="58"/>
      <c r="D28" s="81"/>
      <c r="E28" s="19"/>
      <c r="F28" s="58"/>
      <c r="G28" s="59"/>
      <c r="H28" s="60"/>
      <c r="I28" s="60"/>
      <c r="J28" s="60"/>
      <c r="K28" s="58"/>
      <c r="L28" s="64"/>
      <c r="M28" s="58"/>
      <c r="N28" s="19"/>
      <c r="O28" s="62"/>
    </row>
    <row r="29" spans="1:15">
      <c r="A29" s="58"/>
      <c r="B29" s="77"/>
      <c r="C29" s="58"/>
      <c r="D29" s="81"/>
      <c r="E29" s="19"/>
      <c r="F29" s="81"/>
      <c r="G29" s="58"/>
      <c r="H29" s="59"/>
      <c r="I29" s="60"/>
      <c r="J29" s="60"/>
      <c r="K29" s="60"/>
      <c r="L29" s="100"/>
      <c r="M29" s="61"/>
      <c r="N29" s="58"/>
      <c r="O29" s="62"/>
    </row>
    <row r="30" spans="1:15">
      <c r="A30" s="58"/>
      <c r="B30" s="77"/>
      <c r="C30" s="58"/>
      <c r="D30" s="78"/>
      <c r="E30" s="81"/>
      <c r="F30" s="81"/>
      <c r="G30" s="58"/>
      <c r="H30" s="59"/>
      <c r="I30" s="60"/>
      <c r="J30" s="60"/>
      <c r="K30" s="60"/>
      <c r="L30" s="100"/>
      <c r="M30" s="61"/>
      <c r="N30" s="58"/>
      <c r="O30" s="62"/>
    </row>
    <row r="31" spans="1:15">
      <c r="A31" s="19"/>
      <c r="B31" s="19"/>
      <c r="C31" s="19"/>
      <c r="D31" s="90"/>
      <c r="E31" s="90"/>
      <c r="F31" s="90"/>
      <c r="G31" s="90"/>
      <c r="H31" s="91"/>
      <c r="I31" s="91"/>
      <c r="J31" s="91"/>
      <c r="K31" s="91"/>
      <c r="L31" s="101"/>
      <c r="M31" s="93"/>
      <c r="N31" s="91"/>
      <c r="O31" s="91"/>
    </row>
    <row r="32" spans="1:15">
      <c r="A32" s="19"/>
      <c r="B32" s="19"/>
      <c r="C32" s="58"/>
      <c r="D32" s="90"/>
      <c r="E32" s="90"/>
      <c r="F32" s="90"/>
      <c r="G32" s="90"/>
      <c r="H32" s="91"/>
      <c r="I32" s="91"/>
      <c r="J32" s="91"/>
      <c r="K32" s="91"/>
      <c r="L32" s="101"/>
      <c r="M32" s="93"/>
      <c r="N32" s="91"/>
      <c r="O32" s="91"/>
    </row>
    <row r="33" spans="1:15">
      <c r="A33" s="19"/>
      <c r="B33" s="19"/>
      <c r="C33" s="58"/>
      <c r="D33" s="90"/>
      <c r="E33" s="90"/>
      <c r="F33" s="90"/>
      <c r="G33" s="90"/>
      <c r="H33" s="91"/>
      <c r="I33" s="91"/>
      <c r="J33" s="91"/>
      <c r="K33" s="91"/>
      <c r="L33" s="101"/>
      <c r="M33" s="93"/>
      <c r="N33" s="91"/>
      <c r="O33" s="91"/>
    </row>
    <row r="34" spans="1:15">
      <c r="A34" s="19"/>
      <c r="B34" s="19"/>
      <c r="C34" s="58"/>
      <c r="D34" s="90"/>
      <c r="E34" s="90"/>
      <c r="F34" s="90"/>
      <c r="G34" s="90"/>
      <c r="H34" s="91"/>
      <c r="I34" s="91"/>
      <c r="J34" s="91"/>
      <c r="K34" s="91"/>
      <c r="L34" s="101"/>
      <c r="M34" s="93"/>
      <c r="N34" s="91"/>
      <c r="O34" s="91"/>
    </row>
    <row r="35" spans="1:15">
      <c r="A35" s="19"/>
      <c r="B35" s="19"/>
      <c r="C35" s="58"/>
      <c r="D35" s="90"/>
      <c r="E35" s="90"/>
      <c r="F35" s="90"/>
      <c r="G35" s="90"/>
      <c r="H35" s="91"/>
      <c r="I35" s="91"/>
      <c r="J35" s="91"/>
      <c r="K35" s="91"/>
      <c r="L35" s="101"/>
      <c r="M35" s="93"/>
      <c r="N35" s="91"/>
      <c r="O35" s="91"/>
    </row>
    <row r="36" spans="1:15">
      <c r="A36" s="19"/>
      <c r="B36" s="19"/>
      <c r="C36" s="58"/>
      <c r="D36" s="90"/>
      <c r="E36" s="90"/>
      <c r="F36" s="2568"/>
      <c r="G36" s="2568"/>
      <c r="H36" s="2569"/>
      <c r="I36" s="2569"/>
      <c r="J36" s="2569"/>
      <c r="K36" s="2569"/>
      <c r="L36" s="2112"/>
      <c r="M36" s="2570"/>
      <c r="N36" s="2569"/>
      <c r="O36" s="124"/>
    </row>
    <row r="37" spans="1:15">
      <c r="A37" s="19"/>
      <c r="B37" s="19"/>
      <c r="C37" s="58"/>
      <c r="D37" s="90"/>
      <c r="E37" s="90"/>
      <c r="F37" s="90"/>
      <c r="G37" s="90"/>
      <c r="H37" s="91"/>
      <c r="I37" s="91"/>
      <c r="J37" s="91"/>
      <c r="K37" s="91"/>
      <c r="L37" s="101"/>
      <c r="M37" s="93"/>
      <c r="N37" s="91"/>
      <c r="O37" s="124"/>
    </row>
    <row r="38" spans="1:15" ht="15.75">
      <c r="A38" s="19"/>
      <c r="B38" s="19"/>
      <c r="C38" s="58"/>
      <c r="D38" s="90"/>
      <c r="E38" s="90"/>
      <c r="F38" s="90"/>
      <c r="G38" s="90"/>
      <c r="H38" s="91"/>
      <c r="I38" s="91"/>
      <c r="J38" s="91"/>
      <c r="K38" s="91"/>
      <c r="L38" s="2571">
        <f>SUM(L5:L37)</f>
        <v>266250</v>
      </c>
      <c r="M38" s="93"/>
      <c r="N38" s="91"/>
      <c r="O38" s="124"/>
    </row>
    <row r="39" spans="1:15">
      <c r="A39" s="19"/>
      <c r="B39" s="19"/>
      <c r="C39" s="58"/>
      <c r="D39" s="90"/>
      <c r="E39" s="90"/>
      <c r="F39" s="90"/>
      <c r="G39" s="90"/>
      <c r="H39" s="91"/>
      <c r="I39" s="91"/>
      <c r="J39" s="91"/>
      <c r="K39" s="91"/>
      <c r="L39" s="101"/>
      <c r="M39" s="93"/>
      <c r="N39" s="91"/>
      <c r="O39" s="124"/>
    </row>
    <row r="40" spans="1:15">
      <c r="A40" s="19"/>
      <c r="B40" s="19"/>
      <c r="C40" s="58"/>
      <c r="D40" s="90"/>
      <c r="E40" s="90"/>
      <c r="F40" s="90"/>
      <c r="G40" s="90"/>
      <c r="H40" s="91"/>
      <c r="I40" s="91"/>
      <c r="J40" s="91"/>
      <c r="K40" s="91"/>
      <c r="L40" s="101"/>
      <c r="M40" s="93"/>
      <c r="N40" s="91"/>
      <c r="O40" s="124"/>
    </row>
    <row r="41" spans="1:15">
      <c r="A41" s="19"/>
      <c r="B41" s="19"/>
      <c r="C41" s="8"/>
      <c r="D41" s="8"/>
      <c r="E41" s="7"/>
      <c r="F41" s="6"/>
      <c r="G41" s="6"/>
      <c r="H41" s="5"/>
      <c r="I41" s="5"/>
      <c r="J41" s="5"/>
      <c r="K41" s="6"/>
      <c r="L41" s="178"/>
      <c r="M41" s="6"/>
      <c r="N41" s="2"/>
    </row>
    <row r="42" spans="1:15">
      <c r="A42" s="19"/>
      <c r="B42" s="19"/>
      <c r="C42" s="8"/>
      <c r="D42" s="8"/>
      <c r="E42" s="7"/>
      <c r="F42" s="6"/>
      <c r="G42" s="6"/>
      <c r="H42" s="5"/>
      <c r="I42" s="5"/>
      <c r="J42" s="5"/>
      <c r="K42" s="6"/>
      <c r="L42" s="178"/>
      <c r="M42" s="6"/>
      <c r="N42" s="2"/>
    </row>
    <row r="43" spans="1:15">
      <c r="A43" s="19"/>
      <c r="B43" s="19"/>
      <c r="C43" s="8"/>
      <c r="D43" s="8"/>
      <c r="E43" s="7"/>
      <c r="F43" s="6"/>
      <c r="G43" s="6"/>
      <c r="H43" s="5"/>
      <c r="I43" s="5"/>
      <c r="J43" s="5"/>
      <c r="K43" s="6"/>
      <c r="L43" s="178"/>
      <c r="M43" s="6"/>
      <c r="N43" s="2"/>
    </row>
    <row r="44" spans="1:15">
      <c r="C44" s="2562"/>
      <c r="D44" s="2562"/>
      <c r="E44" s="2563"/>
      <c r="F44" s="2564"/>
      <c r="G44" s="2564"/>
      <c r="H44" s="2565"/>
      <c r="I44" s="2565"/>
      <c r="J44" s="5"/>
      <c r="K44" s="6"/>
      <c r="L44" s="178"/>
      <c r="M44" s="6"/>
      <c r="N44" s="2"/>
    </row>
    <row r="45" spans="1:15">
      <c r="C45" s="8"/>
      <c r="D45" s="8"/>
      <c r="E45" s="7"/>
      <c r="F45" s="6"/>
      <c r="G45" s="6"/>
      <c r="H45" s="5"/>
      <c r="I45" s="5"/>
      <c r="J45" s="5"/>
      <c r="K45" s="6"/>
      <c r="L45" s="178"/>
      <c r="M45" s="6"/>
      <c r="N45" s="2"/>
    </row>
    <row r="46" spans="1:15">
      <c r="C46" s="8"/>
      <c r="D46" s="8"/>
      <c r="E46" s="7"/>
      <c r="F46" s="6"/>
      <c r="G46" s="6"/>
      <c r="H46" s="5"/>
      <c r="I46" s="5"/>
      <c r="J46" s="5"/>
      <c r="K46" s="6"/>
      <c r="L46" s="178"/>
      <c r="M46" s="6"/>
      <c r="N46" s="2"/>
    </row>
    <row r="47" spans="1:15">
      <c r="C47" s="8"/>
      <c r="D47" s="8"/>
      <c r="E47" s="7"/>
      <c r="F47" s="6"/>
      <c r="G47" s="6"/>
      <c r="H47" s="5"/>
      <c r="I47" s="5"/>
      <c r="J47" s="5"/>
      <c r="K47" s="6"/>
      <c r="L47" s="178"/>
      <c r="M47" s="6"/>
      <c r="N47" s="2"/>
    </row>
    <row r="48" spans="1:15">
      <c r="C48" s="8"/>
      <c r="D48" s="8"/>
      <c r="E48" s="7"/>
      <c r="F48" s="6"/>
      <c r="G48" s="6"/>
      <c r="H48" s="5"/>
      <c r="I48" s="5"/>
      <c r="J48" s="5"/>
      <c r="K48" s="6"/>
      <c r="L48" s="108"/>
      <c r="M48" s="6"/>
      <c r="N48" s="2"/>
    </row>
    <row r="49" spans="3:14">
      <c r="C49" s="8"/>
      <c r="D49" s="8"/>
      <c r="E49" s="7"/>
      <c r="F49" s="6"/>
      <c r="G49" s="6"/>
      <c r="H49" s="5"/>
      <c r="I49" s="5"/>
      <c r="J49" s="5"/>
      <c r="K49" s="6"/>
      <c r="L49" s="178"/>
      <c r="M49" s="6"/>
      <c r="N49" s="2"/>
    </row>
    <row r="50" spans="3:14">
      <c r="C50" s="8"/>
      <c r="D50" s="8"/>
      <c r="E50" s="7"/>
      <c r="F50" s="6"/>
      <c r="G50" s="6"/>
      <c r="H50" s="5"/>
      <c r="I50" s="5"/>
      <c r="J50" s="5"/>
      <c r="K50" s="6"/>
      <c r="L50" s="178"/>
      <c r="M50" s="6"/>
      <c r="N50" s="2"/>
    </row>
    <row r="51" spans="3:14">
      <c r="C51" s="8"/>
      <c r="D51" s="8"/>
      <c r="E51" s="7"/>
      <c r="F51" s="6"/>
      <c r="G51" s="6"/>
      <c r="H51" s="5"/>
      <c r="I51" s="5"/>
      <c r="J51" s="5"/>
      <c r="K51" s="6"/>
      <c r="L51" s="178"/>
      <c r="M51" s="6"/>
      <c r="N51" s="2"/>
    </row>
    <row r="52" spans="3:14">
      <c r="C52" s="8"/>
      <c r="D52" s="8"/>
      <c r="E52" s="7"/>
      <c r="F52" s="6"/>
      <c r="G52" s="6"/>
      <c r="H52" s="5"/>
      <c r="I52" s="5"/>
      <c r="J52" s="5"/>
      <c r="K52" s="6"/>
      <c r="L52" s="178"/>
      <c r="M52" s="6"/>
      <c r="N52" s="2"/>
    </row>
    <row r="53" spans="3:14">
      <c r="C53" s="8"/>
      <c r="D53" s="8"/>
      <c r="E53" s="7"/>
      <c r="F53" s="6"/>
      <c r="G53" s="6"/>
      <c r="H53" s="5"/>
      <c r="I53" s="5"/>
      <c r="J53" s="5"/>
      <c r="K53" s="6"/>
      <c r="L53" s="178"/>
      <c r="M53" s="6"/>
      <c r="N53" s="2"/>
    </row>
    <row r="54" spans="3:14" ht="14.25" customHeight="1">
      <c r="C54" s="8"/>
      <c r="D54" s="8"/>
      <c r="E54" s="7"/>
      <c r="F54" s="6"/>
      <c r="G54" s="6"/>
      <c r="H54" s="5"/>
      <c r="I54" s="5"/>
      <c r="J54" s="5"/>
      <c r="K54" s="6"/>
      <c r="L54" s="178"/>
      <c r="M54" s="6"/>
      <c r="N54" s="2"/>
    </row>
    <row r="55" spans="3:14" ht="14.25" customHeight="1">
      <c r="C55" s="8"/>
      <c r="D55" s="8"/>
      <c r="E55" s="7"/>
      <c r="F55" s="6"/>
      <c r="G55" s="6"/>
      <c r="H55" s="5"/>
      <c r="I55" s="5"/>
      <c r="J55" s="5"/>
      <c r="K55" s="6"/>
      <c r="L55" s="178"/>
      <c r="M55" s="6"/>
      <c r="N55" s="2"/>
    </row>
    <row r="56" spans="3:14" ht="14.25" customHeight="1">
      <c r="C56" s="8"/>
      <c r="D56" s="8"/>
      <c r="E56" s="7"/>
      <c r="F56" s="6"/>
      <c r="G56" s="6"/>
      <c r="H56" s="5"/>
      <c r="I56" s="5"/>
      <c r="J56" s="5"/>
      <c r="K56" s="6"/>
      <c r="L56" s="178"/>
      <c r="M56" s="6"/>
      <c r="N56" s="2"/>
    </row>
    <row r="57" spans="3:14" ht="14.25" customHeight="1">
      <c r="C57" s="8"/>
      <c r="D57" s="8"/>
      <c r="E57" s="7"/>
      <c r="F57" s="6"/>
      <c r="G57" s="6"/>
      <c r="H57" s="5"/>
      <c r="I57" s="5"/>
      <c r="J57" s="5"/>
      <c r="K57" s="6"/>
      <c r="L57" s="178"/>
      <c r="M57" s="6"/>
      <c r="N57" s="2"/>
    </row>
    <row r="58" spans="3:14" ht="14.25" customHeight="1">
      <c r="C58" s="8"/>
      <c r="D58" s="8"/>
      <c r="E58" s="7"/>
      <c r="F58" s="6"/>
      <c r="G58" s="6"/>
      <c r="H58" s="5"/>
      <c r="I58" s="5"/>
      <c r="J58" s="5"/>
      <c r="K58" s="6"/>
      <c r="L58" s="178"/>
      <c r="M58" s="6"/>
      <c r="N58" s="2"/>
    </row>
    <row r="59" spans="3:14" ht="14.25" customHeight="1">
      <c r="C59" s="8"/>
      <c r="D59" s="8"/>
      <c r="E59" s="7"/>
      <c r="F59" s="6"/>
      <c r="G59" s="6"/>
      <c r="H59" s="5"/>
      <c r="I59" s="5"/>
      <c r="J59" s="5"/>
      <c r="K59" s="6"/>
      <c r="L59" s="178"/>
      <c r="M59" s="6"/>
      <c r="N59" s="2"/>
    </row>
    <row r="60" spans="3:14" ht="14.25" customHeight="1">
      <c r="C60" s="8"/>
      <c r="D60" s="8"/>
      <c r="E60" s="7"/>
      <c r="F60" s="6"/>
      <c r="G60" s="6"/>
      <c r="H60" s="5"/>
      <c r="I60" s="5"/>
      <c r="J60" s="5"/>
      <c r="K60" s="6"/>
      <c r="L60" s="178"/>
      <c r="M60" s="6"/>
      <c r="N60" s="2"/>
    </row>
    <row r="61" spans="3:14" ht="14.25" customHeight="1">
      <c r="C61" s="8"/>
      <c r="D61" s="8"/>
      <c r="E61" s="7"/>
      <c r="F61" s="6"/>
      <c r="G61" s="6"/>
      <c r="H61" s="5"/>
      <c r="I61" s="5"/>
      <c r="J61" s="5"/>
      <c r="K61" s="6"/>
      <c r="L61" s="178"/>
      <c r="M61" s="6"/>
      <c r="N61" s="2"/>
    </row>
    <row r="62" spans="3:14" ht="14.25" customHeight="1">
      <c r="C62" s="8"/>
      <c r="D62" s="8"/>
      <c r="E62" s="7"/>
      <c r="F62" s="6"/>
      <c r="G62" s="6"/>
      <c r="H62" s="5"/>
      <c r="I62" s="5"/>
      <c r="J62" s="5"/>
      <c r="K62" s="6"/>
      <c r="L62" s="178"/>
      <c r="M62" s="6"/>
      <c r="N62" s="2"/>
    </row>
    <row r="63" spans="3:14" ht="14.25" customHeight="1">
      <c r="C63" s="8"/>
      <c r="D63" s="8"/>
      <c r="E63" s="7"/>
      <c r="F63" s="6"/>
      <c r="G63" s="6"/>
      <c r="H63" s="5"/>
      <c r="I63" s="5"/>
      <c r="J63" s="5"/>
      <c r="K63" s="6"/>
      <c r="L63" s="178"/>
      <c r="M63" s="6"/>
      <c r="N63" s="2"/>
    </row>
    <row r="64" spans="3:14" ht="14.25" customHeight="1">
      <c r="C64" s="8"/>
      <c r="D64" s="8"/>
      <c r="E64" s="7"/>
      <c r="F64" s="6"/>
      <c r="G64" s="6"/>
      <c r="H64" s="5"/>
      <c r="I64" s="5"/>
      <c r="J64" s="5"/>
      <c r="K64" s="6"/>
      <c r="L64" s="178"/>
      <c r="M64" s="6"/>
      <c r="N64" s="2"/>
    </row>
    <row r="65" spans="3:14" ht="14.25" customHeight="1">
      <c r="C65" s="8"/>
      <c r="D65" s="8"/>
      <c r="E65" s="7"/>
      <c r="F65" s="6"/>
      <c r="G65" s="6"/>
      <c r="H65" s="5"/>
      <c r="I65" s="5"/>
      <c r="J65" s="5"/>
      <c r="K65" s="6"/>
      <c r="L65" s="178"/>
      <c r="M65" s="6"/>
      <c r="N65" s="2"/>
    </row>
    <row r="66" spans="3:14" ht="14.25" customHeight="1">
      <c r="C66" s="8"/>
      <c r="D66" s="8"/>
      <c r="E66" s="7"/>
      <c r="F66" s="6"/>
      <c r="G66" s="6"/>
      <c r="H66" s="5"/>
      <c r="I66" s="5"/>
      <c r="J66" s="5"/>
      <c r="K66" s="6"/>
      <c r="L66" s="178"/>
      <c r="M66" s="6"/>
      <c r="N66" s="2"/>
    </row>
    <row r="67" spans="3:14" ht="14.25" customHeight="1">
      <c r="C67" s="8"/>
      <c r="D67" s="8"/>
      <c r="E67" s="7"/>
      <c r="F67" s="6"/>
      <c r="G67" s="6"/>
      <c r="H67" s="5"/>
      <c r="I67" s="5"/>
      <c r="J67" s="5"/>
      <c r="K67" s="6"/>
      <c r="L67" s="178"/>
      <c r="M67" s="6"/>
      <c r="N67" s="2"/>
    </row>
    <row r="68" spans="3:14" ht="14.25" customHeight="1">
      <c r="C68" s="8"/>
      <c r="D68" s="8"/>
      <c r="E68" s="7"/>
      <c r="F68" s="6"/>
      <c r="G68" s="6"/>
      <c r="H68" s="5"/>
      <c r="I68" s="5"/>
      <c r="J68" s="5"/>
      <c r="K68" s="6"/>
      <c r="L68" s="178"/>
      <c r="M68" s="6"/>
      <c r="N68" s="2"/>
    </row>
    <row r="69" spans="3:14" ht="14.25" customHeight="1">
      <c r="C69" s="8"/>
      <c r="D69" s="8"/>
      <c r="E69" s="7"/>
      <c r="F69" s="6"/>
      <c r="G69" s="6"/>
      <c r="H69" s="5"/>
      <c r="I69" s="5"/>
      <c r="J69" s="5"/>
      <c r="K69" s="6"/>
      <c r="L69" s="178"/>
      <c r="M69" s="3"/>
      <c r="N69" s="2"/>
    </row>
    <row r="70" spans="3:14" ht="14.25" customHeight="1">
      <c r="C70" s="8"/>
      <c r="D70" s="8"/>
      <c r="E70" s="7"/>
      <c r="F70" s="6"/>
      <c r="G70" s="5"/>
      <c r="H70" s="5"/>
      <c r="I70" s="5"/>
      <c r="J70" s="5"/>
      <c r="K70" s="4"/>
      <c r="L70" s="178"/>
      <c r="M70" s="3"/>
      <c r="N70" s="2"/>
    </row>
    <row r="71" spans="3:14" ht="14.25" customHeight="1">
      <c r="C71" s="19"/>
      <c r="D71" s="19"/>
      <c r="E71" s="19"/>
      <c r="F71" s="19"/>
      <c r="G71" s="19"/>
      <c r="H71" s="19"/>
      <c r="I71" s="19"/>
      <c r="J71" s="19"/>
      <c r="K71" s="19"/>
      <c r="L71" s="146"/>
      <c r="M71" s="19"/>
      <c r="N71" s="19"/>
    </row>
    <row r="72" spans="3:14" ht="14.25" customHeight="1">
      <c r="C72" s="31"/>
      <c r="D72" s="27"/>
      <c r="E72" s="20"/>
      <c r="F72" s="28"/>
      <c r="G72" s="28"/>
      <c r="H72" s="26"/>
      <c r="I72" s="26"/>
      <c r="J72" s="26"/>
      <c r="K72" s="28"/>
      <c r="L72" s="179"/>
      <c r="M72" s="28"/>
      <c r="N72" s="27"/>
    </row>
    <row r="73" spans="3:14" s="1" customFormat="1" ht="14.25" customHeight="1">
      <c r="C73" s="31"/>
      <c r="D73" s="27"/>
      <c r="E73" s="21"/>
      <c r="F73" s="28"/>
      <c r="G73" s="28"/>
      <c r="H73" s="26"/>
      <c r="I73" s="26"/>
      <c r="J73" s="26"/>
      <c r="K73" s="28"/>
      <c r="L73" s="179"/>
      <c r="M73" s="28"/>
      <c r="N73" s="27"/>
    </row>
    <row r="74" spans="3:14" s="1" customFormat="1" ht="14.25" customHeight="1">
      <c r="C74" s="30"/>
      <c r="D74" s="25"/>
      <c r="E74" s="21"/>
      <c r="F74" s="22"/>
      <c r="G74" s="22"/>
      <c r="H74" s="23"/>
      <c r="I74" s="23"/>
      <c r="J74" s="23"/>
      <c r="K74" s="22"/>
      <c r="L74" s="180"/>
      <c r="M74" s="22"/>
      <c r="N74" s="25"/>
    </row>
  </sheetData>
  <mergeCells count="5">
    <mergeCell ref="C2:G2"/>
    <mergeCell ref="H2:J2"/>
    <mergeCell ref="K2:L2"/>
    <mergeCell ref="M2:M3"/>
    <mergeCell ref="N2:N3"/>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39D83-820F-4D67-9D39-673CF6A9219E}">
  <sheetPr>
    <tabColor rgb="FF92D050"/>
  </sheetPr>
  <dimension ref="A2:Q18"/>
  <sheetViews>
    <sheetView zoomScale="70" zoomScaleNormal="70" workbookViewId="0">
      <pane ySplit="4" topLeftCell="A5" activePane="bottomLeft" state="frozen"/>
      <selection pane="bottomLeft" activeCell="K8" sqref="K8"/>
    </sheetView>
  </sheetViews>
  <sheetFormatPr defaultRowHeight="15"/>
  <cols>
    <col min="3" max="3" width="21.42578125" customWidth="1"/>
    <col min="4" max="4" width="20.5703125"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style="99" customWidth="1"/>
    <col min="13" max="13" width="16.28515625" customWidth="1"/>
    <col min="14" max="14" width="12.85546875" customWidth="1"/>
    <col min="17" max="17" width="73.7109375" bestFit="1" customWidth="1"/>
  </cols>
  <sheetData>
    <row r="2" spans="1:17">
      <c r="C2" s="2627" t="s">
        <v>30</v>
      </c>
      <c r="D2" s="2627"/>
      <c r="E2" s="2627"/>
      <c r="F2" s="2627"/>
      <c r="G2" s="2627"/>
      <c r="H2" s="2628" t="s">
        <v>29</v>
      </c>
      <c r="I2" s="2628"/>
      <c r="J2" s="2628"/>
      <c r="K2" s="2627" t="s">
        <v>28</v>
      </c>
      <c r="L2" s="2627"/>
      <c r="M2" s="2628" t="s">
        <v>27</v>
      </c>
      <c r="N2" s="2628" t="s">
        <v>26</v>
      </c>
    </row>
    <row r="3" spans="1:17" ht="72">
      <c r="C3" s="10" t="s">
        <v>25</v>
      </c>
      <c r="D3" s="13" t="s">
        <v>24</v>
      </c>
      <c r="E3" s="12" t="s">
        <v>23</v>
      </c>
      <c r="F3" s="10" t="s">
        <v>22</v>
      </c>
      <c r="G3" s="11" t="s">
        <v>21</v>
      </c>
      <c r="H3" s="11" t="s">
        <v>20</v>
      </c>
      <c r="I3" s="11" t="s">
        <v>19</v>
      </c>
      <c r="J3" s="11" t="s">
        <v>18</v>
      </c>
      <c r="K3" s="10" t="s">
        <v>17</v>
      </c>
      <c r="L3" s="159" t="s">
        <v>16</v>
      </c>
      <c r="M3" s="2628"/>
      <c r="N3" s="2628"/>
    </row>
    <row r="4" spans="1:17">
      <c r="C4" s="243" t="s">
        <v>15</v>
      </c>
      <c r="D4" s="243" t="s">
        <v>14</v>
      </c>
      <c r="E4" s="243" t="s">
        <v>13</v>
      </c>
      <c r="F4" s="243" t="s">
        <v>12</v>
      </c>
      <c r="G4" s="243" t="s">
        <v>11</v>
      </c>
      <c r="H4" s="243" t="s">
        <v>10</v>
      </c>
      <c r="I4" s="243" t="s">
        <v>9</v>
      </c>
      <c r="J4" s="243" t="s">
        <v>8</v>
      </c>
      <c r="K4" s="243" t="s">
        <v>7</v>
      </c>
      <c r="L4" s="244" t="s">
        <v>6</v>
      </c>
      <c r="M4" s="243" t="s">
        <v>5</v>
      </c>
      <c r="N4" s="243" t="s">
        <v>4</v>
      </c>
    </row>
    <row r="5" spans="1:17" ht="42.75">
      <c r="A5" s="252" t="s">
        <v>743</v>
      </c>
      <c r="B5" s="253" t="s">
        <v>744</v>
      </c>
      <c r="C5" s="272" t="s">
        <v>800</v>
      </c>
      <c r="D5" s="255" t="s">
        <v>2</v>
      </c>
      <c r="E5" s="273"/>
      <c r="F5" s="256" t="s">
        <v>661</v>
      </c>
      <c r="G5" s="254" t="s">
        <v>1</v>
      </c>
      <c r="H5" s="257"/>
      <c r="I5" s="257"/>
      <c r="J5" s="258"/>
      <c r="K5" s="256" t="s">
        <v>748</v>
      </c>
      <c r="L5" s="274">
        <v>10000</v>
      </c>
      <c r="M5" s="258"/>
      <c r="N5" s="275"/>
      <c r="Q5" t="s">
        <v>751</v>
      </c>
    </row>
    <row r="6" spans="1:17" s="355" customFormat="1" ht="43.9" customHeight="1">
      <c r="A6" s="438"/>
      <c r="B6" s="342"/>
      <c r="C6" s="1009"/>
      <c r="D6" s="1008" t="s">
        <v>801</v>
      </c>
      <c r="E6" s="1086">
        <v>400</v>
      </c>
      <c r="F6" s="1086" t="s">
        <v>802</v>
      </c>
      <c r="G6" s="1147"/>
      <c r="H6" s="1081"/>
      <c r="I6" s="1147"/>
      <c r="J6" s="1147"/>
      <c r="K6" s="1147"/>
      <c r="L6" s="1147"/>
      <c r="M6" s="1148"/>
      <c r="N6" s="1147"/>
      <c r="O6" s="1094"/>
    </row>
    <row r="7" spans="1:17" s="355" customFormat="1" ht="14.25" customHeight="1">
      <c r="A7" s="871"/>
      <c r="B7" s="342"/>
      <c r="C7" s="1163"/>
      <c r="D7" s="1154"/>
      <c r="E7" s="1155"/>
      <c r="F7" s="1156"/>
      <c r="G7" s="1164"/>
      <c r="H7" s="1165"/>
      <c r="I7" s="1166"/>
      <c r="J7" s="1166"/>
      <c r="K7" s="1167"/>
      <c r="L7" s="1167"/>
      <c r="M7" s="1168"/>
      <c r="N7" s="1167"/>
      <c r="O7" s="1169"/>
    </row>
    <row r="8" spans="1:17" s="355" customFormat="1" ht="14.25" customHeight="1">
      <c r="A8" s="513"/>
      <c r="B8" s="342"/>
      <c r="C8" s="1163"/>
      <c r="D8" s="1154"/>
      <c r="E8" s="1155"/>
      <c r="F8" s="1156"/>
      <c r="G8" s="1164"/>
      <c r="H8" s="1165"/>
      <c r="I8" s="1166"/>
      <c r="J8" s="1166"/>
      <c r="K8" s="1167"/>
      <c r="L8" s="1167"/>
      <c r="M8" s="1168"/>
      <c r="N8" s="1167"/>
      <c r="O8" s="1169"/>
    </row>
    <row r="9" spans="1:17" s="355" customFormat="1" ht="14.25" customHeight="1">
      <c r="A9" s="513"/>
      <c r="B9" s="342"/>
      <c r="C9" s="1163"/>
      <c r="D9" s="1154"/>
      <c r="E9" s="1155"/>
      <c r="F9" s="1156"/>
      <c r="G9" s="1164"/>
      <c r="H9" s="1165"/>
      <c r="I9" s="1166"/>
      <c r="J9" s="1166"/>
      <c r="K9" s="1167"/>
      <c r="L9" s="1167"/>
      <c r="M9" s="1168"/>
      <c r="N9" s="1167"/>
      <c r="O9" s="1169"/>
    </row>
    <row r="10" spans="1:17" s="355" customFormat="1" ht="14.25" customHeight="1">
      <c r="A10" s="513"/>
      <c r="B10" s="342"/>
      <c r="C10" s="1163"/>
      <c r="D10" s="1154"/>
      <c r="E10" s="1155"/>
      <c r="F10" s="1156"/>
      <c r="G10" s="1164"/>
      <c r="H10" s="1165"/>
      <c r="I10" s="1166"/>
      <c r="J10" s="1166"/>
      <c r="K10" s="1167"/>
      <c r="L10" s="1167"/>
      <c r="M10" s="1168"/>
      <c r="N10" s="1167"/>
      <c r="O10" s="1169"/>
    </row>
    <row r="11" spans="1:17" s="355" customFormat="1" ht="27" customHeight="1">
      <c r="A11" s="513"/>
      <c r="B11" s="342"/>
      <c r="C11" s="1163"/>
      <c r="D11" s="1154"/>
      <c r="E11" s="1155"/>
      <c r="F11" s="1156"/>
      <c r="G11" s="1164"/>
      <c r="H11" s="1165"/>
      <c r="I11" s="1166"/>
      <c r="J11" s="1166"/>
      <c r="K11" s="1167"/>
      <c r="L11" s="1167"/>
      <c r="M11" s="1168"/>
      <c r="N11" s="1167"/>
      <c r="O11" s="1169"/>
    </row>
    <row r="12" spans="1:17" s="355" customFormat="1" ht="14.25" customHeight="1">
      <c r="A12" s="513"/>
      <c r="B12" s="342"/>
      <c r="C12" s="1163"/>
      <c r="D12" s="1154"/>
      <c r="E12" s="1155"/>
      <c r="F12" s="1156"/>
      <c r="G12" s="1164"/>
      <c r="H12" s="1165"/>
      <c r="I12" s="1166"/>
      <c r="J12" s="1166"/>
      <c r="K12" s="1167"/>
      <c r="L12" s="1167"/>
      <c r="M12" s="1168"/>
      <c r="N12" s="1167"/>
      <c r="O12" s="1169"/>
    </row>
    <row r="13" spans="1:17" s="355" customFormat="1" ht="14.25" customHeight="1">
      <c r="A13" s="513"/>
      <c r="B13" s="342"/>
      <c r="C13" s="1163"/>
      <c r="D13" s="1154"/>
      <c r="E13" s="1155"/>
      <c r="F13" s="1156"/>
      <c r="G13" s="1164"/>
      <c r="H13" s="1165"/>
      <c r="I13" s="1166"/>
      <c r="J13" s="1166"/>
      <c r="K13" s="1167"/>
      <c r="L13" s="1167"/>
      <c r="M13" s="1168"/>
      <c r="N13" s="1167"/>
      <c r="O13" s="1169"/>
    </row>
    <row r="14" spans="1:17" s="355" customFormat="1" ht="14.25" customHeight="1">
      <c r="A14" s="513"/>
      <c r="B14" s="342"/>
      <c r="C14" s="1163"/>
      <c r="D14" s="1154"/>
      <c r="E14" s="1155"/>
      <c r="F14" s="1156"/>
      <c r="G14" s="1164"/>
      <c r="H14" s="1165"/>
      <c r="I14" s="1166"/>
      <c r="J14" s="1166"/>
      <c r="K14" s="1167"/>
      <c r="L14" s="1167"/>
      <c r="M14" s="1168"/>
      <c r="N14" s="1167"/>
      <c r="O14" s="1169"/>
    </row>
    <row r="15" spans="1:17" s="355" customFormat="1" ht="14.25" customHeight="1">
      <c r="A15" s="513"/>
      <c r="B15" s="342"/>
      <c r="C15" s="1163"/>
      <c r="D15" s="1154"/>
      <c r="E15" s="1155"/>
      <c r="F15" s="1156"/>
      <c r="G15" s="1164"/>
      <c r="H15" s="1165"/>
      <c r="I15" s="1166"/>
      <c r="J15" s="1166"/>
      <c r="K15" s="1167"/>
      <c r="L15" s="1167"/>
      <c r="M15" s="1168"/>
      <c r="N15" s="1167"/>
      <c r="O15" s="1169"/>
    </row>
    <row r="16" spans="1:17" s="355" customFormat="1" ht="14.25" customHeight="1">
      <c r="A16" s="513"/>
      <c r="B16" s="342"/>
      <c r="C16" s="1163"/>
      <c r="D16" s="1154"/>
      <c r="E16" s="1155"/>
      <c r="F16" s="1156"/>
      <c r="G16" s="1164"/>
      <c r="H16" s="1165"/>
      <c r="I16" s="1166"/>
      <c r="J16" s="1166"/>
      <c r="K16" s="1167"/>
      <c r="L16" s="1167"/>
      <c r="M16" s="1168"/>
      <c r="N16" s="1167"/>
      <c r="O16" s="1169"/>
    </row>
    <row r="17" spans="1:15" s="355" customFormat="1" ht="14.25" customHeight="1">
      <c r="A17" s="513"/>
      <c r="B17" s="342"/>
      <c r="C17" s="1163"/>
      <c r="D17" s="1154"/>
      <c r="E17" s="1155"/>
      <c r="F17" s="1156"/>
      <c r="G17" s="1164"/>
      <c r="H17" s="1165"/>
      <c r="I17" s="1166"/>
      <c r="J17" s="1166"/>
      <c r="K17" s="1167"/>
      <c r="L17" s="2575">
        <f>SUM(L5:L16)</f>
        <v>10000</v>
      </c>
      <c r="M17" s="1168"/>
      <c r="N17" s="1167"/>
      <c r="O17" s="1169"/>
    </row>
    <row r="18" spans="1:15" s="355" customFormat="1" ht="22.5" customHeight="1">
      <c r="A18" s="874"/>
      <c r="B18" s="302"/>
      <c r="C18" s="1163"/>
      <c r="D18" s="1154"/>
      <c r="E18" s="1155"/>
      <c r="F18" s="1156"/>
      <c r="G18" s="1164"/>
      <c r="H18" s="1165"/>
      <c r="I18" s="1166"/>
      <c r="J18" s="1166"/>
      <c r="K18" s="1167"/>
      <c r="L18" s="1167"/>
      <c r="M18" s="1168"/>
      <c r="N18" s="1167"/>
      <c r="O18" s="1169"/>
    </row>
  </sheetData>
  <mergeCells count="5">
    <mergeCell ref="C2:G2"/>
    <mergeCell ref="H2:J2"/>
    <mergeCell ref="K2:L2"/>
    <mergeCell ref="M2:M3"/>
    <mergeCell ref="N2:N3"/>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04927-EB6E-472A-8290-974D8379C3CD}">
  <sheetPr>
    <tabColor rgb="FF92D050"/>
  </sheetPr>
  <dimension ref="A2:Q100"/>
  <sheetViews>
    <sheetView zoomScale="84" zoomScaleNormal="80" workbookViewId="0">
      <pane ySplit="4" topLeftCell="A5" activePane="bottomLeft" state="frozen"/>
      <selection pane="bottomLeft" activeCell="A5" sqref="A5:XFD11"/>
    </sheetView>
  </sheetViews>
  <sheetFormatPr defaultRowHeight="15"/>
  <cols>
    <col min="3" max="3" width="21.42578125" customWidth="1"/>
    <col min="4" max="4" width="20.5703125"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style="99" customWidth="1"/>
    <col min="13" max="13" width="16.28515625" customWidth="1"/>
    <col min="14" max="14" width="12.85546875" customWidth="1"/>
    <col min="17" max="17" width="73.7109375" bestFit="1" customWidth="1"/>
  </cols>
  <sheetData>
    <row r="2" spans="1:17">
      <c r="C2" s="2627" t="s">
        <v>30</v>
      </c>
      <c r="D2" s="2627"/>
      <c r="E2" s="2627"/>
      <c r="F2" s="2627"/>
      <c r="G2" s="2627"/>
      <c r="H2" s="2628" t="s">
        <v>29</v>
      </c>
      <c r="I2" s="2628"/>
      <c r="J2" s="2628"/>
      <c r="K2" s="2627" t="s">
        <v>28</v>
      </c>
      <c r="L2" s="2627"/>
      <c r="M2" s="2628" t="s">
        <v>27</v>
      </c>
      <c r="N2" s="2628" t="s">
        <v>26</v>
      </c>
    </row>
    <row r="3" spans="1:17" ht="72">
      <c r="C3" s="10" t="s">
        <v>25</v>
      </c>
      <c r="D3" s="13" t="s">
        <v>24</v>
      </c>
      <c r="E3" s="12" t="s">
        <v>23</v>
      </c>
      <c r="F3" s="10" t="s">
        <v>22</v>
      </c>
      <c r="G3" s="11" t="s">
        <v>21</v>
      </c>
      <c r="H3" s="11" t="s">
        <v>20</v>
      </c>
      <c r="I3" s="11" t="s">
        <v>19</v>
      </c>
      <c r="J3" s="11" t="s">
        <v>18</v>
      </c>
      <c r="K3" s="10" t="s">
        <v>17</v>
      </c>
      <c r="L3" s="159" t="s">
        <v>16</v>
      </c>
      <c r="M3" s="2628"/>
      <c r="N3" s="2628"/>
    </row>
    <row r="4" spans="1:17">
      <c r="C4" s="243" t="s">
        <v>15</v>
      </c>
      <c r="D4" s="243" t="s">
        <v>14</v>
      </c>
      <c r="E4" s="243" t="s">
        <v>13</v>
      </c>
      <c r="F4" s="243" t="s">
        <v>12</v>
      </c>
      <c r="G4" s="243" t="s">
        <v>11</v>
      </c>
      <c r="H4" s="243" t="s">
        <v>10</v>
      </c>
      <c r="I4" s="243" t="s">
        <v>9</v>
      </c>
      <c r="J4" s="243" t="s">
        <v>8</v>
      </c>
      <c r="K4" s="243" t="s">
        <v>7</v>
      </c>
      <c r="L4" s="244" t="s">
        <v>6</v>
      </c>
      <c r="M4" s="243" t="s">
        <v>5</v>
      </c>
      <c r="N4" s="243" t="s">
        <v>4</v>
      </c>
    </row>
    <row r="5" spans="1:17" s="355" customFormat="1" ht="40.5">
      <c r="A5" s="1063" t="s">
        <v>743</v>
      </c>
      <c r="B5" s="1041" t="s">
        <v>744</v>
      </c>
      <c r="C5" s="1009" t="s">
        <v>804</v>
      </c>
      <c r="D5" s="1008" t="s">
        <v>805</v>
      </c>
      <c r="E5" s="1170"/>
      <c r="F5" s="1002"/>
      <c r="G5" s="1081" t="s">
        <v>1</v>
      </c>
      <c r="H5" s="1171"/>
      <c r="I5" s="1171"/>
      <c r="J5" s="1006"/>
      <c r="K5" s="1002" t="s">
        <v>748</v>
      </c>
      <c r="L5" s="1005">
        <v>25000</v>
      </c>
      <c r="M5" s="1006"/>
      <c r="N5" s="1007"/>
      <c r="Q5" s="355" t="s">
        <v>751</v>
      </c>
    </row>
    <row r="6" spans="1:17" s="355" customFormat="1" ht="43.9" customHeight="1">
      <c r="A6" s="438"/>
      <c r="B6" s="342"/>
      <c r="C6" s="902"/>
      <c r="D6" s="1153"/>
      <c r="E6" s="991"/>
      <c r="F6" s="991"/>
      <c r="G6" s="1172"/>
      <c r="H6" s="636"/>
      <c r="I6" s="1172"/>
      <c r="J6" s="1172"/>
      <c r="K6" s="1172"/>
      <c r="L6" s="1172"/>
      <c r="M6" s="1173"/>
      <c r="N6" s="1172"/>
      <c r="O6" s="1094"/>
    </row>
    <row r="7" spans="1:17" s="355" customFormat="1" ht="14.25" customHeight="1">
      <c r="A7" s="438"/>
      <c r="B7" s="342"/>
      <c r="C7" s="1153"/>
      <c r="D7" s="1154"/>
      <c r="E7" s="1155"/>
      <c r="F7" s="1156"/>
      <c r="G7" s="1157"/>
      <c r="H7" s="1158"/>
      <c r="I7" s="1159"/>
      <c r="J7" s="1159"/>
      <c r="K7" s="1160"/>
      <c r="L7" s="1160"/>
      <c r="M7" s="1161"/>
      <c r="N7" s="1160"/>
      <c r="O7" s="1162"/>
    </row>
    <row r="8" spans="1:17" s="355" customFormat="1" ht="14.25" customHeight="1">
      <c r="A8" s="438"/>
      <c r="B8" s="342"/>
      <c r="C8" s="1163"/>
      <c r="D8" s="1154"/>
      <c r="E8" s="1155"/>
      <c r="F8" s="1156"/>
      <c r="G8" s="1164"/>
      <c r="H8" s="1165"/>
      <c r="I8" s="1166"/>
      <c r="J8" s="1166"/>
      <c r="K8" s="1167"/>
      <c r="L8" s="1167"/>
      <c r="M8" s="1168"/>
      <c r="N8" s="1167"/>
      <c r="O8" s="1169"/>
    </row>
    <row r="9" spans="1:17" s="355" customFormat="1" ht="14.25" customHeight="1">
      <c r="A9" s="438"/>
      <c r="B9" s="342"/>
      <c r="C9" s="1163"/>
      <c r="D9" s="1154"/>
      <c r="E9" s="1155"/>
      <c r="F9" s="1156"/>
      <c r="G9" s="1164"/>
      <c r="H9" s="1165"/>
      <c r="I9" s="1166"/>
      <c r="J9" s="1166"/>
      <c r="K9" s="1167"/>
      <c r="L9" s="1167"/>
      <c r="M9" s="1168"/>
      <c r="N9" s="1167"/>
      <c r="O9" s="1169"/>
    </row>
    <row r="10" spans="1:17" s="355" customFormat="1" ht="14.25" customHeight="1">
      <c r="A10" s="438"/>
      <c r="B10" s="342"/>
      <c r="C10" s="1163"/>
      <c r="D10" s="1154"/>
      <c r="E10" s="1155"/>
      <c r="F10" s="1156"/>
      <c r="G10" s="1164"/>
      <c r="H10" s="1165"/>
      <c r="I10" s="1166"/>
      <c r="J10" s="1166"/>
      <c r="K10" s="1167"/>
      <c r="L10" s="1167"/>
      <c r="M10" s="1168"/>
      <c r="N10" s="1167"/>
      <c r="O10" s="1169"/>
    </row>
    <row r="11" spans="1:17" s="355" customFormat="1" ht="14.25" customHeight="1">
      <c r="A11" s="871"/>
      <c r="B11" s="342"/>
      <c r="C11" s="1163"/>
      <c r="D11" s="1154"/>
      <c r="E11" s="1155"/>
      <c r="F11" s="1156"/>
      <c r="G11" s="1164"/>
      <c r="H11" s="1165"/>
      <c r="I11" s="1166"/>
      <c r="J11" s="1166"/>
      <c r="K11" s="1167"/>
      <c r="L11" s="1167"/>
      <c r="M11" s="1168"/>
      <c r="N11" s="1167"/>
      <c r="O11" s="1169"/>
    </row>
    <row r="12" spans="1:17" ht="14.25" customHeight="1">
      <c r="A12" s="206"/>
      <c r="B12" s="77"/>
      <c r="C12" s="262"/>
      <c r="D12" s="259"/>
      <c r="E12" s="260"/>
      <c r="F12" s="261"/>
      <c r="G12" s="263"/>
      <c r="H12" s="264"/>
      <c r="I12" s="265"/>
      <c r="J12" s="265"/>
      <c r="K12" s="266"/>
      <c r="L12" s="266"/>
      <c r="M12" s="267"/>
      <c r="N12" s="266"/>
      <c r="O12" s="268"/>
    </row>
    <row r="13" spans="1:17" ht="14.25" customHeight="1">
      <c r="A13" s="206"/>
      <c r="B13" s="77"/>
      <c r="C13" s="262"/>
      <c r="D13" s="259"/>
      <c r="E13" s="260"/>
      <c r="F13" s="261"/>
      <c r="G13" s="263"/>
      <c r="H13" s="264"/>
      <c r="I13" s="265"/>
      <c r="J13" s="265"/>
      <c r="K13" s="266"/>
      <c r="L13" s="266"/>
      <c r="M13" s="267"/>
      <c r="N13" s="266"/>
      <c r="O13" s="268"/>
    </row>
    <row r="14" spans="1:17" ht="14.25" customHeight="1">
      <c r="A14" s="206"/>
      <c r="B14" s="77"/>
      <c r="C14" s="262"/>
      <c r="D14" s="259"/>
      <c r="E14" s="260"/>
      <c r="F14" s="261"/>
      <c r="G14" s="263"/>
      <c r="H14" s="264"/>
      <c r="I14" s="265"/>
      <c r="J14" s="265"/>
      <c r="K14" s="266"/>
      <c r="L14" s="266"/>
      <c r="M14" s="267"/>
      <c r="N14" s="266"/>
      <c r="O14" s="268"/>
    </row>
    <row r="15" spans="1:17" ht="14.25" customHeight="1">
      <c r="A15" s="206"/>
      <c r="B15" s="77"/>
      <c r="C15" s="262"/>
      <c r="D15" s="259"/>
      <c r="E15" s="260"/>
      <c r="F15" s="261"/>
      <c r="G15" s="263"/>
      <c r="H15" s="264"/>
      <c r="I15" s="265"/>
      <c r="J15" s="265"/>
      <c r="K15" s="266"/>
      <c r="L15" s="266"/>
      <c r="M15" s="267"/>
      <c r="N15" s="266"/>
      <c r="O15" s="268"/>
    </row>
    <row r="16" spans="1:17" ht="14.25" customHeight="1">
      <c r="A16" s="206"/>
      <c r="B16" s="77"/>
      <c r="C16" s="262"/>
      <c r="D16" s="259"/>
      <c r="E16" s="260"/>
      <c r="F16" s="261"/>
      <c r="G16" s="263"/>
      <c r="H16" s="264"/>
      <c r="I16" s="265"/>
      <c r="J16" s="265"/>
      <c r="K16" s="266"/>
      <c r="L16" s="266"/>
      <c r="M16" s="267"/>
      <c r="N16" s="266"/>
      <c r="O16" s="268"/>
    </row>
    <row r="17" spans="1:15" ht="14.25" customHeight="1">
      <c r="A17" s="125"/>
      <c r="B17" s="77"/>
      <c r="C17" s="262"/>
      <c r="D17" s="259"/>
      <c r="E17" s="260"/>
      <c r="F17" s="261"/>
      <c r="G17" s="263"/>
      <c r="H17" s="264"/>
      <c r="I17" s="265"/>
      <c r="J17" s="265"/>
      <c r="K17" s="266"/>
      <c r="L17" s="266"/>
      <c r="M17" s="267"/>
      <c r="N17" s="266"/>
      <c r="O17" s="268"/>
    </row>
    <row r="18" spans="1:15" ht="14.25" customHeight="1">
      <c r="A18" s="125"/>
      <c r="B18" s="77"/>
      <c r="C18" s="262"/>
      <c r="D18" s="259"/>
      <c r="E18" s="260"/>
      <c r="F18" s="261"/>
      <c r="G18" s="263"/>
      <c r="H18" s="264"/>
      <c r="I18" s="265"/>
      <c r="J18" s="265"/>
      <c r="K18" s="266"/>
      <c r="L18" s="266"/>
      <c r="M18" s="267"/>
      <c r="N18" s="266"/>
      <c r="O18" s="268"/>
    </row>
    <row r="19" spans="1:15" ht="14.25" customHeight="1">
      <c r="A19" s="125"/>
      <c r="B19" s="77"/>
      <c r="C19" s="262"/>
      <c r="D19" s="259"/>
      <c r="E19" s="260"/>
      <c r="F19" s="261"/>
      <c r="G19" s="263"/>
      <c r="H19" s="264"/>
      <c r="I19" s="265"/>
      <c r="J19" s="265"/>
      <c r="K19" s="266"/>
      <c r="L19" s="266"/>
      <c r="M19" s="267"/>
      <c r="N19" s="266"/>
      <c r="O19" s="268"/>
    </row>
    <row r="20" spans="1:15" ht="27" customHeight="1">
      <c r="A20" s="125"/>
      <c r="B20" s="77"/>
      <c r="C20" s="262"/>
      <c r="D20" s="259"/>
      <c r="E20" s="260"/>
      <c r="F20" s="261"/>
      <c r="G20" s="263"/>
      <c r="H20" s="264"/>
      <c r="I20" s="265"/>
      <c r="J20" s="265"/>
      <c r="K20" s="266"/>
      <c r="L20" s="266"/>
      <c r="M20" s="267"/>
      <c r="N20" s="266"/>
      <c r="O20" s="268"/>
    </row>
    <row r="21" spans="1:15" ht="14.25" customHeight="1">
      <c r="A21" s="125"/>
      <c r="B21" s="77"/>
      <c r="C21" s="262"/>
      <c r="D21" s="259"/>
      <c r="E21" s="260"/>
      <c r="F21" s="261"/>
      <c r="G21" s="263"/>
      <c r="H21" s="264"/>
      <c r="I21" s="265"/>
      <c r="J21" s="265"/>
      <c r="K21" s="266"/>
      <c r="L21" s="266"/>
      <c r="M21" s="267"/>
      <c r="N21" s="266"/>
      <c r="O21" s="268"/>
    </row>
    <row r="22" spans="1:15" ht="14.25" customHeight="1">
      <c r="A22" s="125"/>
      <c r="B22" s="77"/>
      <c r="C22" s="262"/>
      <c r="D22" s="259"/>
      <c r="E22" s="260"/>
      <c r="F22" s="261"/>
      <c r="G22" s="263"/>
      <c r="H22" s="264"/>
      <c r="I22" s="265"/>
      <c r="J22" s="265"/>
      <c r="K22" s="266"/>
      <c r="L22" s="266"/>
      <c r="M22" s="267"/>
      <c r="N22" s="266"/>
      <c r="O22" s="268"/>
    </row>
    <row r="23" spans="1:15" ht="14.25" customHeight="1">
      <c r="A23" s="125"/>
      <c r="B23" s="77"/>
      <c r="C23" s="262"/>
      <c r="D23" s="259"/>
      <c r="E23" s="260"/>
      <c r="F23" s="261"/>
      <c r="G23" s="263"/>
      <c r="H23" s="264"/>
      <c r="I23" s="265"/>
      <c r="J23" s="265"/>
      <c r="K23" s="266"/>
      <c r="L23" s="266"/>
      <c r="M23" s="267"/>
      <c r="N23" s="266"/>
      <c r="O23" s="268"/>
    </row>
    <row r="24" spans="1:15" ht="14.25" customHeight="1">
      <c r="A24" s="125"/>
      <c r="B24" s="77"/>
      <c r="C24" s="262"/>
      <c r="D24" s="259"/>
      <c r="E24" s="260"/>
      <c r="F24" s="261"/>
      <c r="G24" s="263"/>
      <c r="H24" s="264"/>
      <c r="I24" s="265"/>
      <c r="J24" s="265"/>
      <c r="K24" s="266"/>
      <c r="L24" s="266"/>
      <c r="M24" s="267"/>
      <c r="N24" s="266"/>
      <c r="O24" s="268"/>
    </row>
    <row r="25" spans="1:15" ht="14.25" customHeight="1">
      <c r="A25" s="125"/>
      <c r="B25" s="77"/>
      <c r="C25" s="262"/>
      <c r="D25" s="259"/>
      <c r="E25" s="260"/>
      <c r="F25" s="261"/>
      <c r="G25" s="263"/>
      <c r="H25" s="264"/>
      <c r="I25" s="265"/>
      <c r="J25" s="265"/>
      <c r="K25" s="266"/>
      <c r="L25" s="980">
        <f>SUM(L5:L24)</f>
        <v>25000</v>
      </c>
      <c r="M25" s="267"/>
      <c r="N25" s="266"/>
      <c r="O25" s="268"/>
    </row>
    <row r="26" spans="1:15" ht="14.25" customHeight="1">
      <c r="A26" s="125"/>
      <c r="B26" s="77"/>
      <c r="C26" s="262"/>
      <c r="D26" s="259"/>
      <c r="E26" s="260"/>
      <c r="F26" s="261"/>
      <c r="G26" s="263"/>
      <c r="H26" s="264"/>
      <c r="I26" s="265"/>
      <c r="J26" s="265"/>
      <c r="K26" s="266"/>
      <c r="L26" s="266"/>
      <c r="M26" s="267"/>
      <c r="N26" s="266"/>
      <c r="O26" s="268"/>
    </row>
    <row r="27" spans="1:15" ht="22.5" customHeight="1">
      <c r="A27" s="197"/>
      <c r="B27" s="63"/>
      <c r="C27" s="262"/>
      <c r="D27" s="259"/>
      <c r="E27" s="260"/>
      <c r="F27" s="261"/>
      <c r="G27" s="263"/>
      <c r="H27" s="264"/>
      <c r="I27" s="265"/>
      <c r="J27" s="265"/>
      <c r="K27" s="266"/>
      <c r="L27" s="266"/>
      <c r="M27" s="267"/>
      <c r="N27" s="266"/>
      <c r="O27" s="268"/>
    </row>
    <row r="28" spans="1:15" ht="14.25" customHeight="1">
      <c r="A28" s="125"/>
      <c r="B28" s="63"/>
      <c r="C28" s="262"/>
      <c r="D28" s="259"/>
      <c r="E28" s="260"/>
      <c r="F28" s="261"/>
      <c r="G28" s="263"/>
      <c r="H28" s="264"/>
      <c r="I28" s="265"/>
      <c r="J28" s="265"/>
      <c r="K28" s="266"/>
      <c r="L28" s="266"/>
      <c r="M28" s="267"/>
      <c r="N28" s="266"/>
      <c r="O28" s="268"/>
    </row>
    <row r="29" spans="1:15" ht="14.25" customHeight="1">
      <c r="A29" s="125"/>
      <c r="B29" s="63"/>
      <c r="C29" s="262"/>
      <c r="D29" s="259"/>
      <c r="E29" s="260"/>
      <c r="F29" s="261"/>
      <c r="G29" s="263"/>
      <c r="H29" s="264"/>
      <c r="I29" s="265"/>
      <c r="J29" s="265"/>
      <c r="K29" s="266"/>
      <c r="L29" s="266"/>
      <c r="M29" s="267"/>
      <c r="N29" s="266"/>
      <c r="O29" s="268"/>
    </row>
    <row r="30" spans="1:15">
      <c r="A30" s="125"/>
      <c r="B30" s="63"/>
      <c r="C30" s="262"/>
      <c r="D30" s="259"/>
      <c r="E30" s="260"/>
      <c r="F30" s="261"/>
      <c r="G30" s="263"/>
      <c r="H30" s="264"/>
      <c r="I30" s="265"/>
      <c r="J30" s="265"/>
      <c r="K30" s="266"/>
      <c r="L30" s="266"/>
      <c r="M30" s="267"/>
      <c r="N30" s="266"/>
      <c r="O30" s="268"/>
    </row>
    <row r="31" spans="1:15">
      <c r="A31" s="125"/>
      <c r="B31" s="63"/>
      <c r="C31" s="262"/>
      <c r="D31" s="259"/>
      <c r="E31" s="260"/>
      <c r="F31" s="261"/>
      <c r="G31" s="263"/>
      <c r="H31" s="264"/>
      <c r="I31" s="265"/>
      <c r="J31" s="265"/>
      <c r="K31" s="266"/>
      <c r="L31" s="266"/>
      <c r="M31" s="267"/>
      <c r="N31" s="266"/>
      <c r="O31" s="268"/>
    </row>
    <row r="32" spans="1:15">
      <c r="C32" s="262"/>
      <c r="D32" s="259"/>
      <c r="E32" s="260"/>
      <c r="F32" s="261"/>
      <c r="G32" s="263"/>
      <c r="H32" s="264"/>
      <c r="I32" s="265"/>
      <c r="J32" s="265"/>
      <c r="K32" s="266"/>
      <c r="L32" s="266"/>
      <c r="M32" s="267"/>
      <c r="N32" s="266"/>
      <c r="O32" s="268"/>
    </row>
    <row r="33" spans="1:15">
      <c r="A33" s="125"/>
      <c r="B33" s="63"/>
      <c r="C33" s="262"/>
      <c r="D33" s="259"/>
      <c r="E33" s="260"/>
      <c r="F33" s="261"/>
      <c r="G33" s="263"/>
      <c r="H33" s="264"/>
      <c r="I33" s="265"/>
      <c r="J33" s="265"/>
      <c r="K33" s="266"/>
      <c r="L33" s="266"/>
      <c r="M33" s="267"/>
      <c r="N33" s="266"/>
      <c r="O33" s="268"/>
    </row>
    <row r="34" spans="1:15">
      <c r="A34" s="125"/>
      <c r="B34" s="63"/>
      <c r="C34" s="262"/>
      <c r="D34" s="259"/>
      <c r="E34" s="260"/>
      <c r="F34" s="261"/>
      <c r="G34" s="263"/>
      <c r="H34" s="264"/>
      <c r="I34" s="265"/>
      <c r="J34" s="265"/>
      <c r="K34" s="266"/>
      <c r="L34" s="266"/>
      <c r="M34" s="267"/>
      <c r="N34" s="266"/>
      <c r="O34" s="268"/>
    </row>
    <row r="35" spans="1:15">
      <c r="A35" s="125"/>
      <c r="B35" s="63"/>
      <c r="C35" s="262"/>
      <c r="D35" s="259"/>
      <c r="E35" s="260"/>
      <c r="F35" s="261"/>
      <c r="G35" s="263"/>
      <c r="H35" s="264"/>
      <c r="I35" s="265"/>
      <c r="J35" s="265"/>
      <c r="K35" s="266"/>
      <c r="L35" s="266"/>
      <c r="M35" s="267"/>
      <c r="N35" s="266"/>
      <c r="O35" s="268"/>
    </row>
    <row r="36" spans="1:15">
      <c r="A36" s="125"/>
      <c r="B36" s="63"/>
      <c r="C36" s="262"/>
      <c r="D36" s="259"/>
      <c r="E36" s="260"/>
      <c r="F36" s="261"/>
      <c r="G36" s="263"/>
      <c r="H36" s="264"/>
      <c r="I36" s="265"/>
      <c r="J36" s="265"/>
      <c r="K36" s="266"/>
      <c r="L36" s="266"/>
      <c r="M36" s="267"/>
      <c r="N36" s="266"/>
      <c r="O36" s="268"/>
    </row>
    <row r="37" spans="1:15">
      <c r="A37" s="125"/>
      <c r="B37" s="63"/>
      <c r="C37" s="262"/>
      <c r="D37" s="259"/>
      <c r="E37" s="260"/>
      <c r="F37" s="261"/>
      <c r="G37" s="263"/>
      <c r="H37" s="264"/>
      <c r="I37" s="265"/>
      <c r="J37" s="265"/>
      <c r="K37" s="266"/>
      <c r="L37" s="266"/>
      <c r="M37" s="267"/>
      <c r="N37" s="266"/>
      <c r="O37" s="268"/>
    </row>
    <row r="38" spans="1:15">
      <c r="A38" s="125"/>
      <c r="B38" s="63"/>
      <c r="C38" s="262"/>
      <c r="D38" s="259"/>
      <c r="E38" s="260"/>
      <c r="F38" s="261"/>
      <c r="G38" s="263"/>
      <c r="H38" s="264"/>
      <c r="I38" s="265"/>
      <c r="J38" s="265"/>
      <c r="K38" s="266"/>
      <c r="L38" s="266"/>
      <c r="M38" s="267"/>
      <c r="N38" s="266"/>
      <c r="O38" s="268"/>
    </row>
    <row r="39" spans="1:15">
      <c r="A39" s="125"/>
      <c r="B39" s="63"/>
      <c r="C39" s="262"/>
      <c r="D39" s="259"/>
      <c r="E39" s="260"/>
      <c r="F39" s="261"/>
      <c r="G39" s="263"/>
      <c r="H39" s="264"/>
      <c r="I39" s="265"/>
      <c r="J39" s="265"/>
      <c r="K39" s="266"/>
      <c r="L39" s="266"/>
      <c r="M39" s="267"/>
      <c r="N39" s="266"/>
      <c r="O39" s="268"/>
    </row>
    <row r="40" spans="1:15">
      <c r="A40" s="125"/>
      <c r="B40" s="63"/>
      <c r="C40" s="262"/>
      <c r="D40" s="259"/>
      <c r="E40" s="260"/>
      <c r="F40" s="261"/>
      <c r="G40" s="263"/>
      <c r="H40" s="264"/>
      <c r="I40" s="265"/>
      <c r="J40" s="265"/>
      <c r="K40" s="266"/>
      <c r="L40" s="266"/>
      <c r="M40" s="267"/>
      <c r="N40" s="266"/>
      <c r="O40" s="268"/>
    </row>
    <row r="41" spans="1:15">
      <c r="A41" s="125"/>
      <c r="B41" s="63"/>
      <c r="C41" s="262"/>
      <c r="D41" s="259"/>
      <c r="E41" s="260"/>
      <c r="F41" s="261"/>
      <c r="G41" s="263"/>
      <c r="H41" s="264"/>
      <c r="I41" s="265"/>
      <c r="J41" s="265"/>
      <c r="K41" s="266"/>
      <c r="L41" s="266"/>
      <c r="M41" s="267"/>
      <c r="N41" s="266"/>
      <c r="O41" s="268"/>
    </row>
    <row r="42" spans="1:15">
      <c r="A42" s="125"/>
      <c r="B42" s="63"/>
      <c r="C42" s="262"/>
      <c r="D42" s="259"/>
      <c r="E42" s="260"/>
      <c r="F42" s="261"/>
      <c r="G42" s="263"/>
      <c r="H42" s="264"/>
      <c r="I42" s="265"/>
      <c r="J42" s="265"/>
      <c r="K42" s="266"/>
      <c r="L42" s="266"/>
      <c r="M42" s="267"/>
      <c r="N42" s="266"/>
      <c r="O42" s="268"/>
    </row>
    <row r="43" spans="1:15">
      <c r="A43" s="125"/>
      <c r="B43" s="63"/>
      <c r="C43" s="58"/>
      <c r="D43" s="78"/>
      <c r="E43" s="79"/>
      <c r="F43" s="80"/>
      <c r="G43" s="58"/>
      <c r="H43" s="59"/>
      <c r="I43" s="60"/>
      <c r="J43" s="60"/>
      <c r="K43" s="60"/>
      <c r="L43" s="100"/>
      <c r="M43" s="61"/>
      <c r="N43" s="58"/>
      <c r="O43" s="62"/>
    </row>
    <row r="44" spans="1:15">
      <c r="C44" s="58"/>
      <c r="D44" s="90"/>
      <c r="E44" s="94"/>
      <c r="F44" s="90"/>
      <c r="G44" s="90"/>
      <c r="H44" s="91"/>
      <c r="I44" s="91"/>
      <c r="J44" s="91"/>
      <c r="K44" s="91"/>
      <c r="L44" s="101"/>
      <c r="M44" s="93"/>
      <c r="N44" s="91"/>
      <c r="O44" s="124"/>
    </row>
    <row r="45" spans="1:15">
      <c r="C45" s="58"/>
      <c r="D45" s="90"/>
      <c r="E45" s="94"/>
      <c r="F45" s="90"/>
      <c r="G45" s="90"/>
      <c r="H45" s="91"/>
      <c r="I45" s="91"/>
      <c r="J45" s="91"/>
      <c r="K45" s="91"/>
      <c r="L45" s="101"/>
      <c r="M45" s="93"/>
      <c r="N45" s="91"/>
      <c r="O45" s="124"/>
    </row>
    <row r="46" spans="1:15">
      <c r="A46" s="125"/>
      <c r="B46" s="63"/>
      <c r="C46" s="86"/>
      <c r="D46" s="87"/>
      <c r="E46" s="86"/>
      <c r="F46" s="87"/>
      <c r="G46" s="88"/>
      <c r="H46" s="89"/>
      <c r="I46" s="89"/>
      <c r="J46" s="89"/>
      <c r="K46" s="87"/>
      <c r="L46" s="98"/>
      <c r="M46" s="87"/>
      <c r="N46" s="77"/>
    </row>
    <row r="47" spans="1:15">
      <c r="A47" s="125"/>
      <c r="B47" s="63"/>
      <c r="C47" s="58"/>
      <c r="D47" s="139"/>
      <c r="E47" s="19"/>
      <c r="F47" s="58"/>
      <c r="G47" s="59"/>
      <c r="H47" s="60"/>
      <c r="I47" s="60"/>
      <c r="J47" s="60"/>
      <c r="K47" s="58"/>
      <c r="L47" s="64"/>
      <c r="M47" s="58"/>
      <c r="N47" s="62"/>
    </row>
    <row r="48" spans="1:15">
      <c r="A48" s="125"/>
      <c r="B48" s="63"/>
      <c r="C48" s="58"/>
      <c r="D48" s="81"/>
      <c r="E48" s="19"/>
      <c r="F48" s="81"/>
      <c r="G48" s="58"/>
      <c r="H48" s="59"/>
      <c r="I48" s="60"/>
      <c r="J48" s="60"/>
      <c r="K48" s="60"/>
      <c r="L48" s="100"/>
      <c r="M48" s="61"/>
      <c r="N48" s="58"/>
      <c r="O48" s="62"/>
    </row>
    <row r="49" spans="1:15">
      <c r="A49" s="125"/>
      <c r="B49" s="63"/>
      <c r="C49" s="58"/>
      <c r="D49" s="78"/>
      <c r="E49" s="81"/>
      <c r="F49" s="81"/>
      <c r="G49" s="58"/>
      <c r="H49" s="59"/>
      <c r="I49" s="60"/>
      <c r="J49" s="60"/>
      <c r="K49" s="60"/>
      <c r="L49" s="100"/>
      <c r="M49" s="61"/>
      <c r="N49" s="58"/>
      <c r="O49" s="62"/>
    </row>
    <row r="50" spans="1:15">
      <c r="A50" s="125"/>
      <c r="B50" s="63"/>
      <c r="C50" s="58"/>
      <c r="D50" s="78"/>
      <c r="E50" s="81"/>
      <c r="F50" s="81"/>
      <c r="G50" s="58"/>
      <c r="H50" s="59"/>
      <c r="I50" s="60"/>
      <c r="J50" s="60"/>
      <c r="K50" s="60"/>
      <c r="L50" s="100"/>
      <c r="M50" s="61"/>
      <c r="N50" s="58"/>
      <c r="O50" s="62"/>
    </row>
    <row r="51" spans="1:15">
      <c r="C51" s="58"/>
      <c r="D51" s="90"/>
      <c r="E51" s="94"/>
      <c r="F51" s="90"/>
      <c r="G51" s="90"/>
      <c r="H51" s="91"/>
      <c r="I51" s="91"/>
      <c r="J51" s="91"/>
      <c r="K51" s="91"/>
      <c r="L51" s="101"/>
      <c r="M51" s="93"/>
      <c r="N51" s="91"/>
      <c r="O51" s="124"/>
    </row>
    <row r="52" spans="1:15">
      <c r="A52" s="58"/>
      <c r="B52" s="63"/>
      <c r="C52" s="86"/>
      <c r="D52" s="87"/>
      <c r="E52" s="95"/>
      <c r="F52" s="87"/>
      <c r="G52" s="88"/>
      <c r="H52" s="89"/>
      <c r="I52" s="89"/>
      <c r="J52" s="89"/>
      <c r="K52" s="87"/>
      <c r="L52" s="98"/>
      <c r="M52" s="87"/>
      <c r="O52" s="77"/>
    </row>
    <row r="53" spans="1:15">
      <c r="A53" s="58"/>
      <c r="B53" s="63"/>
      <c r="C53" s="58"/>
      <c r="D53" s="96"/>
      <c r="E53" s="19"/>
      <c r="F53" s="109"/>
      <c r="G53" s="59"/>
      <c r="H53" s="60"/>
      <c r="I53" s="60"/>
      <c r="J53" s="60"/>
      <c r="K53" s="58"/>
      <c r="L53" s="64"/>
      <c r="M53" s="58"/>
      <c r="O53" s="62"/>
    </row>
    <row r="54" spans="1:15">
      <c r="A54" s="58"/>
      <c r="B54" s="63"/>
      <c r="C54" s="58"/>
      <c r="D54" s="79"/>
      <c r="E54" s="19"/>
      <c r="F54" s="109"/>
      <c r="G54" s="59"/>
      <c r="H54" s="60"/>
      <c r="I54" s="60"/>
      <c r="J54" s="60"/>
      <c r="K54" s="58"/>
      <c r="L54" s="64"/>
      <c r="M54" s="58"/>
      <c r="O54" s="62"/>
    </row>
    <row r="55" spans="1:15">
      <c r="A55" s="58"/>
      <c r="B55" s="63"/>
      <c r="C55" s="58"/>
      <c r="D55" s="79"/>
      <c r="E55" s="19"/>
      <c r="F55" s="80"/>
      <c r="G55" s="58"/>
      <c r="H55" s="59"/>
      <c r="I55" s="60"/>
      <c r="J55" s="60"/>
      <c r="K55" s="60"/>
      <c r="L55" s="100"/>
      <c r="M55" s="61"/>
      <c r="N55" s="58"/>
      <c r="O55" s="62"/>
    </row>
    <row r="56" spans="1:15">
      <c r="A56" s="58"/>
      <c r="B56" s="63"/>
      <c r="C56" s="58"/>
      <c r="D56" s="78"/>
      <c r="E56" s="79"/>
      <c r="F56" s="81"/>
      <c r="G56" s="58"/>
      <c r="H56" s="59"/>
      <c r="I56" s="60"/>
      <c r="J56" s="60"/>
      <c r="K56" s="60"/>
      <c r="L56" s="100"/>
      <c r="M56" s="61"/>
      <c r="N56" s="58"/>
      <c r="O56" s="62"/>
    </row>
    <row r="57" spans="1:15">
      <c r="D57" s="90"/>
      <c r="E57" s="94"/>
      <c r="F57" s="90"/>
      <c r="G57" s="90"/>
      <c r="H57" s="91"/>
      <c r="I57" s="91"/>
      <c r="J57" s="91"/>
      <c r="K57" s="91"/>
      <c r="L57" s="101"/>
      <c r="M57" s="93"/>
      <c r="N57" s="91"/>
      <c r="O57" s="91"/>
    </row>
    <row r="58" spans="1:15">
      <c r="C58" s="58"/>
      <c r="D58" s="90"/>
      <c r="E58" s="94"/>
      <c r="F58" s="90"/>
      <c r="G58" s="90"/>
      <c r="H58" s="91"/>
      <c r="I58" s="91"/>
      <c r="J58" s="91"/>
      <c r="K58" s="91"/>
      <c r="L58" s="101"/>
      <c r="M58" s="93"/>
      <c r="N58" s="91"/>
      <c r="O58" s="124"/>
    </row>
    <row r="59" spans="1:15">
      <c r="C59" s="58"/>
      <c r="D59" s="90"/>
      <c r="E59" s="94"/>
      <c r="F59" s="90"/>
      <c r="G59" s="90"/>
      <c r="H59" s="91"/>
      <c r="I59" s="91"/>
      <c r="J59" s="91"/>
      <c r="K59" s="91"/>
      <c r="L59" s="101"/>
      <c r="M59" s="93"/>
      <c r="N59" s="91"/>
      <c r="O59" s="124"/>
    </row>
    <row r="60" spans="1:15">
      <c r="C60" s="58"/>
      <c r="D60" s="90"/>
      <c r="E60" s="94"/>
      <c r="F60" s="90"/>
      <c r="G60" s="90"/>
      <c r="H60" s="91"/>
      <c r="I60" s="91"/>
      <c r="J60" s="91"/>
      <c r="K60" s="91"/>
      <c r="L60" s="101"/>
      <c r="M60" s="93"/>
      <c r="N60" s="91"/>
      <c r="O60" s="124"/>
    </row>
    <row r="61" spans="1:15">
      <c r="C61" s="58"/>
      <c r="D61" s="90"/>
      <c r="E61" s="94"/>
      <c r="F61" s="90"/>
      <c r="G61" s="90"/>
      <c r="H61" s="91"/>
      <c r="I61" s="91"/>
      <c r="J61" s="91"/>
      <c r="K61" s="91"/>
      <c r="L61" s="101"/>
      <c r="M61" s="93"/>
      <c r="N61" s="91"/>
      <c r="O61" s="124"/>
    </row>
    <row r="62" spans="1:15">
      <c r="C62" s="58"/>
      <c r="D62" s="90"/>
      <c r="E62" s="94"/>
      <c r="F62" s="90"/>
      <c r="G62" s="90"/>
      <c r="H62" s="91"/>
      <c r="I62" s="91"/>
      <c r="J62" s="91"/>
      <c r="K62" s="91"/>
      <c r="L62" s="101"/>
      <c r="M62" s="93"/>
      <c r="N62" s="91"/>
      <c r="O62" s="124"/>
    </row>
    <row r="63" spans="1:15">
      <c r="C63" s="58"/>
      <c r="D63" s="90"/>
      <c r="E63" s="94"/>
      <c r="F63" s="90"/>
      <c r="G63" s="90"/>
      <c r="H63" s="91"/>
      <c r="I63" s="91"/>
      <c r="J63" s="91"/>
      <c r="K63" s="91"/>
      <c r="L63" s="101"/>
      <c r="M63" s="93"/>
      <c r="N63" s="91"/>
      <c r="O63" s="124"/>
    </row>
    <row r="64" spans="1:15">
      <c r="C64" s="58"/>
      <c r="D64" s="90"/>
      <c r="E64" s="94"/>
      <c r="F64" s="90"/>
      <c r="G64" s="90"/>
      <c r="H64" s="91"/>
      <c r="I64" s="91"/>
      <c r="J64" s="91"/>
      <c r="K64" s="91"/>
      <c r="L64" s="216">
        <f>SUM(L6:L63)</f>
        <v>25000</v>
      </c>
      <c r="M64" s="93"/>
      <c r="N64" s="91"/>
      <c r="O64" s="124"/>
    </row>
    <row r="65" spans="3:15">
      <c r="C65" s="58"/>
      <c r="D65" s="90"/>
      <c r="E65" s="94"/>
      <c r="F65" s="90"/>
      <c r="G65" s="90"/>
      <c r="H65" s="91"/>
      <c r="I65" s="91"/>
      <c r="J65" s="91"/>
      <c r="K65" s="91"/>
      <c r="L65" s="101"/>
      <c r="M65" s="93"/>
      <c r="N65" s="91"/>
      <c r="O65" s="124"/>
    </row>
    <row r="66" spans="3:15">
      <c r="C66" s="58"/>
      <c r="D66" s="90"/>
      <c r="E66" s="94"/>
      <c r="F66" s="90"/>
      <c r="G66" s="90"/>
      <c r="H66" s="91"/>
      <c r="I66" s="91"/>
      <c r="J66" s="91"/>
      <c r="K66" s="91"/>
      <c r="L66" s="101"/>
      <c r="M66" s="93"/>
      <c r="N66" s="91"/>
      <c r="O66" s="124"/>
    </row>
    <row r="67" spans="3:15">
      <c r="C67" s="8"/>
      <c r="D67" s="8"/>
      <c r="E67" s="7"/>
      <c r="F67" s="6"/>
      <c r="G67" s="6"/>
      <c r="H67" s="5"/>
      <c r="I67" s="5"/>
      <c r="J67" s="5"/>
      <c r="K67" s="6"/>
      <c r="L67" s="178"/>
      <c r="M67" s="6"/>
      <c r="N67" s="2"/>
    </row>
    <row r="68" spans="3:15">
      <c r="C68" s="8"/>
      <c r="D68" s="8"/>
      <c r="E68" s="7"/>
      <c r="F68" s="6"/>
      <c r="G68" s="6"/>
      <c r="H68" s="5"/>
      <c r="I68" s="5"/>
      <c r="J68" s="5"/>
      <c r="K68" s="6"/>
      <c r="L68" s="178"/>
      <c r="M68" s="6"/>
      <c r="N68" s="2"/>
    </row>
    <row r="69" spans="3:15">
      <c r="C69" s="8"/>
      <c r="D69" s="8"/>
      <c r="E69" s="7"/>
      <c r="F69" s="6"/>
      <c r="G69" s="6"/>
      <c r="H69" s="5"/>
      <c r="I69" s="5"/>
      <c r="J69" s="5"/>
      <c r="K69" s="6"/>
      <c r="L69" s="178"/>
      <c r="M69" s="6"/>
      <c r="N69" s="2"/>
    </row>
    <row r="70" spans="3:15">
      <c r="C70" s="8"/>
      <c r="D70" s="8"/>
      <c r="E70" s="7"/>
      <c r="F70" s="6"/>
      <c r="G70" s="6"/>
      <c r="H70" s="5"/>
      <c r="I70" s="5"/>
      <c r="J70" s="5"/>
      <c r="K70" s="6"/>
      <c r="L70" s="178"/>
      <c r="M70" s="6"/>
      <c r="N70" s="2"/>
    </row>
    <row r="71" spans="3:15">
      <c r="C71" s="8"/>
      <c r="D71" s="8"/>
      <c r="E71" s="7"/>
      <c r="F71" s="6"/>
      <c r="G71" s="6"/>
      <c r="H71" s="5"/>
      <c r="I71" s="5"/>
      <c r="J71" s="5"/>
      <c r="K71" s="6"/>
      <c r="L71" s="178"/>
      <c r="M71" s="6"/>
      <c r="N71" s="2"/>
    </row>
    <row r="72" spans="3:15">
      <c r="C72" s="8"/>
      <c r="D72" s="8"/>
      <c r="E72" s="7"/>
      <c r="F72" s="6"/>
      <c r="G72" s="6"/>
      <c r="H72" s="5"/>
      <c r="I72" s="5"/>
      <c r="J72" s="5"/>
      <c r="K72" s="6"/>
      <c r="L72" s="178"/>
      <c r="M72" s="6"/>
      <c r="N72" s="2"/>
    </row>
    <row r="73" spans="3:15">
      <c r="C73" s="8"/>
      <c r="D73" s="8"/>
      <c r="E73" s="7"/>
      <c r="F73" s="6"/>
      <c r="G73" s="6"/>
      <c r="H73" s="5"/>
      <c r="I73" s="5"/>
      <c r="J73" s="5"/>
      <c r="K73" s="6"/>
      <c r="L73" s="178"/>
      <c r="M73" s="6"/>
      <c r="N73" s="2"/>
    </row>
    <row r="74" spans="3:15">
      <c r="C74" s="8"/>
      <c r="D74" s="8"/>
      <c r="E74" s="7"/>
      <c r="F74" s="6"/>
      <c r="G74" s="6"/>
      <c r="H74" s="5"/>
      <c r="I74" s="5"/>
      <c r="J74" s="5"/>
      <c r="K74" s="6"/>
      <c r="L74" s="108"/>
      <c r="M74" s="6"/>
      <c r="N74" s="2"/>
    </row>
    <row r="75" spans="3:15">
      <c r="C75" s="8"/>
      <c r="D75" s="8"/>
      <c r="E75" s="7"/>
      <c r="F75" s="6"/>
      <c r="G75" s="6"/>
      <c r="H75" s="5"/>
      <c r="I75" s="5"/>
      <c r="J75" s="5"/>
      <c r="K75" s="6"/>
      <c r="L75" s="178"/>
      <c r="M75" s="6"/>
      <c r="N75" s="2"/>
    </row>
    <row r="76" spans="3:15">
      <c r="C76" s="8"/>
      <c r="D76" s="8"/>
      <c r="E76" s="7"/>
      <c r="F76" s="6"/>
      <c r="G76" s="6"/>
      <c r="H76" s="5"/>
      <c r="I76" s="5"/>
      <c r="J76" s="5"/>
      <c r="K76" s="6"/>
      <c r="L76" s="178"/>
      <c r="M76" s="6"/>
      <c r="N76" s="2"/>
    </row>
    <row r="77" spans="3:15">
      <c r="C77" s="8"/>
      <c r="D77" s="8"/>
      <c r="E77" s="7"/>
      <c r="F77" s="6"/>
      <c r="G77" s="6"/>
      <c r="H77" s="5"/>
      <c r="I77" s="5"/>
      <c r="J77" s="5"/>
      <c r="K77" s="6"/>
      <c r="L77" s="178"/>
      <c r="M77" s="6"/>
      <c r="N77" s="2"/>
    </row>
    <row r="78" spans="3:15">
      <c r="C78" s="8"/>
      <c r="D78" s="8"/>
      <c r="E78" s="7"/>
      <c r="F78" s="6"/>
      <c r="G78" s="6"/>
      <c r="H78" s="5"/>
      <c r="I78" s="5"/>
      <c r="J78" s="5"/>
      <c r="K78" s="6"/>
      <c r="L78" s="178"/>
      <c r="M78" s="6"/>
      <c r="N78" s="2"/>
    </row>
    <row r="79" spans="3:15">
      <c r="C79" s="8"/>
      <c r="D79" s="8"/>
      <c r="E79" s="7"/>
      <c r="F79" s="6"/>
      <c r="G79" s="6"/>
      <c r="H79" s="5"/>
      <c r="I79" s="5"/>
      <c r="J79" s="5"/>
      <c r="K79" s="6"/>
      <c r="L79" s="178"/>
      <c r="M79" s="6"/>
      <c r="N79" s="2"/>
    </row>
    <row r="80" spans="3:15" ht="14.25" customHeight="1">
      <c r="C80" s="8"/>
      <c r="D80" s="8"/>
      <c r="E80" s="7"/>
      <c r="F80" s="6"/>
      <c r="G80" s="6"/>
      <c r="H80" s="5"/>
      <c r="I80" s="5"/>
      <c r="J80" s="5"/>
      <c r="K80" s="6"/>
      <c r="L80" s="178"/>
      <c r="M80" s="6"/>
      <c r="N80" s="2"/>
    </row>
    <row r="81" spans="3:14" ht="14.25" customHeight="1">
      <c r="C81" s="8"/>
      <c r="D81" s="8"/>
      <c r="E81" s="7"/>
      <c r="F81" s="6"/>
      <c r="G81" s="6"/>
      <c r="H81" s="5"/>
      <c r="I81" s="5"/>
      <c r="J81" s="5"/>
      <c r="K81" s="6"/>
      <c r="L81" s="178"/>
      <c r="M81" s="6"/>
      <c r="N81" s="2"/>
    </row>
    <row r="82" spans="3:14" ht="14.25" customHeight="1">
      <c r="C82" s="8"/>
      <c r="D82" s="8"/>
      <c r="E82" s="7"/>
      <c r="F82" s="6"/>
      <c r="G82" s="6"/>
      <c r="H82" s="5"/>
      <c r="I82" s="5"/>
      <c r="J82" s="5"/>
      <c r="K82" s="6"/>
      <c r="L82" s="178"/>
      <c r="M82" s="6"/>
      <c r="N82" s="2"/>
    </row>
    <row r="83" spans="3:14" ht="14.25" customHeight="1">
      <c r="C83" s="8"/>
      <c r="D83" s="8"/>
      <c r="E83" s="7"/>
      <c r="F83" s="6"/>
      <c r="G83" s="6"/>
      <c r="H83" s="5"/>
      <c r="I83" s="5"/>
      <c r="J83" s="5"/>
      <c r="K83" s="6"/>
      <c r="L83" s="178"/>
      <c r="M83" s="6"/>
      <c r="N83" s="2"/>
    </row>
    <row r="84" spans="3:14" ht="14.25" customHeight="1">
      <c r="C84" s="8"/>
      <c r="D84" s="8"/>
      <c r="E84" s="7"/>
      <c r="F84" s="6"/>
      <c r="G84" s="6"/>
      <c r="H84" s="5"/>
      <c r="I84" s="5"/>
      <c r="J84" s="5"/>
      <c r="K84" s="6"/>
      <c r="L84" s="178"/>
      <c r="M84" s="6"/>
      <c r="N84" s="2"/>
    </row>
    <row r="85" spans="3:14" ht="14.25" customHeight="1">
      <c r="C85" s="8"/>
      <c r="D85" s="8"/>
      <c r="E85" s="7"/>
      <c r="F85" s="6"/>
      <c r="G85" s="6"/>
      <c r="H85" s="5"/>
      <c r="I85" s="5"/>
      <c r="J85" s="5"/>
      <c r="K85" s="6"/>
      <c r="L85" s="178"/>
      <c r="M85" s="6"/>
      <c r="N85" s="2"/>
    </row>
    <row r="86" spans="3:14" ht="14.25" customHeight="1">
      <c r="C86" s="8"/>
      <c r="D86" s="8"/>
      <c r="E86" s="7"/>
      <c r="F86" s="6"/>
      <c r="G86" s="6"/>
      <c r="H86" s="5"/>
      <c r="I86" s="5"/>
      <c r="J86" s="5"/>
      <c r="K86" s="6"/>
      <c r="L86" s="178"/>
      <c r="M86" s="6"/>
      <c r="N86" s="2"/>
    </row>
    <row r="87" spans="3:14" ht="14.25" customHeight="1">
      <c r="C87" s="8"/>
      <c r="D87" s="8"/>
      <c r="E87" s="7"/>
      <c r="F87" s="6"/>
      <c r="G87" s="6"/>
      <c r="H87" s="5"/>
      <c r="I87" s="5"/>
      <c r="J87" s="5"/>
      <c r="K87" s="6"/>
      <c r="L87" s="178"/>
      <c r="M87" s="6"/>
      <c r="N87" s="2"/>
    </row>
    <row r="88" spans="3:14" ht="14.25" customHeight="1">
      <c r="C88" s="8"/>
      <c r="D88" s="8"/>
      <c r="E88" s="7"/>
      <c r="F88" s="6"/>
      <c r="G88" s="6"/>
      <c r="H88" s="5"/>
      <c r="I88" s="5"/>
      <c r="J88" s="5"/>
      <c r="K88" s="6"/>
      <c r="L88" s="178"/>
      <c r="M88" s="6"/>
      <c r="N88" s="2"/>
    </row>
    <row r="89" spans="3:14" ht="14.25" customHeight="1">
      <c r="C89" s="8"/>
      <c r="D89" s="8"/>
      <c r="E89" s="7"/>
      <c r="F89" s="6"/>
      <c r="G89" s="6"/>
      <c r="H89" s="5"/>
      <c r="I89" s="5"/>
      <c r="J89" s="5"/>
      <c r="K89" s="6"/>
      <c r="L89" s="178"/>
      <c r="M89" s="6"/>
      <c r="N89" s="2"/>
    </row>
    <row r="90" spans="3:14" ht="14.25" customHeight="1">
      <c r="C90" s="8"/>
      <c r="D90" s="8"/>
      <c r="E90" s="7"/>
      <c r="F90" s="6"/>
      <c r="G90" s="6"/>
      <c r="H90" s="5"/>
      <c r="I90" s="5"/>
      <c r="J90" s="5"/>
      <c r="K90" s="6"/>
      <c r="L90" s="178"/>
      <c r="M90" s="6"/>
      <c r="N90" s="2"/>
    </row>
    <row r="91" spans="3:14" ht="14.25" customHeight="1">
      <c r="C91" s="8"/>
      <c r="D91" s="8"/>
      <c r="E91" s="7"/>
      <c r="F91" s="6"/>
      <c r="G91" s="6"/>
      <c r="H91" s="5"/>
      <c r="I91" s="5"/>
      <c r="J91" s="5"/>
      <c r="K91" s="6"/>
      <c r="L91" s="178"/>
      <c r="M91" s="6"/>
      <c r="N91" s="2"/>
    </row>
    <row r="92" spans="3:14" ht="14.25" customHeight="1">
      <c r="C92" s="8"/>
      <c r="D92" s="8"/>
      <c r="E92" s="7"/>
      <c r="F92" s="6"/>
      <c r="G92" s="6"/>
      <c r="H92" s="5"/>
      <c r="I92" s="5"/>
      <c r="J92" s="5"/>
      <c r="K92" s="6"/>
      <c r="L92" s="178"/>
      <c r="M92" s="6"/>
      <c r="N92" s="2"/>
    </row>
    <row r="93" spans="3:14" ht="14.25" customHeight="1">
      <c r="C93" s="8"/>
      <c r="D93" s="8"/>
      <c r="E93" s="7"/>
      <c r="F93" s="6"/>
      <c r="G93" s="6"/>
      <c r="H93" s="5"/>
      <c r="I93" s="5"/>
      <c r="J93" s="5"/>
      <c r="K93" s="6"/>
      <c r="L93" s="178"/>
      <c r="M93" s="6"/>
      <c r="N93" s="2"/>
    </row>
    <row r="94" spans="3:14" ht="14.25" customHeight="1">
      <c r="C94" s="8"/>
      <c r="D94" s="8"/>
      <c r="E94" s="7"/>
      <c r="F94" s="6"/>
      <c r="G94" s="6"/>
      <c r="H94" s="5"/>
      <c r="I94" s="5"/>
      <c r="J94" s="5"/>
      <c r="K94" s="6"/>
      <c r="L94" s="178"/>
      <c r="M94" s="6"/>
      <c r="N94" s="2"/>
    </row>
    <row r="95" spans="3:14" ht="14.25" customHeight="1">
      <c r="C95" s="8"/>
      <c r="D95" s="8"/>
      <c r="E95" s="7"/>
      <c r="F95" s="6"/>
      <c r="G95" s="6"/>
      <c r="H95" s="5"/>
      <c r="I95" s="5"/>
      <c r="J95" s="5"/>
      <c r="K95" s="6"/>
      <c r="L95" s="178"/>
      <c r="M95" s="3"/>
      <c r="N95" s="2"/>
    </row>
    <row r="96" spans="3:14" ht="14.25" customHeight="1">
      <c r="C96" s="8"/>
      <c r="D96" s="8"/>
      <c r="E96" s="7"/>
      <c r="F96" s="6"/>
      <c r="G96" s="5"/>
      <c r="H96" s="5"/>
      <c r="I96" s="5"/>
      <c r="J96" s="5"/>
      <c r="K96" s="4"/>
      <c r="L96" s="178"/>
      <c r="M96" s="3"/>
      <c r="N96" s="2"/>
    </row>
    <row r="97" spans="3:14" ht="14.25" customHeight="1">
      <c r="C97" s="19"/>
      <c r="D97" s="19"/>
      <c r="E97" s="19"/>
      <c r="F97" s="19"/>
      <c r="G97" s="19"/>
      <c r="H97" s="19"/>
      <c r="I97" s="19"/>
      <c r="J97" s="19"/>
      <c r="K97" s="19"/>
      <c r="L97" s="146"/>
      <c r="M97" s="19"/>
      <c r="N97" s="19"/>
    </row>
    <row r="98" spans="3:14" ht="14.25" customHeight="1">
      <c r="C98" s="31"/>
      <c r="D98" s="27"/>
      <c r="E98" s="20"/>
      <c r="F98" s="28"/>
      <c r="G98" s="28"/>
      <c r="H98" s="26"/>
      <c r="I98" s="26"/>
      <c r="J98" s="26"/>
      <c r="K98" s="28"/>
      <c r="L98" s="179"/>
      <c r="M98" s="28"/>
      <c r="N98" s="27"/>
    </row>
    <row r="99" spans="3:14" s="1" customFormat="1" ht="14.25" customHeight="1">
      <c r="C99" s="31"/>
      <c r="D99" s="27"/>
      <c r="E99" s="21"/>
      <c r="F99" s="28"/>
      <c r="G99" s="28"/>
      <c r="H99" s="26"/>
      <c r="I99" s="26"/>
      <c r="J99" s="26"/>
      <c r="K99" s="28"/>
      <c r="L99" s="179"/>
      <c r="M99" s="28"/>
      <c r="N99" s="27"/>
    </row>
    <row r="100" spans="3:14" s="1" customFormat="1" ht="14.25" customHeight="1">
      <c r="C100" s="30"/>
      <c r="D100" s="25"/>
      <c r="E100" s="21"/>
      <c r="F100" s="22"/>
      <c r="G100" s="22"/>
      <c r="H100" s="23"/>
      <c r="I100" s="23"/>
      <c r="J100" s="23"/>
      <c r="K100" s="22"/>
      <c r="L100" s="180"/>
      <c r="M100" s="22"/>
      <c r="N100" s="25"/>
    </row>
  </sheetData>
  <mergeCells count="5">
    <mergeCell ref="C2:G2"/>
    <mergeCell ref="H2:J2"/>
    <mergeCell ref="K2:L2"/>
    <mergeCell ref="M2:M3"/>
    <mergeCell ref="N2:N3"/>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BD8F-AE47-4657-BA2F-4FC19C1A2D43}">
  <sheetPr>
    <tabColor rgb="FF92D050"/>
  </sheetPr>
  <dimension ref="A1:O119"/>
  <sheetViews>
    <sheetView zoomScale="70" zoomScaleNormal="70" workbookViewId="0">
      <pane ySplit="4" topLeftCell="A96" activePane="bottomLeft" state="frozen"/>
      <selection pane="bottomLeft" activeCell="L116" sqref="L116"/>
    </sheetView>
  </sheetViews>
  <sheetFormatPr defaultRowHeight="15"/>
  <cols>
    <col min="2" max="2" width="15.85546875" customWidth="1"/>
    <col min="3" max="3" width="21.42578125" customWidth="1"/>
    <col min="4" max="4" width="49.7109375" bestFit="1"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style="99" customWidth="1"/>
    <col min="13" max="13" width="16.28515625" customWidth="1"/>
    <col min="14" max="14" width="12.85546875" customWidth="1"/>
    <col min="17" max="17" width="73.7109375" bestFit="1" customWidth="1"/>
  </cols>
  <sheetData>
    <row r="1" spans="1:15" s="355" customFormat="1" ht="13.5">
      <c r="L1" s="32"/>
    </row>
    <row r="2" spans="1:15" s="355" customFormat="1" ht="13.5">
      <c r="C2" s="2601" t="s">
        <v>30</v>
      </c>
      <c r="D2" s="2602"/>
      <c r="E2" s="2602"/>
      <c r="F2" s="2602"/>
      <c r="G2" s="2603"/>
      <c r="H2" s="2604" t="s">
        <v>29</v>
      </c>
      <c r="I2" s="2605"/>
      <c r="J2" s="2606"/>
      <c r="K2" s="2601" t="s">
        <v>28</v>
      </c>
      <c r="L2" s="2603"/>
      <c r="M2" s="2594" t="s">
        <v>27</v>
      </c>
      <c r="N2" s="2594" t="s">
        <v>26</v>
      </c>
    </row>
    <row r="3" spans="1:15" s="355" customFormat="1" ht="94.5">
      <c r="C3" s="618" t="s">
        <v>25</v>
      </c>
      <c r="D3" s="852" t="s">
        <v>24</v>
      </c>
      <c r="E3" s="991" t="s">
        <v>23</v>
      </c>
      <c r="F3" s="618" t="s">
        <v>22</v>
      </c>
      <c r="G3" s="532" t="s">
        <v>1303</v>
      </c>
      <c r="H3" s="532" t="s">
        <v>20</v>
      </c>
      <c r="I3" s="532" t="s">
        <v>19</v>
      </c>
      <c r="J3" s="532" t="s">
        <v>18</v>
      </c>
      <c r="K3" s="618" t="s">
        <v>17</v>
      </c>
      <c r="L3" s="605" t="s">
        <v>16</v>
      </c>
      <c r="M3" s="2594"/>
      <c r="N3" s="2594"/>
    </row>
    <row r="4" spans="1:15" s="355" customFormat="1" ht="27">
      <c r="C4" s="1076" t="s">
        <v>15</v>
      </c>
      <c r="D4" s="1076" t="s">
        <v>14</v>
      </c>
      <c r="E4" s="1076" t="s">
        <v>13</v>
      </c>
      <c r="F4" s="1076" t="s">
        <v>12</v>
      </c>
      <c r="G4" s="1076" t="s">
        <v>11</v>
      </c>
      <c r="H4" s="1076" t="s">
        <v>10</v>
      </c>
      <c r="I4" s="1076" t="s">
        <v>9</v>
      </c>
      <c r="J4" s="1076" t="s">
        <v>8</v>
      </c>
      <c r="K4" s="1076" t="s">
        <v>7</v>
      </c>
      <c r="L4" s="1077" t="s">
        <v>6</v>
      </c>
      <c r="M4" s="1076" t="s">
        <v>5</v>
      </c>
      <c r="N4" s="1076" t="s">
        <v>4</v>
      </c>
    </row>
    <row r="5" spans="1:15" s="455" customFormat="1" ht="13.5">
      <c r="A5" s="471"/>
      <c r="B5" s="483"/>
      <c r="C5" s="1378"/>
      <c r="D5" s="1378"/>
      <c r="E5" s="1379"/>
      <c r="F5" s="1380"/>
      <c r="G5" s="636"/>
      <c r="H5" s="1381"/>
      <c r="I5" s="1381"/>
      <c r="J5" s="1381"/>
      <c r="K5" s="1380"/>
      <c r="L5" s="1382"/>
      <c r="M5" s="1381"/>
      <c r="O5" s="631"/>
    </row>
    <row r="6" spans="1:15" s="455" customFormat="1" ht="13.5">
      <c r="A6" s="471"/>
      <c r="B6" s="454"/>
      <c r="C6" s="1378"/>
      <c r="D6" s="1300" t="s">
        <v>2</v>
      </c>
      <c r="E6" s="1316" t="s">
        <v>1375</v>
      </c>
      <c r="F6" s="1317"/>
      <c r="G6" s="1317"/>
      <c r="H6" s="1317"/>
      <c r="I6" s="1345"/>
      <c r="J6" s="1345"/>
      <c r="K6" s="1318"/>
      <c r="L6" s="1346"/>
      <c r="M6" s="1300"/>
      <c r="N6" s="1354"/>
      <c r="O6" s="1383"/>
    </row>
    <row r="7" spans="1:15" s="455" customFormat="1" ht="22.5">
      <c r="A7" s="471"/>
      <c r="B7" s="454" t="s">
        <v>1374</v>
      </c>
      <c r="C7" s="902"/>
      <c r="D7" s="1300"/>
      <c r="E7" s="1386" t="s">
        <v>1376</v>
      </c>
      <c r="F7" s="1352" t="s">
        <v>1104</v>
      </c>
      <c r="G7" s="1294" t="s">
        <v>1084</v>
      </c>
      <c r="H7" s="1294" t="s">
        <v>972</v>
      </c>
      <c r="I7" s="1295" t="s">
        <v>1147</v>
      </c>
      <c r="J7" s="1296" t="s">
        <v>1148</v>
      </c>
      <c r="K7" s="1353" t="s">
        <v>1149</v>
      </c>
      <c r="L7" s="2675">
        <v>187000</v>
      </c>
      <c r="M7" s="1300"/>
      <c r="N7" s="1354"/>
      <c r="O7" s="2676"/>
    </row>
    <row r="8" spans="1:15" s="455" customFormat="1" ht="22.5">
      <c r="A8" s="471"/>
      <c r="B8" s="454" t="s">
        <v>1374</v>
      </c>
      <c r="C8" s="902"/>
      <c r="D8" s="280"/>
      <c r="E8" s="1387" t="s">
        <v>1377</v>
      </c>
      <c r="F8" s="1352" t="s">
        <v>1104</v>
      </c>
      <c r="G8" s="1294" t="s">
        <v>1084</v>
      </c>
      <c r="H8" s="1294" t="s">
        <v>972</v>
      </c>
      <c r="I8" s="1295" t="s">
        <v>1147</v>
      </c>
      <c r="J8" s="1296" t="s">
        <v>1148</v>
      </c>
      <c r="K8" s="1353" t="s">
        <v>1149</v>
      </c>
      <c r="L8" s="2675"/>
      <c r="M8" s="1303"/>
      <c r="N8" s="1354"/>
      <c r="O8" s="2677"/>
    </row>
    <row r="9" spans="1:15" s="455" customFormat="1" ht="22.5">
      <c r="A9" s="471"/>
      <c r="B9" s="454" t="s">
        <v>1374</v>
      </c>
      <c r="C9" s="902"/>
      <c r="D9" s="280"/>
      <c r="E9" s="1388" t="s">
        <v>1378</v>
      </c>
      <c r="F9" s="1352" t="s">
        <v>1104</v>
      </c>
      <c r="G9" s="1294" t="s">
        <v>1084</v>
      </c>
      <c r="H9" s="1294" t="s">
        <v>972</v>
      </c>
      <c r="I9" s="1295" t="s">
        <v>1147</v>
      </c>
      <c r="J9" s="1296" t="s">
        <v>1148</v>
      </c>
      <c r="K9" s="1353" t="s">
        <v>1149</v>
      </c>
      <c r="L9" s="2675"/>
      <c r="M9" s="1303"/>
      <c r="N9" s="1354"/>
      <c r="O9" s="2678"/>
    </row>
    <row r="10" spans="1:15" s="455" customFormat="1" ht="22.5">
      <c r="A10" s="471"/>
      <c r="B10" s="454" t="s">
        <v>1374</v>
      </c>
      <c r="C10" s="314"/>
      <c r="D10" s="280"/>
      <c r="E10" s="1388" t="s">
        <v>1379</v>
      </c>
      <c r="F10" s="1352" t="s">
        <v>1104</v>
      </c>
      <c r="G10" s="1294" t="s">
        <v>1084</v>
      </c>
      <c r="H10" s="1294" t="s">
        <v>972</v>
      </c>
      <c r="I10" s="1295" t="s">
        <v>1147</v>
      </c>
      <c r="J10" s="1296" t="s">
        <v>1148</v>
      </c>
      <c r="K10" s="1353" t="s">
        <v>1149</v>
      </c>
      <c r="L10" s="2675"/>
      <c r="M10" s="1303"/>
      <c r="N10" s="1354"/>
      <c r="O10" s="625"/>
    </row>
    <row r="11" spans="1:15" s="455" customFormat="1" ht="22.5">
      <c r="A11" s="471"/>
      <c r="B11" s="454" t="s">
        <v>1374</v>
      </c>
      <c r="C11" s="314"/>
      <c r="D11" s="280"/>
      <c r="E11" s="1388" t="s">
        <v>1380</v>
      </c>
      <c r="F11" s="1352" t="s">
        <v>1104</v>
      </c>
      <c r="G11" s="1294" t="s">
        <v>1084</v>
      </c>
      <c r="H11" s="1294" t="s">
        <v>972</v>
      </c>
      <c r="I11" s="1295" t="s">
        <v>1147</v>
      </c>
      <c r="J11" s="1296" t="s">
        <v>1148</v>
      </c>
      <c r="K11" s="1353" t="s">
        <v>1149</v>
      </c>
      <c r="L11" s="2675"/>
      <c r="M11" s="1303"/>
      <c r="N11" s="1354"/>
    </row>
    <row r="12" spans="1:15" s="455" customFormat="1" ht="22.5">
      <c r="A12" s="471"/>
      <c r="B12" s="454" t="s">
        <v>1374</v>
      </c>
      <c r="C12" s="314"/>
      <c r="D12" s="280"/>
      <c r="E12" s="1388" t="s">
        <v>1381</v>
      </c>
      <c r="F12" s="1352" t="s">
        <v>1104</v>
      </c>
      <c r="G12" s="1294" t="s">
        <v>1084</v>
      </c>
      <c r="H12" s="1294" t="s">
        <v>972</v>
      </c>
      <c r="I12" s="1295" t="s">
        <v>1147</v>
      </c>
      <c r="J12" s="1296" t="s">
        <v>1148</v>
      </c>
      <c r="K12" s="1353" t="s">
        <v>1149</v>
      </c>
      <c r="L12" s="2675"/>
      <c r="M12" s="1303"/>
      <c r="N12" s="1354"/>
    </row>
    <row r="13" spans="1:15" s="455" customFormat="1" ht="22.5">
      <c r="A13" s="471"/>
      <c r="B13" s="454" t="s">
        <v>1374</v>
      </c>
      <c r="C13" s="314"/>
      <c r="D13" s="280"/>
      <c r="E13" s="1388" t="s">
        <v>1382</v>
      </c>
      <c r="F13" s="1352" t="s">
        <v>1104</v>
      </c>
      <c r="G13" s="1294" t="s">
        <v>1084</v>
      </c>
      <c r="H13" s="1294" t="s">
        <v>972</v>
      </c>
      <c r="I13" s="1295" t="s">
        <v>1147</v>
      </c>
      <c r="J13" s="1296" t="s">
        <v>1148</v>
      </c>
      <c r="K13" s="1353" t="s">
        <v>1149</v>
      </c>
      <c r="L13" s="2675"/>
      <c r="M13" s="1303"/>
      <c r="N13" s="1354"/>
    </row>
    <row r="14" spans="1:15" s="455" customFormat="1" ht="22.5">
      <c r="A14" s="471"/>
      <c r="B14" s="454" t="s">
        <v>1374</v>
      </c>
      <c r="C14" s="2591"/>
      <c r="D14" s="280"/>
      <c r="E14" s="1388" t="s">
        <v>1383</v>
      </c>
      <c r="F14" s="1352" t="s">
        <v>1104</v>
      </c>
      <c r="G14" s="1294" t="s">
        <v>1084</v>
      </c>
      <c r="H14" s="1294" t="s">
        <v>972</v>
      </c>
      <c r="I14" s="1295" t="s">
        <v>1147</v>
      </c>
      <c r="J14" s="1296" t="s">
        <v>1148</v>
      </c>
      <c r="K14" s="1353" t="s">
        <v>1149</v>
      </c>
      <c r="L14" s="2675"/>
      <c r="M14" s="1303"/>
      <c r="N14" s="1354"/>
    </row>
    <row r="15" spans="1:15" s="455" customFormat="1" ht="22.5">
      <c r="A15" s="471"/>
      <c r="B15" s="454" t="s">
        <v>1374</v>
      </c>
      <c r="C15" s="2593"/>
      <c r="D15" s="280"/>
      <c r="E15" s="1388" t="s">
        <v>1384</v>
      </c>
      <c r="F15" s="1352" t="s">
        <v>1104</v>
      </c>
      <c r="G15" s="1294" t="s">
        <v>1084</v>
      </c>
      <c r="H15" s="1294" t="s">
        <v>972</v>
      </c>
      <c r="I15" s="1295" t="s">
        <v>1147</v>
      </c>
      <c r="J15" s="1296" t="s">
        <v>1148</v>
      </c>
      <c r="K15" s="1353" t="s">
        <v>1149</v>
      </c>
      <c r="L15" s="2675"/>
      <c r="M15" s="1303"/>
      <c r="N15" s="1354"/>
    </row>
    <row r="16" spans="1:15" s="455" customFormat="1" ht="22.5">
      <c r="A16" s="471"/>
      <c r="B16" s="454" t="s">
        <v>1374</v>
      </c>
      <c r="C16" s="2591"/>
      <c r="D16" s="280"/>
      <c r="E16" s="1388" t="s">
        <v>1385</v>
      </c>
      <c r="F16" s="1352" t="s">
        <v>1104</v>
      </c>
      <c r="G16" s="1294" t="s">
        <v>1084</v>
      </c>
      <c r="H16" s="1294" t="s">
        <v>972</v>
      </c>
      <c r="I16" s="1295" t="s">
        <v>1147</v>
      </c>
      <c r="J16" s="1296" t="s">
        <v>1148</v>
      </c>
      <c r="K16" s="1353" t="s">
        <v>1149</v>
      </c>
      <c r="L16" s="2675"/>
      <c r="M16" s="1303"/>
      <c r="N16" s="1354"/>
    </row>
    <row r="17" spans="1:14" s="455" customFormat="1" ht="22.5">
      <c r="A17" s="471"/>
      <c r="B17" s="454" t="s">
        <v>1374</v>
      </c>
      <c r="C17" s="2593"/>
      <c r="D17" s="280"/>
      <c r="E17" s="1388" t="s">
        <v>1386</v>
      </c>
      <c r="F17" s="1352" t="s">
        <v>1104</v>
      </c>
      <c r="G17" s="1294" t="s">
        <v>1084</v>
      </c>
      <c r="H17" s="1294" t="s">
        <v>972</v>
      </c>
      <c r="I17" s="1295" t="s">
        <v>1147</v>
      </c>
      <c r="J17" s="1296" t="s">
        <v>1148</v>
      </c>
      <c r="K17" s="1353" t="s">
        <v>1149</v>
      </c>
      <c r="L17" s="2675"/>
      <c r="M17" s="1303"/>
      <c r="N17" s="1354"/>
    </row>
    <row r="18" spans="1:14" s="455" customFormat="1" ht="22.5">
      <c r="A18" s="471"/>
      <c r="B18" s="454" t="s">
        <v>1374</v>
      </c>
      <c r="C18" s="314"/>
      <c r="D18" s="280"/>
      <c r="E18" s="1388" t="s">
        <v>1387</v>
      </c>
      <c r="F18" s="1352" t="s">
        <v>1104</v>
      </c>
      <c r="G18" s="1294" t="s">
        <v>1084</v>
      </c>
      <c r="H18" s="1294" t="s">
        <v>972</v>
      </c>
      <c r="I18" s="1295" t="s">
        <v>1147</v>
      </c>
      <c r="J18" s="1296" t="s">
        <v>1148</v>
      </c>
      <c r="K18" s="1353" t="s">
        <v>1149</v>
      </c>
      <c r="L18" s="2675"/>
      <c r="M18" s="1303"/>
      <c r="N18" s="1354"/>
    </row>
    <row r="19" spans="1:14" s="455" customFormat="1" ht="22.5">
      <c r="A19" s="471"/>
      <c r="B19" s="454" t="s">
        <v>1374</v>
      </c>
      <c r="C19" s="2679"/>
      <c r="D19" s="280"/>
      <c r="E19" s="1388" t="s">
        <v>1388</v>
      </c>
      <c r="F19" s="1352" t="s">
        <v>1104</v>
      </c>
      <c r="G19" s="1294" t="s">
        <v>1084</v>
      </c>
      <c r="H19" s="1294" t="s">
        <v>972</v>
      </c>
      <c r="I19" s="1295" t="s">
        <v>1147</v>
      </c>
      <c r="J19" s="1296" t="s">
        <v>1148</v>
      </c>
      <c r="K19" s="1353" t="s">
        <v>1149</v>
      </c>
      <c r="L19" s="2675"/>
      <c r="M19" s="1303"/>
      <c r="N19" s="1354"/>
    </row>
    <row r="20" spans="1:14" s="455" customFormat="1" ht="22.5">
      <c r="A20" s="471"/>
      <c r="B20" s="454" t="s">
        <v>1374</v>
      </c>
      <c r="C20" s="2679"/>
      <c r="D20" s="280"/>
      <c r="E20" s="1388" t="s">
        <v>1389</v>
      </c>
      <c r="F20" s="1352" t="s">
        <v>1104</v>
      </c>
      <c r="G20" s="1294" t="s">
        <v>1084</v>
      </c>
      <c r="H20" s="1294" t="s">
        <v>972</v>
      </c>
      <c r="I20" s="1295" t="s">
        <v>1147</v>
      </c>
      <c r="J20" s="1296" t="s">
        <v>1148</v>
      </c>
      <c r="K20" s="1353" t="s">
        <v>1149</v>
      </c>
      <c r="L20" s="2675"/>
      <c r="M20" s="1303"/>
      <c r="N20" s="1354"/>
    </row>
    <row r="21" spans="1:14" s="455" customFormat="1" ht="22.5">
      <c r="A21" s="471"/>
      <c r="B21" s="454" t="s">
        <v>1374</v>
      </c>
      <c r="C21" s="2679"/>
      <c r="D21" s="280"/>
      <c r="E21" s="1388" t="s">
        <v>1390</v>
      </c>
      <c r="F21" s="1352" t="s">
        <v>1104</v>
      </c>
      <c r="G21" s="1294" t="s">
        <v>1084</v>
      </c>
      <c r="H21" s="1294" t="s">
        <v>972</v>
      </c>
      <c r="I21" s="1295" t="s">
        <v>1147</v>
      </c>
      <c r="J21" s="1296" t="s">
        <v>1148</v>
      </c>
      <c r="K21" s="1353" t="s">
        <v>1149</v>
      </c>
      <c r="L21" s="2675"/>
      <c r="M21" s="1303"/>
      <c r="N21" s="1354"/>
    </row>
    <row r="22" spans="1:14" s="455" customFormat="1" ht="22.5">
      <c r="A22" s="471"/>
      <c r="B22" s="454" t="s">
        <v>1374</v>
      </c>
      <c r="C22" s="2679"/>
      <c r="D22" s="280"/>
      <c r="E22" s="1387" t="s">
        <v>1391</v>
      </c>
      <c r="F22" s="1352" t="s">
        <v>1104</v>
      </c>
      <c r="G22" s="1294" t="s">
        <v>1084</v>
      </c>
      <c r="H22" s="1294" t="s">
        <v>972</v>
      </c>
      <c r="I22" s="1295" t="s">
        <v>1147</v>
      </c>
      <c r="J22" s="1296" t="s">
        <v>1148</v>
      </c>
      <c r="K22" s="1353" t="s">
        <v>1149</v>
      </c>
      <c r="L22" s="2675"/>
      <c r="M22" s="1303"/>
      <c r="N22" s="1354"/>
    </row>
    <row r="23" spans="1:14" s="455" customFormat="1" ht="22.5">
      <c r="A23" s="471"/>
      <c r="B23" s="454" t="s">
        <v>1374</v>
      </c>
      <c r="C23" s="2591"/>
      <c r="D23" s="280"/>
      <c r="E23" s="1387" t="s">
        <v>1392</v>
      </c>
      <c r="F23" s="1352" t="s">
        <v>1104</v>
      </c>
      <c r="G23" s="1294" t="s">
        <v>1084</v>
      </c>
      <c r="H23" s="1294" t="s">
        <v>972</v>
      </c>
      <c r="I23" s="1295" t="s">
        <v>1147</v>
      </c>
      <c r="J23" s="1296" t="s">
        <v>1148</v>
      </c>
      <c r="K23" s="1353" t="s">
        <v>1149</v>
      </c>
      <c r="L23" s="2675"/>
      <c r="M23" s="1303"/>
      <c r="N23" s="1354"/>
    </row>
    <row r="24" spans="1:14" s="455" customFormat="1" ht="22.5">
      <c r="A24" s="471"/>
      <c r="B24" s="454" t="s">
        <v>1374</v>
      </c>
      <c r="C24" s="2593"/>
      <c r="D24" s="280"/>
      <c r="E24" s="1388" t="s">
        <v>1393</v>
      </c>
      <c r="F24" s="1352" t="s">
        <v>1104</v>
      </c>
      <c r="G24" s="1294" t="s">
        <v>1084</v>
      </c>
      <c r="H24" s="1294" t="s">
        <v>972</v>
      </c>
      <c r="I24" s="1295" t="s">
        <v>1147</v>
      </c>
      <c r="J24" s="1296" t="s">
        <v>1148</v>
      </c>
      <c r="K24" s="1353" t="s">
        <v>1149</v>
      </c>
      <c r="L24" s="2675"/>
      <c r="M24" s="1303"/>
      <c r="N24" s="1354"/>
    </row>
    <row r="25" spans="1:14" s="455" customFormat="1" ht="22.5">
      <c r="A25" s="471"/>
      <c r="B25" s="454" t="s">
        <v>1374</v>
      </c>
      <c r="C25" s="392"/>
      <c r="D25" s="280"/>
      <c r="E25" s="1388" t="s">
        <v>1394</v>
      </c>
      <c r="F25" s="1352" t="s">
        <v>1104</v>
      </c>
      <c r="G25" s="1294" t="s">
        <v>1084</v>
      </c>
      <c r="H25" s="1294" t="s">
        <v>972</v>
      </c>
      <c r="I25" s="1295" t="s">
        <v>1147</v>
      </c>
      <c r="J25" s="1296" t="s">
        <v>1148</v>
      </c>
      <c r="K25" s="1353" t="s">
        <v>1149</v>
      </c>
      <c r="L25" s="2675"/>
      <c r="M25" s="1303"/>
      <c r="N25" s="1354"/>
    </row>
    <row r="26" spans="1:14" s="455" customFormat="1" ht="22.5">
      <c r="A26" s="471"/>
      <c r="B26" s="454" t="s">
        <v>1374</v>
      </c>
      <c r="C26" s="392"/>
      <c r="D26" s="280"/>
      <c r="E26" s="1389" t="s">
        <v>1395</v>
      </c>
      <c r="F26" s="1352" t="s">
        <v>1104</v>
      </c>
      <c r="G26" s="1294" t="s">
        <v>1084</v>
      </c>
      <c r="H26" s="1294" t="s">
        <v>972</v>
      </c>
      <c r="I26" s="1295" t="s">
        <v>1147</v>
      </c>
      <c r="J26" s="1296" t="s">
        <v>1148</v>
      </c>
      <c r="K26" s="1353" t="s">
        <v>1149</v>
      </c>
      <c r="L26" s="2675"/>
      <c r="M26" s="1303"/>
      <c r="N26" s="1354"/>
    </row>
    <row r="27" spans="1:14" s="455" customFormat="1" ht="22.5">
      <c r="A27" s="471"/>
      <c r="B27" s="454" t="s">
        <v>1374</v>
      </c>
      <c r="C27" s="987"/>
      <c r="D27" s="280"/>
      <c r="E27" s="1388" t="s">
        <v>1396</v>
      </c>
      <c r="F27" s="1352" t="s">
        <v>1104</v>
      </c>
      <c r="G27" s="1294" t="s">
        <v>1084</v>
      </c>
      <c r="H27" s="1294" t="s">
        <v>972</v>
      </c>
      <c r="I27" s="1295" t="s">
        <v>1147</v>
      </c>
      <c r="J27" s="1296" t="s">
        <v>1148</v>
      </c>
      <c r="K27" s="1353" t="s">
        <v>1149</v>
      </c>
      <c r="L27" s="2675"/>
      <c r="M27" s="1303"/>
      <c r="N27" s="1354"/>
    </row>
    <row r="28" spans="1:14" s="455" customFormat="1" ht="22.5">
      <c r="A28" s="471"/>
      <c r="B28" s="454" t="s">
        <v>1374</v>
      </c>
      <c r="C28" s="987"/>
      <c r="D28" s="280"/>
      <c r="E28" s="1388" t="s">
        <v>1397</v>
      </c>
      <c r="F28" s="1352" t="s">
        <v>1104</v>
      </c>
      <c r="G28" s="1294" t="s">
        <v>1084</v>
      </c>
      <c r="H28" s="1294" t="s">
        <v>972</v>
      </c>
      <c r="I28" s="1295" t="s">
        <v>1147</v>
      </c>
      <c r="J28" s="1296" t="s">
        <v>1148</v>
      </c>
      <c r="K28" s="1353" t="s">
        <v>1149</v>
      </c>
      <c r="L28" s="2675"/>
      <c r="M28" s="1303"/>
      <c r="N28" s="1354"/>
    </row>
    <row r="29" spans="1:14" s="455" customFormat="1" ht="22.5">
      <c r="A29" s="471"/>
      <c r="B29" s="454" t="s">
        <v>1374</v>
      </c>
      <c r="C29" s="987"/>
      <c r="D29" s="280"/>
      <c r="E29" s="1386" t="s">
        <v>1398</v>
      </c>
      <c r="F29" s="1352" t="s">
        <v>1104</v>
      </c>
      <c r="G29" s="1294" t="s">
        <v>1084</v>
      </c>
      <c r="H29" s="1294" t="s">
        <v>972</v>
      </c>
      <c r="I29" s="1295" t="s">
        <v>1147</v>
      </c>
      <c r="J29" s="1296" t="s">
        <v>1148</v>
      </c>
      <c r="K29" s="1353" t="s">
        <v>1149</v>
      </c>
      <c r="L29" s="2675"/>
      <c r="M29" s="1303"/>
      <c r="N29" s="1354"/>
    </row>
    <row r="30" spans="1:14" s="455" customFormat="1" ht="22.5">
      <c r="A30" s="471"/>
      <c r="B30" s="454" t="s">
        <v>1374</v>
      </c>
      <c r="C30" s="987"/>
      <c r="D30" s="280"/>
      <c r="E30" s="1386" t="s">
        <v>1398</v>
      </c>
      <c r="F30" s="1352" t="s">
        <v>1104</v>
      </c>
      <c r="G30" s="1294" t="s">
        <v>1084</v>
      </c>
      <c r="H30" s="1294" t="s">
        <v>972</v>
      </c>
      <c r="I30" s="1295" t="s">
        <v>1147</v>
      </c>
      <c r="J30" s="1296" t="s">
        <v>1148</v>
      </c>
      <c r="K30" s="1353" t="s">
        <v>1149</v>
      </c>
      <c r="L30" s="2675"/>
      <c r="M30" s="1303"/>
      <c r="N30" s="1354"/>
    </row>
    <row r="31" spans="1:14" s="455" customFormat="1" ht="22.5">
      <c r="A31" s="471"/>
      <c r="B31" s="454" t="s">
        <v>1374</v>
      </c>
      <c r="C31" s="314"/>
      <c r="D31" s="280"/>
      <c r="E31" s="1386" t="s">
        <v>1399</v>
      </c>
      <c r="F31" s="1352" t="s">
        <v>1104</v>
      </c>
      <c r="G31" s="1294" t="s">
        <v>1084</v>
      </c>
      <c r="H31" s="1294" t="s">
        <v>972</v>
      </c>
      <c r="I31" s="1295" t="s">
        <v>1147</v>
      </c>
      <c r="J31" s="1296" t="s">
        <v>1148</v>
      </c>
      <c r="K31" s="1353" t="s">
        <v>1149</v>
      </c>
      <c r="L31" s="2675"/>
      <c r="M31" s="1303"/>
      <c r="N31" s="1354"/>
    </row>
    <row r="32" spans="1:14" s="455" customFormat="1" ht="22.5">
      <c r="A32" s="471"/>
      <c r="B32" s="454" t="s">
        <v>1374</v>
      </c>
      <c r="C32" s="314"/>
      <c r="D32" s="280"/>
      <c r="E32" s="1386" t="s">
        <v>1400</v>
      </c>
      <c r="F32" s="1352" t="s">
        <v>1104</v>
      </c>
      <c r="G32" s="1294" t="s">
        <v>1084</v>
      </c>
      <c r="H32" s="1294" t="s">
        <v>972</v>
      </c>
      <c r="I32" s="1295" t="s">
        <v>1147</v>
      </c>
      <c r="J32" s="1296" t="s">
        <v>1148</v>
      </c>
      <c r="K32" s="1353" t="s">
        <v>1149</v>
      </c>
      <c r="L32" s="2675"/>
      <c r="M32" s="1303"/>
      <c r="N32" s="1354"/>
    </row>
    <row r="33" spans="1:15" s="455" customFormat="1" ht="22.5">
      <c r="A33" s="471"/>
      <c r="B33" s="454" t="s">
        <v>1374</v>
      </c>
      <c r="C33" s="314"/>
      <c r="D33" s="280"/>
      <c r="E33" s="1386" t="s">
        <v>1401</v>
      </c>
      <c r="F33" s="1352" t="s">
        <v>1104</v>
      </c>
      <c r="G33" s="1294" t="s">
        <v>1084</v>
      </c>
      <c r="H33" s="1294" t="s">
        <v>972</v>
      </c>
      <c r="I33" s="1295" t="s">
        <v>1147</v>
      </c>
      <c r="J33" s="1296" t="s">
        <v>1148</v>
      </c>
      <c r="K33" s="1353" t="s">
        <v>1149</v>
      </c>
      <c r="L33" s="2675"/>
      <c r="M33" s="1303"/>
      <c r="N33" s="1354"/>
    </row>
    <row r="34" spans="1:15" s="455" customFormat="1" ht="22.5">
      <c r="A34" s="471"/>
      <c r="B34" s="454" t="s">
        <v>1374</v>
      </c>
      <c r="C34" s="987"/>
      <c r="D34" s="280"/>
      <c r="E34" s="1386" t="s">
        <v>1402</v>
      </c>
      <c r="F34" s="1352" t="s">
        <v>1104</v>
      </c>
      <c r="G34" s="1294" t="s">
        <v>1084</v>
      </c>
      <c r="H34" s="1294" t="s">
        <v>972</v>
      </c>
      <c r="I34" s="1295" t="s">
        <v>1147</v>
      </c>
      <c r="J34" s="1296" t="s">
        <v>1148</v>
      </c>
      <c r="K34" s="1353" t="s">
        <v>1149</v>
      </c>
      <c r="L34" s="2675"/>
      <c r="M34" s="1303"/>
      <c r="N34" s="1354"/>
    </row>
    <row r="35" spans="1:15" s="455" customFormat="1" ht="22.5">
      <c r="A35" s="471"/>
      <c r="B35" s="454" t="s">
        <v>1374</v>
      </c>
      <c r="C35" s="392"/>
      <c r="D35" s="280"/>
      <c r="E35" s="1386" t="s">
        <v>1403</v>
      </c>
      <c r="F35" s="1352" t="s">
        <v>1104</v>
      </c>
      <c r="G35" s="1294" t="s">
        <v>1084</v>
      </c>
      <c r="H35" s="1294" t="s">
        <v>972</v>
      </c>
      <c r="I35" s="1295" t="s">
        <v>1147</v>
      </c>
      <c r="J35" s="1296" t="s">
        <v>1148</v>
      </c>
      <c r="K35" s="1353" t="s">
        <v>1149</v>
      </c>
      <c r="L35" s="2675"/>
      <c r="M35" s="1303"/>
      <c r="N35" s="1354"/>
      <c r="O35" s="458"/>
    </row>
    <row r="36" spans="1:15" s="455" customFormat="1" ht="22.5">
      <c r="A36" s="471"/>
      <c r="B36" s="454" t="s">
        <v>1374</v>
      </c>
      <c r="C36" s="471"/>
      <c r="D36" s="280"/>
      <c r="E36" s="1386" t="s">
        <v>1404</v>
      </c>
      <c r="F36" s="1352" t="s">
        <v>1104</v>
      </c>
      <c r="G36" s="1294" t="s">
        <v>1084</v>
      </c>
      <c r="H36" s="1294" t="s">
        <v>972</v>
      </c>
      <c r="I36" s="1295" t="s">
        <v>1147</v>
      </c>
      <c r="J36" s="1296" t="s">
        <v>1148</v>
      </c>
      <c r="K36" s="1353" t="s">
        <v>1149</v>
      </c>
      <c r="L36" s="2675"/>
      <c r="M36" s="1303"/>
      <c r="N36" s="1354"/>
      <c r="O36" s="458"/>
    </row>
    <row r="37" spans="1:15" s="455" customFormat="1" ht="22.5">
      <c r="A37" s="471"/>
      <c r="B37" s="454" t="s">
        <v>1374</v>
      </c>
      <c r="C37" s="471"/>
      <c r="D37" s="280"/>
      <c r="E37" s="1386" t="s">
        <v>1405</v>
      </c>
      <c r="F37" s="1352" t="s">
        <v>1104</v>
      </c>
      <c r="G37" s="1294" t="s">
        <v>1084</v>
      </c>
      <c r="H37" s="1294" t="s">
        <v>972</v>
      </c>
      <c r="I37" s="1295" t="s">
        <v>1147</v>
      </c>
      <c r="J37" s="1296" t="s">
        <v>1148</v>
      </c>
      <c r="K37" s="1353" t="s">
        <v>1149</v>
      </c>
      <c r="L37" s="2675"/>
      <c r="M37" s="1303"/>
      <c r="N37" s="1354"/>
      <c r="O37" s="458"/>
    </row>
    <row r="38" spans="1:15" s="455" customFormat="1" ht="22.5">
      <c r="A38" s="471"/>
      <c r="B38" s="454" t="s">
        <v>1374</v>
      </c>
      <c r="C38" s="314"/>
      <c r="D38" s="280"/>
      <c r="E38" s="1390" t="s">
        <v>1406</v>
      </c>
      <c r="F38" s="1352" t="s">
        <v>1104</v>
      </c>
      <c r="G38" s="1294" t="s">
        <v>1084</v>
      </c>
      <c r="H38" s="1294" t="s">
        <v>972</v>
      </c>
      <c r="I38" s="1295" t="s">
        <v>1147</v>
      </c>
      <c r="J38" s="1296" t="s">
        <v>1148</v>
      </c>
      <c r="K38" s="1353" t="s">
        <v>1149</v>
      </c>
      <c r="L38" s="2675"/>
      <c r="M38" s="1303"/>
      <c r="N38" s="1354"/>
    </row>
    <row r="39" spans="1:15" s="455" customFormat="1" ht="22.5">
      <c r="A39" s="471"/>
      <c r="B39" s="454" t="s">
        <v>1374</v>
      </c>
      <c r="C39" s="314"/>
      <c r="D39" s="280"/>
      <c r="E39" s="1390" t="s">
        <v>1406</v>
      </c>
      <c r="F39" s="1352" t="s">
        <v>1104</v>
      </c>
      <c r="G39" s="1294" t="s">
        <v>1084</v>
      </c>
      <c r="H39" s="1294" t="s">
        <v>972</v>
      </c>
      <c r="I39" s="1295" t="s">
        <v>1147</v>
      </c>
      <c r="J39" s="1296" t="s">
        <v>1148</v>
      </c>
      <c r="K39" s="1353" t="s">
        <v>1149</v>
      </c>
      <c r="L39" s="2675"/>
      <c r="M39" s="1303"/>
      <c r="N39" s="1354"/>
    </row>
    <row r="40" spans="1:15" s="455" customFormat="1" ht="22.5">
      <c r="A40" s="471"/>
      <c r="B40" s="454" t="s">
        <v>1374</v>
      </c>
      <c r="C40" s="314"/>
      <c r="D40" s="280"/>
      <c r="E40" s="1386" t="s">
        <v>1407</v>
      </c>
      <c r="F40" s="1352" t="s">
        <v>1104</v>
      </c>
      <c r="G40" s="1294" t="s">
        <v>1084</v>
      </c>
      <c r="H40" s="1294" t="s">
        <v>972</v>
      </c>
      <c r="I40" s="1295" t="s">
        <v>1147</v>
      </c>
      <c r="J40" s="1296" t="s">
        <v>1148</v>
      </c>
      <c r="K40" s="1353" t="s">
        <v>1149</v>
      </c>
      <c r="L40" s="2675"/>
      <c r="M40" s="1303"/>
      <c r="N40" s="1354"/>
    </row>
    <row r="41" spans="1:15" s="455" customFormat="1" ht="22.5">
      <c r="A41" s="471"/>
      <c r="B41" s="454" t="s">
        <v>1374</v>
      </c>
      <c r="C41" s="314"/>
      <c r="D41" s="280"/>
      <c r="E41" s="1386" t="s">
        <v>1408</v>
      </c>
      <c r="F41" s="1352" t="s">
        <v>1104</v>
      </c>
      <c r="G41" s="1294" t="s">
        <v>1084</v>
      </c>
      <c r="H41" s="1294" t="s">
        <v>972</v>
      </c>
      <c r="I41" s="1295" t="s">
        <v>1147</v>
      </c>
      <c r="J41" s="1296" t="s">
        <v>1148</v>
      </c>
      <c r="K41" s="1353" t="s">
        <v>1149</v>
      </c>
      <c r="L41" s="2675"/>
      <c r="M41" s="1303"/>
      <c r="N41" s="1354"/>
    </row>
    <row r="42" spans="1:15" s="455" customFormat="1" ht="22.5">
      <c r="A42" s="471"/>
      <c r="B42" s="454" t="s">
        <v>1374</v>
      </c>
      <c r="C42" s="314"/>
      <c r="D42" s="280"/>
      <c r="E42" s="1386" t="s">
        <v>1409</v>
      </c>
      <c r="F42" s="1352" t="s">
        <v>1104</v>
      </c>
      <c r="G42" s="1294" t="s">
        <v>1084</v>
      </c>
      <c r="H42" s="1294" t="s">
        <v>972</v>
      </c>
      <c r="I42" s="1295" t="s">
        <v>1147</v>
      </c>
      <c r="J42" s="1296" t="s">
        <v>1148</v>
      </c>
      <c r="K42" s="1353" t="s">
        <v>1149</v>
      </c>
      <c r="L42" s="2675"/>
      <c r="M42" s="1303"/>
      <c r="N42" s="1354"/>
    </row>
    <row r="43" spans="1:15" s="455" customFormat="1" ht="22.5">
      <c r="A43" s="471"/>
      <c r="B43" s="454" t="s">
        <v>1374</v>
      </c>
      <c r="C43" s="314"/>
      <c r="D43" s="280"/>
      <c r="E43" s="1386" t="s">
        <v>1410</v>
      </c>
      <c r="F43" s="1352" t="s">
        <v>1104</v>
      </c>
      <c r="G43" s="1294" t="s">
        <v>1084</v>
      </c>
      <c r="H43" s="1294" t="s">
        <v>972</v>
      </c>
      <c r="I43" s="1295" t="s">
        <v>1147</v>
      </c>
      <c r="J43" s="1296" t="s">
        <v>1148</v>
      </c>
      <c r="K43" s="1353" t="s">
        <v>1149</v>
      </c>
      <c r="L43" s="2675"/>
      <c r="M43" s="1303"/>
      <c r="N43" s="1354"/>
    </row>
    <row r="44" spans="1:15" s="455" customFormat="1" ht="22.5">
      <c r="A44" s="471"/>
      <c r="B44" s="454" t="s">
        <v>1374</v>
      </c>
      <c r="C44" s="314"/>
      <c r="D44" s="280"/>
      <c r="E44" s="1386" t="s">
        <v>1411</v>
      </c>
      <c r="F44" s="1352" t="s">
        <v>1104</v>
      </c>
      <c r="G44" s="1294" t="s">
        <v>1084</v>
      </c>
      <c r="H44" s="1294" t="s">
        <v>972</v>
      </c>
      <c r="I44" s="1295" t="s">
        <v>1147</v>
      </c>
      <c r="J44" s="1296" t="s">
        <v>1148</v>
      </c>
      <c r="K44" s="1353" t="s">
        <v>1149</v>
      </c>
      <c r="L44" s="2675"/>
      <c r="M44" s="1303"/>
      <c r="N44" s="1354"/>
    </row>
    <row r="45" spans="1:15" s="455" customFormat="1" ht="22.5">
      <c r="A45" s="471"/>
      <c r="B45" s="454" t="s">
        <v>1374</v>
      </c>
      <c r="C45" s="314"/>
      <c r="D45" s="280"/>
      <c r="E45" s="1386" t="s">
        <v>1412</v>
      </c>
      <c r="F45" s="1352" t="s">
        <v>1104</v>
      </c>
      <c r="G45" s="1294" t="s">
        <v>1084</v>
      </c>
      <c r="H45" s="1294" t="s">
        <v>972</v>
      </c>
      <c r="I45" s="1295" t="s">
        <v>1147</v>
      </c>
      <c r="J45" s="1296" t="s">
        <v>1148</v>
      </c>
      <c r="K45" s="1353" t="s">
        <v>1149</v>
      </c>
      <c r="L45" s="2675"/>
      <c r="M45" s="1303"/>
      <c r="N45" s="1354"/>
    </row>
    <row r="46" spans="1:15" s="455" customFormat="1" ht="22.5">
      <c r="A46" s="471"/>
      <c r="B46" s="454" t="s">
        <v>1374</v>
      </c>
      <c r="C46" s="314"/>
      <c r="D46" s="280"/>
      <c r="E46" s="1386" t="s">
        <v>1413</v>
      </c>
      <c r="F46" s="1352" t="s">
        <v>1104</v>
      </c>
      <c r="G46" s="1294" t="s">
        <v>1084</v>
      </c>
      <c r="H46" s="1294" t="s">
        <v>972</v>
      </c>
      <c r="I46" s="1295" t="s">
        <v>1147</v>
      </c>
      <c r="J46" s="1296" t="s">
        <v>1148</v>
      </c>
      <c r="K46" s="1353" t="s">
        <v>1149</v>
      </c>
      <c r="L46" s="2675"/>
      <c r="M46" s="1303"/>
      <c r="N46" s="1354"/>
    </row>
    <row r="47" spans="1:15" s="455" customFormat="1" ht="22.5">
      <c r="A47" s="471"/>
      <c r="B47" s="454" t="s">
        <v>1374</v>
      </c>
      <c r="C47" s="314"/>
      <c r="D47" s="280"/>
      <c r="E47" s="1386" t="s">
        <v>1413</v>
      </c>
      <c r="F47" s="1352" t="s">
        <v>1104</v>
      </c>
      <c r="G47" s="1294" t="s">
        <v>1084</v>
      </c>
      <c r="H47" s="1294" t="s">
        <v>972</v>
      </c>
      <c r="I47" s="1295" t="s">
        <v>1147</v>
      </c>
      <c r="J47" s="1296" t="s">
        <v>1148</v>
      </c>
      <c r="K47" s="1353" t="s">
        <v>1149</v>
      </c>
      <c r="L47" s="2675"/>
      <c r="M47" s="1303"/>
      <c r="N47" s="1354"/>
    </row>
    <row r="48" spans="1:15" s="455" customFormat="1" ht="22.5">
      <c r="A48" s="471"/>
      <c r="B48" s="454" t="s">
        <v>1374</v>
      </c>
      <c r="C48" s="314"/>
      <c r="D48" s="280"/>
      <c r="E48" s="1386" t="s">
        <v>1414</v>
      </c>
      <c r="F48" s="1352" t="s">
        <v>1104</v>
      </c>
      <c r="G48" s="1294" t="s">
        <v>1084</v>
      </c>
      <c r="H48" s="1294" t="s">
        <v>972</v>
      </c>
      <c r="I48" s="1295" t="s">
        <v>1147</v>
      </c>
      <c r="J48" s="1296" t="s">
        <v>1148</v>
      </c>
      <c r="K48" s="1353" t="s">
        <v>1149</v>
      </c>
      <c r="L48" s="2675"/>
      <c r="M48" s="1303"/>
      <c r="N48" s="1354"/>
    </row>
    <row r="49" spans="1:15" s="455" customFormat="1" ht="22.5">
      <c r="A49" s="471"/>
      <c r="B49" s="454" t="s">
        <v>1374</v>
      </c>
      <c r="C49" s="314"/>
      <c r="D49" s="280"/>
      <c r="E49" s="1390" t="s">
        <v>1415</v>
      </c>
      <c r="F49" s="1352" t="s">
        <v>1104</v>
      </c>
      <c r="G49" s="1294" t="s">
        <v>1084</v>
      </c>
      <c r="H49" s="1294" t="s">
        <v>972</v>
      </c>
      <c r="I49" s="1295" t="s">
        <v>1147</v>
      </c>
      <c r="J49" s="1296" t="s">
        <v>1148</v>
      </c>
      <c r="K49" s="1353" t="s">
        <v>1149</v>
      </c>
      <c r="L49" s="2675"/>
      <c r="M49" s="1303"/>
      <c r="N49" s="1354"/>
    </row>
    <row r="50" spans="1:15" s="455" customFormat="1" ht="22.5">
      <c r="A50" s="471"/>
      <c r="B50" s="454" t="s">
        <v>1374</v>
      </c>
      <c r="C50" s="314"/>
      <c r="D50" s="280"/>
      <c r="E50" s="1390" t="s">
        <v>1416</v>
      </c>
      <c r="F50" s="1352" t="s">
        <v>1104</v>
      </c>
      <c r="G50" s="1294" t="s">
        <v>1084</v>
      </c>
      <c r="H50" s="1294" t="s">
        <v>972</v>
      </c>
      <c r="I50" s="1295" t="s">
        <v>1147</v>
      </c>
      <c r="J50" s="1296" t="s">
        <v>1148</v>
      </c>
      <c r="K50" s="1353" t="s">
        <v>1149</v>
      </c>
      <c r="L50" s="2675"/>
      <c r="M50" s="1303"/>
      <c r="N50" s="1354"/>
    </row>
    <row r="51" spans="1:15" s="455" customFormat="1" ht="22.5">
      <c r="A51" s="471"/>
      <c r="B51" s="454" t="s">
        <v>1374</v>
      </c>
      <c r="C51" s="2591"/>
      <c r="D51" s="280"/>
      <c r="E51" s="1390" t="s">
        <v>1417</v>
      </c>
      <c r="F51" s="1352" t="s">
        <v>1104</v>
      </c>
      <c r="G51" s="1294" t="s">
        <v>1084</v>
      </c>
      <c r="H51" s="1294" t="s">
        <v>972</v>
      </c>
      <c r="I51" s="1295" t="s">
        <v>1147</v>
      </c>
      <c r="J51" s="1296" t="s">
        <v>1148</v>
      </c>
      <c r="K51" s="1353" t="s">
        <v>1149</v>
      </c>
      <c r="L51" s="2675"/>
      <c r="M51" s="1303"/>
      <c r="N51" s="1354"/>
    </row>
    <row r="52" spans="1:15" s="455" customFormat="1" ht="22.5">
      <c r="A52" s="471"/>
      <c r="B52" s="454" t="s">
        <v>1374</v>
      </c>
      <c r="C52" s="2593"/>
      <c r="D52" s="280"/>
      <c r="E52" s="1386" t="s">
        <v>1418</v>
      </c>
      <c r="F52" s="1352" t="s">
        <v>1104</v>
      </c>
      <c r="G52" s="1294" t="s">
        <v>1084</v>
      </c>
      <c r="H52" s="1294" t="s">
        <v>972</v>
      </c>
      <c r="I52" s="1295" t="s">
        <v>1147</v>
      </c>
      <c r="J52" s="1296" t="s">
        <v>1148</v>
      </c>
      <c r="K52" s="1353" t="s">
        <v>1149</v>
      </c>
      <c r="L52" s="2675"/>
      <c r="M52" s="1303"/>
      <c r="N52" s="1354"/>
    </row>
    <row r="53" spans="1:15" s="455" customFormat="1" ht="22.5">
      <c r="A53" s="471"/>
      <c r="B53" s="454" t="s">
        <v>1374</v>
      </c>
      <c r="C53" s="2591"/>
      <c r="D53" s="280"/>
      <c r="E53" s="1386" t="s">
        <v>1419</v>
      </c>
      <c r="F53" s="1352" t="s">
        <v>1104</v>
      </c>
      <c r="G53" s="1294" t="s">
        <v>1084</v>
      </c>
      <c r="H53" s="1294" t="s">
        <v>972</v>
      </c>
      <c r="I53" s="1295" t="s">
        <v>1147</v>
      </c>
      <c r="J53" s="1296" t="s">
        <v>1148</v>
      </c>
      <c r="K53" s="1353" t="s">
        <v>1149</v>
      </c>
      <c r="L53" s="2675"/>
      <c r="M53" s="1303"/>
      <c r="N53" s="1354"/>
    </row>
    <row r="54" spans="1:15" s="455" customFormat="1" ht="22.5">
      <c r="A54" s="471"/>
      <c r="B54" s="454" t="s">
        <v>1374</v>
      </c>
      <c r="C54" s="2592"/>
      <c r="D54" s="280"/>
      <c r="E54" s="1386" t="s">
        <v>1420</v>
      </c>
      <c r="F54" s="1352" t="s">
        <v>1104</v>
      </c>
      <c r="G54" s="1294" t="s">
        <v>1084</v>
      </c>
      <c r="H54" s="1294" t="s">
        <v>972</v>
      </c>
      <c r="I54" s="1295" t="s">
        <v>1147</v>
      </c>
      <c r="J54" s="1296" t="s">
        <v>1148</v>
      </c>
      <c r="K54" s="1353" t="s">
        <v>1149</v>
      </c>
      <c r="L54" s="2675"/>
      <c r="M54" s="1303"/>
      <c r="N54" s="1354"/>
    </row>
    <row r="55" spans="1:15" s="455" customFormat="1" ht="22.5">
      <c r="A55" s="471"/>
      <c r="B55" s="454" t="s">
        <v>1374</v>
      </c>
      <c r="C55" s="2593"/>
      <c r="D55" s="280"/>
      <c r="E55" s="1386" t="s">
        <v>1421</v>
      </c>
      <c r="F55" s="1352" t="s">
        <v>1104</v>
      </c>
      <c r="G55" s="1294" t="s">
        <v>1084</v>
      </c>
      <c r="H55" s="1294" t="s">
        <v>972</v>
      </c>
      <c r="I55" s="1295" t="s">
        <v>1147</v>
      </c>
      <c r="J55" s="1296" t="s">
        <v>1148</v>
      </c>
      <c r="K55" s="1353" t="s">
        <v>1149</v>
      </c>
      <c r="L55" s="2675"/>
      <c r="M55" s="1303"/>
      <c r="N55" s="1354"/>
    </row>
    <row r="56" spans="1:15" s="455" customFormat="1" ht="22.5">
      <c r="A56" s="471"/>
      <c r="B56" s="454" t="s">
        <v>1374</v>
      </c>
      <c r="C56" s="314"/>
      <c r="D56" s="280"/>
      <c r="E56" s="1386" t="s">
        <v>1422</v>
      </c>
      <c r="F56" s="1352" t="s">
        <v>1104</v>
      </c>
      <c r="G56" s="1294" t="s">
        <v>1084</v>
      </c>
      <c r="H56" s="1294" t="s">
        <v>972</v>
      </c>
      <c r="I56" s="1295" t="s">
        <v>1147</v>
      </c>
      <c r="J56" s="1296" t="s">
        <v>1148</v>
      </c>
      <c r="K56" s="1353" t="s">
        <v>1149</v>
      </c>
      <c r="L56" s="2675"/>
      <c r="M56" s="1303"/>
      <c r="N56" s="1354"/>
    </row>
    <row r="57" spans="1:15" s="455" customFormat="1" ht="22.5">
      <c r="A57" s="471"/>
      <c r="B57" s="454" t="s">
        <v>1374</v>
      </c>
      <c r="C57" s="314"/>
      <c r="D57" s="280"/>
      <c r="E57" s="1386" t="s">
        <v>1423</v>
      </c>
      <c r="F57" s="1352" t="s">
        <v>1104</v>
      </c>
      <c r="G57" s="1294" t="s">
        <v>1084</v>
      </c>
      <c r="H57" s="1294" t="s">
        <v>972</v>
      </c>
      <c r="I57" s="1295" t="s">
        <v>1147</v>
      </c>
      <c r="J57" s="1296" t="s">
        <v>1148</v>
      </c>
      <c r="K57" s="1353" t="s">
        <v>1149</v>
      </c>
      <c r="L57" s="2675"/>
      <c r="M57" s="1303"/>
      <c r="N57" s="1354"/>
    </row>
    <row r="58" spans="1:15" s="455" customFormat="1" ht="22.5">
      <c r="B58" s="454" t="s">
        <v>1374</v>
      </c>
      <c r="C58" s="314"/>
      <c r="D58" s="280"/>
      <c r="E58" s="1386" t="s">
        <v>1424</v>
      </c>
      <c r="F58" s="1352" t="s">
        <v>1104</v>
      </c>
      <c r="G58" s="1294" t="s">
        <v>1084</v>
      </c>
      <c r="H58" s="1294" t="s">
        <v>972</v>
      </c>
      <c r="I58" s="1295" t="s">
        <v>1147</v>
      </c>
      <c r="J58" s="1296" t="s">
        <v>1148</v>
      </c>
      <c r="K58" s="1353" t="s">
        <v>1149</v>
      </c>
      <c r="L58" s="2675"/>
      <c r="M58" s="1303"/>
      <c r="N58" s="1354"/>
    </row>
    <row r="59" spans="1:15" s="455" customFormat="1" ht="22.5">
      <c r="B59" s="454" t="s">
        <v>1374</v>
      </c>
      <c r="C59" s="902"/>
      <c r="D59" s="280"/>
      <c r="E59" s="1386" t="s">
        <v>1425</v>
      </c>
      <c r="F59" s="1352" t="s">
        <v>1104</v>
      </c>
      <c r="G59" s="1294" t="s">
        <v>1084</v>
      </c>
      <c r="H59" s="1294" t="s">
        <v>972</v>
      </c>
      <c r="I59" s="1295" t="s">
        <v>1147</v>
      </c>
      <c r="J59" s="1296" t="s">
        <v>1148</v>
      </c>
      <c r="K59" s="1353" t="s">
        <v>1149</v>
      </c>
      <c r="L59" s="2675"/>
      <c r="M59" s="1303"/>
      <c r="N59" s="1354"/>
    </row>
    <row r="60" spans="1:15" s="455" customFormat="1" ht="22.5">
      <c r="A60" s="566"/>
      <c r="B60" s="454" t="s">
        <v>1374</v>
      </c>
      <c r="C60" s="499"/>
      <c r="D60" s="280"/>
      <c r="E60" s="1386" t="s">
        <v>1425</v>
      </c>
      <c r="F60" s="1352" t="s">
        <v>1104</v>
      </c>
      <c r="G60" s="1294" t="s">
        <v>1084</v>
      </c>
      <c r="H60" s="1294" t="s">
        <v>972</v>
      </c>
      <c r="I60" s="1295" t="s">
        <v>1147</v>
      </c>
      <c r="J60" s="1296" t="s">
        <v>1148</v>
      </c>
      <c r="K60" s="1353" t="s">
        <v>1149</v>
      </c>
      <c r="L60" s="2675"/>
      <c r="M60" s="1303"/>
      <c r="N60" s="1354"/>
    </row>
    <row r="61" spans="1:15" s="455" customFormat="1" ht="22.5">
      <c r="A61" s="566"/>
      <c r="B61" s="454" t="s">
        <v>1374</v>
      </c>
      <c r="C61" s="497"/>
      <c r="D61" s="280"/>
      <c r="E61" s="1390" t="s">
        <v>1426</v>
      </c>
      <c r="F61" s="1352" t="s">
        <v>1104</v>
      </c>
      <c r="G61" s="1294" t="s">
        <v>1084</v>
      </c>
      <c r="H61" s="1294" t="s">
        <v>972</v>
      </c>
      <c r="I61" s="1295" t="s">
        <v>1147</v>
      </c>
      <c r="J61" s="1296" t="s">
        <v>1148</v>
      </c>
      <c r="K61" s="1353" t="s">
        <v>1149</v>
      </c>
      <c r="L61" s="2675"/>
      <c r="M61" s="1303"/>
      <c r="N61" s="1354"/>
      <c r="O61" s="502"/>
    </row>
    <row r="62" spans="1:15" s="455" customFormat="1" ht="22.5">
      <c r="A62" s="566"/>
      <c r="B62" s="454" t="s">
        <v>1374</v>
      </c>
      <c r="C62" s="497"/>
      <c r="D62" s="280"/>
      <c r="E62" s="1386" t="s">
        <v>1427</v>
      </c>
      <c r="F62" s="1352" t="s">
        <v>1104</v>
      </c>
      <c r="G62" s="1294" t="s">
        <v>1084</v>
      </c>
      <c r="H62" s="1294" t="s">
        <v>972</v>
      </c>
      <c r="I62" s="1295" t="s">
        <v>1147</v>
      </c>
      <c r="J62" s="1296" t="s">
        <v>1148</v>
      </c>
      <c r="K62" s="1353" t="s">
        <v>1149</v>
      </c>
      <c r="L62" s="2675"/>
      <c r="M62" s="1303"/>
      <c r="N62" s="1354"/>
      <c r="O62" s="502"/>
    </row>
    <row r="63" spans="1:15" s="455" customFormat="1" ht="22.5">
      <c r="A63" s="566"/>
      <c r="B63" s="454" t="s">
        <v>1374</v>
      </c>
      <c r="C63" s="497"/>
      <c r="D63" s="280"/>
      <c r="E63" s="1386" t="s">
        <v>1428</v>
      </c>
      <c r="F63" s="1352" t="s">
        <v>1104</v>
      </c>
      <c r="G63" s="1294" t="s">
        <v>1084</v>
      </c>
      <c r="H63" s="1294" t="s">
        <v>972</v>
      </c>
      <c r="I63" s="1295" t="s">
        <v>1147</v>
      </c>
      <c r="J63" s="1296" t="s">
        <v>1148</v>
      </c>
      <c r="K63" s="1353" t="s">
        <v>1149</v>
      </c>
      <c r="L63" s="2675"/>
      <c r="M63" s="1303"/>
      <c r="N63" s="1354"/>
      <c r="O63" s="502"/>
    </row>
    <row r="64" spans="1:15" s="455" customFormat="1" ht="22.5">
      <c r="A64" s="566"/>
      <c r="B64" s="454" t="s">
        <v>1374</v>
      </c>
      <c r="C64" s="497"/>
      <c r="D64" s="280"/>
      <c r="E64" s="1390" t="s">
        <v>1429</v>
      </c>
      <c r="F64" s="1352" t="s">
        <v>1104</v>
      </c>
      <c r="G64" s="1294" t="s">
        <v>1084</v>
      </c>
      <c r="H64" s="1294" t="s">
        <v>972</v>
      </c>
      <c r="I64" s="1295" t="s">
        <v>1147</v>
      </c>
      <c r="J64" s="1296" t="s">
        <v>1148</v>
      </c>
      <c r="K64" s="1353" t="s">
        <v>1149</v>
      </c>
      <c r="L64" s="2675"/>
      <c r="M64" s="1303"/>
      <c r="N64" s="1354"/>
      <c r="O64" s="502"/>
    </row>
    <row r="65" spans="1:15" s="455" customFormat="1" ht="22.5">
      <c r="B65" s="454" t="s">
        <v>1374</v>
      </c>
      <c r="C65" s="1384"/>
      <c r="D65" s="280"/>
      <c r="E65" s="1390" t="s">
        <v>1430</v>
      </c>
      <c r="F65" s="1352" t="s">
        <v>1104</v>
      </c>
      <c r="G65" s="1294" t="s">
        <v>1084</v>
      </c>
      <c r="H65" s="1294" t="s">
        <v>972</v>
      </c>
      <c r="I65" s="1295" t="s">
        <v>1147</v>
      </c>
      <c r="J65" s="1296" t="s">
        <v>1148</v>
      </c>
      <c r="K65" s="1353" t="s">
        <v>1149</v>
      </c>
      <c r="L65" s="2675"/>
      <c r="M65" s="1303"/>
      <c r="N65" s="1354"/>
    </row>
    <row r="66" spans="1:15" s="455" customFormat="1" ht="22.5">
      <c r="B66" s="454" t="s">
        <v>1374</v>
      </c>
      <c r="C66" s="1384"/>
      <c r="D66" s="280"/>
      <c r="E66" s="1390" t="s">
        <v>1431</v>
      </c>
      <c r="F66" s="1352" t="s">
        <v>1104</v>
      </c>
      <c r="G66" s="1294" t="s">
        <v>1084</v>
      </c>
      <c r="H66" s="1294" t="s">
        <v>972</v>
      </c>
      <c r="I66" s="1295" t="s">
        <v>1147</v>
      </c>
      <c r="J66" s="1296" t="s">
        <v>1148</v>
      </c>
      <c r="K66" s="1353" t="s">
        <v>1149</v>
      </c>
      <c r="L66" s="2675"/>
      <c r="M66" s="1303"/>
      <c r="N66" s="1354"/>
    </row>
    <row r="67" spans="1:15" s="455" customFormat="1" ht="22.5">
      <c r="A67" s="566"/>
      <c r="B67" s="454" t="s">
        <v>1374</v>
      </c>
      <c r="C67" s="499"/>
      <c r="D67" s="280"/>
      <c r="E67" s="1386" t="s">
        <v>1432</v>
      </c>
      <c r="F67" s="1352" t="s">
        <v>1104</v>
      </c>
      <c r="G67" s="1294" t="s">
        <v>1084</v>
      </c>
      <c r="H67" s="1294" t="s">
        <v>972</v>
      </c>
      <c r="I67" s="1295" t="s">
        <v>1147</v>
      </c>
      <c r="J67" s="1296" t="s">
        <v>1148</v>
      </c>
      <c r="K67" s="1353" t="s">
        <v>1149</v>
      </c>
      <c r="L67" s="2675"/>
      <c r="M67" s="1303"/>
      <c r="N67" s="1354"/>
    </row>
    <row r="68" spans="1:15" s="455" customFormat="1" ht="22.5">
      <c r="A68" s="566"/>
      <c r="B68" s="454" t="s">
        <v>1374</v>
      </c>
      <c r="C68" s="497"/>
      <c r="D68" s="280"/>
      <c r="E68" s="1390" t="s">
        <v>1433</v>
      </c>
      <c r="F68" s="1352" t="s">
        <v>1104</v>
      </c>
      <c r="G68" s="1294" t="s">
        <v>1084</v>
      </c>
      <c r="H68" s="1294" t="s">
        <v>972</v>
      </c>
      <c r="I68" s="1295" t="s">
        <v>1147</v>
      </c>
      <c r="J68" s="1296" t="s">
        <v>1148</v>
      </c>
      <c r="K68" s="1353" t="s">
        <v>1149</v>
      </c>
      <c r="L68" s="2675"/>
      <c r="M68" s="1303"/>
      <c r="N68" s="1354"/>
      <c r="O68" s="502"/>
    </row>
    <row r="69" spans="1:15" s="455" customFormat="1" ht="22.5">
      <c r="A69" s="566"/>
      <c r="B69" s="454" t="s">
        <v>1374</v>
      </c>
      <c r="C69" s="497"/>
      <c r="D69" s="280"/>
      <c r="E69" s="1386" t="s">
        <v>1434</v>
      </c>
      <c r="F69" s="1352" t="s">
        <v>1104</v>
      </c>
      <c r="G69" s="1294" t="s">
        <v>1084</v>
      </c>
      <c r="H69" s="1294" t="s">
        <v>972</v>
      </c>
      <c r="I69" s="1295" t="s">
        <v>1147</v>
      </c>
      <c r="J69" s="1296" t="s">
        <v>1148</v>
      </c>
      <c r="K69" s="1353" t="s">
        <v>1149</v>
      </c>
      <c r="L69" s="2675"/>
      <c r="M69" s="1303"/>
      <c r="N69" s="1354"/>
      <c r="O69" s="502"/>
    </row>
    <row r="70" spans="1:15" s="455" customFormat="1" ht="22.5">
      <c r="A70" s="566"/>
      <c r="B70" s="454" t="s">
        <v>1374</v>
      </c>
      <c r="C70" s="497"/>
      <c r="D70" s="280"/>
      <c r="E70" s="1386" t="s">
        <v>1435</v>
      </c>
      <c r="F70" s="1352" t="s">
        <v>1104</v>
      </c>
      <c r="G70" s="1294" t="s">
        <v>1084</v>
      </c>
      <c r="H70" s="1294" t="s">
        <v>972</v>
      </c>
      <c r="I70" s="1295" t="s">
        <v>1147</v>
      </c>
      <c r="J70" s="1296" t="s">
        <v>1148</v>
      </c>
      <c r="K70" s="1353" t="s">
        <v>1149</v>
      </c>
      <c r="L70" s="2675"/>
      <c r="M70" s="1303"/>
      <c r="N70" s="1354"/>
      <c r="O70" s="502"/>
    </row>
    <row r="71" spans="1:15" s="455" customFormat="1" ht="22.5">
      <c r="A71" s="566"/>
      <c r="B71" s="454" t="s">
        <v>1374</v>
      </c>
      <c r="C71" s="497"/>
      <c r="D71" s="280"/>
      <c r="E71" s="1386" t="s">
        <v>1436</v>
      </c>
      <c r="F71" s="1352" t="s">
        <v>1104</v>
      </c>
      <c r="G71" s="1294" t="s">
        <v>1084</v>
      </c>
      <c r="H71" s="1294" t="s">
        <v>972</v>
      </c>
      <c r="I71" s="1295" t="s">
        <v>1147</v>
      </c>
      <c r="J71" s="1296" t="s">
        <v>1148</v>
      </c>
      <c r="K71" s="1353" t="s">
        <v>1149</v>
      </c>
      <c r="L71" s="2675"/>
      <c r="M71" s="1303"/>
      <c r="N71" s="1354"/>
      <c r="O71" s="502"/>
    </row>
    <row r="72" spans="1:15" s="455" customFormat="1" ht="22.5">
      <c r="B72" s="454" t="s">
        <v>1374</v>
      </c>
      <c r="C72" s="1385"/>
      <c r="D72" s="280"/>
      <c r="E72" s="1391" t="s">
        <v>1437</v>
      </c>
      <c r="F72" s="1352" t="s">
        <v>1104</v>
      </c>
      <c r="G72" s="1294" t="s">
        <v>1084</v>
      </c>
      <c r="H72" s="1294" t="s">
        <v>972</v>
      </c>
      <c r="I72" s="1295" t="s">
        <v>1147</v>
      </c>
      <c r="J72" s="1296" t="s">
        <v>1148</v>
      </c>
      <c r="K72" s="1353" t="s">
        <v>1149</v>
      </c>
      <c r="L72" s="2675"/>
      <c r="M72" s="1303"/>
      <c r="N72" s="1354"/>
    </row>
    <row r="73" spans="1:15" s="455" customFormat="1" ht="22.5">
      <c r="B73" s="454" t="s">
        <v>1374</v>
      </c>
      <c r="C73" s="314"/>
      <c r="D73" s="280"/>
      <c r="E73" s="1386" t="s">
        <v>1438</v>
      </c>
      <c r="F73" s="1352" t="s">
        <v>1104</v>
      </c>
      <c r="G73" s="1294" t="s">
        <v>1084</v>
      </c>
      <c r="H73" s="1294" t="s">
        <v>972</v>
      </c>
      <c r="I73" s="1295" t="s">
        <v>1147</v>
      </c>
      <c r="J73" s="1296" t="s">
        <v>1148</v>
      </c>
      <c r="K73" s="1353" t="s">
        <v>1149</v>
      </c>
      <c r="L73" s="2675"/>
      <c r="M73" s="1303"/>
      <c r="N73" s="1354"/>
    </row>
    <row r="74" spans="1:15" s="455" customFormat="1" ht="22.5">
      <c r="B74" s="454" t="s">
        <v>1374</v>
      </c>
      <c r="C74" s="1027"/>
      <c r="D74" s="280"/>
      <c r="E74" s="1386" t="s">
        <v>1439</v>
      </c>
      <c r="F74" s="1352" t="s">
        <v>1104</v>
      </c>
      <c r="G74" s="1294" t="s">
        <v>1084</v>
      </c>
      <c r="H74" s="1294" t="s">
        <v>972</v>
      </c>
      <c r="I74" s="1295" t="s">
        <v>1147</v>
      </c>
      <c r="J74" s="1296" t="s">
        <v>1148</v>
      </c>
      <c r="K74" s="1353" t="s">
        <v>1149</v>
      </c>
      <c r="L74" s="2675"/>
      <c r="M74" s="1303"/>
      <c r="N74" s="1354"/>
    </row>
    <row r="75" spans="1:15" s="455" customFormat="1" ht="22.5">
      <c r="B75" s="454" t="s">
        <v>1374</v>
      </c>
      <c r="C75" s="499"/>
      <c r="D75" s="280"/>
      <c r="E75" s="1386" t="s">
        <v>1440</v>
      </c>
      <c r="F75" s="1352" t="s">
        <v>1104</v>
      </c>
      <c r="G75" s="1294" t="s">
        <v>1084</v>
      </c>
      <c r="H75" s="1294" t="s">
        <v>972</v>
      </c>
      <c r="I75" s="1295" t="s">
        <v>1147</v>
      </c>
      <c r="J75" s="1296" t="s">
        <v>1148</v>
      </c>
      <c r="K75" s="1353" t="s">
        <v>1149</v>
      </c>
      <c r="L75" s="2675"/>
      <c r="M75" s="1303"/>
      <c r="N75" s="1354"/>
    </row>
    <row r="76" spans="1:15" s="455" customFormat="1" ht="22.5">
      <c r="B76" s="454" t="s">
        <v>1374</v>
      </c>
      <c r="C76" s="497"/>
      <c r="D76" s="280"/>
      <c r="E76" s="1386" t="s">
        <v>1441</v>
      </c>
      <c r="F76" s="1352" t="s">
        <v>1104</v>
      </c>
      <c r="G76" s="1294" t="s">
        <v>1084</v>
      </c>
      <c r="H76" s="1294" t="s">
        <v>972</v>
      </c>
      <c r="I76" s="1295" t="s">
        <v>1147</v>
      </c>
      <c r="J76" s="1296" t="s">
        <v>1148</v>
      </c>
      <c r="K76" s="1353" t="s">
        <v>1149</v>
      </c>
      <c r="L76" s="2675"/>
      <c r="M76" s="1303"/>
      <c r="N76" s="1354"/>
      <c r="O76" s="502"/>
    </row>
    <row r="77" spans="1:15" s="455" customFormat="1" ht="22.5">
      <c r="B77" s="454" t="s">
        <v>1374</v>
      </c>
      <c r="C77" s="497"/>
      <c r="D77" s="280"/>
      <c r="E77" s="1386" t="s">
        <v>1442</v>
      </c>
      <c r="F77" s="1352" t="s">
        <v>1104</v>
      </c>
      <c r="G77" s="1294" t="s">
        <v>1084</v>
      </c>
      <c r="H77" s="1294" t="s">
        <v>972</v>
      </c>
      <c r="I77" s="1295" t="s">
        <v>1147</v>
      </c>
      <c r="J77" s="1296" t="s">
        <v>1148</v>
      </c>
      <c r="K77" s="1353" t="s">
        <v>1149</v>
      </c>
      <c r="L77" s="2675"/>
      <c r="M77" s="1303"/>
      <c r="N77" s="1354"/>
      <c r="O77" s="502"/>
    </row>
    <row r="78" spans="1:15" s="455" customFormat="1" ht="22.5">
      <c r="B78" s="454" t="s">
        <v>1374</v>
      </c>
      <c r="C78" s="497"/>
      <c r="D78" s="280"/>
      <c r="E78" s="1386" t="s">
        <v>1435</v>
      </c>
      <c r="F78" s="1352" t="s">
        <v>1104</v>
      </c>
      <c r="G78" s="1294" t="s">
        <v>1084</v>
      </c>
      <c r="H78" s="1294" t="s">
        <v>972</v>
      </c>
      <c r="I78" s="1295" t="s">
        <v>1147</v>
      </c>
      <c r="J78" s="1296" t="s">
        <v>1148</v>
      </c>
      <c r="K78" s="1353" t="s">
        <v>1149</v>
      </c>
      <c r="L78" s="2675"/>
      <c r="M78" s="1303"/>
      <c r="N78" s="1354"/>
      <c r="O78" s="502"/>
    </row>
    <row r="79" spans="1:15" s="455" customFormat="1" ht="22.5">
      <c r="B79" s="454" t="s">
        <v>1374</v>
      </c>
      <c r="C79" s="497"/>
      <c r="D79" s="280"/>
      <c r="E79" s="1386" t="s">
        <v>1443</v>
      </c>
      <c r="F79" s="1352" t="s">
        <v>1104</v>
      </c>
      <c r="G79" s="1294" t="s">
        <v>1084</v>
      </c>
      <c r="H79" s="1294" t="s">
        <v>972</v>
      </c>
      <c r="I79" s="1295" t="s">
        <v>1147</v>
      </c>
      <c r="J79" s="1296" t="s">
        <v>1148</v>
      </c>
      <c r="K79" s="1353" t="s">
        <v>1149</v>
      </c>
      <c r="L79" s="2675"/>
      <c r="M79" s="1303"/>
      <c r="N79" s="1354"/>
      <c r="O79" s="502"/>
    </row>
    <row r="80" spans="1:15" s="455" customFormat="1" ht="22.5">
      <c r="B80" s="454" t="s">
        <v>1374</v>
      </c>
      <c r="C80" s="497"/>
      <c r="D80" s="280"/>
      <c r="E80" s="1386" t="s">
        <v>1444</v>
      </c>
      <c r="F80" s="1352" t="s">
        <v>1104</v>
      </c>
      <c r="G80" s="1294" t="s">
        <v>1084</v>
      </c>
      <c r="H80" s="1294" t="s">
        <v>972</v>
      </c>
      <c r="I80" s="1295" t="s">
        <v>1147</v>
      </c>
      <c r="J80" s="1296" t="s">
        <v>1148</v>
      </c>
      <c r="K80" s="1353" t="s">
        <v>1149</v>
      </c>
      <c r="L80" s="2675"/>
      <c r="M80" s="1303"/>
      <c r="N80" s="1354"/>
      <c r="O80" s="502"/>
    </row>
    <row r="81" spans="2:15" s="455" customFormat="1" ht="22.5">
      <c r="B81" s="454" t="s">
        <v>1374</v>
      </c>
      <c r="C81" s="497"/>
      <c r="D81" s="280"/>
      <c r="E81" s="1386" t="s">
        <v>1445</v>
      </c>
      <c r="F81" s="1352" t="s">
        <v>1104</v>
      </c>
      <c r="G81" s="1294" t="s">
        <v>1084</v>
      </c>
      <c r="H81" s="1294" t="s">
        <v>972</v>
      </c>
      <c r="I81" s="1295" t="s">
        <v>1147</v>
      </c>
      <c r="J81" s="1296" t="s">
        <v>1148</v>
      </c>
      <c r="K81" s="1353" t="s">
        <v>1149</v>
      </c>
      <c r="L81" s="2675"/>
      <c r="M81" s="1303"/>
      <c r="N81" s="1354"/>
      <c r="O81" s="502"/>
    </row>
    <row r="82" spans="2:15" s="455" customFormat="1" ht="22.5">
      <c r="B82" s="454" t="s">
        <v>1374</v>
      </c>
      <c r="C82" s="497"/>
      <c r="D82" s="280"/>
      <c r="E82" s="1386" t="s">
        <v>1446</v>
      </c>
      <c r="F82" s="1352" t="s">
        <v>1104</v>
      </c>
      <c r="G82" s="1294" t="s">
        <v>1084</v>
      </c>
      <c r="H82" s="1294" t="s">
        <v>972</v>
      </c>
      <c r="I82" s="1295" t="s">
        <v>1147</v>
      </c>
      <c r="J82" s="1296" t="s">
        <v>1148</v>
      </c>
      <c r="K82" s="1353" t="s">
        <v>1149</v>
      </c>
      <c r="L82" s="2675"/>
      <c r="M82" s="1303"/>
      <c r="N82" s="1354"/>
      <c r="O82" s="502"/>
    </row>
    <row r="83" spans="2:15" s="355" customFormat="1" ht="22.5">
      <c r="B83" s="454" t="s">
        <v>1374</v>
      </c>
      <c r="C83" s="400"/>
      <c r="D83" s="280"/>
      <c r="E83" s="1386" t="s">
        <v>1447</v>
      </c>
      <c r="F83" s="1352" t="s">
        <v>1104</v>
      </c>
      <c r="G83" s="1294" t="s">
        <v>1084</v>
      </c>
      <c r="H83" s="1294" t="s">
        <v>972</v>
      </c>
      <c r="I83" s="1295" t="s">
        <v>1147</v>
      </c>
      <c r="J83" s="1296" t="s">
        <v>1148</v>
      </c>
      <c r="K83" s="1353" t="s">
        <v>1149</v>
      </c>
      <c r="L83" s="2675"/>
      <c r="M83" s="1303"/>
      <c r="N83" s="1354"/>
    </row>
    <row r="84" spans="2:15" s="355" customFormat="1" ht="22.5">
      <c r="B84" s="454" t="s">
        <v>1374</v>
      </c>
      <c r="C84" s="400"/>
      <c r="D84" s="280"/>
      <c r="E84" s="1386" t="s">
        <v>1448</v>
      </c>
      <c r="F84" s="1352" t="s">
        <v>1104</v>
      </c>
      <c r="G84" s="1294" t="s">
        <v>1084</v>
      </c>
      <c r="H84" s="1294" t="s">
        <v>972</v>
      </c>
      <c r="I84" s="1295" t="s">
        <v>1147</v>
      </c>
      <c r="J84" s="1296" t="s">
        <v>1148</v>
      </c>
      <c r="K84" s="1353" t="s">
        <v>1149</v>
      </c>
      <c r="L84" s="2675"/>
      <c r="M84" s="1303"/>
      <c r="N84" s="1354"/>
    </row>
    <row r="85" spans="2:15" s="355" customFormat="1" ht="22.5">
      <c r="B85" s="454" t="s">
        <v>1374</v>
      </c>
      <c r="C85" s="400"/>
      <c r="D85" s="280"/>
      <c r="E85" s="1386" t="s">
        <v>1449</v>
      </c>
      <c r="F85" s="1352" t="s">
        <v>1104</v>
      </c>
      <c r="G85" s="1294" t="s">
        <v>1084</v>
      </c>
      <c r="H85" s="1294" t="s">
        <v>972</v>
      </c>
      <c r="I85" s="1295" t="s">
        <v>1147</v>
      </c>
      <c r="J85" s="1296" t="s">
        <v>1148</v>
      </c>
      <c r="K85" s="1353" t="s">
        <v>1149</v>
      </c>
      <c r="L85" s="2675"/>
      <c r="M85" s="1303"/>
      <c r="N85" s="1354"/>
    </row>
    <row r="86" spans="2:15" s="355" customFormat="1" ht="22.5">
      <c r="B86" s="454" t="s">
        <v>1374</v>
      </c>
      <c r="C86" s="400"/>
      <c r="D86" s="280"/>
      <c r="E86" s="1386" t="s">
        <v>1450</v>
      </c>
      <c r="F86" s="1352" t="s">
        <v>1104</v>
      </c>
      <c r="G86" s="1294" t="s">
        <v>1084</v>
      </c>
      <c r="H86" s="1294" t="s">
        <v>972</v>
      </c>
      <c r="I86" s="1295" t="s">
        <v>1147</v>
      </c>
      <c r="J86" s="1296" t="s">
        <v>1148</v>
      </c>
      <c r="K86" s="1353" t="s">
        <v>1149</v>
      </c>
      <c r="L86" s="2675"/>
      <c r="M86" s="1303"/>
      <c r="N86" s="1354"/>
    </row>
    <row r="87" spans="2:15" s="355" customFormat="1" ht="22.5">
      <c r="B87" s="454" t="s">
        <v>1374</v>
      </c>
      <c r="C87" s="400"/>
      <c r="D87" s="280"/>
      <c r="E87" s="1386" t="s">
        <v>1449</v>
      </c>
      <c r="F87" s="1352" t="s">
        <v>1104</v>
      </c>
      <c r="G87" s="1294" t="s">
        <v>1084</v>
      </c>
      <c r="H87" s="1294" t="s">
        <v>972</v>
      </c>
      <c r="I87" s="1295" t="s">
        <v>1147</v>
      </c>
      <c r="J87" s="1296" t="s">
        <v>1148</v>
      </c>
      <c r="K87" s="1353" t="s">
        <v>1149</v>
      </c>
      <c r="L87" s="2675"/>
      <c r="M87" s="1303"/>
      <c r="N87" s="1354"/>
    </row>
    <row r="88" spans="2:15" s="355" customFormat="1" ht="22.5">
      <c r="B88" s="454" t="s">
        <v>1374</v>
      </c>
      <c r="C88" s="400"/>
      <c r="D88" s="280"/>
      <c r="E88" s="1390" t="s">
        <v>1451</v>
      </c>
      <c r="F88" s="1352" t="s">
        <v>1104</v>
      </c>
      <c r="G88" s="1294" t="s">
        <v>1084</v>
      </c>
      <c r="H88" s="1294" t="s">
        <v>972</v>
      </c>
      <c r="I88" s="1295" t="s">
        <v>1147</v>
      </c>
      <c r="J88" s="1296" t="s">
        <v>1148</v>
      </c>
      <c r="K88" s="1353" t="s">
        <v>1149</v>
      </c>
      <c r="L88" s="2675"/>
      <c r="M88" s="1303"/>
      <c r="N88" s="1354"/>
    </row>
    <row r="89" spans="2:15" s="355" customFormat="1" ht="22.5">
      <c r="B89" s="454" t="s">
        <v>1374</v>
      </c>
      <c r="C89" s="400"/>
      <c r="D89" s="280"/>
      <c r="E89" s="1386" t="s">
        <v>1452</v>
      </c>
      <c r="F89" s="1352" t="s">
        <v>1104</v>
      </c>
      <c r="G89" s="1294" t="s">
        <v>1084</v>
      </c>
      <c r="H89" s="1294" t="s">
        <v>972</v>
      </c>
      <c r="I89" s="1295" t="s">
        <v>1147</v>
      </c>
      <c r="J89" s="1296" t="s">
        <v>1148</v>
      </c>
      <c r="K89" s="1353" t="s">
        <v>1149</v>
      </c>
      <c r="L89" s="2675"/>
      <c r="M89" s="1303"/>
      <c r="N89" s="1354"/>
    </row>
    <row r="90" spans="2:15" s="355" customFormat="1" ht="22.5">
      <c r="B90" s="454" t="s">
        <v>1374</v>
      </c>
      <c r="C90" s="400"/>
      <c r="D90" s="280"/>
      <c r="E90" s="1386" t="s">
        <v>1453</v>
      </c>
      <c r="F90" s="1352" t="s">
        <v>1104</v>
      </c>
      <c r="G90" s="1294" t="s">
        <v>1084</v>
      </c>
      <c r="H90" s="1294" t="s">
        <v>972</v>
      </c>
      <c r="I90" s="1295" t="s">
        <v>1147</v>
      </c>
      <c r="J90" s="1296" t="s">
        <v>1148</v>
      </c>
      <c r="K90" s="1353" t="s">
        <v>1149</v>
      </c>
      <c r="L90" s="2675"/>
      <c r="M90" s="1303"/>
      <c r="N90" s="1354"/>
    </row>
    <row r="91" spans="2:15" s="355" customFormat="1" ht="22.5">
      <c r="B91" s="454" t="s">
        <v>1374</v>
      </c>
      <c r="C91" s="400"/>
      <c r="D91" s="280"/>
      <c r="E91" s="1386" t="s">
        <v>1417</v>
      </c>
      <c r="F91" s="1352" t="s">
        <v>1104</v>
      </c>
      <c r="G91" s="1294" t="s">
        <v>1084</v>
      </c>
      <c r="H91" s="1294" t="s">
        <v>972</v>
      </c>
      <c r="I91" s="1295" t="s">
        <v>1147</v>
      </c>
      <c r="J91" s="1296" t="s">
        <v>1148</v>
      </c>
      <c r="K91" s="1353" t="s">
        <v>1149</v>
      </c>
      <c r="L91" s="2675"/>
      <c r="M91" s="1303"/>
      <c r="N91" s="1354"/>
    </row>
    <row r="92" spans="2:15" s="355" customFormat="1" ht="22.5">
      <c r="B92" s="454" t="s">
        <v>1374</v>
      </c>
      <c r="C92" s="400"/>
      <c r="D92" s="280"/>
      <c r="E92" s="1388" t="s">
        <v>1454</v>
      </c>
      <c r="F92" s="1352" t="s">
        <v>1104</v>
      </c>
      <c r="G92" s="1294" t="s">
        <v>1084</v>
      </c>
      <c r="H92" s="1294" t="s">
        <v>972</v>
      </c>
      <c r="I92" s="1295" t="s">
        <v>1147</v>
      </c>
      <c r="J92" s="1296" t="s">
        <v>1148</v>
      </c>
      <c r="K92" s="1353" t="s">
        <v>1149</v>
      </c>
      <c r="L92" s="2675"/>
      <c r="M92" s="1303"/>
      <c r="N92" s="1354"/>
    </row>
    <row r="93" spans="2:15" s="355" customFormat="1" ht="22.5">
      <c r="B93" s="454" t="s">
        <v>1374</v>
      </c>
      <c r="C93" s="400"/>
      <c r="D93" s="280"/>
      <c r="E93" s="1388" t="s">
        <v>1455</v>
      </c>
      <c r="F93" s="1352" t="s">
        <v>1104</v>
      </c>
      <c r="G93" s="1294" t="s">
        <v>1084</v>
      </c>
      <c r="H93" s="1294" t="s">
        <v>972</v>
      </c>
      <c r="I93" s="1295" t="s">
        <v>1147</v>
      </c>
      <c r="J93" s="1296" t="s">
        <v>1148</v>
      </c>
      <c r="K93" s="1353" t="s">
        <v>1149</v>
      </c>
      <c r="L93" s="2675"/>
      <c r="M93" s="1303"/>
      <c r="N93" s="1354"/>
    </row>
    <row r="94" spans="2:15" s="355" customFormat="1" ht="22.5">
      <c r="B94" s="454" t="s">
        <v>1374</v>
      </c>
      <c r="C94" s="400"/>
      <c r="D94" s="280"/>
      <c r="E94" s="1388" t="s">
        <v>1456</v>
      </c>
      <c r="F94" s="1352" t="s">
        <v>1104</v>
      </c>
      <c r="G94" s="1294" t="s">
        <v>1084</v>
      </c>
      <c r="H94" s="1294" t="s">
        <v>972</v>
      </c>
      <c r="I94" s="1295" t="s">
        <v>1147</v>
      </c>
      <c r="J94" s="1296" t="s">
        <v>1148</v>
      </c>
      <c r="K94" s="1353" t="s">
        <v>1149</v>
      </c>
      <c r="L94" s="2675"/>
      <c r="M94" s="1303"/>
      <c r="N94" s="1354"/>
    </row>
    <row r="95" spans="2:15" s="355" customFormat="1" ht="22.5">
      <c r="B95" s="454" t="s">
        <v>1374</v>
      </c>
      <c r="C95" s="400"/>
      <c r="D95" s="280"/>
      <c r="E95" s="1386" t="s">
        <v>1457</v>
      </c>
      <c r="F95" s="1352" t="s">
        <v>1104</v>
      </c>
      <c r="G95" s="1294" t="s">
        <v>1084</v>
      </c>
      <c r="H95" s="1294" t="s">
        <v>972</v>
      </c>
      <c r="I95" s="1295" t="s">
        <v>1147</v>
      </c>
      <c r="J95" s="1296" t="s">
        <v>1148</v>
      </c>
      <c r="K95" s="1353" t="s">
        <v>1149</v>
      </c>
      <c r="L95" s="2675"/>
      <c r="M95" s="1303"/>
      <c r="N95" s="1354"/>
    </row>
    <row r="96" spans="2:15" s="355" customFormat="1" ht="22.5">
      <c r="B96" s="454" t="s">
        <v>1374</v>
      </c>
      <c r="C96" s="400"/>
      <c r="D96" s="280"/>
      <c r="E96" s="1386" t="s">
        <v>1458</v>
      </c>
      <c r="F96" s="1352" t="s">
        <v>1104</v>
      </c>
      <c r="G96" s="1294" t="s">
        <v>1084</v>
      </c>
      <c r="H96" s="1294" t="s">
        <v>972</v>
      </c>
      <c r="I96" s="1295" t="s">
        <v>1147</v>
      </c>
      <c r="J96" s="1296" t="s">
        <v>1148</v>
      </c>
      <c r="K96" s="1353" t="s">
        <v>1149</v>
      </c>
      <c r="L96" s="2675"/>
      <c r="M96" s="1303"/>
      <c r="N96" s="1354"/>
    </row>
    <row r="97" spans="2:14" s="355" customFormat="1" ht="22.5">
      <c r="B97" s="454" t="s">
        <v>1374</v>
      </c>
      <c r="C97" s="400"/>
      <c r="D97" s="280"/>
      <c r="E97" s="1386" t="s">
        <v>1459</v>
      </c>
      <c r="F97" s="1352" t="s">
        <v>1104</v>
      </c>
      <c r="G97" s="1294" t="s">
        <v>1084</v>
      </c>
      <c r="H97" s="1294" t="s">
        <v>972</v>
      </c>
      <c r="I97" s="1295" t="s">
        <v>1147</v>
      </c>
      <c r="J97" s="1296" t="s">
        <v>1148</v>
      </c>
      <c r="K97" s="1353" t="s">
        <v>1149</v>
      </c>
      <c r="L97" s="2675"/>
      <c r="M97" s="1303"/>
      <c r="N97" s="1354"/>
    </row>
    <row r="98" spans="2:14" s="355" customFormat="1" ht="22.5">
      <c r="B98" s="454" t="s">
        <v>1374</v>
      </c>
      <c r="C98" s="400"/>
      <c r="D98" s="280"/>
      <c r="E98" s="1386" t="s">
        <v>1460</v>
      </c>
      <c r="F98" s="1352" t="s">
        <v>1104</v>
      </c>
      <c r="G98" s="1294" t="s">
        <v>1084</v>
      </c>
      <c r="H98" s="1294" t="s">
        <v>972</v>
      </c>
      <c r="I98" s="1295" t="s">
        <v>1147</v>
      </c>
      <c r="J98" s="1296" t="s">
        <v>1148</v>
      </c>
      <c r="K98" s="1353" t="s">
        <v>1149</v>
      </c>
      <c r="L98" s="2675"/>
      <c r="M98" s="1303"/>
      <c r="N98" s="1354"/>
    </row>
    <row r="99" spans="2:14" s="355" customFormat="1" ht="22.5">
      <c r="B99" s="454" t="s">
        <v>1374</v>
      </c>
      <c r="C99" s="400"/>
      <c r="D99" s="280"/>
      <c r="E99" s="1386" t="s">
        <v>1461</v>
      </c>
      <c r="F99" s="1352" t="s">
        <v>1104</v>
      </c>
      <c r="G99" s="1294" t="s">
        <v>1084</v>
      </c>
      <c r="H99" s="1294" t="s">
        <v>972</v>
      </c>
      <c r="I99" s="1295" t="s">
        <v>1147</v>
      </c>
      <c r="J99" s="1296" t="s">
        <v>1148</v>
      </c>
      <c r="K99" s="1353" t="s">
        <v>1149</v>
      </c>
      <c r="L99" s="2675"/>
      <c r="M99" s="1303"/>
      <c r="N99" s="1354"/>
    </row>
    <row r="100" spans="2:14" s="355" customFormat="1" ht="22.5">
      <c r="B100" s="454" t="s">
        <v>1374</v>
      </c>
      <c r="C100" s="400"/>
      <c r="D100" s="280"/>
      <c r="E100" s="1386" t="s">
        <v>1462</v>
      </c>
      <c r="F100" s="1352" t="s">
        <v>1104</v>
      </c>
      <c r="G100" s="1294" t="s">
        <v>1084</v>
      </c>
      <c r="H100" s="1294" t="s">
        <v>972</v>
      </c>
      <c r="I100" s="1295" t="s">
        <v>1147</v>
      </c>
      <c r="J100" s="1296" t="s">
        <v>1148</v>
      </c>
      <c r="K100" s="1353" t="s">
        <v>1149</v>
      </c>
      <c r="L100" s="2675"/>
      <c r="M100" s="1303"/>
      <c r="N100" s="1354"/>
    </row>
    <row r="101" spans="2:14" s="355" customFormat="1" ht="22.5">
      <c r="B101" s="454" t="s">
        <v>1374</v>
      </c>
      <c r="C101" s="400"/>
      <c r="D101" s="280"/>
      <c r="E101" s="1386" t="s">
        <v>1463</v>
      </c>
      <c r="F101" s="1352" t="s">
        <v>1104</v>
      </c>
      <c r="G101" s="1294" t="s">
        <v>1084</v>
      </c>
      <c r="H101" s="1294" t="s">
        <v>972</v>
      </c>
      <c r="I101" s="1295" t="s">
        <v>1147</v>
      </c>
      <c r="J101" s="1296" t="s">
        <v>1148</v>
      </c>
      <c r="K101" s="1353" t="s">
        <v>1149</v>
      </c>
      <c r="L101" s="2675"/>
      <c r="M101" s="1303"/>
      <c r="N101" s="1354"/>
    </row>
    <row r="102" spans="2:14" s="355" customFormat="1" ht="22.5">
      <c r="B102" s="454" t="s">
        <v>1374</v>
      </c>
      <c r="C102" s="400"/>
      <c r="D102" s="280"/>
      <c r="E102" s="1386" t="s">
        <v>1464</v>
      </c>
      <c r="F102" s="1352" t="s">
        <v>1104</v>
      </c>
      <c r="G102" s="1294" t="s">
        <v>1084</v>
      </c>
      <c r="H102" s="1294" t="s">
        <v>972</v>
      </c>
      <c r="I102" s="1295" t="s">
        <v>1147</v>
      </c>
      <c r="J102" s="1296" t="s">
        <v>1148</v>
      </c>
      <c r="K102" s="1353" t="s">
        <v>1149</v>
      </c>
      <c r="L102" s="2675"/>
      <c r="M102" s="1303"/>
      <c r="N102" s="1354"/>
    </row>
    <row r="103" spans="2:14" s="355" customFormat="1" ht="22.5">
      <c r="B103" s="454" t="s">
        <v>1374</v>
      </c>
      <c r="C103" s="400"/>
      <c r="D103" s="280"/>
      <c r="E103" s="1386" t="s">
        <v>1465</v>
      </c>
      <c r="F103" s="1352" t="s">
        <v>1104</v>
      </c>
      <c r="G103" s="1294" t="s">
        <v>1084</v>
      </c>
      <c r="H103" s="1294" t="s">
        <v>972</v>
      </c>
      <c r="I103" s="1295" t="s">
        <v>1147</v>
      </c>
      <c r="J103" s="1296" t="s">
        <v>1148</v>
      </c>
      <c r="K103" s="1353" t="s">
        <v>1149</v>
      </c>
      <c r="L103" s="2675"/>
      <c r="M103" s="1303"/>
      <c r="N103" s="1354"/>
    </row>
    <row r="104" spans="2:14" s="355" customFormat="1" ht="22.5">
      <c r="B104" s="454" t="s">
        <v>1374</v>
      </c>
      <c r="C104" s="400"/>
      <c r="D104" s="280"/>
      <c r="E104" s="1386" t="s">
        <v>1466</v>
      </c>
      <c r="F104" s="1352" t="s">
        <v>1104</v>
      </c>
      <c r="G104" s="1294" t="s">
        <v>1084</v>
      </c>
      <c r="H104" s="1294" t="s">
        <v>972</v>
      </c>
      <c r="I104" s="1295" t="s">
        <v>1147</v>
      </c>
      <c r="J104" s="1296" t="s">
        <v>1148</v>
      </c>
      <c r="K104" s="1353" t="s">
        <v>1149</v>
      </c>
      <c r="L104" s="2675"/>
      <c r="M104" s="1303"/>
      <c r="N104" s="1354"/>
    </row>
    <row r="105" spans="2:14" s="355" customFormat="1" ht="22.5">
      <c r="B105" s="454" t="s">
        <v>1374</v>
      </c>
      <c r="C105" s="400"/>
      <c r="D105" s="280"/>
      <c r="E105" s="1386" t="s">
        <v>1467</v>
      </c>
      <c r="F105" s="1352" t="s">
        <v>1104</v>
      </c>
      <c r="G105" s="1294" t="s">
        <v>1084</v>
      </c>
      <c r="H105" s="1294" t="s">
        <v>972</v>
      </c>
      <c r="I105" s="1295" t="s">
        <v>1147</v>
      </c>
      <c r="J105" s="1296" t="s">
        <v>1148</v>
      </c>
      <c r="K105" s="1353" t="s">
        <v>1149</v>
      </c>
      <c r="L105" s="2675"/>
      <c r="M105" s="1303"/>
      <c r="N105" s="1354"/>
    </row>
    <row r="106" spans="2:14" s="355" customFormat="1" ht="22.5">
      <c r="B106" s="454" t="s">
        <v>1374</v>
      </c>
      <c r="C106" s="400"/>
      <c r="D106" s="280"/>
      <c r="E106" s="1386" t="s">
        <v>1468</v>
      </c>
      <c r="F106" s="1352" t="s">
        <v>1104</v>
      </c>
      <c r="G106" s="1294" t="s">
        <v>1084</v>
      </c>
      <c r="H106" s="1294" t="s">
        <v>972</v>
      </c>
      <c r="I106" s="1295" t="s">
        <v>1147</v>
      </c>
      <c r="J106" s="1296" t="s">
        <v>1148</v>
      </c>
      <c r="K106" s="1353" t="s">
        <v>1149</v>
      </c>
      <c r="L106" s="2675"/>
      <c r="M106" s="1303"/>
      <c r="N106" s="1354"/>
    </row>
    <row r="107" spans="2:14" s="355" customFormat="1" ht="22.5">
      <c r="B107" s="454" t="s">
        <v>1374</v>
      </c>
      <c r="C107" s="400"/>
      <c r="D107" s="280"/>
      <c r="E107" s="1386" t="s">
        <v>1445</v>
      </c>
      <c r="F107" s="1352" t="s">
        <v>1104</v>
      </c>
      <c r="G107" s="1294" t="s">
        <v>1084</v>
      </c>
      <c r="H107" s="1294" t="s">
        <v>972</v>
      </c>
      <c r="I107" s="1295" t="s">
        <v>1147</v>
      </c>
      <c r="J107" s="1296" t="s">
        <v>1148</v>
      </c>
      <c r="K107" s="1353" t="s">
        <v>1149</v>
      </c>
      <c r="L107" s="2675"/>
      <c r="M107" s="1303"/>
      <c r="N107" s="1354"/>
    </row>
    <row r="108" spans="2:14" s="355" customFormat="1" ht="22.5">
      <c r="B108" s="454" t="s">
        <v>1374</v>
      </c>
      <c r="C108" s="400"/>
      <c r="D108" s="280"/>
      <c r="E108" s="1391" t="s">
        <v>1437</v>
      </c>
      <c r="F108" s="1352" t="s">
        <v>1104</v>
      </c>
      <c r="G108" s="1294" t="s">
        <v>1084</v>
      </c>
      <c r="H108" s="1294" t="s">
        <v>972</v>
      </c>
      <c r="I108" s="1295" t="s">
        <v>1147</v>
      </c>
      <c r="J108" s="1296" t="s">
        <v>1148</v>
      </c>
      <c r="K108" s="1353" t="s">
        <v>1149</v>
      </c>
      <c r="L108" s="2675"/>
      <c r="M108" s="1303"/>
      <c r="N108" s="1354"/>
    </row>
    <row r="109" spans="2:14" s="355" customFormat="1" ht="22.5">
      <c r="B109" s="454" t="s">
        <v>1374</v>
      </c>
      <c r="C109" s="400"/>
      <c r="D109" s="280"/>
      <c r="E109" s="1390" t="s">
        <v>1429</v>
      </c>
      <c r="F109" s="1352" t="s">
        <v>1104</v>
      </c>
      <c r="G109" s="1294" t="s">
        <v>1084</v>
      </c>
      <c r="H109" s="1294" t="s">
        <v>972</v>
      </c>
      <c r="I109" s="1295" t="s">
        <v>1147</v>
      </c>
      <c r="J109" s="1296" t="s">
        <v>1148</v>
      </c>
      <c r="K109" s="1353" t="s">
        <v>1149</v>
      </c>
      <c r="L109" s="2675"/>
      <c r="M109" s="1303"/>
      <c r="N109" s="1354"/>
    </row>
    <row r="110" spans="2:14" s="355" customFormat="1" ht="22.5">
      <c r="B110" s="454" t="s">
        <v>1374</v>
      </c>
      <c r="C110" s="400"/>
      <c r="D110" s="280"/>
      <c r="E110" s="1386" t="s">
        <v>1469</v>
      </c>
      <c r="F110" s="1352" t="s">
        <v>1104</v>
      </c>
      <c r="G110" s="1294" t="s">
        <v>1084</v>
      </c>
      <c r="H110" s="1294" t="s">
        <v>972</v>
      </c>
      <c r="I110" s="1295" t="s">
        <v>1147</v>
      </c>
      <c r="J110" s="1296" t="s">
        <v>1148</v>
      </c>
      <c r="K110" s="1353" t="s">
        <v>1149</v>
      </c>
      <c r="L110" s="2675"/>
      <c r="M110" s="1303"/>
      <c r="N110" s="1354"/>
    </row>
    <row r="111" spans="2:14" s="355" customFormat="1">
      <c r="C111" s="400"/>
      <c r="D111" s="1392"/>
      <c r="E111" s="1393"/>
      <c r="F111" s="1393"/>
      <c r="G111" s="1393"/>
      <c r="H111" s="1394"/>
      <c r="I111" s="1395"/>
      <c r="J111" s="1396"/>
      <c r="K111" s="1397"/>
      <c r="L111" s="1346"/>
      <c r="M111" s="1398"/>
      <c r="N111" s="1399"/>
    </row>
    <row r="112" spans="2:14" s="355" customFormat="1" ht="13.5">
      <c r="C112" s="400"/>
      <c r="D112" s="400"/>
      <c r="E112" s="401"/>
      <c r="F112" s="402"/>
      <c r="G112" s="402"/>
      <c r="H112" s="403"/>
      <c r="I112" s="403"/>
      <c r="J112" s="403"/>
      <c r="K112" s="402"/>
      <c r="L112" s="404"/>
      <c r="M112" s="402"/>
      <c r="N112" s="405"/>
    </row>
    <row r="113" spans="3:14" s="355" customFormat="1" ht="13.5">
      <c r="C113" s="400"/>
      <c r="D113" s="400"/>
      <c r="E113" s="401"/>
      <c r="F113" s="402"/>
      <c r="G113" s="402"/>
      <c r="H113" s="403"/>
      <c r="I113" s="403"/>
      <c r="J113" s="403"/>
      <c r="K113" s="402"/>
      <c r="L113" s="404"/>
      <c r="M113" s="402"/>
      <c r="N113" s="405"/>
    </row>
    <row r="114" spans="3:14" s="355" customFormat="1" ht="13.5">
      <c r="C114" s="400"/>
      <c r="D114" s="400"/>
      <c r="E114" s="401"/>
      <c r="F114" s="402"/>
      <c r="G114" s="402"/>
      <c r="H114" s="403"/>
      <c r="I114" s="403"/>
      <c r="J114" s="403"/>
      <c r="K114" s="402"/>
      <c r="L114" s="404"/>
      <c r="M114" s="407"/>
      <c r="N114" s="405"/>
    </row>
    <row r="115" spans="3:14" s="355" customFormat="1" ht="13.5">
      <c r="C115" s="400"/>
      <c r="D115" s="400"/>
      <c r="E115" s="401"/>
      <c r="F115" s="402"/>
      <c r="G115" s="403"/>
      <c r="H115" s="403"/>
      <c r="I115" s="403"/>
      <c r="J115" s="403"/>
      <c r="K115" s="408"/>
      <c r="L115" s="404"/>
      <c r="M115" s="407"/>
      <c r="N115" s="405"/>
    </row>
    <row r="116" spans="3:14" s="355" customFormat="1" ht="15.75">
      <c r="C116" s="352"/>
      <c r="D116" s="352"/>
      <c r="E116" s="352"/>
      <c r="F116" s="352"/>
      <c r="G116" s="352"/>
      <c r="H116" s="352"/>
      <c r="I116" s="352"/>
      <c r="J116" s="352"/>
      <c r="K116" s="352"/>
      <c r="L116" s="2576">
        <f>SUM(L5:L114)</f>
        <v>187000</v>
      </c>
      <c r="M116" s="352"/>
      <c r="N116" s="352"/>
    </row>
    <row r="117" spans="3:14" ht="14.25" customHeight="1">
      <c r="C117" s="31"/>
      <c r="D117" s="27"/>
      <c r="E117" s="20"/>
      <c r="F117" s="28"/>
      <c r="G117" s="28"/>
      <c r="H117" s="26"/>
      <c r="I117" s="26"/>
      <c r="J117" s="26"/>
      <c r="K117" s="28"/>
      <c r="L117" s="179"/>
      <c r="M117" s="28"/>
      <c r="N117" s="27"/>
    </row>
    <row r="118" spans="3:14" s="1" customFormat="1" ht="14.25" customHeight="1">
      <c r="C118" s="31"/>
      <c r="D118" s="27"/>
      <c r="E118" s="21"/>
      <c r="F118" s="28"/>
      <c r="G118" s="28"/>
      <c r="H118" s="26"/>
      <c r="I118" s="26"/>
      <c r="J118" s="26"/>
      <c r="K118" s="28"/>
      <c r="L118" s="179"/>
      <c r="M118" s="28"/>
      <c r="N118" s="27"/>
    </row>
    <row r="119" spans="3:14" s="1" customFormat="1" ht="14.25" customHeight="1">
      <c r="C119" s="30"/>
      <c r="D119" s="25"/>
      <c r="E119" s="21"/>
      <c r="F119" s="22"/>
      <c r="G119" s="22"/>
      <c r="H119" s="23"/>
      <c r="I119" s="23"/>
      <c r="J119" s="23"/>
      <c r="K119" s="22"/>
      <c r="L119" s="180"/>
      <c r="M119" s="22"/>
      <c r="N119" s="25"/>
    </row>
  </sheetData>
  <mergeCells count="14">
    <mergeCell ref="C51:C52"/>
    <mergeCell ref="C53:C55"/>
    <mergeCell ref="L7:L110"/>
    <mergeCell ref="O7:O9"/>
    <mergeCell ref="C14:C15"/>
    <mergeCell ref="C16:C17"/>
    <mergeCell ref="C19:C20"/>
    <mergeCell ref="C21:C22"/>
    <mergeCell ref="C23:C24"/>
    <mergeCell ref="C2:G2"/>
    <mergeCell ref="H2:J2"/>
    <mergeCell ref="K2:L2"/>
    <mergeCell ref="M2:M3"/>
    <mergeCell ref="N2:N3"/>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04F50-93EE-4E7F-8FB3-169986C62002}">
  <sheetPr>
    <tabColor rgb="FF92D050"/>
  </sheetPr>
  <dimension ref="A1:Q100"/>
  <sheetViews>
    <sheetView topLeftCell="D1" zoomScale="93" zoomScaleNormal="94" workbookViewId="0">
      <pane ySplit="4" topLeftCell="A81" activePane="bottomLeft" state="frozen"/>
      <selection pane="bottomLeft" activeCell="L97" sqref="L97"/>
    </sheetView>
  </sheetViews>
  <sheetFormatPr defaultRowHeight="15"/>
  <cols>
    <col min="3" max="3" width="21.42578125" customWidth="1"/>
    <col min="4" max="4" width="49.7109375" bestFit="1"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style="99" customWidth="1"/>
    <col min="13" max="13" width="16.28515625" customWidth="1"/>
    <col min="14" max="14" width="12.85546875" customWidth="1"/>
    <col min="17" max="17" width="73.7109375" bestFit="1" customWidth="1"/>
  </cols>
  <sheetData>
    <row r="1" spans="1:17" s="355" customFormat="1" ht="13.5">
      <c r="L1" s="32"/>
    </row>
    <row r="2" spans="1:17" s="355" customFormat="1" ht="13.5">
      <c r="C2" s="2601" t="s">
        <v>30</v>
      </c>
      <c r="D2" s="2602"/>
      <c r="E2" s="2602"/>
      <c r="F2" s="2602"/>
      <c r="G2" s="2603"/>
      <c r="H2" s="2604" t="s">
        <v>29</v>
      </c>
      <c r="I2" s="2605"/>
      <c r="J2" s="2606"/>
      <c r="K2" s="2601" t="s">
        <v>28</v>
      </c>
      <c r="L2" s="2603"/>
      <c r="M2" s="2594" t="s">
        <v>27</v>
      </c>
      <c r="N2" s="2594" t="s">
        <v>26</v>
      </c>
    </row>
    <row r="3" spans="1:17" s="355" customFormat="1" ht="94.5">
      <c r="C3" s="618" t="s">
        <v>25</v>
      </c>
      <c r="D3" s="852" t="s">
        <v>24</v>
      </c>
      <c r="E3" s="991" t="s">
        <v>23</v>
      </c>
      <c r="F3" s="618" t="s">
        <v>22</v>
      </c>
      <c r="G3" s="532" t="s">
        <v>1303</v>
      </c>
      <c r="H3" s="532" t="s">
        <v>20</v>
      </c>
      <c r="I3" s="532" t="s">
        <v>19</v>
      </c>
      <c r="J3" s="532" t="s">
        <v>18</v>
      </c>
      <c r="K3" s="618" t="s">
        <v>17</v>
      </c>
      <c r="L3" s="605" t="s">
        <v>16</v>
      </c>
      <c r="M3" s="2594"/>
      <c r="N3" s="2594"/>
    </row>
    <row r="4" spans="1:17" s="355" customFormat="1" ht="27">
      <c r="C4" s="1076" t="s">
        <v>15</v>
      </c>
      <c r="D4" s="1076" t="s">
        <v>14</v>
      </c>
      <c r="E4" s="1076" t="s">
        <v>13</v>
      </c>
      <c r="F4" s="1076" t="s">
        <v>12</v>
      </c>
      <c r="G4" s="1076" t="s">
        <v>11</v>
      </c>
      <c r="H4" s="1076" t="s">
        <v>10</v>
      </c>
      <c r="I4" s="1076" t="s">
        <v>9</v>
      </c>
      <c r="J4" s="1076" t="s">
        <v>8</v>
      </c>
      <c r="K4" s="1076" t="s">
        <v>7</v>
      </c>
      <c r="L4" s="1077" t="s">
        <v>6</v>
      </c>
      <c r="M4" s="1076" t="s">
        <v>5</v>
      </c>
      <c r="N4" s="1076" t="s">
        <v>4</v>
      </c>
    </row>
    <row r="5" spans="1:17" s="355" customFormat="1" ht="40.5">
      <c r="A5" s="1063" t="s">
        <v>743</v>
      </c>
      <c r="B5" s="1041" t="s">
        <v>744</v>
      </c>
      <c r="C5" s="1078" t="s">
        <v>749</v>
      </c>
      <c r="D5" s="1078" t="s">
        <v>747</v>
      </c>
      <c r="E5" s="1079"/>
      <c r="F5" s="1080" t="s">
        <v>661</v>
      </c>
      <c r="G5" s="1081" t="s">
        <v>1</v>
      </c>
      <c r="H5" s="1082"/>
      <c r="I5" s="1082"/>
      <c r="J5" s="1082"/>
      <c r="K5" s="1080" t="s">
        <v>748</v>
      </c>
      <c r="L5" s="1083">
        <v>250000</v>
      </c>
      <c r="M5" s="1082"/>
      <c r="N5" s="1084"/>
      <c r="O5" s="1085"/>
      <c r="Q5" s="355" t="s">
        <v>751</v>
      </c>
    </row>
    <row r="6" spans="1:17" s="355" customFormat="1" ht="54">
      <c r="A6" s="438"/>
      <c r="B6" s="342"/>
      <c r="C6" s="1078" t="s">
        <v>750</v>
      </c>
      <c r="D6" s="1009"/>
      <c r="E6" s="2683"/>
      <c r="F6" s="2683"/>
      <c r="G6" s="1080"/>
      <c r="H6" s="1081"/>
      <c r="I6" s="1087"/>
      <c r="J6" s="1087"/>
      <c r="K6" s="1087"/>
      <c r="L6" s="1080"/>
      <c r="M6" s="1088"/>
      <c r="N6" s="1089"/>
      <c r="O6" s="1090"/>
    </row>
    <row r="7" spans="1:17" s="355" customFormat="1" ht="13.5">
      <c r="A7" s="438"/>
      <c r="B7" s="342"/>
      <c r="C7" s="410"/>
      <c r="D7" s="410"/>
      <c r="E7" s="410"/>
      <c r="F7" s="1091"/>
      <c r="G7" s="618"/>
      <c r="H7" s="1092"/>
      <c r="I7" s="1092"/>
      <c r="J7" s="1092"/>
      <c r="K7" s="1091"/>
      <c r="L7" s="1093"/>
      <c r="M7" s="1094"/>
      <c r="N7" s="352"/>
      <c r="O7" s="2670"/>
    </row>
    <row r="8" spans="1:17" s="355" customFormat="1" ht="13.5">
      <c r="A8" s="438"/>
      <c r="B8" s="342"/>
      <c r="C8" s="410"/>
      <c r="D8" s="410"/>
      <c r="E8" s="410"/>
      <c r="F8" s="1091"/>
      <c r="G8" s="618"/>
      <c r="H8" s="1092"/>
      <c r="I8" s="1092"/>
      <c r="J8" s="1092"/>
      <c r="K8" s="1091"/>
      <c r="L8" s="1093"/>
      <c r="M8" s="1094"/>
      <c r="N8" s="352"/>
      <c r="O8" s="2671"/>
    </row>
    <row r="9" spans="1:17" s="355" customFormat="1" ht="13.5">
      <c r="A9" s="438"/>
      <c r="B9" s="342"/>
      <c r="C9" s="410"/>
      <c r="D9" s="410"/>
      <c r="E9" s="410"/>
      <c r="F9" s="1091"/>
      <c r="G9" s="618"/>
      <c r="H9" s="1092"/>
      <c r="I9" s="1092"/>
      <c r="J9" s="1092"/>
      <c r="K9" s="1091"/>
      <c r="L9" s="1093"/>
      <c r="M9" s="1094"/>
      <c r="N9" s="352"/>
      <c r="O9" s="2672"/>
    </row>
    <row r="10" spans="1:17" s="355" customFormat="1" ht="27">
      <c r="A10" s="438" t="s">
        <v>859</v>
      </c>
      <c r="B10" s="342" t="s">
        <v>860</v>
      </c>
      <c r="C10" s="983" t="s">
        <v>887</v>
      </c>
      <c r="D10" s="1024" t="s">
        <v>823</v>
      </c>
      <c r="E10" s="1024"/>
      <c r="F10" s="1024"/>
      <c r="G10" s="1024"/>
      <c r="H10" s="1024"/>
      <c r="I10" s="1024"/>
      <c r="J10" s="1024"/>
      <c r="K10" s="1024"/>
      <c r="L10" s="1024"/>
      <c r="M10" s="309"/>
      <c r="N10" s="1024"/>
      <c r="O10" s="617"/>
    </row>
    <row r="11" spans="1:17" s="355" customFormat="1" ht="81">
      <c r="A11" s="438" t="s">
        <v>859</v>
      </c>
      <c r="B11" s="342" t="s">
        <v>860</v>
      </c>
      <c r="C11" s="983" t="s">
        <v>888</v>
      </c>
      <c r="D11" s="309" t="s">
        <v>889</v>
      </c>
      <c r="E11" s="1024" t="s">
        <v>393</v>
      </c>
      <c r="F11" s="309" t="s">
        <v>661</v>
      </c>
      <c r="G11" s="313" t="s">
        <v>1</v>
      </c>
      <c r="H11" s="986" t="s">
        <v>701</v>
      </c>
      <c r="I11" s="986" t="s">
        <v>829</v>
      </c>
      <c r="J11" s="986" t="s">
        <v>890</v>
      </c>
      <c r="K11" s="308" t="s">
        <v>835</v>
      </c>
      <c r="L11" s="1025">
        <v>144000</v>
      </c>
      <c r="M11" s="308" t="s">
        <v>659</v>
      </c>
      <c r="N11" s="617"/>
    </row>
    <row r="12" spans="1:17" s="355" customFormat="1" ht="40.5">
      <c r="A12" s="438" t="s">
        <v>859</v>
      </c>
      <c r="B12" s="342" t="s">
        <v>860</v>
      </c>
      <c r="C12" s="983" t="s">
        <v>891</v>
      </c>
      <c r="D12" s="309" t="s">
        <v>839</v>
      </c>
      <c r="E12" s="1024" t="s">
        <v>418</v>
      </c>
      <c r="F12" s="309" t="s">
        <v>661</v>
      </c>
      <c r="G12" s="313" t="s">
        <v>1</v>
      </c>
      <c r="H12" s="986">
        <v>46082</v>
      </c>
      <c r="I12" s="986">
        <v>46174</v>
      </c>
      <c r="J12" s="986" t="s">
        <v>892</v>
      </c>
      <c r="K12" s="308" t="s">
        <v>835</v>
      </c>
      <c r="L12" s="1025">
        <v>175000</v>
      </c>
      <c r="M12" s="308" t="s">
        <v>659</v>
      </c>
      <c r="N12" s="731"/>
    </row>
    <row r="13" spans="1:17" s="355" customFormat="1" ht="40.5">
      <c r="A13" s="438" t="s">
        <v>859</v>
      </c>
      <c r="B13" s="342" t="s">
        <v>860</v>
      </c>
      <c r="C13" s="983" t="s">
        <v>893</v>
      </c>
      <c r="D13" s="309" t="s">
        <v>894</v>
      </c>
      <c r="E13" s="1024" t="s">
        <v>392</v>
      </c>
      <c r="F13" s="309" t="s">
        <v>661</v>
      </c>
      <c r="G13" s="313" t="s">
        <v>828</v>
      </c>
      <c r="H13" s="986" t="s">
        <v>701</v>
      </c>
      <c r="I13" s="986">
        <v>46357</v>
      </c>
      <c r="J13" s="986">
        <v>46357</v>
      </c>
      <c r="K13" s="308" t="s">
        <v>835</v>
      </c>
      <c r="L13" s="1026">
        <v>49000</v>
      </c>
      <c r="M13" s="308" t="s">
        <v>659</v>
      </c>
      <c r="N13" s="765"/>
    </row>
    <row r="14" spans="1:17" s="355" customFormat="1" ht="40.5">
      <c r="A14" s="438" t="s">
        <v>859</v>
      </c>
      <c r="B14" s="342" t="s">
        <v>860</v>
      </c>
      <c r="C14" s="2680" t="s">
        <v>895</v>
      </c>
      <c r="D14" s="309" t="s">
        <v>896</v>
      </c>
      <c r="E14" s="1024" t="s">
        <v>392</v>
      </c>
      <c r="F14" s="309" t="s">
        <v>661</v>
      </c>
      <c r="G14" s="313" t="s">
        <v>828</v>
      </c>
      <c r="H14" s="992">
        <v>46113</v>
      </c>
      <c r="I14" s="986" t="s">
        <v>829</v>
      </c>
      <c r="J14" s="986" t="s">
        <v>890</v>
      </c>
      <c r="K14" s="308" t="s">
        <v>835</v>
      </c>
      <c r="L14" s="1026">
        <v>126000</v>
      </c>
      <c r="M14" s="308" t="s">
        <v>659</v>
      </c>
    </row>
    <row r="15" spans="1:17" s="355" customFormat="1" ht="40.5">
      <c r="A15" s="438" t="s">
        <v>859</v>
      </c>
      <c r="B15" s="342" t="s">
        <v>860</v>
      </c>
      <c r="C15" s="2682"/>
      <c r="D15" s="309" t="s">
        <v>897</v>
      </c>
      <c r="E15" s="1024"/>
      <c r="F15" s="309" t="s">
        <v>661</v>
      </c>
      <c r="G15" s="313" t="s">
        <v>828</v>
      </c>
      <c r="H15" s="992">
        <v>46113</v>
      </c>
      <c r="I15" s="986" t="s">
        <v>829</v>
      </c>
      <c r="J15" s="986" t="s">
        <v>890</v>
      </c>
      <c r="K15" s="308" t="s">
        <v>835</v>
      </c>
      <c r="L15" s="1026">
        <v>7000</v>
      </c>
      <c r="M15" s="308" t="s">
        <v>659</v>
      </c>
    </row>
    <row r="16" spans="1:17" s="355" customFormat="1" ht="40.5">
      <c r="A16" s="438" t="s">
        <v>859</v>
      </c>
      <c r="B16" s="342" t="s">
        <v>860</v>
      </c>
      <c r="C16" s="2680" t="s">
        <v>898</v>
      </c>
      <c r="D16" s="309" t="s">
        <v>899</v>
      </c>
      <c r="E16" s="1024" t="s">
        <v>1291</v>
      </c>
      <c r="F16" s="309" t="s">
        <v>661</v>
      </c>
      <c r="G16" s="313" t="s">
        <v>828</v>
      </c>
      <c r="H16" s="992">
        <v>46113</v>
      </c>
      <c r="I16" s="986">
        <v>46357</v>
      </c>
      <c r="J16" s="986" t="s">
        <v>890</v>
      </c>
      <c r="K16" s="308" t="s">
        <v>835</v>
      </c>
      <c r="L16" s="1026">
        <v>36000</v>
      </c>
      <c r="M16" s="308"/>
    </row>
    <row r="17" spans="1:14" s="355" customFormat="1" ht="40.5">
      <c r="A17" s="438" t="s">
        <v>859</v>
      </c>
      <c r="B17" s="342" t="s">
        <v>860</v>
      </c>
      <c r="C17" s="2682"/>
      <c r="D17" s="309" t="s">
        <v>839</v>
      </c>
      <c r="E17" s="1024" t="s">
        <v>1292</v>
      </c>
      <c r="F17" s="309" t="s">
        <v>661</v>
      </c>
      <c r="G17" s="313" t="s">
        <v>1</v>
      </c>
      <c r="H17" s="992">
        <v>46113</v>
      </c>
      <c r="I17" s="986">
        <v>46357</v>
      </c>
      <c r="J17" s="986" t="s">
        <v>890</v>
      </c>
      <c r="K17" s="308" t="s">
        <v>835</v>
      </c>
      <c r="L17" s="1026">
        <v>35000</v>
      </c>
      <c r="M17" s="308" t="s">
        <v>659</v>
      </c>
    </row>
    <row r="18" spans="1:14" s="355" customFormat="1" ht="40.5">
      <c r="A18" s="438" t="s">
        <v>859</v>
      </c>
      <c r="B18" s="342" t="s">
        <v>860</v>
      </c>
      <c r="C18" s="983" t="s">
        <v>900</v>
      </c>
      <c r="D18" s="309" t="s">
        <v>844</v>
      </c>
      <c r="E18" s="1024" t="s">
        <v>1291</v>
      </c>
      <c r="F18" s="309" t="s">
        <v>661</v>
      </c>
      <c r="G18" s="313" t="s">
        <v>1</v>
      </c>
      <c r="H18" s="992">
        <v>46113</v>
      </c>
      <c r="I18" s="986" t="s">
        <v>829</v>
      </c>
      <c r="J18" s="986" t="s">
        <v>890</v>
      </c>
      <c r="K18" s="308" t="s">
        <v>835</v>
      </c>
      <c r="L18" s="1026">
        <v>36000</v>
      </c>
      <c r="M18" s="308" t="s">
        <v>659</v>
      </c>
      <c r="N18" s="1054"/>
    </row>
    <row r="19" spans="1:14" s="355" customFormat="1" ht="40.5">
      <c r="A19" s="438" t="s">
        <v>859</v>
      </c>
      <c r="B19" s="342" t="s">
        <v>860</v>
      </c>
      <c r="C19" s="2679" t="s">
        <v>901</v>
      </c>
      <c r="D19" s="309" t="s">
        <v>844</v>
      </c>
      <c r="E19" s="309" t="s">
        <v>1293</v>
      </c>
      <c r="F19" s="309" t="s">
        <v>661</v>
      </c>
      <c r="G19" s="497" t="s">
        <v>1</v>
      </c>
      <c r="H19" s="985">
        <v>46082</v>
      </c>
      <c r="I19" s="986">
        <v>46357</v>
      </c>
      <c r="J19" s="985" t="s">
        <v>830</v>
      </c>
      <c r="K19" s="499" t="s">
        <v>835</v>
      </c>
      <c r="L19" s="1025">
        <v>10800</v>
      </c>
      <c r="M19" s="499" t="s">
        <v>659</v>
      </c>
      <c r="N19" s="1054"/>
    </row>
    <row r="20" spans="1:14" s="355" customFormat="1" ht="40.5">
      <c r="A20" s="438" t="s">
        <v>859</v>
      </c>
      <c r="B20" s="342" t="s">
        <v>860</v>
      </c>
      <c r="C20" s="2679"/>
      <c r="D20" s="309" t="s">
        <v>839</v>
      </c>
      <c r="E20" s="309" t="s">
        <v>1294</v>
      </c>
      <c r="F20" s="309" t="s">
        <v>661</v>
      </c>
      <c r="G20" s="497" t="s">
        <v>1</v>
      </c>
      <c r="H20" s="985">
        <v>46082</v>
      </c>
      <c r="I20" s="986">
        <v>46357</v>
      </c>
      <c r="J20" s="985" t="s">
        <v>830</v>
      </c>
      <c r="K20" s="499" t="s">
        <v>835</v>
      </c>
      <c r="L20" s="1025">
        <v>21000</v>
      </c>
      <c r="M20" s="499" t="s">
        <v>659</v>
      </c>
      <c r="N20" s="1055"/>
    </row>
    <row r="21" spans="1:14" s="355" customFormat="1" ht="40.5">
      <c r="A21" s="438" t="s">
        <v>859</v>
      </c>
      <c r="B21" s="342" t="s">
        <v>860</v>
      </c>
      <c r="C21" s="2679" t="s">
        <v>902</v>
      </c>
      <c r="D21" s="309" t="s">
        <v>903</v>
      </c>
      <c r="E21" s="309" t="s">
        <v>1295</v>
      </c>
      <c r="F21" s="309" t="s">
        <v>661</v>
      </c>
      <c r="G21" s="497" t="s">
        <v>1</v>
      </c>
      <c r="H21" s="985" t="s">
        <v>701</v>
      </c>
      <c r="I21" s="985">
        <v>46357</v>
      </c>
      <c r="J21" s="985" t="s">
        <v>904</v>
      </c>
      <c r="K21" s="499" t="s">
        <v>835</v>
      </c>
      <c r="L21" s="1025">
        <v>84000</v>
      </c>
      <c r="M21" s="499" t="s">
        <v>659</v>
      </c>
      <c r="N21" s="728"/>
    </row>
    <row r="22" spans="1:14" s="355" customFormat="1" ht="40.5">
      <c r="A22" s="438" t="s">
        <v>859</v>
      </c>
      <c r="B22" s="342" t="s">
        <v>860</v>
      </c>
      <c r="C22" s="2679"/>
      <c r="D22" s="309" t="s">
        <v>839</v>
      </c>
      <c r="E22" s="309" t="s">
        <v>1291</v>
      </c>
      <c r="F22" s="309" t="s">
        <v>661</v>
      </c>
      <c r="G22" s="497" t="s">
        <v>1</v>
      </c>
      <c r="H22" s="985" t="s">
        <v>701</v>
      </c>
      <c r="I22" s="986">
        <v>46357</v>
      </c>
      <c r="J22" s="985" t="s">
        <v>904</v>
      </c>
      <c r="K22" s="499" t="s">
        <v>835</v>
      </c>
      <c r="L22" s="1025">
        <v>56000</v>
      </c>
      <c r="M22" s="499" t="s">
        <v>659</v>
      </c>
      <c r="N22" s="728"/>
    </row>
    <row r="23" spans="1:14" s="355" customFormat="1" ht="40.5">
      <c r="A23" s="438" t="s">
        <v>859</v>
      </c>
      <c r="B23" s="342" t="s">
        <v>860</v>
      </c>
      <c r="C23" s="2680" t="s">
        <v>905</v>
      </c>
      <c r="D23" s="309" t="s">
        <v>906</v>
      </c>
      <c r="E23" s="1024" t="s">
        <v>1295</v>
      </c>
      <c r="F23" s="309" t="s">
        <v>661</v>
      </c>
      <c r="G23" s="313" t="s">
        <v>1</v>
      </c>
      <c r="H23" s="986" t="s">
        <v>701</v>
      </c>
      <c r="I23" s="986">
        <v>46357</v>
      </c>
      <c r="J23" s="985" t="s">
        <v>904</v>
      </c>
      <c r="K23" s="308" t="s">
        <v>835</v>
      </c>
      <c r="L23" s="1026">
        <v>21000</v>
      </c>
      <c r="M23" s="308" t="s">
        <v>659</v>
      </c>
      <c r="N23" s="728"/>
    </row>
    <row r="24" spans="1:14" s="355" customFormat="1" ht="40.5">
      <c r="A24" s="438" t="s">
        <v>859</v>
      </c>
      <c r="B24" s="342" t="s">
        <v>860</v>
      </c>
      <c r="C24" s="2682"/>
      <c r="D24" s="309" t="s">
        <v>839</v>
      </c>
      <c r="E24" s="1024" t="s">
        <v>1291</v>
      </c>
      <c r="F24" s="309" t="s">
        <v>661</v>
      </c>
      <c r="G24" s="313" t="s">
        <v>1</v>
      </c>
      <c r="H24" s="986" t="s">
        <v>701</v>
      </c>
      <c r="I24" s="986">
        <v>46357</v>
      </c>
      <c r="J24" s="985" t="s">
        <v>904</v>
      </c>
      <c r="K24" s="308" t="s">
        <v>835</v>
      </c>
      <c r="L24" s="1026">
        <v>14000</v>
      </c>
      <c r="M24" s="308" t="s">
        <v>659</v>
      </c>
      <c r="N24" s="728"/>
    </row>
    <row r="25" spans="1:14" s="355" customFormat="1" ht="40.5">
      <c r="A25" s="438" t="s">
        <v>859</v>
      </c>
      <c r="B25" s="342" t="s">
        <v>860</v>
      </c>
      <c r="C25" s="322" t="s">
        <v>907</v>
      </c>
      <c r="D25" s="309" t="s">
        <v>908</v>
      </c>
      <c r="E25" s="1024" t="s">
        <v>1291</v>
      </c>
      <c r="F25" s="309" t="s">
        <v>661</v>
      </c>
      <c r="G25" s="313" t="s">
        <v>1</v>
      </c>
      <c r="H25" s="992">
        <v>46113</v>
      </c>
      <c r="I25" s="986">
        <v>46357</v>
      </c>
      <c r="J25" s="985" t="s">
        <v>904</v>
      </c>
      <c r="K25" s="308" t="s">
        <v>835</v>
      </c>
      <c r="L25" s="1026">
        <v>144000</v>
      </c>
      <c r="M25" s="308" t="s">
        <v>659</v>
      </c>
      <c r="N25" s="765"/>
    </row>
    <row r="26" spans="1:14" s="355" customFormat="1" ht="40.5">
      <c r="A26" s="438" t="s">
        <v>859</v>
      </c>
      <c r="B26" s="342" t="s">
        <v>860</v>
      </c>
      <c r="C26" s="392" t="s">
        <v>909</v>
      </c>
      <c r="D26" s="309" t="s">
        <v>839</v>
      </c>
      <c r="E26" s="309" t="s">
        <v>1291</v>
      </c>
      <c r="F26" s="309" t="s">
        <v>661</v>
      </c>
      <c r="G26" s="497" t="s">
        <v>1</v>
      </c>
      <c r="H26" s="985">
        <v>46082</v>
      </c>
      <c r="I26" s="985">
        <v>375075</v>
      </c>
      <c r="J26" s="985" t="s">
        <v>830</v>
      </c>
      <c r="K26" s="499" t="s">
        <v>835</v>
      </c>
      <c r="L26" s="1025">
        <v>41200</v>
      </c>
      <c r="M26" s="499" t="s">
        <v>659</v>
      </c>
    </row>
    <row r="27" spans="1:14" s="355" customFormat="1" ht="40.5">
      <c r="A27" s="438" t="s">
        <v>859</v>
      </c>
      <c r="B27" s="342" t="s">
        <v>860</v>
      </c>
      <c r="C27" s="987" t="s">
        <v>910</v>
      </c>
      <c r="D27" s="314" t="s">
        <v>911</v>
      </c>
      <c r="E27" s="662" t="s">
        <v>1296</v>
      </c>
      <c r="F27" s="309" t="s">
        <v>661</v>
      </c>
      <c r="G27" s="497" t="s">
        <v>828</v>
      </c>
      <c r="H27" s="985">
        <v>46082</v>
      </c>
      <c r="I27" s="986" t="s">
        <v>829</v>
      </c>
      <c r="J27" s="985" t="s">
        <v>830</v>
      </c>
      <c r="K27" s="499" t="s">
        <v>835</v>
      </c>
      <c r="L27" s="1025">
        <v>52800</v>
      </c>
      <c r="M27" s="499" t="s">
        <v>659</v>
      </c>
      <c r="N27" s="342"/>
    </row>
    <row r="28" spans="1:14" s="355" customFormat="1" ht="40.5">
      <c r="A28" s="438" t="s">
        <v>859</v>
      </c>
      <c r="B28" s="342" t="s">
        <v>860</v>
      </c>
      <c r="C28" s="987" t="s">
        <v>912</v>
      </c>
      <c r="D28" s="314" t="s">
        <v>913</v>
      </c>
      <c r="E28" s="662" t="s">
        <v>393</v>
      </c>
      <c r="F28" s="309" t="s">
        <v>661</v>
      </c>
      <c r="G28" s="497" t="s">
        <v>828</v>
      </c>
      <c r="H28" s="985">
        <v>46082</v>
      </c>
      <c r="I28" s="986" t="s">
        <v>829</v>
      </c>
      <c r="J28" s="985" t="s">
        <v>830</v>
      </c>
      <c r="K28" s="499" t="s">
        <v>835</v>
      </c>
      <c r="L28" s="1025">
        <v>56000</v>
      </c>
      <c r="M28" s="499" t="s">
        <v>659</v>
      </c>
      <c r="N28" s="348"/>
    </row>
    <row r="29" spans="1:14" s="355" customFormat="1" ht="54">
      <c r="A29" s="438" t="s">
        <v>859</v>
      </c>
      <c r="B29" s="342" t="s">
        <v>860</v>
      </c>
      <c r="C29" s="317" t="s">
        <v>914</v>
      </c>
      <c r="D29" s="314" t="s">
        <v>839</v>
      </c>
      <c r="E29" s="304" t="s">
        <v>392</v>
      </c>
      <c r="F29" s="309" t="s">
        <v>661</v>
      </c>
      <c r="G29" s="313" t="s">
        <v>828</v>
      </c>
      <c r="H29" s="985">
        <v>46082</v>
      </c>
      <c r="I29" s="986" t="s">
        <v>829</v>
      </c>
      <c r="J29" s="985" t="s">
        <v>830</v>
      </c>
      <c r="K29" s="308" t="s">
        <v>835</v>
      </c>
      <c r="L29" s="1064">
        <v>21000</v>
      </c>
      <c r="M29" s="499" t="s">
        <v>659</v>
      </c>
      <c r="N29" s="348"/>
    </row>
    <row r="30" spans="1:14" s="355" customFormat="1" ht="40.5">
      <c r="A30" s="438" t="s">
        <v>859</v>
      </c>
      <c r="B30" s="342" t="s">
        <v>860</v>
      </c>
      <c r="C30" s="317" t="s">
        <v>915</v>
      </c>
      <c r="D30" s="309" t="s">
        <v>844</v>
      </c>
      <c r="E30" s="304" t="s">
        <v>1291</v>
      </c>
      <c r="F30" s="309" t="s">
        <v>661</v>
      </c>
      <c r="G30" s="313" t="s">
        <v>828</v>
      </c>
      <c r="H30" s="985">
        <v>46082</v>
      </c>
      <c r="I30" s="986" t="s">
        <v>829</v>
      </c>
      <c r="J30" s="985" t="s">
        <v>830</v>
      </c>
      <c r="K30" s="308" t="s">
        <v>835</v>
      </c>
      <c r="L30" s="1065">
        <v>36000</v>
      </c>
      <c r="M30" s="499" t="s">
        <v>659</v>
      </c>
      <c r="N30" s="348"/>
    </row>
    <row r="31" spans="1:14" s="355" customFormat="1" ht="40.5">
      <c r="A31" s="438" t="s">
        <v>859</v>
      </c>
      <c r="B31" s="342" t="s">
        <v>860</v>
      </c>
      <c r="C31" s="983" t="s">
        <v>916</v>
      </c>
      <c r="D31" s="314" t="s">
        <v>852</v>
      </c>
      <c r="E31" s="982" t="s">
        <v>1297</v>
      </c>
      <c r="F31" s="309" t="s">
        <v>661</v>
      </c>
      <c r="G31" s="497" t="s">
        <v>828</v>
      </c>
      <c r="H31" s="985">
        <v>46082</v>
      </c>
      <c r="I31" s="986" t="s">
        <v>829</v>
      </c>
      <c r="J31" s="985" t="s">
        <v>830</v>
      </c>
      <c r="K31" s="982" t="s">
        <v>824</v>
      </c>
      <c r="L31" s="1012">
        <v>10000</v>
      </c>
      <c r="M31" s="499" t="s">
        <v>659</v>
      </c>
      <c r="N31" s="348"/>
    </row>
    <row r="32" spans="1:14" s="355" customFormat="1" ht="54">
      <c r="A32" s="438" t="s">
        <v>859</v>
      </c>
      <c r="B32" s="342" t="s">
        <v>860</v>
      </c>
      <c r="C32" s="983" t="s">
        <v>917</v>
      </c>
      <c r="D32" s="314" t="s">
        <v>918</v>
      </c>
      <c r="E32" s="982" t="s">
        <v>393</v>
      </c>
      <c r="F32" s="309" t="s">
        <v>661</v>
      </c>
      <c r="G32" s="497" t="s">
        <v>828</v>
      </c>
      <c r="H32" s="985">
        <v>46082</v>
      </c>
      <c r="I32" s="986" t="s">
        <v>829</v>
      </c>
      <c r="J32" s="985" t="s">
        <v>830</v>
      </c>
      <c r="K32" s="982" t="s">
        <v>824</v>
      </c>
      <c r="L32" s="1012">
        <v>72000</v>
      </c>
      <c r="M32" s="499" t="s">
        <v>659</v>
      </c>
      <c r="N32" s="352"/>
    </row>
    <row r="33" spans="1:15" s="355" customFormat="1" ht="40.5">
      <c r="A33" s="438" t="s">
        <v>859</v>
      </c>
      <c r="B33" s="342" t="s">
        <v>860</v>
      </c>
      <c r="C33" s="983" t="s">
        <v>919</v>
      </c>
      <c r="D33" s="314" t="s">
        <v>920</v>
      </c>
      <c r="E33" s="984" t="s">
        <v>446</v>
      </c>
      <c r="F33" s="309" t="s">
        <v>661</v>
      </c>
      <c r="G33" s="497" t="s">
        <v>828</v>
      </c>
      <c r="H33" s="985">
        <v>46082</v>
      </c>
      <c r="I33" s="986" t="s">
        <v>829</v>
      </c>
      <c r="J33" s="985" t="s">
        <v>830</v>
      </c>
      <c r="K33" s="982" t="s">
        <v>824</v>
      </c>
      <c r="L33" s="1012">
        <v>17500</v>
      </c>
      <c r="M33" s="499" t="s">
        <v>659</v>
      </c>
      <c r="N33" s="342"/>
    </row>
    <row r="34" spans="1:15" s="355" customFormat="1" ht="135">
      <c r="A34" s="438" t="s">
        <v>859</v>
      </c>
      <c r="B34" s="342" t="s">
        <v>860</v>
      </c>
      <c r="C34" s="317" t="s">
        <v>921</v>
      </c>
      <c r="D34" s="314" t="s">
        <v>922</v>
      </c>
      <c r="E34" s="304" t="s">
        <v>1298</v>
      </c>
      <c r="F34" s="309" t="s">
        <v>661</v>
      </c>
      <c r="G34" s="313" t="s">
        <v>828</v>
      </c>
      <c r="H34" s="985">
        <v>46082</v>
      </c>
      <c r="I34" s="986" t="s">
        <v>829</v>
      </c>
      <c r="J34" s="985" t="s">
        <v>830</v>
      </c>
      <c r="K34" s="308" t="s">
        <v>835</v>
      </c>
      <c r="L34" s="1065">
        <v>119700</v>
      </c>
      <c r="M34" s="308" t="s">
        <v>659</v>
      </c>
      <c r="N34" s="348"/>
    </row>
    <row r="35" spans="1:15" s="355" customFormat="1" ht="13.5">
      <c r="A35" s="438"/>
      <c r="B35" s="342"/>
      <c r="C35" s="392"/>
      <c r="D35" s="309"/>
      <c r="E35" s="309"/>
      <c r="F35" s="662"/>
      <c r="G35" s="309"/>
      <c r="H35" s="497"/>
      <c r="I35" s="985"/>
      <c r="J35" s="985"/>
      <c r="K35" s="1066"/>
      <c r="L35" s="1067"/>
      <c r="M35" s="1025"/>
      <c r="N35" s="1068"/>
      <c r="O35" s="348"/>
    </row>
    <row r="36" spans="1:15" s="355" customFormat="1" ht="13.5">
      <c r="A36" s="438"/>
      <c r="B36" s="342"/>
      <c r="C36" s="438"/>
      <c r="D36" s="324"/>
      <c r="E36" s="349"/>
      <c r="F36" s="360"/>
      <c r="G36" s="438"/>
      <c r="H36" s="441"/>
      <c r="I36" s="504"/>
      <c r="J36" s="504"/>
      <c r="K36" s="504"/>
      <c r="L36" s="519"/>
      <c r="M36" s="507"/>
      <c r="N36" s="438"/>
      <c r="O36" s="348"/>
    </row>
    <row r="37" spans="1:15" s="355" customFormat="1" ht="13.5">
      <c r="A37" s="438"/>
      <c r="B37" s="342"/>
      <c r="C37" s="438"/>
      <c r="D37" s="324"/>
      <c r="E37" s="349"/>
      <c r="F37" s="360"/>
      <c r="G37" s="438"/>
      <c r="H37" s="441"/>
      <c r="I37" s="504"/>
      <c r="J37" s="504"/>
      <c r="K37" s="504"/>
      <c r="L37" s="519"/>
      <c r="M37" s="507"/>
      <c r="N37" s="438"/>
      <c r="O37" s="348"/>
    </row>
    <row r="38" spans="1:15" s="355" customFormat="1" ht="27">
      <c r="A38" s="438" t="s">
        <v>886</v>
      </c>
      <c r="B38" s="342" t="s">
        <v>860</v>
      </c>
      <c r="C38" s="983" t="s">
        <v>923</v>
      </c>
      <c r="D38" s="1024" t="s">
        <v>823</v>
      </c>
      <c r="E38" s="1024"/>
      <c r="F38" s="1024"/>
      <c r="G38" s="1024"/>
      <c r="H38" s="1024"/>
      <c r="I38" s="1024"/>
      <c r="J38" s="1024"/>
      <c r="K38" s="1024"/>
      <c r="L38" s="1024"/>
      <c r="M38" s="309"/>
      <c r="N38" s="1024"/>
    </row>
    <row r="39" spans="1:15" s="355" customFormat="1" ht="27">
      <c r="A39" s="438" t="s">
        <v>886</v>
      </c>
      <c r="B39" s="342" t="s">
        <v>860</v>
      </c>
      <c r="C39" s="983" t="s">
        <v>924</v>
      </c>
      <c r="D39" s="314" t="s">
        <v>925</v>
      </c>
      <c r="E39" s="1024" t="s">
        <v>446</v>
      </c>
      <c r="F39" s="309" t="s">
        <v>661</v>
      </c>
      <c r="G39" s="313" t="s">
        <v>1</v>
      </c>
      <c r="H39" s="992">
        <v>46143</v>
      </c>
      <c r="I39" s="1024" t="s">
        <v>927</v>
      </c>
      <c r="J39" s="1024" t="s">
        <v>928</v>
      </c>
      <c r="K39" s="308" t="s">
        <v>824</v>
      </c>
      <c r="L39" s="1069">
        <v>35000</v>
      </c>
      <c r="M39" s="1024"/>
      <c r="N39" s="342"/>
    </row>
    <row r="40" spans="1:15" s="355" customFormat="1" ht="40.5">
      <c r="A40" s="438" t="s">
        <v>886</v>
      </c>
      <c r="B40" s="342" t="s">
        <v>860</v>
      </c>
      <c r="C40" s="983" t="s">
        <v>929</v>
      </c>
      <c r="D40" s="314" t="s">
        <v>930</v>
      </c>
      <c r="E40" s="1024" t="s">
        <v>1299</v>
      </c>
      <c r="F40" s="309" t="s">
        <v>661</v>
      </c>
      <c r="G40" s="313" t="s">
        <v>1</v>
      </c>
      <c r="H40" s="992">
        <v>46143</v>
      </c>
      <c r="I40" s="1024" t="s">
        <v>927</v>
      </c>
      <c r="J40" s="1024" t="s">
        <v>928</v>
      </c>
      <c r="K40" s="308" t="s">
        <v>824</v>
      </c>
      <c r="L40" s="1070">
        <v>432000</v>
      </c>
      <c r="M40" s="308" t="s">
        <v>659</v>
      </c>
      <c r="N40" s="348"/>
    </row>
    <row r="41" spans="1:15" s="355" customFormat="1" ht="40.5">
      <c r="A41" s="438" t="s">
        <v>886</v>
      </c>
      <c r="B41" s="342" t="s">
        <v>860</v>
      </c>
      <c r="C41" s="983" t="s">
        <v>931</v>
      </c>
      <c r="D41" s="314" t="s">
        <v>925</v>
      </c>
      <c r="E41" s="1024" t="s">
        <v>1291</v>
      </c>
      <c r="F41" s="309" t="s">
        <v>661</v>
      </c>
      <c r="G41" s="313" t="s">
        <v>1</v>
      </c>
      <c r="H41" s="992">
        <v>46143</v>
      </c>
      <c r="I41" s="1024" t="s">
        <v>927</v>
      </c>
      <c r="J41" s="1024" t="s">
        <v>928</v>
      </c>
      <c r="K41" s="308" t="s">
        <v>824</v>
      </c>
      <c r="L41" s="1070">
        <v>42000</v>
      </c>
      <c r="M41" s="308" t="s">
        <v>659</v>
      </c>
      <c r="N41" s="348"/>
    </row>
    <row r="42" spans="1:15" s="355" customFormat="1" ht="54">
      <c r="A42" s="438" t="s">
        <v>886</v>
      </c>
      <c r="B42" s="342" t="s">
        <v>860</v>
      </c>
      <c r="C42" s="983" t="s">
        <v>932</v>
      </c>
      <c r="D42" s="314" t="s">
        <v>925</v>
      </c>
      <c r="E42" s="304" t="s">
        <v>1291</v>
      </c>
      <c r="F42" s="309" t="s">
        <v>661</v>
      </c>
      <c r="G42" s="313" t="s">
        <v>1</v>
      </c>
      <c r="H42" s="992">
        <v>46054</v>
      </c>
      <c r="I42" s="986">
        <v>46204</v>
      </c>
      <c r="J42" s="986" t="s">
        <v>933</v>
      </c>
      <c r="K42" s="308" t="s">
        <v>824</v>
      </c>
      <c r="L42" s="1019">
        <v>14000</v>
      </c>
      <c r="M42" s="308" t="s">
        <v>659</v>
      </c>
      <c r="N42" s="348"/>
    </row>
    <row r="43" spans="1:15" s="355" customFormat="1" ht="40.5">
      <c r="A43" s="438" t="s">
        <v>886</v>
      </c>
      <c r="B43" s="342" t="s">
        <v>860</v>
      </c>
      <c r="C43" s="983" t="s">
        <v>934</v>
      </c>
      <c r="D43" s="314" t="s">
        <v>925</v>
      </c>
      <c r="E43" s="304" t="s">
        <v>447</v>
      </c>
      <c r="F43" s="309" t="s">
        <v>661</v>
      </c>
      <c r="G43" s="313" t="s">
        <v>1</v>
      </c>
      <c r="H43" s="992">
        <v>46054</v>
      </c>
      <c r="I43" s="986">
        <v>46204</v>
      </c>
      <c r="J43" s="986" t="s">
        <v>933</v>
      </c>
      <c r="K43" s="308" t="s">
        <v>824</v>
      </c>
      <c r="L43" s="1016">
        <v>105000</v>
      </c>
      <c r="M43" s="308" t="s">
        <v>659</v>
      </c>
      <c r="N43" s="348"/>
    </row>
    <row r="44" spans="1:15" s="355" customFormat="1" ht="40.5">
      <c r="A44" s="438" t="s">
        <v>886</v>
      </c>
      <c r="B44" s="342" t="s">
        <v>860</v>
      </c>
      <c r="C44" s="314" t="s">
        <v>935</v>
      </c>
      <c r="D44" s="314" t="s">
        <v>925</v>
      </c>
      <c r="E44" s="662" t="s">
        <v>1294</v>
      </c>
      <c r="F44" s="309" t="s">
        <v>661</v>
      </c>
      <c r="G44" s="497" t="s">
        <v>1</v>
      </c>
      <c r="H44" s="1056">
        <v>46204</v>
      </c>
      <c r="I44" s="985">
        <v>46357</v>
      </c>
      <c r="J44" s="985">
        <v>46357</v>
      </c>
      <c r="K44" s="499" t="s">
        <v>824</v>
      </c>
      <c r="L44" s="1071">
        <v>21000</v>
      </c>
      <c r="M44" s="499" t="s">
        <v>659</v>
      </c>
    </row>
    <row r="45" spans="1:15" s="355" customFormat="1" ht="54">
      <c r="A45" s="438" t="s">
        <v>886</v>
      </c>
      <c r="B45" s="342" t="s">
        <v>860</v>
      </c>
      <c r="C45" s="983" t="s">
        <v>936</v>
      </c>
      <c r="D45" s="314" t="s">
        <v>937</v>
      </c>
      <c r="E45" s="304" t="s">
        <v>1291</v>
      </c>
      <c r="F45" s="309" t="s">
        <v>661</v>
      </c>
      <c r="G45" s="313" t="s">
        <v>1</v>
      </c>
      <c r="H45" s="992">
        <v>46054</v>
      </c>
      <c r="I45" s="986" t="s">
        <v>927</v>
      </c>
      <c r="J45" s="986" t="s">
        <v>938</v>
      </c>
      <c r="K45" s="308" t="s">
        <v>824</v>
      </c>
      <c r="L45" s="1072">
        <v>72000</v>
      </c>
      <c r="M45" s="308" t="s">
        <v>659</v>
      </c>
    </row>
    <row r="46" spans="1:15" s="355" customFormat="1" ht="40.5">
      <c r="A46" s="438" t="s">
        <v>886</v>
      </c>
      <c r="B46" s="342" t="s">
        <v>860</v>
      </c>
      <c r="C46" s="983" t="s">
        <v>939</v>
      </c>
      <c r="D46" s="314" t="s">
        <v>925</v>
      </c>
      <c r="E46" s="304" t="s">
        <v>393</v>
      </c>
      <c r="F46" s="309" t="s">
        <v>661</v>
      </c>
      <c r="G46" s="313" t="s">
        <v>1</v>
      </c>
      <c r="H46" s="992">
        <v>46054</v>
      </c>
      <c r="I46" s="986" t="s">
        <v>927</v>
      </c>
      <c r="J46" s="986" t="s">
        <v>938</v>
      </c>
      <c r="K46" s="308" t="s">
        <v>824</v>
      </c>
      <c r="L46" s="1016">
        <v>154500</v>
      </c>
      <c r="M46" s="308" t="s">
        <v>659</v>
      </c>
    </row>
    <row r="47" spans="1:15" s="355" customFormat="1" ht="40.5">
      <c r="A47" s="438" t="s">
        <v>886</v>
      </c>
      <c r="B47" s="342" t="s">
        <v>860</v>
      </c>
      <c r="C47" s="983" t="s">
        <v>940</v>
      </c>
      <c r="D47" s="314" t="s">
        <v>941</v>
      </c>
      <c r="E47" s="304" t="s">
        <v>446</v>
      </c>
      <c r="F47" s="309" t="s">
        <v>661</v>
      </c>
      <c r="G47" s="313" t="s">
        <v>1</v>
      </c>
      <c r="H47" s="992">
        <v>46054</v>
      </c>
      <c r="I47" s="986" t="s">
        <v>927</v>
      </c>
      <c r="J47" s="986" t="s">
        <v>938</v>
      </c>
      <c r="K47" s="308" t="s">
        <v>824</v>
      </c>
      <c r="L47" s="1019">
        <v>35000</v>
      </c>
      <c r="M47" s="308" t="s">
        <v>659</v>
      </c>
    </row>
    <row r="48" spans="1:15" s="355" customFormat="1" ht="40.5">
      <c r="A48" s="438" t="s">
        <v>886</v>
      </c>
      <c r="B48" s="342" t="s">
        <v>860</v>
      </c>
      <c r="C48" s="983" t="s">
        <v>942</v>
      </c>
      <c r="D48" s="314" t="s">
        <v>937</v>
      </c>
      <c r="E48" s="304" t="s">
        <v>1291</v>
      </c>
      <c r="F48" s="309" t="s">
        <v>661</v>
      </c>
      <c r="G48" s="313" t="s">
        <v>1</v>
      </c>
      <c r="H48" s="992">
        <v>46054</v>
      </c>
      <c r="I48" s="986" t="s">
        <v>927</v>
      </c>
      <c r="J48" s="986" t="s">
        <v>938</v>
      </c>
      <c r="K48" s="308" t="s">
        <v>824</v>
      </c>
      <c r="L48" s="1019">
        <v>36000</v>
      </c>
      <c r="M48" s="308" t="s">
        <v>659</v>
      </c>
      <c r="N48" s="348"/>
    </row>
    <row r="49" spans="1:15" s="355" customFormat="1" ht="54">
      <c r="A49" s="438" t="s">
        <v>886</v>
      </c>
      <c r="B49" s="342" t="s">
        <v>860</v>
      </c>
      <c r="C49" s="983" t="s">
        <v>943</v>
      </c>
      <c r="D49" s="314" t="s">
        <v>944</v>
      </c>
      <c r="E49" s="304" t="s">
        <v>393</v>
      </c>
      <c r="F49" s="309" t="s">
        <v>661</v>
      </c>
      <c r="G49" s="313" t="s">
        <v>1</v>
      </c>
      <c r="H49" s="992">
        <v>46054</v>
      </c>
      <c r="I49" s="986" t="s">
        <v>927</v>
      </c>
      <c r="J49" s="986" t="s">
        <v>938</v>
      </c>
      <c r="K49" s="308" t="s">
        <v>824</v>
      </c>
      <c r="L49" s="1016">
        <v>288000</v>
      </c>
      <c r="M49" s="308" t="s">
        <v>659</v>
      </c>
      <c r="N49" s="348"/>
    </row>
    <row r="50" spans="1:15" s="355" customFormat="1" ht="40.5">
      <c r="A50" s="438" t="s">
        <v>886</v>
      </c>
      <c r="B50" s="342" t="s">
        <v>860</v>
      </c>
      <c r="C50" s="983" t="s">
        <v>945</v>
      </c>
      <c r="D50" s="314" t="s">
        <v>946</v>
      </c>
      <c r="E50" s="304" t="s">
        <v>1291</v>
      </c>
      <c r="F50" s="309" t="s">
        <v>661</v>
      </c>
      <c r="G50" s="313" t="s">
        <v>1</v>
      </c>
      <c r="H50" s="992" t="s">
        <v>947</v>
      </c>
      <c r="I50" s="986">
        <v>46174</v>
      </c>
      <c r="J50" s="986" t="s">
        <v>948</v>
      </c>
      <c r="K50" s="308" t="s">
        <v>824</v>
      </c>
      <c r="L50" s="1019">
        <v>72000</v>
      </c>
      <c r="M50" s="308" t="s">
        <v>659</v>
      </c>
      <c r="N50" s="348"/>
    </row>
    <row r="51" spans="1:15" s="355" customFormat="1" ht="40.5">
      <c r="A51" s="438" t="s">
        <v>886</v>
      </c>
      <c r="B51" s="342" t="s">
        <v>860</v>
      </c>
      <c r="C51" s="2680" t="s">
        <v>949</v>
      </c>
      <c r="D51" s="314" t="s">
        <v>925</v>
      </c>
      <c r="E51" s="304" t="s">
        <v>1291</v>
      </c>
      <c r="F51" s="309" t="s">
        <v>661</v>
      </c>
      <c r="G51" s="313" t="s">
        <v>1</v>
      </c>
      <c r="H51" s="992" t="s">
        <v>947</v>
      </c>
      <c r="I51" s="986">
        <v>46174</v>
      </c>
      <c r="J51" s="986" t="s">
        <v>948</v>
      </c>
      <c r="K51" s="308" t="s">
        <v>824</v>
      </c>
      <c r="L51" s="1019">
        <v>14000</v>
      </c>
      <c r="M51" s="308" t="s">
        <v>659</v>
      </c>
    </row>
    <row r="52" spans="1:15" s="355" customFormat="1" ht="40.5">
      <c r="A52" s="438" t="s">
        <v>886</v>
      </c>
      <c r="B52" s="342" t="s">
        <v>860</v>
      </c>
      <c r="C52" s="2682"/>
      <c r="D52" s="314" t="s">
        <v>950</v>
      </c>
      <c r="E52" s="304" t="s">
        <v>1295</v>
      </c>
      <c r="F52" s="309" t="s">
        <v>661</v>
      </c>
      <c r="G52" s="313" t="s">
        <v>1</v>
      </c>
      <c r="H52" s="992" t="s">
        <v>947</v>
      </c>
      <c r="I52" s="986">
        <v>46174</v>
      </c>
      <c r="J52" s="986" t="s">
        <v>948</v>
      </c>
      <c r="K52" s="308" t="s">
        <v>824</v>
      </c>
      <c r="L52" s="1019">
        <v>21000</v>
      </c>
      <c r="M52" s="308" t="s">
        <v>659</v>
      </c>
      <c r="N52" s="342"/>
    </row>
    <row r="53" spans="1:15" s="355" customFormat="1" ht="40.5">
      <c r="A53" s="438" t="s">
        <v>886</v>
      </c>
      <c r="B53" s="342" t="s">
        <v>860</v>
      </c>
      <c r="C53" s="2680" t="s">
        <v>951</v>
      </c>
      <c r="D53" s="314" t="s">
        <v>925</v>
      </c>
      <c r="E53" s="304" t="s">
        <v>1300</v>
      </c>
      <c r="F53" s="309" t="s">
        <v>661</v>
      </c>
      <c r="G53" s="313" t="s">
        <v>1</v>
      </c>
      <c r="H53" s="992" t="s">
        <v>653</v>
      </c>
      <c r="I53" s="986" t="s">
        <v>952</v>
      </c>
      <c r="J53" s="986" t="s">
        <v>953</v>
      </c>
      <c r="K53" s="308" t="s">
        <v>824</v>
      </c>
      <c r="L53" s="1019">
        <v>43400</v>
      </c>
      <c r="M53" s="308" t="s">
        <v>659</v>
      </c>
      <c r="N53" s="348"/>
    </row>
    <row r="54" spans="1:15" s="355" customFormat="1" ht="40.5">
      <c r="A54" s="438" t="s">
        <v>886</v>
      </c>
      <c r="B54" s="342" t="s">
        <v>860</v>
      </c>
      <c r="C54" s="2681"/>
      <c r="D54" s="314" t="s">
        <v>954</v>
      </c>
      <c r="E54" s="304" t="s">
        <v>1301</v>
      </c>
      <c r="F54" s="309" t="s">
        <v>661</v>
      </c>
      <c r="G54" s="313" t="s">
        <v>1</v>
      </c>
      <c r="H54" s="992" t="s">
        <v>653</v>
      </c>
      <c r="I54" s="986" t="s">
        <v>952</v>
      </c>
      <c r="J54" s="986" t="s">
        <v>953</v>
      </c>
      <c r="K54" s="308" t="s">
        <v>824</v>
      </c>
      <c r="L54" s="1019">
        <v>14400</v>
      </c>
      <c r="M54" s="308" t="s">
        <v>659</v>
      </c>
      <c r="N54" s="348"/>
    </row>
    <row r="55" spans="1:15" s="355" customFormat="1" ht="40.5">
      <c r="A55" s="438" t="s">
        <v>886</v>
      </c>
      <c r="B55" s="342" t="s">
        <v>860</v>
      </c>
      <c r="C55" s="2682"/>
      <c r="D55" s="314" t="s">
        <v>955</v>
      </c>
      <c r="E55" s="304" t="s">
        <v>1302</v>
      </c>
      <c r="F55" s="309" t="s">
        <v>661</v>
      </c>
      <c r="G55" s="313" t="s">
        <v>1</v>
      </c>
      <c r="H55" s="992" t="s">
        <v>653</v>
      </c>
      <c r="I55" s="986" t="s">
        <v>952</v>
      </c>
      <c r="J55" s="986" t="s">
        <v>953</v>
      </c>
      <c r="K55" s="308" t="s">
        <v>824</v>
      </c>
      <c r="L55" s="1019">
        <v>3000</v>
      </c>
      <c r="M55" s="308" t="s">
        <v>659</v>
      </c>
      <c r="N55" s="348"/>
    </row>
    <row r="56" spans="1:15" s="355" customFormat="1" ht="40.5">
      <c r="A56" s="438" t="s">
        <v>886</v>
      </c>
      <c r="B56" s="342" t="s">
        <v>860</v>
      </c>
      <c r="C56" s="983" t="s">
        <v>956</v>
      </c>
      <c r="D56" s="314" t="s">
        <v>202</v>
      </c>
      <c r="E56" s="304" t="s">
        <v>437</v>
      </c>
      <c r="F56" s="309" t="s">
        <v>661</v>
      </c>
      <c r="G56" s="313" t="s">
        <v>1</v>
      </c>
      <c r="H56" s="986">
        <v>46174</v>
      </c>
      <c r="I56" s="986" t="s">
        <v>829</v>
      </c>
      <c r="J56" s="986" t="s">
        <v>957</v>
      </c>
      <c r="K56" s="308" t="s">
        <v>824</v>
      </c>
      <c r="L56" s="1019">
        <v>22000</v>
      </c>
      <c r="M56" s="308" t="s">
        <v>659</v>
      </c>
      <c r="N56" s="348"/>
    </row>
    <row r="57" spans="1:15" s="355" customFormat="1" ht="40.5">
      <c r="A57" s="438" t="s">
        <v>886</v>
      </c>
      <c r="B57" s="342" t="s">
        <v>860</v>
      </c>
      <c r="C57" s="983" t="s">
        <v>958</v>
      </c>
      <c r="D57" s="314" t="s">
        <v>959</v>
      </c>
      <c r="E57" s="304" t="s">
        <v>926</v>
      </c>
      <c r="F57" s="309" t="s">
        <v>661</v>
      </c>
      <c r="G57" s="313" t="s">
        <v>1</v>
      </c>
      <c r="H57" s="986">
        <v>46174</v>
      </c>
      <c r="I57" s="986" t="s">
        <v>829</v>
      </c>
      <c r="J57" s="986" t="s">
        <v>957</v>
      </c>
      <c r="K57" s="308" t="s">
        <v>824</v>
      </c>
      <c r="L57" s="1019">
        <v>75700</v>
      </c>
      <c r="M57" s="308"/>
      <c r="N57" s="352"/>
    </row>
    <row r="58" spans="1:15" s="355" customFormat="1" ht="13.5">
      <c r="C58" s="983"/>
      <c r="D58" s="314"/>
      <c r="E58" s="304"/>
      <c r="F58" s="304"/>
      <c r="G58" s="309"/>
      <c r="H58" s="313"/>
      <c r="I58" s="992"/>
      <c r="J58" s="986"/>
      <c r="K58" s="986"/>
      <c r="L58" s="308"/>
      <c r="M58" s="1073"/>
      <c r="N58" s="308"/>
    </row>
    <row r="59" spans="1:15" s="355" customFormat="1" ht="13.5">
      <c r="C59" s="410"/>
      <c r="D59" s="1024"/>
      <c r="E59" s="304"/>
      <c r="F59" s="304"/>
      <c r="G59" s="1024"/>
      <c r="H59" s="313"/>
      <c r="I59" s="320"/>
      <c r="J59" s="986"/>
      <c r="K59" s="989"/>
      <c r="L59" s="308"/>
      <c r="M59" s="1025"/>
      <c r="N59" s="308"/>
    </row>
    <row r="60" spans="1:15" s="355" customFormat="1" ht="54">
      <c r="A60" s="564" t="s">
        <v>1120</v>
      </c>
      <c r="B60" s="1057" t="s">
        <v>1087</v>
      </c>
      <c r="C60" s="308" t="s">
        <v>1304</v>
      </c>
      <c r="D60" s="1024" t="s">
        <v>1109</v>
      </c>
      <c r="E60" s="1074"/>
      <c r="F60" s="308" t="s">
        <v>674</v>
      </c>
      <c r="G60" s="313" t="s">
        <v>1</v>
      </c>
      <c r="H60" s="1058" t="s">
        <v>1110</v>
      </c>
      <c r="I60" s="1058" t="s">
        <v>1111</v>
      </c>
      <c r="J60" s="1058" t="str">
        <f>I60</f>
        <v>Mar 2026</v>
      </c>
      <c r="K60" s="308" t="s">
        <v>1112</v>
      </c>
      <c r="L60" s="1095">
        <v>28000</v>
      </c>
      <c r="M60" s="1024" t="s">
        <v>659</v>
      </c>
      <c r="N60" s="308" t="s">
        <v>1113</v>
      </c>
    </row>
    <row r="61" spans="1:15" s="355" customFormat="1" ht="13.5">
      <c r="A61" s="564" t="s">
        <v>1120</v>
      </c>
      <c r="B61" s="1057" t="s">
        <v>1087</v>
      </c>
      <c r="C61" s="313" t="s">
        <v>735</v>
      </c>
      <c r="D61" s="614" t="s">
        <v>1114</v>
      </c>
      <c r="E61" s="609"/>
      <c r="F61" s="609"/>
      <c r="G61" s="306"/>
      <c r="H61" s="318"/>
      <c r="I61" s="319"/>
      <c r="J61" s="313"/>
      <c r="K61" s="320"/>
      <c r="L61" s="318"/>
      <c r="M61" s="1059"/>
      <c r="N61" s="322"/>
      <c r="O61" s="318"/>
    </row>
    <row r="62" spans="1:15" s="355" customFormat="1" ht="13.5">
      <c r="A62" s="564" t="s">
        <v>1120</v>
      </c>
      <c r="B62" s="1057" t="s">
        <v>1087</v>
      </c>
      <c r="C62" s="313"/>
      <c r="D62" s="614" t="s">
        <v>1116</v>
      </c>
      <c r="E62" s="609" t="s">
        <v>1119</v>
      </c>
      <c r="F62" s="609"/>
      <c r="G62" s="306"/>
      <c r="H62" s="318"/>
      <c r="I62" s="319"/>
      <c r="J62" s="313"/>
      <c r="K62" s="320"/>
      <c r="L62" s="318"/>
      <c r="M62" s="1059"/>
      <c r="N62" s="322"/>
      <c r="O62" s="318"/>
    </row>
    <row r="63" spans="1:15" s="355" customFormat="1" ht="13.5">
      <c r="A63" s="564" t="s">
        <v>1120</v>
      </c>
      <c r="B63" s="1057" t="s">
        <v>1087</v>
      </c>
      <c r="C63" s="313"/>
      <c r="D63" s="614" t="s">
        <v>1117</v>
      </c>
      <c r="E63" s="609" t="s">
        <v>1119</v>
      </c>
      <c r="F63" s="609"/>
      <c r="G63" s="306"/>
      <c r="H63" s="318"/>
      <c r="I63" s="319"/>
      <c r="J63" s="313"/>
      <c r="K63" s="320"/>
      <c r="L63" s="318"/>
      <c r="M63" s="1059"/>
      <c r="N63" s="322"/>
      <c r="O63" s="318"/>
    </row>
    <row r="64" spans="1:15" s="355" customFormat="1" ht="13.5">
      <c r="A64" s="564" t="s">
        <v>1120</v>
      </c>
      <c r="B64" s="1057" t="s">
        <v>1087</v>
      </c>
      <c r="C64" s="313"/>
      <c r="D64" s="614" t="s">
        <v>1118</v>
      </c>
      <c r="E64" s="609"/>
      <c r="F64" s="609"/>
      <c r="G64" s="306"/>
      <c r="H64" s="318"/>
      <c r="I64" s="319"/>
      <c r="J64" s="313"/>
      <c r="K64" s="320"/>
      <c r="L64" s="318"/>
      <c r="M64" s="1059"/>
      <c r="N64" s="322"/>
      <c r="O64" s="318"/>
    </row>
    <row r="65" spans="1:15" s="355" customFormat="1" ht="13.5">
      <c r="C65" s="1060"/>
      <c r="D65" s="314"/>
      <c r="E65" s="304"/>
      <c r="F65" s="304"/>
      <c r="G65" s="309"/>
      <c r="H65" s="313"/>
      <c r="I65" s="320"/>
      <c r="J65" s="986"/>
      <c r="K65" s="989"/>
      <c r="L65" s="308"/>
      <c r="M65" s="1025"/>
      <c r="N65" s="308"/>
    </row>
    <row r="66" spans="1:15" s="355" customFormat="1" ht="13.5">
      <c r="C66" s="1060"/>
      <c r="D66" s="314"/>
      <c r="E66" s="304"/>
      <c r="F66" s="304"/>
      <c r="G66" s="309"/>
      <c r="H66" s="313"/>
      <c r="I66" s="320"/>
      <c r="J66" s="986"/>
      <c r="K66" s="989"/>
      <c r="L66" s="308"/>
      <c r="M66" s="1025"/>
      <c r="N66" s="308"/>
    </row>
    <row r="67" spans="1:15" s="355" customFormat="1" ht="54">
      <c r="A67" s="564" t="s">
        <v>1131</v>
      </c>
      <c r="B67" s="1057" t="s">
        <v>1087</v>
      </c>
      <c r="C67" s="308" t="s">
        <v>1304</v>
      </c>
      <c r="D67" s="1024" t="s">
        <v>1109</v>
      </c>
      <c r="E67" s="1074"/>
      <c r="F67" s="308" t="s">
        <v>674</v>
      </c>
      <c r="G67" s="313" t="s">
        <v>1</v>
      </c>
      <c r="H67" s="1058" t="s">
        <v>1110</v>
      </c>
      <c r="I67" s="1058" t="s">
        <v>1111</v>
      </c>
      <c r="J67" s="1058" t="str">
        <f>I67</f>
        <v>Mar 2026</v>
      </c>
      <c r="K67" s="308" t="s">
        <v>1112</v>
      </c>
      <c r="L67" s="1095">
        <v>28500</v>
      </c>
      <c r="M67" s="1024" t="s">
        <v>659</v>
      </c>
      <c r="N67" s="308" t="s">
        <v>1113</v>
      </c>
    </row>
    <row r="68" spans="1:15" s="355" customFormat="1" ht="13.5">
      <c r="A68" s="564" t="s">
        <v>1131</v>
      </c>
      <c r="B68" s="1057" t="s">
        <v>1087</v>
      </c>
      <c r="C68" s="313" t="s">
        <v>735</v>
      </c>
      <c r="D68" s="614" t="s">
        <v>1114</v>
      </c>
      <c r="E68" s="609"/>
      <c r="F68" s="609" t="s">
        <v>1115</v>
      </c>
      <c r="G68" s="306"/>
      <c r="H68" s="318"/>
      <c r="I68" s="319"/>
      <c r="J68" s="313"/>
      <c r="K68" s="320"/>
      <c r="L68" s="318"/>
      <c r="M68" s="1059"/>
      <c r="N68" s="322"/>
      <c r="O68" s="318"/>
    </row>
    <row r="69" spans="1:15" s="355" customFormat="1" ht="13.5">
      <c r="A69" s="564" t="s">
        <v>1131</v>
      </c>
      <c r="B69" s="1057" t="s">
        <v>1087</v>
      </c>
      <c r="C69" s="313"/>
      <c r="D69" s="614" t="s">
        <v>1116</v>
      </c>
      <c r="E69" s="609">
        <v>25</v>
      </c>
      <c r="F69" s="609" t="s">
        <v>1115</v>
      </c>
      <c r="G69" s="306"/>
      <c r="H69" s="318"/>
      <c r="I69" s="319"/>
      <c r="J69" s="313"/>
      <c r="K69" s="320"/>
      <c r="L69" s="318"/>
      <c r="M69" s="1059"/>
      <c r="N69" s="322"/>
      <c r="O69" s="318"/>
    </row>
    <row r="70" spans="1:15" s="355" customFormat="1" ht="13.5">
      <c r="A70" s="564" t="s">
        <v>1131</v>
      </c>
      <c r="B70" s="1057" t="s">
        <v>1087</v>
      </c>
      <c r="C70" s="313"/>
      <c r="D70" s="614" t="s">
        <v>1117</v>
      </c>
      <c r="E70" s="609">
        <v>25</v>
      </c>
      <c r="F70" s="609" t="s">
        <v>1115</v>
      </c>
      <c r="G70" s="306"/>
      <c r="H70" s="318"/>
      <c r="I70" s="319"/>
      <c r="J70" s="313"/>
      <c r="K70" s="320"/>
      <c r="L70" s="318"/>
      <c r="M70" s="1059"/>
      <c r="N70" s="322"/>
      <c r="O70" s="318"/>
    </row>
    <row r="71" spans="1:15" s="355" customFormat="1" ht="13.5">
      <c r="A71" s="564" t="s">
        <v>1131</v>
      </c>
      <c r="B71" s="1057" t="s">
        <v>1087</v>
      </c>
      <c r="C71" s="313"/>
      <c r="D71" s="614" t="s">
        <v>1118</v>
      </c>
      <c r="E71" s="609"/>
      <c r="F71" s="609"/>
      <c r="G71" s="306"/>
      <c r="H71" s="318"/>
      <c r="I71" s="319"/>
      <c r="J71" s="313"/>
      <c r="K71" s="320"/>
      <c r="L71" s="318"/>
      <c r="M71" s="1059"/>
      <c r="N71" s="322"/>
      <c r="O71" s="318"/>
    </row>
    <row r="72" spans="1:15" s="355" customFormat="1" ht="13.5">
      <c r="C72" s="1061"/>
      <c r="D72" s="314"/>
      <c r="E72" s="852"/>
      <c r="F72" s="304"/>
      <c r="G72" s="309"/>
      <c r="H72" s="313"/>
      <c r="I72" s="307"/>
      <c r="J72" s="307"/>
      <c r="K72" s="307"/>
      <c r="L72" s="308"/>
      <c r="M72" s="411"/>
      <c r="N72" s="308"/>
    </row>
    <row r="73" spans="1:15" s="355" customFormat="1" ht="13.5">
      <c r="C73" s="983"/>
      <c r="D73" s="314"/>
      <c r="E73" s="852"/>
      <c r="F73" s="304"/>
      <c r="G73" s="309"/>
      <c r="H73" s="313"/>
      <c r="I73" s="307"/>
      <c r="J73" s="307"/>
      <c r="K73" s="990"/>
      <c r="L73" s="308"/>
      <c r="M73" s="411"/>
      <c r="N73" s="308"/>
    </row>
    <row r="74" spans="1:15" s="355" customFormat="1" ht="13.5">
      <c r="C74" s="1027"/>
      <c r="D74" s="314"/>
      <c r="E74" s="991"/>
      <c r="F74" s="662"/>
      <c r="G74" s="309"/>
      <c r="H74" s="497"/>
      <c r="I74" s="992"/>
      <c r="J74" s="986"/>
      <c r="K74" s="986"/>
      <c r="L74" s="308"/>
      <c r="M74" s="1028"/>
      <c r="N74" s="499"/>
    </row>
    <row r="75" spans="1:15" s="355" customFormat="1" ht="54">
      <c r="A75" s="355" t="s">
        <v>1137</v>
      </c>
      <c r="B75" s="355" t="s">
        <v>1087</v>
      </c>
      <c r="C75" s="308" t="s">
        <v>1304</v>
      </c>
      <c r="D75" s="1024" t="s">
        <v>1109</v>
      </c>
      <c r="E75" s="1074"/>
      <c r="F75" s="308" t="s">
        <v>674</v>
      </c>
      <c r="G75" s="313" t="s">
        <v>1</v>
      </c>
      <c r="H75" s="1058" t="s">
        <v>1143</v>
      </c>
      <c r="I75" s="1058" t="s">
        <v>653</v>
      </c>
      <c r="J75" s="1058" t="str">
        <f>I75</f>
        <v>June 2026</v>
      </c>
      <c r="K75" s="308" t="s">
        <v>1112</v>
      </c>
      <c r="L75" s="1075">
        <v>198250</v>
      </c>
      <c r="M75" s="1024" t="s">
        <v>659</v>
      </c>
      <c r="N75" s="308" t="s">
        <v>1113</v>
      </c>
    </row>
    <row r="76" spans="1:15" s="355" customFormat="1" ht="13.5">
      <c r="A76" s="355" t="s">
        <v>1137</v>
      </c>
      <c r="B76" s="355" t="s">
        <v>1087</v>
      </c>
      <c r="C76" s="313" t="s">
        <v>704</v>
      </c>
      <c r="D76" s="614" t="s">
        <v>1114</v>
      </c>
      <c r="E76" s="609">
        <v>60</v>
      </c>
      <c r="F76" s="609" t="s">
        <v>1115</v>
      </c>
      <c r="G76" s="306"/>
      <c r="H76" s="318"/>
      <c r="I76" s="319"/>
      <c r="J76" s="313"/>
      <c r="K76" s="320"/>
      <c r="L76" s="318"/>
      <c r="M76" s="1059"/>
      <c r="N76" s="322"/>
      <c r="O76" s="318"/>
    </row>
    <row r="77" spans="1:15" s="355" customFormat="1" ht="13.5">
      <c r="A77" s="355" t="s">
        <v>1137</v>
      </c>
      <c r="B77" s="355" t="s">
        <v>1087</v>
      </c>
      <c r="C77" s="313"/>
      <c r="D77" s="614" t="s">
        <v>1116</v>
      </c>
      <c r="E77" s="609">
        <v>60</v>
      </c>
      <c r="F77" s="609" t="s">
        <v>1115</v>
      </c>
      <c r="G77" s="306"/>
      <c r="H77" s="318"/>
      <c r="I77" s="319"/>
      <c r="J77" s="313"/>
      <c r="K77" s="320"/>
      <c r="L77" s="318"/>
      <c r="M77" s="1059"/>
      <c r="N77" s="322"/>
      <c r="O77" s="318"/>
    </row>
    <row r="78" spans="1:15" s="355" customFormat="1" ht="13.5">
      <c r="A78" s="355" t="s">
        <v>1137</v>
      </c>
      <c r="B78" s="355" t="s">
        <v>1087</v>
      </c>
      <c r="C78" s="313"/>
      <c r="D78" s="614" t="s">
        <v>1118</v>
      </c>
      <c r="E78" s="609"/>
      <c r="F78" s="609"/>
      <c r="G78" s="306"/>
      <c r="H78" s="318"/>
      <c r="I78" s="319"/>
      <c r="J78" s="313"/>
      <c r="K78" s="320"/>
      <c r="L78" s="318"/>
      <c r="M78" s="1059"/>
      <c r="N78" s="322"/>
      <c r="O78" s="318"/>
    </row>
    <row r="79" spans="1:15" s="355" customFormat="1" ht="13.5">
      <c r="A79" s="355" t="s">
        <v>1137</v>
      </c>
      <c r="B79" s="355" t="s">
        <v>1087</v>
      </c>
      <c r="C79" s="313"/>
      <c r="D79" s="614" t="s">
        <v>1114</v>
      </c>
      <c r="E79" s="609">
        <v>35</v>
      </c>
      <c r="F79" s="609" t="s">
        <v>1115</v>
      </c>
      <c r="G79" s="306"/>
      <c r="H79" s="318"/>
      <c r="I79" s="319"/>
      <c r="J79" s="313"/>
      <c r="K79" s="320"/>
      <c r="L79" s="318"/>
      <c r="M79" s="1059"/>
      <c r="N79" s="322"/>
      <c r="O79" s="318"/>
    </row>
    <row r="80" spans="1:15" s="355" customFormat="1" ht="13.5">
      <c r="A80" s="355" t="s">
        <v>1137</v>
      </c>
      <c r="B80" s="355" t="s">
        <v>1087</v>
      </c>
      <c r="C80" s="313"/>
      <c r="D80" s="614" t="s">
        <v>1116</v>
      </c>
      <c r="E80" s="609">
        <v>35</v>
      </c>
      <c r="F80" s="609" t="s">
        <v>1115</v>
      </c>
      <c r="G80" s="306"/>
      <c r="H80" s="318"/>
      <c r="I80" s="319"/>
      <c r="J80" s="313"/>
      <c r="K80" s="320"/>
      <c r="L80" s="318"/>
      <c r="M80" s="1059"/>
      <c r="N80" s="322"/>
      <c r="O80" s="318"/>
    </row>
    <row r="81" spans="1:15" s="355" customFormat="1" ht="13.5">
      <c r="A81" s="355" t="s">
        <v>1137</v>
      </c>
      <c r="B81" s="355" t="s">
        <v>1087</v>
      </c>
      <c r="C81" s="313"/>
      <c r="D81" s="614" t="s">
        <v>1144</v>
      </c>
      <c r="E81" s="609">
        <v>35</v>
      </c>
      <c r="F81" s="609" t="s">
        <v>1115</v>
      </c>
      <c r="G81" s="306"/>
      <c r="H81" s="318"/>
      <c r="I81" s="319"/>
      <c r="J81" s="313"/>
      <c r="K81" s="320"/>
      <c r="L81" s="318"/>
      <c r="M81" s="1059"/>
      <c r="N81" s="322"/>
      <c r="O81" s="318"/>
    </row>
    <row r="82" spans="1:15" s="355" customFormat="1" ht="13.5">
      <c r="A82" s="355" t="s">
        <v>1137</v>
      </c>
      <c r="B82" s="355" t="s">
        <v>1087</v>
      </c>
      <c r="C82" s="313"/>
      <c r="D82" s="614" t="s">
        <v>1145</v>
      </c>
      <c r="E82" s="609"/>
      <c r="F82" s="1062"/>
      <c r="G82" s="306"/>
      <c r="H82" s="318"/>
      <c r="I82" s="319"/>
      <c r="J82" s="313"/>
      <c r="K82" s="320"/>
      <c r="L82" s="318"/>
      <c r="M82" s="1059"/>
      <c r="N82" s="322"/>
      <c r="O82" s="318"/>
    </row>
    <row r="83" spans="1:15" s="355" customFormat="1" ht="13.5">
      <c r="C83" s="400"/>
      <c r="D83" s="400"/>
      <c r="E83" s="401"/>
      <c r="F83" s="402"/>
      <c r="G83" s="402"/>
      <c r="H83" s="403"/>
      <c r="I83" s="403"/>
      <c r="J83" s="403"/>
      <c r="K83" s="402"/>
      <c r="L83" s="404"/>
      <c r="M83" s="402"/>
      <c r="N83" s="405"/>
    </row>
    <row r="84" spans="1:15" s="355" customFormat="1" ht="13.5">
      <c r="C84" s="400"/>
      <c r="D84" s="400"/>
      <c r="E84" s="401"/>
      <c r="F84" s="402"/>
      <c r="G84" s="402"/>
      <c r="H84" s="403"/>
      <c r="I84" s="403"/>
      <c r="J84" s="403"/>
      <c r="K84" s="402"/>
      <c r="L84" s="404"/>
      <c r="M84" s="402"/>
      <c r="N84" s="405"/>
    </row>
    <row r="85" spans="1:15" s="355" customFormat="1" ht="13.5">
      <c r="C85" s="400"/>
      <c r="D85" s="400"/>
      <c r="E85" s="401"/>
      <c r="F85" s="402"/>
      <c r="G85" s="402"/>
      <c r="H85" s="403"/>
      <c r="I85" s="403"/>
      <c r="J85" s="403"/>
      <c r="K85" s="402"/>
      <c r="L85" s="404"/>
      <c r="M85" s="402"/>
      <c r="N85" s="405"/>
    </row>
    <row r="86" spans="1:15" s="355" customFormat="1" ht="13.5">
      <c r="C86" s="400"/>
      <c r="D86" s="400"/>
      <c r="E86" s="401"/>
      <c r="F86" s="402"/>
      <c r="G86" s="402"/>
      <c r="H86" s="403"/>
      <c r="I86" s="403"/>
      <c r="J86" s="403"/>
      <c r="K86" s="402"/>
      <c r="L86" s="404"/>
      <c r="M86" s="402"/>
      <c r="N86" s="405"/>
    </row>
    <row r="87" spans="1:15" s="355" customFormat="1" ht="13.5">
      <c r="C87" s="400"/>
      <c r="D87" s="400"/>
      <c r="E87" s="401"/>
      <c r="F87" s="402"/>
      <c r="G87" s="402"/>
      <c r="H87" s="403"/>
      <c r="I87" s="403"/>
      <c r="J87" s="403"/>
      <c r="K87" s="402"/>
      <c r="L87" s="404"/>
      <c r="M87" s="402"/>
      <c r="N87" s="405"/>
    </row>
    <row r="88" spans="1:15" s="355" customFormat="1" ht="13.5">
      <c r="C88" s="400"/>
      <c r="D88" s="400"/>
      <c r="E88" s="401"/>
      <c r="F88" s="402"/>
      <c r="G88" s="402"/>
      <c r="H88" s="403"/>
      <c r="I88" s="403"/>
      <c r="J88" s="403"/>
      <c r="K88" s="402"/>
      <c r="L88" s="404"/>
      <c r="M88" s="402"/>
      <c r="N88" s="405"/>
    </row>
    <row r="89" spans="1:15" s="355" customFormat="1" ht="13.5">
      <c r="C89" s="400"/>
      <c r="D89" s="400"/>
      <c r="E89" s="401"/>
      <c r="F89" s="402"/>
      <c r="G89" s="402"/>
      <c r="H89" s="403"/>
      <c r="I89" s="403"/>
      <c r="J89" s="403"/>
      <c r="K89" s="402"/>
      <c r="L89" s="404"/>
      <c r="M89" s="402"/>
      <c r="N89" s="405"/>
    </row>
    <row r="90" spans="1:15" s="355" customFormat="1" ht="13.5">
      <c r="C90" s="400"/>
      <c r="D90" s="400"/>
      <c r="E90" s="401"/>
      <c r="F90" s="402"/>
      <c r="G90" s="402"/>
      <c r="H90" s="403"/>
      <c r="I90" s="403"/>
      <c r="J90" s="403"/>
      <c r="K90" s="402"/>
      <c r="L90" s="404"/>
      <c r="M90" s="402"/>
      <c r="N90" s="405"/>
    </row>
    <row r="91" spans="1:15" s="355" customFormat="1" ht="13.5">
      <c r="C91" s="400"/>
      <c r="D91" s="400"/>
      <c r="E91" s="401"/>
      <c r="F91" s="402"/>
      <c r="G91" s="402"/>
      <c r="H91" s="403"/>
      <c r="I91" s="403"/>
      <c r="J91" s="403"/>
      <c r="K91" s="402"/>
      <c r="L91" s="404"/>
      <c r="M91" s="402"/>
      <c r="N91" s="405"/>
    </row>
    <row r="92" spans="1:15" s="355" customFormat="1" ht="13.5">
      <c r="C92" s="400"/>
      <c r="D92" s="400"/>
      <c r="E92" s="401"/>
      <c r="F92" s="402"/>
      <c r="G92" s="402"/>
      <c r="H92" s="403"/>
      <c r="I92" s="403"/>
      <c r="J92" s="403"/>
      <c r="K92" s="402"/>
      <c r="L92" s="404"/>
      <c r="M92" s="402"/>
      <c r="N92" s="405"/>
    </row>
    <row r="93" spans="1:15" s="355" customFormat="1" ht="13.5">
      <c r="C93" s="400"/>
      <c r="D93" s="400"/>
      <c r="E93" s="401"/>
      <c r="F93" s="402"/>
      <c r="G93" s="402"/>
      <c r="H93" s="403"/>
      <c r="I93" s="403"/>
      <c r="J93" s="403"/>
      <c r="K93" s="402"/>
      <c r="L93" s="404"/>
      <c r="M93" s="402"/>
      <c r="N93" s="405"/>
    </row>
    <row r="94" spans="1:15" s="355" customFormat="1" ht="13.5">
      <c r="C94" s="400"/>
      <c r="D94" s="400"/>
      <c r="E94" s="401"/>
      <c r="F94" s="402"/>
      <c r="G94" s="402"/>
      <c r="H94" s="403"/>
      <c r="I94" s="403"/>
      <c r="J94" s="403"/>
      <c r="K94" s="402"/>
      <c r="L94" s="404"/>
      <c r="M94" s="402"/>
      <c r="N94" s="405"/>
    </row>
    <row r="95" spans="1:15" s="355" customFormat="1" ht="13.5">
      <c r="C95" s="400"/>
      <c r="D95" s="400"/>
      <c r="E95" s="401"/>
      <c r="F95" s="402"/>
      <c r="G95" s="402"/>
      <c r="H95" s="403"/>
      <c r="I95" s="403"/>
      <c r="J95" s="403"/>
      <c r="K95" s="402"/>
      <c r="L95" s="404"/>
      <c r="M95" s="407"/>
      <c r="N95" s="405"/>
    </row>
    <row r="96" spans="1:15" s="355" customFormat="1" ht="13.5">
      <c r="C96" s="400"/>
      <c r="D96" s="400"/>
      <c r="E96" s="401"/>
      <c r="F96" s="402"/>
      <c r="G96" s="403"/>
      <c r="H96" s="403"/>
      <c r="I96" s="403"/>
      <c r="J96" s="403"/>
      <c r="K96" s="408"/>
      <c r="L96" s="404"/>
      <c r="M96" s="407"/>
      <c r="N96" s="405"/>
    </row>
    <row r="97" spans="3:14" s="355" customFormat="1" ht="15.75">
      <c r="C97" s="352"/>
      <c r="D97" s="352"/>
      <c r="E97" s="352"/>
      <c r="F97" s="352"/>
      <c r="G97" s="352"/>
      <c r="H97" s="352"/>
      <c r="I97" s="352"/>
      <c r="J97" s="352"/>
      <c r="K97" s="352"/>
      <c r="L97" s="2390">
        <f>SUM(L5:L95)</f>
        <v>3389750</v>
      </c>
      <c r="M97" s="352"/>
      <c r="N97" s="352"/>
    </row>
    <row r="98" spans="3:14" ht="14.25" customHeight="1">
      <c r="C98" s="31"/>
      <c r="D98" s="27"/>
      <c r="E98" s="20"/>
      <c r="F98" s="28"/>
      <c r="G98" s="28"/>
      <c r="H98" s="26"/>
      <c r="I98" s="26"/>
      <c r="J98" s="26"/>
      <c r="K98" s="28"/>
      <c r="L98" s="179"/>
      <c r="M98" s="28"/>
      <c r="N98" s="27"/>
    </row>
    <row r="99" spans="3:14" s="1" customFormat="1" ht="14.25" customHeight="1">
      <c r="C99" s="31"/>
      <c r="D99" s="27"/>
      <c r="E99" s="21"/>
      <c r="F99" s="28"/>
      <c r="G99" s="28"/>
      <c r="H99" s="26"/>
      <c r="I99" s="26"/>
      <c r="J99" s="26"/>
      <c r="K99" s="28"/>
      <c r="L99" s="179"/>
      <c r="M99" s="28"/>
      <c r="N99" s="27"/>
    </row>
    <row r="100" spans="3:14" s="1" customFormat="1" ht="14.25" customHeight="1">
      <c r="C100" s="30"/>
      <c r="D100" s="25"/>
      <c r="E100" s="21"/>
      <c r="F100" s="22"/>
      <c r="G100" s="22"/>
      <c r="H100" s="23"/>
      <c r="I100" s="23"/>
      <c r="J100" s="23"/>
      <c r="K100" s="22"/>
      <c r="L100" s="180"/>
      <c r="M100" s="22"/>
      <c r="N100" s="25"/>
    </row>
  </sheetData>
  <mergeCells count="14">
    <mergeCell ref="C53:C55"/>
    <mergeCell ref="O7:O9"/>
    <mergeCell ref="C2:G2"/>
    <mergeCell ref="H2:J2"/>
    <mergeCell ref="K2:L2"/>
    <mergeCell ref="M2:M3"/>
    <mergeCell ref="N2:N3"/>
    <mergeCell ref="E6:F6"/>
    <mergeCell ref="C51:C52"/>
    <mergeCell ref="C14:C15"/>
    <mergeCell ref="C16:C17"/>
    <mergeCell ref="C19:C20"/>
    <mergeCell ref="C21:C22"/>
    <mergeCell ref="C23:C24"/>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49E52-D5D2-4184-AB50-6194B367224F}">
  <sheetPr>
    <tabColor rgb="FF92D050"/>
  </sheetPr>
  <dimension ref="A2:Q88"/>
  <sheetViews>
    <sheetView zoomScale="84" zoomScaleNormal="80" workbookViewId="0">
      <pane ySplit="4" topLeftCell="A5" activePane="bottomLeft" state="frozen"/>
      <selection pane="bottomLeft" activeCell="L16" sqref="L16"/>
    </sheetView>
  </sheetViews>
  <sheetFormatPr defaultRowHeight="15"/>
  <cols>
    <col min="3" max="3" width="21.42578125" customWidth="1"/>
    <col min="4" max="4" width="20.5703125"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style="99" customWidth="1"/>
    <col min="13" max="13" width="16.28515625" customWidth="1"/>
    <col min="14" max="14" width="12.85546875" customWidth="1"/>
    <col min="17" max="17" width="73.7109375" bestFit="1" customWidth="1"/>
  </cols>
  <sheetData>
    <row r="2" spans="1:17">
      <c r="C2" s="2627" t="s">
        <v>30</v>
      </c>
      <c r="D2" s="2627"/>
      <c r="E2" s="2627"/>
      <c r="F2" s="2627"/>
      <c r="G2" s="2627"/>
      <c r="H2" s="2628" t="s">
        <v>29</v>
      </c>
      <c r="I2" s="2628"/>
      <c r="J2" s="2628"/>
      <c r="K2" s="2627" t="s">
        <v>28</v>
      </c>
      <c r="L2" s="2627"/>
      <c r="M2" s="2628" t="s">
        <v>27</v>
      </c>
      <c r="N2" s="2628" t="s">
        <v>26</v>
      </c>
    </row>
    <row r="3" spans="1:17" ht="72">
      <c r="C3" s="10" t="s">
        <v>25</v>
      </c>
      <c r="D3" s="13" t="s">
        <v>24</v>
      </c>
      <c r="E3" s="12" t="s">
        <v>23</v>
      </c>
      <c r="F3" s="10" t="s">
        <v>22</v>
      </c>
      <c r="G3" s="11" t="s">
        <v>21</v>
      </c>
      <c r="H3" s="11" t="s">
        <v>20</v>
      </c>
      <c r="I3" s="11" t="s">
        <v>19</v>
      </c>
      <c r="J3" s="11" t="s">
        <v>18</v>
      </c>
      <c r="K3" s="10" t="s">
        <v>17</v>
      </c>
      <c r="L3" s="159" t="s">
        <v>16</v>
      </c>
      <c r="M3" s="2628"/>
      <c r="N3" s="2628"/>
    </row>
    <row r="4" spans="1:17">
      <c r="C4" s="243" t="s">
        <v>15</v>
      </c>
      <c r="D4" s="243" t="s">
        <v>14</v>
      </c>
      <c r="E4" s="243" t="s">
        <v>13</v>
      </c>
      <c r="F4" s="243" t="s">
        <v>12</v>
      </c>
      <c r="G4" s="243" t="s">
        <v>11</v>
      </c>
      <c r="H4" s="243" t="s">
        <v>10</v>
      </c>
      <c r="I4" s="243" t="s">
        <v>9</v>
      </c>
      <c r="J4" s="243" t="s">
        <v>8</v>
      </c>
      <c r="K4" s="243" t="s">
        <v>7</v>
      </c>
      <c r="L4" s="244" t="s">
        <v>6</v>
      </c>
      <c r="M4" s="243" t="s">
        <v>5</v>
      </c>
      <c r="N4" s="243" t="s">
        <v>4</v>
      </c>
    </row>
    <row r="5" spans="1:17" s="355" customFormat="1" ht="40.5">
      <c r="A5" s="1063" t="s">
        <v>743</v>
      </c>
      <c r="B5" s="1041" t="s">
        <v>744</v>
      </c>
      <c r="C5" s="1009" t="s">
        <v>813</v>
      </c>
      <c r="D5" s="1008" t="s">
        <v>805</v>
      </c>
      <c r="E5" s="2684"/>
      <c r="F5" s="2685"/>
      <c r="G5" s="1002"/>
      <c r="H5" s="1003" t="s">
        <v>1</v>
      </c>
      <c r="I5" s="1171"/>
      <c r="J5" s="1171"/>
      <c r="K5" s="1006"/>
      <c r="L5" s="1002" t="s">
        <v>748</v>
      </c>
      <c r="M5" s="1005">
        <v>500000</v>
      </c>
      <c r="N5" s="1006"/>
      <c r="O5" s="1007"/>
      <c r="Q5" s="355" t="s">
        <v>751</v>
      </c>
    </row>
    <row r="6" spans="1:17" s="355" customFormat="1" ht="43.9" customHeight="1">
      <c r="A6" s="438"/>
      <c r="B6" s="342"/>
      <c r="C6" s="902"/>
      <c r="D6" s="1153"/>
      <c r="E6" s="991"/>
      <c r="F6" s="991"/>
      <c r="G6" s="1172"/>
      <c r="H6" s="636"/>
      <c r="I6" s="1172"/>
      <c r="J6" s="1172"/>
      <c r="K6" s="1172"/>
      <c r="L6" s="1172"/>
      <c r="M6" s="1173"/>
      <c r="N6" s="1172"/>
      <c r="O6" s="1172"/>
    </row>
    <row r="7" spans="1:17" s="355" customFormat="1" ht="14.25" customHeight="1">
      <c r="A7" s="438"/>
      <c r="B7" s="342"/>
      <c r="C7" s="1153"/>
      <c r="D7" s="1154"/>
      <c r="E7" s="1155"/>
      <c r="F7" s="1156"/>
      <c r="G7" s="1157"/>
      <c r="H7" s="1158"/>
      <c r="I7" s="1159"/>
      <c r="J7" s="1159"/>
      <c r="K7" s="1160"/>
      <c r="L7" s="1160"/>
      <c r="M7" s="1161"/>
      <c r="N7" s="1160"/>
      <c r="O7" s="1162"/>
    </row>
    <row r="8" spans="1:17" s="355" customFormat="1" ht="14.25" customHeight="1">
      <c r="A8" s="438"/>
      <c r="B8" s="342"/>
      <c r="C8" s="1163"/>
      <c r="D8" s="1154"/>
      <c r="E8" s="1155"/>
      <c r="F8" s="1156"/>
      <c r="G8" s="1164"/>
      <c r="H8" s="1165"/>
      <c r="I8" s="1166"/>
      <c r="J8" s="1166"/>
      <c r="K8" s="1167"/>
      <c r="L8" s="1167"/>
      <c r="M8" s="1168"/>
      <c r="N8" s="1167"/>
      <c r="O8" s="1169"/>
    </row>
    <row r="9" spans="1:17" s="355" customFormat="1" ht="14.25" customHeight="1">
      <c r="A9" s="513"/>
      <c r="B9" s="342"/>
      <c r="C9" s="1163"/>
      <c r="D9" s="1154"/>
      <c r="E9" s="1155"/>
      <c r="F9" s="1156"/>
      <c r="G9" s="1164"/>
      <c r="H9" s="1165"/>
      <c r="I9" s="1166"/>
      <c r="J9" s="1166"/>
      <c r="K9" s="1167"/>
      <c r="L9" s="1167"/>
      <c r="M9" s="1168"/>
      <c r="N9" s="1167"/>
      <c r="O9" s="1169"/>
    </row>
    <row r="10" spans="1:17" s="355" customFormat="1" ht="14.25" customHeight="1">
      <c r="A10" s="513"/>
      <c r="B10" s="342"/>
      <c r="C10" s="1163"/>
      <c r="D10" s="1154"/>
      <c r="E10" s="1155"/>
      <c r="F10" s="1156"/>
      <c r="G10" s="1164"/>
      <c r="H10" s="1165"/>
      <c r="I10" s="1166"/>
      <c r="J10" s="1166"/>
      <c r="K10" s="1167"/>
      <c r="L10" s="1167"/>
      <c r="M10" s="1168"/>
      <c r="N10" s="1167"/>
      <c r="O10" s="1169"/>
    </row>
    <row r="11" spans="1:17" s="355" customFormat="1" ht="14.25" customHeight="1">
      <c r="A11" s="513"/>
      <c r="B11" s="342"/>
      <c r="C11" s="1163"/>
      <c r="D11" s="1154"/>
      <c r="E11" s="1155"/>
      <c r="F11" s="1156"/>
      <c r="G11" s="1164"/>
      <c r="H11" s="1165"/>
      <c r="I11" s="1166"/>
      <c r="J11" s="1166"/>
      <c r="K11" s="1167"/>
      <c r="L11" s="1167"/>
      <c r="M11" s="1168"/>
      <c r="N11" s="1167"/>
      <c r="O11" s="1169"/>
    </row>
    <row r="12" spans="1:17" s="355" customFormat="1" ht="14.25" customHeight="1">
      <c r="A12" s="513"/>
      <c r="B12" s="342"/>
      <c r="C12" s="1163"/>
      <c r="D12" s="1154"/>
      <c r="E12" s="1155"/>
      <c r="F12" s="1156"/>
      <c r="G12" s="1164"/>
      <c r="H12" s="1165"/>
      <c r="I12" s="1166"/>
      <c r="J12" s="1166"/>
      <c r="K12" s="1167"/>
      <c r="L12" s="1167"/>
      <c r="M12" s="1168"/>
      <c r="N12" s="1167"/>
      <c r="O12" s="1169"/>
    </row>
    <row r="13" spans="1:17" s="355" customFormat="1">
      <c r="A13" s="513"/>
      <c r="B13" s="342"/>
      <c r="C13" s="1163"/>
      <c r="D13" s="1154"/>
      <c r="E13" s="1155"/>
      <c r="F13" s="1156"/>
      <c r="G13" s="1164"/>
      <c r="H13" s="1165"/>
      <c r="I13" s="1166"/>
      <c r="J13" s="1166"/>
      <c r="K13" s="1167"/>
      <c r="L13" s="1167"/>
      <c r="M13" s="2577">
        <f>SUM(M5:M12)</f>
        <v>500000</v>
      </c>
      <c r="N13" s="1167"/>
      <c r="O13" s="1169"/>
    </row>
    <row r="14" spans="1:17" s="355" customFormat="1" ht="14.25" customHeight="1">
      <c r="A14" s="513"/>
      <c r="B14" s="342"/>
      <c r="C14" s="1163"/>
      <c r="D14" s="1154"/>
      <c r="E14" s="1155"/>
      <c r="F14" s="1156"/>
      <c r="G14" s="1164"/>
      <c r="H14" s="1165"/>
      <c r="I14" s="1166"/>
      <c r="J14" s="1166"/>
      <c r="K14" s="1167"/>
      <c r="L14" s="1167"/>
      <c r="M14" s="1168"/>
      <c r="N14" s="1167"/>
      <c r="O14" s="1169"/>
    </row>
    <row r="15" spans="1:17" ht="22.5" customHeight="1">
      <c r="A15" s="197"/>
      <c r="B15" s="63"/>
      <c r="C15" s="262"/>
      <c r="D15" s="259"/>
      <c r="E15" s="260"/>
      <c r="F15" s="261"/>
      <c r="G15" s="263"/>
      <c r="H15" s="264"/>
      <c r="I15" s="265"/>
      <c r="J15" s="265"/>
      <c r="K15" s="266"/>
      <c r="L15" s="266"/>
      <c r="M15" s="267"/>
      <c r="N15" s="266"/>
      <c r="O15" s="268"/>
    </row>
    <row r="16" spans="1:17" ht="14.25" customHeight="1">
      <c r="A16" s="125"/>
      <c r="B16" s="63"/>
      <c r="C16" s="262"/>
      <c r="D16" s="259"/>
      <c r="E16" s="260"/>
      <c r="F16" s="261"/>
      <c r="G16" s="263"/>
      <c r="H16" s="264"/>
      <c r="I16" s="265"/>
      <c r="J16" s="265"/>
      <c r="K16" s="266"/>
      <c r="L16" s="266"/>
      <c r="M16" s="267"/>
      <c r="N16" s="266"/>
      <c r="O16" s="268"/>
    </row>
    <row r="17" spans="1:15" ht="14.25" customHeight="1">
      <c r="A17" s="125"/>
      <c r="B17" s="63"/>
      <c r="C17" s="262"/>
      <c r="D17" s="259"/>
      <c r="E17" s="260"/>
      <c r="F17" s="261"/>
      <c r="G17" s="263"/>
      <c r="H17" s="264"/>
      <c r="I17" s="265"/>
      <c r="J17" s="265"/>
      <c r="K17" s="266"/>
      <c r="L17" s="266"/>
      <c r="M17" s="267"/>
      <c r="N17" s="266"/>
      <c r="O17" s="268"/>
    </row>
    <row r="18" spans="1:15">
      <c r="A18" s="125"/>
      <c r="B18" s="63"/>
      <c r="C18" s="262"/>
      <c r="D18" s="259"/>
      <c r="E18" s="260"/>
      <c r="F18" s="261"/>
      <c r="G18" s="263"/>
      <c r="H18" s="264"/>
      <c r="I18" s="265"/>
      <c r="J18" s="265"/>
      <c r="K18" s="266"/>
      <c r="L18" s="266"/>
      <c r="M18" s="267"/>
      <c r="N18" s="266"/>
      <c r="O18" s="268"/>
    </row>
    <row r="19" spans="1:15">
      <c r="A19" s="125"/>
      <c r="B19" s="63"/>
      <c r="C19" s="262"/>
      <c r="D19" s="259"/>
      <c r="E19" s="260"/>
      <c r="F19" s="261"/>
      <c r="G19" s="263"/>
      <c r="H19" s="264"/>
      <c r="I19" s="265"/>
      <c r="J19" s="265"/>
      <c r="K19" s="266"/>
      <c r="L19" s="266"/>
      <c r="M19" s="267"/>
      <c r="N19" s="266"/>
      <c r="O19" s="268"/>
    </row>
    <row r="20" spans="1:15">
      <c r="C20" s="262"/>
      <c r="D20" s="259"/>
      <c r="E20" s="260"/>
      <c r="F20" s="261"/>
      <c r="G20" s="263"/>
      <c r="H20" s="264"/>
      <c r="I20" s="265"/>
      <c r="J20" s="265"/>
      <c r="K20" s="266"/>
      <c r="L20" s="266"/>
      <c r="M20" s="267"/>
      <c r="N20" s="266"/>
      <c r="O20" s="268"/>
    </row>
    <row r="21" spans="1:15">
      <c r="A21" s="125"/>
      <c r="B21" s="63"/>
      <c r="C21" s="262"/>
      <c r="D21" s="259"/>
      <c r="E21" s="260"/>
      <c r="F21" s="261"/>
      <c r="G21" s="263"/>
      <c r="H21" s="264"/>
      <c r="I21" s="265"/>
      <c r="J21" s="265"/>
      <c r="K21" s="266"/>
      <c r="L21" s="266"/>
      <c r="M21" s="267"/>
      <c r="N21" s="266"/>
      <c r="O21" s="268"/>
    </row>
    <row r="22" spans="1:15">
      <c r="A22" s="125"/>
      <c r="B22" s="63"/>
      <c r="C22" s="262"/>
      <c r="D22" s="259"/>
      <c r="E22" s="260"/>
      <c r="F22" s="261"/>
      <c r="G22" s="263"/>
      <c r="H22" s="264"/>
      <c r="I22" s="265"/>
      <c r="J22" s="265"/>
      <c r="K22" s="266"/>
      <c r="L22" s="266"/>
      <c r="M22" s="267"/>
      <c r="N22" s="266"/>
      <c r="O22" s="268"/>
    </row>
    <row r="23" spans="1:15">
      <c r="A23" s="125"/>
      <c r="B23" s="63"/>
      <c r="C23" s="262"/>
      <c r="D23" s="259"/>
      <c r="E23" s="260"/>
      <c r="F23" s="261"/>
      <c r="G23" s="263"/>
      <c r="H23" s="264"/>
      <c r="I23" s="265"/>
      <c r="J23" s="265"/>
      <c r="K23" s="266"/>
      <c r="L23" s="266"/>
      <c r="M23" s="267"/>
      <c r="N23" s="266"/>
      <c r="O23" s="268"/>
    </row>
    <row r="24" spans="1:15">
      <c r="A24" s="125"/>
      <c r="B24" s="63"/>
      <c r="C24" s="262"/>
      <c r="D24" s="259"/>
      <c r="E24" s="260"/>
      <c r="F24" s="261"/>
      <c r="G24" s="263"/>
      <c r="H24" s="264"/>
      <c r="I24" s="265"/>
      <c r="J24" s="265"/>
      <c r="K24" s="266"/>
      <c r="L24" s="266"/>
      <c r="M24" s="267"/>
      <c r="N24" s="266"/>
      <c r="O24" s="268"/>
    </row>
    <row r="25" spans="1:15">
      <c r="A25" s="125"/>
      <c r="B25" s="63"/>
      <c r="C25" s="262"/>
      <c r="D25" s="259"/>
      <c r="E25" s="260"/>
      <c r="F25" s="261"/>
      <c r="G25" s="263"/>
      <c r="H25" s="264"/>
      <c r="I25" s="265"/>
      <c r="J25" s="265"/>
      <c r="K25" s="266"/>
      <c r="L25" s="266"/>
      <c r="M25" s="267"/>
      <c r="N25" s="266"/>
      <c r="O25" s="268"/>
    </row>
    <row r="26" spans="1:15">
      <c r="A26" s="125"/>
      <c r="B26" s="63"/>
      <c r="C26" s="262"/>
      <c r="D26" s="259"/>
      <c r="E26" s="260"/>
      <c r="F26" s="261"/>
      <c r="G26" s="263"/>
      <c r="H26" s="264"/>
      <c r="I26" s="265"/>
      <c r="J26" s="265"/>
      <c r="K26" s="266"/>
      <c r="L26" s="266"/>
      <c r="M26" s="267"/>
      <c r="N26" s="266"/>
      <c r="O26" s="268"/>
    </row>
    <row r="27" spans="1:15">
      <c r="A27" s="125"/>
      <c r="B27" s="63"/>
      <c r="C27" s="262"/>
      <c r="D27" s="259"/>
      <c r="E27" s="260"/>
      <c r="F27" s="261"/>
      <c r="G27" s="263"/>
      <c r="H27" s="264"/>
      <c r="I27" s="265"/>
      <c r="J27" s="265"/>
      <c r="K27" s="266"/>
      <c r="L27" s="266"/>
      <c r="M27" s="267"/>
      <c r="N27" s="266"/>
      <c r="O27" s="268"/>
    </row>
    <row r="28" spans="1:15">
      <c r="A28" s="125"/>
      <c r="B28" s="63"/>
      <c r="C28" s="262"/>
      <c r="D28" s="259"/>
      <c r="E28" s="260"/>
      <c r="F28" s="261"/>
      <c r="G28" s="263"/>
      <c r="H28" s="264"/>
      <c r="I28" s="265"/>
      <c r="J28" s="265"/>
      <c r="K28" s="266"/>
      <c r="L28" s="266"/>
      <c r="M28" s="267"/>
      <c r="N28" s="266"/>
      <c r="O28" s="268"/>
    </row>
    <row r="29" spans="1:15">
      <c r="A29" s="125"/>
      <c r="B29" s="63"/>
      <c r="C29" s="262"/>
      <c r="D29" s="259"/>
      <c r="E29" s="260"/>
      <c r="F29" s="261"/>
      <c r="G29" s="263"/>
      <c r="H29" s="264"/>
      <c r="I29" s="265"/>
      <c r="J29" s="265"/>
      <c r="K29" s="266"/>
      <c r="L29" s="266"/>
      <c r="M29" s="267"/>
      <c r="N29" s="266"/>
      <c r="O29" s="268"/>
    </row>
    <row r="30" spans="1:15">
      <c r="A30" s="125"/>
      <c r="B30" s="63"/>
      <c r="C30" s="262"/>
      <c r="D30" s="259"/>
      <c r="E30" s="260"/>
      <c r="F30" s="261"/>
      <c r="G30" s="263"/>
      <c r="H30" s="264"/>
      <c r="I30" s="265"/>
      <c r="J30" s="265"/>
      <c r="K30" s="266"/>
      <c r="L30" s="266"/>
      <c r="M30" s="267"/>
      <c r="N30" s="266"/>
      <c r="O30" s="268"/>
    </row>
    <row r="31" spans="1:15">
      <c r="A31" s="125"/>
      <c r="B31" s="63"/>
      <c r="C31" s="58"/>
      <c r="D31" s="78"/>
      <c r="E31" s="79"/>
      <c r="F31" s="80"/>
      <c r="G31" s="58"/>
      <c r="H31" s="59"/>
      <c r="I31" s="60"/>
      <c r="J31" s="60"/>
      <c r="K31" s="60"/>
      <c r="L31" s="100"/>
      <c r="M31" s="61"/>
      <c r="N31" s="58"/>
      <c r="O31" s="62"/>
    </row>
    <row r="32" spans="1:15">
      <c r="C32" s="58"/>
      <c r="D32" s="90"/>
      <c r="E32" s="94"/>
      <c r="F32" s="90"/>
      <c r="G32" s="90"/>
      <c r="H32" s="91"/>
      <c r="I32" s="91"/>
      <c r="J32" s="91"/>
      <c r="K32" s="91"/>
      <c r="L32" s="101"/>
      <c r="M32" s="93"/>
      <c r="N32" s="91"/>
      <c r="O32" s="124"/>
    </row>
    <row r="33" spans="1:15">
      <c r="C33" s="58"/>
      <c r="D33" s="90"/>
      <c r="E33" s="94"/>
      <c r="F33" s="90"/>
      <c r="G33" s="90"/>
      <c r="H33" s="91"/>
      <c r="I33" s="91"/>
      <c r="J33" s="91"/>
      <c r="K33" s="91"/>
      <c r="L33" s="101"/>
      <c r="M33" s="93"/>
      <c r="N33" s="91"/>
      <c r="O33" s="124"/>
    </row>
    <row r="34" spans="1:15">
      <c r="A34" s="125"/>
      <c r="B34" s="63"/>
      <c r="C34" s="86"/>
      <c r="D34" s="87"/>
      <c r="E34" s="86"/>
      <c r="F34" s="87"/>
      <c r="G34" s="88"/>
      <c r="H34" s="89"/>
      <c r="I34" s="89"/>
      <c r="J34" s="89"/>
      <c r="K34" s="87"/>
      <c r="L34" s="98"/>
      <c r="M34" s="87"/>
      <c r="N34" s="77"/>
    </row>
    <row r="35" spans="1:15">
      <c r="A35" s="125"/>
      <c r="B35" s="63"/>
      <c r="C35" s="58"/>
      <c r="D35" s="139"/>
      <c r="E35" s="19"/>
      <c r="F35" s="58"/>
      <c r="G35" s="59"/>
      <c r="H35" s="60"/>
      <c r="I35" s="60"/>
      <c r="J35" s="60"/>
      <c r="K35" s="58"/>
      <c r="L35" s="64"/>
      <c r="M35" s="58"/>
      <c r="N35" s="62"/>
    </row>
    <row r="36" spans="1:15">
      <c r="A36" s="125"/>
      <c r="B36" s="63"/>
      <c r="C36" s="58"/>
      <c r="D36" s="81"/>
      <c r="E36" s="19"/>
      <c r="F36" s="81"/>
      <c r="G36" s="58"/>
      <c r="H36" s="59"/>
      <c r="I36" s="60"/>
      <c r="J36" s="60"/>
      <c r="K36" s="60"/>
      <c r="L36" s="100"/>
      <c r="M36" s="61"/>
      <c r="N36" s="58"/>
      <c r="O36" s="62"/>
    </row>
    <row r="37" spans="1:15">
      <c r="A37" s="125"/>
      <c r="B37" s="63"/>
      <c r="C37" s="58"/>
      <c r="D37" s="78"/>
      <c r="E37" s="81"/>
      <c r="F37" s="81"/>
      <c r="G37" s="58"/>
      <c r="H37" s="59"/>
      <c r="I37" s="60"/>
      <c r="J37" s="60"/>
      <c r="K37" s="60"/>
      <c r="L37" s="100"/>
      <c r="M37" s="61"/>
      <c r="N37" s="58"/>
      <c r="O37" s="62"/>
    </row>
    <row r="38" spans="1:15">
      <c r="A38" s="125"/>
      <c r="B38" s="63"/>
      <c r="C38" s="58"/>
      <c r="D38" s="78"/>
      <c r="E38" s="81"/>
      <c r="F38" s="81"/>
      <c r="G38" s="58"/>
      <c r="H38" s="59"/>
      <c r="I38" s="60"/>
      <c r="J38" s="60"/>
      <c r="K38" s="60"/>
      <c r="L38" s="100"/>
      <c r="M38" s="61"/>
      <c r="N38" s="58"/>
      <c r="O38" s="62"/>
    </row>
    <row r="39" spans="1:15">
      <c r="C39" s="58"/>
      <c r="D39" s="90"/>
      <c r="E39" s="94"/>
      <c r="F39" s="90"/>
      <c r="G39" s="90"/>
      <c r="H39" s="91"/>
      <c r="I39" s="91"/>
      <c r="J39" s="91"/>
      <c r="K39" s="91"/>
      <c r="L39" s="101"/>
      <c r="M39" s="93"/>
      <c r="N39" s="91"/>
      <c r="O39" s="124"/>
    </row>
    <row r="40" spans="1:15">
      <c r="A40" s="58"/>
      <c r="B40" s="63"/>
      <c r="C40" s="86"/>
      <c r="D40" s="87"/>
      <c r="E40" s="95"/>
      <c r="F40" s="87"/>
      <c r="G40" s="88"/>
      <c r="H40" s="89"/>
      <c r="I40" s="89"/>
      <c r="J40" s="89"/>
      <c r="K40" s="87"/>
      <c r="L40" s="98"/>
      <c r="M40" s="87"/>
      <c r="O40" s="77"/>
    </row>
    <row r="41" spans="1:15">
      <c r="A41" s="58"/>
      <c r="B41" s="63"/>
      <c r="C41" s="58"/>
      <c r="D41" s="96"/>
      <c r="E41" s="19"/>
      <c r="F41" s="109"/>
      <c r="G41" s="59"/>
      <c r="H41" s="60"/>
      <c r="I41" s="60"/>
      <c r="J41" s="60"/>
      <c r="K41" s="58"/>
      <c r="L41" s="64"/>
      <c r="M41" s="58"/>
      <c r="O41" s="62"/>
    </row>
    <row r="42" spans="1:15">
      <c r="A42" s="58"/>
      <c r="B42" s="63"/>
      <c r="C42" s="58"/>
      <c r="D42" s="79"/>
      <c r="E42" s="19"/>
      <c r="F42" s="109"/>
      <c r="G42" s="59"/>
      <c r="H42" s="60"/>
      <c r="I42" s="60"/>
      <c r="J42" s="60"/>
      <c r="K42" s="58"/>
      <c r="L42" s="64"/>
      <c r="M42" s="58"/>
      <c r="O42" s="62"/>
    </row>
    <row r="43" spans="1:15">
      <c r="A43" s="58"/>
      <c r="B43" s="63"/>
      <c r="C43" s="58"/>
      <c r="D43" s="79"/>
      <c r="E43" s="19"/>
      <c r="F43" s="80"/>
      <c r="G43" s="58"/>
      <c r="H43" s="59"/>
      <c r="I43" s="60"/>
      <c r="J43" s="60"/>
      <c r="K43" s="60"/>
      <c r="L43" s="100"/>
      <c r="M43" s="61"/>
      <c r="N43" s="58"/>
      <c r="O43" s="62"/>
    </row>
    <row r="44" spans="1:15">
      <c r="A44" s="58"/>
      <c r="B44" s="63"/>
      <c r="C44" s="58"/>
      <c r="D44" s="78"/>
      <c r="E44" s="79"/>
      <c r="F44" s="81"/>
      <c r="G44" s="58"/>
      <c r="H44" s="59"/>
      <c r="I44" s="60"/>
      <c r="J44" s="60"/>
      <c r="K44" s="60"/>
      <c r="L44" s="100"/>
      <c r="M44" s="61"/>
      <c r="N44" s="58"/>
      <c r="O44" s="62"/>
    </row>
    <row r="45" spans="1:15">
      <c r="D45" s="90"/>
      <c r="E45" s="94"/>
      <c r="F45" s="90"/>
      <c r="G45" s="90"/>
      <c r="H45" s="91"/>
      <c r="I45" s="91"/>
      <c r="J45" s="91"/>
      <c r="K45" s="91"/>
      <c r="L45" s="101"/>
      <c r="M45" s="93"/>
      <c r="N45" s="91"/>
      <c r="O45" s="91"/>
    </row>
    <row r="46" spans="1:15">
      <c r="C46" s="58"/>
      <c r="D46" s="90"/>
      <c r="E46" s="94"/>
      <c r="F46" s="90"/>
      <c r="G46" s="90"/>
      <c r="H46" s="91"/>
      <c r="I46" s="91"/>
      <c r="J46" s="91"/>
      <c r="K46" s="91"/>
      <c r="L46" s="101"/>
      <c r="M46" s="93"/>
      <c r="N46" s="91"/>
      <c r="O46" s="124"/>
    </row>
    <row r="47" spans="1:15">
      <c r="C47" s="58"/>
      <c r="D47" s="90"/>
      <c r="E47" s="94"/>
      <c r="F47" s="90"/>
      <c r="G47" s="90"/>
      <c r="H47" s="91"/>
      <c r="I47" s="91"/>
      <c r="J47" s="91"/>
      <c r="K47" s="91"/>
      <c r="L47" s="101"/>
      <c r="M47" s="93"/>
      <c r="N47" s="91"/>
      <c r="O47" s="124"/>
    </row>
    <row r="48" spans="1:15">
      <c r="C48" s="58"/>
      <c r="D48" s="90"/>
      <c r="E48" s="94"/>
      <c r="F48" s="90"/>
      <c r="G48" s="90"/>
      <c r="H48" s="91"/>
      <c r="I48" s="91"/>
      <c r="J48" s="91"/>
      <c r="K48" s="91"/>
      <c r="L48" s="101"/>
      <c r="M48" s="93"/>
      <c r="N48" s="91"/>
      <c r="O48" s="124"/>
    </row>
    <row r="49" spans="3:15">
      <c r="C49" s="58"/>
      <c r="D49" s="90"/>
      <c r="E49" s="94"/>
      <c r="F49" s="90"/>
      <c r="G49" s="90"/>
      <c r="H49" s="91"/>
      <c r="I49" s="91"/>
      <c r="J49" s="91"/>
      <c r="K49" s="91"/>
      <c r="L49" s="101"/>
      <c r="M49" s="93"/>
      <c r="N49" s="91"/>
      <c r="O49" s="124"/>
    </row>
    <row r="50" spans="3:15">
      <c r="C50" s="58"/>
      <c r="D50" s="90"/>
      <c r="E50" s="94"/>
      <c r="F50" s="90"/>
      <c r="G50" s="90"/>
      <c r="H50" s="91"/>
      <c r="I50" s="91"/>
      <c r="J50" s="91"/>
      <c r="K50" s="91"/>
      <c r="L50" s="101"/>
      <c r="M50" s="93"/>
      <c r="N50" s="91"/>
      <c r="O50" s="124"/>
    </row>
    <row r="51" spans="3:15">
      <c r="C51" s="58"/>
      <c r="D51" s="90"/>
      <c r="E51" s="94"/>
      <c r="F51" s="90"/>
      <c r="G51" s="90"/>
      <c r="H51" s="91"/>
      <c r="I51" s="91"/>
      <c r="J51" s="91"/>
      <c r="K51" s="91"/>
      <c r="L51" s="101"/>
      <c r="M51" s="93"/>
      <c r="N51" s="91"/>
      <c r="O51" s="124"/>
    </row>
    <row r="52" spans="3:15">
      <c r="C52" s="58"/>
      <c r="D52" s="90"/>
      <c r="E52" s="94"/>
      <c r="F52" s="90"/>
      <c r="G52" s="90"/>
      <c r="H52" s="91"/>
      <c r="I52" s="91"/>
      <c r="J52" s="91"/>
      <c r="K52" s="91"/>
      <c r="L52" s="216">
        <f>SUM(L6:L51)</f>
        <v>0</v>
      </c>
      <c r="M52" s="93"/>
      <c r="N52" s="91"/>
      <c r="O52" s="124"/>
    </row>
    <row r="53" spans="3:15">
      <c r="C53" s="58"/>
      <c r="D53" s="90"/>
      <c r="E53" s="94"/>
      <c r="F53" s="90"/>
      <c r="G53" s="90"/>
      <c r="H53" s="91"/>
      <c r="I53" s="91"/>
      <c r="J53" s="91"/>
      <c r="K53" s="91"/>
      <c r="L53" s="101"/>
      <c r="M53" s="93"/>
      <c r="N53" s="91"/>
      <c r="O53" s="124"/>
    </row>
    <row r="54" spans="3:15">
      <c r="C54" s="58"/>
      <c r="D54" s="90"/>
      <c r="E54" s="94"/>
      <c r="F54" s="90"/>
      <c r="G54" s="90"/>
      <c r="H54" s="91"/>
      <c r="I54" s="91"/>
      <c r="J54" s="91"/>
      <c r="K54" s="91"/>
      <c r="L54" s="101"/>
      <c r="M54" s="93"/>
      <c r="N54" s="91"/>
      <c r="O54" s="124"/>
    </row>
    <row r="55" spans="3:15">
      <c r="C55" s="8"/>
      <c r="D55" s="8"/>
      <c r="E55" s="7"/>
      <c r="F55" s="6"/>
      <c r="G55" s="6"/>
      <c r="H55" s="5"/>
      <c r="I55" s="5"/>
      <c r="J55" s="5"/>
      <c r="K55" s="6"/>
      <c r="L55" s="178"/>
      <c r="M55" s="6"/>
      <c r="N55" s="2"/>
    </row>
    <row r="56" spans="3:15">
      <c r="C56" s="8"/>
      <c r="D56" s="8"/>
      <c r="E56" s="7"/>
      <c r="F56" s="6"/>
      <c r="G56" s="6"/>
      <c r="H56" s="5"/>
      <c r="I56" s="5"/>
      <c r="J56" s="5"/>
      <c r="K56" s="6"/>
      <c r="L56" s="178"/>
      <c r="M56" s="6"/>
      <c r="N56" s="2"/>
    </row>
    <row r="57" spans="3:15">
      <c r="C57" s="8"/>
      <c r="D57" s="8"/>
      <c r="E57" s="7"/>
      <c r="F57" s="6"/>
      <c r="G57" s="6"/>
      <c r="H57" s="5"/>
      <c r="I57" s="5"/>
      <c r="J57" s="5"/>
      <c r="K57" s="6"/>
      <c r="L57" s="178"/>
      <c r="M57" s="6"/>
      <c r="N57" s="2"/>
    </row>
    <row r="58" spans="3:15">
      <c r="C58" s="8"/>
      <c r="D58" s="8"/>
      <c r="E58" s="7"/>
      <c r="F58" s="6"/>
      <c r="G58" s="6"/>
      <c r="H58" s="5"/>
      <c r="I58" s="5"/>
      <c r="J58" s="5"/>
      <c r="K58" s="6"/>
      <c r="L58" s="178"/>
      <c r="M58" s="6"/>
      <c r="N58" s="2"/>
    </row>
    <row r="59" spans="3:15">
      <c r="C59" s="8"/>
      <c r="D59" s="8"/>
      <c r="E59" s="7"/>
      <c r="F59" s="6"/>
      <c r="G59" s="6"/>
      <c r="H59" s="5"/>
      <c r="I59" s="5"/>
      <c r="J59" s="5"/>
      <c r="K59" s="6"/>
      <c r="L59" s="178"/>
      <c r="M59" s="6"/>
      <c r="N59" s="2"/>
    </row>
    <row r="60" spans="3:15">
      <c r="C60" s="8"/>
      <c r="D60" s="8"/>
      <c r="E60" s="7"/>
      <c r="F60" s="6"/>
      <c r="G60" s="6"/>
      <c r="H60" s="5"/>
      <c r="I60" s="5"/>
      <c r="J60" s="5"/>
      <c r="K60" s="6"/>
      <c r="L60" s="178"/>
      <c r="M60" s="6"/>
      <c r="N60" s="2"/>
    </row>
    <row r="61" spans="3:15">
      <c r="C61" s="8"/>
      <c r="D61" s="8"/>
      <c r="E61" s="7"/>
      <c r="F61" s="6"/>
      <c r="G61" s="6"/>
      <c r="H61" s="5"/>
      <c r="I61" s="5"/>
      <c r="J61" s="5"/>
      <c r="K61" s="6"/>
      <c r="L61" s="178"/>
      <c r="M61" s="6"/>
      <c r="N61" s="2"/>
    </row>
    <row r="62" spans="3:15">
      <c r="C62" s="8"/>
      <c r="D62" s="8"/>
      <c r="E62" s="7"/>
      <c r="F62" s="6"/>
      <c r="G62" s="6"/>
      <c r="H62" s="5"/>
      <c r="I62" s="5"/>
      <c r="J62" s="5"/>
      <c r="K62" s="6"/>
      <c r="L62" s="108"/>
      <c r="M62" s="6"/>
      <c r="N62" s="2"/>
    </row>
    <row r="63" spans="3:15">
      <c r="C63" s="8"/>
      <c r="D63" s="8"/>
      <c r="E63" s="7"/>
      <c r="F63" s="6"/>
      <c r="G63" s="6"/>
      <c r="H63" s="5"/>
      <c r="I63" s="5"/>
      <c r="J63" s="5"/>
      <c r="K63" s="6"/>
      <c r="L63" s="178"/>
      <c r="M63" s="6"/>
      <c r="N63" s="2"/>
    </row>
    <row r="64" spans="3:15">
      <c r="C64" s="8"/>
      <c r="D64" s="8"/>
      <c r="E64" s="7"/>
      <c r="F64" s="6"/>
      <c r="G64" s="6"/>
      <c r="H64" s="5"/>
      <c r="I64" s="5"/>
      <c r="J64" s="5"/>
      <c r="K64" s="6"/>
      <c r="L64" s="178"/>
      <c r="M64" s="6"/>
      <c r="N64" s="2"/>
    </row>
    <row r="65" spans="3:14">
      <c r="C65" s="8"/>
      <c r="D65" s="8"/>
      <c r="E65" s="7"/>
      <c r="F65" s="6"/>
      <c r="G65" s="6"/>
      <c r="H65" s="5"/>
      <c r="I65" s="5"/>
      <c r="J65" s="5"/>
      <c r="K65" s="6"/>
      <c r="L65" s="178"/>
      <c r="M65" s="6"/>
      <c r="N65" s="2"/>
    </row>
    <row r="66" spans="3:14">
      <c r="C66" s="8"/>
      <c r="D66" s="8"/>
      <c r="E66" s="7"/>
      <c r="F66" s="6"/>
      <c r="G66" s="6"/>
      <c r="H66" s="5"/>
      <c r="I66" s="5"/>
      <c r="J66" s="5"/>
      <c r="K66" s="6"/>
      <c r="L66" s="178"/>
      <c r="M66" s="6"/>
      <c r="N66" s="2"/>
    </row>
    <row r="67" spans="3:14">
      <c r="C67" s="8"/>
      <c r="D67" s="8"/>
      <c r="E67" s="7"/>
      <c r="F67" s="6"/>
      <c r="G67" s="6"/>
      <c r="H67" s="5"/>
      <c r="I67" s="5"/>
      <c r="J67" s="5"/>
      <c r="K67" s="6"/>
      <c r="L67" s="178"/>
      <c r="M67" s="6"/>
      <c r="N67" s="2"/>
    </row>
    <row r="68" spans="3:14" ht="14.25" customHeight="1">
      <c r="C68" s="8"/>
      <c r="D68" s="8"/>
      <c r="E68" s="7"/>
      <c r="F68" s="6"/>
      <c r="G68" s="6"/>
      <c r="H68" s="5"/>
      <c r="I68" s="5"/>
      <c r="J68" s="5"/>
      <c r="K68" s="6"/>
      <c r="L68" s="178"/>
      <c r="M68" s="6"/>
      <c r="N68" s="2"/>
    </row>
    <row r="69" spans="3:14" ht="14.25" customHeight="1">
      <c r="C69" s="8"/>
      <c r="D69" s="8"/>
      <c r="E69" s="7"/>
      <c r="F69" s="6"/>
      <c r="G69" s="6"/>
      <c r="H69" s="5"/>
      <c r="I69" s="5"/>
      <c r="J69" s="5"/>
      <c r="K69" s="6"/>
      <c r="L69" s="178"/>
      <c r="M69" s="6"/>
      <c r="N69" s="2"/>
    </row>
    <row r="70" spans="3:14" ht="14.25" customHeight="1">
      <c r="C70" s="8"/>
      <c r="D70" s="8"/>
      <c r="E70" s="7"/>
      <c r="F70" s="6"/>
      <c r="G70" s="6"/>
      <c r="H70" s="5"/>
      <c r="I70" s="5"/>
      <c r="J70" s="5"/>
      <c r="K70" s="6"/>
      <c r="L70" s="178"/>
      <c r="M70" s="6"/>
      <c r="N70" s="2"/>
    </row>
    <row r="71" spans="3:14" ht="14.25" customHeight="1">
      <c r="C71" s="8"/>
      <c r="D71" s="8"/>
      <c r="E71" s="7"/>
      <c r="F71" s="6"/>
      <c r="G71" s="6"/>
      <c r="H71" s="5"/>
      <c r="I71" s="5"/>
      <c r="J71" s="5"/>
      <c r="K71" s="6"/>
      <c r="L71" s="178"/>
      <c r="M71" s="6"/>
      <c r="N71" s="2"/>
    </row>
    <row r="72" spans="3:14" ht="14.25" customHeight="1">
      <c r="C72" s="8"/>
      <c r="D72" s="8"/>
      <c r="E72" s="7"/>
      <c r="F72" s="6"/>
      <c r="G72" s="6"/>
      <c r="H72" s="5"/>
      <c r="I72" s="5"/>
      <c r="J72" s="5"/>
      <c r="K72" s="6"/>
      <c r="L72" s="178"/>
      <c r="M72" s="6"/>
      <c r="N72" s="2"/>
    </row>
    <row r="73" spans="3:14" ht="14.25" customHeight="1">
      <c r="C73" s="8"/>
      <c r="D73" s="8"/>
      <c r="E73" s="7"/>
      <c r="F73" s="6"/>
      <c r="G73" s="6"/>
      <c r="H73" s="5"/>
      <c r="I73" s="5"/>
      <c r="J73" s="5"/>
      <c r="K73" s="6"/>
      <c r="L73" s="178"/>
      <c r="M73" s="6"/>
      <c r="N73" s="2"/>
    </row>
    <row r="74" spans="3:14" ht="14.25" customHeight="1">
      <c r="C74" s="8"/>
      <c r="D74" s="8"/>
      <c r="E74" s="7"/>
      <c r="F74" s="6"/>
      <c r="G74" s="6"/>
      <c r="H74" s="5"/>
      <c r="I74" s="5"/>
      <c r="J74" s="5"/>
      <c r="K74" s="6"/>
      <c r="L74" s="178"/>
      <c r="M74" s="6"/>
      <c r="N74" s="2"/>
    </row>
    <row r="75" spans="3:14" ht="14.25" customHeight="1">
      <c r="C75" s="8"/>
      <c r="D75" s="8"/>
      <c r="E75" s="7"/>
      <c r="F75" s="6"/>
      <c r="G75" s="6"/>
      <c r="H75" s="5"/>
      <c r="I75" s="5"/>
      <c r="J75" s="5"/>
      <c r="K75" s="6"/>
      <c r="L75" s="178"/>
      <c r="M75" s="6"/>
      <c r="N75" s="2"/>
    </row>
    <row r="76" spans="3:14" ht="14.25" customHeight="1">
      <c r="C76" s="8"/>
      <c r="D76" s="8"/>
      <c r="E76" s="7"/>
      <c r="F76" s="6"/>
      <c r="G76" s="6"/>
      <c r="H76" s="5"/>
      <c r="I76" s="5"/>
      <c r="J76" s="5"/>
      <c r="K76" s="6"/>
      <c r="L76" s="178"/>
      <c r="M76" s="6"/>
      <c r="N76" s="2"/>
    </row>
    <row r="77" spans="3:14" ht="14.25" customHeight="1">
      <c r="C77" s="8"/>
      <c r="D77" s="8"/>
      <c r="E77" s="7"/>
      <c r="F77" s="6"/>
      <c r="G77" s="6"/>
      <c r="H77" s="5"/>
      <c r="I77" s="5"/>
      <c r="J77" s="5"/>
      <c r="K77" s="6"/>
      <c r="L77" s="178"/>
      <c r="M77" s="6"/>
      <c r="N77" s="2"/>
    </row>
    <row r="78" spans="3:14" ht="14.25" customHeight="1">
      <c r="C78" s="8"/>
      <c r="D78" s="8"/>
      <c r="E78" s="7"/>
      <c r="F78" s="6"/>
      <c r="G78" s="6"/>
      <c r="H78" s="5"/>
      <c r="I78" s="5"/>
      <c r="J78" s="5"/>
      <c r="K78" s="6"/>
      <c r="L78" s="178"/>
      <c r="M78" s="6"/>
      <c r="N78" s="2"/>
    </row>
    <row r="79" spans="3:14" ht="14.25" customHeight="1">
      <c r="C79" s="8"/>
      <c r="D79" s="8"/>
      <c r="E79" s="7"/>
      <c r="F79" s="6"/>
      <c r="G79" s="6"/>
      <c r="H79" s="5"/>
      <c r="I79" s="5"/>
      <c r="J79" s="5"/>
      <c r="K79" s="6"/>
      <c r="L79" s="178"/>
      <c r="M79" s="6"/>
      <c r="N79" s="2"/>
    </row>
    <row r="80" spans="3:14" ht="14.25" customHeight="1">
      <c r="C80" s="8"/>
      <c r="D80" s="8"/>
      <c r="E80" s="7"/>
      <c r="F80" s="6"/>
      <c r="G80" s="6"/>
      <c r="H80" s="5"/>
      <c r="I80" s="5"/>
      <c r="J80" s="5"/>
      <c r="K80" s="6"/>
      <c r="L80" s="178"/>
      <c r="M80" s="6"/>
      <c r="N80" s="2"/>
    </row>
    <row r="81" spans="3:14" ht="14.25" customHeight="1">
      <c r="C81" s="8"/>
      <c r="D81" s="8"/>
      <c r="E81" s="7"/>
      <c r="F81" s="6"/>
      <c r="G81" s="6"/>
      <c r="H81" s="5"/>
      <c r="I81" s="5"/>
      <c r="J81" s="5"/>
      <c r="K81" s="6"/>
      <c r="L81" s="178"/>
      <c r="M81" s="6"/>
      <c r="N81" s="2"/>
    </row>
    <row r="82" spans="3:14" ht="14.25" customHeight="1">
      <c r="C82" s="8"/>
      <c r="D82" s="8"/>
      <c r="E82" s="7"/>
      <c r="F82" s="6"/>
      <c r="G82" s="6"/>
      <c r="H82" s="5"/>
      <c r="I82" s="5"/>
      <c r="J82" s="5"/>
      <c r="K82" s="6"/>
      <c r="L82" s="178"/>
      <c r="M82" s="6"/>
      <c r="N82" s="2"/>
    </row>
    <row r="83" spans="3:14" ht="14.25" customHeight="1">
      <c r="C83" s="8"/>
      <c r="D83" s="8"/>
      <c r="E83" s="7"/>
      <c r="F83" s="6"/>
      <c r="G83" s="6"/>
      <c r="H83" s="5"/>
      <c r="I83" s="5"/>
      <c r="J83" s="5"/>
      <c r="K83" s="6"/>
      <c r="L83" s="178"/>
      <c r="M83" s="3"/>
      <c r="N83" s="2"/>
    </row>
    <row r="84" spans="3:14" ht="14.25" customHeight="1">
      <c r="C84" s="8"/>
      <c r="D84" s="8"/>
      <c r="E84" s="7"/>
      <c r="F84" s="6"/>
      <c r="G84" s="5"/>
      <c r="H84" s="5"/>
      <c r="I84" s="5"/>
      <c r="J84" s="5"/>
      <c r="K84" s="4"/>
      <c r="L84" s="178"/>
      <c r="M84" s="3"/>
      <c r="N84" s="2"/>
    </row>
    <row r="85" spans="3:14" ht="14.25" customHeight="1">
      <c r="C85" s="19"/>
      <c r="D85" s="19"/>
      <c r="E85" s="19"/>
      <c r="F85" s="19"/>
      <c r="G85" s="19"/>
      <c r="H85" s="19"/>
      <c r="I85" s="19"/>
      <c r="J85" s="19"/>
      <c r="K85" s="19"/>
      <c r="L85" s="146"/>
      <c r="M85" s="19"/>
      <c r="N85" s="19"/>
    </row>
    <row r="86" spans="3:14" ht="14.25" customHeight="1">
      <c r="C86" s="31"/>
      <c r="D86" s="27"/>
      <c r="E86" s="20"/>
      <c r="F86" s="28"/>
      <c r="G86" s="28"/>
      <c r="H86" s="26"/>
      <c r="I86" s="26"/>
      <c r="J86" s="26"/>
      <c r="K86" s="28"/>
      <c r="L86" s="179"/>
      <c r="M86" s="28"/>
      <c r="N86" s="27"/>
    </row>
    <row r="87" spans="3:14" s="1" customFormat="1" ht="14.25" customHeight="1">
      <c r="C87" s="31"/>
      <c r="D87" s="27"/>
      <c r="E87" s="21"/>
      <c r="F87" s="28"/>
      <c r="G87" s="28"/>
      <c r="H87" s="26"/>
      <c r="I87" s="26"/>
      <c r="J87" s="26"/>
      <c r="K87" s="28"/>
      <c r="L87" s="179"/>
      <c r="M87" s="28"/>
      <c r="N87" s="27"/>
    </row>
    <row r="88" spans="3:14" s="1" customFormat="1" ht="14.25" customHeight="1">
      <c r="C88" s="30"/>
      <c r="D88" s="25"/>
      <c r="E88" s="21"/>
      <c r="F88" s="22"/>
      <c r="G88" s="22"/>
      <c r="H88" s="23"/>
      <c r="I88" s="23"/>
      <c r="J88" s="23"/>
      <c r="K88" s="22"/>
      <c r="L88" s="180"/>
      <c r="M88" s="22"/>
      <c r="N88" s="25"/>
    </row>
  </sheetData>
  <mergeCells count="6">
    <mergeCell ref="N2:N3"/>
    <mergeCell ref="E5:F5"/>
    <mergeCell ref="C2:G2"/>
    <mergeCell ref="H2:J2"/>
    <mergeCell ref="K2:L2"/>
    <mergeCell ref="M2:M3"/>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D4651-A1B6-4315-B374-54D1AB93411E}">
  <sheetPr>
    <tabColor rgb="FF92D050"/>
  </sheetPr>
  <dimension ref="A2:O100"/>
  <sheetViews>
    <sheetView zoomScale="80" zoomScaleNormal="80" workbookViewId="0">
      <pane ySplit="4" topLeftCell="A5" activePane="bottomLeft" state="frozen"/>
      <selection pane="bottomLeft" activeCell="L27" sqref="L27"/>
    </sheetView>
  </sheetViews>
  <sheetFormatPr defaultRowHeight="15"/>
  <cols>
    <col min="2" max="2" width="16.28515625" bestFit="1" customWidth="1"/>
    <col min="3" max="3" width="21.42578125" customWidth="1"/>
    <col min="4" max="4" width="20.5703125" customWidth="1"/>
    <col min="5" max="5" width="26" customWidth="1"/>
    <col min="6" max="6" width="16.7109375" customWidth="1"/>
    <col min="7" max="7" width="11.7109375" customWidth="1"/>
    <col min="8" max="8" width="13.7109375" customWidth="1"/>
    <col min="9" max="9" width="16.28515625" customWidth="1"/>
    <col min="10" max="10" width="17.42578125" customWidth="1"/>
    <col min="11" max="11" width="18.5703125" customWidth="1"/>
    <col min="12" max="12" width="19.28515625" style="99" customWidth="1"/>
    <col min="13" max="13" width="16.28515625" customWidth="1"/>
    <col min="14" max="14" width="12.85546875" customWidth="1"/>
    <col min="18" max="18" width="73.7109375" bestFit="1" customWidth="1"/>
  </cols>
  <sheetData>
    <row r="2" spans="1:15">
      <c r="C2" s="2627" t="s">
        <v>30</v>
      </c>
      <c r="D2" s="2627"/>
      <c r="E2" s="2627"/>
      <c r="F2" s="2627"/>
      <c r="G2" s="2627"/>
      <c r="H2" s="2628" t="s">
        <v>29</v>
      </c>
      <c r="I2" s="2628"/>
      <c r="J2" s="2628"/>
      <c r="K2" s="2627" t="s">
        <v>28</v>
      </c>
      <c r="L2" s="2627"/>
      <c r="M2" s="2628" t="s">
        <v>27</v>
      </c>
      <c r="N2" s="2628" t="s">
        <v>26</v>
      </c>
    </row>
    <row r="3" spans="1:15" ht="72">
      <c r="C3" s="10" t="s">
        <v>25</v>
      </c>
      <c r="D3" s="13" t="s">
        <v>24</v>
      </c>
      <c r="E3" s="12" t="s">
        <v>23</v>
      </c>
      <c r="F3" s="10" t="s">
        <v>22</v>
      </c>
      <c r="G3" s="11" t="s">
        <v>21</v>
      </c>
      <c r="H3" s="11" t="s">
        <v>20</v>
      </c>
      <c r="I3" s="11" t="s">
        <v>19</v>
      </c>
      <c r="J3" s="11" t="s">
        <v>18</v>
      </c>
      <c r="K3" s="10" t="s">
        <v>17</v>
      </c>
      <c r="L3" s="159" t="s">
        <v>16</v>
      </c>
      <c r="M3" s="2628"/>
      <c r="N3" s="2628"/>
    </row>
    <row r="4" spans="1:15">
      <c r="C4" s="243" t="s">
        <v>15</v>
      </c>
      <c r="D4" s="243" t="s">
        <v>14</v>
      </c>
      <c r="E4" s="243" t="s">
        <v>13</v>
      </c>
      <c r="F4" s="243" t="s">
        <v>12</v>
      </c>
      <c r="G4" s="243" t="s">
        <v>11</v>
      </c>
      <c r="H4" s="243" t="s">
        <v>10</v>
      </c>
      <c r="I4" s="243" t="s">
        <v>9</v>
      </c>
      <c r="J4" s="243" t="s">
        <v>8</v>
      </c>
      <c r="K4" s="243" t="s">
        <v>7</v>
      </c>
      <c r="L4" s="244" t="s">
        <v>6</v>
      </c>
      <c r="M4" s="243" t="s">
        <v>5</v>
      </c>
      <c r="N4" s="243" t="s">
        <v>4</v>
      </c>
    </row>
    <row r="5" spans="1:15" s="1313" customFormat="1" ht="16.5">
      <c r="A5" s="471"/>
      <c r="B5" s="483" t="s">
        <v>1319</v>
      </c>
      <c r="C5" s="1314"/>
      <c r="D5" s="1315" t="s">
        <v>2</v>
      </c>
      <c r="E5" s="1316" t="s">
        <v>1106</v>
      </c>
      <c r="F5" s="1317"/>
      <c r="G5" s="1317"/>
      <c r="H5" s="1317"/>
      <c r="I5" s="1317"/>
      <c r="J5" s="1317"/>
      <c r="K5" s="1318"/>
      <c r="L5" s="1319"/>
      <c r="M5" s="1320"/>
      <c r="N5" s="1300"/>
    </row>
    <row r="6" spans="1:15" s="299" customFormat="1" ht="14.25" customHeight="1">
      <c r="A6" s="438"/>
      <c r="B6" s="483" t="s">
        <v>1319</v>
      </c>
      <c r="C6" s="1321"/>
      <c r="D6" s="1321"/>
      <c r="E6" s="1322" t="s">
        <v>1320</v>
      </c>
      <c r="F6" s="1323" t="s">
        <v>422</v>
      </c>
      <c r="G6" s="1324" t="s">
        <v>1084</v>
      </c>
      <c r="H6" s="1294">
        <v>46205</v>
      </c>
      <c r="I6" s="1295">
        <v>46376</v>
      </c>
      <c r="J6" s="1296" t="s">
        <v>1085</v>
      </c>
      <c r="K6" s="1296" t="s">
        <v>98</v>
      </c>
      <c r="L6" s="1325">
        <v>60000</v>
      </c>
      <c r="M6" s="1326" t="s">
        <v>99</v>
      </c>
      <c r="N6" s="1327"/>
      <c r="O6" s="1176"/>
    </row>
    <row r="7" spans="1:15" s="299" customFormat="1" ht="14.25" customHeight="1">
      <c r="A7" s="438"/>
      <c r="B7" s="342"/>
      <c r="C7" s="1049"/>
      <c r="D7" s="1049"/>
      <c r="E7" s="1049"/>
      <c r="F7" s="1050"/>
      <c r="G7" s="1051"/>
      <c r="H7" s="1052"/>
      <c r="I7" s="1052"/>
      <c r="J7" s="1052"/>
      <c r="K7" s="1050"/>
      <c r="L7" s="1053"/>
      <c r="M7" s="2686"/>
      <c r="N7" s="341"/>
      <c r="O7" s="2687"/>
    </row>
    <row r="8" spans="1:15" s="299" customFormat="1" ht="14.25" customHeight="1">
      <c r="A8" s="438"/>
      <c r="B8" s="342"/>
      <c r="C8" s="1049"/>
      <c r="D8" s="1049"/>
      <c r="E8" s="1049"/>
      <c r="F8" s="1050"/>
      <c r="G8" s="1051"/>
      <c r="H8" s="1052"/>
      <c r="I8" s="1052"/>
      <c r="J8" s="1052"/>
      <c r="K8" s="1050"/>
      <c r="L8" s="1053"/>
      <c r="M8" s="2686"/>
      <c r="N8" s="341"/>
      <c r="O8" s="2688"/>
    </row>
    <row r="9" spans="1:15" s="299" customFormat="1" ht="14.25" customHeight="1">
      <c r="A9" s="438"/>
      <c r="B9" s="342"/>
      <c r="C9" s="1049"/>
      <c r="D9" s="1049"/>
      <c r="E9" s="1049"/>
      <c r="F9" s="1050"/>
      <c r="G9" s="1051"/>
      <c r="H9" s="1052"/>
      <c r="I9" s="1052"/>
      <c r="J9" s="1052"/>
      <c r="K9" s="1050"/>
      <c r="L9" s="1053"/>
      <c r="M9" s="2686"/>
      <c r="N9" s="341"/>
      <c r="O9" s="2689"/>
    </row>
    <row r="10" spans="1:15" s="299" customFormat="1" ht="14.25" customHeight="1">
      <c r="A10" s="438"/>
      <c r="B10" s="342"/>
      <c r="C10" s="438"/>
      <c r="D10" s="451"/>
      <c r="E10" s="420"/>
      <c r="F10" s="420"/>
      <c r="G10" s="437"/>
      <c r="H10" s="441"/>
      <c r="I10" s="442"/>
      <c r="J10" s="442"/>
      <c r="K10" s="439"/>
      <c r="L10" s="519"/>
      <c r="M10" s="443"/>
      <c r="N10" s="440"/>
      <c r="O10" s="617"/>
    </row>
    <row r="11" spans="1:15" s="299" customFormat="1" ht="14.25" customHeight="1">
      <c r="A11" s="871"/>
      <c r="B11" s="342"/>
      <c r="C11" s="341"/>
      <c r="D11" s="434"/>
      <c r="E11" s="592"/>
      <c r="F11" s="592"/>
      <c r="G11" s="437"/>
      <c r="H11" s="441"/>
      <c r="I11" s="442"/>
      <c r="J11" s="442"/>
      <c r="K11" s="439"/>
      <c r="L11" s="519"/>
      <c r="M11" s="443"/>
      <c r="N11" s="440"/>
      <c r="O11" s="617"/>
    </row>
    <row r="12" spans="1:15" s="299" customFormat="1" ht="14.25" customHeight="1">
      <c r="A12" s="871"/>
      <c r="B12" s="342"/>
      <c r="C12" s="350"/>
      <c r="D12" s="350"/>
      <c r="E12" s="350"/>
      <c r="F12" s="350"/>
      <c r="G12" s="350"/>
      <c r="H12" s="352"/>
      <c r="I12" s="352"/>
      <c r="J12" s="352"/>
      <c r="K12" s="352"/>
      <c r="L12" s="409"/>
      <c r="M12" s="770"/>
      <c r="N12" s="352"/>
      <c r="O12" s="731"/>
    </row>
    <row r="13" spans="1:15" s="299" customFormat="1" ht="14.25" customHeight="1">
      <c r="A13" s="871"/>
      <c r="B13" s="342"/>
      <c r="C13" s="1328"/>
      <c r="D13" s="1137"/>
      <c r="E13" s="1138"/>
      <c r="F13" s="1139"/>
      <c r="G13" s="1137"/>
      <c r="H13" s="1140"/>
      <c r="I13" s="1140"/>
      <c r="J13" s="1137"/>
      <c r="K13" s="1137"/>
      <c r="L13" s="1142"/>
      <c r="M13" s="1139"/>
      <c r="N13" s="1137"/>
      <c r="O13" s="765"/>
    </row>
    <row r="14" spans="1:15" s="299" customFormat="1" ht="14.25" customHeight="1">
      <c r="A14" s="871"/>
      <c r="B14" s="342"/>
      <c r="C14" s="1137"/>
      <c r="D14" s="1137"/>
      <c r="E14" s="1138"/>
      <c r="F14" s="1139"/>
      <c r="G14" s="1139"/>
      <c r="H14" s="1140"/>
      <c r="I14" s="1140"/>
      <c r="J14" s="1178"/>
      <c r="K14" s="1139"/>
      <c r="L14" s="1142"/>
      <c r="M14" s="1137"/>
      <c r="N14" s="1143"/>
    </row>
    <row r="15" spans="1:15" s="299" customFormat="1" ht="14.25" customHeight="1">
      <c r="A15" s="871"/>
      <c r="B15" s="342"/>
      <c r="C15" s="1137"/>
      <c r="D15" s="1137"/>
      <c r="E15" s="1138"/>
      <c r="F15" s="1139"/>
      <c r="G15" s="1139"/>
      <c r="H15" s="1140"/>
      <c r="I15" s="1140"/>
      <c r="J15" s="1137"/>
      <c r="K15" s="1141"/>
      <c r="L15" s="1142"/>
      <c r="M15" s="1139"/>
      <c r="N15" s="1143"/>
    </row>
    <row r="16" spans="1:15" s="299" customFormat="1" ht="14.25" customHeight="1">
      <c r="A16" s="871"/>
      <c r="B16" s="342"/>
      <c r="C16" s="1137"/>
      <c r="D16" s="1137"/>
      <c r="E16" s="1138"/>
      <c r="F16" s="1139"/>
      <c r="G16" s="1139"/>
      <c r="H16" s="1137"/>
      <c r="I16" s="1137"/>
      <c r="J16" s="1137"/>
      <c r="K16" s="1137"/>
      <c r="L16" s="1142"/>
      <c r="M16" s="1137"/>
      <c r="N16" s="1143"/>
    </row>
    <row r="17" spans="1:15" s="299" customFormat="1" ht="14.25" customHeight="1">
      <c r="A17" s="513"/>
      <c r="B17" s="342"/>
      <c r="C17" s="513"/>
      <c r="D17" s="324"/>
      <c r="E17" s="872"/>
      <c r="F17" s="513"/>
      <c r="G17" s="514"/>
      <c r="H17" s="515"/>
      <c r="I17" s="515"/>
      <c r="J17" s="515"/>
      <c r="K17" s="513"/>
      <c r="L17" s="516"/>
      <c r="M17" s="513"/>
      <c r="N17" s="329"/>
    </row>
    <row r="18" spans="1:15" s="299" customFormat="1" ht="14.25" customHeight="1">
      <c r="A18" s="513"/>
      <c r="B18" s="342"/>
      <c r="C18" s="513"/>
      <c r="D18" s="330"/>
      <c r="E18" s="873"/>
      <c r="F18" s="873"/>
      <c r="G18" s="513"/>
      <c r="H18" s="514"/>
      <c r="I18" s="515"/>
      <c r="J18" s="515"/>
      <c r="K18" s="515"/>
      <c r="L18" s="864"/>
      <c r="M18" s="517"/>
      <c r="N18" s="513"/>
      <c r="O18" s="1054"/>
    </row>
    <row r="19" spans="1:15" s="299" customFormat="1" ht="14.25" customHeight="1">
      <c r="A19" s="513"/>
      <c r="B19" s="342"/>
      <c r="C19" s="341"/>
      <c r="D19" s="330"/>
      <c r="E19" s="873"/>
      <c r="F19" s="873"/>
      <c r="G19" s="513"/>
      <c r="H19" s="514"/>
      <c r="I19" s="515"/>
      <c r="J19" s="515"/>
      <c r="K19" s="515"/>
      <c r="L19" s="864"/>
      <c r="M19" s="517"/>
      <c r="N19" s="513"/>
      <c r="O19" s="1054"/>
    </row>
    <row r="20" spans="1:15" s="299" customFormat="1" ht="27" customHeight="1">
      <c r="A20" s="513"/>
      <c r="B20" s="342"/>
      <c r="C20" s="531"/>
      <c r="D20" s="532"/>
      <c r="E20" s="531"/>
      <c r="F20" s="532"/>
      <c r="G20" s="533"/>
      <c r="H20" s="619"/>
      <c r="I20" s="619"/>
      <c r="J20" s="619"/>
      <c r="K20" s="532"/>
      <c r="L20" s="620"/>
      <c r="M20" s="532"/>
      <c r="N20" s="341"/>
      <c r="O20" s="1055"/>
    </row>
    <row r="21" spans="1:15" s="299" customFormat="1" ht="14.25" customHeight="1">
      <c r="A21" s="513"/>
      <c r="B21" s="342"/>
      <c r="C21" s="438"/>
      <c r="D21" s="357"/>
      <c r="E21" s="357"/>
      <c r="F21" s="438"/>
      <c r="G21" s="441"/>
      <c r="H21" s="504"/>
      <c r="I21" s="504"/>
      <c r="J21" s="504"/>
      <c r="K21" s="438"/>
      <c r="L21" s="505"/>
      <c r="M21" s="438"/>
      <c r="N21" s="341"/>
      <c r="O21" s="728"/>
    </row>
    <row r="22" spans="1:15" s="299" customFormat="1" ht="14.25" customHeight="1">
      <c r="A22" s="513"/>
      <c r="B22" s="342"/>
      <c r="C22" s="438"/>
      <c r="D22" s="324"/>
      <c r="E22" s="358"/>
      <c r="F22" s="438"/>
      <c r="G22" s="441"/>
      <c r="H22" s="504"/>
      <c r="I22" s="504"/>
      <c r="J22" s="504"/>
      <c r="K22" s="438"/>
      <c r="L22" s="505"/>
      <c r="M22" s="438"/>
      <c r="N22" s="341"/>
      <c r="O22" s="728"/>
    </row>
    <row r="23" spans="1:15" s="299" customFormat="1" ht="14.25" customHeight="1">
      <c r="A23" s="513"/>
      <c r="B23" s="342"/>
      <c r="C23" s="438"/>
      <c r="D23" s="324"/>
      <c r="E23" s="358"/>
      <c r="F23" s="438"/>
      <c r="G23" s="441"/>
      <c r="H23" s="504"/>
      <c r="I23" s="504"/>
      <c r="J23" s="504"/>
      <c r="K23" s="438"/>
      <c r="L23" s="505"/>
      <c r="M23" s="438"/>
      <c r="N23" s="341"/>
      <c r="O23" s="728"/>
    </row>
    <row r="24" spans="1:15" s="299" customFormat="1" ht="14.25" customHeight="1">
      <c r="A24" s="513"/>
      <c r="B24" s="342"/>
      <c r="C24" s="438"/>
      <c r="D24" s="324"/>
      <c r="E24" s="358"/>
      <c r="F24" s="438"/>
      <c r="G24" s="441"/>
      <c r="H24" s="504"/>
      <c r="I24" s="504"/>
      <c r="J24" s="504"/>
      <c r="K24" s="438"/>
      <c r="L24" s="505"/>
      <c r="M24" s="438"/>
      <c r="N24" s="341"/>
      <c r="O24" s="728"/>
    </row>
    <row r="25" spans="1:15" s="299" customFormat="1" ht="14.25" customHeight="1">
      <c r="A25" s="513"/>
      <c r="B25" s="342"/>
      <c r="C25" s="438"/>
      <c r="D25" s="350"/>
      <c r="E25" s="350"/>
      <c r="F25" s="350"/>
      <c r="G25" s="350"/>
      <c r="H25" s="352"/>
      <c r="I25" s="352"/>
      <c r="J25" s="352"/>
      <c r="K25" s="352"/>
      <c r="L25" s="409"/>
      <c r="M25" s="770"/>
      <c r="N25" s="352"/>
      <c r="O25" s="765"/>
    </row>
    <row r="26" spans="1:15" s="299" customFormat="1" ht="14.25" customHeight="1">
      <c r="A26" s="513"/>
      <c r="B26" s="342"/>
      <c r="C26" s="438"/>
      <c r="D26" s="350"/>
      <c r="E26" s="350"/>
      <c r="F26" s="350"/>
      <c r="G26" s="350"/>
      <c r="H26" s="352"/>
      <c r="I26" s="352"/>
      <c r="J26" s="352"/>
      <c r="K26" s="352"/>
      <c r="L26" s="409"/>
      <c r="M26" s="770"/>
      <c r="N26" s="352"/>
      <c r="O26" s="355"/>
    </row>
    <row r="27" spans="1:15" s="299" customFormat="1" ht="22.5" customHeight="1">
      <c r="A27" s="874"/>
      <c r="B27" s="302"/>
      <c r="C27" s="896"/>
      <c r="D27" s="1179"/>
      <c r="E27" s="1180"/>
      <c r="F27" s="1179"/>
      <c r="G27" s="1181"/>
      <c r="H27" s="1182"/>
      <c r="I27" s="1182"/>
      <c r="J27" s="1182"/>
      <c r="K27" s="1179"/>
      <c r="L27" s="2578">
        <f>SUM(L5:L26)</f>
        <v>60000</v>
      </c>
      <c r="M27" s="1179"/>
      <c r="N27" s="1183"/>
      <c r="O27" s="342"/>
    </row>
    <row r="28" spans="1:15" ht="14.25" customHeight="1">
      <c r="A28" s="125"/>
      <c r="B28" s="63"/>
      <c r="C28" s="58"/>
      <c r="D28" s="96"/>
      <c r="E28" s="97"/>
      <c r="F28" s="58"/>
      <c r="G28" s="59"/>
      <c r="H28" s="60"/>
      <c r="I28" s="60"/>
      <c r="J28" s="60"/>
      <c r="K28" s="58"/>
      <c r="L28" s="64"/>
      <c r="M28" s="58"/>
      <c r="N28" s="19"/>
      <c r="O28" s="62"/>
    </row>
    <row r="29" spans="1:15" ht="14.25" customHeight="1">
      <c r="A29" s="125"/>
      <c r="B29" s="63"/>
      <c r="C29" s="58"/>
      <c r="D29" s="79"/>
      <c r="E29" s="81"/>
      <c r="F29" s="58"/>
      <c r="G29" s="59"/>
      <c r="H29" s="60"/>
      <c r="I29" s="60"/>
      <c r="J29" s="60"/>
      <c r="K29" s="58"/>
      <c r="L29" s="64"/>
      <c r="M29" s="58"/>
      <c r="N29" s="19"/>
      <c r="O29" s="62"/>
    </row>
    <row r="30" spans="1:15">
      <c r="A30" s="125"/>
      <c r="B30" s="63"/>
      <c r="C30" s="58"/>
      <c r="D30" s="79"/>
      <c r="E30" s="81"/>
      <c r="F30" s="58"/>
      <c r="G30" s="59"/>
      <c r="H30" s="60"/>
      <c r="I30" s="60"/>
      <c r="J30" s="60"/>
      <c r="K30" s="58"/>
      <c r="L30" s="64"/>
      <c r="M30" s="58"/>
      <c r="N30" s="19"/>
      <c r="O30" s="62"/>
    </row>
    <row r="31" spans="1:15">
      <c r="A31" s="125"/>
      <c r="B31" s="63"/>
      <c r="C31" s="58"/>
      <c r="D31" s="78"/>
      <c r="E31" s="79"/>
      <c r="F31" s="58"/>
      <c r="G31" s="59"/>
      <c r="H31" s="60"/>
      <c r="I31" s="60"/>
      <c r="J31" s="60"/>
      <c r="K31" s="58"/>
      <c r="L31" s="64"/>
      <c r="M31" s="58"/>
      <c r="N31" s="19"/>
      <c r="O31" s="62"/>
    </row>
    <row r="32" spans="1:15">
      <c r="C32" s="58"/>
      <c r="D32" s="90"/>
      <c r="E32" s="94"/>
      <c r="F32" s="90"/>
      <c r="G32" s="91"/>
      <c r="H32" s="91"/>
      <c r="I32" s="91"/>
      <c r="J32" s="91"/>
      <c r="K32" s="92"/>
      <c r="L32" s="101"/>
      <c r="M32" s="91"/>
      <c r="N32" s="19"/>
      <c r="O32" s="91"/>
    </row>
    <row r="33" spans="1:15">
      <c r="A33" s="125"/>
      <c r="B33" s="63"/>
      <c r="C33" s="86"/>
      <c r="D33" s="87"/>
      <c r="E33" s="95"/>
      <c r="F33" s="87"/>
      <c r="G33" s="88"/>
      <c r="H33" s="89"/>
      <c r="I33" s="89"/>
      <c r="J33" s="89"/>
      <c r="K33" s="87"/>
      <c r="L33" s="98"/>
      <c r="M33" s="87"/>
      <c r="N33" s="19"/>
      <c r="O33" s="77"/>
    </row>
    <row r="34" spans="1:15">
      <c r="A34" s="125"/>
      <c r="B34" s="63"/>
      <c r="C34" s="58"/>
      <c r="D34" s="96"/>
      <c r="E34" s="96"/>
      <c r="F34" s="58"/>
      <c r="G34" s="59"/>
      <c r="H34" s="60"/>
      <c r="I34" s="60"/>
      <c r="J34" s="60"/>
      <c r="K34" s="58"/>
      <c r="L34" s="64"/>
      <c r="M34" s="58"/>
      <c r="N34" s="19"/>
      <c r="O34" s="62"/>
    </row>
    <row r="35" spans="1:15">
      <c r="A35" s="125"/>
      <c r="B35" s="63"/>
      <c r="C35" s="58"/>
      <c r="D35" s="78"/>
      <c r="E35" s="79"/>
      <c r="F35" s="80"/>
      <c r="G35" s="58"/>
      <c r="H35" s="59"/>
      <c r="I35" s="60"/>
      <c r="J35" s="60"/>
      <c r="K35" s="60"/>
      <c r="L35" s="100"/>
      <c r="M35" s="61"/>
      <c r="N35" s="58"/>
      <c r="O35" s="62"/>
    </row>
    <row r="36" spans="1:15">
      <c r="A36" s="125"/>
      <c r="B36" s="63"/>
      <c r="C36" s="58"/>
      <c r="D36" s="78"/>
      <c r="E36" s="79"/>
      <c r="F36" s="80"/>
      <c r="G36" s="58"/>
      <c r="H36" s="59"/>
      <c r="I36" s="60"/>
      <c r="J36" s="60"/>
      <c r="K36" s="60"/>
      <c r="L36" s="100"/>
      <c r="M36" s="61"/>
      <c r="N36" s="58"/>
      <c r="O36" s="62"/>
    </row>
    <row r="37" spans="1:15">
      <c r="A37" s="125"/>
      <c r="B37" s="63"/>
      <c r="C37" s="58"/>
      <c r="D37" s="78"/>
      <c r="E37" s="79"/>
      <c r="F37" s="80"/>
      <c r="G37" s="58"/>
      <c r="H37" s="59"/>
      <c r="I37" s="60"/>
      <c r="J37" s="60"/>
      <c r="K37" s="60"/>
      <c r="L37" s="100"/>
      <c r="M37" s="61"/>
      <c r="N37" s="58"/>
      <c r="O37" s="62"/>
    </row>
    <row r="38" spans="1:15">
      <c r="A38" s="125"/>
      <c r="B38" s="63"/>
      <c r="C38" s="58"/>
      <c r="D38" s="90"/>
      <c r="E38" s="94"/>
      <c r="F38" s="90"/>
      <c r="G38" s="90"/>
      <c r="H38" s="91"/>
      <c r="I38" s="91"/>
      <c r="J38" s="91"/>
      <c r="K38" s="91"/>
      <c r="L38" s="101"/>
      <c r="M38" s="93"/>
      <c r="N38" s="91"/>
      <c r="O38" s="124"/>
    </row>
    <row r="39" spans="1:15">
      <c r="A39" s="125"/>
      <c r="B39" s="63"/>
      <c r="C39" s="86"/>
      <c r="D39" s="87"/>
      <c r="E39" s="95"/>
      <c r="F39" s="87"/>
      <c r="G39" s="88"/>
      <c r="H39" s="89"/>
      <c r="I39" s="89"/>
      <c r="J39" s="89"/>
      <c r="K39" s="87"/>
      <c r="L39" s="98"/>
      <c r="M39" s="87"/>
      <c r="N39" s="19"/>
      <c r="O39" s="77"/>
    </row>
    <row r="40" spans="1:15">
      <c r="A40" s="125"/>
      <c r="B40" s="63"/>
      <c r="C40" s="58"/>
      <c r="D40" s="138"/>
      <c r="E40" s="96"/>
      <c r="F40" s="58"/>
      <c r="G40" s="59"/>
      <c r="H40" s="60"/>
      <c r="I40" s="60"/>
      <c r="J40" s="60"/>
      <c r="K40" s="58"/>
      <c r="L40" s="64"/>
      <c r="M40" s="58"/>
      <c r="N40" s="19"/>
      <c r="O40" s="62"/>
    </row>
    <row r="41" spans="1:15">
      <c r="A41" s="125"/>
      <c r="B41" s="63"/>
      <c r="C41" s="58"/>
      <c r="D41" s="79"/>
      <c r="E41" s="79"/>
      <c r="F41" s="58"/>
      <c r="G41" s="59"/>
      <c r="H41" s="60"/>
      <c r="I41" s="60"/>
      <c r="J41" s="60"/>
      <c r="K41" s="58"/>
      <c r="L41" s="64"/>
      <c r="M41" s="58"/>
      <c r="N41" s="19"/>
      <c r="O41" s="62"/>
    </row>
    <row r="42" spans="1:15">
      <c r="A42" s="125"/>
      <c r="B42" s="63"/>
      <c r="C42" s="58"/>
      <c r="D42" s="78"/>
      <c r="E42" s="79"/>
      <c r="F42" s="80"/>
      <c r="G42" s="58"/>
      <c r="H42" s="59"/>
      <c r="I42" s="60"/>
      <c r="J42" s="60"/>
      <c r="K42" s="60"/>
      <c r="L42" s="100"/>
      <c r="M42" s="61"/>
      <c r="N42" s="58"/>
      <c r="O42" s="62"/>
    </row>
    <row r="43" spans="1:15">
      <c r="A43" s="125"/>
      <c r="B43" s="63"/>
      <c r="C43" s="58"/>
      <c r="D43" s="78"/>
      <c r="E43" s="79"/>
      <c r="F43" s="80"/>
      <c r="G43" s="58"/>
      <c r="H43" s="59"/>
      <c r="I43" s="60"/>
      <c r="J43" s="60"/>
      <c r="K43" s="60"/>
      <c r="L43" s="100"/>
      <c r="M43" s="61"/>
      <c r="N43" s="58"/>
      <c r="O43" s="62"/>
    </row>
    <row r="44" spans="1:15">
      <c r="C44" s="58"/>
      <c r="D44" s="90"/>
      <c r="E44" s="94"/>
      <c r="F44" s="90"/>
      <c r="G44" s="90"/>
      <c r="H44" s="91"/>
      <c r="I44" s="91"/>
      <c r="J44" s="91"/>
      <c r="K44" s="91"/>
      <c r="L44" s="101"/>
      <c r="M44" s="93"/>
      <c r="N44" s="91"/>
      <c r="O44" s="124"/>
    </row>
    <row r="45" spans="1:15">
      <c r="C45" s="58"/>
      <c r="D45" s="90"/>
      <c r="E45" s="94"/>
      <c r="F45" s="90"/>
      <c r="G45" s="90"/>
      <c r="H45" s="91"/>
      <c r="I45" s="91"/>
      <c r="J45" s="91"/>
      <c r="K45" s="91"/>
      <c r="L45" s="101"/>
      <c r="M45" s="93"/>
      <c r="N45" s="91"/>
      <c r="O45" s="124"/>
    </row>
    <row r="46" spans="1:15">
      <c r="A46" s="125"/>
      <c r="B46" s="63"/>
      <c r="C46" s="86"/>
      <c r="D46" s="87"/>
      <c r="E46" s="86"/>
      <c r="F46" s="87"/>
      <c r="G46" s="88"/>
      <c r="H46" s="89"/>
      <c r="I46" s="89"/>
      <c r="J46" s="89"/>
      <c r="K46" s="87"/>
      <c r="L46" s="98"/>
      <c r="M46" s="87"/>
      <c r="N46" s="77"/>
    </row>
    <row r="47" spans="1:15">
      <c r="A47" s="125"/>
      <c r="B47" s="63"/>
      <c r="C47" s="58"/>
      <c r="D47" s="139"/>
      <c r="E47" s="19"/>
      <c r="F47" s="58"/>
      <c r="G47" s="59"/>
      <c r="H47" s="60"/>
      <c r="I47" s="60"/>
      <c r="J47" s="60"/>
      <c r="K47" s="58"/>
      <c r="L47" s="64"/>
      <c r="M47" s="58"/>
      <c r="N47" s="62"/>
    </row>
    <row r="48" spans="1:15">
      <c r="A48" s="125"/>
      <c r="B48" s="63"/>
      <c r="C48" s="58"/>
      <c r="D48" s="81"/>
      <c r="E48" s="19"/>
      <c r="F48" s="81"/>
      <c r="G48" s="58"/>
      <c r="H48" s="59"/>
      <c r="I48" s="60"/>
      <c r="J48" s="60"/>
      <c r="K48" s="60"/>
      <c r="L48" s="100"/>
      <c r="M48" s="61"/>
      <c r="N48" s="58"/>
      <c r="O48" s="62"/>
    </row>
    <row r="49" spans="1:15">
      <c r="A49" s="125"/>
      <c r="B49" s="63"/>
      <c r="C49" s="58"/>
      <c r="D49" s="78"/>
      <c r="E49" s="81"/>
      <c r="F49" s="81"/>
      <c r="G49" s="58"/>
      <c r="H49" s="59"/>
      <c r="I49" s="60"/>
      <c r="J49" s="60"/>
      <c r="K49" s="60"/>
      <c r="L49" s="100"/>
      <c r="M49" s="61"/>
      <c r="N49" s="58"/>
      <c r="O49" s="62"/>
    </row>
    <row r="50" spans="1:15">
      <c r="A50" s="125"/>
      <c r="B50" s="63"/>
      <c r="C50" s="58"/>
      <c r="D50" s="78"/>
      <c r="E50" s="81"/>
      <c r="F50" s="81"/>
      <c r="G50" s="58"/>
      <c r="H50" s="59"/>
      <c r="I50" s="60"/>
      <c r="J50" s="60"/>
      <c r="K50" s="60"/>
      <c r="L50" s="100"/>
      <c r="M50" s="61"/>
      <c r="N50" s="58"/>
      <c r="O50" s="62"/>
    </row>
    <row r="51" spans="1:15">
      <c r="C51" s="58"/>
      <c r="D51" s="90"/>
      <c r="E51" s="94"/>
      <c r="F51" s="90"/>
      <c r="G51" s="90"/>
      <c r="H51" s="91"/>
      <c r="I51" s="91"/>
      <c r="J51" s="91"/>
      <c r="K51" s="91"/>
      <c r="L51" s="101"/>
      <c r="M51" s="93"/>
      <c r="N51" s="91"/>
      <c r="O51" s="124"/>
    </row>
    <row r="52" spans="1:15">
      <c r="A52" s="58"/>
      <c r="B52" s="63"/>
      <c r="C52" s="86"/>
      <c r="D52" s="87"/>
      <c r="E52" s="95"/>
      <c r="F52" s="87"/>
      <c r="G52" s="88"/>
      <c r="H52" s="89"/>
      <c r="I52" s="89"/>
      <c r="J52" s="89"/>
      <c r="K52" s="87"/>
      <c r="L52" s="98"/>
      <c r="M52" s="87"/>
      <c r="O52" s="77"/>
    </row>
    <row r="53" spans="1:15">
      <c r="A53" s="58"/>
      <c r="B53" s="63"/>
      <c r="C53" s="58"/>
      <c r="D53" s="96"/>
      <c r="E53" s="19"/>
      <c r="F53" s="109"/>
      <c r="G53" s="59"/>
      <c r="H53" s="60"/>
      <c r="I53" s="60"/>
      <c r="J53" s="60"/>
      <c r="K53" s="58"/>
      <c r="L53" s="64"/>
      <c r="M53" s="58"/>
      <c r="O53" s="62"/>
    </row>
    <row r="54" spans="1:15">
      <c r="A54" s="58"/>
      <c r="B54" s="63"/>
      <c r="C54" s="58"/>
      <c r="D54" s="79"/>
      <c r="E54" s="19"/>
      <c r="F54" s="109"/>
      <c r="G54" s="59"/>
      <c r="H54" s="60"/>
      <c r="I54" s="60"/>
      <c r="J54" s="60"/>
      <c r="K54" s="58"/>
      <c r="L54" s="64"/>
      <c r="M54" s="58"/>
      <c r="O54" s="62"/>
    </row>
    <row r="55" spans="1:15">
      <c r="A55" s="58"/>
      <c r="B55" s="63"/>
      <c r="C55" s="58"/>
      <c r="D55" s="79"/>
      <c r="E55" s="19"/>
      <c r="F55" s="80"/>
      <c r="G55" s="58"/>
      <c r="H55" s="59"/>
      <c r="I55" s="60"/>
      <c r="J55" s="60"/>
      <c r="K55" s="60"/>
      <c r="L55" s="100"/>
      <c r="M55" s="61"/>
      <c r="N55" s="58"/>
      <c r="O55" s="62"/>
    </row>
    <row r="56" spans="1:15">
      <c r="A56" s="58"/>
      <c r="B56" s="63"/>
      <c r="C56" s="58"/>
      <c r="D56" s="78"/>
      <c r="E56" s="79"/>
      <c r="F56" s="81"/>
      <c r="G56" s="58"/>
      <c r="H56" s="59"/>
      <c r="I56" s="60"/>
      <c r="J56" s="60"/>
      <c r="K56" s="60"/>
      <c r="L56" s="100"/>
      <c r="M56" s="61"/>
      <c r="N56" s="58"/>
      <c r="O56" s="62"/>
    </row>
    <row r="57" spans="1:15">
      <c r="D57" s="90"/>
      <c r="E57" s="94"/>
      <c r="F57" s="90"/>
      <c r="G57" s="90"/>
      <c r="H57" s="91"/>
      <c r="I57" s="91"/>
      <c r="J57" s="91"/>
      <c r="K57" s="91"/>
      <c r="L57" s="101"/>
      <c r="M57" s="93"/>
      <c r="N57" s="91"/>
      <c r="O57" s="91"/>
    </row>
    <row r="58" spans="1:15">
      <c r="C58" s="58"/>
      <c r="D58" s="90"/>
      <c r="E58" s="94"/>
      <c r="F58" s="90"/>
      <c r="G58" s="90"/>
      <c r="H58" s="91"/>
      <c r="I58" s="91"/>
      <c r="J58" s="91"/>
      <c r="K58" s="91"/>
      <c r="L58" s="101"/>
      <c r="M58" s="93"/>
      <c r="N58" s="91"/>
      <c r="O58" s="124"/>
    </row>
    <row r="59" spans="1:15">
      <c r="C59" s="58"/>
      <c r="D59" s="90"/>
      <c r="E59" s="94"/>
      <c r="F59" s="90"/>
      <c r="G59" s="90"/>
      <c r="H59" s="91"/>
      <c r="I59" s="91"/>
      <c r="J59" s="91"/>
      <c r="K59" s="91"/>
      <c r="L59" s="101"/>
      <c r="M59" s="93"/>
      <c r="N59" s="91"/>
      <c r="O59" s="124"/>
    </row>
    <row r="60" spans="1:15">
      <c r="C60" s="58"/>
      <c r="D60" s="90"/>
      <c r="E60" s="94"/>
      <c r="F60" s="90"/>
      <c r="G60" s="90"/>
      <c r="H60" s="91"/>
      <c r="I60" s="91"/>
      <c r="J60" s="91"/>
      <c r="K60" s="91"/>
      <c r="L60" s="101"/>
      <c r="M60" s="93"/>
      <c r="N60" s="91"/>
      <c r="O60" s="124"/>
    </row>
    <row r="61" spans="1:15">
      <c r="C61" s="58"/>
      <c r="D61" s="90"/>
      <c r="E61" s="94"/>
      <c r="F61" s="90"/>
      <c r="G61" s="90"/>
      <c r="H61" s="91"/>
      <c r="I61" s="91"/>
      <c r="J61" s="91"/>
      <c r="K61" s="91"/>
      <c r="L61" s="101"/>
      <c r="M61" s="93"/>
      <c r="N61" s="91"/>
      <c r="O61" s="124"/>
    </row>
    <row r="62" spans="1:15">
      <c r="C62" s="58"/>
      <c r="D62" s="90"/>
      <c r="E62" s="94"/>
      <c r="F62" s="90"/>
      <c r="G62" s="90"/>
      <c r="H62" s="91"/>
      <c r="I62" s="91"/>
      <c r="J62" s="91"/>
      <c r="K62" s="91"/>
      <c r="L62" s="101"/>
      <c r="M62" s="93"/>
      <c r="N62" s="91"/>
      <c r="O62" s="124"/>
    </row>
    <row r="63" spans="1:15">
      <c r="C63" s="58"/>
      <c r="D63" s="90"/>
      <c r="E63" s="94"/>
      <c r="F63" s="90"/>
      <c r="G63" s="90"/>
      <c r="H63" s="91"/>
      <c r="I63" s="91"/>
      <c r="J63" s="91"/>
      <c r="K63" s="91"/>
      <c r="L63" s="101"/>
      <c r="M63" s="93"/>
      <c r="N63" s="91"/>
      <c r="O63" s="124"/>
    </row>
    <row r="64" spans="1:15">
      <c r="C64" s="58"/>
      <c r="D64" s="90"/>
      <c r="E64" s="94"/>
      <c r="F64" s="90"/>
      <c r="G64" s="90"/>
      <c r="H64" s="91"/>
      <c r="I64" s="91"/>
      <c r="J64" s="91"/>
      <c r="K64" s="91"/>
      <c r="L64" s="216">
        <f>SUM(L6:L63)</f>
        <v>120000</v>
      </c>
      <c r="M64" s="93"/>
      <c r="N64" s="91"/>
      <c r="O64" s="124"/>
    </row>
    <row r="65" spans="3:15">
      <c r="C65" s="58"/>
      <c r="D65" s="90"/>
      <c r="E65" s="94"/>
      <c r="F65" s="90"/>
      <c r="G65" s="90"/>
      <c r="H65" s="91"/>
      <c r="I65" s="91"/>
      <c r="J65" s="91"/>
      <c r="K65" s="91"/>
      <c r="L65" s="101"/>
      <c r="M65" s="93"/>
      <c r="N65" s="91"/>
      <c r="O65" s="124"/>
    </row>
    <row r="66" spans="3:15">
      <c r="C66" s="58"/>
      <c r="D66" s="90"/>
      <c r="E66" s="94"/>
      <c r="F66" s="90"/>
      <c r="G66" s="90"/>
      <c r="H66" s="91"/>
      <c r="I66" s="91"/>
      <c r="J66" s="91"/>
      <c r="K66" s="91"/>
      <c r="L66" s="101"/>
      <c r="M66" s="93"/>
      <c r="N66" s="91"/>
      <c r="O66" s="124"/>
    </row>
    <row r="67" spans="3:15">
      <c r="C67" s="8"/>
      <c r="D67" s="8"/>
      <c r="E67" s="7"/>
      <c r="F67" s="6"/>
      <c r="G67" s="6"/>
      <c r="H67" s="5"/>
      <c r="I67" s="5"/>
      <c r="J67" s="5"/>
      <c r="K67" s="6"/>
      <c r="L67" s="178"/>
      <c r="M67" s="6"/>
      <c r="N67" s="2"/>
    </row>
    <row r="68" spans="3:15">
      <c r="C68" s="8"/>
      <c r="D68" s="8"/>
      <c r="E68" s="7"/>
      <c r="F68" s="6"/>
      <c r="G68" s="6"/>
      <c r="H68" s="5"/>
      <c r="I68" s="5"/>
      <c r="J68" s="5"/>
      <c r="K68" s="6"/>
      <c r="L68" s="178"/>
      <c r="M68" s="6"/>
      <c r="N68" s="2"/>
    </row>
    <row r="69" spans="3:15">
      <c r="C69" s="8"/>
      <c r="D69" s="8"/>
      <c r="E69" s="7"/>
      <c r="F69" s="6"/>
      <c r="G69" s="6"/>
      <c r="H69" s="5"/>
      <c r="I69" s="5"/>
      <c r="J69" s="5"/>
      <c r="K69" s="6"/>
      <c r="L69" s="178"/>
      <c r="M69" s="6"/>
      <c r="N69" s="2"/>
    </row>
    <row r="70" spans="3:15">
      <c r="C70" s="8"/>
      <c r="D70" s="8"/>
      <c r="E70" s="7"/>
      <c r="F70" s="6"/>
      <c r="G70" s="6"/>
      <c r="H70" s="5"/>
      <c r="I70" s="5"/>
      <c r="J70" s="5"/>
      <c r="K70" s="6"/>
      <c r="L70" s="178"/>
      <c r="M70" s="6"/>
      <c r="N70" s="2"/>
    </row>
    <row r="71" spans="3:15">
      <c r="C71" s="8"/>
      <c r="D71" s="8"/>
      <c r="E71" s="7"/>
      <c r="F71" s="6"/>
      <c r="G71" s="6"/>
      <c r="H71" s="5"/>
      <c r="I71" s="5"/>
      <c r="J71" s="5"/>
      <c r="K71" s="6"/>
      <c r="L71" s="178"/>
      <c r="M71" s="6"/>
      <c r="N71" s="2"/>
    </row>
    <row r="72" spans="3:15">
      <c r="C72" s="8"/>
      <c r="D72" s="8"/>
      <c r="E72" s="7"/>
      <c r="F72" s="6"/>
      <c r="G72" s="6"/>
      <c r="H72" s="5"/>
      <c r="I72" s="5"/>
      <c r="J72" s="5"/>
      <c r="K72" s="6"/>
      <c r="L72" s="178"/>
      <c r="M72" s="6"/>
      <c r="N72" s="2"/>
    </row>
    <row r="73" spans="3:15">
      <c r="C73" s="8"/>
      <c r="D73" s="8"/>
      <c r="E73" s="7"/>
      <c r="F73" s="6"/>
      <c r="G73" s="6"/>
      <c r="H73" s="5"/>
      <c r="I73" s="5"/>
      <c r="J73" s="5"/>
      <c r="K73" s="6"/>
      <c r="L73" s="178"/>
      <c r="M73" s="6"/>
      <c r="N73" s="2"/>
    </row>
    <row r="74" spans="3:15">
      <c r="C74" s="8"/>
      <c r="D74" s="8"/>
      <c r="E74" s="7"/>
      <c r="F74" s="6"/>
      <c r="G74" s="6"/>
      <c r="H74" s="5"/>
      <c r="I74" s="5"/>
      <c r="J74" s="5"/>
      <c r="K74" s="6"/>
      <c r="L74" s="108"/>
      <c r="M74" s="6"/>
      <c r="N74" s="2"/>
    </row>
    <row r="75" spans="3:15">
      <c r="C75" s="8"/>
      <c r="D75" s="8"/>
      <c r="E75" s="7"/>
      <c r="F75" s="6"/>
      <c r="G75" s="6"/>
      <c r="H75" s="5"/>
      <c r="I75" s="5"/>
      <c r="J75" s="5"/>
      <c r="K75" s="6"/>
      <c r="L75" s="178"/>
      <c r="M75" s="6"/>
      <c r="N75" s="2"/>
    </row>
    <row r="76" spans="3:15">
      <c r="C76" s="8"/>
      <c r="D76" s="8"/>
      <c r="E76" s="7"/>
      <c r="F76" s="6"/>
      <c r="G76" s="6"/>
      <c r="H76" s="5"/>
      <c r="I76" s="5"/>
      <c r="J76" s="5"/>
      <c r="K76" s="6"/>
      <c r="L76" s="178"/>
      <c r="M76" s="6"/>
      <c r="N76" s="2"/>
    </row>
    <row r="77" spans="3:15">
      <c r="C77" s="8"/>
      <c r="D77" s="8"/>
      <c r="E77" s="7"/>
      <c r="F77" s="6"/>
      <c r="G77" s="6"/>
      <c r="H77" s="5"/>
      <c r="I77" s="5"/>
      <c r="J77" s="5"/>
      <c r="K77" s="6"/>
      <c r="L77" s="178"/>
      <c r="M77" s="6"/>
      <c r="N77" s="2"/>
    </row>
    <row r="78" spans="3:15">
      <c r="C78" s="8"/>
      <c r="D78" s="8"/>
      <c r="E78" s="7"/>
      <c r="F78" s="6"/>
      <c r="G78" s="6"/>
      <c r="H78" s="5"/>
      <c r="I78" s="5"/>
      <c r="J78" s="5"/>
      <c r="K78" s="6"/>
      <c r="L78" s="178"/>
      <c r="M78" s="6"/>
      <c r="N78" s="2"/>
    </row>
    <row r="79" spans="3:15">
      <c r="C79" s="8"/>
      <c r="D79" s="8"/>
      <c r="E79" s="7"/>
      <c r="F79" s="6"/>
      <c r="G79" s="6"/>
      <c r="H79" s="5"/>
      <c r="I79" s="5"/>
      <c r="J79" s="5"/>
      <c r="K79" s="6"/>
      <c r="L79" s="178"/>
      <c r="M79" s="6"/>
      <c r="N79" s="2"/>
    </row>
    <row r="80" spans="3:15" ht="14.25" customHeight="1">
      <c r="C80" s="8"/>
      <c r="D80" s="8"/>
      <c r="E80" s="7"/>
      <c r="F80" s="6"/>
      <c r="G80" s="6"/>
      <c r="H80" s="5"/>
      <c r="I80" s="5"/>
      <c r="J80" s="5"/>
      <c r="K80" s="6"/>
      <c r="L80" s="178"/>
      <c r="M80" s="6"/>
      <c r="N80" s="2"/>
    </row>
    <row r="81" spans="3:14" ht="14.25" customHeight="1">
      <c r="C81" s="8"/>
      <c r="D81" s="8"/>
      <c r="E81" s="7"/>
      <c r="F81" s="6"/>
      <c r="G81" s="6"/>
      <c r="H81" s="5"/>
      <c r="I81" s="5"/>
      <c r="J81" s="5"/>
      <c r="K81" s="6"/>
      <c r="L81" s="178"/>
      <c r="M81" s="6"/>
      <c r="N81" s="2"/>
    </row>
    <row r="82" spans="3:14" ht="14.25" customHeight="1">
      <c r="C82" s="8"/>
      <c r="D82" s="8"/>
      <c r="E82" s="7"/>
      <c r="F82" s="6"/>
      <c r="G82" s="6"/>
      <c r="H82" s="5"/>
      <c r="I82" s="5"/>
      <c r="J82" s="5"/>
      <c r="K82" s="6"/>
      <c r="L82" s="178"/>
      <c r="M82" s="6"/>
      <c r="N82" s="2"/>
    </row>
    <row r="83" spans="3:14" ht="14.25" customHeight="1">
      <c r="C83" s="8"/>
      <c r="D83" s="8"/>
      <c r="E83" s="7"/>
      <c r="F83" s="6"/>
      <c r="G83" s="6"/>
      <c r="H83" s="5"/>
      <c r="I83" s="5"/>
      <c r="J83" s="5"/>
      <c r="K83" s="6"/>
      <c r="L83" s="178"/>
      <c r="M83" s="6"/>
      <c r="N83" s="2"/>
    </row>
    <row r="84" spans="3:14" ht="14.25" customHeight="1">
      <c r="C84" s="8"/>
      <c r="D84" s="8"/>
      <c r="E84" s="7"/>
      <c r="F84" s="6"/>
      <c r="G84" s="6"/>
      <c r="H84" s="5"/>
      <c r="I84" s="5"/>
      <c r="J84" s="5"/>
      <c r="K84" s="6"/>
      <c r="L84" s="178"/>
      <c r="M84" s="6"/>
      <c r="N84" s="2"/>
    </row>
    <row r="85" spans="3:14" ht="14.25" customHeight="1">
      <c r="C85" s="8"/>
      <c r="D85" s="8"/>
      <c r="E85" s="7"/>
      <c r="F85" s="6"/>
      <c r="G85" s="6"/>
      <c r="H85" s="5"/>
      <c r="I85" s="5"/>
      <c r="J85" s="5"/>
      <c r="K85" s="6"/>
      <c r="L85" s="178"/>
      <c r="M85" s="6"/>
      <c r="N85" s="2"/>
    </row>
    <row r="86" spans="3:14" ht="14.25" customHeight="1">
      <c r="C86" s="8"/>
      <c r="D86" s="8"/>
      <c r="E86" s="7"/>
      <c r="F86" s="6"/>
      <c r="G86" s="6"/>
      <c r="H86" s="5"/>
      <c r="I86" s="5"/>
      <c r="J86" s="5"/>
      <c r="K86" s="6"/>
      <c r="L86" s="178"/>
      <c r="M86" s="6"/>
      <c r="N86" s="2"/>
    </row>
    <row r="87" spans="3:14" ht="14.25" customHeight="1">
      <c r="C87" s="8"/>
      <c r="D87" s="8"/>
      <c r="E87" s="7"/>
      <c r="F87" s="6"/>
      <c r="G87" s="6"/>
      <c r="H87" s="5"/>
      <c r="I87" s="5"/>
      <c r="J87" s="5"/>
      <c r="K87" s="6"/>
      <c r="L87" s="178"/>
      <c r="M87" s="6"/>
      <c r="N87" s="2"/>
    </row>
    <row r="88" spans="3:14" ht="14.25" customHeight="1">
      <c r="C88" s="8"/>
      <c r="D88" s="8"/>
      <c r="E88" s="7"/>
      <c r="F88" s="6"/>
      <c r="G88" s="6"/>
      <c r="H88" s="5"/>
      <c r="I88" s="5"/>
      <c r="J88" s="5"/>
      <c r="K88" s="6"/>
      <c r="L88" s="178"/>
      <c r="M88" s="6"/>
      <c r="N88" s="2"/>
    </row>
    <row r="89" spans="3:14" ht="14.25" customHeight="1">
      <c r="C89" s="8"/>
      <c r="D89" s="8"/>
      <c r="E89" s="7"/>
      <c r="F89" s="6"/>
      <c r="G89" s="6"/>
      <c r="H89" s="5"/>
      <c r="I89" s="5"/>
      <c r="J89" s="5"/>
      <c r="K89" s="6"/>
      <c r="L89" s="178"/>
      <c r="M89" s="6"/>
      <c r="N89" s="2"/>
    </row>
    <row r="90" spans="3:14" ht="14.25" customHeight="1">
      <c r="C90" s="8"/>
      <c r="D90" s="8"/>
      <c r="E90" s="7"/>
      <c r="F90" s="6"/>
      <c r="G90" s="6"/>
      <c r="H90" s="5"/>
      <c r="I90" s="5"/>
      <c r="J90" s="5"/>
      <c r="K90" s="6"/>
      <c r="L90" s="178"/>
      <c r="M90" s="6"/>
      <c r="N90" s="2"/>
    </row>
    <row r="91" spans="3:14" ht="14.25" customHeight="1">
      <c r="C91" s="8"/>
      <c r="D91" s="8"/>
      <c r="E91" s="7"/>
      <c r="F91" s="6"/>
      <c r="G91" s="6"/>
      <c r="H91" s="5"/>
      <c r="I91" s="5"/>
      <c r="J91" s="5"/>
      <c r="K91" s="6"/>
      <c r="L91" s="178"/>
      <c r="M91" s="6"/>
      <c r="N91" s="2"/>
    </row>
    <row r="92" spans="3:14" ht="14.25" customHeight="1">
      <c r="C92" s="8"/>
      <c r="D92" s="8"/>
      <c r="E92" s="7"/>
      <c r="F92" s="6"/>
      <c r="G92" s="6"/>
      <c r="H92" s="5"/>
      <c r="I92" s="5"/>
      <c r="J92" s="5"/>
      <c r="K92" s="6"/>
      <c r="L92" s="178"/>
      <c r="M92" s="6"/>
      <c r="N92" s="2"/>
    </row>
    <row r="93" spans="3:14" ht="14.25" customHeight="1">
      <c r="C93" s="8"/>
      <c r="D93" s="8"/>
      <c r="E93" s="7"/>
      <c r="F93" s="6"/>
      <c r="G93" s="6"/>
      <c r="H93" s="5"/>
      <c r="I93" s="5"/>
      <c r="J93" s="5"/>
      <c r="K93" s="6"/>
      <c r="L93" s="178"/>
      <c r="M93" s="6"/>
      <c r="N93" s="2"/>
    </row>
    <row r="94" spans="3:14" ht="14.25" customHeight="1">
      <c r="C94" s="8"/>
      <c r="D94" s="8"/>
      <c r="E94" s="7"/>
      <c r="F94" s="6"/>
      <c r="G94" s="6"/>
      <c r="H94" s="5"/>
      <c r="I94" s="5"/>
      <c r="J94" s="5"/>
      <c r="K94" s="6"/>
      <c r="L94" s="178"/>
      <c r="M94" s="6"/>
      <c r="N94" s="2"/>
    </row>
    <row r="95" spans="3:14" ht="14.25" customHeight="1">
      <c r="C95" s="8"/>
      <c r="D95" s="8"/>
      <c r="E95" s="7"/>
      <c r="F95" s="6"/>
      <c r="G95" s="6"/>
      <c r="H95" s="5"/>
      <c r="I95" s="5"/>
      <c r="J95" s="5"/>
      <c r="K95" s="6"/>
      <c r="L95" s="178"/>
      <c r="M95" s="3"/>
      <c r="N95" s="2"/>
    </row>
    <row r="96" spans="3:14" ht="14.25" customHeight="1">
      <c r="C96" s="8"/>
      <c r="D96" s="8"/>
      <c r="E96" s="7"/>
      <c r="F96" s="6"/>
      <c r="G96" s="5"/>
      <c r="H96" s="5"/>
      <c r="I96" s="5"/>
      <c r="J96" s="5"/>
      <c r="K96" s="4"/>
      <c r="L96" s="178"/>
      <c r="M96" s="3"/>
      <c r="N96" s="2"/>
    </row>
    <row r="97" spans="3:14" ht="14.25" customHeight="1">
      <c r="C97" s="19"/>
      <c r="D97" s="19"/>
      <c r="E97" s="19"/>
      <c r="F97" s="19"/>
      <c r="G97" s="19"/>
      <c r="H97" s="19"/>
      <c r="I97" s="19"/>
      <c r="J97" s="19"/>
      <c r="K97" s="19"/>
      <c r="L97" s="146"/>
      <c r="M97" s="19"/>
      <c r="N97" s="19"/>
    </row>
    <row r="98" spans="3:14" ht="14.25" customHeight="1">
      <c r="C98" s="31"/>
      <c r="D98" s="27"/>
      <c r="E98" s="20"/>
      <c r="F98" s="28"/>
      <c r="G98" s="28"/>
      <c r="H98" s="26"/>
      <c r="I98" s="26"/>
      <c r="J98" s="26"/>
      <c r="K98" s="28"/>
      <c r="L98" s="179"/>
      <c r="M98" s="28"/>
      <c r="N98" s="27"/>
    </row>
    <row r="99" spans="3:14" s="1" customFormat="1" ht="14.25" customHeight="1">
      <c r="C99" s="31"/>
      <c r="D99" s="27"/>
      <c r="E99" s="21"/>
      <c r="F99" s="28"/>
      <c r="G99" s="28"/>
      <c r="H99" s="26"/>
      <c r="I99" s="26"/>
      <c r="J99" s="26"/>
      <c r="K99" s="28"/>
      <c r="L99" s="179"/>
      <c r="M99" s="28"/>
      <c r="N99" s="27"/>
    </row>
    <row r="100" spans="3:14" s="1" customFormat="1" ht="14.25" customHeight="1">
      <c r="C100" s="30"/>
      <c r="D100" s="25"/>
      <c r="E100" s="21"/>
      <c r="F100" s="22"/>
      <c r="G100" s="22"/>
      <c r="H100" s="23"/>
      <c r="I100" s="23"/>
      <c r="J100" s="23"/>
      <c r="K100" s="22"/>
      <c r="L100" s="180"/>
      <c r="M100" s="22"/>
      <c r="N100" s="25"/>
    </row>
  </sheetData>
  <mergeCells count="7">
    <mergeCell ref="M7:M9"/>
    <mergeCell ref="O7:O9"/>
    <mergeCell ref="C2:G2"/>
    <mergeCell ref="H2:J2"/>
    <mergeCell ref="K2:L2"/>
    <mergeCell ref="M2:M3"/>
    <mergeCell ref="N2:N3"/>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29EF4-A6BB-44D2-8FCD-6A0BD51FEE8F}">
  <sheetPr>
    <tabColor rgb="FF92D050"/>
  </sheetPr>
  <dimension ref="A2:R100"/>
  <sheetViews>
    <sheetView zoomScale="80" zoomScaleNormal="80" workbookViewId="0">
      <pane ySplit="4" topLeftCell="A11" activePane="bottomLeft" state="frozen"/>
      <selection pane="bottomLeft" activeCell="L27" sqref="L27"/>
    </sheetView>
  </sheetViews>
  <sheetFormatPr defaultRowHeight="15"/>
  <cols>
    <col min="3" max="3" width="21.42578125" customWidth="1"/>
    <col min="4" max="4" width="20.5703125"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style="99" customWidth="1"/>
    <col min="13" max="13" width="16.28515625" customWidth="1"/>
    <col min="14" max="14" width="12.85546875" customWidth="1"/>
    <col min="18" max="18" width="73.7109375" bestFit="1" customWidth="1"/>
  </cols>
  <sheetData>
    <row r="2" spans="1:18">
      <c r="C2" s="2627" t="s">
        <v>30</v>
      </c>
      <c r="D2" s="2627"/>
      <c r="E2" s="2627"/>
      <c r="F2" s="2627"/>
      <c r="G2" s="2627"/>
      <c r="H2" s="2628" t="s">
        <v>29</v>
      </c>
      <c r="I2" s="2628"/>
      <c r="J2" s="2628"/>
      <c r="K2" s="2627" t="s">
        <v>28</v>
      </c>
      <c r="L2" s="2627"/>
      <c r="M2" s="2628" t="s">
        <v>27</v>
      </c>
      <c r="N2" s="2628" t="s">
        <v>26</v>
      </c>
    </row>
    <row r="3" spans="1:18" ht="72">
      <c r="C3" s="10" t="s">
        <v>25</v>
      </c>
      <c r="D3" s="13" t="s">
        <v>24</v>
      </c>
      <c r="E3" s="12" t="s">
        <v>23</v>
      </c>
      <c r="F3" s="10" t="s">
        <v>22</v>
      </c>
      <c r="G3" s="11" t="s">
        <v>21</v>
      </c>
      <c r="H3" s="11" t="s">
        <v>20</v>
      </c>
      <c r="I3" s="11" t="s">
        <v>19</v>
      </c>
      <c r="J3" s="11" t="s">
        <v>18</v>
      </c>
      <c r="K3" s="10" t="s">
        <v>17</v>
      </c>
      <c r="L3" s="159" t="s">
        <v>16</v>
      </c>
      <c r="M3" s="2628"/>
      <c r="N3" s="2628"/>
    </row>
    <row r="4" spans="1:18">
      <c r="C4" s="243" t="s">
        <v>15</v>
      </c>
      <c r="D4" s="243" t="s">
        <v>14</v>
      </c>
      <c r="E4" s="243" t="s">
        <v>13</v>
      </c>
      <c r="F4" s="243" t="s">
        <v>12</v>
      </c>
      <c r="G4" s="243" t="s">
        <v>11</v>
      </c>
      <c r="H4" s="243" t="s">
        <v>10</v>
      </c>
      <c r="I4" s="243" t="s">
        <v>9</v>
      </c>
      <c r="J4" s="243" t="s">
        <v>8</v>
      </c>
      <c r="K4" s="243" t="s">
        <v>7</v>
      </c>
      <c r="L4" s="244" t="s">
        <v>6</v>
      </c>
      <c r="M4" s="243" t="s">
        <v>5</v>
      </c>
      <c r="N4" s="243" t="s">
        <v>4</v>
      </c>
    </row>
    <row r="5" spans="1:18" s="299" customFormat="1" ht="51.75">
      <c r="A5" s="1063" t="s">
        <v>743</v>
      </c>
      <c r="B5" s="1041" t="s">
        <v>744</v>
      </c>
      <c r="C5" s="1048" t="s">
        <v>746</v>
      </c>
      <c r="D5" s="1048" t="s">
        <v>747</v>
      </c>
      <c r="E5" s="1042"/>
      <c r="F5" s="1045"/>
      <c r="G5" s="1044" t="s">
        <v>1</v>
      </c>
      <c r="H5" s="1045"/>
      <c r="I5" s="1045"/>
      <c r="J5" s="1045"/>
      <c r="K5" s="1043" t="s">
        <v>748</v>
      </c>
      <c r="L5" s="1046">
        <v>190000</v>
      </c>
      <c r="M5" s="1045"/>
      <c r="N5" s="1047"/>
      <c r="O5" s="1174"/>
      <c r="R5" s="299" t="s">
        <v>751</v>
      </c>
    </row>
    <row r="6" spans="1:18" s="299" customFormat="1" ht="14.25" customHeight="1">
      <c r="A6" s="438"/>
      <c r="B6" s="342"/>
      <c r="C6" s="1049"/>
      <c r="D6" s="1049"/>
      <c r="E6" s="2690"/>
      <c r="F6" s="2690"/>
      <c r="G6" s="1050"/>
      <c r="H6" s="1051"/>
      <c r="I6" s="1052"/>
      <c r="J6" s="1052"/>
      <c r="K6" s="1052"/>
      <c r="L6" s="1050"/>
      <c r="M6" s="1053"/>
      <c r="N6" s="1175"/>
      <c r="O6" s="1176"/>
    </row>
    <row r="7" spans="1:18" s="299" customFormat="1" ht="14.25" customHeight="1">
      <c r="A7" s="438"/>
      <c r="B7" s="342"/>
      <c r="C7" s="1049"/>
      <c r="D7" s="1049"/>
      <c r="E7" s="1049"/>
      <c r="F7" s="1050"/>
      <c r="G7" s="1051"/>
      <c r="H7" s="1052"/>
      <c r="I7" s="1052"/>
      <c r="J7" s="1052"/>
      <c r="K7" s="1050"/>
      <c r="L7" s="1053"/>
      <c r="M7" s="2686"/>
      <c r="N7" s="341"/>
      <c r="O7" s="2687"/>
    </row>
    <row r="8" spans="1:18" s="299" customFormat="1" ht="14.25" customHeight="1">
      <c r="A8" s="438"/>
      <c r="B8" s="342"/>
      <c r="C8" s="1049"/>
      <c r="D8" s="1049"/>
      <c r="E8" s="1049"/>
      <c r="F8" s="1050"/>
      <c r="G8" s="1051"/>
      <c r="H8" s="1052"/>
      <c r="I8" s="1052"/>
      <c r="J8" s="1052"/>
      <c r="K8" s="1050"/>
      <c r="L8" s="1053"/>
      <c r="M8" s="2686"/>
      <c r="N8" s="341"/>
      <c r="O8" s="2688"/>
    </row>
    <row r="9" spans="1:18" s="299" customFormat="1" ht="14.25" customHeight="1">
      <c r="A9" s="438"/>
      <c r="B9" s="342"/>
      <c r="C9" s="1049"/>
      <c r="D9" s="1049"/>
      <c r="E9" s="1049"/>
      <c r="F9" s="1050"/>
      <c r="G9" s="1051"/>
      <c r="H9" s="1052"/>
      <c r="I9" s="1052"/>
      <c r="J9" s="1052"/>
      <c r="K9" s="1050"/>
      <c r="L9" s="1053"/>
      <c r="M9" s="2686"/>
      <c r="N9" s="341"/>
      <c r="O9" s="2689"/>
    </row>
    <row r="10" spans="1:18" s="299" customFormat="1" ht="14.25" customHeight="1">
      <c r="A10" s="438"/>
      <c r="B10" s="342"/>
      <c r="C10" s="438"/>
      <c r="D10" s="451"/>
      <c r="E10" s="420"/>
      <c r="F10" s="420"/>
      <c r="G10" s="437"/>
      <c r="H10" s="441"/>
      <c r="I10" s="442"/>
      <c r="J10" s="442"/>
      <c r="K10" s="439"/>
      <c r="L10" s="519"/>
      <c r="M10" s="443"/>
      <c r="N10" s="440"/>
      <c r="O10" s="617"/>
    </row>
    <row r="11" spans="1:18" s="299" customFormat="1" ht="14.25" customHeight="1">
      <c r="A11" s="871"/>
      <c r="B11" s="342"/>
      <c r="C11" s="341"/>
      <c r="D11" s="434"/>
      <c r="E11" s="592"/>
      <c r="F11" s="592"/>
      <c r="G11" s="437"/>
      <c r="H11" s="441"/>
      <c r="I11" s="442"/>
      <c r="J11" s="442"/>
      <c r="K11" s="439"/>
      <c r="L11" s="519"/>
      <c r="M11" s="443"/>
      <c r="N11" s="440"/>
      <c r="O11" s="617"/>
    </row>
    <row r="12" spans="1:18" s="299" customFormat="1" ht="14.25" customHeight="1">
      <c r="A12" s="871"/>
      <c r="B12" s="342"/>
      <c r="C12" s="350"/>
      <c r="D12" s="350"/>
      <c r="E12" s="350"/>
      <c r="F12" s="350"/>
      <c r="G12" s="350"/>
      <c r="H12" s="352"/>
      <c r="I12" s="352"/>
      <c r="J12" s="352"/>
      <c r="K12" s="352"/>
      <c r="L12" s="409"/>
      <c r="M12" s="770"/>
      <c r="N12" s="352"/>
      <c r="O12" s="731"/>
    </row>
    <row r="13" spans="1:18" s="299" customFormat="1" ht="14.25" customHeight="1">
      <c r="A13" s="871"/>
      <c r="B13" s="342"/>
      <c r="C13" s="1177"/>
      <c r="D13" s="1137"/>
      <c r="E13" s="1138"/>
      <c r="F13" s="1139"/>
      <c r="G13" s="1137"/>
      <c r="H13" s="1140"/>
      <c r="I13" s="1140"/>
      <c r="J13" s="1137"/>
      <c r="K13" s="1137"/>
      <c r="L13" s="1142"/>
      <c r="M13" s="1139"/>
      <c r="N13" s="1137"/>
      <c r="O13" s="765"/>
    </row>
    <row r="14" spans="1:18" s="299" customFormat="1" ht="14.25" customHeight="1">
      <c r="A14" s="871"/>
      <c r="B14" s="342"/>
      <c r="C14" s="1137"/>
      <c r="D14" s="1137"/>
      <c r="E14" s="1138"/>
      <c r="F14" s="1139"/>
      <c r="G14" s="1139"/>
      <c r="H14" s="1140"/>
      <c r="I14" s="1140"/>
      <c r="J14" s="1178"/>
      <c r="K14" s="1139"/>
      <c r="L14" s="1142"/>
      <c r="M14" s="1137"/>
      <c r="N14" s="1143"/>
    </row>
    <row r="15" spans="1:18" s="299" customFormat="1" ht="14.25" customHeight="1">
      <c r="A15" s="871"/>
      <c r="B15" s="342"/>
      <c r="C15" s="1137"/>
      <c r="D15" s="1137"/>
      <c r="E15" s="1138"/>
      <c r="F15" s="1139"/>
      <c r="G15" s="1139"/>
      <c r="H15" s="1140"/>
      <c r="I15" s="1140"/>
      <c r="J15" s="1137"/>
      <c r="K15" s="1141"/>
      <c r="L15" s="1142"/>
      <c r="M15" s="1139"/>
      <c r="N15" s="1143"/>
    </row>
    <row r="16" spans="1:18" s="299" customFormat="1" ht="14.25" customHeight="1">
      <c r="A16" s="871"/>
      <c r="B16" s="342"/>
      <c r="C16" s="1137"/>
      <c r="D16" s="1137"/>
      <c r="E16" s="1138"/>
      <c r="F16" s="1139"/>
      <c r="G16" s="1139"/>
      <c r="H16" s="1137"/>
      <c r="I16" s="1137"/>
      <c r="J16" s="1137"/>
      <c r="K16" s="1137"/>
      <c r="L16" s="1142"/>
      <c r="M16" s="1137"/>
      <c r="N16" s="1143"/>
    </row>
    <row r="17" spans="1:15" s="299" customFormat="1" ht="14.25" customHeight="1">
      <c r="A17" s="513"/>
      <c r="B17" s="342"/>
      <c r="C17" s="513"/>
      <c r="D17" s="324"/>
      <c r="E17" s="872"/>
      <c r="F17" s="513"/>
      <c r="G17" s="514"/>
      <c r="H17" s="515"/>
      <c r="I17" s="515"/>
      <c r="J17" s="515"/>
      <c r="K17" s="513"/>
      <c r="L17" s="516"/>
      <c r="M17" s="513"/>
      <c r="N17" s="329"/>
    </row>
    <row r="18" spans="1:15" s="299" customFormat="1" ht="14.25" customHeight="1">
      <c r="A18" s="513"/>
      <c r="B18" s="342"/>
      <c r="C18" s="513"/>
      <c r="D18" s="330"/>
      <c r="E18" s="873"/>
      <c r="F18" s="873"/>
      <c r="G18" s="513"/>
      <c r="H18" s="514"/>
      <c r="I18" s="515"/>
      <c r="J18" s="515"/>
      <c r="K18" s="515"/>
      <c r="L18" s="864"/>
      <c r="M18" s="517"/>
      <c r="N18" s="513"/>
      <c r="O18" s="1054"/>
    </row>
    <row r="19" spans="1:15" s="299" customFormat="1" ht="14.25" customHeight="1">
      <c r="A19" s="513"/>
      <c r="B19" s="342"/>
      <c r="C19" s="341"/>
      <c r="D19" s="330"/>
      <c r="E19" s="873"/>
      <c r="F19" s="873"/>
      <c r="G19" s="513"/>
      <c r="H19" s="514"/>
      <c r="I19" s="515"/>
      <c r="J19" s="515"/>
      <c r="K19" s="515"/>
      <c r="L19" s="864"/>
      <c r="M19" s="517"/>
      <c r="N19" s="513"/>
      <c r="O19" s="1054"/>
    </row>
    <row r="20" spans="1:15" s="299" customFormat="1" ht="27" customHeight="1">
      <c r="A20" s="513"/>
      <c r="B20" s="342"/>
      <c r="C20" s="531"/>
      <c r="D20" s="532"/>
      <c r="E20" s="531"/>
      <c r="F20" s="532"/>
      <c r="G20" s="533"/>
      <c r="H20" s="619"/>
      <c r="I20" s="619"/>
      <c r="J20" s="619"/>
      <c r="K20" s="532"/>
      <c r="L20" s="620"/>
      <c r="M20" s="532"/>
      <c r="N20" s="341"/>
      <c r="O20" s="1055"/>
    </row>
    <row r="21" spans="1:15" s="299" customFormat="1" ht="14.25" customHeight="1">
      <c r="A21" s="513"/>
      <c r="B21" s="342"/>
      <c r="C21" s="438"/>
      <c r="D21" s="357"/>
      <c r="E21" s="357"/>
      <c r="F21" s="438"/>
      <c r="G21" s="441"/>
      <c r="H21" s="504"/>
      <c r="I21" s="504"/>
      <c r="J21" s="504"/>
      <c r="K21" s="438"/>
      <c r="L21" s="505"/>
      <c r="M21" s="438"/>
      <c r="N21" s="341"/>
      <c r="O21" s="728"/>
    </row>
    <row r="22" spans="1:15" s="299" customFormat="1" ht="14.25" customHeight="1">
      <c r="A22" s="513"/>
      <c r="B22" s="342"/>
      <c r="C22" s="438"/>
      <c r="D22" s="324"/>
      <c r="E22" s="358"/>
      <c r="F22" s="438"/>
      <c r="G22" s="441"/>
      <c r="H22" s="504"/>
      <c r="I22" s="504"/>
      <c r="J22" s="504"/>
      <c r="K22" s="438"/>
      <c r="L22" s="505"/>
      <c r="M22" s="438"/>
      <c r="N22" s="341"/>
      <c r="O22" s="728"/>
    </row>
    <row r="23" spans="1:15" s="299" customFormat="1" ht="14.25" customHeight="1">
      <c r="A23" s="513"/>
      <c r="B23" s="342"/>
      <c r="C23" s="438"/>
      <c r="D23" s="324"/>
      <c r="E23" s="358"/>
      <c r="F23" s="438"/>
      <c r="G23" s="441"/>
      <c r="H23" s="504"/>
      <c r="I23" s="504"/>
      <c r="J23" s="504"/>
      <c r="K23" s="438"/>
      <c r="L23" s="505"/>
      <c r="M23" s="438"/>
      <c r="N23" s="341"/>
      <c r="O23" s="728"/>
    </row>
    <row r="24" spans="1:15" s="299" customFormat="1" ht="14.25" customHeight="1">
      <c r="A24" s="513"/>
      <c r="B24" s="342"/>
      <c r="C24" s="438"/>
      <c r="D24" s="324"/>
      <c r="E24" s="358"/>
      <c r="F24" s="438"/>
      <c r="G24" s="441"/>
      <c r="H24" s="504"/>
      <c r="I24" s="504"/>
      <c r="J24" s="504"/>
      <c r="K24" s="438"/>
      <c r="L24" s="505"/>
      <c r="M24" s="438"/>
      <c r="N24" s="341"/>
      <c r="O24" s="728"/>
    </row>
    <row r="25" spans="1:15" s="299" customFormat="1" ht="14.25" customHeight="1">
      <c r="A25" s="513"/>
      <c r="B25" s="342"/>
      <c r="C25" s="438"/>
      <c r="D25" s="350"/>
      <c r="E25" s="350"/>
      <c r="F25" s="350"/>
      <c r="G25" s="350"/>
      <c r="H25" s="352"/>
      <c r="I25" s="352"/>
      <c r="J25" s="352"/>
      <c r="K25" s="352"/>
      <c r="L25" s="409"/>
      <c r="M25" s="770"/>
      <c r="N25" s="352"/>
      <c r="O25" s="765"/>
    </row>
    <row r="26" spans="1:15" s="299" customFormat="1" ht="14.25" customHeight="1">
      <c r="A26" s="513"/>
      <c r="B26" s="342"/>
      <c r="C26" s="438"/>
      <c r="D26" s="350"/>
      <c r="E26" s="350"/>
      <c r="F26" s="350"/>
      <c r="G26" s="350"/>
      <c r="H26" s="352"/>
      <c r="I26" s="352"/>
      <c r="J26" s="352"/>
      <c r="K26" s="352"/>
      <c r="L26" s="409"/>
      <c r="M26" s="770"/>
      <c r="N26" s="352"/>
      <c r="O26" s="355"/>
    </row>
    <row r="27" spans="1:15" s="299" customFormat="1" ht="22.5" customHeight="1">
      <c r="A27" s="874"/>
      <c r="B27" s="302"/>
      <c r="C27" s="896"/>
      <c r="D27" s="1179"/>
      <c r="E27" s="1180"/>
      <c r="F27" s="1179"/>
      <c r="G27" s="1181"/>
      <c r="H27" s="1182"/>
      <c r="I27" s="1182"/>
      <c r="J27" s="1182"/>
      <c r="K27" s="1179"/>
      <c r="L27" s="2579">
        <f>SUM(L5:L26)</f>
        <v>190000</v>
      </c>
      <c r="M27" s="1179"/>
      <c r="N27" s="1183"/>
      <c r="O27" s="342"/>
    </row>
    <row r="28" spans="1:15" ht="14.25" customHeight="1">
      <c r="A28" s="125"/>
      <c r="B28" s="63"/>
      <c r="C28" s="58"/>
      <c r="D28" s="96"/>
      <c r="E28" s="97"/>
      <c r="F28" s="58"/>
      <c r="G28" s="59"/>
      <c r="H28" s="60"/>
      <c r="I28" s="60"/>
      <c r="J28" s="60"/>
      <c r="K28" s="58"/>
      <c r="L28" s="64"/>
      <c r="M28" s="58"/>
      <c r="N28" s="19"/>
      <c r="O28" s="62"/>
    </row>
    <row r="29" spans="1:15" ht="14.25" customHeight="1">
      <c r="A29" s="125"/>
      <c r="B29" s="63"/>
      <c r="C29" s="58"/>
      <c r="D29" s="79"/>
      <c r="E29" s="81"/>
      <c r="F29" s="58"/>
      <c r="G29" s="59"/>
      <c r="H29" s="60"/>
      <c r="I29" s="60"/>
      <c r="J29" s="60"/>
      <c r="K29" s="58"/>
      <c r="L29" s="64"/>
      <c r="M29" s="58"/>
      <c r="N29" s="19"/>
      <c r="O29" s="62"/>
    </row>
    <row r="30" spans="1:15">
      <c r="A30" s="125"/>
      <c r="B30" s="63"/>
      <c r="C30" s="58"/>
      <c r="D30" s="79"/>
      <c r="E30" s="81"/>
      <c r="F30" s="58"/>
      <c r="G30" s="59"/>
      <c r="H30" s="60"/>
      <c r="I30" s="60"/>
      <c r="J30" s="60"/>
      <c r="K30" s="58"/>
      <c r="L30" s="64"/>
      <c r="M30" s="58"/>
      <c r="N30" s="19"/>
      <c r="O30" s="62"/>
    </row>
    <row r="31" spans="1:15">
      <c r="A31" s="125"/>
      <c r="B31" s="63"/>
      <c r="C31" s="58"/>
      <c r="D31" s="78"/>
      <c r="E31" s="79"/>
      <c r="F31" s="58"/>
      <c r="G31" s="59"/>
      <c r="H31" s="60"/>
      <c r="I31" s="60"/>
      <c r="J31" s="60"/>
      <c r="K31" s="58"/>
      <c r="L31" s="64"/>
      <c r="M31" s="58"/>
      <c r="N31" s="19"/>
      <c r="O31" s="62"/>
    </row>
    <row r="32" spans="1:15">
      <c r="C32" s="58"/>
      <c r="D32" s="90"/>
      <c r="E32" s="94"/>
      <c r="F32" s="90"/>
      <c r="G32" s="91"/>
      <c r="H32" s="91"/>
      <c r="I32" s="91"/>
      <c r="J32" s="91"/>
      <c r="K32" s="92"/>
      <c r="L32" s="101"/>
      <c r="M32" s="91"/>
      <c r="N32" s="19"/>
      <c r="O32" s="91"/>
    </row>
    <row r="33" spans="1:15">
      <c r="A33" s="125"/>
      <c r="B33" s="63"/>
      <c r="C33" s="86"/>
      <c r="D33" s="87"/>
      <c r="E33" s="95"/>
      <c r="F33" s="87"/>
      <c r="G33" s="88"/>
      <c r="H33" s="89"/>
      <c r="I33" s="89"/>
      <c r="J33" s="89"/>
      <c r="K33" s="87"/>
      <c r="L33" s="98"/>
      <c r="M33" s="87"/>
      <c r="N33" s="19"/>
      <c r="O33" s="77"/>
    </row>
    <row r="34" spans="1:15">
      <c r="A34" s="125"/>
      <c r="B34" s="63"/>
      <c r="C34" s="58"/>
      <c r="D34" s="96"/>
      <c r="E34" s="96"/>
      <c r="F34" s="58"/>
      <c r="G34" s="59"/>
      <c r="H34" s="60"/>
      <c r="I34" s="60"/>
      <c r="J34" s="60"/>
      <c r="K34" s="58"/>
      <c r="L34" s="64"/>
      <c r="M34" s="58"/>
      <c r="N34" s="19"/>
      <c r="O34" s="62"/>
    </row>
    <row r="35" spans="1:15">
      <c r="A35" s="125"/>
      <c r="B35" s="63"/>
      <c r="C35" s="58"/>
      <c r="D35" s="78"/>
      <c r="E35" s="79"/>
      <c r="F35" s="80"/>
      <c r="G35" s="58"/>
      <c r="H35" s="59"/>
      <c r="I35" s="60"/>
      <c r="J35" s="60"/>
      <c r="K35" s="60"/>
      <c r="L35" s="100"/>
      <c r="M35" s="61"/>
      <c r="N35" s="58"/>
      <c r="O35" s="62"/>
    </row>
    <row r="36" spans="1:15">
      <c r="A36" s="125"/>
      <c r="B36" s="63"/>
      <c r="C36" s="58"/>
      <c r="D36" s="78"/>
      <c r="E36" s="79"/>
      <c r="F36" s="80"/>
      <c r="G36" s="58"/>
      <c r="H36" s="59"/>
      <c r="I36" s="60"/>
      <c r="J36" s="60"/>
      <c r="K36" s="60"/>
      <c r="L36" s="100"/>
      <c r="M36" s="61"/>
      <c r="N36" s="58"/>
      <c r="O36" s="62"/>
    </row>
    <row r="37" spans="1:15">
      <c r="A37" s="125"/>
      <c r="B37" s="63"/>
      <c r="C37" s="58"/>
      <c r="D37" s="78"/>
      <c r="E37" s="79"/>
      <c r="F37" s="80"/>
      <c r="G37" s="58"/>
      <c r="H37" s="59"/>
      <c r="I37" s="60"/>
      <c r="J37" s="60"/>
      <c r="K37" s="60"/>
      <c r="L37" s="100"/>
      <c r="M37" s="61"/>
      <c r="N37" s="58"/>
      <c r="O37" s="62"/>
    </row>
    <row r="38" spans="1:15">
      <c r="A38" s="125"/>
      <c r="B38" s="63"/>
      <c r="C38" s="58"/>
      <c r="D38" s="90"/>
      <c r="E38" s="94"/>
      <c r="F38" s="90"/>
      <c r="G38" s="90"/>
      <c r="H38" s="91"/>
      <c r="I38" s="91"/>
      <c r="J38" s="91"/>
      <c r="K38" s="91"/>
      <c r="L38" s="101"/>
      <c r="M38" s="93"/>
      <c r="N38" s="91"/>
      <c r="O38" s="124"/>
    </row>
    <row r="39" spans="1:15">
      <c r="A39" s="125"/>
      <c r="B39" s="63"/>
      <c r="C39" s="86"/>
      <c r="D39" s="87"/>
      <c r="E39" s="95"/>
      <c r="F39" s="87"/>
      <c r="G39" s="88"/>
      <c r="H39" s="89"/>
      <c r="I39" s="89"/>
      <c r="J39" s="89"/>
      <c r="K39" s="87"/>
      <c r="L39" s="98"/>
      <c r="M39" s="87"/>
      <c r="N39" s="19"/>
      <c r="O39" s="77"/>
    </row>
    <row r="40" spans="1:15">
      <c r="A40" s="125"/>
      <c r="B40" s="63"/>
      <c r="C40" s="58"/>
      <c r="D40" s="138"/>
      <c r="E40" s="96"/>
      <c r="F40" s="58"/>
      <c r="G40" s="59"/>
      <c r="H40" s="60"/>
      <c r="I40" s="60"/>
      <c r="J40" s="60"/>
      <c r="K40" s="58"/>
      <c r="L40" s="64"/>
      <c r="M40" s="58"/>
      <c r="N40" s="19"/>
      <c r="O40" s="62"/>
    </row>
    <row r="41" spans="1:15">
      <c r="A41" s="125"/>
      <c r="B41" s="63"/>
      <c r="C41" s="58"/>
      <c r="D41" s="79"/>
      <c r="E41" s="79"/>
      <c r="F41" s="58"/>
      <c r="G41" s="59"/>
      <c r="H41" s="60"/>
      <c r="I41" s="60"/>
      <c r="J41" s="60"/>
      <c r="K41" s="58"/>
      <c r="L41" s="64"/>
      <c r="M41" s="58"/>
      <c r="N41" s="19"/>
      <c r="O41" s="62"/>
    </row>
    <row r="42" spans="1:15">
      <c r="A42" s="125"/>
      <c r="B42" s="63"/>
      <c r="C42" s="58"/>
      <c r="D42" s="78"/>
      <c r="E42" s="79"/>
      <c r="F42" s="80"/>
      <c r="G42" s="58"/>
      <c r="H42" s="59"/>
      <c r="I42" s="60"/>
      <c r="J42" s="60"/>
      <c r="K42" s="60"/>
      <c r="L42" s="100"/>
      <c r="M42" s="61"/>
      <c r="N42" s="58"/>
      <c r="O42" s="62"/>
    </row>
    <row r="43" spans="1:15">
      <c r="A43" s="125"/>
      <c r="B43" s="63"/>
      <c r="C43" s="58"/>
      <c r="D43" s="78"/>
      <c r="E43" s="79"/>
      <c r="F43" s="80"/>
      <c r="G43" s="58"/>
      <c r="H43" s="59"/>
      <c r="I43" s="60"/>
      <c r="J43" s="60"/>
      <c r="K43" s="60"/>
      <c r="L43" s="100"/>
      <c r="M43" s="61"/>
      <c r="N43" s="58"/>
      <c r="O43" s="62"/>
    </row>
    <row r="44" spans="1:15">
      <c r="C44" s="58"/>
      <c r="D44" s="90"/>
      <c r="E44" s="94"/>
      <c r="F44" s="90"/>
      <c r="G44" s="90"/>
      <c r="H44" s="91"/>
      <c r="I44" s="91"/>
      <c r="J44" s="91"/>
      <c r="K44" s="91"/>
      <c r="L44" s="101"/>
      <c r="M44" s="93"/>
      <c r="N44" s="91"/>
      <c r="O44" s="124"/>
    </row>
    <row r="45" spans="1:15">
      <c r="C45" s="58"/>
      <c r="D45" s="90"/>
      <c r="E45" s="94"/>
      <c r="F45" s="90"/>
      <c r="G45" s="90"/>
      <c r="H45" s="91"/>
      <c r="I45" s="91"/>
      <c r="J45" s="91"/>
      <c r="K45" s="91"/>
      <c r="L45" s="101"/>
      <c r="M45" s="93"/>
      <c r="N45" s="91"/>
      <c r="O45" s="124"/>
    </row>
    <row r="46" spans="1:15">
      <c r="A46" s="125"/>
      <c r="B46" s="63"/>
      <c r="C46" s="86"/>
      <c r="D46" s="87"/>
      <c r="E46" s="86"/>
      <c r="F46" s="87"/>
      <c r="G46" s="88"/>
      <c r="H46" s="89"/>
      <c r="I46" s="89"/>
      <c r="J46" s="89"/>
      <c r="K46" s="87"/>
      <c r="L46" s="98"/>
      <c r="M46" s="87"/>
      <c r="N46" s="77"/>
    </row>
    <row r="47" spans="1:15">
      <c r="A47" s="125"/>
      <c r="B47" s="63"/>
      <c r="C47" s="58"/>
      <c r="D47" s="139"/>
      <c r="E47" s="19"/>
      <c r="F47" s="58"/>
      <c r="G47" s="59"/>
      <c r="H47" s="60"/>
      <c r="I47" s="60"/>
      <c r="J47" s="60"/>
      <c r="K47" s="58"/>
      <c r="L47" s="64"/>
      <c r="M47" s="58"/>
      <c r="N47" s="62"/>
    </row>
    <row r="48" spans="1:15">
      <c r="A48" s="125"/>
      <c r="B48" s="63"/>
      <c r="C48" s="58"/>
      <c r="D48" s="81"/>
      <c r="E48" s="19"/>
      <c r="F48" s="81"/>
      <c r="G48" s="58"/>
      <c r="H48" s="59"/>
      <c r="I48" s="60"/>
      <c r="J48" s="60"/>
      <c r="K48" s="60"/>
      <c r="L48" s="100"/>
      <c r="M48" s="61"/>
      <c r="N48" s="58"/>
      <c r="O48" s="62"/>
    </row>
    <row r="49" spans="1:15">
      <c r="A49" s="125"/>
      <c r="B49" s="63"/>
      <c r="C49" s="58"/>
      <c r="D49" s="78"/>
      <c r="E49" s="81"/>
      <c r="F49" s="81"/>
      <c r="G49" s="58"/>
      <c r="H49" s="59"/>
      <c r="I49" s="60"/>
      <c r="J49" s="60"/>
      <c r="K49" s="60"/>
      <c r="L49" s="100"/>
      <c r="M49" s="61"/>
      <c r="N49" s="58"/>
      <c r="O49" s="62"/>
    </row>
    <row r="50" spans="1:15">
      <c r="A50" s="125"/>
      <c r="B50" s="63"/>
      <c r="C50" s="58"/>
      <c r="D50" s="78"/>
      <c r="E50" s="81"/>
      <c r="F50" s="81"/>
      <c r="G50" s="58"/>
      <c r="H50" s="59"/>
      <c r="I50" s="60"/>
      <c r="J50" s="60"/>
      <c r="K50" s="60"/>
      <c r="L50" s="100"/>
      <c r="M50" s="61"/>
      <c r="N50" s="58"/>
      <c r="O50" s="62"/>
    </row>
    <row r="51" spans="1:15">
      <c r="C51" s="58"/>
      <c r="D51" s="90"/>
      <c r="E51" s="94"/>
      <c r="F51" s="90"/>
      <c r="G51" s="90"/>
      <c r="H51" s="91"/>
      <c r="I51" s="91"/>
      <c r="J51" s="91"/>
      <c r="K51" s="91"/>
      <c r="L51" s="101"/>
      <c r="M51" s="93"/>
      <c r="N51" s="91"/>
      <c r="O51" s="124"/>
    </row>
    <row r="52" spans="1:15">
      <c r="A52" s="58"/>
      <c r="B52" s="63"/>
      <c r="C52" s="86"/>
      <c r="D52" s="87"/>
      <c r="E52" s="95"/>
      <c r="F52" s="87"/>
      <c r="G52" s="88"/>
      <c r="H52" s="89"/>
      <c r="I52" s="89"/>
      <c r="J52" s="89"/>
      <c r="K52" s="87"/>
      <c r="L52" s="98"/>
      <c r="M52" s="87"/>
      <c r="O52" s="77"/>
    </row>
    <row r="53" spans="1:15">
      <c r="A53" s="58"/>
      <c r="B53" s="63"/>
      <c r="C53" s="58"/>
      <c r="D53" s="96"/>
      <c r="E53" s="19"/>
      <c r="F53" s="109"/>
      <c r="G53" s="59"/>
      <c r="H53" s="60"/>
      <c r="I53" s="60"/>
      <c r="J53" s="60"/>
      <c r="K53" s="58"/>
      <c r="L53" s="64"/>
      <c r="M53" s="58"/>
      <c r="O53" s="62"/>
    </row>
    <row r="54" spans="1:15">
      <c r="A54" s="58"/>
      <c r="B54" s="63"/>
      <c r="C54" s="58"/>
      <c r="D54" s="79"/>
      <c r="E54" s="19"/>
      <c r="F54" s="109"/>
      <c r="G54" s="59"/>
      <c r="H54" s="60"/>
      <c r="I54" s="60"/>
      <c r="J54" s="60"/>
      <c r="K54" s="58"/>
      <c r="L54" s="64"/>
      <c r="M54" s="58"/>
      <c r="O54" s="62"/>
    </row>
    <row r="55" spans="1:15">
      <c r="A55" s="58"/>
      <c r="B55" s="63"/>
      <c r="C55" s="58"/>
      <c r="D55" s="79"/>
      <c r="E55" s="19"/>
      <c r="F55" s="80"/>
      <c r="G55" s="58"/>
      <c r="H55" s="59"/>
      <c r="I55" s="60"/>
      <c r="J55" s="60"/>
      <c r="K55" s="60"/>
      <c r="L55" s="100"/>
      <c r="M55" s="61"/>
      <c r="N55" s="58"/>
      <c r="O55" s="62"/>
    </row>
    <row r="56" spans="1:15">
      <c r="A56" s="58"/>
      <c r="B56" s="63"/>
      <c r="C56" s="58"/>
      <c r="D56" s="78"/>
      <c r="E56" s="79"/>
      <c r="F56" s="81"/>
      <c r="G56" s="58"/>
      <c r="H56" s="59"/>
      <c r="I56" s="60"/>
      <c r="J56" s="60"/>
      <c r="K56" s="60"/>
      <c r="L56" s="100"/>
      <c r="M56" s="61"/>
      <c r="N56" s="58"/>
      <c r="O56" s="62"/>
    </row>
    <row r="57" spans="1:15">
      <c r="D57" s="90"/>
      <c r="E57" s="94"/>
      <c r="F57" s="90"/>
      <c r="G57" s="90"/>
      <c r="H57" s="91"/>
      <c r="I57" s="91"/>
      <c r="J57" s="91"/>
      <c r="K57" s="91"/>
      <c r="L57" s="101"/>
      <c r="M57" s="93"/>
      <c r="N57" s="91"/>
      <c r="O57" s="91"/>
    </row>
    <row r="58" spans="1:15">
      <c r="C58" s="58"/>
      <c r="D58" s="90"/>
      <c r="E58" s="94"/>
      <c r="F58" s="90"/>
      <c r="G58" s="90"/>
      <c r="H58" s="91"/>
      <c r="I58" s="91"/>
      <c r="J58" s="91"/>
      <c r="K58" s="91"/>
      <c r="L58" s="101"/>
      <c r="M58" s="93"/>
      <c r="N58" s="91"/>
      <c r="O58" s="124"/>
    </row>
    <row r="59" spans="1:15">
      <c r="C59" s="58"/>
      <c r="D59" s="90"/>
      <c r="E59" s="94"/>
      <c r="F59" s="90"/>
      <c r="G59" s="90"/>
      <c r="H59" s="91"/>
      <c r="I59" s="91"/>
      <c r="J59" s="91"/>
      <c r="K59" s="91"/>
      <c r="L59" s="101"/>
      <c r="M59" s="93"/>
      <c r="N59" s="91"/>
      <c r="O59" s="124"/>
    </row>
    <row r="60" spans="1:15">
      <c r="C60" s="58"/>
      <c r="D60" s="90"/>
      <c r="E60" s="94"/>
      <c r="F60" s="90"/>
      <c r="G60" s="90"/>
      <c r="H60" s="91"/>
      <c r="I60" s="91"/>
      <c r="J60" s="91"/>
      <c r="K60" s="91"/>
      <c r="L60" s="101"/>
      <c r="M60" s="93"/>
      <c r="N60" s="91"/>
      <c r="O60" s="124"/>
    </row>
    <row r="61" spans="1:15">
      <c r="C61" s="58"/>
      <c r="D61" s="90"/>
      <c r="E61" s="94"/>
      <c r="F61" s="90"/>
      <c r="G61" s="90"/>
      <c r="H61" s="91"/>
      <c r="I61" s="91"/>
      <c r="J61" s="91"/>
      <c r="K61" s="91"/>
      <c r="L61" s="101"/>
      <c r="M61" s="93"/>
      <c r="N61" s="91"/>
      <c r="O61" s="124"/>
    </row>
    <row r="62" spans="1:15">
      <c r="C62" s="58"/>
      <c r="D62" s="90"/>
      <c r="E62" s="94"/>
      <c r="F62" s="90"/>
      <c r="G62" s="90"/>
      <c r="H62" s="91"/>
      <c r="I62" s="91"/>
      <c r="J62" s="91"/>
      <c r="K62" s="91"/>
      <c r="L62" s="101"/>
      <c r="M62" s="93"/>
      <c r="N62" s="91"/>
      <c r="O62" s="124"/>
    </row>
    <row r="63" spans="1:15">
      <c r="C63" s="58"/>
      <c r="D63" s="90"/>
      <c r="E63" s="94"/>
      <c r="F63" s="90"/>
      <c r="G63" s="90"/>
      <c r="H63" s="91"/>
      <c r="I63" s="91"/>
      <c r="J63" s="91"/>
      <c r="K63" s="91"/>
      <c r="L63" s="101"/>
      <c r="M63" s="93"/>
      <c r="N63" s="91"/>
      <c r="O63" s="124"/>
    </row>
    <row r="64" spans="1:15">
      <c r="C64" s="58"/>
      <c r="D64" s="90"/>
      <c r="E64" s="94"/>
      <c r="F64" s="90"/>
      <c r="G64" s="90"/>
      <c r="H64" s="91"/>
      <c r="I64" s="91"/>
      <c r="J64" s="91"/>
      <c r="K64" s="91"/>
      <c r="L64" s="216">
        <f>SUM(L6:L63)</f>
        <v>190000</v>
      </c>
      <c r="M64" s="93"/>
      <c r="N64" s="91"/>
      <c r="O64" s="124"/>
    </row>
    <row r="65" spans="3:15">
      <c r="C65" s="58"/>
      <c r="D65" s="90"/>
      <c r="E65" s="94"/>
      <c r="F65" s="90"/>
      <c r="G65" s="90"/>
      <c r="H65" s="91"/>
      <c r="I65" s="91"/>
      <c r="J65" s="91"/>
      <c r="K65" s="91"/>
      <c r="L65" s="101"/>
      <c r="M65" s="93"/>
      <c r="N65" s="91"/>
      <c r="O65" s="124"/>
    </row>
    <row r="66" spans="3:15">
      <c r="C66" s="58"/>
      <c r="D66" s="90"/>
      <c r="E66" s="94"/>
      <c r="F66" s="90"/>
      <c r="G66" s="90"/>
      <c r="H66" s="91"/>
      <c r="I66" s="91"/>
      <c r="J66" s="91"/>
      <c r="K66" s="91"/>
      <c r="L66" s="101"/>
      <c r="M66" s="93"/>
      <c r="N66" s="91"/>
      <c r="O66" s="124"/>
    </row>
    <row r="67" spans="3:15">
      <c r="C67" s="8"/>
      <c r="D67" s="8"/>
      <c r="E67" s="7"/>
      <c r="F67" s="6"/>
      <c r="G67" s="6"/>
      <c r="H67" s="5"/>
      <c r="I67" s="5"/>
      <c r="J67" s="5"/>
      <c r="K67" s="6"/>
      <c r="L67" s="178"/>
      <c r="M67" s="6"/>
      <c r="N67" s="2"/>
    </row>
    <row r="68" spans="3:15">
      <c r="C68" s="8"/>
      <c r="D68" s="8"/>
      <c r="E68" s="7"/>
      <c r="F68" s="6"/>
      <c r="G68" s="6"/>
      <c r="H68" s="5"/>
      <c r="I68" s="5"/>
      <c r="J68" s="5"/>
      <c r="K68" s="6"/>
      <c r="L68" s="178"/>
      <c r="M68" s="6"/>
      <c r="N68" s="2"/>
    </row>
    <row r="69" spans="3:15">
      <c r="C69" s="8"/>
      <c r="D69" s="8"/>
      <c r="E69" s="7"/>
      <c r="F69" s="6"/>
      <c r="G69" s="6"/>
      <c r="H69" s="5"/>
      <c r="I69" s="5"/>
      <c r="J69" s="5"/>
      <c r="K69" s="6"/>
      <c r="L69" s="178"/>
      <c r="M69" s="6"/>
      <c r="N69" s="2"/>
    </row>
    <row r="70" spans="3:15">
      <c r="C70" s="8"/>
      <c r="D70" s="8"/>
      <c r="E70" s="7"/>
      <c r="F70" s="6"/>
      <c r="G70" s="6"/>
      <c r="H70" s="5"/>
      <c r="I70" s="5"/>
      <c r="J70" s="5"/>
      <c r="K70" s="6"/>
      <c r="L70" s="178"/>
      <c r="M70" s="6"/>
      <c r="N70" s="2"/>
    </row>
    <row r="71" spans="3:15">
      <c r="C71" s="8"/>
      <c r="D71" s="8"/>
      <c r="E71" s="7"/>
      <c r="F71" s="6"/>
      <c r="G71" s="6"/>
      <c r="H71" s="5"/>
      <c r="I71" s="5"/>
      <c r="J71" s="5"/>
      <c r="K71" s="6"/>
      <c r="L71" s="178"/>
      <c r="M71" s="6"/>
      <c r="N71" s="2"/>
    </row>
    <row r="72" spans="3:15">
      <c r="C72" s="8"/>
      <c r="D72" s="8"/>
      <c r="E72" s="7"/>
      <c r="F72" s="6"/>
      <c r="G72" s="6"/>
      <c r="H72" s="5"/>
      <c r="I72" s="5"/>
      <c r="J72" s="5"/>
      <c r="K72" s="6"/>
      <c r="L72" s="178"/>
      <c r="M72" s="6"/>
      <c r="N72" s="2"/>
    </row>
    <row r="73" spans="3:15">
      <c r="C73" s="8"/>
      <c r="D73" s="8"/>
      <c r="E73" s="7"/>
      <c r="F73" s="6"/>
      <c r="G73" s="6"/>
      <c r="H73" s="5"/>
      <c r="I73" s="5"/>
      <c r="J73" s="5"/>
      <c r="K73" s="6"/>
      <c r="L73" s="178"/>
      <c r="M73" s="6"/>
      <c r="N73" s="2"/>
    </row>
    <row r="74" spans="3:15">
      <c r="C74" s="8"/>
      <c r="D74" s="8"/>
      <c r="E74" s="7"/>
      <c r="F74" s="6"/>
      <c r="G74" s="6"/>
      <c r="H74" s="5"/>
      <c r="I74" s="5"/>
      <c r="J74" s="5"/>
      <c r="K74" s="6"/>
      <c r="L74" s="108"/>
      <c r="M74" s="6"/>
      <c r="N74" s="2"/>
    </row>
    <row r="75" spans="3:15">
      <c r="C75" s="8"/>
      <c r="D75" s="8"/>
      <c r="E75" s="7"/>
      <c r="F75" s="6"/>
      <c r="G75" s="6"/>
      <c r="H75" s="5"/>
      <c r="I75" s="5"/>
      <c r="J75" s="5"/>
      <c r="K75" s="6"/>
      <c r="L75" s="178"/>
      <c r="M75" s="6"/>
      <c r="N75" s="2"/>
    </row>
    <row r="76" spans="3:15">
      <c r="C76" s="8"/>
      <c r="D76" s="8"/>
      <c r="E76" s="7"/>
      <c r="F76" s="6"/>
      <c r="G76" s="6"/>
      <c r="H76" s="5"/>
      <c r="I76" s="5"/>
      <c r="J76" s="5"/>
      <c r="K76" s="6"/>
      <c r="L76" s="178"/>
      <c r="M76" s="6"/>
      <c r="N76" s="2"/>
    </row>
    <row r="77" spans="3:15">
      <c r="C77" s="8"/>
      <c r="D77" s="8"/>
      <c r="E77" s="7"/>
      <c r="F77" s="6"/>
      <c r="G77" s="6"/>
      <c r="H77" s="5"/>
      <c r="I77" s="5"/>
      <c r="J77" s="5"/>
      <c r="K77" s="6"/>
      <c r="L77" s="178"/>
      <c r="M77" s="6"/>
      <c r="N77" s="2"/>
    </row>
    <row r="78" spans="3:15">
      <c r="C78" s="8"/>
      <c r="D78" s="8"/>
      <c r="E78" s="7"/>
      <c r="F78" s="6"/>
      <c r="G78" s="6"/>
      <c r="H78" s="5"/>
      <c r="I78" s="5"/>
      <c r="J78" s="5"/>
      <c r="K78" s="6"/>
      <c r="L78" s="178"/>
      <c r="M78" s="6"/>
      <c r="N78" s="2"/>
    </row>
    <row r="79" spans="3:15">
      <c r="C79" s="8"/>
      <c r="D79" s="8"/>
      <c r="E79" s="7"/>
      <c r="F79" s="6"/>
      <c r="G79" s="6"/>
      <c r="H79" s="5"/>
      <c r="I79" s="5"/>
      <c r="J79" s="5"/>
      <c r="K79" s="6"/>
      <c r="L79" s="178"/>
      <c r="M79" s="6"/>
      <c r="N79" s="2"/>
    </row>
    <row r="80" spans="3:15" ht="14.25" customHeight="1">
      <c r="C80" s="8"/>
      <c r="D80" s="8"/>
      <c r="E80" s="7"/>
      <c r="F80" s="6"/>
      <c r="G80" s="6"/>
      <c r="H80" s="5"/>
      <c r="I80" s="5"/>
      <c r="J80" s="5"/>
      <c r="K80" s="6"/>
      <c r="L80" s="178"/>
      <c r="M80" s="6"/>
      <c r="N80" s="2"/>
    </row>
    <row r="81" spans="3:14" ht="14.25" customHeight="1">
      <c r="C81" s="8"/>
      <c r="D81" s="8"/>
      <c r="E81" s="7"/>
      <c r="F81" s="6"/>
      <c r="G81" s="6"/>
      <c r="H81" s="5"/>
      <c r="I81" s="5"/>
      <c r="J81" s="5"/>
      <c r="K81" s="6"/>
      <c r="L81" s="178"/>
      <c r="M81" s="6"/>
      <c r="N81" s="2"/>
    </row>
    <row r="82" spans="3:14" ht="14.25" customHeight="1">
      <c r="C82" s="8"/>
      <c r="D82" s="8"/>
      <c r="E82" s="7"/>
      <c r="F82" s="6"/>
      <c r="G82" s="6"/>
      <c r="H82" s="5"/>
      <c r="I82" s="5"/>
      <c r="J82" s="5"/>
      <c r="K82" s="6"/>
      <c r="L82" s="178"/>
      <c r="M82" s="6"/>
      <c r="N82" s="2"/>
    </row>
    <row r="83" spans="3:14" ht="14.25" customHeight="1">
      <c r="C83" s="8"/>
      <c r="D83" s="8"/>
      <c r="E83" s="7"/>
      <c r="F83" s="6"/>
      <c r="G83" s="6"/>
      <c r="H83" s="5"/>
      <c r="I83" s="5"/>
      <c r="J83" s="5"/>
      <c r="K83" s="6"/>
      <c r="L83" s="178"/>
      <c r="M83" s="6"/>
      <c r="N83" s="2"/>
    </row>
    <row r="84" spans="3:14" ht="14.25" customHeight="1">
      <c r="C84" s="8"/>
      <c r="D84" s="8"/>
      <c r="E84" s="7"/>
      <c r="F84" s="6"/>
      <c r="G84" s="6"/>
      <c r="H84" s="5"/>
      <c r="I84" s="5"/>
      <c r="J84" s="5"/>
      <c r="K84" s="6"/>
      <c r="L84" s="178"/>
      <c r="M84" s="6"/>
      <c r="N84" s="2"/>
    </row>
    <row r="85" spans="3:14" ht="14.25" customHeight="1">
      <c r="C85" s="8"/>
      <c r="D85" s="8"/>
      <c r="E85" s="7"/>
      <c r="F85" s="6"/>
      <c r="G85" s="6"/>
      <c r="H85" s="5"/>
      <c r="I85" s="5"/>
      <c r="J85" s="5"/>
      <c r="K85" s="6"/>
      <c r="L85" s="178"/>
      <c r="M85" s="6"/>
      <c r="N85" s="2"/>
    </row>
    <row r="86" spans="3:14" ht="14.25" customHeight="1">
      <c r="C86" s="8"/>
      <c r="D86" s="8"/>
      <c r="E86" s="7"/>
      <c r="F86" s="6"/>
      <c r="G86" s="6"/>
      <c r="H86" s="5"/>
      <c r="I86" s="5"/>
      <c r="J86" s="5"/>
      <c r="K86" s="6"/>
      <c r="L86" s="178"/>
      <c r="M86" s="6"/>
      <c r="N86" s="2"/>
    </row>
    <row r="87" spans="3:14" ht="14.25" customHeight="1">
      <c r="C87" s="8"/>
      <c r="D87" s="8"/>
      <c r="E87" s="7"/>
      <c r="F87" s="6"/>
      <c r="G87" s="6"/>
      <c r="H87" s="5"/>
      <c r="I87" s="5"/>
      <c r="J87" s="5"/>
      <c r="K87" s="6"/>
      <c r="L87" s="178"/>
      <c r="M87" s="6"/>
      <c r="N87" s="2"/>
    </row>
    <row r="88" spans="3:14" ht="14.25" customHeight="1">
      <c r="C88" s="8"/>
      <c r="D88" s="8"/>
      <c r="E88" s="7"/>
      <c r="F88" s="6"/>
      <c r="G88" s="6"/>
      <c r="H88" s="5"/>
      <c r="I88" s="5"/>
      <c r="J88" s="5"/>
      <c r="K88" s="6"/>
      <c r="L88" s="178"/>
      <c r="M88" s="6"/>
      <c r="N88" s="2"/>
    </row>
    <row r="89" spans="3:14" ht="14.25" customHeight="1">
      <c r="C89" s="8"/>
      <c r="D89" s="8"/>
      <c r="E89" s="7"/>
      <c r="F89" s="6"/>
      <c r="G89" s="6"/>
      <c r="H89" s="5"/>
      <c r="I89" s="5"/>
      <c r="J89" s="5"/>
      <c r="K89" s="6"/>
      <c r="L89" s="178"/>
      <c r="M89" s="6"/>
      <c r="N89" s="2"/>
    </row>
    <row r="90" spans="3:14" ht="14.25" customHeight="1">
      <c r="C90" s="8"/>
      <c r="D90" s="8"/>
      <c r="E90" s="7"/>
      <c r="F90" s="6"/>
      <c r="G90" s="6"/>
      <c r="H90" s="5"/>
      <c r="I90" s="5"/>
      <c r="J90" s="5"/>
      <c r="K90" s="6"/>
      <c r="L90" s="178"/>
      <c r="M90" s="6"/>
      <c r="N90" s="2"/>
    </row>
    <row r="91" spans="3:14" ht="14.25" customHeight="1">
      <c r="C91" s="8"/>
      <c r="D91" s="8"/>
      <c r="E91" s="7"/>
      <c r="F91" s="6"/>
      <c r="G91" s="6"/>
      <c r="H91" s="5"/>
      <c r="I91" s="5"/>
      <c r="J91" s="5"/>
      <c r="K91" s="6"/>
      <c r="L91" s="178"/>
      <c r="M91" s="6"/>
      <c r="N91" s="2"/>
    </row>
    <row r="92" spans="3:14" ht="14.25" customHeight="1">
      <c r="C92" s="8"/>
      <c r="D92" s="8"/>
      <c r="E92" s="7"/>
      <c r="F92" s="6"/>
      <c r="G92" s="6"/>
      <c r="H92" s="5"/>
      <c r="I92" s="5"/>
      <c r="J92" s="5"/>
      <c r="K92" s="6"/>
      <c r="L92" s="178"/>
      <c r="M92" s="6"/>
      <c r="N92" s="2"/>
    </row>
    <row r="93" spans="3:14" ht="14.25" customHeight="1">
      <c r="C93" s="8"/>
      <c r="D93" s="8"/>
      <c r="E93" s="7"/>
      <c r="F93" s="6"/>
      <c r="G93" s="6"/>
      <c r="H93" s="5"/>
      <c r="I93" s="5"/>
      <c r="J93" s="5"/>
      <c r="K93" s="6"/>
      <c r="L93" s="178"/>
      <c r="M93" s="6"/>
      <c r="N93" s="2"/>
    </row>
    <row r="94" spans="3:14" ht="14.25" customHeight="1">
      <c r="C94" s="8"/>
      <c r="D94" s="8"/>
      <c r="E94" s="7"/>
      <c r="F94" s="6"/>
      <c r="G94" s="6"/>
      <c r="H94" s="5"/>
      <c r="I94" s="5"/>
      <c r="J94" s="5"/>
      <c r="K94" s="6"/>
      <c r="L94" s="178"/>
      <c r="M94" s="6"/>
      <c r="N94" s="2"/>
    </row>
    <row r="95" spans="3:14" ht="14.25" customHeight="1">
      <c r="C95" s="8"/>
      <c r="D95" s="8"/>
      <c r="E95" s="7"/>
      <c r="F95" s="6"/>
      <c r="G95" s="6"/>
      <c r="H95" s="5"/>
      <c r="I95" s="5"/>
      <c r="J95" s="5"/>
      <c r="K95" s="6"/>
      <c r="L95" s="178"/>
      <c r="M95" s="3"/>
      <c r="N95" s="2"/>
    </row>
    <row r="96" spans="3:14" ht="14.25" customHeight="1">
      <c r="C96" s="8"/>
      <c r="D96" s="8"/>
      <c r="E96" s="7"/>
      <c r="F96" s="6"/>
      <c r="G96" s="5"/>
      <c r="H96" s="5"/>
      <c r="I96" s="5"/>
      <c r="J96" s="5"/>
      <c r="K96" s="4"/>
      <c r="L96" s="178"/>
      <c r="M96" s="3"/>
      <c r="N96" s="2"/>
    </row>
    <row r="97" spans="3:14" ht="14.25" customHeight="1">
      <c r="C97" s="19"/>
      <c r="D97" s="19"/>
      <c r="E97" s="19"/>
      <c r="F97" s="19"/>
      <c r="G97" s="19"/>
      <c r="H97" s="19"/>
      <c r="I97" s="19"/>
      <c r="J97" s="19"/>
      <c r="K97" s="19"/>
      <c r="L97" s="146"/>
      <c r="M97" s="19"/>
      <c r="N97" s="19"/>
    </row>
    <row r="98" spans="3:14" ht="14.25" customHeight="1">
      <c r="C98" s="31"/>
      <c r="D98" s="27"/>
      <c r="E98" s="20"/>
      <c r="F98" s="28"/>
      <c r="G98" s="28"/>
      <c r="H98" s="26"/>
      <c r="I98" s="26"/>
      <c r="J98" s="26"/>
      <c r="K98" s="28"/>
      <c r="L98" s="179"/>
      <c r="M98" s="28"/>
      <c r="N98" s="27"/>
    </row>
    <row r="99" spans="3:14" s="1" customFormat="1" ht="14.25" customHeight="1">
      <c r="C99" s="31"/>
      <c r="D99" s="27"/>
      <c r="E99" s="21"/>
      <c r="F99" s="28"/>
      <c r="G99" s="28"/>
      <c r="H99" s="26"/>
      <c r="I99" s="26"/>
      <c r="J99" s="26"/>
      <c r="K99" s="28"/>
      <c r="L99" s="179"/>
      <c r="M99" s="28"/>
      <c r="N99" s="27"/>
    </row>
    <row r="100" spans="3:14" s="1" customFormat="1" ht="14.25" customHeight="1">
      <c r="C100" s="30"/>
      <c r="D100" s="25"/>
      <c r="E100" s="21"/>
      <c r="F100" s="22"/>
      <c r="G100" s="22"/>
      <c r="H100" s="23"/>
      <c r="I100" s="23"/>
      <c r="J100" s="23"/>
      <c r="K100" s="22"/>
      <c r="L100" s="180"/>
      <c r="M100" s="22"/>
      <c r="N100" s="25"/>
    </row>
  </sheetData>
  <mergeCells count="8">
    <mergeCell ref="M7:M9"/>
    <mergeCell ref="O7:O9"/>
    <mergeCell ref="C2:G2"/>
    <mergeCell ref="H2:J2"/>
    <mergeCell ref="K2:L2"/>
    <mergeCell ref="M2:M3"/>
    <mergeCell ref="N2:N3"/>
    <mergeCell ref="E6:F6"/>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FD595-3337-4011-8F43-C16B8C28433A}">
  <sheetPr>
    <tabColor rgb="FF92D050"/>
  </sheetPr>
  <dimension ref="A2:Q100"/>
  <sheetViews>
    <sheetView zoomScale="80" zoomScaleNormal="80" workbookViewId="0">
      <pane ySplit="4" topLeftCell="A11" activePane="bottomLeft" state="frozen"/>
      <selection pane="bottomLeft" activeCell="L30" sqref="L30"/>
    </sheetView>
  </sheetViews>
  <sheetFormatPr defaultRowHeight="15"/>
  <cols>
    <col min="3" max="3" width="21.42578125" customWidth="1"/>
    <col min="4" max="4" width="20.5703125" customWidth="1"/>
    <col min="5" max="5" width="49.5703125" customWidth="1"/>
    <col min="6" max="6" width="16.7109375" customWidth="1"/>
    <col min="7" max="7" width="11.7109375" customWidth="1"/>
    <col min="8" max="8" width="13.7109375" customWidth="1"/>
    <col min="9" max="9" width="9.140625" bestFit="1" customWidth="1"/>
    <col min="10" max="10" width="12.5703125" customWidth="1"/>
    <col min="11" max="11" width="18.5703125" customWidth="1"/>
    <col min="12" max="12" width="15.5703125" style="99" customWidth="1"/>
    <col min="13" max="13" width="16.28515625" customWidth="1"/>
    <col min="14" max="14" width="12.85546875" customWidth="1"/>
  </cols>
  <sheetData>
    <row r="2" spans="1:17">
      <c r="C2" s="2627" t="s">
        <v>30</v>
      </c>
      <c r="D2" s="2627"/>
      <c r="E2" s="2627"/>
      <c r="F2" s="2627"/>
      <c r="G2" s="2627"/>
      <c r="H2" s="2628" t="s">
        <v>29</v>
      </c>
      <c r="I2" s="2628"/>
      <c r="J2" s="2628"/>
      <c r="K2" s="2627" t="s">
        <v>28</v>
      </c>
      <c r="L2" s="2627"/>
      <c r="M2" s="2628" t="s">
        <v>27</v>
      </c>
      <c r="N2" s="2628" t="s">
        <v>26</v>
      </c>
    </row>
    <row r="3" spans="1:17" ht="72">
      <c r="C3" s="10" t="s">
        <v>25</v>
      </c>
      <c r="D3" s="13" t="s">
        <v>24</v>
      </c>
      <c r="E3" s="12" t="s">
        <v>23</v>
      </c>
      <c r="F3" s="10" t="s">
        <v>22</v>
      </c>
      <c r="G3" s="11" t="s">
        <v>21</v>
      </c>
      <c r="H3" s="11" t="s">
        <v>20</v>
      </c>
      <c r="I3" s="11" t="s">
        <v>19</v>
      </c>
      <c r="J3" s="11" t="s">
        <v>18</v>
      </c>
      <c r="K3" s="10" t="s">
        <v>17</v>
      </c>
      <c r="L3" s="159" t="s">
        <v>16</v>
      </c>
      <c r="M3" s="2628"/>
      <c r="N3" s="2628"/>
    </row>
    <row r="4" spans="1:17">
      <c r="C4" s="9" t="s">
        <v>15</v>
      </c>
      <c r="D4" s="9" t="s">
        <v>14</v>
      </c>
      <c r="E4" s="9" t="s">
        <v>13</v>
      </c>
      <c r="F4" s="9" t="s">
        <v>12</v>
      </c>
      <c r="G4" s="9" t="s">
        <v>11</v>
      </c>
      <c r="H4" s="9" t="s">
        <v>10</v>
      </c>
      <c r="I4" s="9" t="s">
        <v>9</v>
      </c>
      <c r="J4" s="9" t="s">
        <v>8</v>
      </c>
      <c r="K4" s="9" t="s">
        <v>7</v>
      </c>
      <c r="L4" s="160" t="s">
        <v>6</v>
      </c>
      <c r="M4" s="9" t="s">
        <v>5</v>
      </c>
      <c r="N4" s="9" t="s">
        <v>4</v>
      </c>
    </row>
    <row r="5" spans="1:17" s="783" customFormat="1" ht="12.75">
      <c r="C5" s="1184"/>
      <c r="D5" s="1185"/>
      <c r="E5" s="1186"/>
      <c r="F5" s="1185"/>
      <c r="G5" s="1185"/>
      <c r="H5" s="1185"/>
      <c r="I5" s="1185"/>
      <c r="J5" s="1185"/>
      <c r="K5" s="1185"/>
      <c r="L5" s="1187"/>
      <c r="M5" s="1185"/>
      <c r="N5" s="1188"/>
    </row>
    <row r="6" spans="1:17" s="783" customFormat="1" ht="14.25" customHeight="1">
      <c r="A6" s="791" t="s">
        <v>743</v>
      </c>
      <c r="B6" s="777" t="s">
        <v>744</v>
      </c>
      <c r="C6" s="778" t="s">
        <v>739</v>
      </c>
      <c r="D6" s="1189"/>
      <c r="E6" s="2695"/>
      <c r="F6" s="2696"/>
      <c r="G6" s="1190"/>
      <c r="H6" s="1191"/>
      <c r="I6" s="1192"/>
      <c r="J6" s="1192"/>
      <c r="K6" s="1192"/>
      <c r="L6" s="1190"/>
      <c r="M6" s="1193"/>
      <c r="N6" s="1194"/>
      <c r="O6" s="1195"/>
    </row>
    <row r="7" spans="1:17" s="783" customFormat="1" ht="82.5" customHeight="1">
      <c r="A7" s="791" t="s">
        <v>743</v>
      </c>
      <c r="B7" s="777" t="s">
        <v>744</v>
      </c>
      <c r="C7" s="2701" t="s">
        <v>740</v>
      </c>
      <c r="D7" s="2701" t="s">
        <v>2</v>
      </c>
      <c r="E7" s="1196" t="s">
        <v>745</v>
      </c>
      <c r="F7" s="1190" t="s">
        <v>661</v>
      </c>
      <c r="G7" s="1191" t="s">
        <v>1</v>
      </c>
      <c r="H7" s="1192">
        <v>46174</v>
      </c>
      <c r="I7" s="1192">
        <v>46203</v>
      </c>
      <c r="J7" s="1192">
        <v>46204</v>
      </c>
      <c r="K7" s="1190" t="s">
        <v>741</v>
      </c>
      <c r="L7" s="1193">
        <v>55000</v>
      </c>
      <c r="M7" s="2704" t="s">
        <v>742</v>
      </c>
      <c r="O7" s="2691"/>
    </row>
    <row r="8" spans="1:17" s="783" customFormat="1" ht="14.25" customHeight="1">
      <c r="A8" s="791" t="s">
        <v>743</v>
      </c>
      <c r="B8" s="777" t="s">
        <v>744</v>
      </c>
      <c r="C8" s="2702"/>
      <c r="D8" s="2702"/>
      <c r="E8" s="1197"/>
      <c r="F8" s="1198"/>
      <c r="G8" s="1199"/>
      <c r="H8" s="1200"/>
      <c r="I8" s="1200"/>
      <c r="J8" s="1200"/>
      <c r="K8" s="1198"/>
      <c r="L8" s="1201"/>
      <c r="M8" s="2705"/>
      <c r="O8" s="2692"/>
    </row>
    <row r="9" spans="1:17" s="783" customFormat="1" ht="14.25" customHeight="1">
      <c r="A9" s="791" t="s">
        <v>743</v>
      </c>
      <c r="B9" s="777" t="s">
        <v>744</v>
      </c>
      <c r="C9" s="2703"/>
      <c r="D9" s="2703"/>
      <c r="E9" s="1202"/>
      <c r="F9" s="1203"/>
      <c r="G9" s="1204"/>
      <c r="H9" s="1205"/>
      <c r="I9" s="1205"/>
      <c r="J9" s="1205"/>
      <c r="K9" s="1203"/>
      <c r="L9" s="1206"/>
      <c r="M9" s="2706"/>
      <c r="O9" s="2693"/>
    </row>
    <row r="10" spans="1:17" s="783" customFormat="1" ht="14.25" customHeight="1">
      <c r="A10" s="791"/>
      <c r="B10" s="777"/>
      <c r="C10" s="791"/>
      <c r="D10" s="794"/>
      <c r="E10" s="795"/>
      <c r="F10" s="796"/>
      <c r="G10" s="790"/>
      <c r="H10" s="797"/>
      <c r="I10" s="798"/>
      <c r="J10" s="798"/>
      <c r="K10" s="792"/>
      <c r="L10" s="835"/>
      <c r="M10" s="799"/>
      <c r="N10" s="793"/>
      <c r="O10" s="791"/>
    </row>
    <row r="11" spans="1:17" s="783" customFormat="1" ht="14.25" customHeight="1">
      <c r="A11" s="776"/>
      <c r="B11" s="777"/>
      <c r="D11" s="800"/>
      <c r="E11" s="801"/>
      <c r="F11" s="802"/>
      <c r="G11" s="790"/>
      <c r="H11" s="797"/>
      <c r="I11" s="798"/>
      <c r="J11" s="798"/>
      <c r="K11" s="792"/>
      <c r="L11" s="835"/>
      <c r="M11" s="799"/>
      <c r="N11" s="793"/>
      <c r="O11" s="791"/>
    </row>
    <row r="12" spans="1:17" s="783" customFormat="1" ht="14.25" customHeight="1">
      <c r="A12" s="1096" t="s">
        <v>743</v>
      </c>
      <c r="B12" s="1097" t="s">
        <v>744</v>
      </c>
      <c r="C12" s="1106" t="s">
        <v>739</v>
      </c>
      <c r="D12" s="1111"/>
      <c r="E12" s="2698" t="s">
        <v>1306</v>
      </c>
      <c r="F12" s="1106"/>
      <c r="G12" s="1207"/>
      <c r="H12" s="1208"/>
      <c r="I12" s="1208"/>
      <c r="J12" s="1208"/>
      <c r="K12" s="1115"/>
      <c r="L12" s="1209"/>
      <c r="M12" s="1118"/>
      <c r="N12" s="1195"/>
    </row>
    <row r="13" spans="1:17" s="783" customFormat="1" ht="40.9" customHeight="1">
      <c r="A13" s="1096" t="s">
        <v>743</v>
      </c>
      <c r="B13" s="1097" t="s">
        <v>744</v>
      </c>
      <c r="C13" s="2694" t="s">
        <v>818</v>
      </c>
      <c r="D13" s="2694" t="s">
        <v>2</v>
      </c>
      <c r="E13" s="2699"/>
      <c r="F13" s="1106"/>
      <c r="G13" s="1207" t="s">
        <v>1</v>
      </c>
      <c r="H13" s="1208">
        <v>46023</v>
      </c>
      <c r="I13" s="1208">
        <v>46055</v>
      </c>
      <c r="J13" s="1208">
        <v>46082</v>
      </c>
      <c r="K13" s="1115" t="s">
        <v>748</v>
      </c>
      <c r="L13" s="1209">
        <v>55000</v>
      </c>
      <c r="M13" s="1115" t="s">
        <v>742</v>
      </c>
      <c r="N13" s="2697"/>
      <c r="Q13" s="783" t="s">
        <v>751</v>
      </c>
    </row>
    <row r="14" spans="1:17" s="783" customFormat="1" ht="14.25" customHeight="1">
      <c r="A14" s="1096" t="s">
        <v>743</v>
      </c>
      <c r="B14" s="1097" t="s">
        <v>744</v>
      </c>
      <c r="C14" s="2694"/>
      <c r="D14" s="2694"/>
      <c r="E14" s="2699"/>
      <c r="F14" s="1106"/>
      <c r="G14" s="1123"/>
      <c r="H14" s="1210"/>
      <c r="I14" s="1210"/>
      <c r="J14" s="1122"/>
      <c r="K14" s="1122"/>
      <c r="L14" s="1211"/>
      <c r="M14" s="1122"/>
      <c r="N14" s="2697"/>
    </row>
    <row r="15" spans="1:17" s="783" customFormat="1" ht="14.25" customHeight="1">
      <c r="A15" s="1096" t="s">
        <v>743</v>
      </c>
      <c r="B15" s="1097" t="s">
        <v>744</v>
      </c>
      <c r="C15" s="2694"/>
      <c r="D15" s="2694"/>
      <c r="E15" s="2700"/>
      <c r="F15" s="1212"/>
      <c r="G15" s="1213"/>
      <c r="H15" s="1214"/>
      <c r="I15" s="1214"/>
      <c r="J15" s="1212"/>
      <c r="K15" s="1212"/>
      <c r="L15" s="1215"/>
      <c r="M15" s="1212"/>
      <c r="N15" s="2697"/>
    </row>
    <row r="16" spans="1:17" s="783" customFormat="1" ht="14.25" customHeight="1">
      <c r="A16" s="776"/>
      <c r="B16" s="777"/>
      <c r="C16" s="813"/>
      <c r="D16" s="813"/>
      <c r="E16" s="814"/>
      <c r="F16" s="808"/>
      <c r="G16" s="815"/>
      <c r="H16" s="813"/>
      <c r="I16" s="813"/>
      <c r="J16" s="813"/>
      <c r="K16" s="813"/>
      <c r="L16" s="818"/>
      <c r="M16" s="813"/>
      <c r="N16" s="813"/>
    </row>
    <row r="17" spans="1:15" s="783" customFormat="1" ht="14.25" customHeight="1">
      <c r="A17" s="840"/>
      <c r="B17" s="777"/>
      <c r="C17" s="840"/>
      <c r="D17" s="820"/>
      <c r="E17" s="821"/>
      <c r="F17" s="840"/>
      <c r="G17" s="841"/>
      <c r="H17" s="842"/>
      <c r="I17" s="842"/>
      <c r="J17" s="842"/>
      <c r="K17" s="840"/>
      <c r="L17" s="843"/>
      <c r="M17" s="840"/>
      <c r="N17" s="822"/>
    </row>
    <row r="18" spans="1:15" s="783" customFormat="1" ht="14.25" customHeight="1">
      <c r="A18" s="840"/>
      <c r="B18" s="777"/>
      <c r="C18" s="840"/>
      <c r="D18" s="823"/>
      <c r="E18" s="824"/>
      <c r="F18" s="825"/>
      <c r="G18" s="840"/>
      <c r="H18" s="841"/>
      <c r="I18" s="842"/>
      <c r="J18" s="842"/>
      <c r="K18" s="842"/>
      <c r="L18" s="844"/>
      <c r="M18" s="845"/>
      <c r="N18" s="840"/>
      <c r="O18" s="822"/>
    </row>
    <row r="19" spans="1:15" s="783" customFormat="1" ht="14.25" customHeight="1">
      <c r="A19" s="840"/>
      <c r="B19" s="777"/>
      <c r="D19" s="823"/>
      <c r="E19" s="824"/>
      <c r="F19" s="825"/>
      <c r="G19" s="840"/>
      <c r="H19" s="841"/>
      <c r="I19" s="842"/>
      <c r="J19" s="842"/>
      <c r="K19" s="842"/>
      <c r="L19" s="844"/>
      <c r="M19" s="845"/>
      <c r="N19" s="840"/>
      <c r="O19" s="822"/>
    </row>
    <row r="20" spans="1:15" s="783" customFormat="1" ht="27" customHeight="1">
      <c r="A20" s="840"/>
      <c r="B20" s="777"/>
      <c r="C20" s="846"/>
      <c r="D20" s="847"/>
      <c r="E20" s="826"/>
      <c r="F20" s="847"/>
      <c r="G20" s="848"/>
      <c r="H20" s="849"/>
      <c r="I20" s="849"/>
      <c r="J20" s="849"/>
      <c r="K20" s="847"/>
      <c r="L20" s="850"/>
      <c r="M20" s="847"/>
      <c r="N20" s="784"/>
      <c r="O20" s="827"/>
    </row>
    <row r="21" spans="1:15" s="783" customFormat="1" ht="14.25" customHeight="1">
      <c r="A21" s="840"/>
      <c r="B21" s="777"/>
      <c r="C21" s="791"/>
      <c r="D21" s="828"/>
      <c r="E21" s="828"/>
      <c r="F21" s="791"/>
      <c r="G21" s="797"/>
      <c r="H21" s="833"/>
      <c r="I21" s="833"/>
      <c r="J21" s="833"/>
      <c r="K21" s="791"/>
      <c r="L21" s="834"/>
      <c r="M21" s="791"/>
      <c r="N21" s="784"/>
      <c r="O21" s="785"/>
    </row>
    <row r="22" spans="1:15" s="783" customFormat="1" ht="14.25" customHeight="1">
      <c r="A22" s="840"/>
      <c r="B22" s="777"/>
      <c r="C22" s="791"/>
      <c r="D22" s="820"/>
      <c r="E22" s="786"/>
      <c r="F22" s="791"/>
      <c r="G22" s="797"/>
      <c r="H22" s="833"/>
      <c r="I22" s="833"/>
      <c r="J22" s="833"/>
      <c r="K22" s="791"/>
      <c r="L22" s="834"/>
      <c r="M22" s="791"/>
      <c r="N22" s="784"/>
      <c r="O22" s="785"/>
    </row>
    <row r="23" spans="1:15" s="783" customFormat="1" ht="14.25" customHeight="1">
      <c r="A23" s="840"/>
      <c r="B23" s="777"/>
      <c r="C23" s="791"/>
      <c r="D23" s="820"/>
      <c r="E23" s="786"/>
      <c r="F23" s="791"/>
      <c r="G23" s="797"/>
      <c r="H23" s="833"/>
      <c r="I23" s="833"/>
      <c r="J23" s="833"/>
      <c r="K23" s="791"/>
      <c r="L23" s="834"/>
      <c r="M23" s="791"/>
      <c r="N23" s="784"/>
      <c r="O23" s="785"/>
    </row>
    <row r="24" spans="1:15" s="783" customFormat="1" ht="14.25" customHeight="1">
      <c r="A24" s="840"/>
      <c r="B24" s="777"/>
      <c r="C24" s="791"/>
      <c r="D24" s="820"/>
      <c r="E24" s="786"/>
      <c r="F24" s="791"/>
      <c r="G24" s="797"/>
      <c r="H24" s="833"/>
      <c r="I24" s="833"/>
      <c r="J24" s="833"/>
      <c r="K24" s="791"/>
      <c r="L24" s="834"/>
      <c r="M24" s="791"/>
      <c r="N24" s="784"/>
      <c r="O24" s="785"/>
    </row>
    <row r="25" spans="1:15" s="783" customFormat="1" ht="14.25" customHeight="1">
      <c r="A25" s="840"/>
      <c r="B25" s="777"/>
      <c r="C25" s="791"/>
      <c r="D25" s="804"/>
      <c r="E25" s="1129"/>
      <c r="F25" s="804"/>
      <c r="G25" s="804"/>
      <c r="H25" s="784"/>
      <c r="I25" s="784"/>
      <c r="J25" s="784"/>
      <c r="K25" s="784"/>
      <c r="L25" s="1130"/>
      <c r="M25" s="1131"/>
      <c r="N25" s="784"/>
      <c r="O25" s="784"/>
    </row>
    <row r="26" spans="1:15" s="783" customFormat="1" ht="14.25" customHeight="1">
      <c r="A26" s="840"/>
      <c r="B26" s="777"/>
      <c r="C26" s="791"/>
      <c r="D26" s="804"/>
      <c r="E26" s="1129"/>
      <c r="F26" s="804"/>
      <c r="G26" s="804"/>
      <c r="H26" s="784"/>
      <c r="I26" s="784"/>
      <c r="J26" s="784"/>
      <c r="K26" s="784"/>
      <c r="L26" s="1130"/>
      <c r="M26" s="1131"/>
      <c r="N26" s="784"/>
    </row>
    <row r="27" spans="1:15" s="783" customFormat="1" ht="22.5" customHeight="1">
      <c r="A27" s="840"/>
      <c r="B27" s="777"/>
      <c r="C27" s="846"/>
      <c r="D27" s="847"/>
      <c r="E27" s="826"/>
      <c r="F27" s="847"/>
      <c r="G27" s="848"/>
      <c r="H27" s="849"/>
      <c r="I27" s="849"/>
      <c r="J27" s="849"/>
      <c r="K27" s="847"/>
      <c r="L27" s="850"/>
      <c r="M27" s="847"/>
      <c r="N27" s="784"/>
      <c r="O27" s="827"/>
    </row>
    <row r="28" spans="1:15" s="783" customFormat="1" ht="14.25" customHeight="1">
      <c r="A28" s="840"/>
      <c r="B28" s="777"/>
      <c r="C28" s="791"/>
      <c r="D28" s="828"/>
      <c r="E28" s="934"/>
      <c r="F28" s="791"/>
      <c r="G28" s="797"/>
      <c r="H28" s="833"/>
      <c r="I28" s="833"/>
      <c r="J28" s="833"/>
      <c r="K28" s="791"/>
      <c r="L28" s="834"/>
      <c r="M28" s="791"/>
      <c r="N28" s="784"/>
      <c r="O28" s="785"/>
    </row>
    <row r="29" spans="1:15" s="783" customFormat="1" ht="14.25" customHeight="1">
      <c r="A29" s="840"/>
      <c r="B29" s="777"/>
      <c r="C29" s="791"/>
      <c r="D29" s="786"/>
      <c r="E29" s="788"/>
      <c r="F29" s="791"/>
      <c r="G29" s="797"/>
      <c r="H29" s="833"/>
      <c r="I29" s="833"/>
      <c r="J29" s="833"/>
      <c r="K29" s="791"/>
      <c r="L29" s="834"/>
      <c r="M29" s="791"/>
      <c r="N29" s="784"/>
      <c r="O29" s="785"/>
    </row>
    <row r="30" spans="1:15" s="783" customFormat="1" ht="15.75">
      <c r="A30" s="840"/>
      <c r="B30" s="777"/>
      <c r="C30" s="791"/>
      <c r="D30" s="786"/>
      <c r="E30" s="788"/>
      <c r="F30" s="791"/>
      <c r="G30" s="797"/>
      <c r="H30" s="833"/>
      <c r="I30" s="833"/>
      <c r="J30" s="833"/>
      <c r="K30" s="791"/>
      <c r="L30" s="2429">
        <f>SUM(L6:L27)</f>
        <v>110000</v>
      </c>
      <c r="M30" s="791"/>
      <c r="N30" s="784"/>
      <c r="O30" s="785"/>
    </row>
    <row r="31" spans="1:15" s="783" customFormat="1" ht="12.75">
      <c r="A31" s="840"/>
      <c r="B31" s="777"/>
      <c r="C31" s="791"/>
      <c r="D31" s="820"/>
      <c r="E31" s="786"/>
      <c r="F31" s="791"/>
      <c r="G31" s="797"/>
      <c r="H31" s="833"/>
      <c r="I31" s="833"/>
      <c r="J31" s="833"/>
      <c r="K31" s="791"/>
      <c r="L31" s="834"/>
      <c r="M31" s="791"/>
      <c r="N31" s="784"/>
      <c r="O31" s="785"/>
    </row>
    <row r="32" spans="1:15">
      <c r="C32" s="58"/>
      <c r="D32" s="90"/>
      <c r="E32" s="94"/>
      <c r="F32" s="90"/>
      <c r="G32" s="91"/>
      <c r="H32" s="91"/>
      <c r="I32" s="91"/>
      <c r="J32" s="91"/>
      <c r="K32" s="92"/>
      <c r="L32" s="101"/>
      <c r="M32" s="91"/>
      <c r="N32" s="19"/>
      <c r="O32" s="91"/>
    </row>
    <row r="33" spans="1:15">
      <c r="A33" s="125"/>
      <c r="B33" s="63"/>
      <c r="C33" s="86"/>
      <c r="D33" s="87"/>
      <c r="E33" s="95"/>
      <c r="F33" s="87"/>
      <c r="G33" s="88"/>
      <c r="H33" s="89"/>
      <c r="I33" s="89"/>
      <c r="J33" s="89"/>
      <c r="K33" s="87"/>
      <c r="L33" s="98"/>
      <c r="M33" s="87"/>
      <c r="N33" s="19"/>
      <c r="O33" s="77"/>
    </row>
    <row r="34" spans="1:15">
      <c r="A34" s="125"/>
      <c r="B34" s="63"/>
      <c r="C34" s="58"/>
      <c r="D34" s="96"/>
      <c r="E34" s="96"/>
      <c r="F34" s="58"/>
      <c r="G34" s="59"/>
      <c r="H34" s="60"/>
      <c r="I34" s="60"/>
      <c r="J34" s="60"/>
      <c r="K34" s="58"/>
      <c r="L34" s="64"/>
      <c r="M34" s="58"/>
      <c r="N34" s="19"/>
      <c r="O34" s="62"/>
    </row>
    <row r="35" spans="1:15">
      <c r="A35" s="125"/>
      <c r="B35" s="63"/>
      <c r="C35" s="58"/>
      <c r="D35" s="78"/>
      <c r="E35" s="79"/>
      <c r="F35" s="80"/>
      <c r="G35" s="58"/>
      <c r="H35" s="59"/>
      <c r="I35" s="60"/>
      <c r="J35" s="60"/>
      <c r="K35" s="60"/>
      <c r="L35" s="100"/>
      <c r="M35" s="61"/>
      <c r="N35" s="58"/>
      <c r="O35" s="62"/>
    </row>
    <row r="36" spans="1:15">
      <c r="A36" s="125"/>
      <c r="B36" s="63"/>
      <c r="C36" s="58"/>
      <c r="D36" s="78"/>
      <c r="E36" s="79"/>
      <c r="F36" s="80"/>
      <c r="G36" s="58"/>
      <c r="H36" s="59"/>
      <c r="I36" s="60"/>
      <c r="J36" s="60"/>
      <c r="K36" s="60"/>
      <c r="L36" s="100"/>
      <c r="M36" s="61"/>
      <c r="N36" s="58"/>
      <c r="O36" s="62"/>
    </row>
    <row r="37" spans="1:15">
      <c r="A37" s="125"/>
      <c r="B37" s="63"/>
      <c r="C37" s="58"/>
      <c r="D37" s="78"/>
      <c r="E37" s="79"/>
      <c r="F37" s="80"/>
      <c r="G37" s="58"/>
      <c r="H37" s="59"/>
      <c r="I37" s="60"/>
      <c r="J37" s="60"/>
      <c r="K37" s="60"/>
      <c r="L37" s="100"/>
      <c r="M37" s="61"/>
      <c r="N37" s="58"/>
      <c r="O37" s="62"/>
    </row>
    <row r="38" spans="1:15">
      <c r="A38" s="125"/>
      <c r="B38" s="63"/>
      <c r="C38" s="58"/>
      <c r="D38" s="90"/>
      <c r="E38" s="94"/>
      <c r="F38" s="90"/>
      <c r="G38" s="90"/>
      <c r="H38" s="91"/>
      <c r="I38" s="91"/>
      <c r="J38" s="91"/>
      <c r="K38" s="91"/>
      <c r="L38" s="101"/>
      <c r="M38" s="93"/>
      <c r="N38" s="91"/>
      <c r="O38" s="124"/>
    </row>
    <row r="39" spans="1:15">
      <c r="A39" s="125"/>
      <c r="B39" s="63"/>
      <c r="C39" s="86"/>
      <c r="D39" s="87"/>
      <c r="E39" s="95"/>
      <c r="F39" s="87"/>
      <c r="G39" s="88"/>
      <c r="H39" s="89"/>
      <c r="I39" s="89"/>
      <c r="J39" s="89"/>
      <c r="K39" s="87"/>
      <c r="L39" s="98"/>
      <c r="M39" s="87"/>
      <c r="N39" s="19"/>
      <c r="O39" s="77"/>
    </row>
    <row r="40" spans="1:15">
      <c r="A40" s="125"/>
      <c r="B40" s="63"/>
      <c r="C40" s="58"/>
      <c r="D40" s="138"/>
      <c r="E40" s="96"/>
      <c r="F40" s="58"/>
      <c r="G40" s="59"/>
      <c r="H40" s="60"/>
      <c r="I40" s="60"/>
      <c r="J40" s="60"/>
      <c r="K40" s="58"/>
      <c r="L40" s="64"/>
      <c r="M40" s="58"/>
      <c r="N40" s="19"/>
      <c r="O40" s="62"/>
    </row>
    <row r="41" spans="1:15">
      <c r="A41" s="125"/>
      <c r="B41" s="63"/>
      <c r="C41" s="58"/>
      <c r="D41" s="79"/>
      <c r="E41" s="79"/>
      <c r="F41" s="58"/>
      <c r="G41" s="59"/>
      <c r="H41" s="60"/>
      <c r="I41" s="60"/>
      <c r="J41" s="60"/>
      <c r="K41" s="58"/>
      <c r="L41" s="64"/>
      <c r="M41" s="58"/>
      <c r="N41" s="19"/>
      <c r="O41" s="62"/>
    </row>
    <row r="42" spans="1:15">
      <c r="A42" s="125"/>
      <c r="B42" s="63"/>
      <c r="C42" s="58"/>
      <c r="D42" s="78"/>
      <c r="E42" s="79"/>
      <c r="F42" s="80"/>
      <c r="G42" s="58"/>
      <c r="H42" s="59"/>
      <c r="I42" s="60"/>
      <c r="J42" s="60"/>
      <c r="K42" s="60"/>
      <c r="L42" s="100"/>
      <c r="M42" s="61"/>
      <c r="N42" s="58"/>
      <c r="O42" s="62"/>
    </row>
    <row r="43" spans="1:15">
      <c r="A43" s="125"/>
      <c r="B43" s="63"/>
      <c r="C43" s="58"/>
      <c r="D43" s="78"/>
      <c r="E43" s="79"/>
      <c r="F43" s="80"/>
      <c r="G43" s="58"/>
      <c r="H43" s="59"/>
      <c r="I43" s="60"/>
      <c r="J43" s="60"/>
      <c r="K43" s="60"/>
      <c r="L43" s="100"/>
      <c r="M43" s="61"/>
      <c r="N43" s="58"/>
      <c r="O43" s="62"/>
    </row>
    <row r="44" spans="1:15">
      <c r="C44" s="58"/>
      <c r="D44" s="90"/>
      <c r="E44" s="94"/>
      <c r="F44" s="90"/>
      <c r="G44" s="90"/>
      <c r="H44" s="91"/>
      <c r="I44" s="91"/>
      <c r="J44" s="91"/>
      <c r="K44" s="91"/>
      <c r="L44" s="101"/>
      <c r="M44" s="93"/>
      <c r="N44" s="91"/>
      <c r="O44" s="124"/>
    </row>
    <row r="45" spans="1:15">
      <c r="C45" s="58"/>
      <c r="D45" s="90"/>
      <c r="E45" s="94"/>
      <c r="F45" s="90"/>
      <c r="G45" s="90"/>
      <c r="H45" s="91"/>
      <c r="I45" s="91"/>
      <c r="J45" s="91"/>
      <c r="K45" s="91"/>
      <c r="L45" s="101"/>
      <c r="M45" s="93"/>
      <c r="N45" s="91"/>
      <c r="O45" s="124"/>
    </row>
    <row r="46" spans="1:15">
      <c r="A46" s="125"/>
      <c r="B46" s="63"/>
      <c r="C46" s="86"/>
      <c r="D46" s="87"/>
      <c r="E46" s="86"/>
      <c r="F46" s="87"/>
      <c r="G46" s="88"/>
      <c r="H46" s="89"/>
      <c r="I46" s="89"/>
      <c r="J46" s="89"/>
      <c r="K46" s="87"/>
      <c r="L46" s="98"/>
      <c r="M46" s="87"/>
      <c r="N46" s="77"/>
    </row>
    <row r="47" spans="1:15">
      <c r="A47" s="125"/>
      <c r="B47" s="63"/>
      <c r="C47" s="58"/>
      <c r="D47" s="139"/>
      <c r="E47" s="19"/>
      <c r="F47" s="58"/>
      <c r="G47" s="59"/>
      <c r="H47" s="60"/>
      <c r="I47" s="60"/>
      <c r="J47" s="60"/>
      <c r="K47" s="58"/>
      <c r="L47" s="64"/>
      <c r="M47" s="58"/>
      <c r="N47" s="62"/>
    </row>
    <row r="48" spans="1:15">
      <c r="A48" s="125"/>
      <c r="B48" s="63"/>
      <c r="C48" s="58"/>
      <c r="D48" s="81"/>
      <c r="E48" s="19"/>
      <c r="F48" s="81"/>
      <c r="G48" s="58"/>
      <c r="H48" s="59"/>
      <c r="I48" s="60"/>
      <c r="J48" s="60"/>
      <c r="K48" s="60"/>
      <c r="L48" s="100"/>
      <c r="M48" s="61"/>
      <c r="N48" s="58"/>
      <c r="O48" s="62"/>
    </row>
    <row r="49" spans="1:15">
      <c r="A49" s="125"/>
      <c r="B49" s="63"/>
      <c r="C49" s="58"/>
      <c r="D49" s="78"/>
      <c r="E49" s="81"/>
      <c r="F49" s="81"/>
      <c r="G49" s="58"/>
      <c r="H49" s="59"/>
      <c r="I49" s="60"/>
      <c r="J49" s="60"/>
      <c r="K49" s="60"/>
      <c r="L49" s="100"/>
      <c r="M49" s="61"/>
      <c r="N49" s="58"/>
      <c r="O49" s="62"/>
    </row>
    <row r="50" spans="1:15">
      <c r="A50" s="125"/>
      <c r="B50" s="63"/>
      <c r="C50" s="58"/>
      <c r="D50" s="78"/>
      <c r="E50" s="81"/>
      <c r="F50" s="81"/>
      <c r="G50" s="58"/>
      <c r="H50" s="59"/>
      <c r="I50" s="60"/>
      <c r="J50" s="60"/>
      <c r="K50" s="60"/>
      <c r="L50" s="100"/>
      <c r="M50" s="61"/>
      <c r="N50" s="58"/>
      <c r="O50" s="62"/>
    </row>
    <row r="51" spans="1:15">
      <c r="C51" s="58"/>
      <c r="D51" s="90"/>
      <c r="E51" s="94"/>
      <c r="F51" s="90"/>
      <c r="G51" s="90"/>
      <c r="H51" s="91"/>
      <c r="I51" s="91"/>
      <c r="J51" s="91"/>
      <c r="K51" s="91"/>
      <c r="L51" s="101"/>
      <c r="M51" s="93"/>
      <c r="N51" s="91"/>
      <c r="O51" s="124"/>
    </row>
    <row r="52" spans="1:15">
      <c r="A52" s="58"/>
      <c r="B52" s="63"/>
      <c r="C52" s="86"/>
      <c r="D52" s="87"/>
      <c r="E52" s="95"/>
      <c r="F52" s="87"/>
      <c r="G52" s="88"/>
      <c r="H52" s="89"/>
      <c r="I52" s="89"/>
      <c r="J52" s="89"/>
      <c r="K52" s="87"/>
      <c r="L52" s="98"/>
      <c r="M52" s="87"/>
      <c r="O52" s="77"/>
    </row>
    <row r="53" spans="1:15">
      <c r="A53" s="58"/>
      <c r="B53" s="63"/>
      <c r="C53" s="58"/>
      <c r="D53" s="96"/>
      <c r="E53" s="19"/>
      <c r="F53" s="109"/>
      <c r="G53" s="59"/>
      <c r="H53" s="60"/>
      <c r="I53" s="60"/>
      <c r="J53" s="60"/>
      <c r="K53" s="58"/>
      <c r="L53" s="64"/>
      <c r="M53" s="58"/>
      <c r="O53" s="62"/>
    </row>
    <row r="54" spans="1:15">
      <c r="A54" s="58"/>
      <c r="B54" s="63"/>
      <c r="C54" s="58"/>
      <c r="D54" s="79"/>
      <c r="E54" s="19"/>
      <c r="F54" s="109"/>
      <c r="G54" s="59"/>
      <c r="H54" s="60"/>
      <c r="I54" s="60"/>
      <c r="J54" s="60"/>
      <c r="K54" s="58"/>
      <c r="L54" s="64"/>
      <c r="M54" s="58"/>
      <c r="O54" s="62"/>
    </row>
    <row r="55" spans="1:15">
      <c r="A55" s="58"/>
      <c r="B55" s="63"/>
      <c r="C55" s="58"/>
      <c r="D55" s="79"/>
      <c r="E55" s="19"/>
      <c r="F55" s="80"/>
      <c r="G55" s="58"/>
      <c r="H55" s="59"/>
      <c r="I55" s="60"/>
      <c r="J55" s="60"/>
      <c r="K55" s="60"/>
      <c r="L55" s="100"/>
      <c r="M55" s="61"/>
      <c r="N55" s="58"/>
      <c r="O55" s="62"/>
    </row>
    <row r="56" spans="1:15">
      <c r="A56" s="58"/>
      <c r="B56" s="63"/>
      <c r="C56" s="58"/>
      <c r="D56" s="78"/>
      <c r="E56" s="79"/>
      <c r="F56" s="81"/>
      <c r="G56" s="58"/>
      <c r="H56" s="59"/>
      <c r="I56" s="60"/>
      <c r="J56" s="60"/>
      <c r="K56" s="60"/>
      <c r="L56" s="100"/>
      <c r="M56" s="61"/>
      <c r="N56" s="58"/>
      <c r="O56" s="62"/>
    </row>
    <row r="57" spans="1:15">
      <c r="D57" s="90"/>
      <c r="E57" s="94"/>
      <c r="F57" s="90"/>
      <c r="G57" s="90"/>
      <c r="H57" s="91"/>
      <c r="I57" s="91"/>
      <c r="J57" s="91"/>
      <c r="K57" s="91"/>
      <c r="L57" s="101"/>
      <c r="M57" s="93"/>
      <c r="N57" s="91"/>
      <c r="O57" s="91"/>
    </row>
    <row r="58" spans="1:15">
      <c r="C58" s="58"/>
      <c r="D58" s="90"/>
      <c r="E58" s="94"/>
      <c r="F58" s="90"/>
      <c r="G58" s="90"/>
      <c r="H58" s="91"/>
      <c r="I58" s="91"/>
      <c r="J58" s="91"/>
      <c r="K58" s="91"/>
      <c r="L58" s="101"/>
      <c r="M58" s="93"/>
      <c r="N58" s="91"/>
      <c r="O58" s="124"/>
    </row>
    <row r="59" spans="1:15">
      <c r="C59" s="58"/>
      <c r="D59" s="90"/>
      <c r="E59" s="94"/>
      <c r="F59" s="90"/>
      <c r="G59" s="90"/>
      <c r="H59" s="91"/>
      <c r="I59" s="91"/>
      <c r="J59" s="91"/>
      <c r="K59" s="91"/>
      <c r="L59" s="101"/>
      <c r="M59" s="93"/>
      <c r="N59" s="91"/>
      <c r="O59" s="124"/>
    </row>
    <row r="60" spans="1:15">
      <c r="C60" s="58"/>
      <c r="D60" s="90"/>
      <c r="E60" s="94"/>
      <c r="F60" s="90"/>
      <c r="G60" s="90"/>
      <c r="H60" s="91"/>
      <c r="I60" s="91"/>
      <c r="J60" s="91"/>
      <c r="K60" s="91"/>
      <c r="L60" s="101"/>
      <c r="M60" s="93"/>
      <c r="N60" s="91"/>
      <c r="O60" s="124"/>
    </row>
    <row r="61" spans="1:15">
      <c r="C61" s="58"/>
      <c r="D61" s="90"/>
      <c r="E61" s="94"/>
      <c r="F61" s="90"/>
      <c r="G61" s="90"/>
      <c r="H61" s="91"/>
      <c r="I61" s="91"/>
      <c r="J61" s="91"/>
      <c r="K61" s="91"/>
      <c r="L61" s="101"/>
      <c r="M61" s="93"/>
      <c r="N61" s="91"/>
      <c r="O61" s="124"/>
    </row>
    <row r="62" spans="1:15">
      <c r="C62" s="58"/>
      <c r="D62" s="90"/>
      <c r="E62" s="94"/>
      <c r="F62" s="90"/>
      <c r="G62" s="90"/>
      <c r="H62" s="91"/>
      <c r="I62" s="91"/>
      <c r="J62" s="91"/>
      <c r="K62" s="91"/>
      <c r="L62" s="101"/>
      <c r="M62" s="93"/>
      <c r="N62" s="91"/>
      <c r="O62" s="124"/>
    </row>
    <row r="63" spans="1:15">
      <c r="C63" s="58"/>
      <c r="D63" s="90"/>
      <c r="E63" s="94"/>
      <c r="F63" s="90"/>
      <c r="G63" s="90"/>
      <c r="H63" s="91"/>
      <c r="I63" s="91"/>
      <c r="J63" s="91"/>
      <c r="K63" s="91"/>
      <c r="L63" s="101"/>
      <c r="M63" s="93"/>
      <c r="N63" s="91"/>
      <c r="O63" s="124"/>
    </row>
    <row r="64" spans="1:15">
      <c r="C64" s="58"/>
      <c r="D64" s="90"/>
      <c r="E64" s="94"/>
      <c r="F64" s="90"/>
      <c r="G64" s="90"/>
      <c r="H64" s="91"/>
      <c r="I64" s="91"/>
      <c r="J64" s="91"/>
      <c r="K64" s="91"/>
      <c r="L64" s="216">
        <f>SUM(L6:L63)</f>
        <v>220000</v>
      </c>
      <c r="M64" s="93"/>
      <c r="N64" s="91"/>
      <c r="O64" s="124"/>
    </row>
    <row r="65" spans="3:15">
      <c r="C65" s="58"/>
      <c r="D65" s="90"/>
      <c r="E65" s="94"/>
      <c r="F65" s="90"/>
      <c r="G65" s="90"/>
      <c r="H65" s="91"/>
      <c r="I65" s="91"/>
      <c r="J65" s="91"/>
      <c r="K65" s="91"/>
      <c r="L65" s="101"/>
      <c r="M65" s="93"/>
      <c r="N65" s="91"/>
      <c r="O65" s="124"/>
    </row>
    <row r="66" spans="3:15">
      <c r="C66" s="58"/>
      <c r="D66" s="90"/>
      <c r="E66" s="94"/>
      <c r="F66" s="90"/>
      <c r="G66" s="90"/>
      <c r="H66" s="91"/>
      <c r="I66" s="91"/>
      <c r="J66" s="91"/>
      <c r="K66" s="91"/>
      <c r="L66" s="101"/>
      <c r="M66" s="93"/>
      <c r="N66" s="91"/>
      <c r="O66" s="124"/>
    </row>
    <row r="67" spans="3:15">
      <c r="C67" s="8"/>
      <c r="D67" s="8"/>
      <c r="E67" s="7"/>
      <c r="F67" s="6"/>
      <c r="G67" s="6"/>
      <c r="H67" s="5"/>
      <c r="I67" s="5"/>
      <c r="J67" s="5"/>
      <c r="K67" s="6"/>
      <c r="L67" s="178"/>
      <c r="M67" s="6"/>
      <c r="N67" s="2"/>
    </row>
    <row r="68" spans="3:15">
      <c r="C68" s="8"/>
      <c r="D68" s="8"/>
      <c r="E68" s="7"/>
      <c r="F68" s="6"/>
      <c r="G68" s="6"/>
      <c r="H68" s="5"/>
      <c r="I68" s="5"/>
      <c r="J68" s="5"/>
      <c r="K68" s="6"/>
      <c r="L68" s="178"/>
      <c r="M68" s="6"/>
      <c r="N68" s="2"/>
    </row>
    <row r="69" spans="3:15">
      <c r="C69" s="8"/>
      <c r="D69" s="8"/>
      <c r="E69" s="7"/>
      <c r="F69" s="6"/>
      <c r="G69" s="6"/>
      <c r="H69" s="5"/>
      <c r="I69" s="5"/>
      <c r="J69" s="5"/>
      <c r="K69" s="6"/>
      <c r="L69" s="178"/>
      <c r="M69" s="6"/>
      <c r="N69" s="2"/>
    </row>
    <row r="70" spans="3:15">
      <c r="C70" s="8"/>
      <c r="D70" s="8"/>
      <c r="E70" s="7"/>
      <c r="F70" s="6"/>
      <c r="G70" s="6"/>
      <c r="H70" s="5"/>
      <c r="I70" s="5"/>
      <c r="J70" s="5"/>
      <c r="K70" s="6"/>
      <c r="L70" s="178"/>
      <c r="M70" s="6"/>
      <c r="N70" s="2"/>
    </row>
    <row r="71" spans="3:15">
      <c r="C71" s="8"/>
      <c r="D71" s="8"/>
      <c r="E71" s="7"/>
      <c r="F71" s="6"/>
      <c r="G71" s="6"/>
      <c r="H71" s="5"/>
      <c r="I71" s="5"/>
      <c r="J71" s="5"/>
      <c r="K71" s="6"/>
      <c r="L71" s="178"/>
      <c r="M71" s="6"/>
      <c r="N71" s="2"/>
    </row>
    <row r="72" spans="3:15">
      <c r="C72" s="8"/>
      <c r="D72" s="8"/>
      <c r="E72" s="7"/>
      <c r="F72" s="6"/>
      <c r="G72" s="6"/>
      <c r="H72" s="5"/>
      <c r="I72" s="5"/>
      <c r="J72" s="5"/>
      <c r="K72" s="6"/>
      <c r="L72" s="178"/>
      <c r="M72" s="6"/>
      <c r="N72" s="2"/>
    </row>
    <row r="73" spans="3:15">
      <c r="C73" s="8"/>
      <c r="D73" s="8"/>
      <c r="E73" s="7"/>
      <c r="F73" s="6"/>
      <c r="G73" s="6"/>
      <c r="H73" s="5"/>
      <c r="I73" s="5"/>
      <c r="J73" s="5"/>
      <c r="K73" s="6"/>
      <c r="L73" s="178"/>
      <c r="M73" s="6"/>
      <c r="N73" s="2"/>
    </row>
    <row r="74" spans="3:15">
      <c r="C74" s="8"/>
      <c r="D74" s="8"/>
      <c r="E74" s="7"/>
      <c r="F74" s="6"/>
      <c r="G74" s="6"/>
      <c r="H74" s="5"/>
      <c r="I74" s="5"/>
      <c r="J74" s="5"/>
      <c r="K74" s="6"/>
      <c r="L74" s="108"/>
      <c r="M74" s="6"/>
      <c r="N74" s="2"/>
    </row>
    <row r="75" spans="3:15">
      <c r="C75" s="8"/>
      <c r="D75" s="8"/>
      <c r="E75" s="7"/>
      <c r="F75" s="6"/>
      <c r="G75" s="6"/>
      <c r="H75" s="5"/>
      <c r="I75" s="5"/>
      <c r="J75" s="5"/>
      <c r="K75" s="6"/>
      <c r="L75" s="178"/>
      <c r="M75" s="6"/>
      <c r="N75" s="2"/>
    </row>
    <row r="76" spans="3:15">
      <c r="C76" s="8"/>
      <c r="D76" s="8"/>
      <c r="E76" s="7"/>
      <c r="F76" s="6"/>
      <c r="G76" s="6"/>
      <c r="H76" s="5"/>
      <c r="I76" s="5"/>
      <c r="J76" s="5"/>
      <c r="K76" s="6"/>
      <c r="L76" s="178"/>
      <c r="M76" s="6"/>
      <c r="N76" s="2"/>
    </row>
    <row r="77" spans="3:15">
      <c r="C77" s="8"/>
      <c r="D77" s="8"/>
      <c r="E77" s="7"/>
      <c r="F77" s="6"/>
      <c r="G77" s="6"/>
      <c r="H77" s="5"/>
      <c r="I77" s="5"/>
      <c r="J77" s="5"/>
      <c r="K77" s="6"/>
      <c r="L77" s="178"/>
      <c r="M77" s="6"/>
      <c r="N77" s="2"/>
    </row>
    <row r="78" spans="3:15">
      <c r="C78" s="8"/>
      <c r="D78" s="8"/>
      <c r="E78" s="7"/>
      <c r="F78" s="6"/>
      <c r="G78" s="6"/>
      <c r="H78" s="5"/>
      <c r="I78" s="5"/>
      <c r="J78" s="5"/>
      <c r="K78" s="6"/>
      <c r="L78" s="178"/>
      <c r="M78" s="6"/>
      <c r="N78" s="2"/>
    </row>
    <row r="79" spans="3:15">
      <c r="C79" s="8"/>
      <c r="D79" s="8"/>
      <c r="E79" s="7"/>
      <c r="F79" s="6"/>
      <c r="G79" s="6"/>
      <c r="H79" s="5"/>
      <c r="I79" s="5"/>
      <c r="J79" s="5"/>
      <c r="K79" s="6"/>
      <c r="L79" s="178"/>
      <c r="M79" s="6"/>
      <c r="N79" s="2"/>
    </row>
    <row r="80" spans="3:15" ht="14.25" customHeight="1">
      <c r="C80" s="8"/>
      <c r="D80" s="8"/>
      <c r="E80" s="7"/>
      <c r="F80" s="6"/>
      <c r="G80" s="6"/>
      <c r="H80" s="5"/>
      <c r="I80" s="5"/>
      <c r="J80" s="5"/>
      <c r="K80" s="6"/>
      <c r="L80" s="178"/>
      <c r="M80" s="6"/>
      <c r="N80" s="2"/>
    </row>
    <row r="81" spans="3:14" ht="14.25" customHeight="1">
      <c r="C81" s="8"/>
      <c r="D81" s="8"/>
      <c r="E81" s="7"/>
      <c r="F81" s="6"/>
      <c r="G81" s="6"/>
      <c r="H81" s="5"/>
      <c r="I81" s="5"/>
      <c r="J81" s="5"/>
      <c r="K81" s="6"/>
      <c r="L81" s="178"/>
      <c r="M81" s="6"/>
      <c r="N81" s="2"/>
    </row>
    <row r="82" spans="3:14" ht="14.25" customHeight="1">
      <c r="C82" s="8"/>
      <c r="D82" s="8"/>
      <c r="E82" s="7"/>
      <c r="F82" s="6"/>
      <c r="G82" s="6"/>
      <c r="H82" s="5"/>
      <c r="I82" s="5"/>
      <c r="J82" s="5"/>
      <c r="K82" s="6"/>
      <c r="L82" s="178"/>
      <c r="M82" s="6"/>
      <c r="N82" s="2"/>
    </row>
    <row r="83" spans="3:14" ht="14.25" customHeight="1">
      <c r="C83" s="8"/>
      <c r="D83" s="8"/>
      <c r="E83" s="7"/>
      <c r="F83" s="6"/>
      <c r="G83" s="6"/>
      <c r="H83" s="5"/>
      <c r="I83" s="5"/>
      <c r="J83" s="5"/>
      <c r="K83" s="6"/>
      <c r="L83" s="178"/>
      <c r="M83" s="6"/>
      <c r="N83" s="2"/>
    </row>
    <row r="84" spans="3:14" ht="14.25" customHeight="1">
      <c r="C84" s="8"/>
      <c r="D84" s="8"/>
      <c r="E84" s="7"/>
      <c r="F84" s="6"/>
      <c r="G84" s="6"/>
      <c r="H84" s="5"/>
      <c r="I84" s="5"/>
      <c r="J84" s="5"/>
      <c r="K84" s="6"/>
      <c r="L84" s="178"/>
      <c r="M84" s="6"/>
      <c r="N84" s="2"/>
    </row>
    <row r="85" spans="3:14" ht="14.25" customHeight="1">
      <c r="C85" s="8"/>
      <c r="D85" s="8"/>
      <c r="E85" s="7"/>
      <c r="F85" s="6"/>
      <c r="G85" s="6"/>
      <c r="H85" s="5"/>
      <c r="I85" s="5"/>
      <c r="J85" s="5"/>
      <c r="K85" s="6"/>
      <c r="L85" s="178"/>
      <c r="M85" s="6"/>
      <c r="N85" s="2"/>
    </row>
    <row r="86" spans="3:14" ht="14.25" customHeight="1">
      <c r="C86" s="8"/>
      <c r="D86" s="8"/>
      <c r="E86" s="7"/>
      <c r="F86" s="6"/>
      <c r="G86" s="6"/>
      <c r="H86" s="5"/>
      <c r="I86" s="5"/>
      <c r="J86" s="5"/>
      <c r="K86" s="6"/>
      <c r="L86" s="178"/>
      <c r="M86" s="6"/>
      <c r="N86" s="2"/>
    </row>
    <row r="87" spans="3:14" ht="14.25" customHeight="1">
      <c r="C87" s="8"/>
      <c r="D87" s="8"/>
      <c r="E87" s="7"/>
      <c r="F87" s="6"/>
      <c r="G87" s="6"/>
      <c r="H87" s="5"/>
      <c r="I87" s="5"/>
      <c r="J87" s="5"/>
      <c r="K87" s="6"/>
      <c r="L87" s="178"/>
      <c r="M87" s="6"/>
      <c r="N87" s="2"/>
    </row>
    <row r="88" spans="3:14" ht="14.25" customHeight="1">
      <c r="C88" s="8"/>
      <c r="D88" s="8"/>
      <c r="E88" s="7"/>
      <c r="F88" s="6"/>
      <c r="G88" s="6"/>
      <c r="H88" s="5"/>
      <c r="I88" s="5"/>
      <c r="J88" s="5"/>
      <c r="K88" s="6"/>
      <c r="L88" s="178"/>
      <c r="M88" s="6"/>
      <c r="N88" s="2"/>
    </row>
    <row r="89" spans="3:14" ht="14.25" customHeight="1">
      <c r="C89" s="8"/>
      <c r="D89" s="8"/>
      <c r="E89" s="7"/>
      <c r="F89" s="6"/>
      <c r="G89" s="6"/>
      <c r="H89" s="5"/>
      <c r="I89" s="5"/>
      <c r="J89" s="5"/>
      <c r="K89" s="6"/>
      <c r="L89" s="178"/>
      <c r="M89" s="6"/>
      <c r="N89" s="2"/>
    </row>
    <row r="90" spans="3:14" ht="14.25" customHeight="1">
      <c r="C90" s="8"/>
      <c r="D90" s="8"/>
      <c r="E90" s="7"/>
      <c r="F90" s="6"/>
      <c r="G90" s="6"/>
      <c r="H90" s="5"/>
      <c r="I90" s="5"/>
      <c r="J90" s="5"/>
      <c r="K90" s="6"/>
      <c r="L90" s="178"/>
      <c r="M90" s="6"/>
      <c r="N90" s="2"/>
    </row>
    <row r="91" spans="3:14" ht="14.25" customHeight="1">
      <c r="C91" s="8"/>
      <c r="D91" s="8"/>
      <c r="E91" s="7"/>
      <c r="F91" s="6"/>
      <c r="G91" s="6"/>
      <c r="H91" s="5"/>
      <c r="I91" s="5"/>
      <c r="J91" s="5"/>
      <c r="K91" s="6"/>
      <c r="L91" s="178"/>
      <c r="M91" s="6"/>
      <c r="N91" s="2"/>
    </row>
    <row r="92" spans="3:14" ht="14.25" customHeight="1">
      <c r="C92" s="8"/>
      <c r="D92" s="8"/>
      <c r="E92" s="7"/>
      <c r="F92" s="6"/>
      <c r="G92" s="6"/>
      <c r="H92" s="5"/>
      <c r="I92" s="5"/>
      <c r="J92" s="5"/>
      <c r="K92" s="6"/>
      <c r="L92" s="178"/>
      <c r="M92" s="6"/>
      <c r="N92" s="2"/>
    </row>
    <row r="93" spans="3:14" ht="14.25" customHeight="1">
      <c r="C93" s="8"/>
      <c r="D93" s="8"/>
      <c r="E93" s="7"/>
      <c r="F93" s="6"/>
      <c r="G93" s="6"/>
      <c r="H93" s="5"/>
      <c r="I93" s="5"/>
      <c r="J93" s="5"/>
      <c r="K93" s="6"/>
      <c r="L93" s="178"/>
      <c r="M93" s="6"/>
      <c r="N93" s="2"/>
    </row>
    <row r="94" spans="3:14" ht="14.25" customHeight="1">
      <c r="C94" s="8"/>
      <c r="D94" s="8"/>
      <c r="E94" s="7"/>
      <c r="F94" s="6"/>
      <c r="G94" s="6"/>
      <c r="H94" s="5"/>
      <c r="I94" s="5"/>
      <c r="J94" s="5"/>
      <c r="K94" s="6"/>
      <c r="L94" s="178"/>
      <c r="M94" s="6"/>
      <c r="N94" s="2"/>
    </row>
    <row r="95" spans="3:14" ht="14.25" customHeight="1">
      <c r="C95" s="8"/>
      <c r="D95" s="8"/>
      <c r="E95" s="7"/>
      <c r="F95" s="6"/>
      <c r="G95" s="6"/>
      <c r="H95" s="5"/>
      <c r="I95" s="5"/>
      <c r="J95" s="5"/>
      <c r="K95" s="6"/>
      <c r="L95" s="178"/>
      <c r="M95" s="3"/>
      <c r="N95" s="2"/>
    </row>
    <row r="96" spans="3:14" ht="14.25" customHeight="1">
      <c r="C96" s="8"/>
      <c r="D96" s="8"/>
      <c r="E96" s="7"/>
      <c r="F96" s="6"/>
      <c r="G96" s="5"/>
      <c r="H96" s="5"/>
      <c r="I96" s="5"/>
      <c r="J96" s="5"/>
      <c r="K96" s="4"/>
      <c r="L96" s="178"/>
      <c r="M96" s="3"/>
      <c r="N96" s="2"/>
    </row>
    <row r="97" spans="3:14" ht="14.25" customHeight="1">
      <c r="C97" s="19"/>
      <c r="D97" s="19"/>
      <c r="E97" s="19"/>
      <c r="F97" s="19"/>
      <c r="G97" s="19"/>
      <c r="H97" s="19"/>
      <c r="I97" s="19"/>
      <c r="J97" s="19"/>
      <c r="K97" s="19"/>
      <c r="L97" s="146"/>
      <c r="M97" s="19"/>
      <c r="N97" s="19"/>
    </row>
    <row r="98" spans="3:14" ht="14.25" customHeight="1">
      <c r="C98" s="31"/>
      <c r="D98" s="27"/>
      <c r="E98" s="20"/>
      <c r="F98" s="28"/>
      <c r="G98" s="28"/>
      <c r="H98" s="26"/>
      <c r="I98" s="26"/>
      <c r="J98" s="26"/>
      <c r="K98" s="28"/>
      <c r="L98" s="179"/>
      <c r="M98" s="28"/>
      <c r="N98" s="27"/>
    </row>
    <row r="99" spans="3:14" s="1" customFormat="1" ht="14.25" customHeight="1">
      <c r="C99" s="31"/>
      <c r="D99" s="27"/>
      <c r="E99" s="21"/>
      <c r="F99" s="28"/>
      <c r="G99" s="28"/>
      <c r="H99" s="26"/>
      <c r="I99" s="26"/>
      <c r="J99" s="26"/>
      <c r="K99" s="28"/>
      <c r="L99" s="179"/>
      <c r="M99" s="28"/>
      <c r="N99" s="27"/>
    </row>
    <row r="100" spans="3:14" s="1" customFormat="1" ht="14.25" customHeight="1">
      <c r="C100" s="30"/>
      <c r="D100" s="25"/>
      <c r="E100" s="21"/>
      <c r="F100" s="22"/>
      <c r="G100" s="22"/>
      <c r="H100" s="23"/>
      <c r="I100" s="23"/>
      <c r="J100" s="23"/>
      <c r="K100" s="22"/>
      <c r="L100" s="180"/>
      <c r="M100" s="22"/>
      <c r="N100" s="25"/>
    </row>
  </sheetData>
  <mergeCells count="14">
    <mergeCell ref="O7:O9"/>
    <mergeCell ref="C13:C15"/>
    <mergeCell ref="D13:D15"/>
    <mergeCell ref="C2:G2"/>
    <mergeCell ref="H2:J2"/>
    <mergeCell ref="K2:L2"/>
    <mergeCell ref="M2:M3"/>
    <mergeCell ref="N2:N3"/>
    <mergeCell ref="E6:F6"/>
    <mergeCell ref="N13:N15"/>
    <mergeCell ref="E12:E15"/>
    <mergeCell ref="C7:C9"/>
    <mergeCell ref="D7:D9"/>
    <mergeCell ref="M7:M9"/>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6A0B0-210D-45E7-B9E5-31100220EF0C}">
  <sheetPr>
    <tabColor rgb="FF92D050"/>
  </sheetPr>
  <dimension ref="A2:Q62"/>
  <sheetViews>
    <sheetView topLeftCell="A20" zoomScale="85" zoomScaleNormal="85" workbookViewId="0">
      <selection activeCell="K43" sqref="K43"/>
    </sheetView>
  </sheetViews>
  <sheetFormatPr defaultRowHeight="15"/>
  <cols>
    <col min="3" max="3" width="21.42578125" customWidth="1"/>
    <col min="4" max="4" width="16.85546875" customWidth="1"/>
    <col min="5" max="5" width="26" customWidth="1"/>
    <col min="6" max="6" width="16.7109375" customWidth="1"/>
    <col min="7" max="7" width="11.7109375" customWidth="1"/>
    <col min="8" max="8" width="13.7109375" customWidth="1"/>
    <col min="10" max="10" width="12.5703125" customWidth="1"/>
    <col min="11" max="11" width="14.5703125" customWidth="1"/>
    <col min="12" max="12" width="15.5703125" customWidth="1"/>
    <col min="13" max="13" width="16.28515625" customWidth="1"/>
    <col min="14" max="14" width="12.85546875" customWidth="1"/>
  </cols>
  <sheetData>
    <row r="2" spans="1:17">
      <c r="C2" s="2627" t="s">
        <v>30</v>
      </c>
      <c r="D2" s="2627"/>
      <c r="E2" s="2627"/>
      <c r="F2" s="2627"/>
      <c r="G2" s="2627"/>
      <c r="H2" s="2628" t="s">
        <v>29</v>
      </c>
      <c r="I2" s="2628"/>
      <c r="J2" s="2628"/>
      <c r="K2" s="2627" t="s">
        <v>28</v>
      </c>
      <c r="L2" s="2627"/>
      <c r="M2" s="2628" t="s">
        <v>27</v>
      </c>
      <c r="N2" s="2628" t="s">
        <v>26</v>
      </c>
    </row>
    <row r="3" spans="1:17" ht="72">
      <c r="C3" s="10" t="s">
        <v>25</v>
      </c>
      <c r="D3" s="13" t="s">
        <v>24</v>
      </c>
      <c r="E3" s="12" t="s">
        <v>23</v>
      </c>
      <c r="F3" s="10" t="s">
        <v>22</v>
      </c>
      <c r="G3" s="11" t="s">
        <v>21</v>
      </c>
      <c r="H3" s="11" t="s">
        <v>20</v>
      </c>
      <c r="I3" s="11" t="s">
        <v>19</v>
      </c>
      <c r="J3" s="11" t="s">
        <v>18</v>
      </c>
      <c r="K3" s="10" t="s">
        <v>17</v>
      </c>
      <c r="L3" s="10" t="s">
        <v>16</v>
      </c>
      <c r="M3" s="2628"/>
      <c r="N3" s="2628"/>
    </row>
    <row r="4" spans="1:17">
      <c r="C4" s="9" t="s">
        <v>15</v>
      </c>
      <c r="D4" s="9" t="s">
        <v>14</v>
      </c>
      <c r="E4" s="9" t="s">
        <v>13</v>
      </c>
      <c r="F4" s="9" t="s">
        <v>12</v>
      </c>
      <c r="G4" s="9" t="s">
        <v>11</v>
      </c>
      <c r="H4" s="9" t="s">
        <v>10</v>
      </c>
      <c r="I4" s="9" t="s">
        <v>9</v>
      </c>
      <c r="J4" s="9" t="s">
        <v>8</v>
      </c>
      <c r="K4" s="9" t="s">
        <v>7</v>
      </c>
      <c r="L4" s="9" t="s">
        <v>6</v>
      </c>
      <c r="M4" s="9" t="s">
        <v>5</v>
      </c>
      <c r="N4" s="9" t="s">
        <v>4</v>
      </c>
    </row>
    <row r="5" spans="1:17" s="783" customFormat="1" ht="12.75">
      <c r="C5" s="1251" t="s">
        <v>113</v>
      </c>
      <c r="D5" s="1185"/>
      <c r="E5" s="1186"/>
      <c r="F5" s="1185"/>
      <c r="G5" s="1185"/>
      <c r="H5" s="1185"/>
      <c r="I5" s="1185"/>
      <c r="J5" s="1185"/>
      <c r="K5" s="1185"/>
      <c r="L5" s="1185"/>
      <c r="M5" s="1185"/>
      <c r="N5" s="1185"/>
    </row>
    <row r="6" spans="1:17" s="777" customFormat="1" ht="15" customHeight="1">
      <c r="A6" s="776" t="s">
        <v>101</v>
      </c>
      <c r="B6" s="777" t="s">
        <v>102</v>
      </c>
      <c r="C6" s="831" t="s">
        <v>112</v>
      </c>
      <c r="D6" s="820"/>
      <c r="E6" s="786" t="s">
        <v>103</v>
      </c>
      <c r="F6" s="788"/>
      <c r="G6" s="791"/>
      <c r="H6" s="797"/>
      <c r="I6" s="833"/>
      <c r="J6" s="833"/>
      <c r="K6" s="791" t="s">
        <v>104</v>
      </c>
      <c r="M6" s="836"/>
      <c r="N6" s="791"/>
      <c r="O6" s="1216"/>
    </row>
    <row r="7" spans="1:17" s="783" customFormat="1" ht="14.25" customHeight="1">
      <c r="A7" s="776" t="s">
        <v>101</v>
      </c>
      <c r="B7" s="777" t="s">
        <v>102</v>
      </c>
      <c r="C7" s="791" t="s">
        <v>105</v>
      </c>
      <c r="D7" s="820"/>
      <c r="E7" s="786" t="s">
        <v>106</v>
      </c>
      <c r="F7" s="788"/>
      <c r="G7" s="791"/>
      <c r="H7" s="797"/>
      <c r="I7" s="833"/>
      <c r="J7" s="833"/>
      <c r="K7" s="833"/>
      <c r="L7" s="791"/>
      <c r="M7" s="836"/>
      <c r="N7" s="791"/>
      <c r="O7" s="1216"/>
    </row>
    <row r="8" spans="1:17" s="783" customFormat="1" ht="14.25" customHeight="1">
      <c r="A8" s="776" t="s">
        <v>101</v>
      </c>
      <c r="B8" s="777" t="s">
        <v>102</v>
      </c>
      <c r="C8" s="791" t="s">
        <v>107</v>
      </c>
      <c r="D8" s="820"/>
      <c r="E8" s="786" t="s">
        <v>108</v>
      </c>
      <c r="F8" s="788"/>
      <c r="G8" s="791"/>
      <c r="H8" s="797"/>
      <c r="I8" s="833"/>
      <c r="J8" s="833"/>
      <c r="K8" s="833"/>
      <c r="L8" s="791"/>
      <c r="M8" s="836"/>
      <c r="N8" s="791"/>
      <c r="O8" s="1216"/>
    </row>
    <row r="9" spans="1:17" s="783" customFormat="1" ht="14.25" customHeight="1">
      <c r="A9" s="776" t="s">
        <v>101</v>
      </c>
      <c r="B9" s="777" t="s">
        <v>102</v>
      </c>
      <c r="C9" s="791" t="s">
        <v>109</v>
      </c>
      <c r="D9" s="820"/>
      <c r="E9" s="786" t="s">
        <v>110</v>
      </c>
      <c r="F9" s="788"/>
      <c r="G9" s="791"/>
      <c r="H9" s="797"/>
      <c r="I9" s="833"/>
      <c r="J9" s="833"/>
      <c r="K9" s="833"/>
      <c r="L9" s="791"/>
      <c r="M9" s="836"/>
      <c r="N9" s="791"/>
      <c r="O9" s="1216"/>
    </row>
    <row r="10" spans="1:17" s="783" customFormat="1" ht="14.25" customHeight="1">
      <c r="C10" s="791"/>
      <c r="D10" s="1217" t="s">
        <v>111</v>
      </c>
      <c r="E10" s="1218"/>
      <c r="F10" s="795"/>
      <c r="G10" s="791"/>
      <c r="H10" s="797"/>
      <c r="I10" s="833"/>
      <c r="J10" s="833"/>
      <c r="K10" s="833"/>
      <c r="L10" s="791"/>
      <c r="M10" s="836"/>
      <c r="N10" s="791"/>
      <c r="O10" s="1216"/>
    </row>
    <row r="11" spans="1:17" s="783" customFormat="1" ht="14.25" customHeight="1">
      <c r="C11" s="1234"/>
      <c r="D11" s="1235"/>
      <c r="E11" s="1236"/>
      <c r="F11" s="1237"/>
      <c r="G11" s="1237"/>
      <c r="H11" s="1238"/>
      <c r="I11" s="1238"/>
      <c r="J11" s="1238"/>
      <c r="K11" s="1237"/>
      <c r="L11" s="1239"/>
      <c r="M11" s="1237"/>
      <c r="N11" s="1240"/>
    </row>
    <row r="12" spans="1:17" s="783" customFormat="1" ht="14.25" customHeight="1">
      <c r="A12" s="791" t="s">
        <v>743</v>
      </c>
      <c r="B12" s="777" t="s">
        <v>744</v>
      </c>
      <c r="C12" s="1106" t="s">
        <v>806</v>
      </c>
      <c r="D12" s="1111" t="s">
        <v>747</v>
      </c>
      <c r="E12" s="1241"/>
      <c r="F12" s="1115" t="s">
        <v>661</v>
      </c>
      <c r="G12" s="1108" t="s">
        <v>1</v>
      </c>
      <c r="H12" s="1117"/>
      <c r="I12" s="1117"/>
      <c r="J12" s="1118"/>
      <c r="K12" s="1115" t="s">
        <v>748</v>
      </c>
      <c r="L12" s="1209">
        <v>174000</v>
      </c>
      <c r="M12" s="1118"/>
      <c r="N12" s="1242"/>
    </row>
    <row r="13" spans="1:17" s="783" customFormat="1" ht="14.25" customHeight="1">
      <c r="A13" s="791" t="s">
        <v>743</v>
      </c>
      <c r="B13" s="777" t="s">
        <v>744</v>
      </c>
      <c r="C13" s="2713"/>
      <c r="D13" s="1111" t="s">
        <v>807</v>
      </c>
      <c r="E13" s="1113">
        <v>55</v>
      </c>
      <c r="F13" s="1113" t="s">
        <v>808</v>
      </c>
      <c r="G13" s="2707"/>
      <c r="H13" s="2707"/>
      <c r="I13" s="2707"/>
      <c r="J13" s="2707"/>
      <c r="K13" s="2707"/>
      <c r="L13" s="2707"/>
      <c r="M13" s="2710"/>
      <c r="N13" s="2707"/>
      <c r="O13" s="2707"/>
      <c r="Q13" s="783" t="s">
        <v>751</v>
      </c>
    </row>
    <row r="14" spans="1:17" s="783" customFormat="1" ht="13.9" customHeight="1">
      <c r="A14" s="791" t="s">
        <v>743</v>
      </c>
      <c r="B14" s="777" t="s">
        <v>744</v>
      </c>
      <c r="C14" s="2714"/>
      <c r="D14" s="1111" t="s">
        <v>809</v>
      </c>
      <c r="E14" s="1113">
        <v>35</v>
      </c>
      <c r="F14" s="1113" t="s">
        <v>810</v>
      </c>
      <c r="G14" s="2708"/>
      <c r="H14" s="2708"/>
      <c r="I14" s="2708"/>
      <c r="J14" s="2708"/>
      <c r="K14" s="2708"/>
      <c r="L14" s="2708"/>
      <c r="M14" s="2711"/>
      <c r="N14" s="2708"/>
      <c r="O14" s="2708"/>
    </row>
    <row r="15" spans="1:17" s="783" customFormat="1" ht="14.25" customHeight="1">
      <c r="A15" s="791" t="s">
        <v>743</v>
      </c>
      <c r="B15" s="777" t="s">
        <v>744</v>
      </c>
      <c r="C15" s="2714"/>
      <c r="D15" s="1111" t="s">
        <v>811</v>
      </c>
      <c r="E15" s="1241"/>
      <c r="F15" s="1243"/>
      <c r="G15" s="2708"/>
      <c r="H15" s="2708"/>
      <c r="I15" s="2708"/>
      <c r="J15" s="2708"/>
      <c r="K15" s="2708"/>
      <c r="L15" s="2708"/>
      <c r="M15" s="2711"/>
      <c r="N15" s="2708"/>
      <c r="O15" s="2708"/>
    </row>
    <row r="16" spans="1:17" s="783" customFormat="1" ht="14.25" customHeight="1">
      <c r="A16" s="791" t="s">
        <v>743</v>
      </c>
      <c r="B16" s="777" t="s">
        <v>744</v>
      </c>
      <c r="C16" s="2715"/>
      <c r="D16" s="1111" t="s">
        <v>812</v>
      </c>
      <c r="E16" s="1241"/>
      <c r="F16" s="1243"/>
      <c r="G16" s="2709"/>
      <c r="H16" s="2709"/>
      <c r="I16" s="2709"/>
      <c r="J16" s="2709"/>
      <c r="K16" s="2709"/>
      <c r="L16" s="2709"/>
      <c r="M16" s="2712"/>
      <c r="N16" s="2709"/>
      <c r="O16" s="2709"/>
    </row>
    <row r="17" spans="1:15" s="783" customFormat="1" ht="14.25" customHeight="1">
      <c r="C17" s="1235"/>
      <c r="D17" s="1235"/>
      <c r="E17" s="1236"/>
      <c r="F17" s="1237"/>
      <c r="G17" s="1237"/>
      <c r="H17" s="1238"/>
      <c r="I17" s="1238"/>
      <c r="J17" s="1238"/>
      <c r="K17" s="1237"/>
      <c r="L17" s="1239"/>
      <c r="M17" s="1237"/>
      <c r="N17" s="1240"/>
    </row>
    <row r="18" spans="1:15" s="783" customFormat="1" ht="14.25" customHeight="1">
      <c r="C18" s="1235"/>
      <c r="D18" s="1235"/>
      <c r="E18" s="1236"/>
      <c r="F18" s="1237"/>
      <c r="G18" s="1237"/>
      <c r="H18" s="1238"/>
      <c r="I18" s="1238"/>
      <c r="J18" s="1238"/>
      <c r="K18" s="1237"/>
      <c r="L18" s="1239"/>
      <c r="M18" s="1237"/>
      <c r="N18" s="1240"/>
    </row>
    <row r="19" spans="1:15" s="783" customFormat="1" ht="14.25" customHeight="1">
      <c r="A19" s="1252" t="s">
        <v>1120</v>
      </c>
      <c r="B19" s="1219" t="s">
        <v>1087</v>
      </c>
      <c r="C19" s="781" t="s">
        <v>1307</v>
      </c>
      <c r="D19" s="1222" t="s">
        <v>1121</v>
      </c>
      <c r="E19" s="1229"/>
      <c r="F19" s="781" t="s">
        <v>674</v>
      </c>
      <c r="G19" s="1220" t="s">
        <v>1</v>
      </c>
      <c r="H19" s="1221" t="s">
        <v>652</v>
      </c>
      <c r="I19" s="1221" t="s">
        <v>653</v>
      </c>
      <c r="J19" s="1221" t="s">
        <v>653</v>
      </c>
      <c r="K19" s="781" t="s">
        <v>1112</v>
      </c>
      <c r="L19" s="1253">
        <v>35000</v>
      </c>
      <c r="M19" s="1222" t="s">
        <v>659</v>
      </c>
      <c r="N19" s="781" t="s">
        <v>1113</v>
      </c>
    </row>
    <row r="20" spans="1:15" s="783" customFormat="1" ht="14.25" customHeight="1">
      <c r="A20" s="1252" t="s">
        <v>1120</v>
      </c>
      <c r="B20" s="1219" t="s">
        <v>1087</v>
      </c>
      <c r="C20" s="781"/>
      <c r="D20" s="1230" t="s">
        <v>1122</v>
      </c>
      <c r="E20" s="779" t="s">
        <v>1125</v>
      </c>
      <c r="F20" s="1223"/>
      <c r="G20" s="781"/>
      <c r="H20" s="1220"/>
      <c r="I20" s="1221"/>
      <c r="J20" s="1221"/>
      <c r="K20" s="1221"/>
      <c r="L20" s="781"/>
      <c r="M20" s="1253"/>
      <c r="N20" s="1222"/>
      <c r="O20" s="781"/>
    </row>
    <row r="21" spans="1:15" s="783" customFormat="1" ht="14.25" customHeight="1">
      <c r="A21" s="1252" t="s">
        <v>1120</v>
      </c>
      <c r="B21" s="1219" t="s">
        <v>1087</v>
      </c>
      <c r="C21" s="781"/>
      <c r="D21" s="1230" t="s">
        <v>1122</v>
      </c>
      <c r="E21" s="779" t="s">
        <v>446</v>
      </c>
      <c r="F21" s="1223"/>
      <c r="G21" s="781"/>
      <c r="H21" s="1220"/>
      <c r="I21" s="1221"/>
      <c r="J21" s="1221"/>
      <c r="K21" s="1221"/>
      <c r="L21" s="781"/>
      <c r="M21" s="1253"/>
      <c r="N21" s="1222"/>
      <c r="O21" s="781"/>
    </row>
    <row r="22" spans="1:15" s="783" customFormat="1" ht="14.25" customHeight="1">
      <c r="A22" s="1252" t="s">
        <v>1120</v>
      </c>
      <c r="B22" s="1219" t="s">
        <v>1087</v>
      </c>
      <c r="C22" s="829" t="s">
        <v>1123</v>
      </c>
      <c r="D22" s="1230" t="s">
        <v>1124</v>
      </c>
      <c r="E22" s="779" t="s">
        <v>1126</v>
      </c>
      <c r="F22" s="1223"/>
      <c r="G22" s="1224"/>
      <c r="H22" s="1225"/>
      <c r="I22" s="1226"/>
      <c r="J22" s="829"/>
      <c r="K22" s="1227"/>
      <c r="L22" s="1225"/>
      <c r="M22" s="1228"/>
      <c r="N22" s="1229"/>
      <c r="O22" s="1225"/>
    </row>
    <row r="23" spans="1:15" s="783" customFormat="1" ht="14.25" customHeight="1">
      <c r="C23" s="1235"/>
      <c r="D23" s="1235"/>
      <c r="E23" s="1236"/>
      <c r="F23" s="1237"/>
      <c r="G23" s="1237"/>
      <c r="H23" s="1238"/>
      <c r="I23" s="1238"/>
      <c r="J23" s="1238"/>
      <c r="K23" s="1237"/>
      <c r="L23" s="1239"/>
      <c r="M23" s="1237"/>
      <c r="N23" s="1240"/>
    </row>
    <row r="24" spans="1:15" s="783" customFormat="1" ht="14.25" customHeight="1">
      <c r="C24" s="1235"/>
      <c r="D24" s="1235"/>
      <c r="E24" s="1236"/>
      <c r="F24" s="1237"/>
      <c r="G24" s="1237"/>
      <c r="H24" s="1238"/>
      <c r="I24" s="1238"/>
      <c r="J24" s="1238"/>
      <c r="K24" s="1237"/>
      <c r="L24" s="1239"/>
      <c r="M24" s="1237"/>
      <c r="N24" s="1240"/>
    </row>
    <row r="25" spans="1:15" s="783" customFormat="1" ht="14.25" customHeight="1">
      <c r="C25" s="1235"/>
      <c r="D25" s="1235"/>
      <c r="E25" s="1236"/>
      <c r="F25" s="1237"/>
      <c r="G25" s="1237"/>
      <c r="H25" s="1238"/>
      <c r="I25" s="1238"/>
      <c r="J25" s="1238"/>
      <c r="K25" s="1237"/>
      <c r="L25" s="1239"/>
      <c r="M25" s="1237"/>
      <c r="N25" s="1240"/>
    </row>
    <row r="26" spans="1:15" s="783" customFormat="1" ht="14.25" customHeight="1">
      <c r="C26" s="1235"/>
      <c r="D26" s="1235"/>
      <c r="E26" s="1236"/>
      <c r="F26" s="1237"/>
      <c r="G26" s="1237"/>
      <c r="H26" s="1238"/>
      <c r="I26" s="1238"/>
      <c r="J26" s="1238"/>
      <c r="K26" s="1237"/>
      <c r="L26" s="1239"/>
      <c r="M26" s="1237"/>
      <c r="N26" s="1240"/>
    </row>
    <row r="27" spans="1:15" s="783" customFormat="1" ht="14.25" customHeight="1">
      <c r="A27" s="783" t="s">
        <v>1131</v>
      </c>
      <c r="B27" s="783" t="s">
        <v>1087</v>
      </c>
      <c r="C27" s="781" t="s">
        <v>1307</v>
      </c>
      <c r="D27" s="1222" t="s">
        <v>1127</v>
      </c>
      <c r="E27" s="1229"/>
      <c r="F27" s="781" t="s">
        <v>674</v>
      </c>
      <c r="G27" s="1220" t="s">
        <v>1</v>
      </c>
      <c r="H27" s="1221" t="s">
        <v>652</v>
      </c>
      <c r="I27" s="1221" t="s">
        <v>675</v>
      </c>
      <c r="J27" s="1221" t="s">
        <v>599</v>
      </c>
      <c r="K27" s="781" t="s">
        <v>1112</v>
      </c>
      <c r="L27" s="1253">
        <v>34000</v>
      </c>
      <c r="M27" s="1222" t="s">
        <v>659</v>
      </c>
      <c r="N27" s="781" t="s">
        <v>1113</v>
      </c>
    </row>
    <row r="28" spans="1:15" s="783" customFormat="1" ht="14.25" customHeight="1">
      <c r="A28" s="783" t="s">
        <v>1131</v>
      </c>
      <c r="B28" s="783" t="s">
        <v>1087</v>
      </c>
      <c r="C28" s="829" t="s">
        <v>735</v>
      </c>
      <c r="D28" s="1230" t="s">
        <v>1128</v>
      </c>
      <c r="E28" s="779" t="s">
        <v>1119</v>
      </c>
      <c r="F28" s="1223"/>
      <c r="G28" s="1224"/>
      <c r="H28" s="1225"/>
      <c r="I28" s="1226"/>
      <c r="J28" s="829"/>
      <c r="K28" s="1227"/>
      <c r="L28" s="1225"/>
      <c r="M28" s="1228"/>
      <c r="N28" s="1229"/>
      <c r="O28" s="1225"/>
    </row>
    <row r="29" spans="1:15" s="783" customFormat="1" ht="14.25" customHeight="1">
      <c r="A29" s="783" t="s">
        <v>1131</v>
      </c>
      <c r="B29" s="783" t="s">
        <v>1087</v>
      </c>
      <c r="C29" s="829"/>
      <c r="D29" s="1231" t="s">
        <v>1129</v>
      </c>
      <c r="E29" s="779" t="s">
        <v>1132</v>
      </c>
      <c r="F29" s="1223"/>
      <c r="G29" s="1224"/>
      <c r="H29" s="1225"/>
      <c r="I29" s="1226"/>
      <c r="J29" s="829"/>
      <c r="K29" s="1227"/>
      <c r="L29" s="1225"/>
      <c r="M29" s="1228"/>
      <c r="N29" s="1229"/>
      <c r="O29" s="1225"/>
    </row>
    <row r="30" spans="1:15" s="783" customFormat="1" ht="14.25" customHeight="1">
      <c r="C30" s="847"/>
      <c r="D30" s="1244" t="s">
        <v>1130</v>
      </c>
      <c r="E30" s="779"/>
      <c r="F30" s="1232"/>
      <c r="G30" s="1232"/>
      <c r="H30" s="1245"/>
      <c r="I30" s="846"/>
      <c r="J30" s="848"/>
      <c r="K30" s="848"/>
      <c r="L30" s="848"/>
      <c r="M30" s="848"/>
      <c r="N30" s="848"/>
      <c r="O30" s="848"/>
    </row>
    <row r="31" spans="1:15" s="783" customFormat="1" ht="14.25" customHeight="1">
      <c r="C31" s="1235"/>
      <c r="D31" s="1235"/>
      <c r="E31" s="1236"/>
      <c r="F31" s="1237"/>
      <c r="G31" s="1237"/>
      <c r="H31" s="1238"/>
      <c r="I31" s="1238"/>
      <c r="J31" s="1238"/>
      <c r="K31" s="1237"/>
      <c r="L31" s="1239"/>
      <c r="M31" s="1237"/>
      <c r="N31" s="1240"/>
    </row>
    <row r="32" spans="1:15" s="783" customFormat="1" ht="14.25" customHeight="1">
      <c r="C32" s="1235"/>
      <c r="D32" s="1235"/>
      <c r="E32" s="1236"/>
      <c r="F32" s="1237"/>
      <c r="G32" s="1237"/>
      <c r="H32" s="1238"/>
      <c r="I32" s="1238"/>
      <c r="J32" s="1238"/>
      <c r="K32" s="1237"/>
      <c r="L32" s="1239"/>
      <c r="M32" s="1237"/>
      <c r="N32" s="1240"/>
    </row>
    <row r="33" spans="1:15" s="783" customFormat="1" ht="14.25" customHeight="1">
      <c r="A33" s="783" t="s">
        <v>1150</v>
      </c>
      <c r="B33" s="783" t="s">
        <v>1087</v>
      </c>
      <c r="C33" s="1254" t="s">
        <v>1153</v>
      </c>
      <c r="D33" s="1255"/>
      <c r="E33" s="1255"/>
      <c r="F33" s="1255"/>
      <c r="G33" s="1255"/>
      <c r="H33" s="1255"/>
      <c r="I33" s="1255"/>
      <c r="J33" s="1255"/>
      <c r="K33" s="1255"/>
      <c r="L33" s="1255"/>
      <c r="M33" s="1256"/>
      <c r="N33" s="1240"/>
    </row>
    <row r="34" spans="1:15" s="783" customFormat="1" ht="38.25">
      <c r="A34" s="783" t="s">
        <v>1150</v>
      </c>
      <c r="B34" s="783" t="s">
        <v>1087</v>
      </c>
      <c r="C34" s="846"/>
      <c r="D34" s="1233" t="s">
        <v>1100</v>
      </c>
      <c r="F34" s="1246" t="s">
        <v>1104</v>
      </c>
      <c r="G34" s="1247" t="s">
        <v>1084</v>
      </c>
      <c r="H34" s="1247" t="s">
        <v>972</v>
      </c>
      <c r="I34" s="1248" t="s">
        <v>1147</v>
      </c>
      <c r="J34" s="1249" t="s">
        <v>1148</v>
      </c>
      <c r="K34" s="1246" t="s">
        <v>1149</v>
      </c>
      <c r="L34" s="1257">
        <v>92000</v>
      </c>
      <c r="M34" s="1246" t="s">
        <v>659</v>
      </c>
      <c r="N34" s="1250"/>
      <c r="O34" s="1240"/>
    </row>
    <row r="35" spans="1:15" s="783" customFormat="1" ht="14.25" customHeight="1">
      <c r="C35" s="1235"/>
      <c r="D35" s="1235"/>
      <c r="E35" s="1236"/>
      <c r="F35" s="1237"/>
      <c r="G35" s="1237"/>
      <c r="H35" s="1238"/>
      <c r="I35" s="1238"/>
      <c r="J35" s="1238"/>
      <c r="K35" s="1237"/>
      <c r="L35" s="1239"/>
      <c r="M35" s="1237"/>
      <c r="N35" s="1240"/>
    </row>
    <row r="36" spans="1:15" s="783" customFormat="1" ht="17.25" customHeight="1">
      <c r="B36" s="783" t="s">
        <v>1328</v>
      </c>
      <c r="C36" s="1360"/>
      <c r="D36" s="1361" t="s">
        <v>1153</v>
      </c>
      <c r="E36" s="1362"/>
      <c r="F36" s="1362"/>
      <c r="G36" s="1362"/>
      <c r="H36" s="1362"/>
      <c r="I36" s="1362"/>
      <c r="J36" s="1362"/>
      <c r="K36" s="1362"/>
      <c r="L36" s="1362"/>
      <c r="M36" s="1362"/>
      <c r="N36" s="1363"/>
    </row>
    <row r="37" spans="1:15" s="783" customFormat="1" ht="30.75" customHeight="1">
      <c r="B37" s="783" t="s">
        <v>1328</v>
      </c>
      <c r="C37" s="1360"/>
      <c r="D37" s="1314"/>
      <c r="E37" s="1331" t="s">
        <v>1100</v>
      </c>
      <c r="F37" s="1352" t="s">
        <v>1104</v>
      </c>
      <c r="G37" s="1294" t="s">
        <v>1084</v>
      </c>
      <c r="H37" s="1294" t="s">
        <v>972</v>
      </c>
      <c r="I37" s="1295" t="s">
        <v>1147</v>
      </c>
      <c r="J37" s="1296" t="s">
        <v>1148</v>
      </c>
      <c r="K37" s="1353" t="s">
        <v>1149</v>
      </c>
      <c r="L37" s="1337">
        <v>260000</v>
      </c>
      <c r="M37" s="1303" t="s">
        <v>659</v>
      </c>
      <c r="N37" s="1364"/>
    </row>
    <row r="38" spans="1:15" s="783" customFormat="1" ht="14.25" customHeight="1">
      <c r="C38" s="1235"/>
      <c r="D38" s="1235"/>
      <c r="E38" s="1236"/>
      <c r="F38" s="1237"/>
      <c r="G38" s="1237"/>
      <c r="H38" s="1238"/>
      <c r="I38" s="1238"/>
      <c r="J38" s="1238"/>
      <c r="K38" s="1237"/>
      <c r="L38" s="1239"/>
      <c r="M38" s="1237"/>
      <c r="N38" s="1240"/>
    </row>
    <row r="39" spans="1:15" s="783" customFormat="1" ht="14.25" customHeight="1">
      <c r="C39" s="1235"/>
      <c r="D39" s="1235"/>
      <c r="E39" s="1236"/>
      <c r="F39" s="1237"/>
      <c r="G39" s="1237"/>
      <c r="H39" s="1238"/>
      <c r="I39" s="1238"/>
      <c r="J39" s="1238"/>
      <c r="K39" s="1237"/>
      <c r="L39" s="1239"/>
      <c r="M39" s="1237"/>
      <c r="N39" s="1240"/>
    </row>
    <row r="40" spans="1:15" s="783" customFormat="1" ht="14.25" customHeight="1">
      <c r="C40" s="1235"/>
      <c r="D40" s="1235"/>
      <c r="E40" s="1236"/>
      <c r="F40" s="1237"/>
      <c r="G40" s="1237"/>
      <c r="H40" s="1238"/>
      <c r="I40" s="1238"/>
      <c r="J40" s="1238"/>
      <c r="K40" s="1237"/>
      <c r="L40" s="1239"/>
      <c r="M40" s="1237"/>
      <c r="N40" s="1240"/>
    </row>
    <row r="41" spans="1:15" s="783" customFormat="1" ht="14.25" customHeight="1">
      <c r="C41" s="1235"/>
      <c r="D41" s="1235"/>
      <c r="E41" s="1236"/>
      <c r="F41" s="1237"/>
      <c r="G41" s="1237"/>
      <c r="H41" s="1238"/>
      <c r="I41" s="1238"/>
      <c r="J41" s="1238"/>
      <c r="K41" s="1237"/>
      <c r="L41" s="1239"/>
      <c r="M41" s="1237"/>
      <c r="N41" s="1240"/>
    </row>
    <row r="42" spans="1:15" s="783" customFormat="1" ht="14.25" customHeight="1">
      <c r="C42" s="1235"/>
      <c r="D42" s="1235"/>
      <c r="E42" s="1236"/>
      <c r="F42" s="1237"/>
      <c r="G42" s="1237"/>
      <c r="H42" s="1238"/>
      <c r="I42" s="1238"/>
      <c r="J42" s="1238"/>
      <c r="K42" s="1237"/>
      <c r="L42" s="1239"/>
      <c r="M42" s="1237"/>
      <c r="N42" s="1240"/>
    </row>
    <row r="43" spans="1:15" s="783" customFormat="1" ht="14.25" customHeight="1">
      <c r="C43" s="1235"/>
      <c r="D43" s="1235"/>
      <c r="E43" s="1236"/>
      <c r="F43" s="1237"/>
      <c r="G43" s="1237"/>
      <c r="H43" s="1238"/>
      <c r="I43" s="1238"/>
      <c r="J43" s="1238"/>
      <c r="K43" s="1237"/>
      <c r="L43" s="2580">
        <f>SUM(L5:L41)</f>
        <v>595000</v>
      </c>
      <c r="M43" s="1237"/>
      <c r="N43" s="1240"/>
    </row>
    <row r="44" spans="1:15" s="783" customFormat="1" ht="14.25" customHeight="1">
      <c r="C44" s="1235"/>
      <c r="D44" s="1235"/>
      <c r="E44" s="1236"/>
      <c r="F44" s="1237"/>
      <c r="G44" s="1237"/>
      <c r="H44" s="1238"/>
      <c r="I44" s="1238"/>
      <c r="J44" s="1238"/>
      <c r="K44" s="1237"/>
      <c r="L44" s="1239"/>
      <c r="M44" s="1237"/>
      <c r="N44" s="1240"/>
    </row>
    <row r="45" spans="1:15" s="783" customFormat="1" ht="14.25" customHeight="1">
      <c r="C45" s="1235"/>
      <c r="D45" s="1235"/>
      <c r="E45" s="1236"/>
      <c r="F45" s="1237"/>
      <c r="G45" s="1237"/>
      <c r="H45" s="1238"/>
      <c r="I45" s="1238"/>
      <c r="J45" s="1238"/>
      <c r="K45" s="1237"/>
      <c r="L45" s="1239"/>
      <c r="M45" s="1237"/>
      <c r="N45" s="1240"/>
    </row>
    <row r="46" spans="1:15" ht="14.25" customHeight="1">
      <c r="C46" s="8"/>
      <c r="D46" s="8"/>
      <c r="E46" s="7"/>
      <c r="F46" s="6"/>
      <c r="G46" s="6"/>
      <c r="H46" s="5"/>
      <c r="I46" s="5"/>
      <c r="J46" s="5"/>
      <c r="K46" s="6"/>
      <c r="L46" s="4"/>
      <c r="M46" s="6"/>
      <c r="N46" s="2"/>
    </row>
    <row r="47" spans="1:15" ht="14.25" customHeight="1">
      <c r="C47" s="8"/>
      <c r="D47" s="8"/>
      <c r="E47" s="7"/>
      <c r="F47" s="6"/>
      <c r="G47" s="6"/>
      <c r="H47" s="5"/>
      <c r="I47" s="5"/>
      <c r="J47" s="5"/>
      <c r="K47" s="6"/>
      <c r="L47" s="4"/>
      <c r="M47" s="6"/>
      <c r="N47" s="2"/>
    </row>
    <row r="48" spans="1:15" ht="14.25" customHeight="1">
      <c r="C48" s="8"/>
      <c r="D48" s="8"/>
      <c r="E48" s="7"/>
      <c r="F48" s="6"/>
      <c r="G48" s="6"/>
      <c r="H48" s="5"/>
      <c r="I48" s="5"/>
      <c r="J48" s="5"/>
      <c r="K48" s="6"/>
      <c r="L48" s="4"/>
      <c r="M48" s="6"/>
      <c r="N48" s="2"/>
    </row>
    <row r="49" spans="3:14" ht="14.25" customHeight="1">
      <c r="C49" s="8"/>
      <c r="D49" s="8"/>
      <c r="E49" s="7"/>
      <c r="F49" s="6"/>
      <c r="G49" s="6"/>
      <c r="H49" s="5"/>
      <c r="I49" s="5"/>
      <c r="J49" s="5"/>
      <c r="K49" s="6"/>
      <c r="L49" s="4"/>
      <c r="M49" s="6"/>
      <c r="N49" s="2"/>
    </row>
    <row r="50" spans="3:14" ht="14.25" customHeight="1">
      <c r="C50" s="8"/>
      <c r="D50" s="8"/>
      <c r="E50" s="7"/>
      <c r="F50" s="6"/>
      <c r="G50" s="6"/>
      <c r="H50" s="5"/>
      <c r="I50" s="5"/>
      <c r="J50" s="5"/>
      <c r="K50" s="6"/>
      <c r="L50" s="4"/>
      <c r="M50" s="6"/>
      <c r="N50" s="2"/>
    </row>
    <row r="51" spans="3:14" ht="14.25" customHeight="1">
      <c r="C51" s="8"/>
      <c r="D51" s="8"/>
      <c r="E51" s="7"/>
      <c r="F51" s="6"/>
      <c r="G51" s="6"/>
      <c r="H51" s="5"/>
      <c r="I51" s="5"/>
      <c r="J51" s="5"/>
      <c r="K51" s="6"/>
      <c r="L51" s="4"/>
      <c r="M51" s="6"/>
      <c r="N51" s="2"/>
    </row>
    <row r="52" spans="3:14" ht="14.25" customHeight="1">
      <c r="C52" s="8"/>
      <c r="D52" s="8"/>
      <c r="E52" s="7"/>
      <c r="F52" s="6"/>
      <c r="G52" s="6"/>
      <c r="H52" s="5"/>
      <c r="I52" s="5"/>
      <c r="J52" s="5"/>
      <c r="K52" s="6"/>
      <c r="L52" s="4"/>
      <c r="M52" s="6"/>
      <c r="N52" s="2"/>
    </row>
    <row r="53" spans="3:14" ht="14.25" customHeight="1">
      <c r="C53" s="8"/>
      <c r="D53" s="8"/>
      <c r="E53" s="7"/>
      <c r="F53" s="6"/>
      <c r="G53" s="6"/>
      <c r="H53" s="5"/>
      <c r="I53" s="5"/>
      <c r="J53" s="5"/>
      <c r="K53" s="6"/>
      <c r="L53" s="4"/>
      <c r="M53" s="6"/>
      <c r="N53" s="2"/>
    </row>
    <row r="54" spans="3:14" ht="14.25" customHeight="1">
      <c r="C54" s="8"/>
      <c r="D54" s="8"/>
      <c r="E54" s="7"/>
      <c r="F54" s="6"/>
      <c r="G54" s="6"/>
      <c r="H54" s="5"/>
      <c r="I54" s="5"/>
      <c r="J54" s="5"/>
      <c r="K54" s="6"/>
      <c r="L54" s="4"/>
      <c r="M54" s="6"/>
      <c r="N54" s="2"/>
    </row>
    <row r="55" spans="3:14" ht="14.25" customHeight="1">
      <c r="C55" s="8"/>
      <c r="D55" s="8"/>
      <c r="E55" s="7"/>
      <c r="F55" s="6"/>
      <c r="G55" s="6"/>
      <c r="H55" s="5"/>
      <c r="I55" s="5"/>
      <c r="J55" s="5"/>
      <c r="K55" s="6"/>
      <c r="L55" s="4"/>
      <c r="M55" s="6"/>
      <c r="N55" s="2"/>
    </row>
    <row r="56" spans="3:14" ht="14.25" customHeight="1">
      <c r="C56" s="8"/>
      <c r="D56" s="8"/>
      <c r="E56" s="7"/>
      <c r="F56" s="6"/>
      <c r="G56" s="6"/>
      <c r="H56" s="5"/>
      <c r="I56" s="5"/>
      <c r="J56" s="5"/>
      <c r="K56" s="6"/>
      <c r="L56" s="4"/>
      <c r="M56" s="6"/>
      <c r="N56" s="2"/>
    </row>
    <row r="57" spans="3:14" ht="14.25" customHeight="1">
      <c r="C57" s="8"/>
      <c r="D57" s="8"/>
      <c r="E57" s="7"/>
      <c r="F57" s="6"/>
      <c r="G57" s="6"/>
      <c r="H57" s="5"/>
      <c r="I57" s="5"/>
      <c r="J57" s="5"/>
      <c r="K57" s="6"/>
      <c r="L57" s="4"/>
      <c r="M57" s="3"/>
      <c r="N57" s="2"/>
    </row>
    <row r="58" spans="3:14" ht="14.25" customHeight="1">
      <c r="C58" s="8"/>
      <c r="D58" s="8"/>
      <c r="E58" s="7"/>
      <c r="F58" s="6"/>
      <c r="G58" s="5"/>
      <c r="H58" s="5"/>
      <c r="I58" s="5"/>
      <c r="J58" s="5"/>
      <c r="K58" s="4"/>
      <c r="L58" s="4"/>
      <c r="M58" s="3"/>
      <c r="N58" s="2"/>
    </row>
    <row r="59" spans="3:14" ht="14.25" customHeight="1">
      <c r="C59" s="19"/>
      <c r="D59" s="19"/>
      <c r="E59" s="19"/>
      <c r="F59" s="19"/>
      <c r="G59" s="19"/>
      <c r="H59" s="19"/>
      <c r="I59" s="19"/>
      <c r="J59" s="19"/>
      <c r="K59" s="19"/>
      <c r="L59" s="19"/>
      <c r="M59" s="19"/>
      <c r="N59" s="19"/>
    </row>
    <row r="60" spans="3:14" ht="14.25" customHeight="1">
      <c r="C60" s="31"/>
      <c r="D60" s="27"/>
      <c r="E60" s="20"/>
      <c r="F60" s="28"/>
      <c r="G60" s="28"/>
      <c r="H60" s="26"/>
      <c r="I60" s="26"/>
      <c r="J60" s="26"/>
      <c r="K60" s="28"/>
      <c r="L60" s="29"/>
      <c r="M60" s="28"/>
      <c r="N60" s="27"/>
    </row>
    <row r="61" spans="3:14" s="1" customFormat="1" ht="14.25" customHeight="1">
      <c r="C61" s="31"/>
      <c r="D61" s="27"/>
      <c r="E61" s="21"/>
      <c r="F61" s="28"/>
      <c r="G61" s="28"/>
      <c r="H61" s="26"/>
      <c r="I61" s="26"/>
      <c r="J61" s="26"/>
      <c r="K61" s="28"/>
      <c r="L61" s="29"/>
      <c r="M61" s="28"/>
      <c r="N61" s="27"/>
    </row>
    <row r="62" spans="3:14" s="1" customFormat="1" ht="14.25" customHeight="1">
      <c r="C62" s="30"/>
      <c r="D62" s="25"/>
      <c r="E62" s="21"/>
      <c r="F62" s="22"/>
      <c r="G62" s="22"/>
      <c r="H62" s="23"/>
      <c r="I62" s="23"/>
      <c r="J62" s="23"/>
      <c r="K62" s="22"/>
      <c r="L62" s="24"/>
      <c r="M62" s="22"/>
      <c r="N62" s="25"/>
    </row>
  </sheetData>
  <mergeCells count="15">
    <mergeCell ref="C2:G2"/>
    <mergeCell ref="H2:J2"/>
    <mergeCell ref="K2:L2"/>
    <mergeCell ref="M2:M3"/>
    <mergeCell ref="N2:N3"/>
    <mergeCell ref="C13:C16"/>
    <mergeCell ref="G13:G16"/>
    <mergeCell ref="H13:H16"/>
    <mergeCell ref="I13:I16"/>
    <mergeCell ref="J13:J16"/>
    <mergeCell ref="K13:K16"/>
    <mergeCell ref="L13:L16"/>
    <mergeCell ref="M13:M16"/>
    <mergeCell ref="N13:N16"/>
    <mergeCell ref="O13:O16"/>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97A74-30DB-475F-B344-3D0D736347D0}">
  <sheetPr>
    <tabColor rgb="FF92D050"/>
  </sheetPr>
  <dimension ref="A2:P61"/>
  <sheetViews>
    <sheetView topLeftCell="A4" workbookViewId="0">
      <selection activeCell="L26" sqref="L26"/>
    </sheetView>
  </sheetViews>
  <sheetFormatPr defaultRowHeight="15"/>
  <cols>
    <col min="3" max="3" width="21.42578125" customWidth="1"/>
    <col min="4" max="4" width="16.85546875" customWidth="1"/>
    <col min="5" max="5" width="26" customWidth="1"/>
    <col min="6" max="6" width="16.7109375" customWidth="1"/>
    <col min="7" max="7" width="11.7109375" customWidth="1"/>
    <col min="8" max="8" width="13.7109375" customWidth="1"/>
    <col min="9" max="9" width="13" customWidth="1"/>
    <col min="10" max="10" width="12.5703125" customWidth="1"/>
    <col min="11" max="11" width="14.5703125" customWidth="1"/>
    <col min="12" max="12" width="15.5703125" customWidth="1"/>
    <col min="13" max="13" width="16.28515625" customWidth="1"/>
    <col min="14" max="14" width="12.85546875" customWidth="1"/>
  </cols>
  <sheetData>
    <row r="2" spans="1:16">
      <c r="C2" s="2627" t="s">
        <v>30</v>
      </c>
      <c r="D2" s="2627"/>
      <c r="E2" s="2627"/>
      <c r="F2" s="2627"/>
      <c r="G2" s="2627"/>
      <c r="H2" s="2628" t="s">
        <v>29</v>
      </c>
      <c r="I2" s="2628"/>
      <c r="J2" s="2628"/>
      <c r="K2" s="2627" t="s">
        <v>28</v>
      </c>
      <c r="L2" s="2627"/>
      <c r="M2" s="2628" t="s">
        <v>27</v>
      </c>
      <c r="N2" s="2628" t="s">
        <v>26</v>
      </c>
    </row>
    <row r="3" spans="1:16" ht="72">
      <c r="C3" s="10" t="s">
        <v>25</v>
      </c>
      <c r="D3" s="13" t="s">
        <v>24</v>
      </c>
      <c r="E3" s="12" t="s">
        <v>23</v>
      </c>
      <c r="F3" s="10" t="s">
        <v>22</v>
      </c>
      <c r="G3" s="11" t="s">
        <v>21</v>
      </c>
      <c r="H3" s="11" t="s">
        <v>20</v>
      </c>
      <c r="I3" s="11" t="s">
        <v>19</v>
      </c>
      <c r="J3" s="11" t="s">
        <v>18</v>
      </c>
      <c r="K3" s="10" t="s">
        <v>17</v>
      </c>
      <c r="L3" s="10" t="s">
        <v>16</v>
      </c>
      <c r="M3" s="2628"/>
      <c r="N3" s="2628"/>
    </row>
    <row r="4" spans="1:16">
      <c r="C4" s="9" t="s">
        <v>15</v>
      </c>
      <c r="D4" s="9" t="s">
        <v>14</v>
      </c>
      <c r="E4" s="9" t="s">
        <v>13</v>
      </c>
      <c r="F4" s="9" t="s">
        <v>12</v>
      </c>
      <c r="G4" s="9" t="s">
        <v>11</v>
      </c>
      <c r="H4" s="9" t="s">
        <v>10</v>
      </c>
      <c r="I4" s="9" t="s">
        <v>9</v>
      </c>
      <c r="J4" s="9" t="s">
        <v>8</v>
      </c>
      <c r="K4" s="9" t="s">
        <v>7</v>
      </c>
      <c r="L4" s="9" t="s">
        <v>6</v>
      </c>
      <c r="M4" s="9" t="s">
        <v>5</v>
      </c>
      <c r="N4" s="9" t="s">
        <v>4</v>
      </c>
    </row>
    <row r="5" spans="1:16">
      <c r="C5" s="85"/>
      <c r="D5" s="9"/>
      <c r="E5" s="83"/>
      <c r="F5" s="9"/>
      <c r="G5" s="9"/>
      <c r="H5" s="9"/>
      <c r="I5" s="9"/>
      <c r="J5" s="9"/>
      <c r="K5" s="9"/>
      <c r="L5" s="9"/>
      <c r="M5" s="9"/>
      <c r="N5" s="84"/>
    </row>
    <row r="6" spans="1:16" s="355" customFormat="1" ht="14.25" customHeight="1">
      <c r="A6" s="301" t="s">
        <v>101</v>
      </c>
      <c r="B6" s="302" t="s">
        <v>102</v>
      </c>
      <c r="C6" s="444" t="s">
        <v>144</v>
      </c>
      <c r="D6" s="438" t="s">
        <v>2</v>
      </c>
      <c r="E6" s="419" t="s">
        <v>94</v>
      </c>
      <c r="F6" s="438" t="s">
        <v>3</v>
      </c>
      <c r="G6" s="441" t="s">
        <v>1</v>
      </c>
      <c r="H6" s="504" t="s">
        <v>95</v>
      </c>
      <c r="I6" s="504" t="s">
        <v>96</v>
      </c>
      <c r="J6" s="504" t="s">
        <v>97</v>
      </c>
      <c r="K6" s="438" t="s">
        <v>98</v>
      </c>
      <c r="L6" s="507">
        <v>115500</v>
      </c>
      <c r="M6" s="438" t="s">
        <v>0</v>
      </c>
      <c r="N6" s="348"/>
    </row>
    <row r="7" spans="1:16" s="355" customFormat="1" ht="14.25" customHeight="1">
      <c r="C7" s="444" t="s">
        <v>145</v>
      </c>
      <c r="D7" s="324" t="s">
        <v>146</v>
      </c>
      <c r="E7" s="428">
        <v>7700</v>
      </c>
      <c r="F7" s="438"/>
      <c r="G7" s="441"/>
      <c r="H7" s="504"/>
      <c r="I7" s="504"/>
      <c r="J7" s="504"/>
      <c r="K7" s="438" t="s">
        <v>104</v>
      </c>
      <c r="L7" s="507"/>
      <c r="M7" s="438"/>
      <c r="N7" s="348"/>
    </row>
    <row r="8" spans="1:16" s="355" customFormat="1" ht="14.25" customHeight="1">
      <c r="C8" s="444" t="s">
        <v>147</v>
      </c>
      <c r="D8" s="324"/>
      <c r="E8" s="428"/>
      <c r="F8" s="438"/>
      <c r="G8" s="441"/>
      <c r="H8" s="504"/>
      <c r="I8" s="504"/>
      <c r="J8" s="504"/>
      <c r="K8" s="438" t="s">
        <v>105</v>
      </c>
      <c r="L8" s="507"/>
      <c r="M8" s="438"/>
      <c r="N8" s="348"/>
    </row>
    <row r="9" spans="1:16" s="355" customFormat="1" ht="14.25" customHeight="1">
      <c r="C9" s="444" t="s">
        <v>148</v>
      </c>
      <c r="D9" s="324"/>
      <c r="E9" s="428"/>
      <c r="F9" s="438"/>
      <c r="G9" s="441"/>
      <c r="H9" s="504"/>
      <c r="I9" s="504"/>
      <c r="J9" s="504"/>
      <c r="K9" s="438" t="s">
        <v>107</v>
      </c>
      <c r="L9" s="507"/>
      <c r="M9" s="438"/>
      <c r="N9" s="348"/>
    </row>
    <row r="10" spans="1:16" s="355" customFormat="1" ht="14.25" customHeight="1">
      <c r="C10" s="444"/>
      <c r="D10" s="324"/>
      <c r="E10" s="428"/>
      <c r="F10" s="438"/>
      <c r="G10" s="441"/>
      <c r="H10" s="504"/>
      <c r="I10" s="504"/>
      <c r="J10" s="504"/>
      <c r="K10" s="438" t="s">
        <v>109</v>
      </c>
      <c r="L10" s="507"/>
      <c r="M10" s="438"/>
      <c r="N10" s="348"/>
    </row>
    <row r="11" spans="1:16" s="355" customFormat="1" ht="14.25" customHeight="1">
      <c r="C11" s="444"/>
      <c r="D11" s="451"/>
      <c r="E11" s="420"/>
      <c r="F11" s="438"/>
      <c r="G11" s="441"/>
      <c r="H11" s="504"/>
      <c r="I11" s="504"/>
      <c r="J11" s="504"/>
      <c r="K11" s="438" t="s">
        <v>101</v>
      </c>
      <c r="L11" s="507"/>
      <c r="M11" s="438"/>
      <c r="N11" s="348"/>
    </row>
    <row r="12" spans="1:16" s="355" customFormat="1" ht="14.25" customHeight="1">
      <c r="C12" s="998"/>
      <c r="D12" s="400"/>
      <c r="E12" s="401"/>
      <c r="F12" s="402"/>
      <c r="G12" s="402"/>
      <c r="H12" s="403"/>
      <c r="I12" s="403"/>
      <c r="J12" s="403"/>
      <c r="K12" s="402"/>
      <c r="L12" s="408"/>
      <c r="M12" s="402"/>
      <c r="N12" s="405"/>
    </row>
    <row r="13" spans="1:16" s="355" customFormat="1" ht="14.25" customHeight="1">
      <c r="C13" s="998"/>
      <c r="D13" s="400"/>
      <c r="E13" s="401"/>
      <c r="F13" s="402"/>
      <c r="G13" s="402"/>
      <c r="H13" s="403"/>
      <c r="I13" s="403"/>
      <c r="J13" s="403"/>
      <c r="K13" s="402"/>
      <c r="L13" s="408"/>
      <c r="M13" s="402"/>
      <c r="N13" s="405"/>
    </row>
    <row r="14" spans="1:16" s="355" customFormat="1" ht="14.25" customHeight="1">
      <c r="C14" s="998"/>
      <c r="D14" s="400"/>
      <c r="E14" s="401"/>
      <c r="F14" s="402"/>
      <c r="G14" s="402"/>
      <c r="H14" s="403"/>
      <c r="I14" s="403"/>
      <c r="J14" s="403"/>
      <c r="K14" s="402"/>
      <c r="L14" s="408"/>
      <c r="M14" s="402"/>
      <c r="N14" s="405"/>
    </row>
    <row r="15" spans="1:16" s="355" customFormat="1" ht="18.600000000000001" customHeight="1">
      <c r="A15" s="438" t="s">
        <v>743</v>
      </c>
      <c r="B15" s="302" t="s">
        <v>744</v>
      </c>
      <c r="C15" s="1009" t="s">
        <v>816</v>
      </c>
      <c r="D15" s="1008" t="s">
        <v>747</v>
      </c>
      <c r="E15" s="1000"/>
      <c r="F15" s="1001"/>
      <c r="G15" s="1003" t="s">
        <v>1</v>
      </c>
      <c r="H15" s="1004"/>
      <c r="I15" s="1004"/>
      <c r="J15" s="1004"/>
      <c r="K15" s="1002" t="s">
        <v>748</v>
      </c>
      <c r="L15" s="1005">
        <v>530000</v>
      </c>
      <c r="M15" s="1006"/>
      <c r="N15" s="1007"/>
      <c r="P15" s="355" t="s">
        <v>751</v>
      </c>
    </row>
    <row r="16" spans="1:16" s="355" customFormat="1" ht="14.25" customHeight="1">
      <c r="C16" s="400"/>
      <c r="D16" s="400"/>
      <c r="E16" s="401"/>
      <c r="F16" s="402"/>
      <c r="G16" s="402"/>
      <c r="H16" s="403"/>
      <c r="I16" s="403"/>
      <c r="J16" s="403"/>
      <c r="K16" s="402"/>
      <c r="L16" s="408"/>
      <c r="M16" s="402"/>
      <c r="N16" s="405"/>
    </row>
    <row r="17" spans="1:14" s="355" customFormat="1" ht="14.25" customHeight="1">
      <c r="C17" s="400"/>
      <c r="D17" s="400"/>
      <c r="E17" s="401"/>
      <c r="F17" s="402"/>
      <c r="G17" s="402"/>
      <c r="H17" s="403"/>
      <c r="I17" s="403"/>
      <c r="J17" s="403"/>
      <c r="K17" s="402"/>
      <c r="L17" s="408"/>
      <c r="M17" s="402"/>
      <c r="N17" s="405"/>
    </row>
    <row r="18" spans="1:14" s="355" customFormat="1" ht="14.25" customHeight="1">
      <c r="A18" s="355" t="s">
        <v>1150</v>
      </c>
      <c r="B18" s="355" t="s">
        <v>1087</v>
      </c>
      <c r="C18" s="734" t="s">
        <v>1154</v>
      </c>
      <c r="D18" s="302"/>
      <c r="E18" s="610"/>
      <c r="F18" s="611"/>
      <c r="G18" s="611"/>
      <c r="H18" s="612"/>
      <c r="I18" s="610"/>
      <c r="J18" s="613"/>
      <c r="K18" s="1031"/>
      <c r="L18" s="610"/>
      <c r="M18" s="1033"/>
      <c r="N18" s="405"/>
    </row>
    <row r="19" spans="1:14" s="355" customFormat="1" ht="40.5">
      <c r="A19" s="355" t="s">
        <v>1150</v>
      </c>
      <c r="B19" s="355" t="s">
        <v>1087</v>
      </c>
      <c r="C19" s="531"/>
      <c r="D19" s="494" t="s">
        <v>1155</v>
      </c>
      <c r="F19" s="610" t="s">
        <v>1104</v>
      </c>
      <c r="G19" s="611" t="s">
        <v>1084</v>
      </c>
      <c r="H19" s="611" t="s">
        <v>972</v>
      </c>
      <c r="I19" s="612" t="s">
        <v>1147</v>
      </c>
      <c r="J19" s="613" t="s">
        <v>1148</v>
      </c>
      <c r="K19" s="610" t="s">
        <v>1149</v>
      </c>
      <c r="L19" s="1031">
        <v>100000</v>
      </c>
      <c r="M19" s="610" t="s">
        <v>659</v>
      </c>
      <c r="N19" s="405"/>
    </row>
    <row r="20" spans="1:14" s="355" customFormat="1" ht="41.25" thickBot="1">
      <c r="A20" s="355" t="s">
        <v>1150</v>
      </c>
      <c r="B20" s="355" t="s">
        <v>1087</v>
      </c>
      <c r="C20" s="1034"/>
      <c r="D20" s="1032" t="s">
        <v>1156</v>
      </c>
      <c r="F20" s="1035" t="s">
        <v>1104</v>
      </c>
      <c r="G20" s="1036" t="s">
        <v>1084</v>
      </c>
      <c r="H20" s="1036" t="s">
        <v>972</v>
      </c>
      <c r="I20" s="1037" t="s">
        <v>1147</v>
      </c>
      <c r="J20" s="1038" t="s">
        <v>1148</v>
      </c>
      <c r="K20" s="1035" t="s">
        <v>1149</v>
      </c>
      <c r="L20" s="1039">
        <v>210000</v>
      </c>
      <c r="M20" s="1035" t="s">
        <v>659</v>
      </c>
      <c r="N20" s="405"/>
    </row>
    <row r="21" spans="1:14" s="355" customFormat="1" ht="14.25" customHeight="1">
      <c r="C21" s="400"/>
      <c r="D21" s="400"/>
      <c r="E21" s="401"/>
      <c r="F21" s="402"/>
      <c r="G21" s="402"/>
      <c r="H21" s="403"/>
      <c r="I21" s="403"/>
      <c r="J21" s="403"/>
      <c r="K21" s="402"/>
      <c r="L21" s="408"/>
      <c r="M21" s="402"/>
      <c r="N21" s="405"/>
    </row>
    <row r="22" spans="1:14" ht="14.25" customHeight="1">
      <c r="C22" s="8"/>
      <c r="D22" s="8"/>
      <c r="E22" s="7"/>
      <c r="F22" s="6"/>
      <c r="G22" s="6"/>
      <c r="H22" s="5"/>
      <c r="I22" s="5"/>
      <c r="J22" s="5"/>
      <c r="K22" s="6"/>
      <c r="L22" s="4"/>
      <c r="M22" s="6"/>
      <c r="N22" s="2"/>
    </row>
    <row r="23" spans="1:14" ht="14.25" customHeight="1">
      <c r="C23" s="8"/>
      <c r="D23" s="8"/>
      <c r="E23" s="7"/>
      <c r="F23" s="6"/>
      <c r="G23" s="6"/>
      <c r="H23" s="5"/>
      <c r="I23" s="5"/>
      <c r="J23" s="5"/>
      <c r="K23" s="6"/>
      <c r="L23" s="4"/>
      <c r="M23" s="6"/>
      <c r="N23" s="2"/>
    </row>
    <row r="24" spans="1:14" ht="14.25" customHeight="1">
      <c r="C24" s="8"/>
      <c r="D24" s="8"/>
      <c r="E24" s="7"/>
      <c r="F24" s="6"/>
      <c r="G24" s="6"/>
      <c r="H24" s="5"/>
      <c r="I24" s="5"/>
      <c r="J24" s="5"/>
      <c r="K24" s="6"/>
      <c r="L24" s="4"/>
      <c r="M24" s="6"/>
      <c r="N24" s="2"/>
    </row>
    <row r="25" spans="1:14" ht="14.25" customHeight="1">
      <c r="C25" s="8"/>
      <c r="D25" s="8"/>
      <c r="E25" s="7"/>
      <c r="F25" s="6"/>
      <c r="G25" s="6"/>
      <c r="H25" s="5"/>
      <c r="I25" s="5"/>
      <c r="J25" s="5"/>
      <c r="K25" s="6"/>
      <c r="L25" s="4"/>
      <c r="M25" s="6"/>
      <c r="N25" s="2"/>
    </row>
    <row r="26" spans="1:14" ht="14.25" customHeight="1">
      <c r="C26" s="8"/>
      <c r="D26" s="8"/>
      <c r="E26" s="7"/>
      <c r="F26" s="6"/>
      <c r="G26" s="6"/>
      <c r="H26" s="5"/>
      <c r="I26" s="5"/>
      <c r="J26" s="5"/>
      <c r="K26" s="6"/>
      <c r="L26" s="2581">
        <f>SUM(L6:L24)</f>
        <v>955500</v>
      </c>
      <c r="M26" s="6"/>
      <c r="N26" s="2"/>
    </row>
    <row r="27" spans="1:14" ht="14.25" customHeight="1">
      <c r="C27" s="8"/>
      <c r="D27" s="8"/>
      <c r="E27" s="7"/>
      <c r="F27" s="6"/>
      <c r="G27" s="6"/>
      <c r="H27" s="5"/>
      <c r="I27" s="5"/>
      <c r="J27" s="5"/>
      <c r="K27" s="6"/>
      <c r="L27" s="4"/>
      <c r="M27" s="6"/>
      <c r="N27" s="2"/>
    </row>
    <row r="28" spans="1:14" ht="14.25" customHeight="1">
      <c r="C28" s="8"/>
      <c r="D28" s="8"/>
      <c r="E28" s="7"/>
      <c r="F28" s="6"/>
      <c r="G28" s="6"/>
      <c r="H28" s="5"/>
      <c r="I28" s="5"/>
      <c r="J28" s="5"/>
      <c r="K28" s="6"/>
      <c r="L28" s="4"/>
      <c r="M28" s="6"/>
      <c r="N28" s="2"/>
    </row>
    <row r="29" spans="1:14" ht="14.25" customHeight="1">
      <c r="C29" s="8"/>
      <c r="D29" s="8"/>
      <c r="E29" s="7"/>
      <c r="F29" s="6"/>
      <c r="G29" s="6"/>
      <c r="H29" s="5"/>
      <c r="I29" s="5"/>
      <c r="J29" s="5"/>
      <c r="K29" s="6"/>
      <c r="L29" s="4"/>
      <c r="M29" s="6"/>
      <c r="N29" s="2"/>
    </row>
    <row r="30" spans="1:14" ht="14.25" customHeight="1">
      <c r="C30" s="8"/>
      <c r="D30" s="8"/>
      <c r="E30" s="7"/>
      <c r="F30" s="6"/>
      <c r="G30" s="6"/>
      <c r="H30" s="5"/>
      <c r="I30" s="5"/>
      <c r="J30" s="5"/>
      <c r="K30" s="6"/>
      <c r="L30" s="4"/>
      <c r="M30" s="6"/>
      <c r="N30" s="2"/>
    </row>
    <row r="31" spans="1:14" ht="14.25" customHeight="1">
      <c r="C31" s="8"/>
      <c r="D31" s="8"/>
      <c r="E31" s="7"/>
      <c r="F31" s="6"/>
      <c r="G31" s="6"/>
      <c r="H31" s="5"/>
      <c r="I31" s="5"/>
      <c r="J31" s="5"/>
      <c r="K31" s="6"/>
      <c r="L31" s="4"/>
      <c r="M31" s="6"/>
      <c r="N31" s="2"/>
    </row>
    <row r="32" spans="1:14" ht="14.25" customHeight="1">
      <c r="C32" s="8"/>
      <c r="D32" s="8"/>
      <c r="E32" s="7"/>
      <c r="F32" s="6"/>
      <c r="G32" s="6"/>
      <c r="H32" s="5"/>
      <c r="I32" s="5"/>
      <c r="J32" s="5"/>
      <c r="K32" s="6"/>
      <c r="L32" s="4"/>
      <c r="M32" s="6"/>
      <c r="N32" s="2"/>
    </row>
    <row r="33" spans="3:14" ht="14.25" customHeight="1">
      <c r="C33" s="8"/>
      <c r="D33" s="8"/>
      <c r="E33" s="7"/>
      <c r="F33" s="6"/>
      <c r="G33" s="6"/>
      <c r="H33" s="5"/>
      <c r="I33" s="5"/>
      <c r="J33" s="5"/>
      <c r="K33" s="6"/>
      <c r="L33" s="4"/>
      <c r="M33" s="6"/>
      <c r="N33" s="2"/>
    </row>
    <row r="34" spans="3:14" ht="14.25" customHeight="1">
      <c r="C34" s="8"/>
      <c r="D34" s="8"/>
      <c r="E34" s="7"/>
      <c r="F34" s="6"/>
      <c r="G34" s="6"/>
      <c r="H34" s="5"/>
      <c r="I34" s="5"/>
      <c r="J34" s="5"/>
      <c r="K34" s="6"/>
      <c r="L34" s="4"/>
      <c r="M34" s="6"/>
      <c r="N34" s="2"/>
    </row>
    <row r="35" spans="3:14" ht="14.25" customHeight="1">
      <c r="C35" s="8"/>
      <c r="D35" s="8"/>
      <c r="E35" s="7"/>
      <c r="F35" s="6"/>
      <c r="G35" s="6"/>
      <c r="H35" s="5"/>
      <c r="I35" s="5"/>
      <c r="J35" s="5"/>
      <c r="K35" s="6"/>
      <c r="L35" s="4"/>
      <c r="M35" s="6"/>
      <c r="N35" s="2"/>
    </row>
    <row r="36" spans="3:14" ht="14.25" customHeight="1">
      <c r="C36" s="8"/>
      <c r="D36" s="8"/>
      <c r="E36" s="7"/>
      <c r="F36" s="6"/>
      <c r="G36" s="6"/>
      <c r="H36" s="5"/>
      <c r="I36" s="5"/>
      <c r="J36" s="5"/>
      <c r="K36" s="6"/>
      <c r="L36" s="4"/>
      <c r="M36" s="6"/>
      <c r="N36" s="2"/>
    </row>
    <row r="37" spans="3:14" ht="14.25" customHeight="1">
      <c r="C37" s="8"/>
      <c r="D37" s="8"/>
      <c r="E37" s="7"/>
      <c r="F37" s="6"/>
      <c r="G37" s="6"/>
      <c r="H37" s="5"/>
      <c r="I37" s="5"/>
      <c r="J37" s="5"/>
      <c r="K37" s="6"/>
      <c r="L37" s="4"/>
      <c r="M37" s="6"/>
      <c r="N37" s="2"/>
    </row>
    <row r="38" spans="3:14" ht="14.25" customHeight="1">
      <c r="C38" s="8"/>
      <c r="D38" s="8"/>
      <c r="E38" s="7"/>
      <c r="F38" s="6"/>
      <c r="G38" s="6"/>
      <c r="H38" s="5"/>
      <c r="I38" s="5"/>
      <c r="J38" s="5"/>
      <c r="K38" s="6"/>
      <c r="L38" s="4"/>
      <c r="M38" s="6"/>
      <c r="N38" s="2"/>
    </row>
    <row r="39" spans="3:14" ht="14.25" customHeight="1">
      <c r="C39" s="8"/>
      <c r="D39" s="8"/>
      <c r="E39" s="7"/>
      <c r="F39" s="6"/>
      <c r="G39" s="6"/>
      <c r="H39" s="5"/>
      <c r="I39" s="5"/>
      <c r="J39" s="5"/>
      <c r="K39" s="6"/>
      <c r="L39" s="4"/>
      <c r="M39" s="6"/>
      <c r="N39" s="2"/>
    </row>
    <row r="40" spans="3:14" ht="14.25" customHeight="1">
      <c r="C40" s="8"/>
      <c r="D40" s="8"/>
      <c r="E40" s="7"/>
      <c r="F40" s="6"/>
      <c r="G40" s="6"/>
      <c r="H40" s="5"/>
      <c r="I40" s="5"/>
      <c r="J40" s="5"/>
      <c r="K40" s="6"/>
      <c r="L40" s="4"/>
      <c r="M40" s="6"/>
      <c r="N40" s="2"/>
    </row>
    <row r="41" spans="3:14" ht="14.25" customHeight="1">
      <c r="C41" s="8"/>
      <c r="D41" s="8"/>
      <c r="E41" s="7"/>
      <c r="F41" s="6"/>
      <c r="G41" s="6"/>
      <c r="H41" s="5"/>
      <c r="I41" s="5"/>
      <c r="J41" s="5"/>
      <c r="K41" s="6"/>
      <c r="L41" s="4"/>
      <c r="M41" s="6"/>
      <c r="N41" s="2"/>
    </row>
    <row r="42" spans="3:14" ht="14.25" customHeight="1">
      <c r="C42" s="8"/>
      <c r="D42" s="8"/>
      <c r="E42" s="7"/>
      <c r="F42" s="6"/>
      <c r="G42" s="6"/>
      <c r="H42" s="5"/>
      <c r="I42" s="5"/>
      <c r="J42" s="5"/>
      <c r="K42" s="6"/>
      <c r="L42" s="4"/>
      <c r="M42" s="6"/>
      <c r="N42" s="2"/>
    </row>
    <row r="43" spans="3:14" ht="14.25" customHeight="1">
      <c r="C43" s="8"/>
      <c r="D43" s="8"/>
      <c r="E43" s="7"/>
      <c r="F43" s="6"/>
      <c r="G43" s="6"/>
      <c r="H43" s="5"/>
      <c r="I43" s="5"/>
      <c r="J43" s="5"/>
      <c r="K43" s="6"/>
      <c r="L43" s="4"/>
      <c r="M43" s="6"/>
      <c r="N43" s="2"/>
    </row>
    <row r="44" spans="3:14" ht="14.25" customHeight="1">
      <c r="C44" s="8"/>
      <c r="D44" s="8"/>
      <c r="E44" s="7"/>
      <c r="F44" s="6"/>
      <c r="G44" s="6"/>
      <c r="H44" s="5"/>
      <c r="I44" s="5"/>
      <c r="J44" s="5"/>
      <c r="K44" s="6"/>
      <c r="L44" s="4"/>
      <c r="M44" s="6"/>
      <c r="N44" s="2"/>
    </row>
    <row r="45" spans="3:14" ht="14.25" customHeight="1">
      <c r="C45" s="8"/>
      <c r="D45" s="8"/>
      <c r="E45" s="7"/>
      <c r="F45" s="6"/>
      <c r="G45" s="6"/>
      <c r="H45" s="5"/>
      <c r="I45" s="5"/>
      <c r="J45" s="5"/>
      <c r="K45" s="6"/>
      <c r="L45" s="4"/>
      <c r="M45" s="6"/>
      <c r="N45" s="2"/>
    </row>
    <row r="46" spans="3:14" ht="14.25" customHeight="1">
      <c r="C46" s="8"/>
      <c r="D46" s="8"/>
      <c r="E46" s="7"/>
      <c r="F46" s="6"/>
      <c r="G46" s="6"/>
      <c r="H46" s="5"/>
      <c r="I46" s="5"/>
      <c r="J46" s="5"/>
      <c r="K46" s="6"/>
      <c r="L46" s="4"/>
      <c r="M46" s="6"/>
      <c r="N46" s="2"/>
    </row>
    <row r="47" spans="3:14" ht="14.25" customHeight="1">
      <c r="C47" s="8"/>
      <c r="D47" s="8"/>
      <c r="E47" s="7"/>
      <c r="F47" s="6"/>
      <c r="G47" s="6"/>
      <c r="H47" s="5"/>
      <c r="I47" s="5"/>
      <c r="J47" s="5"/>
      <c r="K47" s="6"/>
      <c r="L47" s="4"/>
      <c r="M47" s="6"/>
      <c r="N47" s="2"/>
    </row>
    <row r="48" spans="3:14" ht="14.25" customHeight="1">
      <c r="C48" s="8"/>
      <c r="D48" s="8"/>
      <c r="E48" s="7"/>
      <c r="F48" s="6"/>
      <c r="G48" s="6"/>
      <c r="H48" s="5"/>
      <c r="I48" s="5"/>
      <c r="J48" s="5"/>
      <c r="K48" s="6"/>
      <c r="L48" s="4"/>
      <c r="M48" s="6"/>
      <c r="N48" s="2"/>
    </row>
    <row r="49" spans="3:14" ht="14.25" customHeight="1">
      <c r="C49" s="8"/>
      <c r="D49" s="8"/>
      <c r="E49" s="7"/>
      <c r="F49" s="6"/>
      <c r="G49" s="6"/>
      <c r="H49" s="5"/>
      <c r="I49" s="5"/>
      <c r="J49" s="5"/>
      <c r="K49" s="6"/>
      <c r="L49" s="4"/>
      <c r="M49" s="6"/>
      <c r="N49" s="2"/>
    </row>
    <row r="50" spans="3:14" ht="14.25" customHeight="1">
      <c r="C50" s="8"/>
      <c r="D50" s="8"/>
      <c r="E50" s="7"/>
      <c r="F50" s="6"/>
      <c r="G50" s="6"/>
      <c r="H50" s="5"/>
      <c r="I50" s="5"/>
      <c r="J50" s="5"/>
      <c r="K50" s="6"/>
      <c r="L50" s="4"/>
      <c r="M50" s="6"/>
      <c r="N50" s="2"/>
    </row>
    <row r="51" spans="3:14" ht="14.25" customHeight="1">
      <c r="C51" s="8"/>
      <c r="D51" s="8"/>
      <c r="E51" s="7"/>
      <c r="F51" s="6"/>
      <c r="G51" s="6"/>
      <c r="H51" s="5"/>
      <c r="I51" s="5"/>
      <c r="J51" s="5"/>
      <c r="K51" s="6"/>
      <c r="L51" s="4"/>
      <c r="M51" s="6"/>
      <c r="N51" s="2"/>
    </row>
    <row r="52" spans="3:14" ht="14.25" customHeight="1">
      <c r="C52" s="8"/>
      <c r="D52" s="8"/>
      <c r="E52" s="7"/>
      <c r="F52" s="6"/>
      <c r="G52" s="6"/>
      <c r="H52" s="5"/>
      <c r="I52" s="5"/>
      <c r="J52" s="5"/>
      <c r="K52" s="6"/>
      <c r="L52" s="4"/>
      <c r="M52" s="6"/>
      <c r="N52" s="2"/>
    </row>
    <row r="53" spans="3:14" ht="14.25" customHeight="1">
      <c r="C53" s="8"/>
      <c r="D53" s="8"/>
      <c r="E53" s="7"/>
      <c r="F53" s="6"/>
      <c r="G53" s="6"/>
      <c r="H53" s="5"/>
      <c r="I53" s="5"/>
      <c r="J53" s="5"/>
      <c r="K53" s="6"/>
      <c r="L53" s="4"/>
      <c r="M53" s="6"/>
      <c r="N53" s="2"/>
    </row>
    <row r="54" spans="3:14" ht="14.25" customHeight="1">
      <c r="C54" s="8"/>
      <c r="D54" s="8"/>
      <c r="E54" s="7"/>
      <c r="F54" s="6"/>
      <c r="G54" s="6"/>
      <c r="H54" s="5"/>
      <c r="I54" s="5"/>
      <c r="J54" s="5"/>
      <c r="K54" s="6"/>
      <c r="L54" s="4"/>
      <c r="M54" s="6"/>
      <c r="N54" s="2"/>
    </row>
    <row r="55" spans="3:14" ht="14.25" customHeight="1">
      <c r="C55" s="8"/>
      <c r="D55" s="8"/>
      <c r="E55" s="7"/>
      <c r="F55" s="6"/>
      <c r="G55" s="6"/>
      <c r="H55" s="5"/>
      <c r="I55" s="5"/>
      <c r="J55" s="5"/>
      <c r="K55" s="6"/>
      <c r="L55" s="4"/>
      <c r="M55" s="6"/>
      <c r="N55" s="2"/>
    </row>
    <row r="56" spans="3:14" ht="14.25" customHeight="1">
      <c r="C56" s="8"/>
      <c r="D56" s="8"/>
      <c r="E56" s="7"/>
      <c r="F56" s="6"/>
      <c r="G56" s="6"/>
      <c r="H56" s="5"/>
      <c r="I56" s="5"/>
      <c r="J56" s="5"/>
      <c r="K56" s="6"/>
      <c r="L56" s="4"/>
      <c r="M56" s="3"/>
      <c r="N56" s="2"/>
    </row>
    <row r="57" spans="3:14" ht="14.25" customHeight="1">
      <c r="C57" s="8"/>
      <c r="D57" s="8"/>
      <c r="E57" s="7"/>
      <c r="F57" s="6"/>
      <c r="G57" s="5"/>
      <c r="H57" s="5"/>
      <c r="I57" s="5"/>
      <c r="J57" s="5"/>
      <c r="K57" s="4"/>
      <c r="L57" s="4"/>
      <c r="M57" s="3"/>
      <c r="N57" s="2"/>
    </row>
    <row r="58" spans="3:14" ht="14.25" customHeight="1">
      <c r="C58" s="19"/>
      <c r="D58" s="19"/>
      <c r="E58" s="19"/>
      <c r="F58" s="19"/>
      <c r="G58" s="19"/>
      <c r="H58" s="19"/>
      <c r="I58" s="19"/>
      <c r="J58" s="19"/>
      <c r="K58" s="19"/>
      <c r="L58" s="19"/>
      <c r="M58" s="19"/>
      <c r="N58" s="19"/>
    </row>
    <row r="59" spans="3:14" ht="14.25" customHeight="1">
      <c r="C59" s="31"/>
      <c r="D59" s="27"/>
      <c r="E59" s="20"/>
      <c r="F59" s="28"/>
      <c r="G59" s="28"/>
      <c r="H59" s="26"/>
      <c r="I59" s="26"/>
      <c r="J59" s="26"/>
      <c r="K59" s="28"/>
      <c r="L59" s="29"/>
      <c r="M59" s="28"/>
      <c r="N59" s="27"/>
    </row>
    <row r="60" spans="3:14" s="1" customFormat="1" ht="14.25" customHeight="1">
      <c r="C60" s="31"/>
      <c r="D60" s="27"/>
      <c r="E60" s="21"/>
      <c r="F60" s="28"/>
      <c r="G60" s="28"/>
      <c r="H60" s="26"/>
      <c r="I60" s="26"/>
      <c r="J60" s="26"/>
      <c r="K60" s="28"/>
      <c r="L60" s="29"/>
      <c r="M60" s="28"/>
      <c r="N60" s="27"/>
    </row>
    <row r="61" spans="3:14" s="1" customFormat="1" ht="14.25" customHeight="1">
      <c r="C61" s="30"/>
      <c r="D61" s="25"/>
      <c r="E61" s="21"/>
      <c r="F61" s="22"/>
      <c r="G61" s="22"/>
      <c r="H61" s="23"/>
      <c r="I61" s="23"/>
      <c r="J61" s="23"/>
      <c r="K61" s="22"/>
      <c r="L61" s="24"/>
      <c r="M61" s="22"/>
      <c r="N61" s="25"/>
    </row>
  </sheetData>
  <mergeCells count="5">
    <mergeCell ref="C2:G2"/>
    <mergeCell ref="H2:J2"/>
    <mergeCell ref="K2:L2"/>
    <mergeCell ref="M2:M3"/>
    <mergeCell ref="N2:N3"/>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3C51D-E8ED-4B91-AB85-B612E7B9FED4}">
  <sheetPr>
    <tabColor rgb="FF92D050"/>
  </sheetPr>
  <dimension ref="A2:Q136"/>
  <sheetViews>
    <sheetView topLeftCell="A108" zoomScale="85" zoomScaleNormal="85" workbookViewId="0">
      <selection activeCell="M136" sqref="M136"/>
    </sheetView>
  </sheetViews>
  <sheetFormatPr defaultRowHeight="15"/>
  <cols>
    <col min="2" max="2" width="14.5703125" customWidth="1"/>
    <col min="3" max="3" width="24.5703125" customWidth="1"/>
    <col min="4" max="4" width="16.85546875" customWidth="1"/>
    <col min="5" max="5" width="26" customWidth="1"/>
    <col min="6" max="6" width="16.7109375" customWidth="1"/>
    <col min="7" max="7" width="17.140625" customWidth="1"/>
    <col min="8" max="8" width="13.7109375" customWidth="1"/>
    <col min="9" max="9" width="12.28515625" bestFit="1" customWidth="1"/>
    <col min="10" max="10" width="12.42578125" bestFit="1" customWidth="1"/>
    <col min="11" max="11" width="14.5703125" customWidth="1"/>
    <col min="12" max="12" width="15.5703125" customWidth="1"/>
    <col min="13" max="13" width="16.28515625" customWidth="1"/>
    <col min="14" max="14" width="12.85546875" customWidth="1"/>
    <col min="15" max="15" width="12.28515625" bestFit="1" customWidth="1"/>
    <col min="17" max="17" width="77" bestFit="1" customWidth="1"/>
  </cols>
  <sheetData>
    <row r="2" spans="1:17">
      <c r="C2" s="2627" t="s">
        <v>30</v>
      </c>
      <c r="D2" s="2627"/>
      <c r="E2" s="2627"/>
      <c r="F2" s="2627"/>
      <c r="G2" s="2627"/>
      <c r="H2" s="2628" t="s">
        <v>29</v>
      </c>
      <c r="I2" s="2628"/>
      <c r="J2" s="2628"/>
      <c r="K2" s="2627" t="s">
        <v>28</v>
      </c>
      <c r="L2" s="2627"/>
      <c r="M2" s="2628" t="s">
        <v>27</v>
      </c>
      <c r="N2" s="2628" t="s">
        <v>26</v>
      </c>
    </row>
    <row r="3" spans="1:17" ht="72">
      <c r="C3" s="10" t="s">
        <v>25</v>
      </c>
      <c r="D3" s="13" t="s">
        <v>24</v>
      </c>
      <c r="E3" s="12" t="s">
        <v>23</v>
      </c>
      <c r="F3" s="10" t="s">
        <v>22</v>
      </c>
      <c r="G3" s="11" t="s">
        <v>21</v>
      </c>
      <c r="H3" s="11" t="s">
        <v>20</v>
      </c>
      <c r="I3" s="11" t="s">
        <v>19</v>
      </c>
      <c r="J3" s="11" t="s">
        <v>18</v>
      </c>
      <c r="K3" s="10" t="s">
        <v>17</v>
      </c>
      <c r="L3" s="10" t="s">
        <v>16</v>
      </c>
      <c r="M3" s="2628"/>
      <c r="N3" s="2628"/>
    </row>
    <row r="4" spans="1:17">
      <c r="C4" s="9" t="s">
        <v>15</v>
      </c>
      <c r="D4" s="9" t="s">
        <v>14</v>
      </c>
      <c r="E4" s="9" t="s">
        <v>13</v>
      </c>
      <c r="F4" s="9" t="s">
        <v>12</v>
      </c>
      <c r="G4" s="9" t="s">
        <v>11</v>
      </c>
      <c r="H4" s="9" t="s">
        <v>10</v>
      </c>
      <c r="I4" s="9" t="s">
        <v>9</v>
      </c>
      <c r="J4" s="9" t="s">
        <v>8</v>
      </c>
      <c r="K4" s="9" t="s">
        <v>7</v>
      </c>
      <c r="L4" s="9" t="s">
        <v>6</v>
      </c>
      <c r="M4" s="9" t="s">
        <v>5</v>
      </c>
      <c r="N4" s="9" t="s">
        <v>4</v>
      </c>
    </row>
    <row r="5" spans="1:17">
      <c r="C5" s="85" t="s">
        <v>100</v>
      </c>
      <c r="D5" s="9"/>
      <c r="E5" s="83"/>
      <c r="F5" s="9"/>
      <c r="G5" s="9"/>
      <c r="H5" s="9"/>
      <c r="I5" s="9"/>
      <c r="J5" s="9"/>
      <c r="K5" s="9"/>
      <c r="L5" s="9"/>
      <c r="M5" s="9"/>
      <c r="N5" s="84"/>
    </row>
    <row r="6" spans="1:17" s="302" customFormat="1" ht="15" customHeight="1">
      <c r="A6" s="301" t="s">
        <v>101</v>
      </c>
      <c r="B6" s="302" t="s">
        <v>102</v>
      </c>
      <c r="C6" s="444" t="s">
        <v>114</v>
      </c>
      <c r="D6" s="438" t="s">
        <v>2</v>
      </c>
      <c r="E6" s="419" t="s">
        <v>94</v>
      </c>
      <c r="G6" s="438" t="s">
        <v>3</v>
      </c>
      <c r="H6" s="441" t="s">
        <v>1</v>
      </c>
      <c r="I6" s="504" t="s">
        <v>95</v>
      </c>
      <c r="J6" s="504" t="s">
        <v>96</v>
      </c>
      <c r="K6" s="504" t="s">
        <v>97</v>
      </c>
      <c r="L6" s="438" t="s">
        <v>98</v>
      </c>
      <c r="M6" s="505">
        <v>400000</v>
      </c>
      <c r="N6" s="438" t="s">
        <v>99</v>
      </c>
    </row>
    <row r="7" spans="1:17" s="355" customFormat="1" ht="14.25" customHeight="1">
      <c r="C7" s="998"/>
      <c r="D7" s="400"/>
      <c r="E7" s="401"/>
      <c r="F7" s="402"/>
      <c r="G7" s="402"/>
      <c r="H7" s="403"/>
      <c r="I7" s="403"/>
      <c r="J7" s="403"/>
      <c r="K7" s="2740"/>
      <c r="L7" s="408"/>
      <c r="M7" s="2740"/>
      <c r="N7" s="405"/>
      <c r="O7" s="999"/>
    </row>
    <row r="8" spans="1:17" s="355" customFormat="1" ht="14.25" customHeight="1">
      <c r="C8" s="998"/>
      <c r="D8" s="400"/>
      <c r="E8" s="401"/>
      <c r="F8" s="402"/>
      <c r="G8" s="402"/>
      <c r="H8" s="403"/>
      <c r="I8" s="403"/>
      <c r="J8" s="403"/>
      <c r="K8" s="2740"/>
      <c r="L8" s="408"/>
      <c r="M8" s="2740"/>
      <c r="N8" s="405"/>
    </row>
    <row r="9" spans="1:17" s="355" customFormat="1" ht="14.25" customHeight="1">
      <c r="A9" s="438" t="s">
        <v>743</v>
      </c>
      <c r="B9" s="302" t="s">
        <v>744</v>
      </c>
      <c r="C9" s="1009" t="s">
        <v>817</v>
      </c>
      <c r="D9" s="1008" t="s">
        <v>747</v>
      </c>
      <c r="E9" s="1000"/>
      <c r="F9" s="1001"/>
      <c r="G9" s="1002"/>
      <c r="H9" s="1003" t="s">
        <v>1</v>
      </c>
      <c r="I9" s="1004"/>
      <c r="J9" s="1004"/>
      <c r="K9" s="1004"/>
      <c r="L9" s="1002" t="s">
        <v>748</v>
      </c>
      <c r="M9" s="1005">
        <v>800000</v>
      </c>
      <c r="N9" s="1006"/>
      <c r="O9" s="1007"/>
      <c r="Q9" s="355" t="s">
        <v>751</v>
      </c>
    </row>
    <row r="10" spans="1:17" s="355" customFormat="1" ht="14.25" customHeight="1">
      <c r="A10" s="438" t="s">
        <v>743</v>
      </c>
      <c r="B10" s="302" t="s">
        <v>744</v>
      </c>
      <c r="C10" s="998"/>
      <c r="D10" s="400"/>
      <c r="E10" s="401"/>
      <c r="F10" s="402"/>
      <c r="G10" s="402"/>
      <c r="H10" s="403"/>
      <c r="I10" s="403"/>
      <c r="J10" s="403"/>
      <c r="K10" s="402"/>
      <c r="L10" s="408"/>
      <c r="M10" s="402"/>
      <c r="N10" s="405"/>
    </row>
    <row r="11" spans="1:17" s="355" customFormat="1" ht="14.25" customHeight="1">
      <c r="A11" s="438" t="s">
        <v>743</v>
      </c>
      <c r="B11" s="302" t="s">
        <v>744</v>
      </c>
      <c r="C11" s="1009" t="s">
        <v>817</v>
      </c>
      <c r="D11" s="1008" t="s">
        <v>747</v>
      </c>
      <c r="E11" s="2673"/>
      <c r="F11" s="2674"/>
      <c r="G11" s="1002" t="s">
        <v>661</v>
      </c>
      <c r="H11" s="1003" t="s">
        <v>1</v>
      </c>
      <c r="I11" s="1004"/>
      <c r="J11" s="1004"/>
      <c r="K11" s="1004"/>
      <c r="L11" s="1002" t="s">
        <v>748</v>
      </c>
      <c r="M11" s="1005">
        <v>800000</v>
      </c>
      <c r="N11" s="1006"/>
      <c r="O11" s="1007"/>
      <c r="Q11" s="355" t="s">
        <v>821</v>
      </c>
    </row>
    <row r="12" spans="1:17" s="355" customFormat="1" ht="14.25" customHeight="1">
      <c r="A12" s="438" t="s">
        <v>743</v>
      </c>
      <c r="B12" s="302" t="s">
        <v>744</v>
      </c>
      <c r="C12" s="2731"/>
      <c r="D12" s="1008" t="s">
        <v>819</v>
      </c>
      <c r="E12" s="2734"/>
      <c r="F12" s="2735"/>
      <c r="G12" s="2725"/>
      <c r="H12" s="2725"/>
      <c r="I12" s="2722"/>
      <c r="J12" s="2722"/>
      <c r="K12" s="2722"/>
      <c r="L12" s="2725"/>
      <c r="M12" s="2728"/>
      <c r="N12" s="2716"/>
      <c r="O12" s="2719"/>
    </row>
    <row r="13" spans="1:17" s="355" customFormat="1" ht="14.25" customHeight="1">
      <c r="A13" s="438" t="s">
        <v>743</v>
      </c>
      <c r="B13" s="302" t="s">
        <v>744</v>
      </c>
      <c r="C13" s="2732"/>
      <c r="D13" s="1008" t="s">
        <v>820</v>
      </c>
      <c r="E13" s="2736"/>
      <c r="F13" s="2737"/>
      <c r="G13" s="2726"/>
      <c r="H13" s="2726"/>
      <c r="I13" s="2723"/>
      <c r="J13" s="2723"/>
      <c r="K13" s="2723"/>
      <c r="L13" s="2726"/>
      <c r="M13" s="2729"/>
      <c r="N13" s="2717"/>
      <c r="O13" s="2720"/>
    </row>
    <row r="14" spans="1:17" s="355" customFormat="1" ht="14.25" customHeight="1">
      <c r="A14" s="438" t="s">
        <v>743</v>
      </c>
      <c r="B14" s="302" t="s">
        <v>744</v>
      </c>
      <c r="C14" s="2732"/>
      <c r="D14" s="1008" t="s">
        <v>752</v>
      </c>
      <c r="E14" s="2736"/>
      <c r="F14" s="2737"/>
      <c r="G14" s="2726"/>
      <c r="H14" s="2726"/>
      <c r="I14" s="2723"/>
      <c r="J14" s="2723"/>
      <c r="K14" s="2723"/>
      <c r="L14" s="2726"/>
      <c r="M14" s="2729"/>
      <c r="N14" s="2717"/>
      <c r="O14" s="2720"/>
    </row>
    <row r="15" spans="1:17" s="355" customFormat="1" ht="14.25" customHeight="1">
      <c r="A15" s="438" t="s">
        <v>743</v>
      </c>
      <c r="B15" s="302" t="s">
        <v>744</v>
      </c>
      <c r="C15" s="2733"/>
      <c r="D15" s="1009"/>
      <c r="E15" s="2738"/>
      <c r="F15" s="2739"/>
      <c r="G15" s="2727"/>
      <c r="H15" s="2727"/>
      <c r="I15" s="2724"/>
      <c r="J15" s="2724"/>
      <c r="K15" s="2724"/>
      <c r="L15" s="2727"/>
      <c r="M15" s="2730"/>
      <c r="N15" s="2718"/>
      <c r="O15" s="2721"/>
    </row>
    <row r="16" spans="1:17" s="355" customFormat="1" ht="14.25" customHeight="1">
      <c r="C16" s="400"/>
      <c r="D16" s="400"/>
      <c r="E16" s="401"/>
      <c r="F16" s="402"/>
      <c r="G16" s="402"/>
      <c r="H16" s="403"/>
      <c r="I16" s="403"/>
      <c r="J16" s="403"/>
      <c r="K16" s="402"/>
      <c r="L16" s="408"/>
      <c r="M16" s="402"/>
      <c r="N16" s="405"/>
    </row>
    <row r="17" spans="1:15" s="355" customFormat="1" ht="14.25" customHeight="1">
      <c r="C17" s="400"/>
      <c r="D17" s="400"/>
      <c r="E17" s="401"/>
      <c r="F17" s="402"/>
      <c r="G17" s="402"/>
      <c r="H17" s="403"/>
      <c r="I17" s="403"/>
      <c r="J17" s="403"/>
      <c r="K17" s="402"/>
      <c r="L17" s="408"/>
      <c r="M17" s="402"/>
      <c r="N17" s="405"/>
    </row>
    <row r="18" spans="1:15" s="355" customFormat="1" ht="56.25" customHeight="1">
      <c r="A18" s="564" t="s">
        <v>859</v>
      </c>
      <c r="B18" s="302" t="s">
        <v>988</v>
      </c>
      <c r="C18" s="983" t="s">
        <v>822</v>
      </c>
      <c r="D18" s="982" t="s">
        <v>823</v>
      </c>
      <c r="E18" s="981"/>
      <c r="F18" s="981"/>
      <c r="G18" s="982"/>
      <c r="H18" s="982"/>
      <c r="I18" s="982"/>
      <c r="J18" s="982"/>
      <c r="K18" s="982"/>
      <c r="L18" s="982" t="s">
        <v>824</v>
      </c>
      <c r="M18" s="1012"/>
      <c r="N18" s="982"/>
      <c r="O18" s="309"/>
    </row>
    <row r="19" spans="1:15" s="355" customFormat="1" ht="30.75" customHeight="1">
      <c r="A19" s="564" t="s">
        <v>859</v>
      </c>
      <c r="B19" s="302" t="s">
        <v>988</v>
      </c>
      <c r="C19" s="983" t="s">
        <v>825</v>
      </c>
      <c r="D19" s="314" t="s">
        <v>826</v>
      </c>
      <c r="E19" s="984">
        <v>45</v>
      </c>
      <c r="F19" s="662" t="s">
        <v>827</v>
      </c>
      <c r="G19" s="309" t="s">
        <v>661</v>
      </c>
      <c r="H19" s="497" t="s">
        <v>828</v>
      </c>
      <c r="I19" s="985">
        <v>46082</v>
      </c>
      <c r="J19" s="986" t="s">
        <v>829</v>
      </c>
      <c r="K19" s="985" t="s">
        <v>830</v>
      </c>
      <c r="L19" s="982" t="s">
        <v>824</v>
      </c>
      <c r="M19" s="1013">
        <v>55800</v>
      </c>
      <c r="N19" s="499" t="s">
        <v>659</v>
      </c>
      <c r="O19" s="1014">
        <v>55800</v>
      </c>
    </row>
    <row r="20" spans="1:15" s="355" customFormat="1" ht="30.75" customHeight="1">
      <c r="A20" s="564" t="s">
        <v>859</v>
      </c>
      <c r="B20" s="302" t="s">
        <v>988</v>
      </c>
      <c r="C20" s="983" t="s">
        <v>831</v>
      </c>
      <c r="D20" s="314" t="s">
        <v>832</v>
      </c>
      <c r="E20" s="984">
        <v>150</v>
      </c>
      <c r="F20" s="304" t="s">
        <v>827</v>
      </c>
      <c r="G20" s="309" t="s">
        <v>661</v>
      </c>
      <c r="H20" s="497" t="s">
        <v>828</v>
      </c>
      <c r="I20" s="985">
        <v>46082</v>
      </c>
      <c r="J20" s="986" t="s">
        <v>829</v>
      </c>
      <c r="K20" s="985" t="s">
        <v>830</v>
      </c>
      <c r="L20" s="982" t="s">
        <v>824</v>
      </c>
      <c r="M20" s="1013">
        <v>37500</v>
      </c>
      <c r="N20" s="499" t="s">
        <v>659</v>
      </c>
      <c r="O20" s="1015"/>
    </row>
    <row r="21" spans="1:15" s="355" customFormat="1" ht="30.75" customHeight="1">
      <c r="A21" s="564" t="s">
        <v>859</v>
      </c>
      <c r="B21" s="302" t="s">
        <v>988</v>
      </c>
      <c r="C21" s="509" t="s">
        <v>833</v>
      </c>
      <c r="D21" s="314" t="s">
        <v>834</v>
      </c>
      <c r="E21" s="662">
        <v>33</v>
      </c>
      <c r="F21" s="662" t="s">
        <v>827</v>
      </c>
      <c r="G21" s="309" t="s">
        <v>661</v>
      </c>
      <c r="H21" s="497" t="s">
        <v>828</v>
      </c>
      <c r="I21" s="985">
        <v>46082</v>
      </c>
      <c r="J21" s="986" t="s">
        <v>829</v>
      </c>
      <c r="K21" s="985" t="s">
        <v>830</v>
      </c>
      <c r="L21" s="499" t="s">
        <v>835</v>
      </c>
      <c r="M21" s="1016">
        <v>33500</v>
      </c>
      <c r="N21" s="499" t="s">
        <v>659</v>
      </c>
      <c r="O21" s="1017">
        <v>33500</v>
      </c>
    </row>
    <row r="22" spans="1:15" s="355" customFormat="1" ht="30.75" customHeight="1">
      <c r="A22" s="564" t="s">
        <v>859</v>
      </c>
      <c r="B22" s="302" t="s">
        <v>988</v>
      </c>
      <c r="C22" s="508" t="s">
        <v>836</v>
      </c>
      <c r="D22" s="314" t="s">
        <v>837</v>
      </c>
      <c r="E22" s="662">
        <v>33</v>
      </c>
      <c r="F22" s="662" t="s">
        <v>827</v>
      </c>
      <c r="G22" s="309" t="s">
        <v>661</v>
      </c>
      <c r="H22" s="497" t="s">
        <v>828</v>
      </c>
      <c r="I22" s="985">
        <v>46082</v>
      </c>
      <c r="J22" s="986" t="s">
        <v>829</v>
      </c>
      <c r="K22" s="985" t="s">
        <v>830</v>
      </c>
      <c r="L22" s="499" t="s">
        <v>835</v>
      </c>
      <c r="M22" s="1016">
        <v>36000</v>
      </c>
      <c r="N22" s="499" t="s">
        <v>659</v>
      </c>
      <c r="O22" s="1018">
        <v>36000</v>
      </c>
    </row>
    <row r="23" spans="1:15" s="355" customFormat="1" ht="30.75" customHeight="1">
      <c r="A23" s="564" t="s">
        <v>859</v>
      </c>
      <c r="B23" s="302" t="s">
        <v>988</v>
      </c>
      <c r="C23" s="317" t="s">
        <v>838</v>
      </c>
      <c r="D23" s="314" t="s">
        <v>839</v>
      </c>
      <c r="E23" s="304">
        <v>46</v>
      </c>
      <c r="F23" s="304" t="s">
        <v>827</v>
      </c>
      <c r="G23" s="309" t="s">
        <v>661</v>
      </c>
      <c r="H23" s="313" t="s">
        <v>828</v>
      </c>
      <c r="I23" s="985">
        <v>46082</v>
      </c>
      <c r="J23" s="986" t="s">
        <v>829</v>
      </c>
      <c r="K23" s="985" t="s">
        <v>830</v>
      </c>
      <c r="L23" s="308" t="s">
        <v>835</v>
      </c>
      <c r="M23" s="1016">
        <v>32200</v>
      </c>
      <c r="N23" s="308" t="s">
        <v>659</v>
      </c>
      <c r="O23" s="1018">
        <v>32200</v>
      </c>
    </row>
    <row r="24" spans="1:15" s="355" customFormat="1" ht="30.75" customHeight="1">
      <c r="A24" s="564" t="s">
        <v>859</v>
      </c>
      <c r="B24" s="302" t="s">
        <v>988</v>
      </c>
      <c r="C24" s="317" t="s">
        <v>840</v>
      </c>
      <c r="D24" s="314" t="s">
        <v>841</v>
      </c>
      <c r="E24" s="304">
        <v>3</v>
      </c>
      <c r="F24" s="304" t="s">
        <v>842</v>
      </c>
      <c r="G24" s="309" t="s">
        <v>661</v>
      </c>
      <c r="H24" s="313" t="s">
        <v>828</v>
      </c>
      <c r="I24" s="985">
        <v>46082</v>
      </c>
      <c r="J24" s="986" t="s">
        <v>829</v>
      </c>
      <c r="K24" s="985" t="s">
        <v>830</v>
      </c>
      <c r="L24" s="308" t="s">
        <v>835</v>
      </c>
      <c r="M24" s="1019">
        <v>45000</v>
      </c>
      <c r="N24" s="308" t="s">
        <v>659</v>
      </c>
      <c r="O24" s="1020"/>
    </row>
    <row r="25" spans="1:15" s="355" customFormat="1" ht="30.75" customHeight="1">
      <c r="A25" s="564" t="s">
        <v>859</v>
      </c>
      <c r="B25" s="302" t="s">
        <v>988</v>
      </c>
      <c r="C25" s="2657" t="s">
        <v>843</v>
      </c>
      <c r="D25" s="309" t="s">
        <v>844</v>
      </c>
      <c r="E25" s="304">
        <v>30</v>
      </c>
      <c r="F25" s="304" t="s">
        <v>827</v>
      </c>
      <c r="G25" s="309" t="s">
        <v>661</v>
      </c>
      <c r="H25" s="313" t="s">
        <v>828</v>
      </c>
      <c r="I25" s="985">
        <v>46082</v>
      </c>
      <c r="J25" s="986" t="s">
        <v>829</v>
      </c>
      <c r="K25" s="985" t="s">
        <v>830</v>
      </c>
      <c r="L25" s="308" t="s">
        <v>835</v>
      </c>
      <c r="M25" s="1019">
        <v>54000</v>
      </c>
      <c r="N25" s="308" t="s">
        <v>659</v>
      </c>
      <c r="O25" s="1021">
        <v>54000</v>
      </c>
    </row>
    <row r="26" spans="1:15" s="355" customFormat="1" ht="30.75" customHeight="1">
      <c r="A26" s="564" t="s">
        <v>859</v>
      </c>
      <c r="B26" s="302" t="s">
        <v>988</v>
      </c>
      <c r="C26" s="2658"/>
      <c r="D26" s="314" t="s">
        <v>845</v>
      </c>
      <c r="E26" s="304">
        <v>13</v>
      </c>
      <c r="F26" s="304" t="s">
        <v>827</v>
      </c>
      <c r="G26" s="309" t="s">
        <v>661</v>
      </c>
      <c r="H26" s="313" t="s">
        <v>828</v>
      </c>
      <c r="I26" s="985">
        <v>46082</v>
      </c>
      <c r="J26" s="986" t="s">
        <v>829</v>
      </c>
      <c r="K26" s="985" t="s">
        <v>830</v>
      </c>
      <c r="L26" s="308" t="s">
        <v>835</v>
      </c>
      <c r="M26" s="1019">
        <v>15600</v>
      </c>
      <c r="N26" s="308" t="s">
        <v>659</v>
      </c>
      <c r="O26" s="1021">
        <v>15600</v>
      </c>
    </row>
    <row r="27" spans="1:15" s="355" customFormat="1" ht="30.75" customHeight="1">
      <c r="A27" s="564" t="s">
        <v>859</v>
      </c>
      <c r="B27" s="302" t="s">
        <v>988</v>
      </c>
      <c r="C27" s="2659"/>
      <c r="D27" s="314" t="s">
        <v>845</v>
      </c>
      <c r="E27" s="304">
        <v>43</v>
      </c>
      <c r="F27" s="304" t="s">
        <v>827</v>
      </c>
      <c r="G27" s="309" t="s">
        <v>661</v>
      </c>
      <c r="H27" s="313" t="s">
        <v>828</v>
      </c>
      <c r="I27" s="985">
        <v>46082</v>
      </c>
      <c r="J27" s="986" t="s">
        <v>829</v>
      </c>
      <c r="K27" s="985" t="s">
        <v>830</v>
      </c>
      <c r="L27" s="308" t="s">
        <v>835</v>
      </c>
      <c r="M27" s="1019">
        <v>51600</v>
      </c>
      <c r="N27" s="308" t="s">
        <v>659</v>
      </c>
      <c r="O27" s="1021">
        <v>51600</v>
      </c>
    </row>
    <row r="28" spans="1:15" s="355" customFormat="1" ht="30.75" customHeight="1">
      <c r="A28" s="564" t="s">
        <v>859</v>
      </c>
      <c r="B28" s="302" t="s">
        <v>988</v>
      </c>
      <c r="C28" s="317" t="s">
        <v>846</v>
      </c>
      <c r="D28" s="314" t="s">
        <v>839</v>
      </c>
      <c r="E28" s="304">
        <v>15</v>
      </c>
      <c r="F28" s="304" t="s">
        <v>827</v>
      </c>
      <c r="G28" s="309" t="s">
        <v>661</v>
      </c>
      <c r="H28" s="313" t="s">
        <v>828</v>
      </c>
      <c r="I28" s="985">
        <v>46082</v>
      </c>
      <c r="J28" s="986" t="s">
        <v>829</v>
      </c>
      <c r="K28" s="985" t="s">
        <v>830</v>
      </c>
      <c r="L28" s="308" t="s">
        <v>835</v>
      </c>
      <c r="M28" s="1016">
        <v>10500</v>
      </c>
      <c r="N28" s="308" t="s">
        <v>659</v>
      </c>
      <c r="O28" s="1021">
        <v>10500</v>
      </c>
    </row>
    <row r="29" spans="1:15" s="355" customFormat="1" ht="30.75" customHeight="1">
      <c r="A29" s="564" t="s">
        <v>859</v>
      </c>
      <c r="B29" s="302" t="s">
        <v>988</v>
      </c>
      <c r="C29" s="317" t="s">
        <v>847</v>
      </c>
      <c r="D29" s="314" t="s">
        <v>848</v>
      </c>
      <c r="E29" s="304"/>
      <c r="F29" s="304"/>
      <c r="G29" s="309" t="s">
        <v>661</v>
      </c>
      <c r="H29" s="313" t="s">
        <v>828</v>
      </c>
      <c r="I29" s="985">
        <v>46082</v>
      </c>
      <c r="J29" s="986" t="s">
        <v>829</v>
      </c>
      <c r="K29" s="985" t="s">
        <v>830</v>
      </c>
      <c r="L29" s="308" t="s">
        <v>835</v>
      </c>
      <c r="M29" s="1019">
        <v>65000</v>
      </c>
      <c r="N29" s="308" t="s">
        <v>659</v>
      </c>
      <c r="O29" s="308"/>
    </row>
    <row r="30" spans="1:15" s="355" customFormat="1" ht="30.75" customHeight="1">
      <c r="A30" s="564" t="s">
        <v>859</v>
      </c>
      <c r="B30" s="302" t="s">
        <v>988</v>
      </c>
      <c r="C30" s="987" t="s">
        <v>849</v>
      </c>
      <c r="D30" s="314" t="s">
        <v>850</v>
      </c>
      <c r="E30" s="662">
        <v>57</v>
      </c>
      <c r="F30" s="662" t="s">
        <v>827</v>
      </c>
      <c r="G30" s="309" t="s">
        <v>661</v>
      </c>
      <c r="H30" s="497" t="s">
        <v>828</v>
      </c>
      <c r="I30" s="985">
        <v>46082</v>
      </c>
      <c r="J30" s="986" t="s">
        <v>829</v>
      </c>
      <c r="K30" s="985" t="s">
        <v>830</v>
      </c>
      <c r="L30" s="499" t="s">
        <v>835</v>
      </c>
      <c r="M30" s="1016">
        <v>40000</v>
      </c>
      <c r="N30" s="499" t="s">
        <v>659</v>
      </c>
      <c r="O30" s="988"/>
    </row>
    <row r="31" spans="1:15" s="355" customFormat="1" ht="30.75" customHeight="1">
      <c r="A31" s="564" t="s">
        <v>859</v>
      </c>
      <c r="B31" s="302" t="s">
        <v>988</v>
      </c>
      <c r="C31" s="317" t="s">
        <v>851</v>
      </c>
      <c r="D31" s="314" t="s">
        <v>852</v>
      </c>
      <c r="E31" s="304">
        <v>260</v>
      </c>
      <c r="F31" s="304" t="s">
        <v>827</v>
      </c>
      <c r="G31" s="309" t="s">
        <v>661</v>
      </c>
      <c r="H31" s="313" t="s">
        <v>828</v>
      </c>
      <c r="I31" s="985">
        <v>46082</v>
      </c>
      <c r="J31" s="986" t="s">
        <v>829</v>
      </c>
      <c r="K31" s="985" t="s">
        <v>830</v>
      </c>
      <c r="L31" s="308" t="s">
        <v>835</v>
      </c>
      <c r="M31" s="1016">
        <v>65000</v>
      </c>
      <c r="N31" s="308" t="s">
        <v>659</v>
      </c>
      <c r="O31" s="1021">
        <v>65000</v>
      </c>
    </row>
    <row r="32" spans="1:15" s="355" customFormat="1" ht="30.75" customHeight="1">
      <c r="A32" s="564" t="s">
        <v>859</v>
      </c>
      <c r="B32" s="302" t="s">
        <v>988</v>
      </c>
      <c r="C32" s="317" t="s">
        <v>853</v>
      </c>
      <c r="D32" s="314" t="s">
        <v>854</v>
      </c>
      <c r="E32" s="304"/>
      <c r="F32" s="304" t="s">
        <v>855</v>
      </c>
      <c r="G32" s="309" t="s">
        <v>661</v>
      </c>
      <c r="H32" s="313" t="s">
        <v>828</v>
      </c>
      <c r="I32" s="985">
        <v>46082</v>
      </c>
      <c r="J32" s="986" t="s">
        <v>829</v>
      </c>
      <c r="K32" s="985" t="s">
        <v>830</v>
      </c>
      <c r="L32" s="308" t="s">
        <v>835</v>
      </c>
      <c r="M32" s="1019">
        <v>29900</v>
      </c>
      <c r="N32" s="308" t="s">
        <v>659</v>
      </c>
      <c r="O32" s="308"/>
    </row>
    <row r="33" spans="1:15" s="355" customFormat="1" ht="30.75" customHeight="1">
      <c r="A33" s="564" t="s">
        <v>859</v>
      </c>
      <c r="B33" s="302" t="s">
        <v>988</v>
      </c>
      <c r="C33" s="317" t="s">
        <v>856</v>
      </c>
      <c r="D33" s="314" t="s">
        <v>850</v>
      </c>
      <c r="E33" s="304">
        <v>20</v>
      </c>
      <c r="F33" s="304" t="s">
        <v>827</v>
      </c>
      <c r="G33" s="309" t="s">
        <v>661</v>
      </c>
      <c r="H33" s="313" t="s">
        <v>828</v>
      </c>
      <c r="I33" s="985">
        <v>46082</v>
      </c>
      <c r="J33" s="986" t="s">
        <v>829</v>
      </c>
      <c r="K33" s="985" t="s">
        <v>830</v>
      </c>
      <c r="L33" s="308" t="s">
        <v>835</v>
      </c>
      <c r="M33" s="1016">
        <v>15400</v>
      </c>
      <c r="N33" s="308" t="s">
        <v>659</v>
      </c>
      <c r="O33" s="1021">
        <v>15400</v>
      </c>
    </row>
    <row r="34" spans="1:15" s="355" customFormat="1" ht="30.75" customHeight="1">
      <c r="A34" s="564" t="s">
        <v>859</v>
      </c>
      <c r="B34" s="302" t="s">
        <v>988</v>
      </c>
      <c r="C34" s="987" t="s">
        <v>857</v>
      </c>
      <c r="D34" s="314" t="s">
        <v>858</v>
      </c>
      <c r="E34" s="662">
        <v>40</v>
      </c>
      <c r="F34" s="304" t="s">
        <v>855</v>
      </c>
      <c r="G34" s="309" t="s">
        <v>661</v>
      </c>
      <c r="H34" s="313" t="s">
        <v>828</v>
      </c>
      <c r="I34" s="985">
        <v>46082</v>
      </c>
      <c r="J34" s="986" t="s">
        <v>829</v>
      </c>
      <c r="K34" s="985" t="s">
        <v>830</v>
      </c>
      <c r="L34" s="308" t="s">
        <v>835</v>
      </c>
      <c r="M34" s="34">
        <v>28000</v>
      </c>
      <c r="N34" s="308" t="s">
        <v>659</v>
      </c>
      <c r="O34" s="1022"/>
    </row>
    <row r="35" spans="1:15" s="355" customFormat="1" ht="14.25" customHeight="1">
      <c r="C35" s="987"/>
      <c r="D35" s="314"/>
      <c r="E35" s="662"/>
      <c r="F35" s="662"/>
      <c r="G35" s="309"/>
      <c r="H35" s="497"/>
      <c r="I35" s="985"/>
      <c r="J35" s="986"/>
      <c r="K35" s="2741"/>
      <c r="L35" s="2742"/>
      <c r="M35" s="411"/>
      <c r="N35" s="499"/>
      <c r="O35" s="1023">
        <f>SUM(O19:O34)</f>
        <v>369600</v>
      </c>
    </row>
    <row r="36" spans="1:15" s="355" customFormat="1" ht="14.25" customHeight="1">
      <c r="C36" s="400"/>
      <c r="D36" s="400"/>
      <c r="E36" s="401"/>
      <c r="F36" s="402"/>
      <c r="G36" s="402"/>
      <c r="H36" s="403"/>
      <c r="I36" s="403"/>
      <c r="J36" s="403"/>
      <c r="K36" s="402"/>
      <c r="L36" s="408"/>
      <c r="M36" s="402"/>
      <c r="N36" s="405"/>
    </row>
    <row r="37" spans="1:15" s="355" customFormat="1" ht="14.25" customHeight="1">
      <c r="C37" s="400"/>
      <c r="D37" s="400"/>
      <c r="E37" s="401"/>
      <c r="F37" s="402"/>
      <c r="G37" s="402"/>
      <c r="H37" s="403"/>
      <c r="I37" s="403"/>
      <c r="J37" s="403"/>
      <c r="K37" s="402"/>
      <c r="L37" s="408"/>
      <c r="M37" s="402"/>
      <c r="N37" s="405"/>
    </row>
    <row r="38" spans="1:15" s="355" customFormat="1" ht="14.25" customHeight="1">
      <c r="A38" s="355" t="s">
        <v>886</v>
      </c>
      <c r="B38" s="355" t="s">
        <v>988</v>
      </c>
      <c r="C38" s="410" t="s">
        <v>960</v>
      </c>
      <c r="D38" s="1024" t="s">
        <v>823</v>
      </c>
      <c r="E38" s="304"/>
      <c r="F38" s="304"/>
      <c r="G38" s="1024"/>
      <c r="H38" s="313"/>
      <c r="I38" s="320"/>
      <c r="J38" s="986"/>
      <c r="K38" s="989"/>
      <c r="L38" s="308"/>
      <c r="M38" s="1025"/>
      <c r="N38" s="308"/>
    </row>
    <row r="39" spans="1:15" s="355" customFormat="1" ht="67.5">
      <c r="A39" s="355" t="s">
        <v>886</v>
      </c>
      <c r="B39" s="355" t="s">
        <v>988</v>
      </c>
      <c r="C39" s="2743" t="s">
        <v>961</v>
      </c>
      <c r="D39" s="309" t="s">
        <v>962</v>
      </c>
      <c r="E39" s="304">
        <v>44</v>
      </c>
      <c r="F39" s="304" t="s">
        <v>926</v>
      </c>
      <c r="G39" s="309" t="s">
        <v>661</v>
      </c>
      <c r="H39" s="313" t="s">
        <v>1</v>
      </c>
      <c r="I39" s="320" t="s">
        <v>675</v>
      </c>
      <c r="J39" s="986" t="s">
        <v>829</v>
      </c>
      <c r="K39" s="989" t="s">
        <v>963</v>
      </c>
      <c r="L39" s="308" t="s">
        <v>824</v>
      </c>
      <c r="M39" s="1026">
        <v>158400</v>
      </c>
      <c r="N39" s="308" t="s">
        <v>659</v>
      </c>
    </row>
    <row r="40" spans="1:15" s="355" customFormat="1" ht="67.5">
      <c r="A40" s="355" t="s">
        <v>886</v>
      </c>
      <c r="B40" s="355" t="s">
        <v>988</v>
      </c>
      <c r="C40" s="2744"/>
      <c r="D40" s="314" t="s">
        <v>964</v>
      </c>
      <c r="E40" s="304">
        <v>18</v>
      </c>
      <c r="F40" s="304" t="s">
        <v>926</v>
      </c>
      <c r="G40" s="309" t="s">
        <v>661</v>
      </c>
      <c r="H40" s="313" t="s">
        <v>1</v>
      </c>
      <c r="I40" s="320" t="s">
        <v>675</v>
      </c>
      <c r="J40" s="986" t="s">
        <v>829</v>
      </c>
      <c r="K40" s="989" t="s">
        <v>963</v>
      </c>
      <c r="L40" s="308" t="s">
        <v>824</v>
      </c>
      <c r="M40" s="1026">
        <v>50400</v>
      </c>
      <c r="N40" s="308" t="s">
        <v>659</v>
      </c>
    </row>
    <row r="41" spans="1:15" s="355" customFormat="1" ht="67.5">
      <c r="A41" s="355" t="s">
        <v>886</v>
      </c>
      <c r="B41" s="355" t="s">
        <v>988</v>
      </c>
      <c r="C41" s="2745"/>
      <c r="D41" s="314" t="s">
        <v>965</v>
      </c>
      <c r="E41" s="304">
        <v>68</v>
      </c>
      <c r="F41" s="304" t="s">
        <v>926</v>
      </c>
      <c r="G41" s="309" t="s">
        <v>661</v>
      </c>
      <c r="H41" s="313" t="s">
        <v>1</v>
      </c>
      <c r="I41" s="320" t="s">
        <v>675</v>
      </c>
      <c r="J41" s="986" t="s">
        <v>829</v>
      </c>
      <c r="K41" s="989" t="s">
        <v>963</v>
      </c>
      <c r="L41" s="308" t="s">
        <v>824</v>
      </c>
      <c r="M41" s="1026">
        <v>81600</v>
      </c>
      <c r="N41" s="308" t="s">
        <v>659</v>
      </c>
    </row>
    <row r="42" spans="1:15" s="355" customFormat="1" ht="67.5">
      <c r="A42" s="355" t="s">
        <v>886</v>
      </c>
      <c r="B42" s="355" t="s">
        <v>988</v>
      </c>
      <c r="C42" s="2746" t="s">
        <v>966</v>
      </c>
      <c r="D42" s="314" t="s">
        <v>820</v>
      </c>
      <c r="E42" s="304">
        <v>100</v>
      </c>
      <c r="F42" s="304" t="s">
        <v>926</v>
      </c>
      <c r="G42" s="309" t="s">
        <v>661</v>
      </c>
      <c r="H42" s="313" t="s">
        <v>1</v>
      </c>
      <c r="I42" s="320" t="s">
        <v>675</v>
      </c>
      <c r="J42" s="986" t="s">
        <v>829</v>
      </c>
      <c r="K42" s="989" t="s">
        <v>963</v>
      </c>
      <c r="L42" s="308" t="s">
        <v>824</v>
      </c>
      <c r="M42" s="1025">
        <v>70000</v>
      </c>
      <c r="N42" s="308" t="s">
        <v>659</v>
      </c>
    </row>
    <row r="43" spans="1:15" s="355" customFormat="1" ht="67.5">
      <c r="A43" s="355" t="s">
        <v>886</v>
      </c>
      <c r="B43" s="355" t="s">
        <v>988</v>
      </c>
      <c r="C43" s="2747"/>
      <c r="D43" s="314" t="s">
        <v>967</v>
      </c>
      <c r="E43" s="304"/>
      <c r="F43" s="304"/>
      <c r="G43" s="309" t="s">
        <v>661</v>
      </c>
      <c r="H43" s="313" t="s">
        <v>1</v>
      </c>
      <c r="I43" s="320" t="s">
        <v>675</v>
      </c>
      <c r="J43" s="986" t="s">
        <v>829</v>
      </c>
      <c r="K43" s="989" t="s">
        <v>963</v>
      </c>
      <c r="L43" s="308" t="s">
        <v>824</v>
      </c>
      <c r="M43" s="1025">
        <v>4800</v>
      </c>
      <c r="N43" s="308" t="s">
        <v>659</v>
      </c>
    </row>
    <row r="44" spans="1:15" s="355" customFormat="1" ht="67.5">
      <c r="A44" s="355" t="s">
        <v>886</v>
      </c>
      <c r="B44" s="355" t="s">
        <v>988</v>
      </c>
      <c r="C44" s="2747"/>
      <c r="D44" s="314" t="s">
        <v>968</v>
      </c>
      <c r="E44" s="304">
        <v>300</v>
      </c>
      <c r="F44" s="304" t="s">
        <v>761</v>
      </c>
      <c r="G44" s="309" t="s">
        <v>661</v>
      </c>
      <c r="H44" s="313" t="s">
        <v>1</v>
      </c>
      <c r="I44" s="320" t="s">
        <v>675</v>
      </c>
      <c r="J44" s="986" t="s">
        <v>829</v>
      </c>
      <c r="K44" s="989" t="s">
        <v>963</v>
      </c>
      <c r="L44" s="308" t="s">
        <v>824</v>
      </c>
      <c r="M44" s="1025">
        <v>4500</v>
      </c>
      <c r="N44" s="308" t="s">
        <v>659</v>
      </c>
    </row>
    <row r="45" spans="1:15" s="355" customFormat="1" ht="67.5">
      <c r="A45" s="355" t="s">
        <v>886</v>
      </c>
      <c r="B45" s="355" t="s">
        <v>988</v>
      </c>
      <c r="C45" s="2747"/>
      <c r="D45" s="314" t="s">
        <v>969</v>
      </c>
      <c r="E45" s="304">
        <v>300</v>
      </c>
      <c r="F45" s="304" t="s">
        <v>761</v>
      </c>
      <c r="G45" s="309" t="s">
        <v>661</v>
      </c>
      <c r="H45" s="313" t="s">
        <v>1</v>
      </c>
      <c r="I45" s="320" t="s">
        <v>675</v>
      </c>
      <c r="J45" s="986" t="s">
        <v>829</v>
      </c>
      <c r="K45" s="989" t="s">
        <v>963</v>
      </c>
      <c r="L45" s="308" t="s">
        <v>824</v>
      </c>
      <c r="M45" s="1025">
        <v>9000</v>
      </c>
      <c r="N45" s="308" t="s">
        <v>659</v>
      </c>
    </row>
    <row r="46" spans="1:15" s="355" customFormat="1" ht="27">
      <c r="A46" s="355" t="s">
        <v>886</v>
      </c>
      <c r="B46" s="355" t="s">
        <v>988</v>
      </c>
      <c r="C46" s="2747"/>
      <c r="D46" s="314" t="s">
        <v>970</v>
      </c>
      <c r="E46" s="304">
        <v>60</v>
      </c>
      <c r="F46" s="304" t="s">
        <v>761</v>
      </c>
      <c r="G46" s="309" t="s">
        <v>661</v>
      </c>
      <c r="H46" s="313" t="s">
        <v>1</v>
      </c>
      <c r="I46" s="320" t="s">
        <v>675</v>
      </c>
      <c r="J46" s="986" t="s">
        <v>829</v>
      </c>
      <c r="K46" s="989" t="s">
        <v>963</v>
      </c>
      <c r="L46" s="308" t="s">
        <v>824</v>
      </c>
      <c r="M46" s="1025">
        <v>30000</v>
      </c>
      <c r="N46" s="308"/>
    </row>
    <row r="47" spans="1:15" s="355" customFormat="1" ht="67.5">
      <c r="A47" s="355" t="s">
        <v>886</v>
      </c>
      <c r="B47" s="355" t="s">
        <v>988</v>
      </c>
      <c r="C47" s="2747"/>
      <c r="D47" s="314" t="s">
        <v>971</v>
      </c>
      <c r="E47" s="304"/>
      <c r="F47" s="304"/>
      <c r="G47" s="309" t="s">
        <v>661</v>
      </c>
      <c r="H47" s="313" t="s">
        <v>1</v>
      </c>
      <c r="I47" s="320" t="s">
        <v>675</v>
      </c>
      <c r="J47" s="320" t="s">
        <v>675</v>
      </c>
      <c r="K47" s="320" t="s">
        <v>972</v>
      </c>
      <c r="L47" s="308" t="s">
        <v>824</v>
      </c>
      <c r="M47" s="1025">
        <v>15000</v>
      </c>
      <c r="N47" s="308" t="s">
        <v>659</v>
      </c>
    </row>
    <row r="48" spans="1:15" s="355" customFormat="1" ht="67.5">
      <c r="A48" s="355" t="s">
        <v>886</v>
      </c>
      <c r="B48" s="355" t="s">
        <v>988</v>
      </c>
      <c r="C48" s="2746" t="s">
        <v>973</v>
      </c>
      <c r="D48" s="314" t="s">
        <v>974</v>
      </c>
      <c r="E48" s="852"/>
      <c r="F48" s="304"/>
      <c r="G48" s="309" t="s">
        <v>661</v>
      </c>
      <c r="H48" s="313" t="s">
        <v>1</v>
      </c>
      <c r="I48" s="307" t="s">
        <v>975</v>
      </c>
      <c r="J48" s="307" t="s">
        <v>829</v>
      </c>
      <c r="K48" s="307" t="s">
        <v>976</v>
      </c>
      <c r="L48" s="308" t="s">
        <v>824</v>
      </c>
      <c r="M48" s="411">
        <v>27750</v>
      </c>
      <c r="N48" s="308" t="s">
        <v>659</v>
      </c>
    </row>
    <row r="49" spans="1:16" s="355" customFormat="1" ht="67.5">
      <c r="A49" s="355" t="s">
        <v>886</v>
      </c>
      <c r="B49" s="355" t="s">
        <v>988</v>
      </c>
      <c r="C49" s="2747"/>
      <c r="D49" s="314" t="s">
        <v>977</v>
      </c>
      <c r="E49" s="852"/>
      <c r="F49" s="304"/>
      <c r="G49" s="309" t="s">
        <v>661</v>
      </c>
      <c r="H49" s="313" t="s">
        <v>1</v>
      </c>
      <c r="I49" s="307" t="s">
        <v>975</v>
      </c>
      <c r="J49" s="307" t="s">
        <v>829</v>
      </c>
      <c r="K49" s="307" t="s">
        <v>976</v>
      </c>
      <c r="L49" s="308" t="s">
        <v>824</v>
      </c>
      <c r="M49" s="411">
        <v>3000</v>
      </c>
      <c r="N49" s="308" t="s">
        <v>659</v>
      </c>
    </row>
    <row r="50" spans="1:16" s="355" customFormat="1" ht="67.5">
      <c r="A50" s="355" t="s">
        <v>886</v>
      </c>
      <c r="B50" s="355" t="s">
        <v>988</v>
      </c>
      <c r="C50" s="2747"/>
      <c r="D50" s="314" t="s">
        <v>978</v>
      </c>
      <c r="E50" s="852"/>
      <c r="F50" s="304"/>
      <c r="G50" s="309" t="s">
        <v>661</v>
      </c>
      <c r="H50" s="313" t="s">
        <v>1</v>
      </c>
      <c r="I50" s="307" t="s">
        <v>975</v>
      </c>
      <c r="J50" s="307" t="s">
        <v>829</v>
      </c>
      <c r="K50" s="307" t="s">
        <v>976</v>
      </c>
      <c r="L50" s="308" t="s">
        <v>824</v>
      </c>
      <c r="M50" s="411">
        <v>8500</v>
      </c>
      <c r="N50" s="308" t="s">
        <v>659</v>
      </c>
    </row>
    <row r="51" spans="1:16" s="355" customFormat="1" ht="67.5">
      <c r="A51" s="355" t="s">
        <v>886</v>
      </c>
      <c r="B51" s="355" t="s">
        <v>988</v>
      </c>
      <c r="C51" s="2748"/>
      <c r="D51" s="314" t="s">
        <v>979</v>
      </c>
      <c r="E51" s="852"/>
      <c r="F51" s="304"/>
      <c r="G51" s="309" t="s">
        <v>661</v>
      </c>
      <c r="H51" s="313" t="s">
        <v>1</v>
      </c>
      <c r="I51" s="307" t="s">
        <v>980</v>
      </c>
      <c r="J51" s="307" t="s">
        <v>829</v>
      </c>
      <c r="K51" s="307" t="s">
        <v>981</v>
      </c>
      <c r="L51" s="308" t="s">
        <v>824</v>
      </c>
      <c r="M51" s="411">
        <v>23000</v>
      </c>
      <c r="N51" s="308" t="s">
        <v>659</v>
      </c>
    </row>
    <row r="52" spans="1:16" s="355" customFormat="1" ht="67.5">
      <c r="A52" s="355" t="s">
        <v>886</v>
      </c>
      <c r="B52" s="355" t="s">
        <v>988</v>
      </c>
      <c r="C52" s="983" t="s">
        <v>935</v>
      </c>
      <c r="D52" s="314" t="s">
        <v>982</v>
      </c>
      <c r="E52" s="852"/>
      <c r="F52" s="304"/>
      <c r="G52" s="309" t="s">
        <v>661</v>
      </c>
      <c r="H52" s="313" t="s">
        <v>1</v>
      </c>
      <c r="I52" s="307">
        <v>46204</v>
      </c>
      <c r="J52" s="307" t="s">
        <v>829</v>
      </c>
      <c r="K52" s="990" t="s">
        <v>983</v>
      </c>
      <c r="L52" s="308" t="s">
        <v>824</v>
      </c>
      <c r="M52" s="411">
        <v>99000</v>
      </c>
      <c r="N52" s="308" t="s">
        <v>659</v>
      </c>
    </row>
    <row r="53" spans="1:16" s="355" customFormat="1" ht="67.5">
      <c r="A53" s="355" t="s">
        <v>886</v>
      </c>
      <c r="B53" s="355" t="s">
        <v>988</v>
      </c>
      <c r="C53" s="1027" t="s">
        <v>984</v>
      </c>
      <c r="D53" s="314" t="s">
        <v>925</v>
      </c>
      <c r="E53" s="991">
        <v>300</v>
      </c>
      <c r="F53" s="662" t="s">
        <v>926</v>
      </c>
      <c r="G53" s="309" t="s">
        <v>661</v>
      </c>
      <c r="H53" s="497" t="s">
        <v>1</v>
      </c>
      <c r="I53" s="992">
        <v>46082</v>
      </c>
      <c r="J53" s="986" t="s">
        <v>952</v>
      </c>
      <c r="K53" s="986" t="s">
        <v>985</v>
      </c>
      <c r="L53" s="308" t="s">
        <v>824</v>
      </c>
      <c r="M53" s="1028">
        <v>160750</v>
      </c>
      <c r="N53" s="499" t="s">
        <v>659</v>
      </c>
    </row>
    <row r="54" spans="1:16" s="355" customFormat="1" ht="67.5">
      <c r="A54" s="355" t="s">
        <v>886</v>
      </c>
      <c r="B54" s="355" t="s">
        <v>988</v>
      </c>
      <c r="C54" s="1027" t="s">
        <v>986</v>
      </c>
      <c r="D54" s="314" t="s">
        <v>852</v>
      </c>
      <c r="E54" s="991">
        <v>110</v>
      </c>
      <c r="F54" s="662" t="s">
        <v>926</v>
      </c>
      <c r="G54" s="309" t="s">
        <v>661</v>
      </c>
      <c r="H54" s="497" t="s">
        <v>1</v>
      </c>
      <c r="I54" s="992">
        <v>46054</v>
      </c>
      <c r="J54" s="986">
        <v>46174</v>
      </c>
      <c r="K54" s="993" t="s">
        <v>987</v>
      </c>
      <c r="L54" s="308" t="s">
        <v>824</v>
      </c>
      <c r="M54" s="1028">
        <v>44000</v>
      </c>
      <c r="N54" s="499" t="s">
        <v>659</v>
      </c>
    </row>
    <row r="55" spans="1:16" s="355" customFormat="1" ht="67.5">
      <c r="A55" s="355" t="s">
        <v>886</v>
      </c>
      <c r="B55" s="355" t="s">
        <v>988</v>
      </c>
      <c r="C55" s="1027" t="s">
        <v>958</v>
      </c>
      <c r="D55" s="314" t="s">
        <v>925</v>
      </c>
      <c r="E55" s="991">
        <v>150</v>
      </c>
      <c r="F55" s="662" t="s">
        <v>926</v>
      </c>
      <c r="G55" s="309" t="s">
        <v>661</v>
      </c>
      <c r="H55" s="497" t="s">
        <v>1</v>
      </c>
      <c r="I55" s="986">
        <v>46174</v>
      </c>
      <c r="J55" s="986">
        <v>46357</v>
      </c>
      <c r="K55" s="993" t="s">
        <v>957</v>
      </c>
      <c r="L55" s="308" t="s">
        <v>824</v>
      </c>
      <c r="M55" s="1028">
        <v>140700</v>
      </c>
      <c r="N55" s="499" t="s">
        <v>659</v>
      </c>
    </row>
    <row r="56" spans="1:16" s="355" customFormat="1" ht="14.25" customHeight="1">
      <c r="C56" s="400"/>
      <c r="D56" s="400"/>
      <c r="E56" s="401"/>
      <c r="F56" s="402"/>
      <c r="G56" s="402"/>
      <c r="H56" s="403"/>
      <c r="I56" s="403"/>
      <c r="J56" s="403"/>
      <c r="K56" s="402"/>
      <c r="L56" s="408"/>
      <c r="M56" s="402"/>
      <c r="N56" s="405"/>
    </row>
    <row r="57" spans="1:16" s="355" customFormat="1" ht="14.25" customHeight="1">
      <c r="C57" s="400"/>
      <c r="D57" s="400"/>
      <c r="E57" s="401"/>
      <c r="F57" s="402"/>
      <c r="G57" s="402"/>
      <c r="H57" s="403"/>
      <c r="I57" s="403"/>
      <c r="J57" s="403"/>
      <c r="K57" s="402"/>
      <c r="L57" s="408"/>
      <c r="M57" s="407"/>
      <c r="N57" s="405"/>
    </row>
    <row r="58" spans="1:16" s="355" customFormat="1" ht="14.25" customHeight="1">
      <c r="C58" s="400"/>
      <c r="D58" s="400"/>
      <c r="E58" s="401"/>
      <c r="F58" s="402"/>
      <c r="G58" s="403"/>
      <c r="H58" s="403"/>
      <c r="I58" s="403"/>
      <c r="J58" s="403"/>
      <c r="K58" s="408"/>
      <c r="L58" s="408"/>
      <c r="M58" s="407"/>
      <c r="N58" s="405"/>
    </row>
    <row r="59" spans="1:16" s="355" customFormat="1" ht="27" customHeight="1">
      <c r="A59" s="355" t="s">
        <v>1137</v>
      </c>
      <c r="B59" s="355" t="s">
        <v>1087</v>
      </c>
      <c r="C59" s="994" t="s">
        <v>1290</v>
      </c>
      <c r="D59" s="1010" t="s">
        <v>1140</v>
      </c>
      <c r="E59" s="995"/>
      <c r="F59" s="996"/>
      <c r="H59" s="867" t="s">
        <v>1141</v>
      </c>
      <c r="I59" s="596" t="s">
        <v>1142</v>
      </c>
      <c r="J59" s="596" t="s">
        <v>1110</v>
      </c>
      <c r="K59" s="596" t="s">
        <v>1111</v>
      </c>
      <c r="L59" s="1011"/>
      <c r="M59" s="1029">
        <v>65466.67</v>
      </c>
      <c r="N59" s="997"/>
      <c r="O59" s="866" t="s">
        <v>1113</v>
      </c>
      <c r="P59" s="302"/>
    </row>
    <row r="60" spans="1:16" s="355" customFormat="1" ht="14.25" customHeight="1">
      <c r="C60" s="367"/>
      <c r="D60" s="368"/>
      <c r="E60" s="618"/>
      <c r="F60" s="370"/>
      <c r="G60" s="370"/>
      <c r="H60" s="371"/>
      <c r="I60" s="371"/>
      <c r="J60" s="371"/>
      <c r="K60" s="370"/>
      <c r="L60" s="593"/>
      <c r="M60" s="370"/>
      <c r="N60" s="368"/>
    </row>
    <row r="61" spans="1:16" s="302" customFormat="1" ht="14.25" customHeight="1">
      <c r="A61" s="302" t="s">
        <v>1150</v>
      </c>
      <c r="B61" s="302" t="s">
        <v>1087</v>
      </c>
      <c r="C61" s="610" t="s">
        <v>2</v>
      </c>
      <c r="D61" s="897" t="s">
        <v>1151</v>
      </c>
      <c r="E61" s="740"/>
      <c r="F61" s="740"/>
      <c r="G61" s="740"/>
      <c r="H61" s="741"/>
      <c r="I61" s="741"/>
      <c r="J61" s="741"/>
      <c r="K61" s="735"/>
      <c r="L61" s="610"/>
      <c r="M61" s="1030"/>
      <c r="N61" s="368"/>
    </row>
    <row r="62" spans="1:16" s="302" customFormat="1" ht="67.5">
      <c r="A62" s="302" t="s">
        <v>1150</v>
      </c>
      <c r="B62" s="302" t="s">
        <v>1087</v>
      </c>
      <c r="C62" s="304"/>
      <c r="D62" s="734" t="s">
        <v>1152</v>
      </c>
      <c r="G62" s="610" t="s">
        <v>1104</v>
      </c>
      <c r="H62" s="611" t="s">
        <v>1084</v>
      </c>
      <c r="I62" s="611" t="s">
        <v>972</v>
      </c>
      <c r="J62" s="612" t="s">
        <v>1147</v>
      </c>
      <c r="K62" s="613" t="s">
        <v>1148</v>
      </c>
      <c r="L62" s="610" t="s">
        <v>1149</v>
      </c>
      <c r="M62" s="1031">
        <v>16000</v>
      </c>
      <c r="N62" s="610" t="s">
        <v>659</v>
      </c>
      <c r="O62" s="1030"/>
    </row>
    <row r="63" spans="1:16" s="302" customFormat="1" ht="13.5">
      <c r="C63" s="1338"/>
      <c r="D63" s="1339"/>
      <c r="G63" s="1340"/>
      <c r="H63" s="1341"/>
      <c r="I63" s="1341"/>
      <c r="J63" s="1342"/>
      <c r="K63" s="1343"/>
      <c r="L63" s="1340"/>
      <c r="M63" s="1344"/>
      <c r="N63" s="1340"/>
      <c r="O63" s="1340"/>
    </row>
    <row r="64" spans="1:16" s="302" customFormat="1" ht="13.5">
      <c r="C64" s="1338"/>
      <c r="D64" s="1339"/>
      <c r="G64" s="1340"/>
      <c r="H64" s="1341"/>
      <c r="I64" s="1341"/>
      <c r="J64" s="1342"/>
      <c r="K64" s="1343"/>
      <c r="L64" s="1340"/>
      <c r="M64" s="1344"/>
      <c r="N64" s="1340"/>
      <c r="O64" s="1340"/>
    </row>
    <row r="65" spans="2:17" s="302" customFormat="1" ht="13.5">
      <c r="B65" s="302" t="s">
        <v>1319</v>
      </c>
      <c r="C65" s="1314"/>
      <c r="D65" s="1300" t="s">
        <v>2</v>
      </c>
      <c r="E65" s="1329" t="s">
        <v>1151</v>
      </c>
      <c r="F65" s="1317"/>
      <c r="G65" s="1317"/>
      <c r="H65" s="1317"/>
      <c r="I65" s="1345"/>
      <c r="J65" s="1345"/>
      <c r="K65" s="1318"/>
      <c r="M65" s="1300"/>
      <c r="N65" s="1314"/>
      <c r="O65" s="1340"/>
      <c r="Q65" s="1346">
        <v>50000</v>
      </c>
    </row>
    <row r="66" spans="2:17" s="302" customFormat="1" ht="22.5">
      <c r="B66" s="302" t="s">
        <v>1319</v>
      </c>
      <c r="C66" s="1314"/>
      <c r="D66" s="1314"/>
      <c r="E66" s="1331" t="s">
        <v>1323</v>
      </c>
      <c r="G66" s="1293" t="s">
        <v>422</v>
      </c>
      <c r="H66" s="1294" t="s">
        <v>1084</v>
      </c>
      <c r="I66" s="1294" t="s">
        <v>972</v>
      </c>
      <c r="J66" s="1295" t="s">
        <v>1147</v>
      </c>
      <c r="K66" s="1296" t="s">
        <v>1148</v>
      </c>
      <c r="L66" s="1293" t="s">
        <v>98</v>
      </c>
      <c r="M66" s="1347">
        <v>39000</v>
      </c>
      <c r="N66" s="1303" t="s">
        <v>99</v>
      </c>
      <c r="O66" s="1314"/>
    </row>
    <row r="67" spans="2:17" s="302" customFormat="1" ht="22.5">
      <c r="B67" s="302" t="s">
        <v>1319</v>
      </c>
      <c r="C67" s="1314"/>
      <c r="D67" s="1314"/>
      <c r="E67" s="1331" t="s">
        <v>1324</v>
      </c>
      <c r="G67" s="1293" t="s">
        <v>422</v>
      </c>
      <c r="H67" s="1294" t="s">
        <v>1084</v>
      </c>
      <c r="I67" s="1294">
        <v>46042</v>
      </c>
      <c r="J67" s="1295">
        <v>46376</v>
      </c>
      <c r="K67" s="1296" t="s">
        <v>1322</v>
      </c>
      <c r="L67" s="1296" t="s">
        <v>98</v>
      </c>
      <c r="M67" s="1347">
        <v>7400</v>
      </c>
      <c r="N67" s="1303" t="s">
        <v>99</v>
      </c>
      <c r="O67" s="1314"/>
    </row>
    <row r="68" spans="2:17" s="302" customFormat="1" ht="22.5">
      <c r="B68" s="302" t="s">
        <v>1319</v>
      </c>
      <c r="C68" s="1314"/>
      <c r="D68" s="1314"/>
      <c r="E68" s="1331" t="s">
        <v>1325</v>
      </c>
      <c r="G68" s="1293" t="s">
        <v>422</v>
      </c>
      <c r="H68" s="1294" t="s">
        <v>1084</v>
      </c>
      <c r="I68" s="1294">
        <v>46042</v>
      </c>
      <c r="J68" s="1295">
        <v>46376</v>
      </c>
      <c r="K68" s="1296" t="s">
        <v>1322</v>
      </c>
      <c r="L68" s="1296" t="s">
        <v>98</v>
      </c>
      <c r="M68" s="1347">
        <v>2400</v>
      </c>
      <c r="N68" s="1303" t="s">
        <v>99</v>
      </c>
      <c r="O68" s="1314"/>
    </row>
    <row r="69" spans="2:17" s="302" customFormat="1" ht="22.5">
      <c r="B69" s="302" t="s">
        <v>1319</v>
      </c>
      <c r="C69" s="1314"/>
      <c r="D69" s="1314"/>
      <c r="E69" s="1331" t="s">
        <v>1326</v>
      </c>
      <c r="G69" s="1293" t="s">
        <v>422</v>
      </c>
      <c r="H69" s="1294" t="s">
        <v>1084</v>
      </c>
      <c r="I69" s="1294">
        <v>46042</v>
      </c>
      <c r="J69" s="1295">
        <v>46376</v>
      </c>
      <c r="K69" s="1296" t="s">
        <v>1322</v>
      </c>
      <c r="L69" s="1296" t="s">
        <v>98</v>
      </c>
      <c r="M69" s="1347">
        <v>1200</v>
      </c>
      <c r="N69" s="1303" t="s">
        <v>99</v>
      </c>
      <c r="O69" s="1314"/>
    </row>
    <row r="70" spans="2:17" s="302" customFormat="1" ht="13.5">
      <c r="C70" s="1338"/>
      <c r="D70" s="1339"/>
      <c r="G70" s="1340"/>
      <c r="H70" s="1341"/>
      <c r="I70" s="1341"/>
      <c r="J70" s="1342"/>
      <c r="K70" s="1343"/>
      <c r="L70" s="1340"/>
      <c r="M70" s="1344"/>
      <c r="N70" s="1340"/>
      <c r="O70" s="1340"/>
    </row>
    <row r="71" spans="2:17" s="302" customFormat="1" ht="13.5">
      <c r="C71" s="1338"/>
      <c r="D71" s="1339"/>
      <c r="G71" s="1340"/>
      <c r="H71" s="1341"/>
      <c r="I71" s="1341"/>
      <c r="J71" s="1342"/>
      <c r="K71" s="1343"/>
      <c r="L71" s="1340"/>
      <c r="M71" s="1344"/>
      <c r="N71" s="1340"/>
      <c r="O71" s="1340"/>
    </row>
    <row r="72" spans="2:17" s="302" customFormat="1" ht="13.5">
      <c r="B72" s="546" t="s">
        <v>1328</v>
      </c>
      <c r="C72" s="1351"/>
      <c r="D72" s="1300" t="s">
        <v>2</v>
      </c>
      <c r="E72" s="1329" t="s">
        <v>1151</v>
      </c>
      <c r="F72" s="1317"/>
      <c r="G72" s="1317"/>
      <c r="H72" s="1317"/>
      <c r="I72" s="1345"/>
      <c r="J72" s="1345"/>
      <c r="K72" s="1318"/>
      <c r="L72" s="1346"/>
      <c r="M72" s="1300"/>
      <c r="N72" s="1354"/>
      <c r="O72" s="1340"/>
    </row>
    <row r="73" spans="2:17" s="302" customFormat="1" ht="38.25">
      <c r="B73" s="546" t="s">
        <v>1328</v>
      </c>
      <c r="C73" s="1355"/>
      <c r="D73" s="280"/>
      <c r="E73" s="1356" t="s">
        <v>1330</v>
      </c>
      <c r="G73" s="1352" t="s">
        <v>1104</v>
      </c>
      <c r="H73" s="1294" t="s">
        <v>1084</v>
      </c>
      <c r="I73" s="1294" t="s">
        <v>972</v>
      </c>
      <c r="J73" s="1295" t="s">
        <v>1147</v>
      </c>
      <c r="K73" s="1296" t="s">
        <v>1148</v>
      </c>
      <c r="L73" s="1353" t="s">
        <v>1149</v>
      </c>
      <c r="M73" s="1357">
        <v>250</v>
      </c>
      <c r="N73" s="1303" t="s">
        <v>659</v>
      </c>
      <c r="O73" s="1354"/>
    </row>
    <row r="74" spans="2:17" s="302" customFormat="1" ht="38.25">
      <c r="B74" s="546" t="s">
        <v>1328</v>
      </c>
      <c r="C74" s="1355"/>
      <c r="D74" s="1358"/>
      <c r="E74" s="1356" t="s">
        <v>1331</v>
      </c>
      <c r="G74" s="1352" t="s">
        <v>1104</v>
      </c>
      <c r="H74" s="1294" t="s">
        <v>1084</v>
      </c>
      <c r="I74" s="1294" t="s">
        <v>972</v>
      </c>
      <c r="J74" s="1295" t="s">
        <v>1147</v>
      </c>
      <c r="K74" s="1296" t="s">
        <v>1148</v>
      </c>
      <c r="L74" s="1353" t="s">
        <v>1149</v>
      </c>
      <c r="M74" s="1357">
        <v>818</v>
      </c>
      <c r="N74" s="1303" t="s">
        <v>659</v>
      </c>
      <c r="O74" s="1359"/>
    </row>
    <row r="75" spans="2:17" s="302" customFormat="1" ht="38.25">
      <c r="B75" s="546" t="s">
        <v>1328</v>
      </c>
      <c r="C75" s="1355"/>
      <c r="D75" s="1358"/>
      <c r="E75" s="1356" t="s">
        <v>1332</v>
      </c>
      <c r="G75" s="1352" t="s">
        <v>1104</v>
      </c>
      <c r="H75" s="1294" t="s">
        <v>1084</v>
      </c>
      <c r="I75" s="1294" t="s">
        <v>972</v>
      </c>
      <c r="J75" s="1295" t="s">
        <v>1147</v>
      </c>
      <c r="K75" s="1296" t="s">
        <v>1148</v>
      </c>
      <c r="L75" s="1353" t="s">
        <v>1149</v>
      </c>
      <c r="M75" s="1357">
        <v>620</v>
      </c>
      <c r="N75" s="1303" t="s">
        <v>659</v>
      </c>
      <c r="O75" s="1359"/>
    </row>
    <row r="76" spans="2:17" s="302" customFormat="1" ht="38.25">
      <c r="B76" s="546" t="s">
        <v>1328</v>
      </c>
      <c r="C76" s="1355"/>
      <c r="D76" s="1358"/>
      <c r="E76" s="1356" t="s">
        <v>1333</v>
      </c>
      <c r="G76" s="1352" t="s">
        <v>1104</v>
      </c>
      <c r="H76" s="1294" t="s">
        <v>1084</v>
      </c>
      <c r="I76" s="1294" t="s">
        <v>972</v>
      </c>
      <c r="J76" s="1295" t="s">
        <v>1147</v>
      </c>
      <c r="K76" s="1296" t="s">
        <v>1148</v>
      </c>
      <c r="L76" s="1353" t="s">
        <v>1149</v>
      </c>
      <c r="M76" s="1357">
        <v>235</v>
      </c>
      <c r="N76" s="1303" t="s">
        <v>659</v>
      </c>
      <c r="O76" s="1359"/>
    </row>
    <row r="77" spans="2:17" s="302" customFormat="1" ht="38.25">
      <c r="B77" s="546" t="s">
        <v>1328</v>
      </c>
      <c r="C77" s="1355"/>
      <c r="D77" s="1358"/>
      <c r="E77" s="1356" t="s">
        <v>1334</v>
      </c>
      <c r="G77" s="1352" t="s">
        <v>1104</v>
      </c>
      <c r="H77" s="1294" t="s">
        <v>1084</v>
      </c>
      <c r="I77" s="1294" t="s">
        <v>972</v>
      </c>
      <c r="J77" s="1295" t="s">
        <v>1147</v>
      </c>
      <c r="K77" s="1296" t="s">
        <v>1148</v>
      </c>
      <c r="L77" s="1353" t="s">
        <v>1149</v>
      </c>
      <c r="M77" s="1357">
        <v>67</v>
      </c>
      <c r="N77" s="1303" t="s">
        <v>659</v>
      </c>
      <c r="O77" s="1359"/>
    </row>
    <row r="78" spans="2:17" s="302" customFormat="1" ht="38.25">
      <c r="B78" s="546" t="s">
        <v>1328</v>
      </c>
      <c r="C78" s="1355"/>
      <c r="D78" s="1358"/>
      <c r="E78" s="1356" t="s">
        <v>1335</v>
      </c>
      <c r="G78" s="1352" t="s">
        <v>1104</v>
      </c>
      <c r="H78" s="1294" t="s">
        <v>1084</v>
      </c>
      <c r="I78" s="1294" t="s">
        <v>972</v>
      </c>
      <c r="J78" s="1295" t="s">
        <v>1147</v>
      </c>
      <c r="K78" s="1296" t="s">
        <v>1148</v>
      </c>
      <c r="L78" s="1353" t="s">
        <v>1149</v>
      </c>
      <c r="M78" s="1357">
        <v>250</v>
      </c>
      <c r="N78" s="1303" t="s">
        <v>659</v>
      </c>
      <c r="O78" s="1359"/>
    </row>
    <row r="79" spans="2:17" s="302" customFormat="1" ht="38.25">
      <c r="B79" s="546" t="s">
        <v>1328</v>
      </c>
      <c r="C79" s="1355"/>
      <c r="D79" s="1358"/>
      <c r="E79" s="1356" t="s">
        <v>1336</v>
      </c>
      <c r="G79" s="1352" t="s">
        <v>1104</v>
      </c>
      <c r="H79" s="1294" t="s">
        <v>1084</v>
      </c>
      <c r="I79" s="1294" t="s">
        <v>972</v>
      </c>
      <c r="J79" s="1295" t="s">
        <v>1147</v>
      </c>
      <c r="K79" s="1296" t="s">
        <v>1148</v>
      </c>
      <c r="L79" s="1353" t="s">
        <v>1149</v>
      </c>
      <c r="M79" s="1357">
        <v>80</v>
      </c>
      <c r="N79" s="1303" t="s">
        <v>659</v>
      </c>
      <c r="O79" s="1359"/>
    </row>
    <row r="80" spans="2:17" s="302" customFormat="1" ht="38.25">
      <c r="B80" s="546" t="s">
        <v>1328</v>
      </c>
      <c r="C80" s="1355"/>
      <c r="D80" s="1358"/>
      <c r="E80" s="1356" t="s">
        <v>1337</v>
      </c>
      <c r="G80" s="1352" t="s">
        <v>1104</v>
      </c>
      <c r="H80" s="1294" t="s">
        <v>1084</v>
      </c>
      <c r="I80" s="1294" t="s">
        <v>972</v>
      </c>
      <c r="J80" s="1295" t="s">
        <v>1147</v>
      </c>
      <c r="K80" s="1296" t="s">
        <v>1148</v>
      </c>
      <c r="L80" s="1353" t="s">
        <v>1149</v>
      </c>
      <c r="M80" s="1357">
        <v>73</v>
      </c>
      <c r="N80" s="1303" t="s">
        <v>659</v>
      </c>
      <c r="O80" s="1359"/>
    </row>
    <row r="81" spans="2:15" s="355" customFormat="1" ht="38.25">
      <c r="B81" s="546" t="s">
        <v>1328</v>
      </c>
      <c r="C81" s="1355"/>
      <c r="D81" s="1358"/>
      <c r="E81" s="1356" t="s">
        <v>1338</v>
      </c>
      <c r="G81" s="1352" t="s">
        <v>1104</v>
      </c>
      <c r="H81" s="1294" t="s">
        <v>1084</v>
      </c>
      <c r="I81" s="1294" t="s">
        <v>972</v>
      </c>
      <c r="J81" s="1295" t="s">
        <v>1147</v>
      </c>
      <c r="K81" s="1296" t="s">
        <v>1148</v>
      </c>
      <c r="L81" s="1353" t="s">
        <v>1149</v>
      </c>
      <c r="M81" s="1357">
        <v>368</v>
      </c>
      <c r="N81" s="1303" t="s">
        <v>659</v>
      </c>
      <c r="O81" s="1359"/>
    </row>
    <row r="82" spans="2:15" ht="38.25">
      <c r="B82" s="546" t="s">
        <v>1328</v>
      </c>
      <c r="C82" s="1355"/>
      <c r="D82" s="1358"/>
      <c r="E82" s="1356" t="s">
        <v>1339</v>
      </c>
      <c r="G82" s="1352" t="s">
        <v>1104</v>
      </c>
      <c r="H82" s="1294" t="s">
        <v>1084</v>
      </c>
      <c r="I82" s="1294" t="s">
        <v>972</v>
      </c>
      <c r="J82" s="1295" t="s">
        <v>1147</v>
      </c>
      <c r="K82" s="1296" t="s">
        <v>1148</v>
      </c>
      <c r="L82" s="1353" t="s">
        <v>1149</v>
      </c>
      <c r="M82" s="1357">
        <v>263.17</v>
      </c>
      <c r="N82" s="1303" t="s">
        <v>659</v>
      </c>
      <c r="O82" s="1359"/>
    </row>
    <row r="83" spans="2:15" ht="38.25">
      <c r="B83" s="546" t="s">
        <v>1328</v>
      </c>
      <c r="C83" s="1355"/>
      <c r="D83" s="1358"/>
      <c r="E83" s="1356" t="s">
        <v>1340</v>
      </c>
      <c r="G83" s="1352" t="s">
        <v>1104</v>
      </c>
      <c r="H83" s="1294" t="s">
        <v>1084</v>
      </c>
      <c r="I83" s="1294" t="s">
        <v>972</v>
      </c>
      <c r="J83" s="1295" t="s">
        <v>1147</v>
      </c>
      <c r="K83" s="1296" t="s">
        <v>1148</v>
      </c>
      <c r="L83" s="1353" t="s">
        <v>1149</v>
      </c>
      <c r="M83" s="1357">
        <v>48.05</v>
      </c>
      <c r="N83" s="1303" t="s">
        <v>659</v>
      </c>
      <c r="O83" s="1359"/>
    </row>
    <row r="84" spans="2:15" ht="38.25">
      <c r="B84" s="546" t="s">
        <v>1328</v>
      </c>
      <c r="C84" s="1355"/>
      <c r="D84" s="1358"/>
      <c r="E84" s="1356" t="s">
        <v>1341</v>
      </c>
      <c r="G84" s="1352" t="s">
        <v>1104</v>
      </c>
      <c r="H84" s="1294" t="s">
        <v>1084</v>
      </c>
      <c r="I84" s="1294" t="s">
        <v>972</v>
      </c>
      <c r="J84" s="1295" t="s">
        <v>1147</v>
      </c>
      <c r="K84" s="1296" t="s">
        <v>1148</v>
      </c>
      <c r="L84" s="1353" t="s">
        <v>1149</v>
      </c>
      <c r="M84" s="1357">
        <v>50</v>
      </c>
      <c r="N84" s="1303" t="s">
        <v>659</v>
      </c>
      <c r="O84" s="1359"/>
    </row>
    <row r="85" spans="2:15" ht="38.25">
      <c r="B85" s="546" t="s">
        <v>1328</v>
      </c>
      <c r="C85" s="1355"/>
      <c r="D85" s="1358"/>
      <c r="E85" s="1356" t="s">
        <v>1342</v>
      </c>
      <c r="G85" s="1352" t="s">
        <v>1104</v>
      </c>
      <c r="H85" s="1294" t="s">
        <v>1084</v>
      </c>
      <c r="I85" s="1294" t="s">
        <v>972</v>
      </c>
      <c r="J85" s="1295" t="s">
        <v>1147</v>
      </c>
      <c r="K85" s="1296" t="s">
        <v>1148</v>
      </c>
      <c r="L85" s="1353" t="s">
        <v>1149</v>
      </c>
      <c r="M85" s="1357">
        <v>180</v>
      </c>
      <c r="N85" s="1303" t="s">
        <v>659</v>
      </c>
      <c r="O85" s="1359"/>
    </row>
    <row r="86" spans="2:15" ht="38.25">
      <c r="B86" s="546" t="s">
        <v>1328</v>
      </c>
      <c r="C86" s="1355"/>
      <c r="D86" s="1358"/>
      <c r="E86" s="1356" t="s">
        <v>1343</v>
      </c>
      <c r="G86" s="1352" t="s">
        <v>1104</v>
      </c>
      <c r="H86" s="1294" t="s">
        <v>1084</v>
      </c>
      <c r="I86" s="1294" t="s">
        <v>972</v>
      </c>
      <c r="J86" s="1295" t="s">
        <v>1147</v>
      </c>
      <c r="K86" s="1296" t="s">
        <v>1148</v>
      </c>
      <c r="L86" s="1353" t="s">
        <v>1149</v>
      </c>
      <c r="M86" s="1357">
        <v>384</v>
      </c>
      <c r="N86" s="1303" t="s">
        <v>659</v>
      </c>
      <c r="O86" s="1359"/>
    </row>
    <row r="87" spans="2:15" ht="38.25">
      <c r="B87" s="546" t="s">
        <v>1328</v>
      </c>
      <c r="C87" s="1355"/>
      <c r="D87" s="1358"/>
      <c r="E87" s="1356" t="s">
        <v>1344</v>
      </c>
      <c r="G87" s="1352" t="s">
        <v>1104</v>
      </c>
      <c r="H87" s="1294" t="s">
        <v>1084</v>
      </c>
      <c r="I87" s="1294" t="s">
        <v>972</v>
      </c>
      <c r="J87" s="1295" t="s">
        <v>1147</v>
      </c>
      <c r="K87" s="1296" t="s">
        <v>1148</v>
      </c>
      <c r="L87" s="1353" t="s">
        <v>1149</v>
      </c>
      <c r="M87" s="1357">
        <v>818</v>
      </c>
      <c r="N87" s="1303" t="s">
        <v>659</v>
      </c>
      <c r="O87" s="1359"/>
    </row>
    <row r="88" spans="2:15" ht="38.25">
      <c r="B88" s="546" t="s">
        <v>1328</v>
      </c>
      <c r="C88" s="1355"/>
      <c r="D88" s="1358"/>
      <c r="E88" s="1356" t="s">
        <v>1338</v>
      </c>
      <c r="G88" s="1352" t="s">
        <v>1104</v>
      </c>
      <c r="H88" s="1294" t="s">
        <v>1084</v>
      </c>
      <c r="I88" s="1294" t="s">
        <v>972</v>
      </c>
      <c r="J88" s="1295" t="s">
        <v>1147</v>
      </c>
      <c r="K88" s="1296" t="s">
        <v>1148</v>
      </c>
      <c r="L88" s="1353" t="s">
        <v>1149</v>
      </c>
      <c r="M88" s="1357">
        <v>368</v>
      </c>
      <c r="N88" s="1303" t="s">
        <v>659</v>
      </c>
      <c r="O88" s="1359"/>
    </row>
    <row r="89" spans="2:15" ht="38.25">
      <c r="B89" s="546" t="s">
        <v>1328</v>
      </c>
      <c r="C89" s="1355"/>
      <c r="D89" s="1358"/>
      <c r="E89" s="1356" t="s">
        <v>1345</v>
      </c>
      <c r="G89" s="1352" t="s">
        <v>1104</v>
      </c>
      <c r="H89" s="1294" t="s">
        <v>1084</v>
      </c>
      <c r="I89" s="1294" t="s">
        <v>972</v>
      </c>
      <c r="J89" s="1295" t="s">
        <v>1147</v>
      </c>
      <c r="K89" s="1296" t="s">
        <v>1148</v>
      </c>
      <c r="L89" s="1353" t="s">
        <v>1149</v>
      </c>
      <c r="M89" s="1357">
        <v>45.6</v>
      </c>
      <c r="N89" s="1303" t="s">
        <v>659</v>
      </c>
      <c r="O89" s="1359"/>
    </row>
    <row r="90" spans="2:15" ht="38.25">
      <c r="B90" s="546" t="s">
        <v>1328</v>
      </c>
      <c r="C90" s="1355"/>
      <c r="D90" s="1358"/>
      <c r="E90" s="1356" t="s">
        <v>1346</v>
      </c>
      <c r="G90" s="1352" t="s">
        <v>1104</v>
      </c>
      <c r="H90" s="1294" t="s">
        <v>1084</v>
      </c>
      <c r="I90" s="1294" t="s">
        <v>972</v>
      </c>
      <c r="J90" s="1295" t="s">
        <v>1147</v>
      </c>
      <c r="K90" s="1296" t="s">
        <v>1148</v>
      </c>
      <c r="L90" s="1353" t="s">
        <v>1149</v>
      </c>
      <c r="M90" s="1357">
        <v>250.4</v>
      </c>
      <c r="N90" s="1303" t="s">
        <v>659</v>
      </c>
      <c r="O90" s="1359"/>
    </row>
    <row r="91" spans="2:15" ht="38.25">
      <c r="B91" s="546" t="s">
        <v>1328</v>
      </c>
      <c r="C91" s="1355"/>
      <c r="D91" s="1358"/>
      <c r="E91" s="1356" t="s">
        <v>1347</v>
      </c>
      <c r="G91" s="1352" t="s">
        <v>1104</v>
      </c>
      <c r="H91" s="1294" t="s">
        <v>1084</v>
      </c>
      <c r="I91" s="1294" t="s">
        <v>972</v>
      </c>
      <c r="J91" s="1295" t="s">
        <v>1147</v>
      </c>
      <c r="K91" s="1296" t="s">
        <v>1148</v>
      </c>
      <c r="L91" s="1353" t="s">
        <v>1149</v>
      </c>
      <c r="M91" s="1357">
        <v>103</v>
      </c>
      <c r="N91" s="1303" t="s">
        <v>659</v>
      </c>
      <c r="O91" s="1359"/>
    </row>
    <row r="92" spans="2:15" ht="38.25">
      <c r="B92" s="546" t="s">
        <v>1328</v>
      </c>
      <c r="C92" s="1355"/>
      <c r="D92" s="1358"/>
      <c r="E92" s="1356" t="s">
        <v>1348</v>
      </c>
      <c r="G92" s="1352" t="s">
        <v>1104</v>
      </c>
      <c r="H92" s="1294" t="s">
        <v>1084</v>
      </c>
      <c r="I92" s="1294" t="s">
        <v>972</v>
      </c>
      <c r="J92" s="1295" t="s">
        <v>1147</v>
      </c>
      <c r="K92" s="1296" t="s">
        <v>1148</v>
      </c>
      <c r="L92" s="1353" t="s">
        <v>1149</v>
      </c>
      <c r="M92" s="1357">
        <v>30</v>
      </c>
      <c r="N92" s="1303" t="s">
        <v>659</v>
      </c>
      <c r="O92" s="1359"/>
    </row>
    <row r="93" spans="2:15" ht="38.25">
      <c r="B93" s="546" t="s">
        <v>1328</v>
      </c>
      <c r="C93" s="1355"/>
      <c r="D93" s="1358"/>
      <c r="E93" s="1356" t="s">
        <v>1349</v>
      </c>
      <c r="G93" s="1352" t="s">
        <v>1104</v>
      </c>
      <c r="H93" s="1294" t="s">
        <v>1084</v>
      </c>
      <c r="I93" s="1294" t="s">
        <v>972</v>
      </c>
      <c r="J93" s="1295" t="s">
        <v>1147</v>
      </c>
      <c r="K93" s="1296" t="s">
        <v>1148</v>
      </c>
      <c r="L93" s="1353" t="s">
        <v>1149</v>
      </c>
      <c r="M93" s="1357">
        <v>254</v>
      </c>
      <c r="N93" s="1303" t="s">
        <v>659</v>
      </c>
      <c r="O93" s="1359"/>
    </row>
    <row r="94" spans="2:15" ht="38.25">
      <c r="B94" s="546" t="s">
        <v>1328</v>
      </c>
      <c r="C94" s="1355"/>
      <c r="D94" s="1358"/>
      <c r="E94" s="1356" t="s">
        <v>1350</v>
      </c>
      <c r="G94" s="1352" t="s">
        <v>1104</v>
      </c>
      <c r="H94" s="1294" t="s">
        <v>1084</v>
      </c>
      <c r="I94" s="1294" t="s">
        <v>972</v>
      </c>
      <c r="J94" s="1295" t="s">
        <v>1147</v>
      </c>
      <c r="K94" s="1296" t="s">
        <v>1148</v>
      </c>
      <c r="L94" s="1353" t="s">
        <v>1149</v>
      </c>
      <c r="M94" s="1357">
        <v>127</v>
      </c>
      <c r="N94" s="1303" t="s">
        <v>659</v>
      </c>
      <c r="O94" s="1359"/>
    </row>
    <row r="95" spans="2:15" ht="38.25">
      <c r="B95" s="546" t="s">
        <v>1328</v>
      </c>
      <c r="C95" s="1355"/>
      <c r="D95" s="1358"/>
      <c r="E95" s="1356" t="s">
        <v>1351</v>
      </c>
      <c r="G95" s="1352" t="s">
        <v>1104</v>
      </c>
      <c r="H95" s="1294" t="s">
        <v>1084</v>
      </c>
      <c r="I95" s="1294" t="s">
        <v>972</v>
      </c>
      <c r="J95" s="1295" t="s">
        <v>1147</v>
      </c>
      <c r="K95" s="1296" t="s">
        <v>1148</v>
      </c>
      <c r="L95" s="1353" t="s">
        <v>1149</v>
      </c>
      <c r="M95" s="1357">
        <v>75</v>
      </c>
      <c r="N95" s="1303" t="s">
        <v>659</v>
      </c>
      <c r="O95" s="1359"/>
    </row>
    <row r="96" spans="2:15" ht="38.25">
      <c r="B96" s="546" t="s">
        <v>1328</v>
      </c>
      <c r="C96" s="1355"/>
      <c r="D96" s="1358"/>
      <c r="E96" s="1356" t="s">
        <v>1352</v>
      </c>
      <c r="G96" s="1352" t="s">
        <v>1104</v>
      </c>
      <c r="H96" s="1294" t="s">
        <v>1084</v>
      </c>
      <c r="I96" s="1294" t="s">
        <v>972</v>
      </c>
      <c r="J96" s="1295" t="s">
        <v>1147</v>
      </c>
      <c r="K96" s="1296" t="s">
        <v>1148</v>
      </c>
      <c r="L96" s="1353" t="s">
        <v>1149</v>
      </c>
      <c r="M96" s="1357">
        <v>2899</v>
      </c>
      <c r="N96" s="1303" t="s">
        <v>659</v>
      </c>
      <c r="O96" s="1359"/>
    </row>
    <row r="97" spans="2:15" ht="38.25">
      <c r="B97" s="546" t="s">
        <v>1328</v>
      </c>
      <c r="C97" s="1355"/>
      <c r="D97" s="1358"/>
      <c r="E97" s="1356" t="s">
        <v>1353</v>
      </c>
      <c r="G97" s="1352" t="s">
        <v>1104</v>
      </c>
      <c r="H97" s="1294" t="s">
        <v>1084</v>
      </c>
      <c r="I97" s="1294" t="s">
        <v>972</v>
      </c>
      <c r="J97" s="1295" t="s">
        <v>1147</v>
      </c>
      <c r="K97" s="1296" t="s">
        <v>1148</v>
      </c>
      <c r="L97" s="1353" t="s">
        <v>1149</v>
      </c>
      <c r="M97" s="1357">
        <v>1350</v>
      </c>
      <c r="N97" s="1303" t="s">
        <v>659</v>
      </c>
      <c r="O97" s="1359"/>
    </row>
    <row r="99" spans="2:15">
      <c r="C99" s="1401"/>
      <c r="D99" s="1392" t="s">
        <v>2</v>
      </c>
      <c r="E99" s="1393" t="s">
        <v>1503</v>
      </c>
      <c r="F99" s="1393"/>
      <c r="G99" s="1393"/>
      <c r="H99" s="1394"/>
      <c r="I99" s="1395"/>
      <c r="J99" s="1396"/>
      <c r="K99" s="1397"/>
      <c r="L99" s="1346"/>
      <c r="M99" s="1398"/>
      <c r="N99" s="1399"/>
    </row>
    <row r="100" spans="2:15" ht="22.5">
      <c r="B100" s="546" t="s">
        <v>1374</v>
      </c>
      <c r="C100" s="1355"/>
      <c r="D100" s="280"/>
      <c r="E100" s="1400" t="s">
        <v>1504</v>
      </c>
      <c r="G100" s="1352" t="s">
        <v>1104</v>
      </c>
      <c r="H100" s="1294" t="s">
        <v>1084</v>
      </c>
      <c r="I100" s="1294" t="s">
        <v>972</v>
      </c>
      <c r="J100" s="1295" t="s">
        <v>1147</v>
      </c>
      <c r="K100" s="1296" t="s">
        <v>1148</v>
      </c>
      <c r="L100" s="1353" t="s">
        <v>1149</v>
      </c>
      <c r="M100" s="1402">
        <v>39343.75</v>
      </c>
      <c r="N100" s="1303"/>
      <c r="O100" s="1354"/>
    </row>
    <row r="101" spans="2:15" ht="22.5">
      <c r="B101" s="546" t="s">
        <v>1374</v>
      </c>
      <c r="C101" s="1355"/>
      <c r="D101" s="280"/>
      <c r="E101" s="1387" t="s">
        <v>1505</v>
      </c>
      <c r="G101" s="1352" t="s">
        <v>1104</v>
      </c>
      <c r="H101" s="1294" t="s">
        <v>1084</v>
      </c>
      <c r="I101" s="1294" t="s">
        <v>972</v>
      </c>
      <c r="J101" s="1295" t="s">
        <v>1147</v>
      </c>
      <c r="K101" s="1296" t="s">
        <v>1148</v>
      </c>
      <c r="L101" s="1353" t="s">
        <v>1149</v>
      </c>
      <c r="M101" s="1402"/>
      <c r="N101" s="1303"/>
      <c r="O101" s="1354"/>
    </row>
    <row r="102" spans="2:15" ht="22.5">
      <c r="B102" s="546" t="s">
        <v>1374</v>
      </c>
      <c r="C102" s="1355"/>
      <c r="D102" s="280"/>
      <c r="E102" s="1400" t="s">
        <v>1506</v>
      </c>
      <c r="G102" s="1352" t="s">
        <v>1104</v>
      </c>
      <c r="H102" s="1294" t="s">
        <v>1084</v>
      </c>
      <c r="I102" s="1294" t="s">
        <v>972</v>
      </c>
      <c r="J102" s="1295" t="s">
        <v>1147</v>
      </c>
      <c r="K102" s="1296" t="s">
        <v>1148</v>
      </c>
      <c r="L102" s="1353" t="s">
        <v>1149</v>
      </c>
      <c r="M102" s="1402"/>
      <c r="N102" s="1303"/>
      <c r="O102" s="1354"/>
    </row>
    <row r="103" spans="2:15" ht="22.5">
      <c r="B103" s="546" t="s">
        <v>1374</v>
      </c>
      <c r="C103" s="1355"/>
      <c r="D103" s="280"/>
      <c r="E103" s="1400" t="s">
        <v>1506</v>
      </c>
      <c r="G103" s="1352" t="s">
        <v>1104</v>
      </c>
      <c r="H103" s="1294" t="s">
        <v>1084</v>
      </c>
      <c r="I103" s="1294" t="s">
        <v>972</v>
      </c>
      <c r="J103" s="1295" t="s">
        <v>1147</v>
      </c>
      <c r="K103" s="1296" t="s">
        <v>1148</v>
      </c>
      <c r="L103" s="1353" t="s">
        <v>1149</v>
      </c>
      <c r="M103" s="1402"/>
      <c r="N103" s="1303"/>
      <c r="O103" s="1354"/>
    </row>
    <row r="104" spans="2:15" ht="22.5">
      <c r="B104" s="546" t="s">
        <v>1374</v>
      </c>
      <c r="C104" s="1355"/>
      <c r="D104" s="280"/>
      <c r="E104" s="1387" t="s">
        <v>1507</v>
      </c>
      <c r="G104" s="1352" t="s">
        <v>1104</v>
      </c>
      <c r="H104" s="1294" t="s">
        <v>1084</v>
      </c>
      <c r="I104" s="1294" t="s">
        <v>972</v>
      </c>
      <c r="J104" s="1295" t="s">
        <v>1147</v>
      </c>
      <c r="K104" s="1296" t="s">
        <v>1148</v>
      </c>
      <c r="L104" s="1353" t="s">
        <v>1149</v>
      </c>
      <c r="M104" s="1402"/>
      <c r="N104" s="1303"/>
      <c r="O104" s="1354"/>
    </row>
    <row r="105" spans="2:15" ht="22.5">
      <c r="B105" s="546" t="s">
        <v>1374</v>
      </c>
      <c r="C105" s="1355"/>
      <c r="D105" s="280"/>
      <c r="E105" s="1387" t="s">
        <v>1508</v>
      </c>
      <c r="G105" s="1352" t="s">
        <v>1104</v>
      </c>
      <c r="H105" s="1294" t="s">
        <v>1084</v>
      </c>
      <c r="I105" s="1294" t="s">
        <v>972</v>
      </c>
      <c r="J105" s="1295" t="s">
        <v>1147</v>
      </c>
      <c r="K105" s="1296" t="s">
        <v>1148</v>
      </c>
      <c r="L105" s="1353" t="s">
        <v>1149</v>
      </c>
      <c r="M105" s="1402"/>
      <c r="N105" s="1303"/>
      <c r="O105" s="1354"/>
    </row>
    <row r="106" spans="2:15" ht="22.5">
      <c r="B106" s="546" t="s">
        <v>1374</v>
      </c>
      <c r="C106" s="1355"/>
      <c r="D106" s="280"/>
      <c r="E106" s="1387" t="s">
        <v>1509</v>
      </c>
      <c r="G106" s="1352" t="s">
        <v>1104</v>
      </c>
      <c r="H106" s="1294" t="s">
        <v>1084</v>
      </c>
      <c r="I106" s="1294" t="s">
        <v>972</v>
      </c>
      <c r="J106" s="1295" t="s">
        <v>1147</v>
      </c>
      <c r="K106" s="1296" t="s">
        <v>1148</v>
      </c>
      <c r="L106" s="1353" t="s">
        <v>1149</v>
      </c>
      <c r="M106" s="1402"/>
      <c r="N106" s="1303"/>
      <c r="O106" s="1354"/>
    </row>
    <row r="107" spans="2:15" ht="22.5">
      <c r="B107" s="546" t="s">
        <v>1374</v>
      </c>
      <c r="C107" s="1355"/>
      <c r="D107" s="280"/>
      <c r="E107" s="1387" t="s">
        <v>1510</v>
      </c>
      <c r="G107" s="1352" t="s">
        <v>1104</v>
      </c>
      <c r="H107" s="1294" t="s">
        <v>1084</v>
      </c>
      <c r="I107" s="1294" t="s">
        <v>972</v>
      </c>
      <c r="J107" s="1295" t="s">
        <v>1147</v>
      </c>
      <c r="K107" s="1296" t="s">
        <v>1148</v>
      </c>
      <c r="L107" s="1353" t="s">
        <v>1149</v>
      </c>
      <c r="M107" s="1402"/>
      <c r="N107" s="1303"/>
      <c r="O107" s="1354"/>
    </row>
    <row r="108" spans="2:15" ht="22.5">
      <c r="B108" s="546" t="s">
        <v>1374</v>
      </c>
      <c r="C108" s="1355"/>
      <c r="D108" s="280"/>
      <c r="E108" s="1387" t="s">
        <v>1511</v>
      </c>
      <c r="G108" s="1352" t="s">
        <v>1104</v>
      </c>
      <c r="H108" s="1294" t="s">
        <v>1084</v>
      </c>
      <c r="I108" s="1294" t="s">
        <v>972</v>
      </c>
      <c r="J108" s="1295" t="s">
        <v>1147</v>
      </c>
      <c r="K108" s="1296" t="s">
        <v>1148</v>
      </c>
      <c r="L108" s="1353" t="s">
        <v>1149</v>
      </c>
      <c r="M108" s="1402"/>
      <c r="N108" s="1303"/>
      <c r="O108" s="1354"/>
    </row>
    <row r="109" spans="2:15" ht="22.5">
      <c r="B109" s="546" t="s">
        <v>1374</v>
      </c>
      <c r="C109" s="1355"/>
      <c r="D109" s="280"/>
      <c r="E109" s="1387" t="s">
        <v>1511</v>
      </c>
      <c r="G109" s="1352" t="s">
        <v>1104</v>
      </c>
      <c r="H109" s="1294" t="s">
        <v>1084</v>
      </c>
      <c r="I109" s="1294" t="s">
        <v>972</v>
      </c>
      <c r="J109" s="1295" t="s">
        <v>1147</v>
      </c>
      <c r="K109" s="1296" t="s">
        <v>1148</v>
      </c>
      <c r="L109" s="1353" t="s">
        <v>1149</v>
      </c>
      <c r="M109" s="1402"/>
      <c r="N109" s="1303"/>
      <c r="O109" s="1354"/>
    </row>
    <row r="136" spans="13:13" ht="15.75">
      <c r="M136" s="2582">
        <f>SUM(M6:M135)</f>
        <v>3726216.6399999997</v>
      </c>
    </row>
  </sheetData>
  <mergeCells count="24">
    <mergeCell ref="C25:C27"/>
    <mergeCell ref="K35:L35"/>
    <mergeCell ref="C39:C41"/>
    <mergeCell ref="C42:C47"/>
    <mergeCell ref="C48:C51"/>
    <mergeCell ref="N2:N3"/>
    <mergeCell ref="K7:K8"/>
    <mergeCell ref="M7:M8"/>
    <mergeCell ref="C2:G2"/>
    <mergeCell ref="H2:J2"/>
    <mergeCell ref="K2:L2"/>
    <mergeCell ref="M2:M3"/>
    <mergeCell ref="E11:F11"/>
    <mergeCell ref="C12:C15"/>
    <mergeCell ref="E12:F15"/>
    <mergeCell ref="G12:G15"/>
    <mergeCell ref="H12:H15"/>
    <mergeCell ref="N12:N15"/>
    <mergeCell ref="O12:O15"/>
    <mergeCell ref="I12:I15"/>
    <mergeCell ref="J12:J15"/>
    <mergeCell ref="K12:K15"/>
    <mergeCell ref="L12:L15"/>
    <mergeCell ref="M12:M15"/>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FE0AA-6DEC-40D5-8D55-8A61EF317BF9}">
  <sheetPr>
    <tabColor rgb="FF92D050"/>
  </sheetPr>
  <dimension ref="A2:O61"/>
  <sheetViews>
    <sheetView topLeftCell="A47" zoomScaleNormal="100" workbookViewId="0">
      <selection activeCell="M61" sqref="M61"/>
    </sheetView>
  </sheetViews>
  <sheetFormatPr defaultRowHeight="15"/>
  <cols>
    <col min="2" max="2" width="12.5703125" customWidth="1"/>
    <col min="3" max="3" width="20.28515625" customWidth="1"/>
    <col min="4" max="4" width="19.5703125" customWidth="1"/>
    <col min="7" max="7" width="11.5703125" customWidth="1"/>
    <col min="12" max="12" width="18.5703125" customWidth="1"/>
    <col min="13" max="13" width="13.7109375" customWidth="1"/>
    <col min="14" max="14" width="14.85546875" customWidth="1"/>
    <col min="15" max="15" width="16.28515625" customWidth="1"/>
  </cols>
  <sheetData>
    <row r="2" spans="1:15">
      <c r="C2" s="2627" t="s">
        <v>30</v>
      </c>
      <c r="D2" s="2627"/>
      <c r="E2" s="2627"/>
      <c r="F2" s="2627"/>
      <c r="G2" s="2627"/>
      <c r="H2" s="2628" t="s">
        <v>29</v>
      </c>
      <c r="I2" s="2628"/>
      <c r="J2" s="2628"/>
      <c r="K2" s="2627" t="s">
        <v>28</v>
      </c>
      <c r="L2" s="2627"/>
      <c r="M2" s="19"/>
      <c r="N2" s="2628" t="s">
        <v>27</v>
      </c>
      <c r="O2" s="10" t="s">
        <v>26</v>
      </c>
    </row>
    <row r="3" spans="1:15" ht="84">
      <c r="C3" s="16" t="s">
        <v>25</v>
      </c>
      <c r="D3" s="18" t="s">
        <v>24</v>
      </c>
      <c r="E3" s="2753" t="s">
        <v>23</v>
      </c>
      <c r="F3" s="2754"/>
      <c r="G3" s="16" t="s">
        <v>22</v>
      </c>
      <c r="H3" s="17" t="s">
        <v>21</v>
      </c>
      <c r="I3" s="17" t="s">
        <v>20</v>
      </c>
      <c r="J3" s="17" t="s">
        <v>19</v>
      </c>
      <c r="K3" s="17" t="s">
        <v>18</v>
      </c>
      <c r="L3" s="16" t="s">
        <v>17</v>
      </c>
      <c r="M3" s="16" t="s">
        <v>16</v>
      </c>
      <c r="N3" s="2751"/>
      <c r="O3" s="16"/>
    </row>
    <row r="4" spans="1:15" s="14" customFormat="1">
      <c r="C4" s="15" t="s">
        <v>15</v>
      </c>
      <c r="D4" s="15" t="s">
        <v>14</v>
      </c>
      <c r="E4" s="2752" t="s">
        <v>13</v>
      </c>
      <c r="F4" s="2752"/>
      <c r="G4" s="15" t="s">
        <v>12</v>
      </c>
      <c r="H4" s="15" t="s">
        <v>11</v>
      </c>
      <c r="I4" s="15" t="s">
        <v>10</v>
      </c>
      <c r="J4" s="15" t="s">
        <v>9</v>
      </c>
      <c r="K4" s="15" t="s">
        <v>8</v>
      </c>
      <c r="L4" s="15" t="s">
        <v>7</v>
      </c>
      <c r="M4" s="15" t="s">
        <v>6</v>
      </c>
      <c r="N4" s="15" t="s">
        <v>5</v>
      </c>
      <c r="O4" s="15" t="s">
        <v>4</v>
      </c>
    </row>
    <row r="5" spans="1:15" s="355" customFormat="1" ht="13.5"/>
    <row r="6" spans="1:15" s="355" customFormat="1" ht="27">
      <c r="A6" s="438" t="s">
        <v>381</v>
      </c>
      <c r="B6" s="355" t="s">
        <v>102</v>
      </c>
      <c r="C6" s="444" t="s">
        <v>375</v>
      </c>
      <c r="D6" s="438" t="s">
        <v>2</v>
      </c>
      <c r="E6" s="2749" t="s">
        <v>94</v>
      </c>
      <c r="F6" s="2750"/>
      <c r="G6" s="438" t="s">
        <v>3</v>
      </c>
      <c r="H6" s="441" t="s">
        <v>1</v>
      </c>
      <c r="I6" s="504" t="s">
        <v>95</v>
      </c>
      <c r="J6" s="504" t="s">
        <v>96</v>
      </c>
      <c r="K6" s="504" t="s">
        <v>97</v>
      </c>
      <c r="L6" s="438" t="s">
        <v>98</v>
      </c>
      <c r="M6" s="507">
        <v>30300</v>
      </c>
      <c r="N6" s="438" t="s">
        <v>0</v>
      </c>
      <c r="O6" s="348"/>
    </row>
    <row r="7" spans="1:15" s="355" customFormat="1" ht="27">
      <c r="C7" s="444"/>
      <c r="D7" s="324"/>
      <c r="E7" s="428"/>
      <c r="F7" s="1040"/>
      <c r="G7" s="438"/>
      <c r="H7" s="441"/>
      <c r="I7" s="504"/>
      <c r="J7" s="504"/>
      <c r="K7" s="504"/>
      <c r="L7" s="438" t="s">
        <v>104</v>
      </c>
      <c r="M7" s="507"/>
      <c r="N7" s="438"/>
      <c r="O7" s="348"/>
    </row>
    <row r="8" spans="1:15" s="355" customFormat="1" ht="27">
      <c r="C8" s="444"/>
      <c r="D8" s="324" t="s">
        <v>376</v>
      </c>
      <c r="E8" s="428">
        <v>1</v>
      </c>
      <c r="F8" s="1040" t="s">
        <v>377</v>
      </c>
      <c r="G8" s="438"/>
      <c r="H8" s="441"/>
      <c r="I8" s="504"/>
      <c r="J8" s="504"/>
      <c r="K8" s="504"/>
      <c r="L8" s="438" t="s">
        <v>105</v>
      </c>
      <c r="M8" s="507"/>
      <c r="N8" s="438"/>
      <c r="O8" s="348"/>
    </row>
    <row r="9" spans="1:15" s="355" customFormat="1" ht="27">
      <c r="C9" s="444"/>
      <c r="D9" s="324" t="s">
        <v>378</v>
      </c>
      <c r="E9" s="428">
        <v>1</v>
      </c>
      <c r="F9" s="1040" t="s">
        <v>377</v>
      </c>
      <c r="G9" s="438"/>
      <c r="H9" s="441"/>
      <c r="I9" s="504"/>
      <c r="J9" s="504"/>
      <c r="K9" s="504"/>
      <c r="L9" s="438" t="s">
        <v>379</v>
      </c>
      <c r="M9" s="507"/>
      <c r="N9" s="438"/>
      <c r="O9" s="348"/>
    </row>
    <row r="10" spans="1:15" s="355" customFormat="1" ht="13.5">
      <c r="C10" s="444"/>
      <c r="D10" s="324"/>
      <c r="E10" s="428"/>
      <c r="F10" s="1040"/>
      <c r="G10" s="438"/>
      <c r="H10" s="441"/>
      <c r="I10" s="504"/>
      <c r="J10" s="504"/>
      <c r="K10" s="504"/>
      <c r="L10" s="438" t="s">
        <v>380</v>
      </c>
      <c r="M10" s="507"/>
      <c r="N10" s="438"/>
      <c r="O10" s="348"/>
    </row>
    <row r="12" spans="1:15" ht="75">
      <c r="B12" t="s">
        <v>1374</v>
      </c>
      <c r="C12" s="1401"/>
      <c r="D12" s="1392" t="s">
        <v>2</v>
      </c>
      <c r="E12" s="1393" t="s">
        <v>1470</v>
      </c>
      <c r="F12" s="1393"/>
      <c r="G12" s="1393"/>
      <c r="H12" s="1394"/>
      <c r="I12" s="1395"/>
      <c r="J12" s="1396"/>
      <c r="K12" s="1397"/>
      <c r="L12" s="1346"/>
      <c r="M12" s="1398"/>
      <c r="N12" s="1399"/>
    </row>
    <row r="13" spans="1:15" ht="33.75">
      <c r="B13" t="s">
        <v>1374</v>
      </c>
      <c r="C13" s="1355"/>
      <c r="D13" s="280"/>
      <c r="E13" s="1387" t="s">
        <v>1471</v>
      </c>
      <c r="G13" s="1352" t="s">
        <v>1104</v>
      </c>
      <c r="H13" s="1294" t="s">
        <v>1084</v>
      </c>
      <c r="I13" s="1294" t="s">
        <v>972</v>
      </c>
      <c r="J13" s="1295" t="s">
        <v>1147</v>
      </c>
      <c r="K13" s="1296" t="s">
        <v>1148</v>
      </c>
      <c r="L13" s="1353" t="s">
        <v>1149</v>
      </c>
      <c r="M13" s="1402">
        <v>66656.25</v>
      </c>
      <c r="N13" s="1303"/>
      <c r="O13" s="1354"/>
    </row>
    <row r="14" spans="1:15" ht="33.75">
      <c r="B14" t="s">
        <v>1374</v>
      </c>
      <c r="C14" s="1355"/>
      <c r="D14" s="280"/>
      <c r="E14" s="1400" t="s">
        <v>1471</v>
      </c>
      <c r="G14" s="1352" t="s">
        <v>1104</v>
      </c>
      <c r="H14" s="1294" t="s">
        <v>1084</v>
      </c>
      <c r="I14" s="1294" t="s">
        <v>972</v>
      </c>
      <c r="J14" s="1295" t="s">
        <v>1147</v>
      </c>
      <c r="K14" s="1296" t="s">
        <v>1148</v>
      </c>
      <c r="L14" s="1353" t="s">
        <v>1149</v>
      </c>
      <c r="M14" s="1402"/>
      <c r="N14" s="1303"/>
      <c r="O14" s="1354"/>
    </row>
    <row r="15" spans="1:15" ht="33.75">
      <c r="B15" t="s">
        <v>1374</v>
      </c>
      <c r="C15" s="1355"/>
      <c r="D15" s="280"/>
      <c r="E15" s="1389" t="s">
        <v>1472</v>
      </c>
      <c r="G15" s="1352" t="s">
        <v>1104</v>
      </c>
      <c r="H15" s="1294" t="s">
        <v>1084</v>
      </c>
      <c r="I15" s="1294" t="s">
        <v>972</v>
      </c>
      <c r="J15" s="1295" t="s">
        <v>1147</v>
      </c>
      <c r="K15" s="1296" t="s">
        <v>1148</v>
      </c>
      <c r="L15" s="1353" t="s">
        <v>1149</v>
      </c>
      <c r="M15" s="1402"/>
      <c r="N15" s="1303"/>
      <c r="O15" s="1354"/>
    </row>
    <row r="16" spans="1:15" ht="33.75">
      <c r="B16" t="s">
        <v>1374</v>
      </c>
      <c r="C16" s="1355"/>
      <c r="D16" s="280"/>
      <c r="E16" s="1388" t="s">
        <v>1472</v>
      </c>
      <c r="G16" s="1352" t="s">
        <v>1104</v>
      </c>
      <c r="H16" s="1294" t="s">
        <v>1084</v>
      </c>
      <c r="I16" s="1294" t="s">
        <v>972</v>
      </c>
      <c r="J16" s="1295" t="s">
        <v>1147</v>
      </c>
      <c r="K16" s="1296" t="s">
        <v>1148</v>
      </c>
      <c r="L16" s="1353" t="s">
        <v>1149</v>
      </c>
      <c r="M16" s="1402"/>
      <c r="N16" s="1303"/>
      <c r="O16" s="1354"/>
    </row>
    <row r="17" spans="2:15" ht="33.75">
      <c r="B17" t="s">
        <v>1374</v>
      </c>
      <c r="C17" s="1355"/>
      <c r="D17" s="280"/>
      <c r="E17" s="1388" t="s">
        <v>1473</v>
      </c>
      <c r="G17" s="1352" t="s">
        <v>1104</v>
      </c>
      <c r="H17" s="1294" t="s">
        <v>1084</v>
      </c>
      <c r="I17" s="1294" t="s">
        <v>972</v>
      </c>
      <c r="J17" s="1295" t="s">
        <v>1147</v>
      </c>
      <c r="K17" s="1296" t="s">
        <v>1148</v>
      </c>
      <c r="L17" s="1353" t="s">
        <v>1149</v>
      </c>
      <c r="M17" s="1402"/>
      <c r="N17" s="1303"/>
      <c r="O17" s="1354"/>
    </row>
    <row r="18" spans="2:15" ht="33.75">
      <c r="B18" t="s">
        <v>1374</v>
      </c>
      <c r="C18" s="1355"/>
      <c r="D18" s="280"/>
      <c r="E18" s="1388" t="s">
        <v>1474</v>
      </c>
      <c r="G18" s="1352" t="s">
        <v>1104</v>
      </c>
      <c r="H18" s="1294" t="s">
        <v>1084</v>
      </c>
      <c r="I18" s="1294" t="s">
        <v>972</v>
      </c>
      <c r="J18" s="1295" t="s">
        <v>1147</v>
      </c>
      <c r="K18" s="1296" t="s">
        <v>1148</v>
      </c>
      <c r="L18" s="1353" t="s">
        <v>1149</v>
      </c>
      <c r="M18" s="1402"/>
      <c r="N18" s="1303"/>
      <c r="O18" s="1354"/>
    </row>
    <row r="19" spans="2:15" ht="33.75">
      <c r="B19" t="s">
        <v>1374</v>
      </c>
      <c r="C19" s="1355"/>
      <c r="D19" s="280"/>
      <c r="E19" s="1388" t="s">
        <v>1475</v>
      </c>
      <c r="G19" s="1352" t="s">
        <v>1104</v>
      </c>
      <c r="H19" s="1294" t="s">
        <v>1084</v>
      </c>
      <c r="I19" s="1294" t="s">
        <v>972</v>
      </c>
      <c r="J19" s="1295" t="s">
        <v>1147</v>
      </c>
      <c r="K19" s="1296" t="s">
        <v>1148</v>
      </c>
      <c r="L19" s="1353" t="s">
        <v>1149</v>
      </c>
      <c r="M19" s="1402"/>
      <c r="N19" s="1303"/>
      <c r="O19" s="1354"/>
    </row>
    <row r="20" spans="2:15" ht="33.75">
      <c r="B20" t="s">
        <v>1374</v>
      </c>
      <c r="C20" s="1355"/>
      <c r="D20" s="280"/>
      <c r="E20" s="1388" t="s">
        <v>1476</v>
      </c>
      <c r="G20" s="1352" t="s">
        <v>1104</v>
      </c>
      <c r="H20" s="1294" t="s">
        <v>1084</v>
      </c>
      <c r="I20" s="1294" t="s">
        <v>972</v>
      </c>
      <c r="J20" s="1295" t="s">
        <v>1147</v>
      </c>
      <c r="K20" s="1296" t="s">
        <v>1148</v>
      </c>
      <c r="L20" s="1353" t="s">
        <v>1149</v>
      </c>
      <c r="M20" s="1402"/>
      <c r="N20" s="1303"/>
      <c r="O20" s="1354"/>
    </row>
    <row r="21" spans="2:15" ht="33.75">
      <c r="B21" t="s">
        <v>1374</v>
      </c>
      <c r="C21" s="1355"/>
      <c r="D21" s="280"/>
      <c r="E21" s="1388" t="s">
        <v>1454</v>
      </c>
      <c r="G21" s="1352" t="s">
        <v>1104</v>
      </c>
      <c r="H21" s="1294" t="s">
        <v>1084</v>
      </c>
      <c r="I21" s="1294" t="s">
        <v>972</v>
      </c>
      <c r="J21" s="1295" t="s">
        <v>1147</v>
      </c>
      <c r="K21" s="1296" t="s">
        <v>1148</v>
      </c>
      <c r="L21" s="1353" t="s">
        <v>1149</v>
      </c>
      <c r="M21" s="1402"/>
      <c r="N21" s="1303"/>
      <c r="O21" s="1354"/>
    </row>
    <row r="22" spans="2:15" ht="33.75">
      <c r="B22" t="s">
        <v>1374</v>
      </c>
      <c r="C22" s="1355"/>
      <c r="D22" s="280"/>
      <c r="E22" s="1388" t="s">
        <v>1454</v>
      </c>
      <c r="G22" s="1352" t="s">
        <v>1104</v>
      </c>
      <c r="H22" s="1294" t="s">
        <v>1084</v>
      </c>
      <c r="I22" s="1294" t="s">
        <v>972</v>
      </c>
      <c r="J22" s="1295" t="s">
        <v>1147</v>
      </c>
      <c r="K22" s="1296" t="s">
        <v>1148</v>
      </c>
      <c r="L22" s="1353" t="s">
        <v>1149</v>
      </c>
      <c r="M22" s="1402"/>
      <c r="N22" s="1303"/>
      <c r="O22" s="1354"/>
    </row>
    <row r="23" spans="2:15" ht="33.75">
      <c r="B23" t="s">
        <v>1374</v>
      </c>
      <c r="C23" s="1355"/>
      <c r="D23" s="280"/>
      <c r="E23" s="1387" t="s">
        <v>1477</v>
      </c>
      <c r="G23" s="1352" t="s">
        <v>1104</v>
      </c>
      <c r="H23" s="1294" t="s">
        <v>1084</v>
      </c>
      <c r="I23" s="1294" t="s">
        <v>972</v>
      </c>
      <c r="J23" s="1295" t="s">
        <v>1147</v>
      </c>
      <c r="K23" s="1296" t="s">
        <v>1148</v>
      </c>
      <c r="L23" s="1353" t="s">
        <v>1149</v>
      </c>
      <c r="M23" s="1402"/>
      <c r="N23" s="1303"/>
      <c r="O23" s="1354"/>
    </row>
    <row r="24" spans="2:15" ht="33.75">
      <c r="B24" t="s">
        <v>1374</v>
      </c>
      <c r="C24" s="1355"/>
      <c r="D24" s="280"/>
      <c r="E24" s="1387" t="s">
        <v>1478</v>
      </c>
      <c r="G24" s="1352" t="s">
        <v>1104</v>
      </c>
      <c r="H24" s="1294" t="s">
        <v>1084</v>
      </c>
      <c r="I24" s="1294" t="s">
        <v>972</v>
      </c>
      <c r="J24" s="1295" t="s">
        <v>1147</v>
      </c>
      <c r="K24" s="1296" t="s">
        <v>1148</v>
      </c>
      <c r="L24" s="1353" t="s">
        <v>1149</v>
      </c>
      <c r="M24" s="1402"/>
      <c r="N24" s="1303"/>
      <c r="O24" s="1354"/>
    </row>
    <row r="25" spans="2:15" ht="33.75">
      <c r="B25" t="s">
        <v>1374</v>
      </c>
      <c r="C25" s="1355"/>
      <c r="D25" s="280"/>
      <c r="E25" s="1400" t="s">
        <v>1479</v>
      </c>
      <c r="G25" s="1352" t="s">
        <v>1104</v>
      </c>
      <c r="H25" s="1294" t="s">
        <v>1084</v>
      </c>
      <c r="I25" s="1294" t="s">
        <v>972</v>
      </c>
      <c r="J25" s="1295" t="s">
        <v>1147</v>
      </c>
      <c r="K25" s="1296" t="s">
        <v>1148</v>
      </c>
      <c r="L25" s="1353" t="s">
        <v>1149</v>
      </c>
      <c r="M25" s="1402"/>
      <c r="N25" s="1303"/>
      <c r="O25" s="1354"/>
    </row>
    <row r="26" spans="2:15" ht="33.75">
      <c r="B26" t="s">
        <v>1374</v>
      </c>
      <c r="C26" s="1355"/>
      <c r="D26" s="280"/>
      <c r="E26" s="1400" t="s">
        <v>1480</v>
      </c>
      <c r="G26" s="1352" t="s">
        <v>1104</v>
      </c>
      <c r="H26" s="1294" t="s">
        <v>1084</v>
      </c>
      <c r="I26" s="1294" t="s">
        <v>972</v>
      </c>
      <c r="J26" s="1295" t="s">
        <v>1147</v>
      </c>
      <c r="K26" s="1296" t="s">
        <v>1148</v>
      </c>
      <c r="L26" s="1353" t="s">
        <v>1149</v>
      </c>
      <c r="M26" s="1402"/>
      <c r="N26" s="1303"/>
      <c r="O26" s="1354"/>
    </row>
    <row r="27" spans="2:15" ht="33.75">
      <c r="B27" t="s">
        <v>1374</v>
      </c>
      <c r="C27" s="1355"/>
      <c r="D27" s="280"/>
      <c r="E27" s="1387" t="s">
        <v>1454</v>
      </c>
      <c r="G27" s="1352" t="s">
        <v>1104</v>
      </c>
      <c r="H27" s="1294" t="s">
        <v>1084</v>
      </c>
      <c r="I27" s="1294" t="s">
        <v>972</v>
      </c>
      <c r="J27" s="1295" t="s">
        <v>1147</v>
      </c>
      <c r="K27" s="1296" t="s">
        <v>1148</v>
      </c>
      <c r="L27" s="1353" t="s">
        <v>1149</v>
      </c>
      <c r="M27" s="1402"/>
      <c r="N27" s="1303"/>
      <c r="O27" s="1354"/>
    </row>
    <row r="28" spans="2:15" ht="33.75">
      <c r="B28" t="s">
        <v>1374</v>
      </c>
      <c r="C28" s="1355"/>
      <c r="D28" s="280"/>
      <c r="E28" s="1387" t="s">
        <v>1455</v>
      </c>
      <c r="G28" s="1352" t="s">
        <v>1104</v>
      </c>
      <c r="H28" s="1294" t="s">
        <v>1084</v>
      </c>
      <c r="I28" s="1294" t="s">
        <v>972</v>
      </c>
      <c r="J28" s="1295" t="s">
        <v>1147</v>
      </c>
      <c r="K28" s="1296" t="s">
        <v>1148</v>
      </c>
      <c r="L28" s="1353" t="s">
        <v>1149</v>
      </c>
      <c r="M28" s="1402"/>
      <c r="N28" s="1303"/>
      <c r="O28" s="1354"/>
    </row>
    <row r="29" spans="2:15" ht="33.75">
      <c r="B29" t="s">
        <v>1374</v>
      </c>
      <c r="C29" s="1355"/>
      <c r="D29" s="280"/>
      <c r="E29" s="1387" t="s">
        <v>1481</v>
      </c>
      <c r="G29" s="1352" t="s">
        <v>1104</v>
      </c>
      <c r="H29" s="1294" t="s">
        <v>1084</v>
      </c>
      <c r="I29" s="1294" t="s">
        <v>972</v>
      </c>
      <c r="J29" s="1295" t="s">
        <v>1147</v>
      </c>
      <c r="K29" s="1296" t="s">
        <v>1148</v>
      </c>
      <c r="L29" s="1353" t="s">
        <v>1149</v>
      </c>
      <c r="M29" s="1402"/>
      <c r="N29" s="1303"/>
      <c r="O29" s="1354"/>
    </row>
    <row r="30" spans="2:15" ht="33.75">
      <c r="B30" t="s">
        <v>1374</v>
      </c>
      <c r="C30" s="1355"/>
      <c r="D30" s="280"/>
      <c r="E30" s="1387" t="s">
        <v>1482</v>
      </c>
      <c r="G30" s="1352" t="s">
        <v>1104</v>
      </c>
      <c r="H30" s="1294" t="s">
        <v>1084</v>
      </c>
      <c r="I30" s="1294" t="s">
        <v>972</v>
      </c>
      <c r="J30" s="1295" t="s">
        <v>1147</v>
      </c>
      <c r="K30" s="1296" t="s">
        <v>1148</v>
      </c>
      <c r="L30" s="1353" t="s">
        <v>1149</v>
      </c>
      <c r="M30" s="1402"/>
      <c r="N30" s="1303"/>
      <c r="O30" s="1354"/>
    </row>
    <row r="31" spans="2:15" ht="33.75">
      <c r="B31" t="s">
        <v>1374</v>
      </c>
      <c r="C31" s="1355"/>
      <c r="D31" s="280"/>
      <c r="E31" s="1387" t="s">
        <v>1483</v>
      </c>
      <c r="G31" s="1352" t="s">
        <v>1104</v>
      </c>
      <c r="H31" s="1294" t="s">
        <v>1084</v>
      </c>
      <c r="I31" s="1294" t="s">
        <v>972</v>
      </c>
      <c r="J31" s="1295" t="s">
        <v>1147</v>
      </c>
      <c r="K31" s="1296" t="s">
        <v>1148</v>
      </c>
      <c r="L31" s="1353" t="s">
        <v>1149</v>
      </c>
      <c r="M31" s="1402"/>
      <c r="N31" s="1303"/>
      <c r="O31" s="1354"/>
    </row>
    <row r="32" spans="2:15" ht="33.75">
      <c r="B32" t="s">
        <v>1374</v>
      </c>
      <c r="C32" s="1355"/>
      <c r="D32" s="280"/>
      <c r="E32" s="1387" t="s">
        <v>1484</v>
      </c>
      <c r="G32" s="1352" t="s">
        <v>1104</v>
      </c>
      <c r="H32" s="1294" t="s">
        <v>1084</v>
      </c>
      <c r="I32" s="1294" t="s">
        <v>972</v>
      </c>
      <c r="J32" s="1295" t="s">
        <v>1147</v>
      </c>
      <c r="K32" s="1296" t="s">
        <v>1148</v>
      </c>
      <c r="L32" s="1353" t="s">
        <v>1149</v>
      </c>
      <c r="M32" s="1402"/>
      <c r="N32" s="1303"/>
      <c r="O32" s="1354"/>
    </row>
    <row r="33" spans="2:15" ht="33.75">
      <c r="B33" t="s">
        <v>1374</v>
      </c>
      <c r="C33" s="1355"/>
      <c r="D33" s="280"/>
      <c r="E33" s="1387" t="s">
        <v>1485</v>
      </c>
      <c r="G33" s="1352" t="s">
        <v>1104</v>
      </c>
      <c r="H33" s="1294" t="s">
        <v>1084</v>
      </c>
      <c r="I33" s="1294" t="s">
        <v>972</v>
      </c>
      <c r="J33" s="1295" t="s">
        <v>1147</v>
      </c>
      <c r="K33" s="1296" t="s">
        <v>1148</v>
      </c>
      <c r="L33" s="1353" t="s">
        <v>1149</v>
      </c>
      <c r="M33" s="1402"/>
      <c r="N33" s="1303"/>
      <c r="O33" s="1354"/>
    </row>
    <row r="34" spans="2:15" ht="33.75">
      <c r="B34" t="s">
        <v>1374</v>
      </c>
      <c r="C34" s="1355"/>
      <c r="D34" s="280"/>
      <c r="E34" s="1387" t="s">
        <v>1486</v>
      </c>
      <c r="G34" s="1352" t="s">
        <v>1104</v>
      </c>
      <c r="H34" s="1294" t="s">
        <v>1084</v>
      </c>
      <c r="I34" s="1294" t="s">
        <v>972</v>
      </c>
      <c r="J34" s="1295" t="s">
        <v>1147</v>
      </c>
      <c r="K34" s="1296" t="s">
        <v>1148</v>
      </c>
      <c r="L34" s="1353" t="s">
        <v>1149</v>
      </c>
      <c r="M34" s="1402"/>
      <c r="N34" s="1303"/>
      <c r="O34" s="1354"/>
    </row>
    <row r="35" spans="2:15" ht="33.75">
      <c r="B35" t="s">
        <v>1374</v>
      </c>
      <c r="C35" s="1355"/>
      <c r="D35" s="280"/>
      <c r="E35" s="1400" t="s">
        <v>1487</v>
      </c>
      <c r="G35" s="1352" t="s">
        <v>1104</v>
      </c>
      <c r="H35" s="1294" t="s">
        <v>1084</v>
      </c>
      <c r="I35" s="1294" t="s">
        <v>972</v>
      </c>
      <c r="J35" s="1295" t="s">
        <v>1147</v>
      </c>
      <c r="K35" s="1296" t="s">
        <v>1148</v>
      </c>
      <c r="L35" s="1353" t="s">
        <v>1149</v>
      </c>
      <c r="M35" s="1402"/>
      <c r="N35" s="1303"/>
      <c r="O35" s="1354"/>
    </row>
    <row r="36" spans="2:15" ht="33.75">
      <c r="B36" t="s">
        <v>1374</v>
      </c>
      <c r="C36" s="1355"/>
      <c r="D36" s="280"/>
      <c r="E36" s="1400" t="s">
        <v>1487</v>
      </c>
      <c r="G36" s="1352" t="s">
        <v>1104</v>
      </c>
      <c r="H36" s="1294" t="s">
        <v>1084</v>
      </c>
      <c r="I36" s="1294" t="s">
        <v>972</v>
      </c>
      <c r="J36" s="1295" t="s">
        <v>1147</v>
      </c>
      <c r="K36" s="1296" t="s">
        <v>1148</v>
      </c>
      <c r="L36" s="1353" t="s">
        <v>1149</v>
      </c>
      <c r="M36" s="1402"/>
      <c r="N36" s="1303"/>
      <c r="O36" s="1354"/>
    </row>
    <row r="37" spans="2:15" ht="33.75">
      <c r="B37" t="s">
        <v>1374</v>
      </c>
      <c r="C37" s="1355"/>
      <c r="D37" s="280"/>
      <c r="E37" s="1387" t="s">
        <v>1488</v>
      </c>
      <c r="G37" s="1352" t="s">
        <v>1104</v>
      </c>
      <c r="H37" s="1294" t="s">
        <v>1084</v>
      </c>
      <c r="I37" s="1294" t="s">
        <v>972</v>
      </c>
      <c r="J37" s="1295" t="s">
        <v>1147</v>
      </c>
      <c r="K37" s="1296" t="s">
        <v>1148</v>
      </c>
      <c r="L37" s="1353" t="s">
        <v>1149</v>
      </c>
      <c r="M37" s="1402"/>
      <c r="N37" s="1303"/>
      <c r="O37" s="1354"/>
    </row>
    <row r="38" spans="2:15" ht="33.75">
      <c r="B38" t="s">
        <v>1374</v>
      </c>
      <c r="C38" s="1355"/>
      <c r="D38" s="280"/>
      <c r="E38" s="1387" t="s">
        <v>1488</v>
      </c>
      <c r="G38" s="1352" t="s">
        <v>1104</v>
      </c>
      <c r="H38" s="1294" t="s">
        <v>1084</v>
      </c>
      <c r="I38" s="1294" t="s">
        <v>972</v>
      </c>
      <c r="J38" s="1295" t="s">
        <v>1147</v>
      </c>
      <c r="K38" s="1296" t="s">
        <v>1148</v>
      </c>
      <c r="L38" s="1353" t="s">
        <v>1149</v>
      </c>
      <c r="M38" s="1402"/>
      <c r="N38" s="1303"/>
      <c r="O38" s="1354"/>
    </row>
    <row r="39" spans="2:15" ht="33.75">
      <c r="B39" t="s">
        <v>1374</v>
      </c>
      <c r="C39" s="1355"/>
      <c r="D39" s="280"/>
      <c r="E39" s="1387" t="s">
        <v>1488</v>
      </c>
      <c r="G39" s="1352" t="s">
        <v>1104</v>
      </c>
      <c r="H39" s="1294" t="s">
        <v>1084</v>
      </c>
      <c r="I39" s="1294" t="s">
        <v>972</v>
      </c>
      <c r="J39" s="1295" t="s">
        <v>1147</v>
      </c>
      <c r="K39" s="1296" t="s">
        <v>1148</v>
      </c>
      <c r="L39" s="1353" t="s">
        <v>1149</v>
      </c>
      <c r="M39" s="1402"/>
      <c r="N39" s="1303"/>
      <c r="O39" s="1354"/>
    </row>
    <row r="40" spans="2:15" ht="33.75">
      <c r="B40" t="s">
        <v>1374</v>
      </c>
      <c r="C40" s="1355"/>
      <c r="D40" s="280"/>
      <c r="E40" s="1387" t="s">
        <v>1489</v>
      </c>
      <c r="G40" s="1352" t="s">
        <v>1104</v>
      </c>
      <c r="H40" s="1294" t="s">
        <v>1084</v>
      </c>
      <c r="I40" s="1294" t="s">
        <v>972</v>
      </c>
      <c r="J40" s="1295" t="s">
        <v>1147</v>
      </c>
      <c r="K40" s="1296" t="s">
        <v>1148</v>
      </c>
      <c r="L40" s="1353" t="s">
        <v>1149</v>
      </c>
      <c r="M40" s="1402"/>
      <c r="N40" s="1303"/>
      <c r="O40" s="1354"/>
    </row>
    <row r="41" spans="2:15" ht="33.75">
      <c r="B41" t="s">
        <v>1374</v>
      </c>
      <c r="C41" s="1355"/>
      <c r="D41" s="280"/>
      <c r="E41" s="1387" t="s">
        <v>1490</v>
      </c>
      <c r="G41" s="1352" t="s">
        <v>1104</v>
      </c>
      <c r="H41" s="1294" t="s">
        <v>1084</v>
      </c>
      <c r="I41" s="1294" t="s">
        <v>972</v>
      </c>
      <c r="J41" s="1295" t="s">
        <v>1147</v>
      </c>
      <c r="K41" s="1296" t="s">
        <v>1148</v>
      </c>
      <c r="L41" s="1353" t="s">
        <v>1149</v>
      </c>
      <c r="M41" s="1402"/>
      <c r="N41" s="1303"/>
      <c r="O41" s="1354"/>
    </row>
    <row r="42" spans="2:15" ht="33.75">
      <c r="B42" t="s">
        <v>1374</v>
      </c>
      <c r="C42" s="1355"/>
      <c r="D42" s="280"/>
      <c r="E42" s="1387" t="s">
        <v>1491</v>
      </c>
      <c r="G42" s="1352" t="s">
        <v>1104</v>
      </c>
      <c r="H42" s="1294" t="s">
        <v>1084</v>
      </c>
      <c r="I42" s="1294" t="s">
        <v>972</v>
      </c>
      <c r="J42" s="1295" t="s">
        <v>1147</v>
      </c>
      <c r="K42" s="1296" t="s">
        <v>1148</v>
      </c>
      <c r="L42" s="1353" t="s">
        <v>1149</v>
      </c>
      <c r="M42" s="1402"/>
      <c r="N42" s="1303"/>
      <c r="O42" s="1354"/>
    </row>
    <row r="43" spans="2:15" ht="33.75">
      <c r="B43" t="s">
        <v>1374</v>
      </c>
      <c r="C43" s="1355"/>
      <c r="D43" s="280"/>
      <c r="E43" s="1386" t="s">
        <v>1492</v>
      </c>
      <c r="G43" s="1352" t="s">
        <v>1104</v>
      </c>
      <c r="H43" s="1294" t="s">
        <v>1084</v>
      </c>
      <c r="I43" s="1294" t="s">
        <v>972</v>
      </c>
      <c r="J43" s="1295" t="s">
        <v>1147</v>
      </c>
      <c r="K43" s="1296" t="s">
        <v>1148</v>
      </c>
      <c r="L43" s="1353" t="s">
        <v>1149</v>
      </c>
      <c r="M43" s="1402"/>
      <c r="N43" s="1303"/>
      <c r="O43" s="1354"/>
    </row>
    <row r="44" spans="2:15" ht="33.75">
      <c r="B44" t="s">
        <v>1374</v>
      </c>
      <c r="C44" s="1355"/>
      <c r="D44" s="280"/>
      <c r="E44" s="1386" t="s">
        <v>1493</v>
      </c>
      <c r="G44" s="1352" t="s">
        <v>1104</v>
      </c>
      <c r="H44" s="1294" t="s">
        <v>1084</v>
      </c>
      <c r="I44" s="1294" t="s">
        <v>972</v>
      </c>
      <c r="J44" s="1295" t="s">
        <v>1147</v>
      </c>
      <c r="K44" s="1296" t="s">
        <v>1148</v>
      </c>
      <c r="L44" s="1353" t="s">
        <v>1149</v>
      </c>
      <c r="M44" s="1402"/>
      <c r="N44" s="1303"/>
      <c r="O44" s="1354"/>
    </row>
    <row r="45" spans="2:15" ht="33.75">
      <c r="B45" t="s">
        <v>1374</v>
      </c>
      <c r="C45" s="1355"/>
      <c r="D45" s="280"/>
      <c r="E45" s="1386" t="s">
        <v>1494</v>
      </c>
      <c r="G45" s="1352" t="s">
        <v>1104</v>
      </c>
      <c r="H45" s="1294" t="s">
        <v>1084</v>
      </c>
      <c r="I45" s="1294" t="s">
        <v>972</v>
      </c>
      <c r="J45" s="1295" t="s">
        <v>1147</v>
      </c>
      <c r="K45" s="1296" t="s">
        <v>1148</v>
      </c>
      <c r="L45" s="1353" t="s">
        <v>1149</v>
      </c>
      <c r="M45" s="1402"/>
      <c r="N45" s="1303"/>
      <c r="O45" s="1354"/>
    </row>
    <row r="46" spans="2:15" ht="33.75">
      <c r="B46" t="s">
        <v>1374</v>
      </c>
      <c r="C46" s="1355"/>
      <c r="D46" s="280"/>
      <c r="E46" s="1391" t="s">
        <v>1437</v>
      </c>
      <c r="G46" s="1352" t="s">
        <v>1104</v>
      </c>
      <c r="H46" s="1294" t="s">
        <v>1084</v>
      </c>
      <c r="I46" s="1294" t="s">
        <v>972</v>
      </c>
      <c r="J46" s="1295" t="s">
        <v>1147</v>
      </c>
      <c r="K46" s="1296" t="s">
        <v>1148</v>
      </c>
      <c r="L46" s="1353" t="s">
        <v>1149</v>
      </c>
      <c r="M46" s="1402"/>
      <c r="N46" s="1303"/>
      <c r="O46" s="1354"/>
    </row>
    <row r="47" spans="2:15" ht="33.75">
      <c r="B47" t="s">
        <v>1374</v>
      </c>
      <c r="C47" s="1355"/>
      <c r="D47" s="280"/>
      <c r="E47" s="1387" t="s">
        <v>1495</v>
      </c>
      <c r="G47" s="1352" t="s">
        <v>1104</v>
      </c>
      <c r="H47" s="1294" t="s">
        <v>1084</v>
      </c>
      <c r="I47" s="1294" t="s">
        <v>972</v>
      </c>
      <c r="J47" s="1295" t="s">
        <v>1147</v>
      </c>
      <c r="K47" s="1296" t="s">
        <v>1148</v>
      </c>
      <c r="L47" s="1353" t="s">
        <v>1149</v>
      </c>
      <c r="M47" s="1402"/>
      <c r="N47" s="1303"/>
      <c r="O47" s="1354"/>
    </row>
    <row r="48" spans="2:15" ht="33.75">
      <c r="B48" t="s">
        <v>1374</v>
      </c>
      <c r="C48" s="1355"/>
      <c r="D48" s="280"/>
      <c r="E48" s="1387" t="s">
        <v>1496</v>
      </c>
      <c r="G48" s="1352" t="s">
        <v>1104</v>
      </c>
      <c r="H48" s="1294" t="s">
        <v>1084</v>
      </c>
      <c r="I48" s="1294" t="s">
        <v>972</v>
      </c>
      <c r="J48" s="1295" t="s">
        <v>1147</v>
      </c>
      <c r="K48" s="1296" t="s">
        <v>1148</v>
      </c>
      <c r="L48" s="1353" t="s">
        <v>1149</v>
      </c>
      <c r="M48" s="1402"/>
      <c r="N48" s="1303"/>
      <c r="O48" s="1354"/>
    </row>
    <row r="49" spans="2:15" ht="33.75">
      <c r="B49" t="s">
        <v>1374</v>
      </c>
      <c r="C49" s="1355"/>
      <c r="D49" s="280"/>
      <c r="E49" s="1387" t="s">
        <v>1497</v>
      </c>
      <c r="G49" s="1352" t="s">
        <v>1104</v>
      </c>
      <c r="H49" s="1294" t="s">
        <v>1084</v>
      </c>
      <c r="I49" s="1294" t="s">
        <v>972</v>
      </c>
      <c r="J49" s="1295" t="s">
        <v>1147</v>
      </c>
      <c r="K49" s="1296" t="s">
        <v>1148</v>
      </c>
      <c r="L49" s="1353" t="s">
        <v>1149</v>
      </c>
      <c r="M49" s="1402"/>
      <c r="N49" s="1303"/>
      <c r="O49" s="1354"/>
    </row>
    <row r="50" spans="2:15" ht="33.75">
      <c r="B50" t="s">
        <v>1374</v>
      </c>
      <c r="C50" s="1355"/>
      <c r="D50" s="280"/>
      <c r="E50" s="1387" t="s">
        <v>1498</v>
      </c>
      <c r="G50" s="1352" t="s">
        <v>1104</v>
      </c>
      <c r="H50" s="1294" t="s">
        <v>1084</v>
      </c>
      <c r="I50" s="1294" t="s">
        <v>972</v>
      </c>
      <c r="J50" s="1295" t="s">
        <v>1147</v>
      </c>
      <c r="K50" s="1296" t="s">
        <v>1148</v>
      </c>
      <c r="L50" s="1353" t="s">
        <v>1149</v>
      </c>
      <c r="M50" s="1402"/>
      <c r="N50" s="1303"/>
      <c r="O50" s="1354"/>
    </row>
    <row r="51" spans="2:15" ht="33.75">
      <c r="B51" t="s">
        <v>1374</v>
      </c>
      <c r="C51" s="1355"/>
      <c r="D51" s="280"/>
      <c r="E51" s="1386" t="s">
        <v>1499</v>
      </c>
      <c r="G51" s="1352" t="s">
        <v>1104</v>
      </c>
      <c r="H51" s="1294" t="s">
        <v>1084</v>
      </c>
      <c r="I51" s="1294" t="s">
        <v>972</v>
      </c>
      <c r="J51" s="1295" t="s">
        <v>1147</v>
      </c>
      <c r="K51" s="1296" t="s">
        <v>1148</v>
      </c>
      <c r="L51" s="1353" t="s">
        <v>1149</v>
      </c>
      <c r="M51" s="1402"/>
      <c r="N51" s="1303"/>
      <c r="O51" s="1354"/>
    </row>
    <row r="52" spans="2:15" ht="33.75">
      <c r="B52" t="s">
        <v>1374</v>
      </c>
      <c r="C52" s="1355"/>
      <c r="D52" s="280"/>
      <c r="E52" s="1400" t="s">
        <v>1500</v>
      </c>
      <c r="G52" s="1352" t="s">
        <v>1104</v>
      </c>
      <c r="H52" s="1294" t="s">
        <v>1084</v>
      </c>
      <c r="I52" s="1294" t="s">
        <v>972</v>
      </c>
      <c r="J52" s="1295" t="s">
        <v>1147</v>
      </c>
      <c r="K52" s="1296" t="s">
        <v>1148</v>
      </c>
      <c r="L52" s="1353" t="s">
        <v>1149</v>
      </c>
      <c r="M52" s="1402"/>
      <c r="N52" s="1303"/>
      <c r="O52" s="1354"/>
    </row>
    <row r="53" spans="2:15" ht="33.75">
      <c r="B53" t="s">
        <v>1374</v>
      </c>
      <c r="C53" s="1355"/>
      <c r="D53" s="280"/>
      <c r="E53" s="1400" t="s">
        <v>1390</v>
      </c>
      <c r="G53" s="1352" t="s">
        <v>1104</v>
      </c>
      <c r="H53" s="1294" t="s">
        <v>1084</v>
      </c>
      <c r="I53" s="1294" t="s">
        <v>972</v>
      </c>
      <c r="J53" s="1295" t="s">
        <v>1147</v>
      </c>
      <c r="K53" s="1296" t="s">
        <v>1148</v>
      </c>
      <c r="L53" s="1353" t="s">
        <v>1149</v>
      </c>
      <c r="M53" s="1402"/>
      <c r="N53" s="1303"/>
      <c r="O53" s="1354"/>
    </row>
    <row r="54" spans="2:15" ht="33.75">
      <c r="B54" t="s">
        <v>1374</v>
      </c>
      <c r="C54" s="1355"/>
      <c r="D54" s="280"/>
      <c r="E54" s="1400" t="s">
        <v>1501</v>
      </c>
      <c r="G54" s="1352" t="s">
        <v>1104</v>
      </c>
      <c r="H54" s="1294" t="s">
        <v>1084</v>
      </c>
      <c r="I54" s="1294" t="s">
        <v>972</v>
      </c>
      <c r="J54" s="1295" t="s">
        <v>1147</v>
      </c>
      <c r="K54" s="1296" t="s">
        <v>1148</v>
      </c>
      <c r="L54" s="1353" t="s">
        <v>1149</v>
      </c>
      <c r="M54" s="1402"/>
      <c r="N54" s="1303"/>
      <c r="O54" s="1354"/>
    </row>
    <row r="55" spans="2:15" ht="33.75">
      <c r="B55" t="s">
        <v>1374</v>
      </c>
      <c r="C55" s="1355"/>
      <c r="D55" s="280"/>
      <c r="E55" s="1387" t="s">
        <v>1502</v>
      </c>
      <c r="G55" s="1352" t="s">
        <v>1104</v>
      </c>
      <c r="H55" s="1294" t="s">
        <v>1084</v>
      </c>
      <c r="I55" s="1294" t="s">
        <v>972</v>
      </c>
      <c r="J55" s="1295" t="s">
        <v>1147</v>
      </c>
      <c r="K55" s="1296" t="s">
        <v>1148</v>
      </c>
      <c r="L55" s="1353" t="s">
        <v>1149</v>
      </c>
      <c r="M55" s="1402"/>
      <c r="N55" s="1303"/>
      <c r="O55" s="1354"/>
    </row>
    <row r="61" spans="2:15" ht="15.75">
      <c r="M61" s="2387">
        <f>SUM(M6:M60)</f>
        <v>96956.25</v>
      </c>
    </row>
  </sheetData>
  <mergeCells count="7">
    <mergeCell ref="E6:F6"/>
    <mergeCell ref="C2:G2"/>
    <mergeCell ref="H2:J2"/>
    <mergeCell ref="K2:L2"/>
    <mergeCell ref="N2:N3"/>
    <mergeCell ref="E4:F4"/>
    <mergeCell ref="E3:F3"/>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BCE7D-F3B9-40B4-8E27-913C244FB175}">
  <sheetPr>
    <tabColor rgb="FF00B0F0"/>
  </sheetPr>
  <dimension ref="A1:O100"/>
  <sheetViews>
    <sheetView zoomScale="93" zoomScaleNormal="94" workbookViewId="0">
      <pane ySplit="4" topLeftCell="A5" activePane="bottomLeft" state="frozen"/>
      <selection pane="bottomLeft" activeCell="L16" sqref="L16"/>
    </sheetView>
  </sheetViews>
  <sheetFormatPr defaultRowHeight="15"/>
  <cols>
    <col min="3" max="3" width="21.42578125" customWidth="1"/>
    <col min="4" max="4" width="49.7109375" bestFit="1"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style="99" customWidth="1"/>
    <col min="13" max="13" width="16.28515625" customWidth="1"/>
    <col min="14" max="14" width="12.85546875" customWidth="1"/>
    <col min="17" max="17" width="73.7109375" bestFit="1" customWidth="1"/>
  </cols>
  <sheetData>
    <row r="1" spans="1:15" s="355" customFormat="1" ht="13.5">
      <c r="L1" s="32"/>
    </row>
    <row r="2" spans="1:15" s="355" customFormat="1" ht="13.5">
      <c r="C2" s="2601" t="s">
        <v>30</v>
      </c>
      <c r="D2" s="2602"/>
      <c r="E2" s="2602"/>
      <c r="F2" s="2602"/>
      <c r="G2" s="2603"/>
      <c r="H2" s="2604" t="s">
        <v>29</v>
      </c>
      <c r="I2" s="2605"/>
      <c r="J2" s="2606"/>
      <c r="K2" s="2601" t="s">
        <v>28</v>
      </c>
      <c r="L2" s="2603"/>
      <c r="M2" s="2594" t="s">
        <v>27</v>
      </c>
      <c r="N2" s="2594" t="s">
        <v>26</v>
      </c>
    </row>
    <row r="3" spans="1:15" s="355" customFormat="1" ht="94.5">
      <c r="C3" s="618" t="s">
        <v>25</v>
      </c>
      <c r="D3" s="852" t="s">
        <v>24</v>
      </c>
      <c r="E3" s="991" t="s">
        <v>23</v>
      </c>
      <c r="F3" s="618" t="s">
        <v>22</v>
      </c>
      <c r="G3" s="532" t="s">
        <v>1303</v>
      </c>
      <c r="H3" s="532" t="s">
        <v>20</v>
      </c>
      <c r="I3" s="532" t="s">
        <v>19</v>
      </c>
      <c r="J3" s="532" t="s">
        <v>18</v>
      </c>
      <c r="K3" s="618" t="s">
        <v>17</v>
      </c>
      <c r="L3" s="605" t="s">
        <v>16</v>
      </c>
      <c r="M3" s="2594"/>
      <c r="N3" s="2594"/>
    </row>
    <row r="4" spans="1:15" s="355" customFormat="1" ht="27">
      <c r="C4" s="1076" t="s">
        <v>15</v>
      </c>
      <c r="D4" s="1076" t="s">
        <v>14</v>
      </c>
      <c r="E4" s="1076" t="s">
        <v>13</v>
      </c>
      <c r="F4" s="1076" t="s">
        <v>12</v>
      </c>
      <c r="G4" s="1076" t="s">
        <v>11</v>
      </c>
      <c r="H4" s="1076" t="s">
        <v>10</v>
      </c>
      <c r="I4" s="1076" t="s">
        <v>9</v>
      </c>
      <c r="J4" s="1076" t="s">
        <v>8</v>
      </c>
      <c r="K4" s="1076" t="s">
        <v>7</v>
      </c>
      <c r="L4" s="1077" t="s">
        <v>6</v>
      </c>
      <c r="M4" s="1076" t="s">
        <v>5</v>
      </c>
      <c r="N4" s="1076" t="s">
        <v>4</v>
      </c>
    </row>
    <row r="5" spans="1:15" s="455" customFormat="1" ht="25.5" customHeight="1">
      <c r="A5" s="471"/>
      <c r="B5" s="483" t="s">
        <v>589</v>
      </c>
      <c r="C5" s="1507" t="s">
        <v>633</v>
      </c>
      <c r="D5" s="1507" t="s">
        <v>2</v>
      </c>
      <c r="E5" s="1507"/>
      <c r="F5" s="1508" t="s">
        <v>593</v>
      </c>
      <c r="G5" s="1509" t="s">
        <v>1</v>
      </c>
      <c r="H5" s="1510" t="s">
        <v>972</v>
      </c>
      <c r="I5" s="1510" t="s">
        <v>972</v>
      </c>
      <c r="J5" s="1511" t="s">
        <v>594</v>
      </c>
      <c r="K5" s="1512" t="s">
        <v>1579</v>
      </c>
      <c r="L5" s="1513">
        <v>20000</v>
      </c>
      <c r="M5" s="1507"/>
      <c r="N5" s="1507"/>
      <c r="O5" s="1345"/>
    </row>
    <row r="6" spans="1:15" s="455" customFormat="1" ht="13.5">
      <c r="A6" s="471"/>
      <c r="B6" s="483"/>
      <c r="C6" s="168"/>
      <c r="D6" s="168"/>
      <c r="E6" s="212"/>
      <c r="F6" s="164"/>
      <c r="G6" s="168"/>
      <c r="H6" s="168"/>
      <c r="I6" s="168"/>
      <c r="J6" s="168"/>
      <c r="K6" s="168"/>
      <c r="L6" s="168"/>
      <c r="M6" s="164"/>
      <c r="N6" s="1345"/>
      <c r="O6" s="1345"/>
    </row>
    <row r="7" spans="1:15" s="455" customFormat="1" ht="13.5">
      <c r="A7" s="471"/>
      <c r="B7" s="454"/>
      <c r="C7" s="902"/>
      <c r="D7" s="902"/>
      <c r="E7" s="902"/>
      <c r="F7" s="1380"/>
      <c r="G7" s="636"/>
      <c r="H7" s="1462"/>
      <c r="I7" s="1462"/>
      <c r="J7" s="1462"/>
      <c r="K7" s="1380"/>
      <c r="L7" s="1463"/>
      <c r="M7" s="1172"/>
      <c r="N7" s="460"/>
      <c r="O7" s="2676"/>
    </row>
    <row r="8" spans="1:15" s="455" customFormat="1" ht="13.5">
      <c r="A8" s="471"/>
      <c r="B8" s="454"/>
      <c r="C8" s="902"/>
      <c r="D8" s="902"/>
      <c r="E8" s="902"/>
      <c r="F8" s="1380"/>
      <c r="G8" s="636"/>
      <c r="H8" s="1462"/>
      <c r="I8" s="1462"/>
      <c r="J8" s="1462"/>
      <c r="K8" s="1380"/>
      <c r="L8" s="1463"/>
      <c r="M8" s="1172"/>
      <c r="N8" s="460"/>
      <c r="O8" s="2677"/>
    </row>
    <row r="9" spans="1:15" s="455" customFormat="1" ht="13.5">
      <c r="A9" s="471"/>
      <c r="B9" s="454"/>
      <c r="C9" s="902"/>
      <c r="D9" s="902"/>
      <c r="E9" s="902"/>
      <c r="F9" s="1380"/>
      <c r="G9" s="636"/>
      <c r="H9" s="1462"/>
      <c r="I9" s="1462"/>
      <c r="J9" s="1462"/>
      <c r="K9" s="1380"/>
      <c r="L9" s="1463"/>
      <c r="M9" s="1172"/>
      <c r="N9" s="460"/>
      <c r="O9" s="2678"/>
    </row>
    <row r="10" spans="1:15" s="455" customFormat="1" ht="13.5">
      <c r="A10" s="471"/>
      <c r="B10" s="454"/>
      <c r="C10" s="314"/>
      <c r="D10" s="309"/>
      <c r="E10" s="309"/>
      <c r="F10" s="309"/>
      <c r="G10" s="309"/>
      <c r="H10" s="309"/>
      <c r="I10" s="309"/>
      <c r="J10" s="309"/>
      <c r="K10" s="309"/>
      <c r="L10" s="309"/>
      <c r="M10" s="309"/>
      <c r="N10" s="309"/>
      <c r="O10" s="625"/>
    </row>
    <row r="11" spans="1:15" s="455" customFormat="1" ht="13.5">
      <c r="A11" s="471"/>
      <c r="B11" s="454"/>
      <c r="C11" s="314"/>
      <c r="D11" s="309"/>
      <c r="E11" s="309"/>
      <c r="F11" s="309"/>
      <c r="G11" s="497"/>
      <c r="H11" s="985"/>
      <c r="I11" s="985"/>
      <c r="J11" s="985"/>
      <c r="K11" s="499"/>
      <c r="L11" s="1025"/>
      <c r="M11" s="499"/>
      <c r="N11" s="625"/>
    </row>
    <row r="12" spans="1:15" s="455" customFormat="1" ht="13.5">
      <c r="A12" s="471"/>
      <c r="B12" s="454"/>
      <c r="C12" s="314"/>
      <c r="D12" s="309"/>
      <c r="E12" s="309"/>
      <c r="F12" s="309"/>
      <c r="G12" s="497"/>
      <c r="H12" s="985"/>
      <c r="I12" s="985"/>
      <c r="J12" s="985"/>
      <c r="K12" s="499"/>
      <c r="L12" s="1025"/>
      <c r="M12" s="499"/>
      <c r="N12" s="1464"/>
    </row>
    <row r="13" spans="1:15" s="455" customFormat="1" ht="13.5">
      <c r="A13" s="471"/>
      <c r="B13" s="454"/>
      <c r="C13" s="314"/>
      <c r="D13" s="309"/>
      <c r="E13" s="309"/>
      <c r="F13" s="309"/>
      <c r="G13" s="497"/>
      <c r="H13" s="985"/>
      <c r="I13" s="985"/>
      <c r="J13" s="985"/>
      <c r="K13" s="499"/>
      <c r="L13" s="1025"/>
      <c r="M13" s="499"/>
      <c r="N13" s="1465"/>
    </row>
    <row r="14" spans="1:15" s="455" customFormat="1" ht="13.5">
      <c r="A14" s="471"/>
      <c r="B14" s="454"/>
      <c r="C14" s="2591"/>
      <c r="D14" s="309"/>
      <c r="E14" s="309"/>
      <c r="F14" s="309"/>
      <c r="G14" s="497"/>
      <c r="H14" s="1056"/>
      <c r="I14" s="985"/>
      <c r="J14" s="985"/>
      <c r="K14" s="499"/>
      <c r="L14" s="1025"/>
      <c r="M14" s="499"/>
    </row>
    <row r="15" spans="1:15" s="455" customFormat="1" ht="13.5">
      <c r="A15" s="471"/>
      <c r="B15" s="454"/>
      <c r="C15" s="2593"/>
      <c r="D15" s="309"/>
      <c r="E15" s="309"/>
      <c r="F15" s="309"/>
      <c r="G15" s="497"/>
      <c r="H15" s="1056"/>
      <c r="I15" s="985"/>
      <c r="J15" s="985"/>
      <c r="K15" s="499"/>
      <c r="L15" s="1025"/>
      <c r="M15" s="499"/>
    </row>
    <row r="16" spans="1:15" s="455" customFormat="1" ht="13.5">
      <c r="A16" s="471"/>
      <c r="B16" s="454"/>
      <c r="C16" s="2591"/>
      <c r="D16" s="309"/>
      <c r="E16" s="309"/>
      <c r="F16" s="309"/>
      <c r="G16" s="497"/>
      <c r="H16" s="1056"/>
      <c r="I16" s="985"/>
      <c r="J16" s="985"/>
      <c r="K16" s="499"/>
      <c r="L16" s="1984">
        <f>SUM(L5:L15)</f>
        <v>20000</v>
      </c>
      <c r="M16" s="499"/>
    </row>
    <row r="17" spans="1:14" s="455" customFormat="1" ht="13.5">
      <c r="A17" s="471"/>
      <c r="B17" s="454"/>
      <c r="C17" s="2593"/>
      <c r="D17" s="309"/>
      <c r="E17" s="309"/>
      <c r="F17" s="309"/>
      <c r="G17" s="497"/>
      <c r="H17" s="1056"/>
      <c r="I17" s="985"/>
      <c r="J17" s="985"/>
      <c r="K17" s="499"/>
      <c r="L17" s="1025"/>
      <c r="M17" s="499"/>
    </row>
    <row r="18" spans="1:14" s="455" customFormat="1" ht="13.5">
      <c r="A18" s="471"/>
      <c r="B18" s="454"/>
      <c r="C18" s="314"/>
      <c r="D18" s="309"/>
      <c r="E18" s="309"/>
      <c r="F18" s="309"/>
      <c r="G18" s="497"/>
      <c r="H18" s="1056"/>
      <c r="I18" s="985"/>
      <c r="J18" s="985"/>
      <c r="K18" s="499"/>
      <c r="L18" s="1025"/>
      <c r="M18" s="499"/>
      <c r="N18" s="1466"/>
    </row>
    <row r="19" spans="1:14" s="455" customFormat="1" ht="13.5">
      <c r="A19" s="471"/>
      <c r="B19" s="454"/>
      <c r="C19" s="2679"/>
      <c r="D19" s="309"/>
      <c r="E19" s="309"/>
      <c r="F19" s="309"/>
      <c r="G19" s="497"/>
      <c r="H19" s="985"/>
      <c r="I19" s="985"/>
      <c r="J19" s="985"/>
      <c r="K19" s="499"/>
      <c r="L19" s="1025"/>
      <c r="M19" s="499"/>
      <c r="N19" s="1466"/>
    </row>
    <row r="20" spans="1:14" s="455" customFormat="1" ht="13.5">
      <c r="A20" s="471"/>
      <c r="B20" s="454"/>
      <c r="C20" s="2679"/>
      <c r="D20" s="309"/>
      <c r="E20" s="309"/>
      <c r="F20" s="309"/>
      <c r="G20" s="497"/>
      <c r="H20" s="985"/>
      <c r="I20" s="985"/>
      <c r="J20" s="985"/>
      <c r="K20" s="499"/>
      <c r="L20" s="1025"/>
      <c r="M20" s="499"/>
      <c r="N20" s="1467"/>
    </row>
    <row r="21" spans="1:14" s="455" customFormat="1" ht="13.5">
      <c r="A21" s="471"/>
      <c r="B21" s="454"/>
      <c r="C21" s="2679"/>
      <c r="D21" s="309"/>
      <c r="E21" s="309"/>
      <c r="F21" s="309"/>
      <c r="G21" s="497"/>
      <c r="H21" s="985"/>
      <c r="I21" s="985"/>
      <c r="J21" s="985"/>
      <c r="K21" s="499"/>
      <c r="L21" s="1025"/>
      <c r="M21" s="499"/>
      <c r="N21" s="1468"/>
    </row>
    <row r="22" spans="1:14" s="455" customFormat="1" ht="13.5">
      <c r="A22" s="471"/>
      <c r="B22" s="454"/>
      <c r="C22" s="2679"/>
      <c r="D22" s="309"/>
      <c r="E22" s="309"/>
      <c r="F22" s="309"/>
      <c r="G22" s="497"/>
      <c r="H22" s="985"/>
      <c r="I22" s="985"/>
      <c r="J22" s="985"/>
      <c r="K22" s="499"/>
      <c r="L22" s="1025"/>
      <c r="M22" s="499"/>
      <c r="N22" s="1468"/>
    </row>
    <row r="23" spans="1:14" s="455" customFormat="1" ht="13.5">
      <c r="A23" s="471"/>
      <c r="B23" s="454"/>
      <c r="C23" s="2591"/>
      <c r="D23" s="309"/>
      <c r="E23" s="309"/>
      <c r="F23" s="309"/>
      <c r="G23" s="497"/>
      <c r="H23" s="985"/>
      <c r="I23" s="985"/>
      <c r="J23" s="985"/>
      <c r="K23" s="499"/>
      <c r="L23" s="1025"/>
      <c r="M23" s="499"/>
      <c r="N23" s="1468"/>
    </row>
    <row r="24" spans="1:14" s="455" customFormat="1" ht="13.5">
      <c r="A24" s="471"/>
      <c r="B24" s="454"/>
      <c r="C24" s="2593"/>
      <c r="D24" s="309"/>
      <c r="E24" s="309"/>
      <c r="F24" s="309"/>
      <c r="G24" s="497"/>
      <c r="H24" s="985"/>
      <c r="I24" s="985"/>
      <c r="J24" s="985"/>
      <c r="K24" s="499"/>
      <c r="L24" s="1025"/>
      <c r="M24" s="499"/>
      <c r="N24" s="1468"/>
    </row>
    <row r="25" spans="1:14" s="455" customFormat="1" ht="13.5">
      <c r="A25" s="471"/>
      <c r="B25" s="454"/>
      <c r="C25" s="392"/>
      <c r="D25" s="309"/>
      <c r="E25" s="309"/>
      <c r="F25" s="309"/>
      <c r="G25" s="497"/>
      <c r="H25" s="1056"/>
      <c r="I25" s="985"/>
      <c r="J25" s="985"/>
      <c r="K25" s="499"/>
      <c r="L25" s="1025"/>
      <c r="M25" s="499"/>
      <c r="N25" s="1465"/>
    </row>
    <row r="26" spans="1:14" s="455" customFormat="1" ht="13.5">
      <c r="A26" s="471"/>
      <c r="B26" s="454"/>
      <c r="C26" s="392"/>
      <c r="D26" s="309"/>
      <c r="E26" s="309"/>
      <c r="F26" s="309"/>
      <c r="G26" s="497"/>
      <c r="H26" s="985"/>
      <c r="I26" s="985"/>
      <c r="J26" s="985"/>
      <c r="K26" s="499"/>
      <c r="L26" s="1025"/>
      <c r="M26" s="499"/>
    </row>
    <row r="27" spans="1:14" s="455" customFormat="1" ht="13.5">
      <c r="A27" s="471"/>
      <c r="B27" s="454"/>
      <c r="C27" s="987"/>
      <c r="D27" s="314"/>
      <c r="E27" s="662"/>
      <c r="F27" s="309"/>
      <c r="G27" s="497"/>
      <c r="H27" s="985"/>
      <c r="I27" s="985"/>
      <c r="J27" s="985"/>
      <c r="K27" s="499"/>
      <c r="L27" s="1025"/>
      <c r="M27" s="499"/>
      <c r="N27" s="454"/>
    </row>
    <row r="28" spans="1:14" s="455" customFormat="1" ht="13.5">
      <c r="A28" s="471"/>
      <c r="B28" s="454"/>
      <c r="C28" s="987"/>
      <c r="D28" s="314"/>
      <c r="E28" s="662"/>
      <c r="F28" s="309"/>
      <c r="G28" s="497"/>
      <c r="H28" s="985"/>
      <c r="I28" s="985"/>
      <c r="J28" s="985"/>
      <c r="K28" s="499"/>
      <c r="L28" s="1025"/>
      <c r="M28" s="499"/>
      <c r="N28" s="458"/>
    </row>
    <row r="29" spans="1:14" s="455" customFormat="1" ht="13.5">
      <c r="A29" s="471"/>
      <c r="B29" s="454"/>
      <c r="C29" s="987"/>
      <c r="D29" s="314"/>
      <c r="E29" s="662"/>
      <c r="F29" s="309"/>
      <c r="G29" s="497"/>
      <c r="H29" s="985"/>
      <c r="I29" s="985"/>
      <c r="J29" s="985"/>
      <c r="K29" s="499"/>
      <c r="L29" s="1065"/>
      <c r="M29" s="499"/>
      <c r="N29" s="458"/>
    </row>
    <row r="30" spans="1:14" s="455" customFormat="1" ht="13.5">
      <c r="A30" s="471"/>
      <c r="B30" s="454"/>
      <c r="C30" s="987"/>
      <c r="D30" s="309"/>
      <c r="E30" s="662"/>
      <c r="F30" s="309"/>
      <c r="G30" s="497"/>
      <c r="H30" s="985"/>
      <c r="I30" s="985"/>
      <c r="J30" s="985"/>
      <c r="K30" s="499"/>
      <c r="L30" s="1065"/>
      <c r="M30" s="499"/>
      <c r="N30" s="458"/>
    </row>
    <row r="31" spans="1:14" s="455" customFormat="1" ht="13.5">
      <c r="A31" s="471"/>
      <c r="B31" s="454"/>
      <c r="C31" s="314"/>
      <c r="D31" s="314"/>
      <c r="E31" s="309"/>
      <c r="F31" s="309"/>
      <c r="G31" s="497"/>
      <c r="H31" s="985"/>
      <c r="I31" s="985"/>
      <c r="J31" s="985"/>
      <c r="K31" s="309"/>
      <c r="L31" s="1015"/>
      <c r="M31" s="499"/>
      <c r="N31" s="458"/>
    </row>
    <row r="32" spans="1:14" s="455" customFormat="1" ht="13.5">
      <c r="A32" s="471"/>
      <c r="B32" s="454"/>
      <c r="C32" s="314"/>
      <c r="D32" s="314"/>
      <c r="E32" s="309"/>
      <c r="F32" s="309"/>
      <c r="G32" s="497"/>
      <c r="H32" s="985"/>
      <c r="I32" s="985"/>
      <c r="J32" s="985"/>
      <c r="K32" s="309"/>
      <c r="L32" s="1015"/>
      <c r="M32" s="499"/>
      <c r="N32" s="460"/>
    </row>
    <row r="33" spans="1:15" s="455" customFormat="1" ht="13.5">
      <c r="A33" s="471"/>
      <c r="B33" s="454"/>
      <c r="C33" s="314"/>
      <c r="D33" s="314"/>
      <c r="E33" s="560"/>
      <c r="F33" s="309"/>
      <c r="G33" s="497"/>
      <c r="H33" s="985"/>
      <c r="I33" s="985"/>
      <c r="J33" s="985"/>
      <c r="K33" s="309"/>
      <c r="L33" s="1015"/>
      <c r="M33" s="499"/>
      <c r="N33" s="454"/>
    </row>
    <row r="34" spans="1:15" s="455" customFormat="1" ht="13.5">
      <c r="A34" s="471"/>
      <c r="B34" s="454"/>
      <c r="C34" s="987"/>
      <c r="D34" s="314"/>
      <c r="E34" s="662"/>
      <c r="F34" s="309"/>
      <c r="G34" s="497"/>
      <c r="H34" s="985"/>
      <c r="I34" s="985"/>
      <c r="J34" s="985"/>
      <c r="K34" s="499"/>
      <c r="L34" s="1065"/>
      <c r="M34" s="499"/>
      <c r="N34" s="458"/>
    </row>
    <row r="35" spans="1:15" s="455" customFormat="1" ht="13.5">
      <c r="A35" s="471"/>
      <c r="B35" s="454"/>
      <c r="C35" s="392"/>
      <c r="D35" s="309"/>
      <c r="E35" s="309"/>
      <c r="F35" s="662"/>
      <c r="G35" s="309"/>
      <c r="H35" s="497"/>
      <c r="I35" s="985"/>
      <c r="J35" s="985"/>
      <c r="K35" s="1066"/>
      <c r="L35" s="1067"/>
      <c r="M35" s="1025"/>
      <c r="N35" s="1068"/>
      <c r="O35" s="458"/>
    </row>
    <row r="36" spans="1:15" s="455" customFormat="1" ht="13.5">
      <c r="A36" s="471"/>
      <c r="B36" s="454"/>
      <c r="C36" s="471"/>
      <c r="D36" s="456"/>
      <c r="E36" s="459"/>
      <c r="F36" s="466"/>
      <c r="G36" s="471"/>
      <c r="H36" s="477"/>
      <c r="I36" s="526"/>
      <c r="J36" s="526"/>
      <c r="K36" s="526"/>
      <c r="L36" s="473"/>
      <c r="M36" s="529"/>
      <c r="N36" s="471"/>
      <c r="O36" s="458"/>
    </row>
    <row r="37" spans="1:15" s="455" customFormat="1" ht="13.5">
      <c r="A37" s="471"/>
      <c r="B37" s="454"/>
      <c r="C37" s="471"/>
      <c r="D37" s="456"/>
      <c r="E37" s="459"/>
      <c r="F37" s="466"/>
      <c r="G37" s="471"/>
      <c r="H37" s="477"/>
      <c r="I37" s="526"/>
      <c r="J37" s="526"/>
      <c r="K37" s="526"/>
      <c r="L37" s="473"/>
      <c r="M37" s="529"/>
      <c r="N37" s="471"/>
      <c r="O37" s="458"/>
    </row>
    <row r="38" spans="1:15" s="455" customFormat="1" ht="13.5">
      <c r="A38" s="471"/>
      <c r="B38" s="454"/>
      <c r="C38" s="314"/>
      <c r="D38" s="309"/>
      <c r="E38" s="309"/>
      <c r="F38" s="309"/>
      <c r="G38" s="309"/>
      <c r="H38" s="309"/>
      <c r="I38" s="309"/>
      <c r="J38" s="309"/>
      <c r="K38" s="309"/>
      <c r="L38" s="309"/>
      <c r="M38" s="309"/>
      <c r="N38" s="309"/>
    </row>
    <row r="39" spans="1:15" s="455" customFormat="1" ht="13.5">
      <c r="A39" s="471"/>
      <c r="B39" s="454"/>
      <c r="C39" s="314"/>
      <c r="D39" s="314"/>
      <c r="E39" s="309"/>
      <c r="F39" s="309"/>
      <c r="G39" s="497"/>
      <c r="H39" s="1056"/>
      <c r="I39" s="309"/>
      <c r="J39" s="309"/>
      <c r="K39" s="499"/>
      <c r="L39" s="1069"/>
      <c r="M39" s="309"/>
      <c r="N39" s="454"/>
    </row>
    <row r="40" spans="1:15" s="455" customFormat="1" ht="13.5">
      <c r="A40" s="471"/>
      <c r="B40" s="454"/>
      <c r="C40" s="314"/>
      <c r="D40" s="314"/>
      <c r="E40" s="309"/>
      <c r="F40" s="309"/>
      <c r="G40" s="497"/>
      <c r="H40" s="1056"/>
      <c r="I40" s="309"/>
      <c r="J40" s="309"/>
      <c r="K40" s="499"/>
      <c r="L40" s="1069"/>
      <c r="M40" s="499"/>
      <c r="N40" s="458"/>
    </row>
    <row r="41" spans="1:15" s="455" customFormat="1" ht="13.5">
      <c r="A41" s="471"/>
      <c r="B41" s="454"/>
      <c r="C41" s="314"/>
      <c r="D41" s="314"/>
      <c r="E41" s="309"/>
      <c r="F41" s="309"/>
      <c r="G41" s="497"/>
      <c r="H41" s="1056"/>
      <c r="I41" s="309"/>
      <c r="J41" s="309"/>
      <c r="K41" s="499"/>
      <c r="L41" s="1069"/>
      <c r="M41" s="499"/>
      <c r="N41" s="458"/>
    </row>
    <row r="42" spans="1:15" s="455" customFormat="1" ht="13.5">
      <c r="A42" s="471"/>
      <c r="B42" s="454"/>
      <c r="C42" s="314"/>
      <c r="D42" s="314"/>
      <c r="E42" s="662"/>
      <c r="F42" s="309"/>
      <c r="G42" s="497"/>
      <c r="H42" s="1056"/>
      <c r="I42" s="985"/>
      <c r="J42" s="985"/>
      <c r="K42" s="499"/>
      <c r="L42" s="1016"/>
      <c r="M42" s="499"/>
      <c r="N42" s="458"/>
    </row>
    <row r="43" spans="1:15" s="455" customFormat="1" ht="13.5">
      <c r="A43" s="471"/>
      <c r="B43" s="454"/>
      <c r="C43" s="314"/>
      <c r="D43" s="314"/>
      <c r="E43" s="662"/>
      <c r="F43" s="309"/>
      <c r="G43" s="497"/>
      <c r="H43" s="1056"/>
      <c r="I43" s="985"/>
      <c r="J43" s="985"/>
      <c r="K43" s="499"/>
      <c r="L43" s="1016"/>
      <c r="M43" s="499"/>
      <c r="N43" s="458"/>
    </row>
    <row r="44" spans="1:15" s="455" customFormat="1" ht="13.5">
      <c r="A44" s="471"/>
      <c r="B44" s="454"/>
      <c r="C44" s="314"/>
      <c r="D44" s="314"/>
      <c r="E44" s="662"/>
      <c r="F44" s="309"/>
      <c r="G44" s="497"/>
      <c r="H44" s="1056"/>
      <c r="I44" s="985"/>
      <c r="J44" s="985"/>
      <c r="K44" s="499"/>
      <c r="L44" s="1071"/>
      <c r="M44" s="499"/>
    </row>
    <row r="45" spans="1:15" s="455" customFormat="1" ht="13.5">
      <c r="A45" s="471"/>
      <c r="B45" s="454"/>
      <c r="C45" s="314"/>
      <c r="D45" s="314"/>
      <c r="E45" s="662"/>
      <c r="F45" s="309"/>
      <c r="G45" s="497"/>
      <c r="H45" s="1056"/>
      <c r="I45" s="985"/>
      <c r="J45" s="985"/>
      <c r="K45" s="499"/>
      <c r="L45" s="1071"/>
      <c r="M45" s="499"/>
    </row>
    <row r="46" spans="1:15" s="455" customFormat="1" ht="13.5">
      <c r="A46" s="471"/>
      <c r="B46" s="454"/>
      <c r="C46" s="314"/>
      <c r="D46" s="314"/>
      <c r="E46" s="662"/>
      <c r="F46" s="309"/>
      <c r="G46" s="497"/>
      <c r="H46" s="1056"/>
      <c r="I46" s="985"/>
      <c r="J46" s="985"/>
      <c r="K46" s="499"/>
      <c r="L46" s="1016"/>
      <c r="M46" s="499"/>
    </row>
    <row r="47" spans="1:15" s="455" customFormat="1" ht="13.5">
      <c r="A47" s="471"/>
      <c r="B47" s="454"/>
      <c r="C47" s="314"/>
      <c r="D47" s="314"/>
      <c r="E47" s="662"/>
      <c r="F47" s="309"/>
      <c r="G47" s="497"/>
      <c r="H47" s="1056"/>
      <c r="I47" s="985"/>
      <c r="J47" s="985"/>
      <c r="K47" s="499"/>
      <c r="L47" s="1016"/>
      <c r="M47" s="499"/>
    </row>
    <row r="48" spans="1:15" s="455" customFormat="1" ht="13.5">
      <c r="A48" s="471"/>
      <c r="B48" s="454"/>
      <c r="C48" s="314"/>
      <c r="D48" s="314"/>
      <c r="E48" s="662"/>
      <c r="F48" s="309"/>
      <c r="G48" s="497"/>
      <c r="H48" s="1056"/>
      <c r="I48" s="985"/>
      <c r="J48" s="985"/>
      <c r="K48" s="499"/>
      <c r="L48" s="1016"/>
      <c r="M48" s="499"/>
      <c r="N48" s="458"/>
    </row>
    <row r="49" spans="1:15" s="455" customFormat="1" ht="13.5">
      <c r="A49" s="471"/>
      <c r="B49" s="454"/>
      <c r="C49" s="314"/>
      <c r="D49" s="314"/>
      <c r="E49" s="662"/>
      <c r="F49" s="309"/>
      <c r="G49" s="497"/>
      <c r="H49" s="1056"/>
      <c r="I49" s="985"/>
      <c r="J49" s="985"/>
      <c r="K49" s="499"/>
      <c r="L49" s="1016"/>
      <c r="M49" s="499"/>
      <c r="N49" s="458"/>
    </row>
    <row r="50" spans="1:15" s="455" customFormat="1" ht="13.5">
      <c r="A50" s="471"/>
      <c r="B50" s="454"/>
      <c r="C50" s="314"/>
      <c r="D50" s="314"/>
      <c r="E50" s="662"/>
      <c r="F50" s="309"/>
      <c r="G50" s="497"/>
      <c r="H50" s="1056"/>
      <c r="I50" s="985"/>
      <c r="J50" s="985"/>
      <c r="K50" s="499"/>
      <c r="L50" s="1016"/>
      <c r="M50" s="499"/>
      <c r="N50" s="458"/>
    </row>
    <row r="51" spans="1:15" s="455" customFormat="1" ht="13.5">
      <c r="A51" s="471"/>
      <c r="B51" s="454"/>
      <c r="C51" s="2591"/>
      <c r="D51" s="314"/>
      <c r="E51" s="662"/>
      <c r="F51" s="309"/>
      <c r="G51" s="497"/>
      <c r="H51" s="1056"/>
      <c r="I51" s="985"/>
      <c r="J51" s="985"/>
      <c r="K51" s="499"/>
      <c r="L51" s="1016"/>
      <c r="M51" s="499"/>
    </row>
    <row r="52" spans="1:15" s="455" customFormat="1" ht="13.5">
      <c r="A52" s="471"/>
      <c r="B52" s="454"/>
      <c r="C52" s="2593"/>
      <c r="D52" s="314"/>
      <c r="E52" s="662"/>
      <c r="F52" s="309"/>
      <c r="G52" s="497"/>
      <c r="H52" s="1056"/>
      <c r="I52" s="985"/>
      <c r="J52" s="985"/>
      <c r="K52" s="499"/>
      <c r="L52" s="1016"/>
      <c r="M52" s="499"/>
      <c r="N52" s="454"/>
    </row>
    <row r="53" spans="1:15" s="455" customFormat="1" ht="13.5">
      <c r="A53" s="471"/>
      <c r="B53" s="454"/>
      <c r="C53" s="2591"/>
      <c r="D53" s="314"/>
      <c r="E53" s="662"/>
      <c r="F53" s="309"/>
      <c r="G53" s="497"/>
      <c r="H53" s="1056"/>
      <c r="I53" s="985"/>
      <c r="J53" s="985"/>
      <c r="K53" s="499"/>
      <c r="L53" s="1016"/>
      <c r="M53" s="499"/>
      <c r="N53" s="458"/>
    </row>
    <row r="54" spans="1:15" s="455" customFormat="1" ht="13.5">
      <c r="A54" s="471"/>
      <c r="B54" s="454"/>
      <c r="C54" s="2592"/>
      <c r="D54" s="314"/>
      <c r="E54" s="662"/>
      <c r="F54" s="309"/>
      <c r="G54" s="497"/>
      <c r="H54" s="1056"/>
      <c r="I54" s="985"/>
      <c r="J54" s="985"/>
      <c r="K54" s="499"/>
      <c r="L54" s="1016"/>
      <c r="M54" s="499"/>
      <c r="N54" s="458"/>
    </row>
    <row r="55" spans="1:15" s="455" customFormat="1" ht="13.5">
      <c r="A55" s="471"/>
      <c r="B55" s="454"/>
      <c r="C55" s="2593"/>
      <c r="D55" s="314"/>
      <c r="E55" s="662"/>
      <c r="F55" s="309"/>
      <c r="G55" s="497"/>
      <c r="H55" s="1056"/>
      <c r="I55" s="985"/>
      <c r="J55" s="985"/>
      <c r="K55" s="499"/>
      <c r="L55" s="1016"/>
      <c r="M55" s="499"/>
      <c r="N55" s="458"/>
    </row>
    <row r="56" spans="1:15" s="455" customFormat="1" ht="13.5">
      <c r="A56" s="471"/>
      <c r="B56" s="454"/>
      <c r="C56" s="314"/>
      <c r="D56" s="314"/>
      <c r="E56" s="662"/>
      <c r="F56" s="309"/>
      <c r="G56" s="497"/>
      <c r="H56" s="985"/>
      <c r="I56" s="985"/>
      <c r="J56" s="985"/>
      <c r="K56" s="499"/>
      <c r="L56" s="1016"/>
      <c r="M56" s="499"/>
      <c r="N56" s="458"/>
    </row>
    <row r="57" spans="1:15" s="455" customFormat="1" ht="13.5">
      <c r="A57" s="471"/>
      <c r="B57" s="454"/>
      <c r="C57" s="314"/>
      <c r="D57" s="314"/>
      <c r="E57" s="662"/>
      <c r="F57" s="309"/>
      <c r="G57" s="497"/>
      <c r="H57" s="985"/>
      <c r="I57" s="985"/>
      <c r="J57" s="985"/>
      <c r="K57" s="499"/>
      <c r="L57" s="1016"/>
      <c r="M57" s="499"/>
      <c r="N57" s="460"/>
    </row>
    <row r="58" spans="1:15" s="455" customFormat="1" ht="13.5">
      <c r="C58" s="314"/>
      <c r="D58" s="314"/>
      <c r="E58" s="662"/>
      <c r="F58" s="662"/>
      <c r="G58" s="309"/>
      <c r="H58" s="497"/>
      <c r="I58" s="1056"/>
      <c r="J58" s="985"/>
      <c r="K58" s="985"/>
      <c r="L58" s="499"/>
      <c r="M58" s="1025"/>
      <c r="N58" s="499"/>
    </row>
    <row r="59" spans="1:15" s="455" customFormat="1" ht="13.5">
      <c r="C59" s="902"/>
      <c r="D59" s="309"/>
      <c r="E59" s="662"/>
      <c r="F59" s="662"/>
      <c r="G59" s="309"/>
      <c r="H59" s="497"/>
      <c r="I59" s="653"/>
      <c r="J59" s="985"/>
      <c r="K59" s="1469"/>
      <c r="L59" s="499"/>
      <c r="M59" s="1025"/>
      <c r="N59" s="499"/>
    </row>
    <row r="60" spans="1:15" s="455" customFormat="1" ht="13.5">
      <c r="A60" s="566"/>
      <c r="B60" s="467"/>
      <c r="C60" s="499"/>
      <c r="D60" s="309"/>
      <c r="E60" s="391"/>
      <c r="F60" s="499"/>
      <c r="G60" s="497"/>
      <c r="H60" s="498"/>
      <c r="I60" s="498"/>
      <c r="J60" s="498"/>
      <c r="K60" s="499"/>
      <c r="L60" s="1470"/>
      <c r="M60" s="309"/>
      <c r="N60" s="499"/>
    </row>
    <row r="61" spans="1:15" s="455" customFormat="1" ht="13.5">
      <c r="A61" s="566"/>
      <c r="B61" s="467"/>
      <c r="C61" s="497"/>
      <c r="D61" s="691"/>
      <c r="E61" s="675"/>
      <c r="F61" s="675"/>
      <c r="G61" s="654"/>
      <c r="H61" s="502"/>
      <c r="I61" s="652"/>
      <c r="J61" s="497"/>
      <c r="K61" s="653"/>
      <c r="L61" s="502"/>
      <c r="M61" s="538"/>
      <c r="N61" s="392"/>
      <c r="O61" s="502"/>
    </row>
    <row r="62" spans="1:15" s="455" customFormat="1" ht="13.5">
      <c r="A62" s="566"/>
      <c r="B62" s="467"/>
      <c r="C62" s="497"/>
      <c r="D62" s="691"/>
      <c r="E62" s="675"/>
      <c r="F62" s="675"/>
      <c r="G62" s="654"/>
      <c r="H62" s="502"/>
      <c r="I62" s="652"/>
      <c r="J62" s="497"/>
      <c r="K62" s="653"/>
      <c r="L62" s="502"/>
      <c r="M62" s="538"/>
      <c r="N62" s="392"/>
      <c r="O62" s="502"/>
    </row>
    <row r="63" spans="1:15" s="455" customFormat="1" ht="13.5">
      <c r="A63" s="566"/>
      <c r="B63" s="467"/>
      <c r="C63" s="497"/>
      <c r="D63" s="691"/>
      <c r="E63" s="675"/>
      <c r="F63" s="675"/>
      <c r="G63" s="654"/>
      <c r="H63" s="502"/>
      <c r="I63" s="652"/>
      <c r="J63" s="497"/>
      <c r="K63" s="653"/>
      <c r="L63" s="502"/>
      <c r="M63" s="538"/>
      <c r="N63" s="392"/>
      <c r="O63" s="502"/>
    </row>
    <row r="64" spans="1:15" s="455" customFormat="1" ht="13.5">
      <c r="A64" s="566"/>
      <c r="B64" s="467"/>
      <c r="C64" s="497"/>
      <c r="D64" s="691"/>
      <c r="E64" s="675"/>
      <c r="F64" s="675"/>
      <c r="G64" s="654"/>
      <c r="H64" s="502"/>
      <c r="I64" s="652"/>
      <c r="J64" s="497"/>
      <c r="K64" s="653"/>
      <c r="L64" s="502"/>
      <c r="M64" s="538"/>
      <c r="N64" s="392"/>
      <c r="O64" s="502"/>
    </row>
    <row r="65" spans="1:15" s="455" customFormat="1" ht="13.5">
      <c r="C65" s="1384"/>
      <c r="D65" s="314"/>
      <c r="E65" s="662"/>
      <c r="F65" s="662"/>
      <c r="G65" s="309"/>
      <c r="H65" s="497"/>
      <c r="I65" s="653"/>
      <c r="J65" s="985"/>
      <c r="K65" s="1469"/>
      <c r="L65" s="499"/>
      <c r="M65" s="1025"/>
      <c r="N65" s="499"/>
    </row>
    <row r="66" spans="1:15" s="455" customFormat="1" ht="13.5">
      <c r="C66" s="1384"/>
      <c r="D66" s="314"/>
      <c r="E66" s="662"/>
      <c r="F66" s="662"/>
      <c r="G66" s="309"/>
      <c r="H66" s="497"/>
      <c r="I66" s="653"/>
      <c r="J66" s="985"/>
      <c r="K66" s="1469"/>
      <c r="L66" s="499"/>
      <c r="M66" s="1025"/>
      <c r="N66" s="499"/>
    </row>
    <row r="67" spans="1:15" s="455" customFormat="1" ht="13.5">
      <c r="A67" s="566"/>
      <c r="B67" s="467"/>
      <c r="C67" s="499"/>
      <c r="D67" s="309"/>
      <c r="E67" s="391"/>
      <c r="F67" s="499"/>
      <c r="G67" s="497"/>
      <c r="H67" s="498"/>
      <c r="I67" s="498"/>
      <c r="J67" s="498"/>
      <c r="K67" s="499"/>
      <c r="L67" s="1470"/>
      <c r="M67" s="309"/>
      <c r="N67" s="499"/>
    </row>
    <row r="68" spans="1:15" s="455" customFormat="1" ht="13.5">
      <c r="A68" s="566"/>
      <c r="B68" s="467"/>
      <c r="C68" s="497"/>
      <c r="D68" s="691"/>
      <c r="E68" s="675"/>
      <c r="F68" s="675"/>
      <c r="G68" s="654"/>
      <c r="H68" s="502"/>
      <c r="I68" s="652"/>
      <c r="J68" s="497"/>
      <c r="K68" s="653"/>
      <c r="L68" s="502"/>
      <c r="M68" s="538"/>
      <c r="N68" s="392"/>
      <c r="O68" s="502"/>
    </row>
    <row r="69" spans="1:15" s="455" customFormat="1" ht="13.5">
      <c r="A69" s="566"/>
      <c r="B69" s="467"/>
      <c r="C69" s="497"/>
      <c r="D69" s="691"/>
      <c r="E69" s="675"/>
      <c r="F69" s="675"/>
      <c r="G69" s="654"/>
      <c r="H69" s="502"/>
      <c r="I69" s="652"/>
      <c r="J69" s="497"/>
      <c r="K69" s="653"/>
      <c r="L69" s="502"/>
      <c r="M69" s="538"/>
      <c r="N69" s="392"/>
      <c r="O69" s="502"/>
    </row>
    <row r="70" spans="1:15" s="455" customFormat="1" ht="13.5">
      <c r="A70" s="566"/>
      <c r="B70" s="467"/>
      <c r="C70" s="497"/>
      <c r="D70" s="691"/>
      <c r="E70" s="675"/>
      <c r="F70" s="675"/>
      <c r="G70" s="654"/>
      <c r="H70" s="502"/>
      <c r="I70" s="652"/>
      <c r="J70" s="497"/>
      <c r="K70" s="653"/>
      <c r="L70" s="502"/>
      <c r="M70" s="538"/>
      <c r="N70" s="392"/>
      <c r="O70" s="502"/>
    </row>
    <row r="71" spans="1:15" s="455" customFormat="1" ht="13.5">
      <c r="A71" s="566"/>
      <c r="B71" s="467"/>
      <c r="C71" s="497"/>
      <c r="D71" s="691"/>
      <c r="E71" s="675"/>
      <c r="F71" s="675"/>
      <c r="G71" s="654"/>
      <c r="H71" s="502"/>
      <c r="I71" s="652"/>
      <c r="J71" s="497"/>
      <c r="K71" s="653"/>
      <c r="L71" s="502"/>
      <c r="M71" s="538"/>
      <c r="N71" s="392"/>
      <c r="O71" s="502"/>
    </row>
    <row r="72" spans="1:15" s="455" customFormat="1" ht="13.5">
      <c r="C72" s="1385"/>
      <c r="D72" s="314"/>
      <c r="E72" s="991"/>
      <c r="F72" s="662"/>
      <c r="G72" s="309"/>
      <c r="H72" s="497"/>
      <c r="I72" s="774"/>
      <c r="J72" s="774"/>
      <c r="K72" s="774"/>
      <c r="L72" s="499"/>
      <c r="M72" s="1028"/>
      <c r="N72" s="499"/>
    </row>
    <row r="73" spans="1:15" s="455" customFormat="1" ht="13.5">
      <c r="C73" s="314"/>
      <c r="D73" s="314"/>
      <c r="E73" s="991"/>
      <c r="F73" s="662"/>
      <c r="G73" s="309"/>
      <c r="H73" s="497"/>
      <c r="I73" s="774"/>
      <c r="J73" s="774"/>
      <c r="K73" s="1471"/>
      <c r="L73" s="499"/>
      <c r="M73" s="1028"/>
      <c r="N73" s="499"/>
    </row>
    <row r="74" spans="1:15" s="455" customFormat="1" ht="13.5">
      <c r="C74" s="1027"/>
      <c r="D74" s="314"/>
      <c r="E74" s="991"/>
      <c r="F74" s="662"/>
      <c r="G74" s="309"/>
      <c r="H74" s="497"/>
      <c r="I74" s="1056"/>
      <c r="J74" s="985"/>
      <c r="K74" s="985"/>
      <c r="L74" s="499"/>
      <c r="M74" s="1028"/>
      <c r="N74" s="499"/>
    </row>
    <row r="75" spans="1:15" s="455" customFormat="1" ht="13.5">
      <c r="C75" s="499"/>
      <c r="D75" s="309"/>
      <c r="E75" s="391"/>
      <c r="F75" s="499"/>
      <c r="G75" s="497"/>
      <c r="H75" s="498"/>
      <c r="I75" s="498"/>
      <c r="J75" s="498"/>
      <c r="K75" s="499"/>
      <c r="L75" s="1472"/>
      <c r="M75" s="309"/>
      <c r="N75" s="499"/>
    </row>
    <row r="76" spans="1:15" s="455" customFormat="1" ht="13.5">
      <c r="C76" s="497"/>
      <c r="D76" s="691"/>
      <c r="E76" s="675"/>
      <c r="F76" s="675"/>
      <c r="G76" s="654"/>
      <c r="H76" s="502"/>
      <c r="I76" s="652"/>
      <c r="J76" s="497"/>
      <c r="K76" s="653"/>
      <c r="L76" s="502"/>
      <c r="M76" s="538"/>
      <c r="N76" s="392"/>
      <c r="O76" s="502"/>
    </row>
    <row r="77" spans="1:15" s="455" customFormat="1" ht="13.5">
      <c r="C77" s="497"/>
      <c r="D77" s="691"/>
      <c r="E77" s="675"/>
      <c r="F77" s="675"/>
      <c r="G77" s="654"/>
      <c r="H77" s="502"/>
      <c r="I77" s="652"/>
      <c r="J77" s="497"/>
      <c r="K77" s="653"/>
      <c r="L77" s="502"/>
      <c r="M77" s="538"/>
      <c r="N77" s="392"/>
      <c r="O77" s="502"/>
    </row>
    <row r="78" spans="1:15" s="455" customFormat="1" ht="13.5">
      <c r="C78" s="497"/>
      <c r="D78" s="691"/>
      <c r="E78" s="675"/>
      <c r="F78" s="675"/>
      <c r="G78" s="654"/>
      <c r="H78" s="502"/>
      <c r="I78" s="652"/>
      <c r="J78" s="497"/>
      <c r="K78" s="653"/>
      <c r="L78" s="502"/>
      <c r="M78" s="538"/>
      <c r="N78" s="392"/>
      <c r="O78" s="502"/>
    </row>
    <row r="79" spans="1:15" s="455" customFormat="1" ht="13.5">
      <c r="C79" s="497"/>
      <c r="D79" s="691"/>
      <c r="E79" s="675"/>
      <c r="F79" s="675"/>
      <c r="G79" s="654"/>
      <c r="H79" s="502"/>
      <c r="I79" s="652"/>
      <c r="J79" s="497"/>
      <c r="K79" s="653"/>
      <c r="L79" s="502"/>
      <c r="M79" s="538"/>
      <c r="N79" s="392"/>
      <c r="O79" s="502"/>
    </row>
    <row r="80" spans="1:15" s="455" customFormat="1" ht="13.5">
      <c r="C80" s="497"/>
      <c r="D80" s="691"/>
      <c r="E80" s="675"/>
      <c r="F80" s="675"/>
      <c r="G80" s="654"/>
      <c r="H80" s="502"/>
      <c r="I80" s="652"/>
      <c r="J80" s="497"/>
      <c r="K80" s="653"/>
      <c r="L80" s="502"/>
      <c r="M80" s="538"/>
      <c r="N80" s="392"/>
      <c r="O80" s="502"/>
    </row>
    <row r="81" spans="3:15" s="455" customFormat="1" ht="13.5">
      <c r="C81" s="497"/>
      <c r="D81" s="691"/>
      <c r="E81" s="675"/>
      <c r="F81" s="675"/>
      <c r="G81" s="654"/>
      <c r="H81" s="502"/>
      <c r="I81" s="652"/>
      <c r="J81" s="497"/>
      <c r="K81" s="653"/>
      <c r="L81" s="502"/>
      <c r="M81" s="538"/>
      <c r="N81" s="392"/>
      <c r="O81" s="502"/>
    </row>
    <row r="82" spans="3:15" s="455" customFormat="1" ht="13.5">
      <c r="C82" s="497"/>
      <c r="D82" s="691"/>
      <c r="E82" s="675"/>
      <c r="F82" s="1473"/>
      <c r="G82" s="654"/>
      <c r="H82" s="502"/>
      <c r="I82" s="652"/>
      <c r="J82" s="497"/>
      <c r="K82" s="653"/>
      <c r="L82" s="502"/>
      <c r="M82" s="538"/>
      <c r="N82" s="392"/>
      <c r="O82" s="502"/>
    </row>
    <row r="83" spans="3:15" s="355" customFormat="1" ht="13.5">
      <c r="C83" s="400"/>
      <c r="D83" s="400"/>
      <c r="E83" s="401"/>
      <c r="F83" s="402"/>
      <c r="G83" s="402"/>
      <c r="H83" s="403"/>
      <c r="I83" s="403"/>
      <c r="J83" s="403"/>
      <c r="K83" s="402"/>
      <c r="L83" s="404"/>
      <c r="M83" s="402"/>
      <c r="N83" s="405"/>
    </row>
    <row r="84" spans="3:15" s="355" customFormat="1" ht="13.5">
      <c r="C84" s="400"/>
      <c r="D84" s="400"/>
      <c r="E84" s="401"/>
      <c r="F84" s="402"/>
      <c r="G84" s="402"/>
      <c r="H84" s="403"/>
      <c r="I84" s="403"/>
      <c r="J84" s="403"/>
      <c r="K84" s="402"/>
      <c r="L84" s="404"/>
      <c r="M84" s="402"/>
      <c r="N84" s="405"/>
    </row>
    <row r="85" spans="3:15" s="355" customFormat="1" ht="13.5">
      <c r="C85" s="400"/>
      <c r="D85" s="400"/>
      <c r="E85" s="401"/>
      <c r="F85" s="402"/>
      <c r="G85" s="402"/>
      <c r="H85" s="403"/>
      <c r="I85" s="403"/>
      <c r="J85" s="403"/>
      <c r="K85" s="402"/>
      <c r="L85" s="404"/>
      <c r="M85" s="402"/>
      <c r="N85" s="405"/>
    </row>
    <row r="86" spans="3:15" s="355" customFormat="1" ht="13.5">
      <c r="C86" s="400"/>
      <c r="D86" s="400"/>
      <c r="E86" s="401"/>
      <c r="F86" s="402"/>
      <c r="G86" s="402"/>
      <c r="H86" s="403"/>
      <c r="I86" s="403"/>
      <c r="J86" s="403"/>
      <c r="K86" s="402"/>
      <c r="L86" s="404"/>
      <c r="M86" s="402"/>
      <c r="N86" s="405"/>
    </row>
    <row r="87" spans="3:15" s="355" customFormat="1" ht="13.5">
      <c r="C87" s="400"/>
      <c r="D87" s="400"/>
      <c r="E87" s="401"/>
      <c r="F87" s="402"/>
      <c r="G87" s="402"/>
      <c r="H87" s="403"/>
      <c r="I87" s="403"/>
      <c r="J87" s="403"/>
      <c r="K87" s="402"/>
      <c r="L87" s="404"/>
      <c r="M87" s="402"/>
      <c r="N87" s="405"/>
    </row>
    <row r="88" spans="3:15" s="355" customFormat="1" ht="13.5">
      <c r="C88" s="400"/>
      <c r="D88" s="400"/>
      <c r="E88" s="401"/>
      <c r="F88" s="402"/>
      <c r="G88" s="402"/>
      <c r="H88" s="403"/>
      <c r="I88" s="403"/>
      <c r="J88" s="403"/>
      <c r="K88" s="402"/>
      <c r="L88" s="404"/>
      <c r="M88" s="402"/>
      <c r="N88" s="405"/>
    </row>
    <row r="89" spans="3:15" s="355" customFormat="1" ht="13.5">
      <c r="C89" s="400"/>
      <c r="D89" s="400"/>
      <c r="E89" s="401"/>
      <c r="F89" s="402"/>
      <c r="G89" s="402"/>
      <c r="H89" s="403"/>
      <c r="I89" s="403"/>
      <c r="J89" s="403"/>
      <c r="K89" s="402"/>
      <c r="L89" s="404"/>
      <c r="M89" s="402"/>
      <c r="N89" s="405"/>
    </row>
    <row r="90" spans="3:15" s="355" customFormat="1" ht="13.5">
      <c r="C90" s="400"/>
      <c r="D90" s="400"/>
      <c r="E90" s="401"/>
      <c r="F90" s="402"/>
      <c r="G90" s="402"/>
      <c r="H90" s="403"/>
      <c r="I90" s="403"/>
      <c r="J90" s="403"/>
      <c r="K90" s="402"/>
      <c r="L90" s="404"/>
      <c r="M90" s="402"/>
      <c r="N90" s="405"/>
    </row>
    <row r="91" spans="3:15" s="355" customFormat="1" ht="13.5">
      <c r="C91" s="400"/>
      <c r="D91" s="400"/>
      <c r="E91" s="401"/>
      <c r="F91" s="402"/>
      <c r="G91" s="402"/>
      <c r="H91" s="403"/>
      <c r="I91" s="403"/>
      <c r="J91" s="403"/>
      <c r="K91" s="402"/>
      <c r="L91" s="404"/>
      <c r="M91" s="402"/>
      <c r="N91" s="405"/>
    </row>
    <row r="92" spans="3:15" s="355" customFormat="1" ht="13.5">
      <c r="C92" s="400"/>
      <c r="D92" s="400"/>
      <c r="E92" s="401"/>
      <c r="F92" s="402"/>
      <c r="G92" s="402"/>
      <c r="H92" s="403"/>
      <c r="I92" s="403"/>
      <c r="J92" s="403"/>
      <c r="K92" s="402"/>
      <c r="L92" s="404"/>
      <c r="M92" s="402"/>
      <c r="N92" s="405"/>
    </row>
    <row r="93" spans="3:15" s="355" customFormat="1" ht="13.5">
      <c r="C93" s="400"/>
      <c r="D93" s="400"/>
      <c r="E93" s="401"/>
      <c r="F93" s="402"/>
      <c r="G93" s="402"/>
      <c r="H93" s="403"/>
      <c r="I93" s="403"/>
      <c r="J93" s="403"/>
      <c r="K93" s="402"/>
      <c r="L93" s="404"/>
      <c r="M93" s="402"/>
      <c r="N93" s="405"/>
    </row>
    <row r="94" spans="3:15" s="355" customFormat="1" ht="13.5">
      <c r="C94" s="400"/>
      <c r="D94" s="400"/>
      <c r="E94" s="401"/>
      <c r="F94" s="402"/>
      <c r="G94" s="402"/>
      <c r="H94" s="403"/>
      <c r="I94" s="403"/>
      <c r="J94" s="403"/>
      <c r="K94" s="402"/>
      <c r="L94" s="404"/>
      <c r="M94" s="402"/>
      <c r="N94" s="405"/>
    </row>
    <row r="95" spans="3:15" s="355" customFormat="1" ht="13.5">
      <c r="C95" s="400"/>
      <c r="D95" s="400"/>
      <c r="E95" s="401"/>
      <c r="F95" s="402"/>
      <c r="G95" s="402"/>
      <c r="H95" s="403"/>
      <c r="I95" s="403"/>
      <c r="J95" s="403"/>
      <c r="K95" s="402"/>
      <c r="L95" s="404"/>
      <c r="M95" s="407"/>
      <c r="N95" s="405"/>
    </row>
    <row r="96" spans="3:15" s="355" customFormat="1" ht="13.5">
      <c r="C96" s="400"/>
      <c r="D96" s="400"/>
      <c r="E96" s="401"/>
      <c r="F96" s="402"/>
      <c r="G96" s="403"/>
      <c r="H96" s="403"/>
      <c r="I96" s="403"/>
      <c r="J96" s="403"/>
      <c r="K96" s="408"/>
      <c r="L96" s="404"/>
      <c r="M96" s="407"/>
      <c r="N96" s="405"/>
    </row>
    <row r="97" spans="3:14" s="355" customFormat="1" ht="13.5">
      <c r="C97" s="352"/>
      <c r="D97" s="352"/>
      <c r="E97" s="352"/>
      <c r="F97" s="352"/>
      <c r="G97" s="352"/>
      <c r="H97" s="352"/>
      <c r="I97" s="352"/>
      <c r="J97" s="352"/>
      <c r="K97" s="352"/>
      <c r="L97" s="1403">
        <f>SUM(L5:L95)</f>
        <v>40000</v>
      </c>
      <c r="M97" s="352"/>
      <c r="N97" s="352"/>
    </row>
    <row r="98" spans="3:14" ht="14.25" customHeight="1">
      <c r="C98" s="31"/>
      <c r="D98" s="27"/>
      <c r="E98" s="20"/>
      <c r="F98" s="28"/>
      <c r="G98" s="28"/>
      <c r="H98" s="26"/>
      <c r="I98" s="26"/>
      <c r="J98" s="26"/>
      <c r="K98" s="28"/>
      <c r="L98" s="179"/>
      <c r="M98" s="28"/>
      <c r="N98" s="27"/>
    </row>
    <row r="99" spans="3:14" s="1" customFormat="1" ht="14.25" customHeight="1">
      <c r="C99" s="31"/>
      <c r="D99" s="27"/>
      <c r="E99" s="21"/>
      <c r="F99" s="28"/>
      <c r="G99" s="28"/>
      <c r="H99" s="26"/>
      <c r="I99" s="26"/>
      <c r="J99" s="26"/>
      <c r="K99" s="28"/>
      <c r="L99" s="179"/>
      <c r="M99" s="28"/>
      <c r="N99" s="27"/>
    </row>
    <row r="100" spans="3:14" s="1" customFormat="1" ht="14.25" customHeight="1">
      <c r="C100" s="30"/>
      <c r="D100" s="25"/>
      <c r="E100" s="21"/>
      <c r="F100" s="22"/>
      <c r="G100" s="22"/>
      <c r="H100" s="23"/>
      <c r="I100" s="23"/>
      <c r="J100" s="23"/>
      <c r="K100" s="22"/>
      <c r="L100" s="180"/>
      <c r="M100" s="22"/>
      <c r="N100" s="25"/>
    </row>
  </sheetData>
  <mergeCells count="13">
    <mergeCell ref="O7:O9"/>
    <mergeCell ref="C2:G2"/>
    <mergeCell ref="H2:J2"/>
    <mergeCell ref="K2:L2"/>
    <mergeCell ref="M2:M3"/>
    <mergeCell ref="N2:N3"/>
    <mergeCell ref="C53:C55"/>
    <mergeCell ref="C14:C15"/>
    <mergeCell ref="C16:C17"/>
    <mergeCell ref="C19:C20"/>
    <mergeCell ref="C21:C22"/>
    <mergeCell ref="C23:C24"/>
    <mergeCell ref="C51:C52"/>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ED3BC-0828-47CA-8A00-AD65ECF765C8}">
  <sheetPr>
    <tabColor rgb="FF00B0F0"/>
  </sheetPr>
  <dimension ref="A1:O93"/>
  <sheetViews>
    <sheetView zoomScale="93" zoomScaleNormal="94" workbookViewId="0">
      <pane ySplit="4" topLeftCell="A5" activePane="bottomLeft" state="frozen"/>
      <selection pane="bottomLeft" activeCell="E9" sqref="E9"/>
    </sheetView>
  </sheetViews>
  <sheetFormatPr defaultRowHeight="15"/>
  <cols>
    <col min="3" max="3" width="25.28515625" customWidth="1"/>
    <col min="4" max="4" width="49.7109375" bestFit="1"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style="99" customWidth="1"/>
    <col min="13" max="13" width="16.28515625" customWidth="1"/>
    <col min="14" max="14" width="12.85546875" customWidth="1"/>
    <col min="17" max="17" width="73.7109375" bestFit="1" customWidth="1"/>
  </cols>
  <sheetData>
    <row r="1" spans="1:15" s="355" customFormat="1" ht="13.5">
      <c r="L1" s="32"/>
    </row>
    <row r="2" spans="1:15" s="355" customFormat="1" ht="13.5">
      <c r="C2" s="2601" t="s">
        <v>30</v>
      </c>
      <c r="D2" s="2602"/>
      <c r="E2" s="2602"/>
      <c r="F2" s="2602"/>
      <c r="G2" s="2603"/>
      <c r="H2" s="2604" t="s">
        <v>29</v>
      </c>
      <c r="I2" s="2605"/>
      <c r="J2" s="2606"/>
      <c r="K2" s="2601" t="s">
        <v>28</v>
      </c>
      <c r="L2" s="2603"/>
      <c r="M2" s="2594" t="s">
        <v>27</v>
      </c>
      <c r="N2" s="2594" t="s">
        <v>26</v>
      </c>
    </row>
    <row r="3" spans="1:15" s="355" customFormat="1" ht="94.5">
      <c r="C3" s="618" t="s">
        <v>25</v>
      </c>
      <c r="D3" s="852" t="s">
        <v>24</v>
      </c>
      <c r="E3" s="991" t="s">
        <v>23</v>
      </c>
      <c r="F3" s="618" t="s">
        <v>22</v>
      </c>
      <c r="G3" s="532" t="s">
        <v>1303</v>
      </c>
      <c r="H3" s="532" t="s">
        <v>20</v>
      </c>
      <c r="I3" s="532" t="s">
        <v>19</v>
      </c>
      <c r="J3" s="532" t="s">
        <v>18</v>
      </c>
      <c r="K3" s="618" t="s">
        <v>17</v>
      </c>
      <c r="L3" s="605" t="s">
        <v>16</v>
      </c>
      <c r="M3" s="2594"/>
      <c r="N3" s="2594"/>
    </row>
    <row r="4" spans="1:15" s="355" customFormat="1" ht="27">
      <c r="C4" s="1076" t="s">
        <v>15</v>
      </c>
      <c r="D4" s="1076" t="s">
        <v>14</v>
      </c>
      <c r="E4" s="1076" t="s">
        <v>13</v>
      </c>
      <c r="F4" s="1076" t="s">
        <v>12</v>
      </c>
      <c r="G4" s="1076" t="s">
        <v>11</v>
      </c>
      <c r="H4" s="1076" t="s">
        <v>10</v>
      </c>
      <c r="I4" s="1076" t="s">
        <v>9</v>
      </c>
      <c r="J4" s="1076" t="s">
        <v>8</v>
      </c>
      <c r="K4" s="1076" t="s">
        <v>7</v>
      </c>
      <c r="L4" s="1077" t="s">
        <v>6</v>
      </c>
      <c r="M4" s="1076" t="s">
        <v>5</v>
      </c>
      <c r="N4" s="1076" t="s">
        <v>4</v>
      </c>
    </row>
    <row r="5" spans="1:15" s="455" customFormat="1" ht="13.5">
      <c r="A5" s="471"/>
      <c r="B5" s="454"/>
      <c r="C5" s="314"/>
      <c r="D5" s="309"/>
      <c r="E5" s="309"/>
      <c r="F5" s="309"/>
      <c r="G5" s="309"/>
      <c r="H5" s="309"/>
      <c r="I5" s="309"/>
      <c r="J5" s="309"/>
      <c r="K5" s="309"/>
      <c r="L5" s="309"/>
      <c r="M5" s="309"/>
      <c r="N5" s="309"/>
      <c r="O5" s="625"/>
    </row>
    <row r="6" spans="1:15" s="455" customFormat="1" ht="38.25">
      <c r="A6" s="471"/>
      <c r="B6" s="454" t="s">
        <v>1677</v>
      </c>
      <c r="C6" s="2755" t="s">
        <v>1680</v>
      </c>
      <c r="D6" s="1533" t="s">
        <v>2</v>
      </c>
      <c r="E6" s="1543"/>
      <c r="F6" s="1530" t="s">
        <v>674</v>
      </c>
      <c r="G6" s="1535"/>
      <c r="H6" s="1548" t="s">
        <v>675</v>
      </c>
      <c r="I6" s="1548" t="s">
        <v>599</v>
      </c>
      <c r="J6" s="1548" t="s">
        <v>599</v>
      </c>
      <c r="K6" s="1530" t="s">
        <v>748</v>
      </c>
      <c r="L6" s="1546">
        <v>100000</v>
      </c>
      <c r="M6" s="1533" t="s">
        <v>659</v>
      </c>
      <c r="N6" s="1535"/>
    </row>
    <row r="7" spans="1:15" s="455" customFormat="1" ht="13.5">
      <c r="A7" s="471"/>
      <c r="B7" s="454" t="s">
        <v>1677</v>
      </c>
      <c r="C7" s="2755"/>
      <c r="D7" s="1543" t="s">
        <v>1050</v>
      </c>
      <c r="E7" s="1543"/>
      <c r="F7" s="1543"/>
      <c r="G7" s="1530"/>
      <c r="H7" s="1535"/>
      <c r="I7" s="1548"/>
      <c r="J7" s="1548"/>
      <c r="K7" s="1548"/>
      <c r="L7" s="1530"/>
      <c r="M7" s="1546"/>
      <c r="N7" s="1535"/>
      <c r="O7" s="1535"/>
    </row>
    <row r="8" spans="1:15" s="455" customFormat="1" ht="13.5">
      <c r="A8" s="471"/>
      <c r="B8" s="454" t="s">
        <v>1677</v>
      </c>
      <c r="C8" s="2755"/>
      <c r="D8" s="1543" t="s">
        <v>1052</v>
      </c>
      <c r="E8" s="1543"/>
      <c r="F8" s="1543"/>
      <c r="G8" s="1535"/>
      <c r="H8" s="1535"/>
      <c r="I8" s="1555"/>
      <c r="J8" s="1553"/>
      <c r="K8" s="1554"/>
      <c r="L8" s="1535"/>
      <c r="M8" s="1539"/>
      <c r="N8" s="1535"/>
      <c r="O8" s="1535"/>
    </row>
    <row r="9" spans="1:15" s="455" customFormat="1" ht="13.5">
      <c r="A9" s="471"/>
      <c r="B9" s="454" t="s">
        <v>1677</v>
      </c>
      <c r="C9" s="2755"/>
      <c r="D9" s="1543" t="s">
        <v>1053</v>
      </c>
      <c r="E9" s="1543"/>
      <c r="F9" s="1543"/>
      <c r="G9" s="1535"/>
      <c r="H9" s="1535"/>
      <c r="I9" s="1553"/>
      <c r="J9" s="1553"/>
      <c r="K9" s="1553"/>
      <c r="L9" s="1535"/>
      <c r="M9" s="1539"/>
      <c r="N9" s="1535"/>
      <c r="O9" s="1535"/>
    </row>
    <row r="10" spans="1:15" s="455" customFormat="1" ht="15.75">
      <c r="A10" s="471"/>
      <c r="B10" s="454"/>
      <c r="C10" s="1549"/>
      <c r="D10" s="1534"/>
      <c r="E10" s="1543"/>
      <c r="F10" s="1544"/>
      <c r="G10" s="1531"/>
      <c r="H10" s="1531"/>
      <c r="I10" s="1551"/>
      <c r="J10" s="1551"/>
      <c r="K10" s="1551"/>
      <c r="L10" s="1530"/>
      <c r="M10" s="1532"/>
      <c r="N10" s="1533"/>
      <c r="O10" s="1530"/>
    </row>
    <row r="11" spans="1:15" s="455" customFormat="1">
      <c r="A11" s="471"/>
      <c r="B11" s="454"/>
      <c r="C11" s="1549"/>
      <c r="D11" s="1550"/>
      <c r="E11" s="1543"/>
      <c r="F11" s="1544"/>
      <c r="G11" s="1531"/>
      <c r="H11" s="1531"/>
      <c r="I11" s="1551"/>
      <c r="J11" s="1551"/>
      <c r="K11" s="1551"/>
      <c r="L11" s="1530"/>
      <c r="M11" s="1532"/>
      <c r="N11" s="1533"/>
      <c r="O11" s="1530"/>
    </row>
    <row r="12" spans="1:15" s="455" customFormat="1">
      <c r="A12" s="471"/>
      <c r="B12" s="454"/>
      <c r="C12" s="1536"/>
      <c r="D12" s="1550"/>
      <c r="E12" s="1543"/>
      <c r="F12" s="1552"/>
      <c r="G12" s="1535"/>
      <c r="H12" s="1536"/>
      <c r="I12" s="1537"/>
      <c r="J12" s="1531"/>
      <c r="K12" s="1538"/>
      <c r="L12" s="1536"/>
      <c r="M12" s="1539"/>
      <c r="N12" s="1540"/>
      <c r="O12" s="1536"/>
    </row>
    <row r="13" spans="1:15" s="455" customFormat="1" ht="15.75">
      <c r="A13" s="471"/>
      <c r="B13" s="454"/>
      <c r="C13" s="1535"/>
      <c r="D13" s="1534"/>
      <c r="E13" s="1543"/>
      <c r="F13" s="1543"/>
      <c r="G13" s="1535"/>
      <c r="H13" s="1535"/>
      <c r="I13" s="1553"/>
      <c r="J13" s="1553"/>
      <c r="K13" s="1554"/>
      <c r="L13" s="1535"/>
      <c r="M13" s="1539"/>
      <c r="N13" s="1535"/>
      <c r="O13" s="1535"/>
    </row>
    <row r="14" spans="1:15" s="455" customFormat="1" ht="15.75">
      <c r="A14" s="471"/>
      <c r="B14" s="454"/>
      <c r="C14" s="1535"/>
      <c r="D14" s="1534"/>
      <c r="E14" s="1543"/>
      <c r="F14" s="1544"/>
      <c r="G14" s="1535"/>
      <c r="H14" s="1535"/>
      <c r="I14" s="1553"/>
      <c r="J14" s="1553"/>
      <c r="K14" s="1554"/>
      <c r="L14" s="1535"/>
      <c r="M14" s="1539"/>
      <c r="N14" s="1535"/>
      <c r="O14" s="1535"/>
    </row>
    <row r="15" spans="1:15" s="455" customFormat="1" ht="15.75">
      <c r="A15" s="471"/>
      <c r="B15" s="454"/>
      <c r="C15" s="1535"/>
      <c r="D15" s="1534"/>
      <c r="E15" s="1543"/>
      <c r="F15" s="1544"/>
      <c r="G15" s="1535"/>
      <c r="H15" s="1535"/>
      <c r="I15" s="1555"/>
      <c r="J15" s="1553"/>
      <c r="K15" s="1554"/>
      <c r="L15" s="1535"/>
      <c r="M15" s="1539"/>
      <c r="N15" s="1535"/>
      <c r="O15" s="1535"/>
    </row>
    <row r="16" spans="1:15" s="455" customFormat="1" ht="13.5">
      <c r="A16" s="471"/>
      <c r="B16" s="454"/>
      <c r="C16" s="2591"/>
      <c r="D16" s="309"/>
      <c r="E16" s="309"/>
      <c r="F16" s="309"/>
      <c r="G16" s="497"/>
      <c r="H16" s="985"/>
      <c r="I16" s="985"/>
      <c r="J16" s="985"/>
      <c r="K16" s="499"/>
      <c r="L16" s="1025"/>
      <c r="M16" s="499"/>
      <c r="N16" s="1468"/>
    </row>
    <row r="17" spans="1:15" s="455" customFormat="1" ht="13.5">
      <c r="A17" s="471"/>
      <c r="B17" s="454"/>
      <c r="C17" s="2593"/>
      <c r="D17" s="309"/>
      <c r="E17" s="309"/>
      <c r="F17" s="309"/>
      <c r="G17" s="497"/>
      <c r="H17" s="985"/>
      <c r="I17" s="985"/>
      <c r="J17" s="985"/>
      <c r="K17" s="499"/>
      <c r="L17" s="1025"/>
      <c r="M17" s="499"/>
      <c r="N17" s="1468"/>
    </row>
    <row r="18" spans="1:15" s="455" customFormat="1" ht="13.5">
      <c r="A18" s="471"/>
      <c r="B18" s="454"/>
      <c r="C18" s="392"/>
      <c r="D18" s="309"/>
      <c r="E18" s="309"/>
      <c r="F18" s="309"/>
      <c r="G18" s="497"/>
      <c r="H18" s="1056"/>
      <c r="I18" s="985"/>
      <c r="J18" s="985"/>
      <c r="K18" s="499"/>
      <c r="L18" s="1025"/>
      <c r="M18" s="499"/>
      <c r="N18" s="1465"/>
    </row>
    <row r="19" spans="1:15" s="455" customFormat="1" ht="13.5">
      <c r="A19" s="471"/>
      <c r="B19" s="454"/>
      <c r="C19" s="1547"/>
      <c r="D19" s="1533"/>
      <c r="E19" s="1543"/>
      <c r="F19" s="1543"/>
      <c r="G19" s="1530"/>
      <c r="H19" s="1535"/>
      <c r="I19" s="1548"/>
      <c r="J19" s="1548"/>
      <c r="K19" s="1548"/>
      <c r="L19" s="1530"/>
      <c r="M19" s="1546"/>
      <c r="N19" s="1533"/>
      <c r="O19" s="1535"/>
    </row>
    <row r="20" spans="1:15" s="455" customFormat="1" ht="13.5">
      <c r="A20" s="471"/>
      <c r="B20" s="454"/>
      <c r="C20" s="1549"/>
      <c r="D20" s="1569"/>
      <c r="E20" s="1543"/>
      <c r="F20" s="1544"/>
      <c r="G20" s="1531"/>
      <c r="H20" s="1531"/>
      <c r="I20" s="1551"/>
      <c r="J20" s="1551"/>
      <c r="K20" s="1551"/>
      <c r="L20" s="1985">
        <f>SUM(L6:L19)</f>
        <v>100000</v>
      </c>
      <c r="M20" s="1532"/>
      <c r="N20" s="1533"/>
      <c r="O20" s="1530"/>
    </row>
    <row r="21" spans="1:15" s="455" customFormat="1" ht="13.5">
      <c r="A21" s="471"/>
      <c r="B21" s="454"/>
      <c r="C21" s="1549"/>
      <c r="D21" s="1573"/>
      <c r="E21" s="1543"/>
      <c r="F21" s="1544"/>
      <c r="G21" s="1531"/>
      <c r="H21" s="1531"/>
      <c r="I21" s="1551"/>
      <c r="J21" s="1551"/>
      <c r="K21" s="1551"/>
      <c r="L21" s="1530"/>
      <c r="M21" s="1532"/>
      <c r="N21" s="1533"/>
      <c r="O21" s="1530"/>
    </row>
    <row r="22" spans="1:15" s="455" customFormat="1" ht="13.5">
      <c r="A22" s="471"/>
      <c r="B22" s="454"/>
      <c r="C22" s="1536"/>
      <c r="D22" s="1584"/>
      <c r="E22" s="1543"/>
      <c r="F22" s="1552"/>
      <c r="G22" s="1535"/>
      <c r="H22" s="1536"/>
      <c r="I22" s="1537"/>
      <c r="J22" s="1531"/>
      <c r="K22" s="1538"/>
      <c r="L22" s="1536"/>
      <c r="M22" s="1539"/>
      <c r="N22" s="1540"/>
      <c r="O22" s="1536"/>
    </row>
    <row r="23" spans="1:15" s="455" customFormat="1" ht="13.5">
      <c r="A23" s="471"/>
      <c r="B23" s="454"/>
      <c r="C23" s="1535"/>
      <c r="D23" s="1585"/>
      <c r="E23" s="1543"/>
      <c r="F23" s="1543"/>
      <c r="G23" s="1535"/>
      <c r="H23" s="1535"/>
      <c r="I23" s="1553"/>
      <c r="J23" s="1553"/>
      <c r="K23" s="1554"/>
      <c r="L23" s="1535"/>
      <c r="M23" s="1539"/>
      <c r="N23" s="1535"/>
      <c r="O23" s="1535"/>
    </row>
    <row r="24" spans="1:15" s="455" customFormat="1" ht="13.5">
      <c r="A24" s="471"/>
      <c r="B24" s="454"/>
      <c r="C24" s="1535"/>
      <c r="D24" s="1585"/>
      <c r="E24" s="1543"/>
      <c r="F24" s="1543"/>
      <c r="G24" s="1535"/>
      <c r="H24" s="1535"/>
      <c r="I24" s="1553"/>
      <c r="J24" s="1553"/>
      <c r="K24" s="1554"/>
      <c r="L24" s="1535"/>
      <c r="M24" s="1539"/>
      <c r="N24" s="1535"/>
      <c r="O24" s="1535"/>
    </row>
    <row r="25" spans="1:15" s="455" customFormat="1" ht="13.5">
      <c r="A25" s="471"/>
      <c r="B25" s="454"/>
      <c r="C25" s="1535"/>
      <c r="D25" s="1586"/>
      <c r="E25" s="1543"/>
      <c r="F25" s="1544"/>
      <c r="G25" s="1535"/>
      <c r="H25" s="1535"/>
      <c r="I25" s="1555"/>
      <c r="J25" s="1553"/>
      <c r="K25" s="1554"/>
      <c r="L25" s="1535"/>
      <c r="M25" s="1539"/>
      <c r="N25" s="1535"/>
      <c r="O25" s="1535"/>
    </row>
    <row r="26" spans="1:15" s="455" customFormat="1" ht="13.5">
      <c r="A26" s="471"/>
      <c r="B26" s="454"/>
      <c r="C26" s="314"/>
      <c r="D26" s="314"/>
      <c r="E26" s="560"/>
      <c r="F26" s="309"/>
      <c r="G26" s="497"/>
      <c r="H26" s="985"/>
      <c r="I26" s="985"/>
      <c r="J26" s="985"/>
      <c r="K26" s="309"/>
      <c r="L26" s="1015"/>
      <c r="M26" s="499"/>
      <c r="N26" s="454"/>
    </row>
    <row r="27" spans="1:15" s="455" customFormat="1" ht="13.5">
      <c r="A27" s="471"/>
      <c r="B27" s="454"/>
      <c r="C27" s="987"/>
      <c r="D27" s="314"/>
      <c r="E27" s="662"/>
      <c r="F27" s="309"/>
      <c r="G27" s="497"/>
      <c r="H27" s="985"/>
      <c r="I27" s="985"/>
      <c r="J27" s="985"/>
      <c r="K27" s="499"/>
      <c r="L27" s="1065"/>
      <c r="M27" s="499"/>
      <c r="N27" s="458"/>
    </row>
    <row r="28" spans="1:15" s="455" customFormat="1" ht="13.5">
      <c r="A28" s="471"/>
      <c r="B28" s="454"/>
      <c r="C28" s="392"/>
      <c r="D28" s="309"/>
      <c r="E28" s="309"/>
      <c r="F28" s="662"/>
      <c r="G28" s="309"/>
      <c r="H28" s="497"/>
      <c r="I28" s="985"/>
      <c r="J28" s="985"/>
      <c r="K28" s="1066"/>
      <c r="L28" s="1067"/>
      <c r="M28" s="1025"/>
      <c r="N28" s="1068"/>
      <c r="O28" s="458"/>
    </row>
    <row r="29" spans="1:15" s="455" customFormat="1" ht="13.5">
      <c r="A29" s="471"/>
      <c r="B29" s="454"/>
      <c r="C29" s="471"/>
      <c r="D29" s="456"/>
      <c r="E29" s="459"/>
      <c r="F29" s="466"/>
      <c r="G29" s="471"/>
      <c r="H29" s="477"/>
      <c r="I29" s="526"/>
      <c r="J29" s="526"/>
      <c r="K29" s="526"/>
      <c r="L29" s="473"/>
      <c r="M29" s="529"/>
      <c r="N29" s="471"/>
      <c r="O29" s="458"/>
    </row>
    <row r="30" spans="1:15" s="455" customFormat="1" ht="13.5">
      <c r="A30" s="471"/>
      <c r="B30" s="454"/>
      <c r="C30" s="471"/>
      <c r="D30" s="456"/>
      <c r="E30" s="459"/>
      <c r="F30" s="466"/>
      <c r="G30" s="471"/>
      <c r="H30" s="477"/>
      <c r="I30" s="526"/>
      <c r="J30" s="526"/>
      <c r="K30" s="526"/>
      <c r="L30" s="473"/>
      <c r="M30" s="529"/>
      <c r="N30" s="471"/>
      <c r="O30" s="458"/>
    </row>
    <row r="31" spans="1:15" s="455" customFormat="1" ht="13.5">
      <c r="A31" s="471"/>
      <c r="B31" s="454"/>
      <c r="C31" s="314"/>
      <c r="D31" s="309"/>
      <c r="E31" s="309"/>
      <c r="F31" s="309"/>
      <c r="G31" s="309"/>
      <c r="H31" s="309"/>
      <c r="I31" s="309"/>
      <c r="J31" s="309"/>
      <c r="K31" s="309"/>
      <c r="L31" s="309"/>
      <c r="M31" s="309"/>
      <c r="N31" s="309"/>
    </row>
    <row r="32" spans="1:15" s="455" customFormat="1" ht="13.5">
      <c r="A32" s="471"/>
      <c r="B32" s="454"/>
      <c r="C32" s="314"/>
      <c r="D32" s="314"/>
      <c r="E32" s="309"/>
      <c r="F32" s="309"/>
      <c r="G32" s="497"/>
      <c r="H32" s="1056"/>
      <c r="I32" s="309"/>
      <c r="J32" s="309"/>
      <c r="K32" s="499"/>
      <c r="L32" s="1069"/>
      <c r="M32" s="309"/>
      <c r="N32" s="454"/>
    </row>
    <row r="33" spans="1:14" s="455" customFormat="1" ht="13.5">
      <c r="A33" s="471"/>
      <c r="B33" s="454"/>
      <c r="C33" s="314"/>
      <c r="D33" s="314"/>
      <c r="E33" s="309"/>
      <c r="F33" s="309"/>
      <c r="G33" s="497"/>
      <c r="H33" s="1056"/>
      <c r="I33" s="309"/>
      <c r="J33" s="309"/>
      <c r="K33" s="499"/>
      <c r="L33" s="1069"/>
      <c r="M33" s="499"/>
      <c r="N33" s="458"/>
    </row>
    <row r="34" spans="1:14" s="455" customFormat="1" ht="13.5">
      <c r="A34" s="471"/>
      <c r="B34" s="454"/>
      <c r="C34" s="314"/>
      <c r="D34" s="314"/>
      <c r="E34" s="309"/>
      <c r="F34" s="309"/>
      <c r="G34" s="497"/>
      <c r="H34" s="1056"/>
      <c r="I34" s="309"/>
      <c r="J34" s="309"/>
      <c r="K34" s="499"/>
      <c r="L34" s="1069"/>
      <c r="M34" s="499"/>
      <c r="N34" s="458"/>
    </row>
    <row r="35" spans="1:14" s="455" customFormat="1" ht="13.5">
      <c r="A35" s="471"/>
      <c r="B35" s="454"/>
      <c r="C35" s="314"/>
      <c r="D35" s="314"/>
      <c r="E35" s="662"/>
      <c r="F35" s="309"/>
      <c r="G35" s="497"/>
      <c r="H35" s="1056"/>
      <c r="I35" s="985"/>
      <c r="J35" s="985"/>
      <c r="K35" s="499"/>
      <c r="L35" s="1016"/>
      <c r="M35" s="499"/>
      <c r="N35" s="458"/>
    </row>
    <row r="36" spans="1:14" s="455" customFormat="1" ht="13.5">
      <c r="A36" s="471"/>
      <c r="B36" s="454"/>
      <c r="C36" s="314"/>
      <c r="D36" s="314"/>
      <c r="E36" s="662"/>
      <c r="F36" s="309"/>
      <c r="G36" s="497"/>
      <c r="H36" s="1056"/>
      <c r="I36" s="985"/>
      <c r="J36" s="985"/>
      <c r="K36" s="499"/>
      <c r="L36" s="1016"/>
      <c r="M36" s="499"/>
      <c r="N36" s="458"/>
    </row>
    <row r="37" spans="1:14" s="455" customFormat="1" ht="13.5">
      <c r="A37" s="471"/>
      <c r="B37" s="454"/>
      <c r="C37" s="314"/>
      <c r="D37" s="314"/>
      <c r="E37" s="662"/>
      <c r="F37" s="309"/>
      <c r="G37" s="497"/>
      <c r="H37" s="1056"/>
      <c r="I37" s="985"/>
      <c r="J37" s="985"/>
      <c r="K37" s="499"/>
      <c r="L37" s="1071"/>
      <c r="M37" s="499"/>
    </row>
    <row r="38" spans="1:14" s="455" customFormat="1" ht="13.5">
      <c r="A38" s="471"/>
      <c r="B38" s="454"/>
      <c r="C38" s="314"/>
      <c r="D38" s="314"/>
      <c r="E38" s="662"/>
      <c r="F38" s="309"/>
      <c r="G38" s="497"/>
      <c r="H38" s="1056"/>
      <c r="I38" s="985"/>
      <c r="J38" s="985"/>
      <c r="K38" s="499"/>
      <c r="L38" s="1071"/>
      <c r="M38" s="499"/>
    </row>
    <row r="39" spans="1:14" s="455" customFormat="1" ht="13.5">
      <c r="A39" s="471"/>
      <c r="B39" s="454"/>
      <c r="C39" s="314"/>
      <c r="D39" s="314"/>
      <c r="E39" s="662"/>
      <c r="F39" s="309"/>
      <c r="G39" s="497"/>
      <c r="H39" s="1056"/>
      <c r="I39" s="985"/>
      <c r="J39" s="985"/>
      <c r="K39" s="499"/>
      <c r="L39" s="1016"/>
      <c r="M39" s="499"/>
    </row>
    <row r="40" spans="1:14" s="455" customFormat="1" ht="13.5">
      <c r="A40" s="471"/>
      <c r="B40" s="454"/>
      <c r="C40" s="314"/>
      <c r="D40" s="314"/>
      <c r="E40" s="662"/>
      <c r="F40" s="309"/>
      <c r="G40" s="497"/>
      <c r="H40" s="1056"/>
      <c r="I40" s="985"/>
      <c r="J40" s="985"/>
      <c r="K40" s="499"/>
      <c r="L40" s="1016"/>
      <c r="M40" s="499"/>
    </row>
    <row r="41" spans="1:14" s="455" customFormat="1" ht="13.5">
      <c r="A41" s="471"/>
      <c r="B41" s="454"/>
      <c r="C41" s="314"/>
      <c r="D41" s="314"/>
      <c r="E41" s="662"/>
      <c r="F41" s="309"/>
      <c r="G41" s="497"/>
      <c r="H41" s="1056"/>
      <c r="I41" s="985"/>
      <c r="J41" s="985"/>
      <c r="K41" s="499"/>
      <c r="L41" s="1016"/>
      <c r="M41" s="499"/>
      <c r="N41" s="458"/>
    </row>
    <row r="42" spans="1:14" s="455" customFormat="1" ht="13.5">
      <c r="A42" s="471"/>
      <c r="B42" s="454"/>
      <c r="C42" s="314"/>
      <c r="D42" s="314"/>
      <c r="E42" s="662"/>
      <c r="F42" s="309"/>
      <c r="G42" s="497"/>
      <c r="H42" s="1056"/>
      <c r="I42" s="985"/>
      <c r="J42" s="985"/>
      <c r="K42" s="499"/>
      <c r="L42" s="1016"/>
      <c r="M42" s="499"/>
      <c r="N42" s="458"/>
    </row>
    <row r="43" spans="1:14" s="455" customFormat="1" ht="13.5">
      <c r="A43" s="471"/>
      <c r="B43" s="454"/>
      <c r="C43" s="314"/>
      <c r="D43" s="314"/>
      <c r="E43" s="662"/>
      <c r="F43" s="309"/>
      <c r="G43" s="497"/>
      <c r="H43" s="1056"/>
      <c r="I43" s="985"/>
      <c r="J43" s="985"/>
      <c r="K43" s="499"/>
      <c r="L43" s="1016"/>
      <c r="M43" s="499"/>
      <c r="N43" s="458"/>
    </row>
    <row r="44" spans="1:14" s="455" customFormat="1" ht="13.5">
      <c r="A44" s="471"/>
      <c r="B44" s="454"/>
      <c r="C44" s="2591"/>
      <c r="D44" s="314"/>
      <c r="E44" s="662"/>
      <c r="F44" s="309"/>
      <c r="G44" s="497"/>
      <c r="H44" s="1056"/>
      <c r="I44" s="985"/>
      <c r="J44" s="985"/>
      <c r="K44" s="499"/>
      <c r="L44" s="1016"/>
      <c r="M44" s="499"/>
    </row>
    <row r="45" spans="1:14" s="455" customFormat="1" ht="13.5">
      <c r="A45" s="471"/>
      <c r="B45" s="454"/>
      <c r="C45" s="2593"/>
      <c r="D45" s="314"/>
      <c r="E45" s="662"/>
      <c r="F45" s="309"/>
      <c r="G45" s="497"/>
      <c r="H45" s="1056"/>
      <c r="I45" s="985"/>
      <c r="J45" s="985"/>
      <c r="K45" s="499"/>
      <c r="L45" s="1016"/>
      <c r="M45" s="499"/>
      <c r="N45" s="454"/>
    </row>
    <row r="46" spans="1:14" s="455" customFormat="1" ht="13.5">
      <c r="A46" s="471"/>
      <c r="B46" s="454"/>
      <c r="C46" s="2591"/>
      <c r="D46" s="314"/>
      <c r="E46" s="662"/>
      <c r="F46" s="309"/>
      <c r="G46" s="497"/>
      <c r="H46" s="1056"/>
      <c r="I46" s="985"/>
      <c r="J46" s="985"/>
      <c r="K46" s="499"/>
      <c r="L46" s="1016"/>
      <c r="M46" s="499"/>
      <c r="N46" s="458"/>
    </row>
    <row r="47" spans="1:14" s="455" customFormat="1" ht="13.5">
      <c r="A47" s="471"/>
      <c r="B47" s="454"/>
      <c r="C47" s="2592"/>
      <c r="D47" s="314"/>
      <c r="E47" s="662"/>
      <c r="F47" s="309"/>
      <c r="G47" s="497"/>
      <c r="H47" s="1056"/>
      <c r="I47" s="985"/>
      <c r="J47" s="985"/>
      <c r="K47" s="499"/>
      <c r="L47" s="1016"/>
      <c r="M47" s="499"/>
      <c r="N47" s="458"/>
    </row>
    <row r="48" spans="1:14" s="455" customFormat="1" ht="13.5">
      <c r="A48" s="471"/>
      <c r="B48" s="454"/>
      <c r="C48" s="2593"/>
      <c r="D48" s="314"/>
      <c r="E48" s="662"/>
      <c r="F48" s="309"/>
      <c r="G48" s="497"/>
      <c r="H48" s="1056"/>
      <c r="I48" s="985"/>
      <c r="J48" s="985"/>
      <c r="K48" s="499"/>
      <c r="L48" s="1016"/>
      <c r="M48" s="499"/>
      <c r="N48" s="458"/>
    </row>
    <row r="49" spans="1:15" s="455" customFormat="1" ht="13.5">
      <c r="A49" s="471"/>
      <c r="B49" s="454"/>
      <c r="C49" s="314"/>
      <c r="D49" s="314"/>
      <c r="E49" s="662"/>
      <c r="F49" s="309"/>
      <c r="G49" s="497"/>
      <c r="H49" s="985"/>
      <c r="I49" s="985"/>
      <c r="J49" s="985"/>
      <c r="K49" s="499"/>
      <c r="L49" s="1016"/>
      <c r="M49" s="499"/>
      <c r="N49" s="458"/>
    </row>
    <row r="50" spans="1:15" s="455" customFormat="1" ht="13.5">
      <c r="A50" s="471"/>
      <c r="B50" s="454"/>
      <c r="C50" s="314"/>
      <c r="D50" s="314"/>
      <c r="E50" s="662"/>
      <c r="F50" s="309"/>
      <c r="G50" s="497"/>
      <c r="H50" s="985"/>
      <c r="I50" s="985"/>
      <c r="J50" s="985"/>
      <c r="K50" s="499"/>
      <c r="L50" s="1016"/>
      <c r="M50" s="499"/>
      <c r="N50" s="460"/>
    </row>
    <row r="51" spans="1:15" s="455" customFormat="1" ht="13.5">
      <c r="C51" s="314"/>
      <c r="D51" s="314"/>
      <c r="E51" s="662"/>
      <c r="F51" s="662"/>
      <c r="G51" s="309"/>
      <c r="H51" s="497"/>
      <c r="I51" s="1056"/>
      <c r="J51" s="985"/>
      <c r="K51" s="985"/>
      <c r="L51" s="499"/>
      <c r="M51" s="1025"/>
      <c r="N51" s="499"/>
    </row>
    <row r="52" spans="1:15" s="455" customFormat="1" ht="13.5">
      <c r="C52" s="902"/>
      <c r="D52" s="309"/>
      <c r="E52" s="662"/>
      <c r="F52" s="662"/>
      <c r="G52" s="309"/>
      <c r="H52" s="497"/>
      <c r="I52" s="653"/>
      <c r="J52" s="985"/>
      <c r="K52" s="1469"/>
      <c r="L52" s="499"/>
      <c r="M52" s="1025"/>
      <c r="N52" s="499"/>
    </row>
    <row r="53" spans="1:15" s="455" customFormat="1" ht="13.5">
      <c r="A53" s="566"/>
      <c r="B53" s="467"/>
      <c r="C53" s="499"/>
      <c r="D53" s="309"/>
      <c r="E53" s="391"/>
      <c r="F53" s="499"/>
      <c r="G53" s="497"/>
      <c r="H53" s="498"/>
      <c r="I53" s="498"/>
      <c r="J53" s="498"/>
      <c r="K53" s="499"/>
      <c r="L53" s="1470"/>
      <c r="M53" s="309"/>
      <c r="N53" s="499"/>
    </row>
    <row r="54" spans="1:15" s="455" customFormat="1" ht="13.5">
      <c r="A54" s="566"/>
      <c r="B54" s="467"/>
      <c r="C54" s="497"/>
      <c r="D54" s="691"/>
      <c r="E54" s="675"/>
      <c r="F54" s="675"/>
      <c r="G54" s="654"/>
      <c r="H54" s="502"/>
      <c r="I54" s="652"/>
      <c r="J54" s="497"/>
      <c r="K54" s="653"/>
      <c r="L54" s="502"/>
      <c r="M54" s="538"/>
      <c r="N54" s="392"/>
      <c r="O54" s="502"/>
    </row>
    <row r="55" spans="1:15" s="455" customFormat="1" ht="13.5">
      <c r="A55" s="566"/>
      <c r="B55" s="467"/>
      <c r="C55" s="497"/>
      <c r="D55" s="691"/>
      <c r="E55" s="675"/>
      <c r="F55" s="675"/>
      <c r="G55" s="654"/>
      <c r="H55" s="502"/>
      <c r="I55" s="652"/>
      <c r="J55" s="497"/>
      <c r="K55" s="653"/>
      <c r="L55" s="502"/>
      <c r="M55" s="538"/>
      <c r="N55" s="392"/>
      <c r="O55" s="502"/>
    </row>
    <row r="56" spans="1:15" s="455" customFormat="1" ht="13.5">
      <c r="A56" s="566"/>
      <c r="B56" s="467"/>
      <c r="C56" s="497"/>
      <c r="D56" s="691"/>
      <c r="E56" s="675"/>
      <c r="F56" s="675"/>
      <c r="G56" s="654"/>
      <c r="H56" s="502"/>
      <c r="I56" s="652"/>
      <c r="J56" s="497"/>
      <c r="K56" s="653"/>
      <c r="L56" s="502"/>
      <c r="M56" s="538"/>
      <c r="N56" s="392"/>
      <c r="O56" s="502"/>
    </row>
    <row r="57" spans="1:15" s="455" customFormat="1" ht="13.5">
      <c r="A57" s="566"/>
      <c r="B57" s="467"/>
      <c r="C57" s="497"/>
      <c r="D57" s="691"/>
      <c r="E57" s="675"/>
      <c r="F57" s="675"/>
      <c r="G57" s="654"/>
      <c r="H57" s="502"/>
      <c r="I57" s="652"/>
      <c r="J57" s="497"/>
      <c r="K57" s="653"/>
      <c r="L57" s="502"/>
      <c r="M57" s="538"/>
      <c r="N57" s="392"/>
      <c r="O57" s="502"/>
    </row>
    <row r="58" spans="1:15" s="455" customFormat="1" ht="13.5">
      <c r="C58" s="1384"/>
      <c r="D58" s="314"/>
      <c r="E58" s="662"/>
      <c r="F58" s="662"/>
      <c r="G58" s="309"/>
      <c r="H58" s="497"/>
      <c r="I58" s="653"/>
      <c r="J58" s="985"/>
      <c r="K58" s="1469"/>
      <c r="L58" s="499"/>
      <c r="M58" s="1025"/>
      <c r="N58" s="499"/>
    </row>
    <row r="59" spans="1:15" s="455" customFormat="1" ht="13.5">
      <c r="C59" s="1384"/>
      <c r="D59" s="314"/>
      <c r="E59" s="662"/>
      <c r="F59" s="662"/>
      <c r="G59" s="309"/>
      <c r="H59" s="497"/>
      <c r="I59" s="653"/>
      <c r="J59" s="985"/>
      <c r="K59" s="1469"/>
      <c r="L59" s="499"/>
      <c r="M59" s="1025"/>
      <c r="N59" s="499"/>
    </row>
    <row r="60" spans="1:15" s="455" customFormat="1" ht="13.5">
      <c r="A60" s="566"/>
      <c r="B60" s="467"/>
      <c r="C60" s="499"/>
      <c r="D60" s="309"/>
      <c r="E60" s="391"/>
      <c r="F60" s="499"/>
      <c r="G60" s="497"/>
      <c r="H60" s="498"/>
      <c r="I60" s="498"/>
      <c r="J60" s="498"/>
      <c r="K60" s="499"/>
      <c r="L60" s="1470"/>
      <c r="M60" s="309"/>
      <c r="N60" s="499"/>
    </row>
    <row r="61" spans="1:15" s="455" customFormat="1" ht="13.5">
      <c r="A61" s="566"/>
      <c r="B61" s="467"/>
      <c r="C61" s="497"/>
      <c r="D61" s="691"/>
      <c r="E61" s="675"/>
      <c r="F61" s="675"/>
      <c r="G61" s="654"/>
      <c r="H61" s="502"/>
      <c r="I61" s="652"/>
      <c r="J61" s="497"/>
      <c r="K61" s="653"/>
      <c r="L61" s="502"/>
      <c r="M61" s="538"/>
      <c r="N61" s="392"/>
      <c r="O61" s="502"/>
    </row>
    <row r="62" spans="1:15" s="455" customFormat="1" ht="13.5">
      <c r="A62" s="566"/>
      <c r="B62" s="467"/>
      <c r="C62" s="497"/>
      <c r="D62" s="691"/>
      <c r="E62" s="675"/>
      <c r="F62" s="675"/>
      <c r="G62" s="654"/>
      <c r="H62" s="502"/>
      <c r="I62" s="652"/>
      <c r="J62" s="497"/>
      <c r="K62" s="653"/>
      <c r="L62" s="502"/>
      <c r="M62" s="538"/>
      <c r="N62" s="392"/>
      <c r="O62" s="502"/>
    </row>
    <row r="63" spans="1:15" s="455" customFormat="1" ht="13.5">
      <c r="A63" s="566"/>
      <c r="B63" s="467"/>
      <c r="C63" s="497"/>
      <c r="D63" s="691"/>
      <c r="E63" s="675"/>
      <c r="F63" s="675"/>
      <c r="G63" s="654"/>
      <c r="H63" s="502"/>
      <c r="I63" s="652"/>
      <c r="J63" s="497"/>
      <c r="K63" s="653"/>
      <c r="L63" s="502"/>
      <c r="M63" s="538"/>
      <c r="N63" s="392"/>
      <c r="O63" s="502"/>
    </row>
    <row r="64" spans="1:15" s="455" customFormat="1" ht="13.5">
      <c r="A64" s="566"/>
      <c r="B64" s="467"/>
      <c r="C64" s="497"/>
      <c r="D64" s="691"/>
      <c r="E64" s="675"/>
      <c r="F64" s="675"/>
      <c r="G64" s="654"/>
      <c r="H64" s="502"/>
      <c r="I64" s="652"/>
      <c r="J64" s="497"/>
      <c r="K64" s="653"/>
      <c r="L64" s="502"/>
      <c r="M64" s="538"/>
      <c r="N64" s="392"/>
      <c r="O64" s="502"/>
    </row>
    <row r="65" spans="3:15" s="455" customFormat="1" ht="13.5">
      <c r="C65" s="1385"/>
      <c r="D65" s="314"/>
      <c r="E65" s="991"/>
      <c r="F65" s="662"/>
      <c r="G65" s="309"/>
      <c r="H65" s="497"/>
      <c r="I65" s="774"/>
      <c r="J65" s="774"/>
      <c r="K65" s="774"/>
      <c r="L65" s="499"/>
      <c r="M65" s="1028"/>
      <c r="N65" s="499"/>
    </row>
    <row r="66" spans="3:15" s="455" customFormat="1" ht="13.5">
      <c r="C66" s="314"/>
      <c r="D66" s="314"/>
      <c r="E66" s="991"/>
      <c r="F66" s="662"/>
      <c r="G66" s="309"/>
      <c r="H66" s="497"/>
      <c r="I66" s="774"/>
      <c r="J66" s="774"/>
      <c r="K66" s="1471"/>
      <c r="L66" s="499"/>
      <c r="M66" s="1028"/>
      <c r="N66" s="499"/>
    </row>
    <row r="67" spans="3:15" s="455" customFormat="1" ht="13.5">
      <c r="C67" s="1027"/>
      <c r="D67" s="314"/>
      <c r="E67" s="991"/>
      <c r="F67" s="662"/>
      <c r="G67" s="309"/>
      <c r="H67" s="497"/>
      <c r="I67" s="1056"/>
      <c r="J67" s="985"/>
      <c r="K67" s="985"/>
      <c r="L67" s="499"/>
      <c r="M67" s="1028"/>
      <c r="N67" s="499"/>
    </row>
    <row r="68" spans="3:15" s="455" customFormat="1" ht="13.5">
      <c r="C68" s="499"/>
      <c r="D68" s="309"/>
      <c r="E68" s="391"/>
      <c r="F68" s="499"/>
      <c r="G68" s="497"/>
      <c r="H68" s="498"/>
      <c r="I68" s="498"/>
      <c r="J68" s="498"/>
      <c r="K68" s="499"/>
      <c r="L68" s="1472"/>
      <c r="M68" s="309"/>
      <c r="N68" s="499"/>
    </row>
    <row r="69" spans="3:15" s="455" customFormat="1" ht="13.5">
      <c r="C69" s="497"/>
      <c r="D69" s="691"/>
      <c r="E69" s="675"/>
      <c r="F69" s="675"/>
      <c r="G69" s="654"/>
      <c r="H69" s="502"/>
      <c r="I69" s="652"/>
      <c r="J69" s="497"/>
      <c r="K69" s="653"/>
      <c r="L69" s="502"/>
      <c r="M69" s="538"/>
      <c r="N69" s="392"/>
      <c r="O69" s="502"/>
    </row>
    <row r="70" spans="3:15" s="455" customFormat="1" ht="13.5">
      <c r="C70" s="497"/>
      <c r="D70" s="691"/>
      <c r="E70" s="675"/>
      <c r="F70" s="675"/>
      <c r="G70" s="654"/>
      <c r="H70" s="502"/>
      <c r="I70" s="652"/>
      <c r="J70" s="497"/>
      <c r="K70" s="653"/>
      <c r="L70" s="502"/>
      <c r="M70" s="538"/>
      <c r="N70" s="392"/>
      <c r="O70" s="502"/>
    </row>
    <row r="71" spans="3:15" s="455" customFormat="1" ht="13.5">
      <c r="C71" s="497"/>
      <c r="D71" s="691"/>
      <c r="E71" s="675"/>
      <c r="F71" s="675"/>
      <c r="G71" s="654"/>
      <c r="H71" s="502"/>
      <c r="I71" s="652"/>
      <c r="J71" s="497"/>
      <c r="K71" s="653"/>
      <c r="L71" s="502"/>
      <c r="M71" s="538"/>
      <c r="N71" s="392"/>
      <c r="O71" s="502"/>
    </row>
    <row r="72" spans="3:15" s="455" customFormat="1" ht="13.5">
      <c r="C72" s="497"/>
      <c r="D72" s="691"/>
      <c r="E72" s="675"/>
      <c r="F72" s="675"/>
      <c r="G72" s="654"/>
      <c r="H72" s="502"/>
      <c r="I72" s="652"/>
      <c r="J72" s="497"/>
      <c r="K72" s="653"/>
      <c r="L72" s="502"/>
      <c r="M72" s="538"/>
      <c r="N72" s="392"/>
      <c r="O72" s="502"/>
    </row>
    <row r="73" spans="3:15" s="455" customFormat="1" ht="13.5">
      <c r="C73" s="497"/>
      <c r="D73" s="691"/>
      <c r="E73" s="675"/>
      <c r="F73" s="675"/>
      <c r="G73" s="654"/>
      <c r="H73" s="502"/>
      <c r="I73" s="652"/>
      <c r="J73" s="497"/>
      <c r="K73" s="653"/>
      <c r="L73" s="502"/>
      <c r="M73" s="538"/>
      <c r="N73" s="392"/>
      <c r="O73" s="502"/>
    </row>
    <row r="74" spans="3:15" s="455" customFormat="1" ht="13.5">
      <c r="C74" s="497"/>
      <c r="D74" s="691"/>
      <c r="E74" s="675"/>
      <c r="F74" s="675"/>
      <c r="G74" s="654"/>
      <c r="H74" s="502"/>
      <c r="I74" s="652"/>
      <c r="J74" s="497"/>
      <c r="K74" s="653"/>
      <c r="L74" s="502"/>
      <c r="M74" s="538"/>
      <c r="N74" s="392"/>
      <c r="O74" s="502"/>
    </row>
    <row r="75" spans="3:15" s="455" customFormat="1" ht="13.5">
      <c r="C75" s="497"/>
      <c r="D75" s="691"/>
      <c r="E75" s="675"/>
      <c r="F75" s="1473"/>
      <c r="G75" s="654"/>
      <c r="H75" s="502"/>
      <c r="I75" s="652"/>
      <c r="J75" s="497"/>
      <c r="K75" s="653"/>
      <c r="L75" s="502"/>
      <c r="M75" s="538"/>
      <c r="N75" s="392"/>
      <c r="O75" s="502"/>
    </row>
    <row r="76" spans="3:15" s="355" customFormat="1" ht="13.5">
      <c r="C76" s="400"/>
      <c r="D76" s="400"/>
      <c r="E76" s="401"/>
      <c r="F76" s="402"/>
      <c r="G76" s="402"/>
      <c r="H76" s="403"/>
      <c r="I76" s="403"/>
      <c r="J76" s="403"/>
      <c r="K76" s="402"/>
      <c r="L76" s="404"/>
      <c r="M76" s="402"/>
      <c r="N76" s="405"/>
    </row>
    <row r="77" spans="3:15" s="355" customFormat="1" ht="13.5">
      <c r="C77" s="400"/>
      <c r="D77" s="400"/>
      <c r="E77" s="401"/>
      <c r="F77" s="402"/>
      <c r="G77" s="402"/>
      <c r="H77" s="403"/>
      <c r="I77" s="403"/>
      <c r="J77" s="403"/>
      <c r="K77" s="402"/>
      <c r="L77" s="404"/>
      <c r="M77" s="402"/>
      <c r="N77" s="405"/>
    </row>
    <row r="78" spans="3:15" s="355" customFormat="1" ht="13.5">
      <c r="C78" s="400"/>
      <c r="D78" s="400"/>
      <c r="E78" s="401"/>
      <c r="F78" s="402"/>
      <c r="G78" s="402"/>
      <c r="H78" s="403"/>
      <c r="I78" s="403"/>
      <c r="J78" s="403"/>
      <c r="K78" s="402"/>
      <c r="L78" s="404"/>
      <c r="M78" s="402"/>
      <c r="N78" s="405"/>
    </row>
    <row r="79" spans="3:15" s="355" customFormat="1" ht="13.5">
      <c r="C79" s="400"/>
      <c r="D79" s="400"/>
      <c r="E79" s="401"/>
      <c r="F79" s="402"/>
      <c r="G79" s="402"/>
      <c r="H79" s="403"/>
      <c r="I79" s="403"/>
      <c r="J79" s="403"/>
      <c r="K79" s="402"/>
      <c r="L79" s="404"/>
      <c r="M79" s="402"/>
      <c r="N79" s="405"/>
    </row>
    <row r="80" spans="3:15" s="355" customFormat="1" ht="13.5">
      <c r="C80" s="400"/>
      <c r="D80" s="400"/>
      <c r="E80" s="401"/>
      <c r="F80" s="402"/>
      <c r="G80" s="402"/>
      <c r="H80" s="403"/>
      <c r="I80" s="403"/>
      <c r="J80" s="403"/>
      <c r="K80" s="402"/>
      <c r="L80" s="404"/>
      <c r="M80" s="402"/>
      <c r="N80" s="405"/>
    </row>
    <row r="81" spans="3:14" s="355" customFormat="1" ht="13.5">
      <c r="C81" s="400"/>
      <c r="D81" s="400"/>
      <c r="E81" s="401"/>
      <c r="F81" s="402"/>
      <c r="G81" s="402"/>
      <c r="H81" s="403"/>
      <c r="I81" s="403"/>
      <c r="J81" s="403"/>
      <c r="K81" s="402"/>
      <c r="L81" s="404"/>
      <c r="M81" s="402"/>
      <c r="N81" s="405"/>
    </row>
    <row r="82" spans="3:14" s="355" customFormat="1" ht="13.5">
      <c r="C82" s="400"/>
      <c r="D82" s="400"/>
      <c r="E82" s="401"/>
      <c r="F82" s="402"/>
      <c r="G82" s="402"/>
      <c r="H82" s="403"/>
      <c r="I82" s="403"/>
      <c r="J82" s="403"/>
      <c r="K82" s="402"/>
      <c r="L82" s="404"/>
      <c r="M82" s="402"/>
      <c r="N82" s="405"/>
    </row>
    <row r="83" spans="3:14" s="355" customFormat="1" ht="13.5">
      <c r="C83" s="400"/>
      <c r="D83" s="400"/>
      <c r="E83" s="401"/>
      <c r="F83" s="402"/>
      <c r="G83" s="402"/>
      <c r="H83" s="403"/>
      <c r="I83" s="403"/>
      <c r="J83" s="403"/>
      <c r="K83" s="402"/>
      <c r="L83" s="404"/>
      <c r="M83" s="402"/>
      <c r="N83" s="405"/>
    </row>
    <row r="84" spans="3:14" s="355" customFormat="1" ht="13.5">
      <c r="C84" s="400"/>
      <c r="D84" s="400"/>
      <c r="E84" s="401"/>
      <c r="F84" s="402"/>
      <c r="G84" s="402"/>
      <c r="H84" s="403"/>
      <c r="I84" s="403"/>
      <c r="J84" s="403"/>
      <c r="K84" s="402"/>
      <c r="L84" s="404"/>
      <c r="M84" s="402"/>
      <c r="N84" s="405"/>
    </row>
    <row r="85" spans="3:14" s="355" customFormat="1" ht="13.5">
      <c r="C85" s="400"/>
      <c r="D85" s="400"/>
      <c r="E85" s="401"/>
      <c r="F85" s="402"/>
      <c r="G85" s="402"/>
      <c r="H85" s="403"/>
      <c r="I85" s="403"/>
      <c r="J85" s="403"/>
      <c r="K85" s="402"/>
      <c r="L85" s="404"/>
      <c r="M85" s="402"/>
      <c r="N85" s="405"/>
    </row>
    <row r="86" spans="3:14" s="355" customFormat="1" ht="13.5">
      <c r="C86" s="400"/>
      <c r="D86" s="400"/>
      <c r="E86" s="401"/>
      <c r="F86" s="402"/>
      <c r="G86" s="402"/>
      <c r="H86" s="403"/>
      <c r="I86" s="403"/>
      <c r="J86" s="403"/>
      <c r="K86" s="402"/>
      <c r="L86" s="404"/>
      <c r="M86" s="402"/>
      <c r="N86" s="405"/>
    </row>
    <row r="87" spans="3:14" s="355" customFormat="1" ht="13.5">
      <c r="C87" s="400"/>
      <c r="D87" s="400"/>
      <c r="E87" s="401"/>
      <c r="F87" s="402"/>
      <c r="G87" s="402"/>
      <c r="H87" s="403"/>
      <c r="I87" s="403"/>
      <c r="J87" s="403"/>
      <c r="K87" s="402"/>
      <c r="L87" s="404"/>
      <c r="M87" s="402"/>
      <c r="N87" s="405"/>
    </row>
    <row r="88" spans="3:14" s="355" customFormat="1" ht="13.5">
      <c r="C88" s="400"/>
      <c r="D88" s="400"/>
      <c r="E88" s="401"/>
      <c r="F88" s="402"/>
      <c r="G88" s="402"/>
      <c r="H88" s="403"/>
      <c r="I88" s="403"/>
      <c r="J88" s="403"/>
      <c r="K88" s="402"/>
      <c r="L88" s="404"/>
      <c r="M88" s="407"/>
      <c r="N88" s="405"/>
    </row>
    <row r="89" spans="3:14" s="355" customFormat="1" ht="13.5">
      <c r="C89" s="400"/>
      <c r="D89" s="400"/>
      <c r="E89" s="401"/>
      <c r="F89" s="402"/>
      <c r="G89" s="403"/>
      <c r="H89" s="403"/>
      <c r="I89" s="403"/>
      <c r="J89" s="403"/>
      <c r="K89" s="408"/>
      <c r="L89" s="404"/>
      <c r="M89" s="407"/>
      <c r="N89" s="405"/>
    </row>
    <row r="90" spans="3:14" s="355" customFormat="1" ht="13.5">
      <c r="C90" s="352"/>
      <c r="D90" s="352"/>
      <c r="E90" s="352"/>
      <c r="F90" s="352"/>
      <c r="G90" s="352"/>
      <c r="H90" s="352"/>
      <c r="I90" s="352"/>
      <c r="J90" s="352"/>
      <c r="K90" s="352"/>
      <c r="L90" s="1403">
        <f>SUM(L5:L88)</f>
        <v>200000</v>
      </c>
      <c r="M90" s="352"/>
      <c r="N90" s="352"/>
    </row>
    <row r="91" spans="3:14" ht="14.25" customHeight="1">
      <c r="C91" s="31"/>
      <c r="D91" s="27"/>
      <c r="E91" s="20"/>
      <c r="F91" s="28"/>
      <c r="G91" s="28"/>
      <c r="H91" s="26"/>
      <c r="I91" s="26"/>
      <c r="J91" s="26"/>
      <c r="K91" s="28"/>
      <c r="L91" s="179"/>
      <c r="M91" s="28"/>
      <c r="N91" s="27"/>
    </row>
    <row r="92" spans="3:14" s="1" customFormat="1" ht="14.25" customHeight="1">
      <c r="C92" s="31"/>
      <c r="D92" s="27"/>
      <c r="E92" s="21"/>
      <c r="F92" s="28"/>
      <c r="G92" s="28"/>
      <c r="H92" s="26"/>
      <c r="I92" s="26"/>
      <c r="J92" s="26"/>
      <c r="K92" s="28"/>
      <c r="L92" s="179"/>
      <c r="M92" s="28"/>
      <c r="N92" s="27"/>
    </row>
    <row r="93" spans="3:14" s="1" customFormat="1" ht="14.25" customHeight="1">
      <c r="C93" s="30"/>
      <c r="D93" s="25"/>
      <c r="E93" s="21"/>
      <c r="F93" s="22"/>
      <c r="G93" s="22"/>
      <c r="H93" s="23"/>
      <c r="I93" s="23"/>
      <c r="J93" s="23"/>
      <c r="K93" s="22"/>
      <c r="L93" s="180"/>
      <c r="M93" s="22"/>
      <c r="N93" s="25"/>
    </row>
  </sheetData>
  <mergeCells count="9">
    <mergeCell ref="M2:M3"/>
    <mergeCell ref="N2:N3"/>
    <mergeCell ref="C16:C17"/>
    <mergeCell ref="C44:C45"/>
    <mergeCell ref="C46:C48"/>
    <mergeCell ref="C6:C9"/>
    <mergeCell ref="C2:G2"/>
    <mergeCell ref="H2:J2"/>
    <mergeCell ref="K2:L2"/>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364BC-2E32-4CB6-90DF-9E8E497802BD}">
  <sheetPr>
    <tabColor rgb="FF00B0F0"/>
  </sheetPr>
  <dimension ref="A1:O53"/>
  <sheetViews>
    <sheetView topLeftCell="E1" zoomScale="70" zoomScaleNormal="70" workbookViewId="0">
      <pane ySplit="4" topLeftCell="A29" activePane="bottomLeft" state="frozen"/>
      <selection pane="bottomLeft" activeCell="L51" sqref="L51"/>
    </sheetView>
  </sheetViews>
  <sheetFormatPr defaultRowHeight="15"/>
  <cols>
    <col min="3" max="3" width="21.42578125" customWidth="1"/>
    <col min="4" max="4" width="49.7109375" bestFit="1"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style="99" customWidth="1"/>
    <col min="13" max="13" width="16.28515625" customWidth="1"/>
    <col min="14" max="14" width="12.85546875" customWidth="1"/>
    <col min="17" max="17" width="73.7109375" bestFit="1" customWidth="1"/>
  </cols>
  <sheetData>
    <row r="1" spans="1:15" s="355" customFormat="1" ht="13.5">
      <c r="L1" s="32"/>
    </row>
    <row r="2" spans="1:15" s="355" customFormat="1" ht="13.5">
      <c r="C2" s="2601" t="s">
        <v>30</v>
      </c>
      <c r="D2" s="2602"/>
      <c r="E2" s="2602"/>
      <c r="F2" s="2602"/>
      <c r="G2" s="2603"/>
      <c r="H2" s="2604" t="s">
        <v>29</v>
      </c>
      <c r="I2" s="2605"/>
      <c r="J2" s="2606"/>
      <c r="K2" s="2601" t="s">
        <v>28</v>
      </c>
      <c r="L2" s="2603"/>
      <c r="M2" s="2594" t="s">
        <v>27</v>
      </c>
      <c r="N2" s="2594" t="s">
        <v>26</v>
      </c>
    </row>
    <row r="3" spans="1:15" s="355" customFormat="1" ht="94.5">
      <c r="C3" s="618" t="s">
        <v>25</v>
      </c>
      <c r="D3" s="852" t="s">
        <v>24</v>
      </c>
      <c r="E3" s="991" t="s">
        <v>23</v>
      </c>
      <c r="F3" s="618" t="s">
        <v>22</v>
      </c>
      <c r="G3" s="532" t="s">
        <v>1303</v>
      </c>
      <c r="H3" s="532" t="s">
        <v>20</v>
      </c>
      <c r="I3" s="532" t="s">
        <v>19</v>
      </c>
      <c r="J3" s="532" t="s">
        <v>18</v>
      </c>
      <c r="K3" s="618" t="s">
        <v>17</v>
      </c>
      <c r="L3" s="605" t="s">
        <v>16</v>
      </c>
      <c r="M3" s="2594"/>
      <c r="N3" s="2594"/>
    </row>
    <row r="4" spans="1:15" s="355" customFormat="1" ht="27">
      <c r="C4" s="1076" t="s">
        <v>15</v>
      </c>
      <c r="D4" s="1076" t="s">
        <v>14</v>
      </c>
      <c r="E4" s="1076" t="s">
        <v>13</v>
      </c>
      <c r="F4" s="1076" t="s">
        <v>12</v>
      </c>
      <c r="G4" s="1076" t="s">
        <v>11</v>
      </c>
      <c r="H4" s="1076" t="s">
        <v>10</v>
      </c>
      <c r="I4" s="1076" t="s">
        <v>9</v>
      </c>
      <c r="J4" s="1076" t="s">
        <v>8</v>
      </c>
      <c r="K4" s="1076" t="s">
        <v>7</v>
      </c>
      <c r="L4" s="1077" t="s">
        <v>6</v>
      </c>
      <c r="M4" s="1076" t="s">
        <v>5</v>
      </c>
      <c r="N4" s="1076" t="s">
        <v>4</v>
      </c>
    </row>
    <row r="5" spans="1:15" s="455" customFormat="1" ht="13.5">
      <c r="A5" s="471"/>
      <c r="B5" s="454"/>
      <c r="C5" s="314"/>
      <c r="D5" s="309"/>
      <c r="E5" s="309"/>
      <c r="F5" s="309"/>
      <c r="G5" s="309"/>
      <c r="H5" s="309"/>
      <c r="I5" s="309"/>
      <c r="J5" s="309"/>
      <c r="K5" s="309"/>
      <c r="L5" s="309"/>
      <c r="M5" s="309"/>
      <c r="N5" s="309"/>
      <c r="O5" s="625"/>
    </row>
    <row r="6" spans="1:15" s="455" customFormat="1" ht="102">
      <c r="A6" s="471"/>
      <c r="B6" s="454" t="s">
        <v>650</v>
      </c>
      <c r="C6" s="1547" t="s">
        <v>1643</v>
      </c>
      <c r="D6" s="1533" t="s">
        <v>2</v>
      </c>
      <c r="E6" s="1543"/>
      <c r="F6" s="1530" t="s">
        <v>674</v>
      </c>
      <c r="G6" s="1535"/>
      <c r="H6" s="1548">
        <v>46143</v>
      </c>
      <c r="I6" s="1548">
        <v>46174</v>
      </c>
      <c r="J6" s="1548">
        <v>46174</v>
      </c>
      <c r="K6" s="1530" t="s">
        <v>748</v>
      </c>
      <c r="L6" s="1546">
        <v>140000</v>
      </c>
      <c r="M6" s="1533" t="s">
        <v>659</v>
      </c>
      <c r="N6" s="1535"/>
    </row>
    <row r="7" spans="1:15" s="455" customFormat="1">
      <c r="A7" s="471"/>
      <c r="B7" s="454" t="s">
        <v>1668</v>
      </c>
      <c r="C7" s="1549"/>
      <c r="D7" s="1550" t="s">
        <v>1644</v>
      </c>
      <c r="E7" s="1543"/>
      <c r="F7" s="1544"/>
      <c r="G7" s="1531"/>
      <c r="H7" s="1531"/>
      <c r="I7" s="1551"/>
      <c r="J7" s="1551"/>
      <c r="K7" s="1551"/>
      <c r="L7" s="1530"/>
      <c r="M7" s="1532"/>
      <c r="N7" s="1533"/>
      <c r="O7" s="1530"/>
    </row>
    <row r="8" spans="1:15" s="455" customFormat="1">
      <c r="A8" s="471"/>
      <c r="B8" s="454" t="s">
        <v>1668</v>
      </c>
      <c r="C8" s="1549"/>
      <c r="D8" s="1550" t="s">
        <v>1050</v>
      </c>
      <c r="E8" s="1543"/>
      <c r="F8" s="1544"/>
      <c r="G8" s="1531"/>
      <c r="H8" s="1531"/>
      <c r="I8" s="1551"/>
      <c r="J8" s="1551"/>
      <c r="K8" s="1551"/>
      <c r="L8" s="1530"/>
      <c r="M8" s="1532"/>
      <c r="N8" s="1533"/>
      <c r="O8" s="1530"/>
    </row>
    <row r="9" spans="1:15" s="455" customFormat="1" ht="15.75">
      <c r="A9" s="471"/>
      <c r="B9" s="454" t="s">
        <v>1668</v>
      </c>
      <c r="C9" s="1549"/>
      <c r="D9" s="1534" t="s">
        <v>1645</v>
      </c>
      <c r="E9" s="1543"/>
      <c r="F9" s="1544"/>
      <c r="G9" s="1531"/>
      <c r="H9" s="1531"/>
      <c r="I9" s="1551"/>
      <c r="J9" s="1551"/>
      <c r="K9" s="1551"/>
      <c r="L9" s="1530"/>
      <c r="M9" s="1532"/>
      <c r="N9" s="1533"/>
      <c r="O9" s="1530"/>
    </row>
    <row r="10" spans="1:15" s="455" customFormat="1" ht="15.75">
      <c r="A10" s="471"/>
      <c r="B10" s="454" t="s">
        <v>1668</v>
      </c>
      <c r="C10" s="1549"/>
      <c r="D10" s="1534" t="s">
        <v>1646</v>
      </c>
      <c r="E10" s="1543"/>
      <c r="F10" s="1544"/>
      <c r="G10" s="1531"/>
      <c r="H10" s="1531"/>
      <c r="I10" s="1551"/>
      <c r="J10" s="1551"/>
      <c r="K10" s="1551"/>
      <c r="L10" s="1530"/>
      <c r="M10" s="1532"/>
      <c r="N10" s="1533"/>
      <c r="O10" s="1530"/>
    </row>
    <row r="11" spans="1:15" s="455" customFormat="1">
      <c r="A11" s="471"/>
      <c r="B11" s="454" t="s">
        <v>1668</v>
      </c>
      <c r="C11" s="1549"/>
      <c r="D11" s="1550" t="s">
        <v>1647</v>
      </c>
      <c r="E11" s="1543"/>
      <c r="F11" s="1544"/>
      <c r="G11" s="1531"/>
      <c r="H11" s="1531"/>
      <c r="I11" s="1551"/>
      <c r="J11" s="1551"/>
      <c r="K11" s="1551"/>
      <c r="L11" s="1530"/>
      <c r="M11" s="1532"/>
      <c r="N11" s="1533"/>
      <c r="O11" s="1530"/>
    </row>
    <row r="12" spans="1:15" s="455" customFormat="1">
      <c r="A12" s="471"/>
      <c r="B12" s="454" t="s">
        <v>1668</v>
      </c>
      <c r="C12" s="1536"/>
      <c r="D12" s="1550" t="s">
        <v>1648</v>
      </c>
      <c r="E12" s="1543"/>
      <c r="F12" s="1552"/>
      <c r="G12" s="1535"/>
      <c r="H12" s="1536"/>
      <c r="I12" s="1537"/>
      <c r="J12" s="1531"/>
      <c r="K12" s="1538"/>
      <c r="L12" s="1536"/>
      <c r="M12" s="1539"/>
      <c r="N12" s="1540"/>
      <c r="O12" s="1536"/>
    </row>
    <row r="13" spans="1:15" s="455" customFormat="1" ht="15.75">
      <c r="A13" s="471"/>
      <c r="B13" s="454" t="s">
        <v>1668</v>
      </c>
      <c r="C13" s="1535"/>
      <c r="D13" s="1534" t="s">
        <v>1649</v>
      </c>
      <c r="E13" s="1543"/>
      <c r="F13" s="1543"/>
      <c r="G13" s="1535"/>
      <c r="H13" s="1535"/>
      <c r="I13" s="1553"/>
      <c r="J13" s="1553"/>
      <c r="K13" s="1554"/>
      <c r="L13" s="1535"/>
      <c r="M13" s="1539"/>
      <c r="N13" s="1535"/>
      <c r="O13" s="1535"/>
    </row>
    <row r="14" spans="1:15" s="455" customFormat="1" ht="15.75">
      <c r="A14" s="471"/>
      <c r="B14" s="454" t="s">
        <v>1668</v>
      </c>
      <c r="C14" s="1535"/>
      <c r="D14" s="1534" t="s">
        <v>1650</v>
      </c>
      <c r="E14" s="1543"/>
      <c r="F14" s="1544"/>
      <c r="G14" s="1535"/>
      <c r="H14" s="1535"/>
      <c r="I14" s="1553"/>
      <c r="J14" s="1553"/>
      <c r="K14" s="1554"/>
      <c r="L14" s="1535"/>
      <c r="M14" s="1539"/>
      <c r="N14" s="1535"/>
      <c r="O14" s="1535"/>
    </row>
    <row r="15" spans="1:15" s="455" customFormat="1" ht="15.75">
      <c r="A15" s="471"/>
      <c r="B15" s="454" t="s">
        <v>1668</v>
      </c>
      <c r="C15" s="1535"/>
      <c r="D15" s="1534" t="s">
        <v>1651</v>
      </c>
      <c r="E15" s="1543"/>
      <c r="F15" s="1544"/>
      <c r="G15" s="1535"/>
      <c r="H15" s="1535"/>
      <c r="I15" s="1555"/>
      <c r="J15" s="1553"/>
      <c r="K15" s="1554"/>
      <c r="L15" s="1535"/>
      <c r="M15" s="1539"/>
      <c r="N15" s="1535"/>
      <c r="O15" s="1535"/>
    </row>
    <row r="16" spans="1:15" s="455" customFormat="1" ht="13.5">
      <c r="A16" s="471"/>
      <c r="B16" s="454"/>
      <c r="C16" s="2591"/>
      <c r="D16" s="309"/>
      <c r="E16" s="309"/>
      <c r="F16" s="309"/>
      <c r="G16" s="497"/>
      <c r="H16" s="985"/>
      <c r="I16" s="985"/>
      <c r="J16" s="985"/>
      <c r="K16" s="499"/>
      <c r="L16" s="1025"/>
      <c r="M16" s="499"/>
      <c r="N16" s="1468"/>
    </row>
    <row r="17" spans="1:15" s="455" customFormat="1" ht="13.5">
      <c r="A17" s="471"/>
      <c r="B17" s="454"/>
      <c r="C17" s="2593"/>
      <c r="D17" s="309"/>
      <c r="E17" s="309"/>
      <c r="F17" s="309"/>
      <c r="G17" s="497"/>
      <c r="H17" s="985"/>
      <c r="I17" s="985"/>
      <c r="J17" s="985"/>
      <c r="K17" s="499"/>
      <c r="L17" s="1025"/>
      <c r="M17" s="499"/>
      <c r="N17" s="1468"/>
    </row>
    <row r="18" spans="1:15" s="455" customFormat="1" ht="13.5">
      <c r="A18" s="471"/>
      <c r="B18" s="454"/>
      <c r="C18" s="392"/>
      <c r="D18" s="309"/>
      <c r="E18" s="309"/>
      <c r="F18" s="309"/>
      <c r="G18" s="497"/>
      <c r="H18" s="1056"/>
      <c r="I18" s="985"/>
      <c r="J18" s="985"/>
      <c r="K18" s="499"/>
      <c r="L18" s="1025"/>
      <c r="M18" s="499"/>
      <c r="N18" s="1465"/>
    </row>
    <row r="19" spans="1:15" s="455" customFormat="1" ht="89.25">
      <c r="A19" s="471"/>
      <c r="B19" s="454" t="s">
        <v>1677</v>
      </c>
      <c r="C19" s="1547" t="s">
        <v>1678</v>
      </c>
      <c r="D19" s="1533" t="s">
        <v>2</v>
      </c>
      <c r="E19" s="1543"/>
      <c r="F19" s="1530" t="s">
        <v>674</v>
      </c>
      <c r="G19" s="1535"/>
      <c r="H19" s="1548" t="s">
        <v>675</v>
      </c>
      <c r="I19" s="1548" t="s">
        <v>599</v>
      </c>
      <c r="J19" s="1548" t="s">
        <v>599</v>
      </c>
      <c r="K19" s="1530" t="s">
        <v>748</v>
      </c>
      <c r="L19" s="1546">
        <v>170000</v>
      </c>
      <c r="M19" s="1533" t="s">
        <v>659</v>
      </c>
      <c r="N19" s="1535"/>
    </row>
    <row r="20" spans="1:15" s="455" customFormat="1" ht="13.5">
      <c r="A20" s="471"/>
      <c r="B20" s="454" t="s">
        <v>1677</v>
      </c>
      <c r="C20" s="1549"/>
      <c r="D20" s="1569" t="s">
        <v>677</v>
      </c>
      <c r="E20" s="1543" t="s">
        <v>1748</v>
      </c>
      <c r="F20" s="1544"/>
      <c r="G20" s="1531"/>
      <c r="H20" s="1531"/>
      <c r="I20" s="1551"/>
      <c r="J20" s="1551"/>
      <c r="K20" s="1551"/>
      <c r="L20" s="1530"/>
      <c r="M20" s="1532"/>
      <c r="N20" s="1533"/>
      <c r="O20" s="1530"/>
    </row>
    <row r="21" spans="1:15" s="455" customFormat="1" ht="38.25">
      <c r="A21" s="471"/>
      <c r="B21" s="454" t="s">
        <v>1677</v>
      </c>
      <c r="C21" s="1549"/>
      <c r="D21" s="1573" t="s">
        <v>1679</v>
      </c>
      <c r="E21" s="1543"/>
      <c r="F21" s="1544"/>
      <c r="G21" s="1531"/>
      <c r="H21" s="1531"/>
      <c r="I21" s="1551"/>
      <c r="J21" s="1551"/>
      <c r="K21" s="1551"/>
      <c r="L21" s="1530"/>
      <c r="M21" s="1532"/>
      <c r="N21" s="1533"/>
      <c r="O21" s="1530"/>
    </row>
    <row r="22" spans="1:15" s="455" customFormat="1" ht="13.5">
      <c r="A22" s="471"/>
      <c r="B22" s="454" t="s">
        <v>1677</v>
      </c>
      <c r="C22" s="1536"/>
      <c r="D22" s="1584" t="s">
        <v>1663</v>
      </c>
      <c r="E22" s="1543" t="s">
        <v>1748</v>
      </c>
      <c r="F22" s="1552"/>
      <c r="G22" s="1535"/>
      <c r="H22" s="1536"/>
      <c r="I22" s="1537"/>
      <c r="J22" s="1531"/>
      <c r="K22" s="1538"/>
      <c r="L22" s="1536"/>
      <c r="M22" s="1539"/>
      <c r="N22" s="1540"/>
      <c r="O22" s="1536"/>
    </row>
    <row r="23" spans="1:15" s="455" customFormat="1" ht="13.5">
      <c r="A23" s="471"/>
      <c r="B23" s="454" t="s">
        <v>1677</v>
      </c>
      <c r="C23" s="1535"/>
      <c r="D23" s="1585" t="s">
        <v>1664</v>
      </c>
      <c r="E23" s="1543" t="s">
        <v>1748</v>
      </c>
      <c r="F23" s="1543"/>
      <c r="G23" s="1535"/>
      <c r="H23" s="1535"/>
      <c r="I23" s="1553"/>
      <c r="J23" s="1553"/>
      <c r="K23" s="1554"/>
      <c r="L23" s="1535"/>
      <c r="M23" s="1539"/>
      <c r="N23" s="1535"/>
      <c r="O23" s="1535"/>
    </row>
    <row r="24" spans="1:15" s="455" customFormat="1" ht="13.5">
      <c r="A24" s="471"/>
      <c r="B24" s="454" t="s">
        <v>1677</v>
      </c>
      <c r="C24" s="1535"/>
      <c r="D24" s="1585" t="s">
        <v>1665</v>
      </c>
      <c r="E24" s="1543" t="s">
        <v>259</v>
      </c>
      <c r="F24" s="1543"/>
      <c r="G24" s="1535"/>
      <c r="H24" s="1535"/>
      <c r="I24" s="1553"/>
      <c r="J24" s="1553"/>
      <c r="K24" s="1554"/>
      <c r="L24" s="1535"/>
      <c r="M24" s="1539"/>
      <c r="N24" s="1535"/>
      <c r="O24" s="1535"/>
    </row>
    <row r="25" spans="1:15" s="455" customFormat="1" ht="13.5">
      <c r="A25" s="471"/>
      <c r="B25" s="454" t="s">
        <v>1677</v>
      </c>
      <c r="C25" s="1535"/>
      <c r="D25" s="1586" t="s">
        <v>1666</v>
      </c>
      <c r="E25" s="1543" t="s">
        <v>1749</v>
      </c>
      <c r="F25" s="1544"/>
      <c r="G25" s="1535"/>
      <c r="H25" s="1535"/>
      <c r="I25" s="1555"/>
      <c r="J25" s="1553"/>
      <c r="K25" s="1554"/>
      <c r="L25" s="1535"/>
      <c r="M25" s="1539"/>
      <c r="N25" s="1535"/>
      <c r="O25" s="1535"/>
    </row>
    <row r="26" spans="1:15" s="455" customFormat="1" ht="13.5">
      <c r="A26" s="471"/>
      <c r="B26" s="454"/>
      <c r="C26" s="314"/>
      <c r="D26" s="314"/>
      <c r="E26" s="560"/>
      <c r="F26" s="309"/>
      <c r="G26" s="497"/>
      <c r="H26" s="985"/>
      <c r="I26" s="985"/>
      <c r="J26" s="985"/>
      <c r="K26" s="309"/>
      <c r="L26" s="1015"/>
      <c r="M26" s="499"/>
      <c r="N26" s="454"/>
    </row>
    <row r="27" spans="1:15" s="455" customFormat="1" ht="13.5">
      <c r="A27" s="471"/>
      <c r="B27" s="454"/>
      <c r="C27" s="987"/>
      <c r="D27" s="314"/>
      <c r="E27" s="662"/>
      <c r="F27" s="309"/>
      <c r="G27" s="497"/>
      <c r="H27" s="985"/>
      <c r="I27" s="985"/>
      <c r="J27" s="985"/>
      <c r="K27" s="499"/>
      <c r="L27" s="1065"/>
      <c r="M27" s="499"/>
      <c r="N27" s="458"/>
    </row>
    <row r="28" spans="1:15" s="455" customFormat="1" ht="102">
      <c r="A28" s="471"/>
      <c r="B28" s="454" t="s">
        <v>1724</v>
      </c>
      <c r="C28" s="1589" t="s">
        <v>1727</v>
      </c>
      <c r="D28" s="1595" t="s">
        <v>2</v>
      </c>
      <c r="E28" s="1596"/>
      <c r="F28" s="1596" t="s">
        <v>674</v>
      </c>
      <c r="G28" s="1591"/>
      <c r="H28" s="1594" t="s">
        <v>652</v>
      </c>
      <c r="I28" s="1594" t="s">
        <v>653</v>
      </c>
      <c r="J28" s="1594" t="s">
        <v>1686</v>
      </c>
      <c r="K28" s="218" t="s">
        <v>748</v>
      </c>
      <c r="L28" s="1593">
        <v>67500</v>
      </c>
      <c r="M28" s="1591"/>
      <c r="N28" s="1591"/>
    </row>
    <row r="29" spans="1:15" s="455" customFormat="1" ht="13.5">
      <c r="A29" s="471"/>
      <c r="B29" s="454"/>
      <c r="C29" s="471"/>
      <c r="D29" s="456"/>
      <c r="E29" s="459"/>
      <c r="F29" s="466"/>
      <c r="G29" s="471"/>
      <c r="H29" s="477"/>
      <c r="I29" s="526"/>
      <c r="J29" s="526"/>
      <c r="K29" s="526"/>
      <c r="L29" s="473"/>
      <c r="M29" s="529"/>
      <c r="N29" s="471"/>
      <c r="O29" s="458"/>
    </row>
    <row r="30" spans="1:15" s="455" customFormat="1" ht="13.5">
      <c r="A30" s="471"/>
      <c r="B30" s="454"/>
      <c r="C30" s="471"/>
      <c r="D30" s="456"/>
      <c r="E30" s="459"/>
      <c r="F30" s="466"/>
      <c r="G30" s="471"/>
      <c r="H30" s="477"/>
      <c r="I30" s="526"/>
      <c r="J30" s="526"/>
      <c r="K30" s="526"/>
      <c r="L30" s="473"/>
      <c r="M30" s="529"/>
      <c r="N30" s="471"/>
      <c r="O30" s="458"/>
    </row>
    <row r="31" spans="1:15" s="455" customFormat="1" ht="13.5">
      <c r="A31" s="471"/>
      <c r="B31" s="454" t="s">
        <v>3584</v>
      </c>
      <c r="D31" s="314" t="s">
        <v>3829</v>
      </c>
      <c r="E31" s="309" t="s">
        <v>3734</v>
      </c>
      <c r="F31" s="302" t="s">
        <v>422</v>
      </c>
      <c r="G31" s="302" t="s">
        <v>828</v>
      </c>
      <c r="H31" s="301" t="s">
        <v>3587</v>
      </c>
      <c r="I31" s="301" t="s">
        <v>3588</v>
      </c>
      <c r="J31" s="301" t="s">
        <v>1322</v>
      </c>
      <c r="K31" s="302" t="s">
        <v>3589</v>
      </c>
      <c r="L31" s="1069">
        <v>2500</v>
      </c>
      <c r="M31" s="355" t="s">
        <v>99</v>
      </c>
      <c r="N31" s="309"/>
    </row>
    <row r="32" spans="1:15" s="455" customFormat="1" ht="13.5">
      <c r="A32" s="471"/>
      <c r="B32" s="454" t="s">
        <v>3584</v>
      </c>
      <c r="D32" s="314" t="s">
        <v>3831</v>
      </c>
      <c r="E32" s="309" t="s">
        <v>3734</v>
      </c>
      <c r="F32" s="302" t="s">
        <v>422</v>
      </c>
      <c r="G32" s="302" t="s">
        <v>828</v>
      </c>
      <c r="H32" s="301" t="s">
        <v>3587</v>
      </c>
      <c r="I32" s="301" t="s">
        <v>3588</v>
      </c>
      <c r="J32" s="301" t="s">
        <v>1322</v>
      </c>
      <c r="K32" s="302" t="s">
        <v>3589</v>
      </c>
      <c r="L32" s="1069">
        <v>2500</v>
      </c>
      <c r="M32" s="355" t="s">
        <v>99</v>
      </c>
      <c r="N32" s="454"/>
    </row>
    <row r="33" spans="1:14" s="455" customFormat="1" ht="13.5">
      <c r="A33" s="471"/>
      <c r="B33" s="454" t="s">
        <v>3584</v>
      </c>
      <c r="D33" s="314" t="s">
        <v>1361</v>
      </c>
      <c r="E33" s="309" t="s">
        <v>3830</v>
      </c>
      <c r="F33" s="302" t="s">
        <v>422</v>
      </c>
      <c r="G33" s="302" t="s">
        <v>828</v>
      </c>
      <c r="H33" s="301" t="s">
        <v>3587</v>
      </c>
      <c r="I33" s="301" t="s">
        <v>3588</v>
      </c>
      <c r="J33" s="301" t="s">
        <v>1322</v>
      </c>
      <c r="K33" s="302" t="s">
        <v>3589</v>
      </c>
      <c r="L33" s="1069">
        <v>1500</v>
      </c>
      <c r="M33" s="355" t="s">
        <v>99</v>
      </c>
      <c r="N33" s="458"/>
    </row>
    <row r="34" spans="1:14" s="455" customFormat="1" ht="13.5">
      <c r="A34" s="471"/>
      <c r="B34" s="454" t="s">
        <v>3584</v>
      </c>
      <c r="C34" s="314"/>
      <c r="D34" s="314" t="s">
        <v>3832</v>
      </c>
      <c r="E34" s="309" t="s">
        <v>3833</v>
      </c>
      <c r="F34" s="302" t="s">
        <v>422</v>
      </c>
      <c r="G34" s="302" t="s">
        <v>828</v>
      </c>
      <c r="H34" s="301" t="s">
        <v>3587</v>
      </c>
      <c r="I34" s="301" t="s">
        <v>3588</v>
      </c>
      <c r="J34" s="301" t="s">
        <v>1322</v>
      </c>
      <c r="K34" s="302" t="s">
        <v>3589</v>
      </c>
      <c r="L34" s="1069">
        <v>2800</v>
      </c>
      <c r="M34" s="355" t="s">
        <v>99</v>
      </c>
      <c r="N34" s="458"/>
    </row>
    <row r="35" spans="1:14" s="455" customFormat="1" ht="13.5">
      <c r="A35" s="471"/>
      <c r="B35" s="454" t="s">
        <v>3584</v>
      </c>
      <c r="C35" s="314"/>
      <c r="D35" s="314" t="s">
        <v>3834</v>
      </c>
      <c r="E35" s="662" t="s">
        <v>3734</v>
      </c>
      <c r="F35" s="302" t="s">
        <v>422</v>
      </c>
      <c r="G35" s="302" t="s">
        <v>828</v>
      </c>
      <c r="H35" s="301" t="s">
        <v>3587</v>
      </c>
      <c r="I35" s="301" t="s">
        <v>3588</v>
      </c>
      <c r="J35" s="301" t="s">
        <v>1322</v>
      </c>
      <c r="K35" s="302" t="s">
        <v>3589</v>
      </c>
      <c r="L35" s="1016">
        <v>2500</v>
      </c>
      <c r="M35" s="355" t="s">
        <v>99</v>
      </c>
      <c r="N35" s="458"/>
    </row>
    <row r="36" spans="1:14" s="455" customFormat="1" ht="13.5">
      <c r="A36" s="471"/>
      <c r="B36" s="454" t="s">
        <v>3584</v>
      </c>
      <c r="C36" s="314"/>
      <c r="D36" s="314" t="s">
        <v>3835</v>
      </c>
      <c r="E36" s="662" t="s">
        <v>3836</v>
      </c>
      <c r="F36" s="302" t="s">
        <v>422</v>
      </c>
      <c r="G36" s="302" t="s">
        <v>828</v>
      </c>
      <c r="H36" s="301" t="s">
        <v>3587</v>
      </c>
      <c r="I36" s="301" t="s">
        <v>3588</v>
      </c>
      <c r="J36" s="301" t="s">
        <v>1322</v>
      </c>
      <c r="K36" s="302" t="s">
        <v>3589</v>
      </c>
      <c r="L36" s="1016">
        <v>2500</v>
      </c>
      <c r="M36" s="355" t="s">
        <v>99</v>
      </c>
      <c r="N36" s="458"/>
    </row>
    <row r="37" spans="1:14" s="455" customFormat="1" ht="13.5">
      <c r="A37" s="471"/>
      <c r="B37" s="454" t="s">
        <v>3584</v>
      </c>
      <c r="C37" s="314"/>
      <c r="D37" s="314" t="s">
        <v>3837</v>
      </c>
      <c r="E37" s="662" t="s">
        <v>3681</v>
      </c>
      <c r="F37" s="302" t="s">
        <v>422</v>
      </c>
      <c r="G37" s="302" t="s">
        <v>828</v>
      </c>
      <c r="H37" s="301" t="s">
        <v>3587</v>
      </c>
      <c r="I37" s="301" t="s">
        <v>3588</v>
      </c>
      <c r="J37" s="301" t="s">
        <v>1322</v>
      </c>
      <c r="K37" s="302" t="s">
        <v>3589</v>
      </c>
      <c r="L37" s="1071">
        <v>1000</v>
      </c>
      <c r="M37" s="355" t="s">
        <v>99</v>
      </c>
    </row>
    <row r="38" spans="1:14" s="455" customFormat="1" ht="13.5">
      <c r="A38" s="471"/>
      <c r="B38" s="454" t="s">
        <v>3584</v>
      </c>
      <c r="C38" s="314"/>
      <c r="D38" s="314" t="s">
        <v>3838</v>
      </c>
      <c r="E38" s="662" t="s">
        <v>3681</v>
      </c>
      <c r="F38" s="302" t="s">
        <v>422</v>
      </c>
      <c r="G38" s="302" t="s">
        <v>828</v>
      </c>
      <c r="H38" s="301" t="s">
        <v>3587</v>
      </c>
      <c r="I38" s="301" t="s">
        <v>3588</v>
      </c>
      <c r="J38" s="301" t="s">
        <v>1322</v>
      </c>
      <c r="K38" s="302" t="s">
        <v>3589</v>
      </c>
      <c r="L38" s="1071">
        <v>5000</v>
      </c>
      <c r="M38" s="355" t="s">
        <v>99</v>
      </c>
    </row>
    <row r="39" spans="1:14" s="455" customFormat="1" ht="13.5">
      <c r="A39" s="471"/>
      <c r="B39" s="454" t="s">
        <v>3584</v>
      </c>
      <c r="C39" s="314"/>
      <c r="D39" s="314" t="s">
        <v>3840</v>
      </c>
      <c r="E39" s="662" t="s">
        <v>3839</v>
      </c>
      <c r="F39" s="302" t="s">
        <v>422</v>
      </c>
      <c r="G39" s="302" t="s">
        <v>828</v>
      </c>
      <c r="H39" s="301" t="s">
        <v>3587</v>
      </c>
      <c r="I39" s="301" t="s">
        <v>3588</v>
      </c>
      <c r="J39" s="301" t="s">
        <v>1322</v>
      </c>
      <c r="K39" s="302" t="s">
        <v>3589</v>
      </c>
      <c r="L39" s="1016">
        <v>2000</v>
      </c>
      <c r="M39" s="355" t="s">
        <v>99</v>
      </c>
    </row>
    <row r="40" spans="1:14" s="455" customFormat="1" ht="13.5">
      <c r="A40" s="471"/>
      <c r="B40" s="454" t="s">
        <v>3584</v>
      </c>
      <c r="C40" s="314"/>
      <c r="D40" s="314" t="s">
        <v>3841</v>
      </c>
      <c r="E40" s="662" t="s">
        <v>3734</v>
      </c>
      <c r="F40" s="302" t="s">
        <v>422</v>
      </c>
      <c r="G40" s="302" t="s">
        <v>828</v>
      </c>
      <c r="H40" s="301" t="s">
        <v>3587</v>
      </c>
      <c r="I40" s="301" t="s">
        <v>3588</v>
      </c>
      <c r="J40" s="301" t="s">
        <v>1322</v>
      </c>
      <c r="K40" s="302" t="s">
        <v>3589</v>
      </c>
      <c r="L40" s="1016">
        <v>3000</v>
      </c>
      <c r="M40" s="355" t="s">
        <v>99</v>
      </c>
    </row>
    <row r="41" spans="1:14" s="455" customFormat="1" ht="13.5">
      <c r="A41" s="471"/>
      <c r="B41" s="454" t="s">
        <v>3584</v>
      </c>
      <c r="C41" s="314"/>
      <c r="D41" s="314" t="s">
        <v>3842</v>
      </c>
      <c r="E41" s="662" t="s">
        <v>3843</v>
      </c>
      <c r="F41" s="302" t="s">
        <v>422</v>
      </c>
      <c r="G41" s="302" t="s">
        <v>828</v>
      </c>
      <c r="H41" s="301" t="s">
        <v>3587</v>
      </c>
      <c r="I41" s="301" t="s">
        <v>3588</v>
      </c>
      <c r="J41" s="301" t="s">
        <v>1322</v>
      </c>
      <c r="K41" s="302" t="s">
        <v>3589</v>
      </c>
      <c r="L41" s="1016">
        <v>1200</v>
      </c>
      <c r="M41" s="355" t="s">
        <v>99</v>
      </c>
      <c r="N41" s="458"/>
    </row>
    <row r="42" spans="1:14" s="455" customFormat="1" ht="13.5">
      <c r="A42" s="471"/>
      <c r="B42" s="454" t="s">
        <v>3584</v>
      </c>
      <c r="C42" s="314"/>
      <c r="D42" s="314" t="s">
        <v>3844</v>
      </c>
      <c r="E42" s="662" t="s">
        <v>3845</v>
      </c>
      <c r="F42" s="302" t="s">
        <v>422</v>
      </c>
      <c r="G42" s="302" t="s">
        <v>828</v>
      </c>
      <c r="H42" s="301" t="s">
        <v>3587</v>
      </c>
      <c r="I42" s="301" t="s">
        <v>3588</v>
      </c>
      <c r="J42" s="301" t="s">
        <v>1322</v>
      </c>
      <c r="K42" s="302" t="s">
        <v>3589</v>
      </c>
      <c r="L42" s="1016">
        <v>3500</v>
      </c>
      <c r="M42" s="355" t="s">
        <v>99</v>
      </c>
      <c r="N42" s="458"/>
    </row>
    <row r="43" spans="1:14" s="455" customFormat="1" ht="13.5">
      <c r="A43" s="471"/>
      <c r="B43" s="454" t="s">
        <v>3584</v>
      </c>
      <c r="C43" s="314"/>
      <c r="D43" s="314" t="s">
        <v>3846</v>
      </c>
      <c r="E43" s="662" t="s">
        <v>3681</v>
      </c>
      <c r="F43" s="302" t="s">
        <v>422</v>
      </c>
      <c r="G43" s="302" t="s">
        <v>828</v>
      </c>
      <c r="H43" s="301" t="s">
        <v>3587</v>
      </c>
      <c r="I43" s="301" t="s">
        <v>3588</v>
      </c>
      <c r="J43" s="301" t="s">
        <v>1322</v>
      </c>
      <c r="K43" s="302" t="s">
        <v>3589</v>
      </c>
      <c r="L43" s="1016">
        <v>15000</v>
      </c>
      <c r="M43" s="355" t="s">
        <v>99</v>
      </c>
      <c r="N43" s="458"/>
    </row>
    <row r="44" spans="1:14" s="355" customFormat="1" ht="13.5">
      <c r="C44" s="400"/>
      <c r="D44" s="400"/>
      <c r="E44" s="401"/>
      <c r="F44" s="402"/>
      <c r="G44" s="402"/>
      <c r="H44" s="403"/>
      <c r="I44" s="403"/>
      <c r="J44" s="403"/>
      <c r="K44" s="402"/>
      <c r="L44" s="404"/>
      <c r="M44" s="402"/>
      <c r="N44" s="405"/>
    </row>
    <row r="45" spans="1:14" s="355" customFormat="1" ht="13.5">
      <c r="C45" s="400"/>
      <c r="D45" s="400"/>
      <c r="E45" s="401"/>
      <c r="F45" s="402"/>
      <c r="G45" s="402"/>
      <c r="H45" s="403"/>
      <c r="I45" s="403"/>
      <c r="J45" s="403"/>
      <c r="K45" s="402"/>
      <c r="L45" s="404"/>
      <c r="M45" s="402"/>
      <c r="N45" s="405"/>
    </row>
    <row r="46" spans="1:14" s="355" customFormat="1" ht="13.5">
      <c r="C46" s="400"/>
      <c r="D46" s="400"/>
      <c r="E46" s="401"/>
      <c r="F46" s="402"/>
      <c r="G46" s="402"/>
      <c r="H46" s="403"/>
      <c r="I46" s="403"/>
      <c r="J46" s="403"/>
      <c r="K46" s="402"/>
      <c r="L46" s="404"/>
      <c r="M46" s="402"/>
      <c r="N46" s="405"/>
    </row>
    <row r="47" spans="1:14" s="355" customFormat="1" ht="13.5">
      <c r="C47" s="400"/>
      <c r="D47" s="400"/>
      <c r="E47" s="401"/>
      <c r="F47" s="402"/>
      <c r="G47" s="402"/>
      <c r="H47" s="403"/>
      <c r="I47" s="403"/>
      <c r="J47" s="403"/>
      <c r="K47" s="402"/>
      <c r="L47" s="404"/>
      <c r="M47" s="402"/>
      <c r="N47" s="405"/>
    </row>
    <row r="48" spans="1:14" s="355" customFormat="1" ht="13.5">
      <c r="C48" s="400"/>
      <c r="D48" s="400"/>
      <c r="E48" s="401"/>
      <c r="F48" s="402"/>
      <c r="G48" s="402"/>
      <c r="H48" s="403"/>
      <c r="I48" s="403"/>
      <c r="J48" s="403"/>
      <c r="K48" s="402"/>
      <c r="L48" s="404"/>
      <c r="M48" s="407"/>
      <c r="N48" s="405"/>
    </row>
    <row r="49" spans="3:14" s="355" customFormat="1" ht="13.5">
      <c r="C49" s="400"/>
      <c r="D49" s="400"/>
      <c r="E49" s="401"/>
      <c r="F49" s="402"/>
      <c r="G49" s="403"/>
      <c r="H49" s="403"/>
      <c r="I49" s="403"/>
      <c r="J49" s="403"/>
      <c r="K49" s="408"/>
      <c r="L49" s="404"/>
      <c r="M49" s="407"/>
      <c r="N49" s="405"/>
    </row>
    <row r="50" spans="3:14" s="355" customFormat="1" ht="13.5">
      <c r="C50" s="352"/>
      <c r="D50" s="352"/>
      <c r="E50" s="352"/>
      <c r="F50" s="352"/>
      <c r="G50" s="352"/>
      <c r="H50" s="352"/>
      <c r="I50" s="352"/>
      <c r="J50" s="352"/>
      <c r="K50" s="352"/>
      <c r="L50" s="1986">
        <f>SUM(L5:L48)</f>
        <v>422500</v>
      </c>
      <c r="M50" s="352"/>
      <c r="N50" s="352"/>
    </row>
    <row r="51" spans="3:14" ht="14.25" customHeight="1">
      <c r="C51" s="31"/>
      <c r="D51" s="27"/>
      <c r="E51" s="20"/>
      <c r="F51" s="28"/>
      <c r="G51" s="28"/>
      <c r="H51" s="26"/>
      <c r="I51" s="26"/>
      <c r="J51" s="26"/>
      <c r="K51" s="28"/>
      <c r="L51" s="179"/>
      <c r="M51" s="28"/>
      <c r="N51" s="27"/>
    </row>
    <row r="52" spans="3:14" s="1" customFormat="1" ht="14.25" customHeight="1">
      <c r="C52" s="31"/>
      <c r="D52" s="27"/>
      <c r="E52" s="21"/>
      <c r="F52" s="28"/>
      <c r="G52" s="28"/>
      <c r="H52" s="26"/>
      <c r="I52" s="26"/>
      <c r="J52" s="26"/>
      <c r="K52" s="28"/>
      <c r="L52" s="179"/>
      <c r="M52" s="28"/>
      <c r="N52" s="27"/>
    </row>
    <row r="53" spans="3:14" s="1" customFormat="1" ht="14.25" customHeight="1">
      <c r="C53" s="30"/>
      <c r="D53" s="25"/>
      <c r="E53" s="21"/>
      <c r="F53" s="22"/>
      <c r="G53" s="22"/>
      <c r="H53" s="23"/>
      <c r="I53" s="23"/>
      <c r="J53" s="23"/>
      <c r="K53" s="22"/>
      <c r="L53" s="180"/>
      <c r="M53" s="22"/>
      <c r="N53" s="25"/>
    </row>
  </sheetData>
  <mergeCells count="6">
    <mergeCell ref="N2:N3"/>
    <mergeCell ref="C16:C17"/>
    <mergeCell ref="C2:G2"/>
    <mergeCell ref="H2:J2"/>
    <mergeCell ref="K2:L2"/>
    <mergeCell ref="M2:M3"/>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73B85-D8FD-4E41-B481-68F87CB03877}">
  <sheetPr>
    <tabColor rgb="FF00B0F0"/>
  </sheetPr>
  <dimension ref="A1:O43"/>
  <sheetViews>
    <sheetView zoomScale="70" zoomScaleNormal="70" workbookViewId="0">
      <pane ySplit="4" topLeftCell="A17" activePane="bottomLeft" state="frozen"/>
      <selection pane="bottomLeft" activeCell="L43" sqref="L43"/>
    </sheetView>
  </sheetViews>
  <sheetFormatPr defaultRowHeight="15"/>
  <cols>
    <col min="3" max="3" width="21.42578125" customWidth="1"/>
    <col min="4" max="4" width="49.7109375" bestFit="1"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style="99" customWidth="1"/>
    <col min="13" max="13" width="16.28515625" customWidth="1"/>
    <col min="14" max="14" width="12.85546875" customWidth="1"/>
    <col min="17" max="17" width="73.7109375" bestFit="1" customWidth="1"/>
  </cols>
  <sheetData>
    <row r="1" spans="1:15" s="355" customFormat="1" ht="13.5">
      <c r="L1" s="32"/>
    </row>
    <row r="2" spans="1:15" s="355" customFormat="1" ht="13.5">
      <c r="C2" s="2601" t="s">
        <v>30</v>
      </c>
      <c r="D2" s="2602"/>
      <c r="E2" s="2602"/>
      <c r="F2" s="2602"/>
      <c r="G2" s="2603"/>
      <c r="H2" s="2604" t="s">
        <v>29</v>
      </c>
      <c r="I2" s="2605"/>
      <c r="J2" s="2606"/>
      <c r="K2" s="2601" t="s">
        <v>28</v>
      </c>
      <c r="L2" s="2603"/>
      <c r="M2" s="2594" t="s">
        <v>27</v>
      </c>
      <c r="N2" s="2594" t="s">
        <v>26</v>
      </c>
    </row>
    <row r="3" spans="1:15" s="355" customFormat="1" ht="94.5">
      <c r="C3" s="618" t="s">
        <v>25</v>
      </c>
      <c r="D3" s="852" t="s">
        <v>24</v>
      </c>
      <c r="E3" s="991" t="s">
        <v>23</v>
      </c>
      <c r="F3" s="618" t="s">
        <v>22</v>
      </c>
      <c r="G3" s="532" t="s">
        <v>1303</v>
      </c>
      <c r="H3" s="532" t="s">
        <v>20</v>
      </c>
      <c r="I3" s="532" t="s">
        <v>19</v>
      </c>
      <c r="J3" s="532" t="s">
        <v>18</v>
      </c>
      <c r="K3" s="618" t="s">
        <v>17</v>
      </c>
      <c r="L3" s="605" t="s">
        <v>16</v>
      </c>
      <c r="M3" s="2594"/>
      <c r="N3" s="2594"/>
    </row>
    <row r="4" spans="1:15" s="355" customFormat="1" ht="27">
      <c r="C4" s="1076" t="s">
        <v>15</v>
      </c>
      <c r="D4" s="1076" t="s">
        <v>14</v>
      </c>
      <c r="E4" s="1076" t="s">
        <v>13</v>
      </c>
      <c r="F4" s="1076" t="s">
        <v>12</v>
      </c>
      <c r="G4" s="1076" t="s">
        <v>11</v>
      </c>
      <c r="H4" s="1076" t="s">
        <v>10</v>
      </c>
      <c r="I4" s="1076" t="s">
        <v>9</v>
      </c>
      <c r="J4" s="1076" t="s">
        <v>8</v>
      </c>
      <c r="K4" s="1076" t="s">
        <v>7</v>
      </c>
      <c r="L4" s="1077" t="s">
        <v>6</v>
      </c>
      <c r="M4" s="1076" t="s">
        <v>5</v>
      </c>
      <c r="N4" s="1076" t="s">
        <v>4</v>
      </c>
    </row>
    <row r="5" spans="1:15" s="455" customFormat="1" ht="13.5">
      <c r="A5" s="471"/>
      <c r="B5" s="454"/>
      <c r="C5" s="1556"/>
      <c r="D5" s="1533"/>
      <c r="E5" s="1557"/>
      <c r="F5" s="1558"/>
      <c r="G5" s="1535"/>
      <c r="H5" s="1551"/>
      <c r="I5" s="1551"/>
      <c r="J5" s="1551"/>
      <c r="K5" s="1530"/>
      <c r="L5" s="1546"/>
      <c r="M5" s="1535"/>
      <c r="N5" s="1535"/>
    </row>
    <row r="6" spans="1:15" s="455" customFormat="1" ht="27">
      <c r="A6" s="471"/>
      <c r="B6" s="454" t="s">
        <v>2574</v>
      </c>
      <c r="C6" s="2756" t="s">
        <v>2896</v>
      </c>
      <c r="D6" s="1952" t="s">
        <v>2897</v>
      </c>
      <c r="E6" s="1918"/>
      <c r="F6" s="1921"/>
      <c r="G6" s="1725"/>
      <c r="H6" s="1801"/>
      <c r="I6" s="1801"/>
      <c r="J6" s="1800" t="s">
        <v>2216</v>
      </c>
      <c r="K6" s="460"/>
      <c r="L6" s="2296"/>
      <c r="M6" s="2297" t="s">
        <v>2446</v>
      </c>
      <c r="N6" s="460"/>
    </row>
    <row r="7" spans="1:15" s="455" customFormat="1">
      <c r="A7" s="471"/>
      <c r="B7" s="454" t="s">
        <v>2574</v>
      </c>
      <c r="C7" s="2757"/>
      <c r="D7" s="1953" t="s">
        <v>2898</v>
      </c>
      <c r="E7" s="1885"/>
      <c r="F7" s="1724"/>
      <c r="G7" s="1725"/>
      <c r="H7" s="1801"/>
      <c r="I7" s="1801"/>
      <c r="J7" s="1800"/>
      <c r="K7" s="460"/>
      <c r="L7" s="1950">
        <v>250000</v>
      </c>
      <c r="M7" s="1721"/>
      <c r="N7" s="460"/>
    </row>
    <row r="8" spans="1:15" s="455" customFormat="1" ht="40.5">
      <c r="A8" s="471"/>
      <c r="B8" s="454" t="s">
        <v>2574</v>
      </c>
      <c r="C8" s="2757"/>
      <c r="D8" s="1954" t="s">
        <v>2899</v>
      </c>
      <c r="E8" s="1885"/>
      <c r="F8" s="1724"/>
      <c r="G8" s="1725"/>
      <c r="H8" s="1801"/>
      <c r="I8" s="1801"/>
      <c r="J8" s="1802"/>
      <c r="K8" s="460"/>
      <c r="L8" s="1801"/>
      <c r="M8" s="1950"/>
      <c r="N8" s="1720"/>
    </row>
    <row r="9" spans="1:15" s="455" customFormat="1">
      <c r="A9" s="471"/>
      <c r="B9" s="454" t="s">
        <v>2574</v>
      </c>
      <c r="C9" s="2757"/>
      <c r="D9" s="1726"/>
      <c r="E9" s="1885"/>
      <c r="F9" s="1724"/>
      <c r="G9" s="1725"/>
      <c r="H9" s="1801"/>
      <c r="I9" s="1801"/>
      <c r="J9" s="1802"/>
      <c r="K9" s="460"/>
      <c r="L9" s="1801"/>
      <c r="M9" s="1950"/>
      <c r="N9" s="1720"/>
    </row>
    <row r="10" spans="1:15" s="455" customFormat="1">
      <c r="A10" s="471"/>
      <c r="B10" s="454" t="s">
        <v>2574</v>
      </c>
      <c r="C10" s="2757"/>
      <c r="D10" s="1726"/>
      <c r="E10" s="1885"/>
      <c r="F10" s="1724"/>
      <c r="G10" s="1725"/>
      <c r="H10" s="1801"/>
      <c r="I10" s="1801"/>
      <c r="J10" s="1802"/>
      <c r="K10" s="460"/>
      <c r="L10" s="1801"/>
      <c r="M10" s="1950"/>
      <c r="N10" s="1720"/>
    </row>
    <row r="11" spans="1:15" s="455" customFormat="1">
      <c r="A11" s="471"/>
      <c r="B11" s="454" t="s">
        <v>2574</v>
      </c>
      <c r="C11" s="2757"/>
      <c r="D11" s="1726"/>
      <c r="E11" s="1885"/>
      <c r="F11" s="1724"/>
      <c r="G11" s="1725"/>
      <c r="H11" s="1801"/>
      <c r="I11" s="1801"/>
      <c r="J11" s="1802"/>
      <c r="K11" s="460"/>
      <c r="L11" s="1801"/>
      <c r="M11" s="1950"/>
      <c r="N11" s="1720"/>
    </row>
    <row r="12" spans="1:15" s="455" customFormat="1">
      <c r="A12" s="471"/>
      <c r="B12" s="454" t="s">
        <v>2574</v>
      </c>
      <c r="C12" s="2758"/>
      <c r="D12" s="1923"/>
      <c r="E12" s="1885"/>
      <c r="F12" s="1724"/>
      <c r="G12" s="1725"/>
      <c r="H12" s="1801"/>
      <c r="I12" s="1801"/>
      <c r="J12" s="1802"/>
      <c r="K12" s="460"/>
      <c r="L12" s="1801"/>
      <c r="M12" s="1950"/>
      <c r="N12" s="1720"/>
    </row>
    <row r="13" spans="1:15" s="455" customFormat="1" ht="13.5">
      <c r="A13" s="471"/>
      <c r="B13" s="454" t="s">
        <v>2574</v>
      </c>
      <c r="C13" s="1909"/>
      <c r="D13" s="1824"/>
      <c r="E13" s="1885"/>
      <c r="F13" s="1725"/>
      <c r="G13" s="1801"/>
      <c r="H13" s="1801"/>
      <c r="I13" s="1801"/>
      <c r="J13" s="1801"/>
      <c r="K13" s="460"/>
      <c r="L13" s="1950"/>
      <c r="M13" s="1721"/>
      <c r="N13" s="460"/>
    </row>
    <row r="14" spans="1:15" s="455" customFormat="1" ht="27">
      <c r="A14" s="471"/>
      <c r="B14" s="454" t="s">
        <v>2574</v>
      </c>
      <c r="C14" s="2756" t="s">
        <v>2896</v>
      </c>
      <c r="D14" s="1955" t="s">
        <v>2897</v>
      </c>
      <c r="E14" s="1918"/>
      <c r="F14" s="1921"/>
      <c r="G14" s="1725"/>
      <c r="H14" s="1801"/>
      <c r="I14" s="1801"/>
      <c r="J14" s="1800" t="s">
        <v>2216</v>
      </c>
      <c r="K14" s="460"/>
      <c r="L14" s="2296"/>
      <c r="M14" s="2297" t="s">
        <v>2446</v>
      </c>
      <c r="N14" s="460"/>
    </row>
    <row r="15" spans="1:15" s="455" customFormat="1">
      <c r="A15" s="471"/>
      <c r="B15" s="454" t="s">
        <v>2574</v>
      </c>
      <c r="C15" s="2757"/>
      <c r="D15" s="1953" t="s">
        <v>2898</v>
      </c>
      <c r="E15" s="1885"/>
      <c r="F15" s="1724"/>
      <c r="G15" s="1725"/>
      <c r="H15" s="1801"/>
      <c r="I15" s="1801"/>
      <c r="J15" s="1800"/>
      <c r="K15" s="460"/>
      <c r="L15" s="1950">
        <v>250000</v>
      </c>
      <c r="M15" s="1721"/>
      <c r="N15" s="460"/>
    </row>
    <row r="16" spans="1:15" s="455" customFormat="1" ht="40.5">
      <c r="A16" s="471"/>
      <c r="B16" s="454" t="s">
        <v>2574</v>
      </c>
      <c r="C16" s="2757"/>
      <c r="D16" s="1954" t="s">
        <v>2899</v>
      </c>
      <c r="E16" s="1885"/>
      <c r="F16" s="1724"/>
      <c r="G16" s="1725"/>
      <c r="H16" s="1801"/>
      <c r="I16" s="1801"/>
      <c r="J16" s="1801"/>
      <c r="K16" s="1802"/>
      <c r="L16" s="1801"/>
      <c r="M16" s="1950"/>
      <c r="N16" s="1721"/>
      <c r="O16" s="2439"/>
    </row>
    <row r="17" spans="1:15" s="455" customFormat="1">
      <c r="A17" s="471"/>
      <c r="B17" s="454" t="s">
        <v>2574</v>
      </c>
      <c r="C17" s="2757"/>
      <c r="D17" s="1726"/>
      <c r="E17" s="1885"/>
      <c r="F17" s="1724"/>
      <c r="G17" s="1725"/>
      <c r="H17" s="1801"/>
      <c r="I17" s="1801"/>
      <c r="J17" s="1801"/>
      <c r="K17" s="1802"/>
      <c r="L17" s="1801"/>
      <c r="M17" s="1950"/>
      <c r="N17" s="1721"/>
      <c r="O17" s="2439"/>
    </row>
    <row r="18" spans="1:15" s="455" customFormat="1">
      <c r="A18" s="471"/>
      <c r="B18" s="454" t="s">
        <v>2574</v>
      </c>
      <c r="C18" s="2757"/>
      <c r="D18" s="1726"/>
      <c r="E18" s="1885"/>
      <c r="F18" s="1724"/>
      <c r="G18" s="1725"/>
      <c r="H18" s="1801"/>
      <c r="I18" s="1801"/>
      <c r="J18" s="1801"/>
      <c r="K18" s="1802"/>
      <c r="L18" s="1801"/>
      <c r="M18" s="1950"/>
      <c r="N18" s="1721"/>
      <c r="O18" s="2439"/>
    </row>
    <row r="19" spans="1:15" s="455" customFormat="1">
      <c r="A19" s="471"/>
      <c r="B19" s="454" t="s">
        <v>2574</v>
      </c>
      <c r="C19" s="2757"/>
      <c r="D19" s="1726"/>
      <c r="E19" s="1885"/>
      <c r="F19" s="1724"/>
      <c r="G19" s="1725"/>
      <c r="H19" s="1801"/>
      <c r="I19" s="1801"/>
      <c r="J19" s="1801"/>
      <c r="K19" s="1802"/>
      <c r="L19" s="1801"/>
      <c r="M19" s="1950"/>
      <c r="N19" s="1721"/>
      <c r="O19" s="2439"/>
    </row>
    <row r="20" spans="1:15" s="455" customFormat="1">
      <c r="A20" s="471"/>
      <c r="B20" s="454" t="s">
        <v>2574</v>
      </c>
      <c r="C20" s="2758"/>
      <c r="D20" s="1923"/>
      <c r="E20" s="1885"/>
      <c r="F20" s="1724"/>
      <c r="G20" s="1725"/>
      <c r="H20" s="1801"/>
      <c r="I20" s="1801"/>
      <c r="J20" s="1801"/>
      <c r="K20" s="1802"/>
      <c r="L20" s="1801"/>
      <c r="M20" s="1950"/>
      <c r="N20" s="1721"/>
      <c r="O20" s="2439"/>
    </row>
    <row r="21" spans="1:15" s="455" customFormat="1">
      <c r="A21" s="471"/>
      <c r="B21" s="454"/>
      <c r="C21" s="1917"/>
      <c r="D21" s="1923"/>
      <c r="E21" s="1885"/>
      <c r="F21" s="1724"/>
      <c r="G21" s="1725"/>
      <c r="H21" s="1801"/>
      <c r="I21" s="1801"/>
      <c r="J21" s="1801"/>
      <c r="K21" s="1802"/>
      <c r="L21" s="1801"/>
      <c r="M21" s="1950"/>
      <c r="N21" s="1721"/>
      <c r="O21" s="1993"/>
    </row>
    <row r="22" spans="1:15" s="455" customFormat="1">
      <c r="A22" s="471"/>
      <c r="B22" s="454"/>
      <c r="C22" s="1917"/>
      <c r="D22" s="1923"/>
      <c r="E22" s="1885"/>
      <c r="F22" s="1724"/>
      <c r="G22" s="1725"/>
      <c r="H22" s="1801"/>
      <c r="I22" s="1801"/>
      <c r="J22" s="1801"/>
      <c r="K22" s="1802"/>
      <c r="L22" s="1801"/>
      <c r="M22" s="1950"/>
      <c r="N22" s="1721"/>
      <c r="O22" s="1993"/>
    </row>
    <row r="23" spans="1:15" s="455" customFormat="1">
      <c r="A23" s="471"/>
      <c r="B23" s="454"/>
      <c r="C23" s="1917"/>
      <c r="D23" s="1923"/>
      <c r="E23" s="1885"/>
      <c r="F23" s="1724"/>
      <c r="G23" s="1725"/>
      <c r="H23" s="1801"/>
      <c r="I23" s="1801"/>
      <c r="J23" s="1801"/>
      <c r="K23" s="1802"/>
      <c r="L23" s="1801"/>
      <c r="M23" s="1950"/>
      <c r="N23" s="1721"/>
      <c r="O23" s="1993"/>
    </row>
    <row r="24" spans="1:15" s="455" customFormat="1" ht="38.25">
      <c r="A24" s="471"/>
      <c r="B24" s="454" t="s">
        <v>2929</v>
      </c>
      <c r="C24" s="1999" t="s">
        <v>2922</v>
      </c>
      <c r="D24" s="2000" t="s">
        <v>637</v>
      </c>
      <c r="E24" s="2440"/>
      <c r="F24" s="2440"/>
      <c r="G24" s="1725"/>
      <c r="H24" s="2002"/>
      <c r="I24" s="2002"/>
      <c r="J24" s="2002"/>
      <c r="K24" s="2003" t="s">
        <v>748</v>
      </c>
      <c r="L24" s="1673"/>
      <c r="M24" s="2002" t="s">
        <v>2924</v>
      </c>
      <c r="N24" s="2003" t="s">
        <v>703</v>
      </c>
      <c r="O24" s="1993"/>
    </row>
    <row r="25" spans="1:15" s="455" customFormat="1">
      <c r="A25" s="471"/>
      <c r="B25" s="454" t="s">
        <v>2929</v>
      </c>
      <c r="C25" s="2004"/>
      <c r="D25" s="2005" t="s">
        <v>2925</v>
      </c>
      <c r="E25" s="2006" t="s">
        <v>2928</v>
      </c>
      <c r="F25" s="2007"/>
      <c r="G25" s="1725"/>
      <c r="H25" s="2008" t="s">
        <v>2213</v>
      </c>
      <c r="I25" s="2009">
        <v>46174</v>
      </c>
      <c r="J25" s="2010" t="s">
        <v>2215</v>
      </c>
      <c r="K25" s="2011"/>
      <c r="L25" s="2012">
        <v>120000</v>
      </c>
      <c r="M25" s="2013"/>
      <c r="N25" s="2011"/>
      <c r="O25" s="1993"/>
    </row>
    <row r="26" spans="1:15" s="455" customFormat="1">
      <c r="A26" s="471"/>
      <c r="B26" s="454" t="s">
        <v>2929</v>
      </c>
      <c r="C26" s="2004"/>
      <c r="D26" s="2005" t="s">
        <v>2926</v>
      </c>
      <c r="E26" s="2006" t="s">
        <v>2928</v>
      </c>
      <c r="F26" s="2007"/>
      <c r="G26" s="1725"/>
      <c r="H26" s="2008"/>
      <c r="I26" s="2008"/>
      <c r="J26" s="1588" t="s">
        <v>2927</v>
      </c>
      <c r="K26" s="2011"/>
      <c r="L26" s="2012">
        <v>12000</v>
      </c>
      <c r="M26" s="2013"/>
      <c r="N26" s="2011"/>
      <c r="O26" s="1993"/>
    </row>
    <row r="27" spans="1:15" s="455" customFormat="1">
      <c r="A27" s="471"/>
      <c r="B27" s="454"/>
      <c r="C27" s="1917"/>
      <c r="D27" s="1923"/>
      <c r="E27" s="1885"/>
      <c r="F27" s="1724"/>
      <c r="G27" s="1725"/>
      <c r="H27" s="1801"/>
      <c r="I27" s="1801"/>
      <c r="J27" s="1801"/>
      <c r="K27" s="1802"/>
      <c r="L27" s="1801"/>
      <c r="M27" s="1943"/>
      <c r="N27" s="1721"/>
      <c r="O27" s="1993"/>
    </row>
    <row r="28" spans="1:15" s="455" customFormat="1">
      <c r="A28" s="471"/>
      <c r="B28" s="454"/>
      <c r="C28" s="1917"/>
      <c r="D28" s="1923"/>
      <c r="E28" s="1885"/>
      <c r="F28" s="1724"/>
      <c r="G28" s="1725"/>
      <c r="H28" s="1801"/>
      <c r="I28" s="1801"/>
      <c r="J28" s="1801"/>
      <c r="K28" s="1802"/>
      <c r="L28" s="1801"/>
      <c r="M28" s="1943"/>
      <c r="N28" s="1721"/>
      <c r="O28" s="1993"/>
    </row>
    <row r="29" spans="1:15" s="455" customFormat="1">
      <c r="A29" s="471"/>
      <c r="B29" s="454"/>
      <c r="C29" s="1917"/>
      <c r="D29" s="1923"/>
      <c r="E29" s="1885"/>
      <c r="F29" s="1724"/>
      <c r="G29" s="1725"/>
      <c r="H29" s="1801"/>
      <c r="I29" s="1801"/>
      <c r="J29" s="1801"/>
      <c r="K29" s="1802"/>
      <c r="L29" s="1801"/>
      <c r="M29" s="1943"/>
      <c r="N29" s="1721"/>
      <c r="O29" s="1993"/>
    </row>
    <row r="30" spans="1:15" s="455" customFormat="1">
      <c r="A30" s="471"/>
      <c r="B30" s="454"/>
      <c r="C30" s="1917"/>
      <c r="D30" s="1923"/>
      <c r="E30" s="1885"/>
      <c r="F30" s="1724"/>
      <c r="G30" s="1725"/>
      <c r="H30" s="1801"/>
      <c r="I30" s="1801"/>
      <c r="J30" s="1801"/>
      <c r="K30" s="1802"/>
      <c r="L30" s="1801"/>
      <c r="M30" s="1943"/>
      <c r="N30" s="1721"/>
      <c r="O30" s="1993"/>
    </row>
    <row r="31" spans="1:15" s="455" customFormat="1">
      <c r="A31" s="471"/>
      <c r="B31" s="454"/>
      <c r="C31" s="1917"/>
      <c r="D31" s="1923"/>
      <c r="E31" s="1885"/>
      <c r="F31" s="1724"/>
      <c r="G31" s="1725"/>
      <c r="H31" s="1801"/>
      <c r="I31" s="1801"/>
      <c r="J31" s="1801"/>
      <c r="K31" s="1802"/>
      <c r="L31" s="1801"/>
      <c r="M31" s="1943"/>
      <c r="N31" s="1721"/>
      <c r="O31" s="1993"/>
    </row>
    <row r="32" spans="1:15" s="455" customFormat="1">
      <c r="A32" s="471"/>
      <c r="B32" s="454"/>
      <c r="C32" s="1917"/>
      <c r="D32" s="1923"/>
      <c r="E32" s="1885"/>
      <c r="F32" s="1724"/>
      <c r="G32" s="1725"/>
      <c r="H32" s="1801"/>
      <c r="I32" s="1801"/>
      <c r="J32" s="1801"/>
      <c r="K32" s="1802"/>
      <c r="L32" s="1801"/>
      <c r="M32" s="1943"/>
      <c r="N32" s="1721"/>
      <c r="O32" s="1993"/>
    </row>
    <row r="33" spans="1:15" s="455" customFormat="1">
      <c r="A33" s="471"/>
      <c r="B33" s="454"/>
      <c r="C33" s="1917"/>
      <c r="D33" s="1923"/>
      <c r="E33" s="1885"/>
      <c r="F33" s="1724"/>
      <c r="G33" s="1725"/>
      <c r="H33" s="1801"/>
      <c r="I33" s="1801"/>
      <c r="J33" s="1801"/>
      <c r="K33" s="1802"/>
      <c r="L33" s="1801"/>
      <c r="M33" s="1943"/>
      <c r="N33" s="1721"/>
      <c r="O33" s="1993"/>
    </row>
    <row r="34" spans="1:15" s="455" customFormat="1">
      <c r="A34" s="471"/>
      <c r="B34" s="454"/>
      <c r="C34" s="1917"/>
      <c r="D34" s="1923"/>
      <c r="E34" s="1885"/>
      <c r="F34" s="1724"/>
      <c r="G34" s="1725"/>
      <c r="H34" s="1801"/>
      <c r="I34" s="1801"/>
      <c r="J34" s="1801"/>
      <c r="K34" s="1802"/>
      <c r="L34" s="1801"/>
      <c r="M34" s="1943"/>
      <c r="N34" s="1721"/>
      <c r="O34" s="1993"/>
    </row>
    <row r="35" spans="1:15" s="455" customFormat="1">
      <c r="A35" s="471"/>
      <c r="B35" s="454"/>
      <c r="C35" s="1909"/>
      <c r="D35" s="1824" t="s">
        <v>111</v>
      </c>
      <c r="E35" s="1885"/>
      <c r="F35" s="1725"/>
      <c r="G35" s="1801"/>
      <c r="H35" s="1801"/>
      <c r="I35" s="1801"/>
      <c r="J35" s="1802"/>
      <c r="K35" s="1801"/>
      <c r="L35" s="1950"/>
      <c r="M35" s="1721"/>
      <c r="N35" s="1720"/>
    </row>
    <row r="36" spans="1:15" s="455" customFormat="1">
      <c r="A36" s="471"/>
      <c r="B36" s="454"/>
      <c r="C36" s="1951"/>
      <c r="D36" s="1798"/>
      <c r="E36" s="1885"/>
      <c r="F36" s="1724"/>
      <c r="G36" s="1725"/>
      <c r="H36" s="1801"/>
      <c r="I36" s="1801"/>
      <c r="J36" s="1801"/>
      <c r="K36" s="1802"/>
      <c r="L36" s="1801"/>
      <c r="M36" s="1943"/>
      <c r="N36" s="1721"/>
      <c r="O36" s="1720"/>
    </row>
    <row r="37" spans="1:15" s="455" customFormat="1">
      <c r="A37" s="471"/>
      <c r="B37" s="454"/>
      <c r="C37" s="1951"/>
      <c r="D37" s="1726"/>
      <c r="E37" s="1885"/>
      <c r="F37" s="1724"/>
      <c r="G37" s="1725"/>
      <c r="H37" s="1801"/>
      <c r="I37" s="1801"/>
      <c r="J37" s="1801"/>
      <c r="K37" s="1802"/>
      <c r="L37" s="1801"/>
      <c r="M37" s="1943"/>
      <c r="N37" s="1721"/>
      <c r="O37" s="1720"/>
    </row>
    <row r="38" spans="1:15" s="455" customFormat="1">
      <c r="A38" s="471"/>
      <c r="B38" s="454"/>
      <c r="C38" s="1951"/>
      <c r="D38" s="1726"/>
      <c r="E38" s="1885"/>
      <c r="F38" s="1724"/>
      <c r="G38" s="1725"/>
      <c r="H38" s="1801"/>
      <c r="I38" s="1801"/>
      <c r="J38" s="1801"/>
      <c r="K38" s="1802"/>
      <c r="L38" s="1801"/>
      <c r="M38" s="1943"/>
      <c r="N38" s="1721"/>
      <c r="O38" s="1720"/>
    </row>
    <row r="39" spans="1:15" s="455" customFormat="1">
      <c r="A39" s="471"/>
      <c r="B39" s="454"/>
      <c r="C39" s="1951"/>
      <c r="D39" s="1726"/>
      <c r="E39" s="1881"/>
      <c r="F39" s="1724"/>
      <c r="G39" s="1725"/>
      <c r="H39" s="1801"/>
      <c r="I39" s="1801"/>
      <c r="J39" s="1801"/>
      <c r="K39" s="1802"/>
      <c r="L39" s="1801"/>
      <c r="M39" s="1943"/>
      <c r="N39" s="1721"/>
      <c r="O39" s="1720"/>
    </row>
    <row r="40" spans="1:15" s="455" customFormat="1">
      <c r="A40" s="471"/>
      <c r="B40" s="454"/>
      <c r="C40" s="1913"/>
      <c r="D40" s="1923"/>
      <c r="E40" s="1885"/>
      <c r="F40" s="1724"/>
      <c r="G40" s="1725"/>
      <c r="H40" s="1801"/>
      <c r="I40" s="1801"/>
      <c r="J40" s="1801"/>
      <c r="K40" s="1802"/>
      <c r="L40" s="1801"/>
      <c r="M40" s="1943"/>
      <c r="N40" s="1721"/>
      <c r="O40" s="1720"/>
    </row>
    <row r="41" spans="1:15" s="455" customFormat="1" ht="13.5">
      <c r="C41" s="1384"/>
      <c r="D41" s="314"/>
      <c r="E41" s="662"/>
      <c r="F41" s="662"/>
      <c r="G41" s="309"/>
      <c r="H41" s="497"/>
      <c r="I41" s="653"/>
      <c r="J41" s="985"/>
      <c r="K41" s="1469"/>
      <c r="L41" s="499"/>
      <c r="M41" s="1025"/>
      <c r="N41" s="499"/>
    </row>
    <row r="42" spans="1:15" s="455" customFormat="1" ht="13.5">
      <c r="C42" s="1384"/>
      <c r="D42" s="314"/>
      <c r="E42" s="662"/>
      <c r="F42" s="662"/>
      <c r="G42" s="309"/>
      <c r="H42" s="497"/>
      <c r="I42" s="653"/>
      <c r="J42" s="985"/>
      <c r="L42" s="1987">
        <f>SUM(L5:L41)</f>
        <v>632000</v>
      </c>
      <c r="M42" s="1025"/>
      <c r="N42" s="499"/>
    </row>
    <row r="43" spans="1:15" s="455" customFormat="1" ht="13.5">
      <c r="A43" s="566"/>
      <c r="B43" s="467"/>
      <c r="C43" s="499"/>
      <c r="D43" s="309"/>
      <c r="E43" s="391"/>
      <c r="F43" s="499"/>
      <c r="G43" s="497"/>
      <c r="H43" s="498"/>
      <c r="I43" s="498"/>
      <c r="J43" s="498"/>
      <c r="K43" s="499"/>
      <c r="L43" s="1470"/>
      <c r="M43" s="309"/>
      <c r="N43" s="499"/>
    </row>
  </sheetData>
  <mergeCells count="7">
    <mergeCell ref="M2:M3"/>
    <mergeCell ref="N2:N3"/>
    <mergeCell ref="C6:C12"/>
    <mergeCell ref="C14:C20"/>
    <mergeCell ref="C2:G2"/>
    <mergeCell ref="H2:J2"/>
    <mergeCell ref="K2:L2"/>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9A9AB-FEF4-4B32-A73D-F4FED84F5C0B}">
  <sheetPr>
    <tabColor rgb="FF00B0F0"/>
  </sheetPr>
  <dimension ref="A1:O66"/>
  <sheetViews>
    <sheetView zoomScale="70" zoomScaleNormal="70" workbookViewId="0">
      <pane ySplit="4" topLeftCell="A19" activePane="bottomLeft" state="frozen"/>
      <selection pane="bottomLeft" activeCell="L40" sqref="L40"/>
    </sheetView>
  </sheetViews>
  <sheetFormatPr defaultRowHeight="15"/>
  <cols>
    <col min="3" max="3" width="21.42578125" customWidth="1"/>
    <col min="4" max="4" width="49.7109375" bestFit="1"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style="99" customWidth="1"/>
    <col min="13" max="13" width="16.28515625" customWidth="1"/>
    <col min="14" max="14" width="12.85546875" customWidth="1"/>
    <col min="17" max="17" width="73.7109375" bestFit="1" customWidth="1"/>
  </cols>
  <sheetData>
    <row r="1" spans="1:15" s="355" customFormat="1" ht="13.5">
      <c r="L1" s="32"/>
    </row>
    <row r="2" spans="1:15" s="355" customFormat="1" ht="13.5">
      <c r="C2" s="2601" t="s">
        <v>30</v>
      </c>
      <c r="D2" s="2602"/>
      <c r="E2" s="2602"/>
      <c r="F2" s="2602"/>
      <c r="G2" s="2603"/>
      <c r="H2" s="2604" t="s">
        <v>29</v>
      </c>
      <c r="I2" s="2605"/>
      <c r="J2" s="2606"/>
      <c r="K2" s="2601" t="s">
        <v>28</v>
      </c>
      <c r="L2" s="2603"/>
      <c r="M2" s="2594" t="s">
        <v>27</v>
      </c>
      <c r="N2" s="2594" t="s">
        <v>26</v>
      </c>
    </row>
    <row r="3" spans="1:15" s="355" customFormat="1" ht="94.5">
      <c r="C3" s="618" t="s">
        <v>25</v>
      </c>
      <c r="D3" s="852" t="s">
        <v>24</v>
      </c>
      <c r="E3" s="991" t="s">
        <v>23</v>
      </c>
      <c r="F3" s="618" t="s">
        <v>22</v>
      </c>
      <c r="G3" s="532" t="s">
        <v>1303</v>
      </c>
      <c r="H3" s="532" t="s">
        <v>20</v>
      </c>
      <c r="I3" s="532" t="s">
        <v>19</v>
      </c>
      <c r="J3" s="532" t="s">
        <v>18</v>
      </c>
      <c r="K3" s="618" t="s">
        <v>17</v>
      </c>
      <c r="L3" s="605" t="s">
        <v>16</v>
      </c>
      <c r="M3" s="2594"/>
      <c r="N3" s="2594"/>
    </row>
    <row r="4" spans="1:15" s="355" customFormat="1" ht="27">
      <c r="C4" s="1076" t="s">
        <v>15</v>
      </c>
      <c r="D4" s="1076" t="s">
        <v>14</v>
      </c>
      <c r="E4" s="1076" t="s">
        <v>13</v>
      </c>
      <c r="F4" s="1076" t="s">
        <v>12</v>
      </c>
      <c r="G4" s="1076" t="s">
        <v>11</v>
      </c>
      <c r="H4" s="1076" t="s">
        <v>10</v>
      </c>
      <c r="I4" s="1076" t="s">
        <v>9</v>
      </c>
      <c r="J4" s="1076" t="s">
        <v>8</v>
      </c>
      <c r="K4" s="1076" t="s">
        <v>7</v>
      </c>
      <c r="L4" s="1077" t="s">
        <v>6</v>
      </c>
      <c r="M4" s="1076" t="s">
        <v>5</v>
      </c>
      <c r="N4" s="1076" t="s">
        <v>4</v>
      </c>
    </row>
    <row r="5" spans="1:15" s="455" customFormat="1" ht="63.75">
      <c r="A5" s="471"/>
      <c r="B5" s="454" t="s">
        <v>1677</v>
      </c>
      <c r="C5" s="1556" t="s">
        <v>1683</v>
      </c>
      <c r="D5" s="1533" t="s">
        <v>2</v>
      </c>
      <c r="E5" s="1557" t="s">
        <v>1044</v>
      </c>
      <c r="F5" s="1558" t="s">
        <v>422</v>
      </c>
      <c r="G5" s="1535"/>
      <c r="H5" s="1551" t="s">
        <v>652</v>
      </c>
      <c r="I5" s="1551" t="s">
        <v>1654</v>
      </c>
      <c r="J5" s="1551" t="s">
        <v>1655</v>
      </c>
      <c r="K5" s="1530" t="s">
        <v>748</v>
      </c>
      <c r="L5" s="1546">
        <v>45600</v>
      </c>
      <c r="M5" s="1535"/>
      <c r="N5" s="1535"/>
    </row>
    <row r="6" spans="1:15" s="455" customFormat="1" ht="13.5">
      <c r="A6" s="471"/>
      <c r="B6" s="454"/>
      <c r="C6" s="314"/>
      <c r="D6" s="309"/>
      <c r="E6" s="309"/>
      <c r="F6" s="497"/>
      <c r="G6" s="985"/>
      <c r="H6" s="985"/>
      <c r="I6" s="985"/>
      <c r="J6" s="499"/>
      <c r="K6" s="1025"/>
      <c r="L6" s="499"/>
      <c r="M6" s="1464"/>
    </row>
    <row r="7" spans="1:15" s="455" customFormat="1" ht="63.75">
      <c r="A7" s="471"/>
      <c r="B7" s="454" t="s">
        <v>1724</v>
      </c>
      <c r="C7" s="1589" t="s">
        <v>1729</v>
      </c>
      <c r="D7" s="1595" t="s">
        <v>2</v>
      </c>
      <c r="E7" s="1598" t="s">
        <v>1044</v>
      </c>
      <c r="F7" s="1596" t="s">
        <v>422</v>
      </c>
      <c r="G7" s="1591"/>
      <c r="H7" s="1594" t="s">
        <v>652</v>
      </c>
      <c r="I7" s="1594" t="s">
        <v>653</v>
      </c>
      <c r="J7" s="1594" t="s">
        <v>1686</v>
      </c>
      <c r="K7" s="218" t="s">
        <v>748</v>
      </c>
      <c r="L7" s="1593">
        <v>21000</v>
      </c>
      <c r="M7" s="1591"/>
      <c r="N7" s="1591"/>
    </row>
    <row r="8" spans="1:15" s="455" customFormat="1" ht="13.5">
      <c r="A8" s="471"/>
      <c r="B8" s="454"/>
      <c r="C8" s="1524"/>
      <c r="D8" s="309"/>
      <c r="E8" s="309"/>
      <c r="F8" s="309"/>
      <c r="G8" s="497"/>
      <c r="H8" s="1056"/>
      <c r="I8" s="985"/>
      <c r="J8" s="985"/>
      <c r="K8" s="499"/>
      <c r="L8" s="1025"/>
      <c r="M8" s="499"/>
    </row>
    <row r="9" spans="1:15" s="455" customFormat="1" ht="13.5">
      <c r="A9" s="471"/>
      <c r="B9" s="454"/>
      <c r="C9" s="1525"/>
      <c r="D9" s="309"/>
      <c r="E9" s="309"/>
      <c r="F9" s="309"/>
      <c r="G9" s="497"/>
      <c r="H9" s="1056"/>
      <c r="I9" s="985"/>
      <c r="J9" s="985"/>
      <c r="K9" s="499"/>
      <c r="L9" s="1025"/>
      <c r="M9" s="499"/>
    </row>
    <row r="10" spans="1:15" s="455" customFormat="1" ht="13.5">
      <c r="A10" s="471"/>
      <c r="B10" s="454"/>
      <c r="C10" s="1524"/>
      <c r="D10" s="309"/>
      <c r="E10" s="309"/>
      <c r="F10" s="309"/>
      <c r="G10" s="497"/>
      <c r="H10" s="1056"/>
      <c r="I10" s="985"/>
      <c r="J10" s="985"/>
      <c r="K10" s="499"/>
      <c r="L10" s="1025"/>
      <c r="M10" s="499"/>
    </row>
    <row r="11" spans="1:15" s="455" customFormat="1" ht="13.5">
      <c r="A11" s="471"/>
      <c r="B11" s="454"/>
      <c r="C11" s="1525"/>
      <c r="D11" s="309"/>
      <c r="E11" s="309"/>
      <c r="F11" s="309"/>
      <c r="G11" s="497"/>
      <c r="H11" s="1056"/>
      <c r="I11" s="985"/>
      <c r="J11" s="985"/>
      <c r="K11" s="499"/>
      <c r="L11" s="1025"/>
      <c r="M11" s="499"/>
    </row>
    <row r="12" spans="1:15" s="455" customFormat="1" ht="27">
      <c r="A12" s="471"/>
      <c r="B12" s="454" t="s">
        <v>2574</v>
      </c>
      <c r="C12" s="1909"/>
      <c r="D12" s="1915" t="s">
        <v>2</v>
      </c>
      <c r="E12" s="1900"/>
      <c r="F12" s="1835" t="s">
        <v>422</v>
      </c>
      <c r="G12" s="1878" t="s">
        <v>1</v>
      </c>
      <c r="H12" s="1878">
        <v>46054</v>
      </c>
      <c r="I12" s="1879">
        <v>46082</v>
      </c>
      <c r="J12" s="1879">
        <v>46082</v>
      </c>
      <c r="K12" s="1712" t="s">
        <v>2216</v>
      </c>
      <c r="L12" s="1916"/>
      <c r="M12" s="1715" t="s">
        <v>2446</v>
      </c>
      <c r="N12" s="1716"/>
    </row>
    <row r="13" spans="1:15" s="455" customFormat="1">
      <c r="A13" s="471"/>
      <c r="B13" s="454" t="s">
        <v>2574</v>
      </c>
      <c r="C13" s="2756" t="s">
        <v>2895</v>
      </c>
      <c r="D13" s="1824" t="s">
        <v>2894</v>
      </c>
      <c r="E13" s="1885"/>
      <c r="F13" s="1725"/>
      <c r="G13" s="1801"/>
      <c r="H13" s="1801"/>
      <c r="I13" s="1801"/>
      <c r="J13" s="1802"/>
      <c r="K13" s="1801"/>
      <c r="L13" s="1950">
        <v>25000</v>
      </c>
      <c r="M13" s="1721"/>
      <c r="N13" s="1720"/>
    </row>
    <row r="14" spans="1:15" s="455" customFormat="1">
      <c r="A14" s="471"/>
      <c r="B14" s="454" t="s">
        <v>2574</v>
      </c>
      <c r="C14" s="2757"/>
      <c r="D14" s="1798" t="s">
        <v>2893</v>
      </c>
      <c r="E14" s="1885"/>
      <c r="F14" s="1724"/>
      <c r="G14" s="1725"/>
      <c r="H14" s="1801"/>
      <c r="I14" s="1801"/>
      <c r="J14" s="1801"/>
      <c r="K14" s="1802"/>
      <c r="L14" s="1801"/>
      <c r="M14" s="1943"/>
      <c r="N14" s="1721"/>
      <c r="O14" s="1720"/>
    </row>
    <row r="15" spans="1:15" s="455" customFormat="1">
      <c r="A15" s="471"/>
      <c r="B15" s="454" t="s">
        <v>2574</v>
      </c>
      <c r="C15" s="2757"/>
      <c r="D15" s="1726"/>
      <c r="E15" s="1885"/>
      <c r="F15" s="1724"/>
      <c r="G15" s="1725"/>
      <c r="H15" s="1801"/>
      <c r="I15" s="1801"/>
      <c r="J15" s="1801"/>
      <c r="K15" s="1802"/>
      <c r="L15" s="1801"/>
      <c r="M15" s="1943"/>
      <c r="N15" s="1721"/>
      <c r="O15" s="1720"/>
    </row>
    <row r="16" spans="1:15" s="455" customFormat="1">
      <c r="A16" s="471"/>
      <c r="B16" s="454" t="s">
        <v>2574</v>
      </c>
      <c r="C16" s="2757"/>
      <c r="D16" s="1726"/>
      <c r="E16" s="1885"/>
      <c r="F16" s="1724"/>
      <c r="G16" s="1725"/>
      <c r="H16" s="1801"/>
      <c r="I16" s="1801"/>
      <c r="J16" s="1801"/>
      <c r="K16" s="1802"/>
      <c r="L16" s="1801"/>
      <c r="M16" s="1943"/>
      <c r="N16" s="1721"/>
      <c r="O16" s="1720"/>
    </row>
    <row r="17" spans="1:15" s="455" customFormat="1">
      <c r="A17" s="471"/>
      <c r="B17" s="454" t="s">
        <v>2574</v>
      </c>
      <c r="C17" s="2757"/>
      <c r="D17" s="1726"/>
      <c r="E17" s="1881"/>
      <c r="F17" s="1724"/>
      <c r="G17" s="1725"/>
      <c r="H17" s="1801"/>
      <c r="I17" s="1801"/>
      <c r="J17" s="1801"/>
      <c r="K17" s="1802"/>
      <c r="L17" s="1801"/>
      <c r="M17" s="1943"/>
      <c r="N17" s="1721"/>
      <c r="O17" s="1720"/>
    </row>
    <row r="18" spans="1:15" s="455" customFormat="1">
      <c r="A18" s="471"/>
      <c r="B18" s="454" t="s">
        <v>2574</v>
      </c>
      <c r="C18" s="2758"/>
      <c r="D18" s="1726"/>
      <c r="E18" s="1885"/>
      <c r="F18" s="1724"/>
      <c r="G18" s="1725"/>
      <c r="H18" s="1801"/>
      <c r="I18" s="1801"/>
      <c r="J18" s="1801"/>
      <c r="K18" s="1802"/>
      <c r="L18" s="1801"/>
      <c r="M18" s="1943"/>
      <c r="N18" s="1721"/>
      <c r="O18" s="1720"/>
    </row>
    <row r="19" spans="1:15" s="455" customFormat="1" ht="13.5">
      <c r="A19" s="471"/>
      <c r="B19" s="454"/>
      <c r="C19" s="392"/>
      <c r="D19" s="309"/>
      <c r="E19" s="309"/>
      <c r="F19" s="309"/>
      <c r="G19" s="497"/>
      <c r="H19" s="1056"/>
      <c r="I19" s="985"/>
      <c r="J19" s="985"/>
      <c r="K19" s="499"/>
      <c r="L19" s="1025"/>
      <c r="M19" s="499"/>
      <c r="N19" s="1465"/>
    </row>
    <row r="20" spans="1:15" s="455" customFormat="1" ht="27">
      <c r="A20" s="471"/>
      <c r="B20" s="454" t="s">
        <v>2574</v>
      </c>
      <c r="C20" s="1909"/>
      <c r="D20" s="1915" t="s">
        <v>2</v>
      </c>
      <c r="E20" s="1900"/>
      <c r="F20" s="1835" t="s">
        <v>422</v>
      </c>
      <c r="G20" s="1878" t="s">
        <v>1</v>
      </c>
      <c r="H20" s="1878">
        <v>46113</v>
      </c>
      <c r="I20" s="1879">
        <v>46143</v>
      </c>
      <c r="J20" s="1879">
        <v>46143</v>
      </c>
      <c r="K20" s="1712" t="s">
        <v>2216</v>
      </c>
      <c r="L20" s="1916"/>
      <c r="M20" s="1715" t="s">
        <v>2446</v>
      </c>
      <c r="N20" s="1716"/>
    </row>
    <row r="21" spans="1:15" s="455" customFormat="1">
      <c r="A21" s="471"/>
      <c r="B21" s="454" t="s">
        <v>2574</v>
      </c>
      <c r="C21" s="2756" t="s">
        <v>2895</v>
      </c>
      <c r="D21" s="1824" t="s">
        <v>2894</v>
      </c>
      <c r="E21" s="1885"/>
      <c r="F21" s="1725"/>
      <c r="G21" s="1801"/>
      <c r="H21" s="1801"/>
      <c r="I21" s="1801"/>
      <c r="J21" s="1802"/>
      <c r="K21" s="1801"/>
      <c r="L21" s="1950">
        <v>25000</v>
      </c>
      <c r="M21" s="1721"/>
      <c r="N21" s="1720"/>
    </row>
    <row r="22" spans="1:15" s="455" customFormat="1">
      <c r="A22" s="471"/>
      <c r="B22" s="454" t="s">
        <v>2574</v>
      </c>
      <c r="C22" s="2757"/>
      <c r="D22" s="1798" t="s">
        <v>2893</v>
      </c>
      <c r="E22" s="1885"/>
      <c r="F22" s="1724"/>
      <c r="G22" s="1725"/>
      <c r="H22" s="1801"/>
      <c r="I22" s="1801"/>
      <c r="J22" s="1801"/>
      <c r="K22" s="1802"/>
      <c r="L22" s="1801"/>
      <c r="M22" s="1943"/>
      <c r="N22" s="1721"/>
      <c r="O22" s="1720"/>
    </row>
    <row r="23" spans="1:15" s="455" customFormat="1">
      <c r="A23" s="471"/>
      <c r="B23" s="454" t="s">
        <v>2574</v>
      </c>
      <c r="C23" s="2757"/>
      <c r="D23" s="1726"/>
      <c r="E23" s="1885"/>
      <c r="F23" s="1724"/>
      <c r="G23" s="1725"/>
      <c r="H23" s="1801"/>
      <c r="I23" s="1801"/>
      <c r="J23" s="1801"/>
      <c r="K23" s="1802"/>
      <c r="L23" s="1801"/>
      <c r="M23" s="1943"/>
      <c r="N23" s="1721"/>
      <c r="O23" s="1720"/>
    </row>
    <row r="24" spans="1:15" s="455" customFormat="1">
      <c r="A24" s="471"/>
      <c r="B24" s="454" t="s">
        <v>2574</v>
      </c>
      <c r="C24" s="2757"/>
      <c r="D24" s="1726"/>
      <c r="E24" s="1885"/>
      <c r="F24" s="1724"/>
      <c r="G24" s="1725"/>
      <c r="H24" s="1801"/>
      <c r="I24" s="1801"/>
      <c r="J24" s="1801"/>
      <c r="K24" s="1802"/>
      <c r="L24" s="1801"/>
      <c r="M24" s="1943"/>
      <c r="N24" s="1721"/>
      <c r="O24" s="1720"/>
    </row>
    <row r="25" spans="1:15" s="455" customFormat="1">
      <c r="A25" s="471"/>
      <c r="B25" s="454" t="s">
        <v>2574</v>
      </c>
      <c r="C25" s="2757"/>
      <c r="D25" s="1726"/>
      <c r="E25" s="1881"/>
      <c r="F25" s="1724"/>
      <c r="G25" s="1725"/>
      <c r="H25" s="1801"/>
      <c r="I25" s="1801"/>
      <c r="J25" s="1801"/>
      <c r="K25" s="1802"/>
      <c r="L25" s="1801"/>
      <c r="M25" s="1943"/>
      <c r="N25" s="1721"/>
      <c r="O25" s="1720"/>
    </row>
    <row r="26" spans="1:15" s="455" customFormat="1">
      <c r="A26" s="471"/>
      <c r="B26" s="454"/>
      <c r="C26" s="2758"/>
      <c r="D26" s="1923"/>
      <c r="E26" s="1885"/>
      <c r="F26" s="1724"/>
      <c r="G26" s="1725"/>
      <c r="H26" s="1801"/>
      <c r="I26" s="1801"/>
      <c r="J26" s="1801"/>
      <c r="K26" s="1802"/>
      <c r="L26" s="1801"/>
      <c r="M26" s="1943"/>
      <c r="N26" s="1721"/>
      <c r="O26" s="1720"/>
    </row>
    <row r="27" spans="1:15" s="455" customFormat="1" ht="13.5">
      <c r="C27" s="1384"/>
      <c r="D27" s="314"/>
      <c r="E27" s="662"/>
      <c r="F27" s="662"/>
      <c r="G27" s="309"/>
      <c r="H27" s="497"/>
      <c r="I27" s="653"/>
      <c r="J27" s="985"/>
      <c r="K27" s="1469"/>
      <c r="L27" s="499"/>
      <c r="M27" s="1025"/>
      <c r="N27" s="499"/>
    </row>
    <row r="28" spans="1:15" s="455" customFormat="1" ht="13.5">
      <c r="C28" s="1384"/>
      <c r="D28" s="314"/>
      <c r="E28" s="662"/>
      <c r="F28" s="662"/>
      <c r="G28" s="309"/>
      <c r="H28" s="497"/>
      <c r="I28" s="653"/>
      <c r="J28" s="985"/>
      <c r="K28" s="1469"/>
      <c r="L28" s="499"/>
      <c r="M28" s="1025"/>
      <c r="N28" s="499"/>
    </row>
    <row r="29" spans="1:15" s="455" customFormat="1" ht="25.5">
      <c r="A29" s="566"/>
      <c r="B29" s="454" t="s">
        <v>2929</v>
      </c>
      <c r="C29" s="1999" t="s">
        <v>36</v>
      </c>
      <c r="D29" s="2005" t="s">
        <v>2939</v>
      </c>
      <c r="E29" s="2017">
        <v>6</v>
      </c>
      <c r="F29" s="2018"/>
      <c r="G29" s="497"/>
      <c r="H29" s="2008" t="s">
        <v>2213</v>
      </c>
      <c r="I29" s="2009">
        <v>46174</v>
      </c>
      <c r="J29" s="2008" t="s">
        <v>2938</v>
      </c>
      <c r="K29" s="499"/>
      <c r="L29" s="1470">
        <v>18000</v>
      </c>
      <c r="M29" s="309"/>
      <c r="N29" s="499"/>
    </row>
    <row r="30" spans="1:15" s="455" customFormat="1" ht="13.5">
      <c r="A30" s="566"/>
      <c r="B30" s="467"/>
      <c r="C30" s="497"/>
      <c r="D30" s="691"/>
      <c r="E30" s="675"/>
      <c r="F30" s="675"/>
      <c r="G30" s="654"/>
      <c r="H30" s="502"/>
      <c r="I30" s="652"/>
      <c r="J30" s="497"/>
      <c r="K30" s="653"/>
      <c r="L30" s="502"/>
      <c r="M30" s="538"/>
      <c r="N30" s="392"/>
      <c r="O30" s="502"/>
    </row>
    <row r="31" spans="1:15" s="455" customFormat="1" ht="13.5">
      <c r="A31" s="566"/>
      <c r="B31" s="467"/>
      <c r="C31" s="497"/>
      <c r="D31" s="691"/>
      <c r="E31" s="675"/>
      <c r="F31" s="675"/>
      <c r="G31" s="654"/>
      <c r="H31" s="502"/>
      <c r="I31" s="652"/>
      <c r="J31" s="497"/>
      <c r="K31" s="653"/>
      <c r="L31" s="502"/>
      <c r="M31" s="538"/>
      <c r="N31" s="392"/>
      <c r="O31" s="502"/>
    </row>
    <row r="32" spans="1:15" s="455" customFormat="1" ht="27">
      <c r="A32" s="566"/>
      <c r="B32" s="467" t="s">
        <v>3584</v>
      </c>
      <c r="C32" s="497"/>
      <c r="D32" s="691" t="s">
        <v>3884</v>
      </c>
      <c r="E32" s="675"/>
      <c r="F32" s="2216" t="s">
        <v>1104</v>
      </c>
      <c r="G32" s="1725" t="s">
        <v>828</v>
      </c>
      <c r="H32" s="2214" t="s">
        <v>3879</v>
      </c>
      <c r="I32" s="2214" t="s">
        <v>3588</v>
      </c>
      <c r="J32" s="2214" t="s">
        <v>3881</v>
      </c>
      <c r="K32" s="1802" t="s">
        <v>3589</v>
      </c>
      <c r="L32" s="2101">
        <v>40000</v>
      </c>
      <c r="M32" s="2217" t="s">
        <v>99</v>
      </c>
      <c r="N32" s="392"/>
      <c r="O32" s="502"/>
    </row>
    <row r="33" spans="1:15" s="455" customFormat="1" ht="13.5">
      <c r="A33" s="566"/>
      <c r="B33" s="467"/>
      <c r="C33" s="497"/>
      <c r="D33" s="691"/>
      <c r="E33" s="675"/>
      <c r="F33" s="675"/>
      <c r="G33" s="654"/>
      <c r="H33" s="502"/>
      <c r="I33" s="652"/>
      <c r="J33" s="497"/>
      <c r="K33" s="653"/>
      <c r="L33" s="502"/>
      <c r="M33" s="538"/>
      <c r="N33" s="392"/>
      <c r="O33" s="502"/>
    </row>
    <row r="34" spans="1:15" s="455" customFormat="1" ht="13.5">
      <c r="A34" s="566"/>
      <c r="B34" s="467"/>
      <c r="C34" s="497"/>
      <c r="D34" s="691"/>
      <c r="E34" s="675"/>
      <c r="F34" s="675"/>
      <c r="G34" s="654"/>
      <c r="H34" s="502"/>
      <c r="I34" s="652"/>
      <c r="J34" s="497"/>
      <c r="K34" s="653"/>
      <c r="L34" s="502"/>
      <c r="M34" s="538"/>
      <c r="N34" s="392"/>
      <c r="O34" s="502"/>
    </row>
    <row r="35" spans="1:15" s="455" customFormat="1" ht="13.5">
      <c r="A35" s="566"/>
      <c r="B35" s="467"/>
      <c r="C35" s="497"/>
      <c r="D35" s="691"/>
      <c r="E35" s="675"/>
      <c r="F35" s="675"/>
      <c r="G35" s="654"/>
      <c r="H35" s="502"/>
      <c r="I35" s="652"/>
      <c r="J35" s="497"/>
      <c r="K35" s="653"/>
      <c r="L35" s="502"/>
      <c r="M35" s="538"/>
      <c r="N35" s="392"/>
      <c r="O35" s="502"/>
    </row>
    <row r="36" spans="1:15" s="455" customFormat="1" ht="13.5">
      <c r="A36" s="566"/>
      <c r="B36" s="467"/>
      <c r="C36" s="497"/>
      <c r="D36" s="691"/>
      <c r="E36" s="675"/>
      <c r="F36" s="675"/>
      <c r="G36" s="654"/>
      <c r="H36" s="502"/>
      <c r="I36" s="652"/>
      <c r="J36" s="497"/>
      <c r="K36" s="653"/>
      <c r="L36" s="502"/>
      <c r="M36" s="538"/>
      <c r="N36" s="392"/>
      <c r="O36" s="502"/>
    </row>
    <row r="37" spans="1:15" s="455" customFormat="1" ht="13.5">
      <c r="A37" s="566"/>
      <c r="B37" s="467"/>
      <c r="C37" s="497"/>
      <c r="D37" s="691"/>
      <c r="E37" s="675"/>
      <c r="F37" s="675"/>
      <c r="G37" s="654"/>
      <c r="H37" s="502"/>
      <c r="I37" s="652"/>
      <c r="J37" s="497"/>
      <c r="K37" s="653"/>
      <c r="L37" s="502"/>
      <c r="M37" s="538"/>
      <c r="N37" s="392"/>
      <c r="O37" s="502"/>
    </row>
    <row r="38" spans="1:15" s="455" customFormat="1" ht="13.5">
      <c r="C38" s="1385"/>
      <c r="D38" s="314"/>
      <c r="E38" s="991"/>
      <c r="F38" s="662"/>
      <c r="G38" s="309"/>
      <c r="H38" s="497"/>
      <c r="I38" s="774"/>
      <c r="J38" s="774"/>
      <c r="K38" s="774"/>
      <c r="L38" s="499"/>
      <c r="M38" s="1028"/>
      <c r="N38" s="499"/>
    </row>
    <row r="39" spans="1:15" s="455" customFormat="1" ht="13.5">
      <c r="C39" s="314"/>
      <c r="D39" s="314"/>
      <c r="E39" s="991"/>
      <c r="F39" s="662"/>
      <c r="G39" s="309"/>
      <c r="H39" s="497"/>
      <c r="I39" s="774"/>
      <c r="J39" s="774"/>
      <c r="K39" s="1471"/>
      <c r="L39" s="499"/>
      <c r="M39" s="1028"/>
      <c r="N39" s="499"/>
    </row>
    <row r="40" spans="1:15" s="455" customFormat="1">
      <c r="C40" s="1027"/>
      <c r="D40" s="314"/>
      <c r="E40" s="991"/>
      <c r="F40" s="662"/>
      <c r="G40" s="309"/>
      <c r="H40" s="497"/>
      <c r="I40" s="1056"/>
      <c r="J40" s="985"/>
      <c r="K40" s="985"/>
      <c r="L40" s="2441">
        <f>SUM(L5:L39)</f>
        <v>174600</v>
      </c>
      <c r="M40" s="1028"/>
      <c r="N40" s="499"/>
    </row>
    <row r="41" spans="1:15" s="455" customFormat="1" ht="13.5">
      <c r="C41" s="499"/>
      <c r="D41" s="309"/>
      <c r="E41" s="391"/>
      <c r="F41" s="499"/>
      <c r="G41" s="497"/>
      <c r="H41" s="498"/>
      <c r="I41" s="498"/>
      <c r="J41" s="498"/>
      <c r="K41" s="499"/>
      <c r="L41" s="1472"/>
      <c r="M41" s="309"/>
      <c r="N41" s="499"/>
    </row>
    <row r="42" spans="1:15" s="455" customFormat="1" ht="13.5">
      <c r="C42" s="497"/>
      <c r="D42" s="691"/>
      <c r="E42" s="675"/>
      <c r="F42" s="675"/>
      <c r="G42" s="654"/>
      <c r="H42" s="502"/>
      <c r="I42" s="652"/>
      <c r="J42" s="497"/>
      <c r="K42" s="653"/>
      <c r="L42" s="502"/>
      <c r="M42" s="538"/>
      <c r="N42" s="392"/>
      <c r="O42" s="502"/>
    </row>
    <row r="43" spans="1:15" s="455" customFormat="1" ht="13.5">
      <c r="C43" s="497"/>
      <c r="D43" s="691"/>
      <c r="E43" s="675"/>
      <c r="F43" s="675"/>
      <c r="G43" s="654"/>
      <c r="H43" s="502"/>
      <c r="I43" s="652"/>
      <c r="J43" s="497"/>
      <c r="K43" s="653"/>
      <c r="L43" s="502"/>
      <c r="M43" s="538"/>
      <c r="N43" s="392"/>
      <c r="O43" s="502"/>
    </row>
    <row r="44" spans="1:15" s="455" customFormat="1" ht="13.5">
      <c r="C44" s="497"/>
      <c r="D44" s="691"/>
      <c r="E44" s="675"/>
      <c r="F44" s="675"/>
      <c r="G44" s="654"/>
      <c r="H44" s="502"/>
      <c r="I44" s="652"/>
      <c r="J44" s="497"/>
      <c r="K44" s="653"/>
      <c r="L44" s="502"/>
      <c r="M44" s="538"/>
      <c r="N44" s="392"/>
      <c r="O44" s="502"/>
    </row>
    <row r="45" spans="1:15" s="455" customFormat="1" ht="13.5">
      <c r="C45" s="497"/>
      <c r="D45" s="691"/>
      <c r="E45" s="675"/>
      <c r="F45" s="675"/>
      <c r="G45" s="654"/>
      <c r="H45" s="502"/>
      <c r="I45" s="652"/>
      <c r="J45" s="497"/>
      <c r="K45" s="653"/>
      <c r="L45" s="502"/>
      <c r="M45" s="538"/>
      <c r="N45" s="392"/>
      <c r="O45" s="502"/>
    </row>
    <row r="46" spans="1:15" s="455" customFormat="1" ht="13.5">
      <c r="C46" s="497"/>
      <c r="D46" s="691"/>
      <c r="E46" s="675"/>
      <c r="F46" s="675"/>
      <c r="G46" s="654"/>
      <c r="H46" s="502"/>
      <c r="I46" s="652"/>
      <c r="J46" s="497"/>
      <c r="K46" s="653"/>
      <c r="L46" s="502"/>
      <c r="M46" s="538"/>
      <c r="N46" s="392"/>
      <c r="O46" s="502"/>
    </row>
    <row r="47" spans="1:15" s="455" customFormat="1" ht="13.5">
      <c r="C47" s="497"/>
      <c r="D47" s="691"/>
      <c r="E47" s="675"/>
      <c r="F47" s="675"/>
      <c r="G47" s="654"/>
      <c r="H47" s="502"/>
      <c r="I47" s="652"/>
      <c r="J47" s="497"/>
      <c r="K47" s="653"/>
      <c r="L47" s="502"/>
      <c r="M47" s="538"/>
      <c r="N47" s="392"/>
      <c r="O47" s="502"/>
    </row>
    <row r="48" spans="1:15" s="455" customFormat="1" ht="13.5">
      <c r="C48" s="497"/>
      <c r="D48" s="691"/>
      <c r="E48" s="675"/>
      <c r="F48" s="1473"/>
      <c r="G48" s="654"/>
      <c r="H48" s="502"/>
      <c r="I48" s="652"/>
      <c r="J48" s="497"/>
      <c r="K48" s="653"/>
      <c r="L48" s="502"/>
      <c r="M48" s="538"/>
      <c r="N48" s="392"/>
      <c r="O48" s="502"/>
    </row>
    <row r="49" spans="3:14" s="355" customFormat="1" ht="13.5">
      <c r="C49" s="400"/>
      <c r="D49" s="400"/>
      <c r="E49" s="401"/>
      <c r="F49" s="402"/>
      <c r="G49" s="402"/>
      <c r="H49" s="403"/>
      <c r="I49" s="403"/>
      <c r="J49" s="403"/>
      <c r="K49" s="402"/>
      <c r="L49" s="404"/>
      <c r="M49" s="402"/>
      <c r="N49" s="405"/>
    </row>
    <row r="50" spans="3:14" s="355" customFormat="1" ht="13.5">
      <c r="C50" s="400"/>
      <c r="D50" s="400"/>
      <c r="E50" s="401"/>
      <c r="F50" s="402"/>
      <c r="G50" s="402"/>
      <c r="H50" s="403"/>
      <c r="I50" s="403"/>
      <c r="J50" s="403"/>
      <c r="K50" s="402"/>
      <c r="L50" s="404"/>
      <c r="M50" s="402"/>
      <c r="N50" s="405"/>
    </row>
    <row r="51" spans="3:14" s="355" customFormat="1" ht="13.5">
      <c r="C51" s="400"/>
      <c r="D51" s="400"/>
      <c r="E51" s="401"/>
      <c r="F51" s="402"/>
      <c r="G51" s="402"/>
      <c r="H51" s="403"/>
      <c r="I51" s="403"/>
      <c r="J51" s="403"/>
      <c r="K51" s="402"/>
      <c r="L51" s="404"/>
      <c r="M51" s="402"/>
      <c r="N51" s="405"/>
    </row>
    <row r="52" spans="3:14" s="355" customFormat="1" ht="13.5">
      <c r="C52" s="400"/>
      <c r="D52" s="400"/>
      <c r="E52" s="401"/>
      <c r="F52" s="402"/>
      <c r="G52" s="402"/>
      <c r="H52" s="403"/>
      <c r="I52" s="403"/>
      <c r="J52" s="403"/>
      <c r="K52" s="402"/>
      <c r="L52" s="404"/>
      <c r="M52" s="402"/>
      <c r="N52" s="405"/>
    </row>
    <row r="53" spans="3:14" s="355" customFormat="1" ht="13.5">
      <c r="C53" s="400"/>
      <c r="D53" s="400"/>
      <c r="E53" s="401"/>
      <c r="F53" s="402"/>
      <c r="G53" s="402"/>
      <c r="H53" s="403"/>
      <c r="I53" s="403"/>
      <c r="J53" s="403"/>
      <c r="K53" s="402"/>
      <c r="L53" s="404"/>
      <c r="M53" s="402"/>
      <c r="N53" s="405"/>
    </row>
    <row r="54" spans="3:14" s="355" customFormat="1" ht="13.5">
      <c r="C54" s="400"/>
      <c r="D54" s="400"/>
      <c r="E54" s="401"/>
      <c r="F54" s="402"/>
      <c r="G54" s="402"/>
      <c r="H54" s="403"/>
      <c r="I54" s="403"/>
      <c r="J54" s="403"/>
      <c r="K54" s="402"/>
      <c r="L54" s="404"/>
      <c r="M54" s="402"/>
      <c r="N54" s="405"/>
    </row>
    <row r="55" spans="3:14" s="355" customFormat="1" ht="13.5">
      <c r="C55" s="400"/>
      <c r="D55" s="400"/>
      <c r="E55" s="401"/>
      <c r="F55" s="402"/>
      <c r="G55" s="402"/>
      <c r="H55" s="403"/>
      <c r="I55" s="403"/>
      <c r="J55" s="403"/>
      <c r="K55" s="402"/>
      <c r="L55" s="404"/>
      <c r="M55" s="402"/>
      <c r="N55" s="405"/>
    </row>
    <row r="56" spans="3:14" s="355" customFormat="1" ht="13.5">
      <c r="C56" s="400"/>
      <c r="D56" s="400"/>
      <c r="E56" s="401"/>
      <c r="F56" s="402"/>
      <c r="G56" s="402"/>
      <c r="H56" s="403"/>
      <c r="I56" s="403"/>
      <c r="J56" s="403"/>
      <c r="K56" s="402"/>
      <c r="L56" s="404"/>
      <c r="M56" s="402"/>
      <c r="N56" s="405"/>
    </row>
    <row r="57" spans="3:14" s="355" customFormat="1" ht="13.5">
      <c r="C57" s="400"/>
      <c r="D57" s="400"/>
      <c r="E57" s="401"/>
      <c r="F57" s="402"/>
      <c r="G57" s="402"/>
      <c r="H57" s="403"/>
      <c r="I57" s="403"/>
      <c r="J57" s="403"/>
      <c r="K57" s="402"/>
      <c r="L57" s="404"/>
      <c r="M57" s="402"/>
      <c r="N57" s="405"/>
    </row>
    <row r="58" spans="3:14" s="355" customFormat="1" ht="13.5">
      <c r="C58" s="400"/>
      <c r="D58" s="400"/>
      <c r="E58" s="401"/>
      <c r="F58" s="402"/>
      <c r="G58" s="402"/>
      <c r="H58" s="403"/>
      <c r="I58" s="403"/>
      <c r="J58" s="403"/>
      <c r="K58" s="402"/>
      <c r="L58" s="404"/>
      <c r="M58" s="402"/>
      <c r="N58" s="405"/>
    </row>
    <row r="59" spans="3:14" s="355" customFormat="1" ht="13.5">
      <c r="C59" s="400"/>
      <c r="D59" s="400"/>
      <c r="E59" s="401"/>
      <c r="F59" s="402"/>
      <c r="G59" s="402"/>
      <c r="H59" s="403"/>
      <c r="I59" s="403"/>
      <c r="J59" s="403"/>
      <c r="K59" s="402"/>
      <c r="L59" s="404"/>
      <c r="M59" s="402"/>
      <c r="N59" s="405"/>
    </row>
    <row r="60" spans="3:14" s="355" customFormat="1" ht="13.5">
      <c r="C60" s="400"/>
      <c r="D60" s="400"/>
      <c r="E60" s="401"/>
      <c r="F60" s="402"/>
      <c r="G60" s="402"/>
      <c r="H60" s="403"/>
      <c r="I60" s="403"/>
      <c r="J60" s="403"/>
      <c r="K60" s="402"/>
      <c r="L60" s="404"/>
      <c r="M60" s="402"/>
      <c r="N60" s="405"/>
    </row>
    <row r="61" spans="3:14" s="355" customFormat="1" ht="13.5">
      <c r="C61" s="400"/>
      <c r="D61" s="400"/>
      <c r="E61" s="401"/>
      <c r="F61" s="402"/>
      <c r="G61" s="402"/>
      <c r="H61" s="403"/>
      <c r="I61" s="403"/>
      <c r="J61" s="403"/>
      <c r="K61" s="402"/>
      <c r="L61" s="404"/>
      <c r="M61" s="407"/>
      <c r="N61" s="405"/>
    </row>
    <row r="62" spans="3:14" s="355" customFormat="1" ht="13.5">
      <c r="C62" s="400"/>
      <c r="D62" s="400"/>
      <c r="E62" s="401"/>
      <c r="F62" s="402"/>
      <c r="G62" s="403"/>
      <c r="H62" s="403"/>
      <c r="I62" s="403"/>
      <c r="J62" s="403"/>
      <c r="K62" s="408"/>
      <c r="L62" s="404"/>
      <c r="M62" s="407"/>
      <c r="N62" s="405"/>
    </row>
    <row r="63" spans="3:14" s="355" customFormat="1" ht="13.5">
      <c r="C63" s="352"/>
      <c r="D63" s="352"/>
      <c r="E63" s="352"/>
      <c r="F63" s="352"/>
      <c r="G63" s="352"/>
      <c r="H63" s="352"/>
      <c r="I63" s="352"/>
      <c r="J63" s="352"/>
      <c r="K63" s="352"/>
      <c r="L63" s="1403">
        <f>SUM(L5:L61)</f>
        <v>349200</v>
      </c>
      <c r="M63" s="352"/>
      <c r="N63" s="352"/>
    </row>
    <row r="64" spans="3:14" ht="14.25" customHeight="1">
      <c r="C64" s="31"/>
      <c r="D64" s="27"/>
      <c r="E64" s="20"/>
      <c r="F64" s="28"/>
      <c r="G64" s="28"/>
      <c r="H64" s="26"/>
      <c r="I64" s="26"/>
      <c r="J64" s="26"/>
      <c r="K64" s="28"/>
      <c r="L64" s="179"/>
      <c r="M64" s="28"/>
      <c r="N64" s="27"/>
    </row>
    <row r="65" spans="3:14" s="1" customFormat="1" ht="14.25" customHeight="1">
      <c r="C65" s="31"/>
      <c r="D65" s="27"/>
      <c r="E65" s="21"/>
      <c r="F65" s="28"/>
      <c r="G65" s="28"/>
      <c r="H65" s="26"/>
      <c r="I65" s="26"/>
      <c r="J65" s="26"/>
      <c r="K65" s="28"/>
      <c r="L65" s="179"/>
      <c r="M65" s="28"/>
      <c r="N65" s="27"/>
    </row>
    <row r="66" spans="3:14" s="1" customFormat="1" ht="14.25" customHeight="1">
      <c r="C66" s="30"/>
      <c r="D66" s="25"/>
      <c r="E66" s="21"/>
      <c r="F66" s="22"/>
      <c r="G66" s="22"/>
      <c r="H66" s="23"/>
      <c r="I66" s="23"/>
      <c r="J66" s="23"/>
      <c r="K66" s="22"/>
      <c r="L66" s="180"/>
      <c r="M66" s="22"/>
      <c r="N66" s="25"/>
    </row>
  </sheetData>
  <mergeCells count="7">
    <mergeCell ref="M2:M3"/>
    <mergeCell ref="N2:N3"/>
    <mergeCell ref="C21:C26"/>
    <mergeCell ref="C2:G2"/>
    <mergeCell ref="C13:C18"/>
    <mergeCell ref="H2:J2"/>
    <mergeCell ref="K2:L2"/>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6E4E1-A1BC-4F68-B62B-84DF2B241FA9}">
  <sheetPr>
    <tabColor rgb="FF00B0F0"/>
  </sheetPr>
  <dimension ref="A1:O94"/>
  <sheetViews>
    <sheetView topLeftCell="C1" zoomScale="85" zoomScaleNormal="85" workbookViewId="0">
      <pane ySplit="4" topLeftCell="A5" activePane="bottomLeft" state="frozen"/>
      <selection pane="bottomLeft" activeCell="L20" sqref="L20"/>
    </sheetView>
  </sheetViews>
  <sheetFormatPr defaultRowHeight="15"/>
  <cols>
    <col min="3" max="3" width="21.42578125" customWidth="1"/>
    <col min="4" max="4" width="49.7109375" bestFit="1"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style="99" customWidth="1"/>
    <col min="13" max="13" width="16.28515625" customWidth="1"/>
    <col min="14" max="14" width="12.85546875" customWidth="1"/>
    <col min="17" max="17" width="73.7109375" bestFit="1" customWidth="1"/>
  </cols>
  <sheetData>
    <row r="1" spans="1:14" s="355" customFormat="1" ht="13.5">
      <c r="L1" s="32"/>
    </row>
    <row r="2" spans="1:14" s="355" customFormat="1" ht="13.5">
      <c r="C2" s="2601" t="s">
        <v>30</v>
      </c>
      <c r="D2" s="2602"/>
      <c r="E2" s="2602"/>
      <c r="F2" s="2602"/>
      <c r="G2" s="2603"/>
      <c r="H2" s="2604" t="s">
        <v>29</v>
      </c>
      <c r="I2" s="2605"/>
      <c r="J2" s="2606"/>
      <c r="K2" s="2601" t="s">
        <v>28</v>
      </c>
      <c r="L2" s="2603"/>
      <c r="M2" s="2594" t="s">
        <v>27</v>
      </c>
      <c r="N2" s="2594" t="s">
        <v>26</v>
      </c>
    </row>
    <row r="3" spans="1:14" s="355" customFormat="1" ht="94.5">
      <c r="C3" s="618" t="s">
        <v>25</v>
      </c>
      <c r="D3" s="852" t="s">
        <v>24</v>
      </c>
      <c r="E3" s="991" t="s">
        <v>23</v>
      </c>
      <c r="F3" s="618" t="s">
        <v>22</v>
      </c>
      <c r="G3" s="532" t="s">
        <v>1303</v>
      </c>
      <c r="H3" s="532" t="s">
        <v>20</v>
      </c>
      <c r="I3" s="532" t="s">
        <v>19</v>
      </c>
      <c r="J3" s="532" t="s">
        <v>18</v>
      </c>
      <c r="K3" s="618" t="s">
        <v>17</v>
      </c>
      <c r="L3" s="605" t="s">
        <v>16</v>
      </c>
      <c r="M3" s="2594"/>
      <c r="N3" s="2594"/>
    </row>
    <row r="4" spans="1:14" s="355" customFormat="1" ht="27">
      <c r="C4" s="1076" t="s">
        <v>15</v>
      </c>
      <c r="D4" s="1076" t="s">
        <v>14</v>
      </c>
      <c r="E4" s="1076" t="s">
        <v>13</v>
      </c>
      <c r="F4" s="1076" t="s">
        <v>12</v>
      </c>
      <c r="G4" s="1076" t="s">
        <v>11</v>
      </c>
      <c r="H4" s="1076" t="s">
        <v>10</v>
      </c>
      <c r="I4" s="1076" t="s">
        <v>9</v>
      </c>
      <c r="J4" s="1076" t="s">
        <v>8</v>
      </c>
      <c r="K4" s="1076" t="s">
        <v>7</v>
      </c>
      <c r="L4" s="1077" t="s">
        <v>6</v>
      </c>
      <c r="M4" s="1076" t="s">
        <v>5</v>
      </c>
      <c r="N4" s="1076" t="s">
        <v>4</v>
      </c>
    </row>
    <row r="5" spans="1:14" s="455" customFormat="1" ht="25.5">
      <c r="A5" s="471"/>
      <c r="B5" s="454" t="s">
        <v>1677</v>
      </c>
      <c r="C5" s="1587" t="s">
        <v>1684</v>
      </c>
      <c r="D5" s="1588"/>
      <c r="E5" s="280"/>
      <c r="F5" s="280"/>
      <c r="G5" s="1561"/>
      <c r="H5" s="1566" t="s">
        <v>652</v>
      </c>
      <c r="I5" s="1566" t="s">
        <v>1654</v>
      </c>
      <c r="J5" s="1566" t="s">
        <v>1655</v>
      </c>
      <c r="K5" s="1565" t="s">
        <v>748</v>
      </c>
      <c r="L5" s="1567">
        <v>50000</v>
      </c>
      <c r="M5" s="1540"/>
      <c r="N5" s="1536"/>
    </row>
    <row r="6" spans="1:14" s="455" customFormat="1" ht="13.5">
      <c r="A6" s="471"/>
      <c r="B6" s="454"/>
      <c r="C6" s="314"/>
      <c r="D6" s="309"/>
      <c r="E6" s="309"/>
      <c r="F6" s="309"/>
      <c r="G6" s="497"/>
      <c r="H6" s="985"/>
      <c r="I6" s="985"/>
      <c r="J6" s="985"/>
      <c r="K6" s="499"/>
      <c r="L6" s="1025"/>
      <c r="M6" s="499"/>
      <c r="N6" s="1464"/>
    </row>
    <row r="7" spans="1:14" s="455" customFormat="1" ht="13.5">
      <c r="A7" s="471"/>
      <c r="B7" s="454"/>
      <c r="C7" s="314"/>
      <c r="D7" s="309"/>
      <c r="E7" s="309"/>
      <c r="F7" s="309"/>
      <c r="G7" s="497"/>
      <c r="H7" s="985"/>
      <c r="I7" s="985"/>
      <c r="J7" s="985"/>
      <c r="K7" s="499"/>
      <c r="L7" s="1025"/>
      <c r="M7" s="499"/>
      <c r="N7" s="1465"/>
    </row>
    <row r="8" spans="1:14" s="455" customFormat="1" ht="13.5">
      <c r="A8" s="471"/>
      <c r="B8" s="454"/>
      <c r="C8" s="2591"/>
      <c r="D8" s="309"/>
      <c r="E8" s="309"/>
      <c r="F8" s="309"/>
      <c r="G8" s="497"/>
      <c r="H8" s="1056"/>
      <c r="I8" s="985"/>
      <c r="J8" s="985"/>
      <c r="K8" s="499"/>
      <c r="L8" s="1025"/>
      <c r="M8" s="499"/>
    </row>
    <row r="9" spans="1:14" s="455" customFormat="1" ht="13.5">
      <c r="A9" s="471"/>
      <c r="B9" s="454"/>
      <c r="C9" s="2593"/>
      <c r="D9" s="309"/>
      <c r="E9" s="309"/>
      <c r="F9" s="309"/>
      <c r="G9" s="497"/>
      <c r="H9" s="1056"/>
      <c r="I9" s="985"/>
      <c r="J9" s="985"/>
      <c r="K9" s="499"/>
      <c r="L9" s="1025"/>
      <c r="M9" s="499"/>
    </row>
    <row r="10" spans="1:14" s="455" customFormat="1" ht="13.5">
      <c r="A10" s="471"/>
      <c r="B10" s="454"/>
      <c r="C10" s="2591"/>
      <c r="D10" s="309"/>
      <c r="E10" s="309"/>
      <c r="F10" s="309"/>
      <c r="G10" s="497"/>
      <c r="H10" s="1056"/>
      <c r="I10" s="985"/>
      <c r="J10" s="985"/>
      <c r="K10" s="499"/>
      <c r="L10" s="1025"/>
      <c r="M10" s="499"/>
    </row>
    <row r="11" spans="1:14" s="455" customFormat="1" ht="13.5">
      <c r="A11" s="471"/>
      <c r="B11" s="454"/>
      <c r="C11" s="2593"/>
      <c r="D11" s="309"/>
      <c r="E11" s="309"/>
      <c r="F11" s="309"/>
      <c r="G11" s="497"/>
      <c r="H11" s="1056"/>
      <c r="I11" s="985"/>
      <c r="J11" s="985"/>
      <c r="K11" s="499"/>
      <c r="L11" s="1025"/>
      <c r="M11" s="499"/>
    </row>
    <row r="12" spans="1:14" s="455" customFormat="1" ht="13.5">
      <c r="A12" s="471"/>
      <c r="B12" s="454"/>
      <c r="C12" s="314"/>
      <c r="D12" s="309"/>
      <c r="E12" s="309"/>
      <c r="F12" s="309"/>
      <c r="G12" s="497"/>
      <c r="H12" s="1056"/>
      <c r="I12" s="985"/>
      <c r="J12" s="985"/>
      <c r="K12" s="499"/>
      <c r="L12" s="1025"/>
      <c r="M12" s="499"/>
      <c r="N12" s="1466"/>
    </row>
    <row r="13" spans="1:14" s="455" customFormat="1" ht="13.5">
      <c r="A13" s="471"/>
      <c r="B13" s="454"/>
      <c r="C13" s="2679"/>
      <c r="D13" s="309"/>
      <c r="E13" s="309"/>
      <c r="F13" s="309"/>
      <c r="G13" s="497"/>
      <c r="H13" s="985"/>
      <c r="I13" s="985"/>
      <c r="J13" s="985"/>
      <c r="K13" s="499"/>
      <c r="L13" s="1025"/>
      <c r="M13" s="499"/>
      <c r="N13" s="1466"/>
    </row>
    <row r="14" spans="1:14" s="455" customFormat="1" ht="13.5">
      <c r="A14" s="471"/>
      <c r="B14" s="454"/>
      <c r="C14" s="2679"/>
      <c r="D14" s="309"/>
      <c r="E14" s="309"/>
      <c r="F14" s="309"/>
      <c r="G14" s="497"/>
      <c r="H14" s="985"/>
      <c r="I14" s="985"/>
      <c r="J14" s="985"/>
      <c r="K14" s="499"/>
      <c r="L14" s="1025"/>
      <c r="M14" s="499"/>
      <c r="N14" s="1467"/>
    </row>
    <row r="15" spans="1:14" s="455" customFormat="1" ht="13.5">
      <c r="A15" s="471"/>
      <c r="B15" s="454"/>
      <c r="C15" s="2679"/>
      <c r="D15" s="309"/>
      <c r="E15" s="309"/>
      <c r="F15" s="309"/>
      <c r="G15" s="497"/>
      <c r="H15" s="985"/>
      <c r="I15" s="985"/>
      <c r="J15" s="985"/>
      <c r="K15" s="499"/>
      <c r="L15" s="1025"/>
      <c r="M15" s="499"/>
      <c r="N15" s="1468"/>
    </row>
    <row r="16" spans="1:14" s="455" customFormat="1" ht="13.5">
      <c r="A16" s="471"/>
      <c r="B16" s="454"/>
      <c r="C16" s="2679"/>
      <c r="D16" s="309"/>
      <c r="E16" s="309"/>
      <c r="F16" s="309"/>
      <c r="G16" s="497"/>
      <c r="H16" s="985"/>
      <c r="I16" s="985"/>
      <c r="J16" s="985"/>
      <c r="K16" s="499"/>
      <c r="L16" s="1025"/>
      <c r="M16" s="499"/>
      <c r="N16" s="1468"/>
    </row>
    <row r="17" spans="1:15" s="455" customFormat="1" ht="13.5">
      <c r="A17" s="471"/>
      <c r="B17" s="454"/>
      <c r="C17" s="2591"/>
      <c r="D17" s="309"/>
      <c r="E17" s="309"/>
      <c r="F17" s="309"/>
      <c r="G17" s="497"/>
      <c r="H17" s="985"/>
      <c r="I17" s="985"/>
      <c r="J17" s="985"/>
      <c r="K17" s="499"/>
      <c r="L17" s="1025"/>
      <c r="M17" s="499"/>
      <c r="N17" s="1468"/>
    </row>
    <row r="18" spans="1:15" s="455" customFormat="1" ht="13.5">
      <c r="A18" s="471"/>
      <c r="B18" s="454"/>
      <c r="C18" s="2593"/>
      <c r="D18" s="309"/>
      <c r="E18" s="309"/>
      <c r="F18" s="309"/>
      <c r="G18" s="497"/>
      <c r="H18" s="985"/>
      <c r="I18" s="985"/>
      <c r="J18" s="985"/>
      <c r="K18" s="499"/>
      <c r="L18" s="1025"/>
      <c r="M18" s="499"/>
      <c r="N18" s="1468"/>
    </row>
    <row r="19" spans="1:15" s="455" customFormat="1" ht="13.5">
      <c r="A19" s="471"/>
      <c r="B19" s="454"/>
      <c r="C19" s="392"/>
      <c r="D19" s="309"/>
      <c r="E19" s="309"/>
      <c r="F19" s="309"/>
      <c r="G19" s="497"/>
      <c r="H19" s="1056"/>
      <c r="I19" s="985"/>
      <c r="J19" s="985"/>
      <c r="K19" s="499"/>
      <c r="L19" s="1025"/>
      <c r="M19" s="499"/>
      <c r="N19" s="1465"/>
    </row>
    <row r="20" spans="1:15" s="455" customFormat="1" ht="13.5">
      <c r="A20" s="471"/>
      <c r="B20" s="454"/>
      <c r="C20" s="392"/>
      <c r="D20" s="309"/>
      <c r="E20" s="309"/>
      <c r="F20" s="309"/>
      <c r="G20" s="497"/>
      <c r="H20" s="985"/>
      <c r="I20" s="985"/>
      <c r="J20" s="985"/>
      <c r="K20" s="499"/>
      <c r="L20" s="1990">
        <f>SUM(L5:L19)</f>
        <v>50000</v>
      </c>
      <c r="M20" s="499"/>
    </row>
    <row r="21" spans="1:15" s="455" customFormat="1" ht="13.5">
      <c r="A21" s="471"/>
      <c r="B21" s="454"/>
      <c r="C21" s="987"/>
      <c r="D21" s="314"/>
      <c r="E21" s="662"/>
      <c r="F21" s="309"/>
      <c r="G21" s="497"/>
      <c r="H21" s="985"/>
      <c r="I21" s="985"/>
      <c r="J21" s="985"/>
      <c r="K21" s="499"/>
      <c r="L21" s="1025"/>
      <c r="M21" s="499"/>
      <c r="N21" s="454"/>
    </row>
    <row r="22" spans="1:15" s="455" customFormat="1" ht="13.5">
      <c r="A22" s="471"/>
      <c r="B22" s="454"/>
      <c r="C22" s="987"/>
      <c r="D22" s="314"/>
      <c r="E22" s="662"/>
      <c r="F22" s="309"/>
      <c r="G22" s="497"/>
      <c r="H22" s="985"/>
      <c r="I22" s="985"/>
      <c r="J22" s="985"/>
      <c r="K22" s="499"/>
      <c r="L22" s="1025"/>
      <c r="M22" s="499"/>
      <c r="N22" s="458"/>
    </row>
    <row r="23" spans="1:15" s="455" customFormat="1" ht="13.5">
      <c r="A23" s="471"/>
      <c r="B23" s="454"/>
      <c r="C23" s="987"/>
      <c r="D23" s="314"/>
      <c r="E23" s="662"/>
      <c r="F23" s="309"/>
      <c r="G23" s="497"/>
      <c r="H23" s="985"/>
      <c r="I23" s="985"/>
      <c r="J23" s="985"/>
      <c r="K23" s="499"/>
      <c r="L23" s="1065"/>
      <c r="M23" s="499"/>
      <c r="N23" s="458"/>
    </row>
    <row r="24" spans="1:15" s="455" customFormat="1" ht="13.5">
      <c r="A24" s="471"/>
      <c r="B24" s="454"/>
      <c r="C24" s="987"/>
      <c r="D24" s="309"/>
      <c r="E24" s="662"/>
      <c r="F24" s="309"/>
      <c r="G24" s="497"/>
      <c r="H24" s="985"/>
      <c r="I24" s="985"/>
      <c r="J24" s="985"/>
      <c r="K24" s="499"/>
      <c r="L24" s="1065"/>
      <c r="M24" s="499"/>
      <c r="N24" s="458"/>
    </row>
    <row r="25" spans="1:15" s="455" customFormat="1" ht="13.5">
      <c r="A25" s="471"/>
      <c r="B25" s="454"/>
      <c r="C25" s="314"/>
      <c r="D25" s="314"/>
      <c r="E25" s="309"/>
      <c r="F25" s="309"/>
      <c r="G25" s="497"/>
      <c r="H25" s="985"/>
      <c r="I25" s="985"/>
      <c r="J25" s="985"/>
      <c r="K25" s="309"/>
      <c r="L25" s="1015"/>
      <c r="M25" s="499"/>
      <c r="N25" s="458"/>
    </row>
    <row r="26" spans="1:15" s="455" customFormat="1" ht="13.5">
      <c r="A26" s="471"/>
      <c r="B26" s="454"/>
      <c r="C26" s="314"/>
      <c r="D26" s="314"/>
      <c r="E26" s="309"/>
      <c r="F26" s="309"/>
      <c r="G26" s="497"/>
      <c r="H26" s="985"/>
      <c r="I26" s="985"/>
      <c r="J26" s="985"/>
      <c r="K26" s="309"/>
      <c r="L26" s="1015"/>
      <c r="M26" s="499"/>
      <c r="N26" s="460"/>
    </row>
    <row r="27" spans="1:15" s="455" customFormat="1" ht="13.5">
      <c r="A27" s="471"/>
      <c r="B27" s="454"/>
      <c r="C27" s="314"/>
      <c r="D27" s="314"/>
      <c r="E27" s="560"/>
      <c r="F27" s="309"/>
      <c r="G27" s="497"/>
      <c r="H27" s="985"/>
      <c r="I27" s="985"/>
      <c r="J27" s="985"/>
      <c r="K27" s="309"/>
      <c r="L27" s="1015"/>
      <c r="M27" s="499"/>
      <c r="N27" s="454"/>
    </row>
    <row r="28" spans="1:15" s="455" customFormat="1" ht="13.5">
      <c r="A28" s="471"/>
      <c r="B28" s="454"/>
      <c r="C28" s="987"/>
      <c r="D28" s="314"/>
      <c r="E28" s="662"/>
      <c r="F28" s="309"/>
      <c r="G28" s="497"/>
      <c r="H28" s="985"/>
      <c r="I28" s="985"/>
      <c r="J28" s="985"/>
      <c r="K28" s="499"/>
      <c r="L28" s="1065"/>
      <c r="M28" s="499"/>
      <c r="N28" s="458"/>
    </row>
    <row r="29" spans="1:15" s="455" customFormat="1" ht="13.5">
      <c r="A29" s="471"/>
      <c r="B29" s="454"/>
      <c r="C29" s="392"/>
      <c r="D29" s="309"/>
      <c r="E29" s="309"/>
      <c r="F29" s="662"/>
      <c r="G29" s="309"/>
      <c r="H29" s="497"/>
      <c r="I29" s="985"/>
      <c r="J29" s="985"/>
      <c r="K29" s="1066"/>
      <c r="L29" s="1067"/>
      <c r="M29" s="1025"/>
      <c r="N29" s="1068"/>
      <c r="O29" s="458"/>
    </row>
    <row r="30" spans="1:15" s="455" customFormat="1" ht="13.5">
      <c r="A30" s="471"/>
      <c r="B30" s="454"/>
      <c r="C30" s="471"/>
      <c r="D30" s="456"/>
      <c r="E30" s="459"/>
      <c r="F30" s="466"/>
      <c r="G30" s="471"/>
      <c r="H30" s="477"/>
      <c r="I30" s="526"/>
      <c r="J30" s="526"/>
      <c r="K30" s="526"/>
      <c r="L30" s="473"/>
      <c r="M30" s="529"/>
      <c r="N30" s="471"/>
      <c r="O30" s="458"/>
    </row>
    <row r="31" spans="1:15" s="455" customFormat="1" ht="13.5">
      <c r="A31" s="471"/>
      <c r="B31" s="454"/>
      <c r="C31" s="471"/>
      <c r="D31" s="456"/>
      <c r="E31" s="459"/>
      <c r="F31" s="466"/>
      <c r="G31" s="471"/>
      <c r="H31" s="477"/>
      <c r="I31" s="526"/>
      <c r="J31" s="526"/>
      <c r="K31" s="526"/>
      <c r="L31" s="473"/>
      <c r="M31" s="529"/>
      <c r="N31" s="471"/>
      <c r="O31" s="458"/>
    </row>
    <row r="32" spans="1:15" s="455" customFormat="1" ht="13.5">
      <c r="A32" s="471"/>
      <c r="B32" s="454"/>
      <c r="C32" s="314"/>
      <c r="D32" s="309"/>
      <c r="E32" s="309"/>
      <c r="F32" s="309"/>
      <c r="G32" s="309"/>
      <c r="H32" s="309"/>
      <c r="I32" s="309"/>
      <c r="J32" s="309"/>
      <c r="K32" s="309"/>
      <c r="L32" s="309"/>
      <c r="M32" s="309"/>
      <c r="N32" s="309"/>
    </row>
    <row r="33" spans="1:14" s="455" customFormat="1" ht="13.5">
      <c r="A33" s="471"/>
      <c r="B33" s="454"/>
      <c r="C33" s="314"/>
      <c r="D33" s="314"/>
      <c r="E33" s="309"/>
      <c r="F33" s="309"/>
      <c r="G33" s="497"/>
      <c r="H33" s="1056"/>
      <c r="I33" s="309"/>
      <c r="J33" s="309"/>
      <c r="K33" s="499"/>
      <c r="L33" s="1069"/>
      <c r="M33" s="309"/>
      <c r="N33" s="454"/>
    </row>
    <row r="34" spans="1:14" s="455" customFormat="1" ht="13.5">
      <c r="A34" s="471"/>
      <c r="B34" s="454"/>
      <c r="C34" s="314"/>
      <c r="D34" s="314"/>
      <c r="E34" s="309"/>
      <c r="F34" s="309"/>
      <c r="G34" s="497"/>
      <c r="H34" s="1056"/>
      <c r="I34" s="309"/>
      <c r="J34" s="309"/>
      <c r="K34" s="499"/>
      <c r="L34" s="1069"/>
      <c r="M34" s="499"/>
      <c r="N34" s="458"/>
    </row>
    <row r="35" spans="1:14" s="455" customFormat="1" ht="13.5">
      <c r="A35" s="471"/>
      <c r="B35" s="454"/>
      <c r="C35" s="314"/>
      <c r="D35" s="314"/>
      <c r="E35" s="309"/>
      <c r="F35" s="309"/>
      <c r="G35" s="497"/>
      <c r="H35" s="1056"/>
      <c r="I35" s="309"/>
      <c r="J35" s="309"/>
      <c r="K35" s="499"/>
      <c r="L35" s="1069"/>
      <c r="M35" s="499"/>
      <c r="N35" s="458"/>
    </row>
    <row r="36" spans="1:14" s="455" customFormat="1" ht="13.5">
      <c r="A36" s="471"/>
      <c r="B36" s="454"/>
      <c r="C36" s="314"/>
      <c r="D36" s="314"/>
      <c r="E36" s="662"/>
      <c r="F36" s="309"/>
      <c r="G36" s="497"/>
      <c r="H36" s="1056"/>
      <c r="I36" s="985"/>
      <c r="J36" s="985"/>
      <c r="K36" s="499"/>
      <c r="L36" s="1016"/>
      <c r="M36" s="499"/>
      <c r="N36" s="458"/>
    </row>
    <row r="37" spans="1:14" s="455" customFormat="1" ht="13.5">
      <c r="A37" s="471"/>
      <c r="B37" s="454"/>
      <c r="C37" s="314"/>
      <c r="D37" s="314"/>
      <c r="E37" s="662"/>
      <c r="F37" s="309"/>
      <c r="G37" s="497"/>
      <c r="H37" s="1056"/>
      <c r="I37" s="985"/>
      <c r="J37" s="985"/>
      <c r="K37" s="499"/>
      <c r="L37" s="1016"/>
      <c r="M37" s="499"/>
      <c r="N37" s="458"/>
    </row>
    <row r="38" spans="1:14" s="455" customFormat="1" ht="13.5">
      <c r="A38" s="471"/>
      <c r="B38" s="454"/>
      <c r="C38" s="314"/>
      <c r="D38" s="314"/>
      <c r="E38" s="662"/>
      <c r="F38" s="309"/>
      <c r="G38" s="497"/>
      <c r="H38" s="1056"/>
      <c r="I38" s="985"/>
      <c r="J38" s="985"/>
      <c r="K38" s="499"/>
      <c r="L38" s="1071"/>
      <c r="M38" s="499"/>
    </row>
    <row r="39" spans="1:14" s="455" customFormat="1" ht="13.5">
      <c r="A39" s="471"/>
      <c r="B39" s="454"/>
      <c r="C39" s="314"/>
      <c r="D39" s="314"/>
      <c r="E39" s="662"/>
      <c r="F39" s="309"/>
      <c r="G39" s="497"/>
      <c r="H39" s="1056"/>
      <c r="I39" s="985"/>
      <c r="J39" s="985"/>
      <c r="K39" s="499"/>
      <c r="L39" s="1071"/>
      <c r="M39" s="499"/>
    </row>
    <row r="40" spans="1:14" s="455" customFormat="1" ht="13.5">
      <c r="A40" s="471"/>
      <c r="B40" s="454"/>
      <c r="C40" s="314"/>
      <c r="D40" s="314"/>
      <c r="E40" s="662"/>
      <c r="F40" s="309"/>
      <c r="G40" s="497"/>
      <c r="H40" s="1056"/>
      <c r="I40" s="985"/>
      <c r="J40" s="985"/>
      <c r="K40" s="499"/>
      <c r="L40" s="1016"/>
      <c r="M40" s="499"/>
    </row>
    <row r="41" spans="1:14" s="455" customFormat="1" ht="13.5">
      <c r="A41" s="471"/>
      <c r="B41" s="454"/>
      <c r="C41" s="314"/>
      <c r="D41" s="314"/>
      <c r="E41" s="662"/>
      <c r="F41" s="309"/>
      <c r="G41" s="497"/>
      <c r="H41" s="1056"/>
      <c r="I41" s="985"/>
      <c r="J41" s="985"/>
      <c r="K41" s="499"/>
      <c r="L41" s="1016"/>
      <c r="M41" s="499"/>
    </row>
    <row r="42" spans="1:14" s="455" customFormat="1" ht="13.5">
      <c r="A42" s="471"/>
      <c r="B42" s="454"/>
      <c r="C42" s="314"/>
      <c r="D42" s="314"/>
      <c r="E42" s="662"/>
      <c r="F42" s="309"/>
      <c r="G42" s="497"/>
      <c r="H42" s="1056"/>
      <c r="I42" s="985"/>
      <c r="J42" s="985"/>
      <c r="K42" s="499"/>
      <c r="L42" s="1016"/>
      <c r="M42" s="499"/>
      <c r="N42" s="458"/>
    </row>
    <row r="43" spans="1:14" s="455" customFormat="1" ht="13.5">
      <c r="A43" s="471"/>
      <c r="B43" s="454"/>
      <c r="C43" s="314"/>
      <c r="D43" s="314"/>
      <c r="E43" s="662"/>
      <c r="F43" s="309"/>
      <c r="G43" s="497"/>
      <c r="H43" s="1056"/>
      <c r="I43" s="985"/>
      <c r="J43" s="985"/>
      <c r="K43" s="499"/>
      <c r="L43" s="1016"/>
      <c r="M43" s="499"/>
      <c r="N43" s="458"/>
    </row>
    <row r="44" spans="1:14" s="455" customFormat="1" ht="13.5">
      <c r="A44" s="471"/>
      <c r="B44" s="454"/>
      <c r="C44" s="314"/>
      <c r="D44" s="314"/>
      <c r="E44" s="662"/>
      <c r="F44" s="309"/>
      <c r="G44" s="497"/>
      <c r="H44" s="1056"/>
      <c r="I44" s="985"/>
      <c r="J44" s="985"/>
      <c r="K44" s="499"/>
      <c r="L44" s="1016"/>
      <c r="M44" s="499"/>
      <c r="N44" s="458"/>
    </row>
    <row r="45" spans="1:14" s="455" customFormat="1" ht="13.5">
      <c r="A45" s="471"/>
      <c r="B45" s="454"/>
      <c r="C45" s="2591"/>
      <c r="D45" s="314"/>
      <c r="E45" s="662"/>
      <c r="F45" s="309"/>
      <c r="G45" s="497"/>
      <c r="H45" s="1056"/>
      <c r="I45" s="985"/>
      <c r="J45" s="985"/>
      <c r="K45" s="499"/>
      <c r="L45" s="1016"/>
      <c r="M45" s="499"/>
    </row>
    <row r="46" spans="1:14" s="455" customFormat="1" ht="13.5">
      <c r="A46" s="471"/>
      <c r="B46" s="454"/>
      <c r="C46" s="2593"/>
      <c r="D46" s="314"/>
      <c r="E46" s="662"/>
      <c r="F46" s="309"/>
      <c r="G46" s="497"/>
      <c r="H46" s="1056"/>
      <c r="I46" s="985"/>
      <c r="J46" s="985"/>
      <c r="K46" s="499"/>
      <c r="L46" s="1016"/>
      <c r="M46" s="499"/>
      <c r="N46" s="454"/>
    </row>
    <row r="47" spans="1:14" s="455" customFormat="1" ht="13.5">
      <c r="A47" s="471"/>
      <c r="B47" s="454"/>
      <c r="C47" s="2591"/>
      <c r="D47" s="314"/>
      <c r="E47" s="662"/>
      <c r="F47" s="309"/>
      <c r="G47" s="497"/>
      <c r="H47" s="1056"/>
      <c r="I47" s="985"/>
      <c r="J47" s="985"/>
      <c r="K47" s="499"/>
      <c r="L47" s="1016"/>
      <c r="M47" s="499"/>
      <c r="N47" s="458"/>
    </row>
    <row r="48" spans="1:14" s="455" customFormat="1" ht="13.5">
      <c r="A48" s="471"/>
      <c r="B48" s="454"/>
      <c r="C48" s="2592"/>
      <c r="D48" s="314"/>
      <c r="E48" s="662"/>
      <c r="F48" s="309"/>
      <c r="G48" s="497"/>
      <c r="H48" s="1056"/>
      <c r="I48" s="985"/>
      <c r="J48" s="985"/>
      <c r="K48" s="499"/>
      <c r="L48" s="1016"/>
      <c r="M48" s="499"/>
      <c r="N48" s="458"/>
    </row>
    <row r="49" spans="1:15" s="455" customFormat="1" ht="13.5">
      <c r="A49" s="471"/>
      <c r="B49" s="454"/>
      <c r="C49" s="2593"/>
      <c r="D49" s="314"/>
      <c r="E49" s="662"/>
      <c r="F49" s="309"/>
      <c r="G49" s="497"/>
      <c r="H49" s="1056"/>
      <c r="I49" s="985"/>
      <c r="J49" s="985"/>
      <c r="K49" s="499"/>
      <c r="L49" s="1016"/>
      <c r="M49" s="499"/>
      <c r="N49" s="458"/>
    </row>
    <row r="50" spans="1:15" s="455" customFormat="1" ht="13.5">
      <c r="A50" s="471"/>
      <c r="B50" s="454"/>
      <c r="C50" s="314"/>
      <c r="D50" s="314"/>
      <c r="E50" s="662"/>
      <c r="F50" s="309"/>
      <c r="G50" s="497"/>
      <c r="H50" s="985"/>
      <c r="I50" s="985"/>
      <c r="J50" s="985"/>
      <c r="K50" s="499"/>
      <c r="L50" s="1016"/>
      <c r="M50" s="499"/>
      <c r="N50" s="458"/>
    </row>
    <row r="51" spans="1:15" s="455" customFormat="1" ht="13.5">
      <c r="A51" s="471"/>
      <c r="B51" s="454"/>
      <c r="C51" s="314"/>
      <c r="D51" s="314"/>
      <c r="E51" s="662"/>
      <c r="F51" s="309"/>
      <c r="G51" s="497"/>
      <c r="H51" s="985"/>
      <c r="I51" s="985"/>
      <c r="J51" s="985"/>
      <c r="K51" s="499"/>
      <c r="L51" s="1016"/>
      <c r="M51" s="499"/>
      <c r="N51" s="460"/>
    </row>
    <row r="52" spans="1:15" s="455" customFormat="1" ht="13.5">
      <c r="C52" s="314"/>
      <c r="D52" s="314"/>
      <c r="E52" s="662"/>
      <c r="F52" s="662"/>
      <c r="G52" s="309"/>
      <c r="H52" s="497"/>
      <c r="I52" s="1056"/>
      <c r="J52" s="985"/>
      <c r="K52" s="985"/>
      <c r="L52" s="499"/>
      <c r="M52" s="1025"/>
      <c r="N52" s="499"/>
    </row>
    <row r="53" spans="1:15" s="455" customFormat="1" ht="13.5">
      <c r="C53" s="902"/>
      <c r="D53" s="309"/>
      <c r="E53" s="662"/>
      <c r="F53" s="662"/>
      <c r="G53" s="309"/>
      <c r="H53" s="497"/>
      <c r="I53" s="653"/>
      <c r="J53" s="985"/>
      <c r="K53" s="1469"/>
      <c r="L53" s="499"/>
      <c r="M53" s="1025"/>
      <c r="N53" s="499"/>
    </row>
    <row r="54" spans="1:15" s="455" customFormat="1" ht="13.5">
      <c r="A54" s="566"/>
      <c r="B54" s="467"/>
      <c r="C54" s="499"/>
      <c r="D54" s="309"/>
      <c r="E54" s="391"/>
      <c r="F54" s="499"/>
      <c r="G54" s="497"/>
      <c r="H54" s="498"/>
      <c r="I54" s="498"/>
      <c r="J54" s="498"/>
      <c r="K54" s="499"/>
      <c r="L54" s="1470"/>
      <c r="M54" s="309"/>
      <c r="N54" s="499"/>
    </row>
    <row r="55" spans="1:15" s="455" customFormat="1" ht="13.5">
      <c r="A55" s="566"/>
      <c r="B55" s="467"/>
      <c r="C55" s="497"/>
      <c r="D55" s="691"/>
      <c r="E55" s="675"/>
      <c r="F55" s="675"/>
      <c r="G55" s="654"/>
      <c r="H55" s="502"/>
      <c r="I55" s="652"/>
      <c r="J55" s="497"/>
      <c r="K55" s="653"/>
      <c r="L55" s="502"/>
      <c r="M55" s="538"/>
      <c r="N55" s="392"/>
      <c r="O55" s="502"/>
    </row>
    <row r="56" spans="1:15" s="455" customFormat="1" ht="13.5">
      <c r="A56" s="566"/>
      <c r="B56" s="467"/>
      <c r="C56" s="497"/>
      <c r="D56" s="691"/>
      <c r="E56" s="675"/>
      <c r="F56" s="675"/>
      <c r="G56" s="654"/>
      <c r="H56" s="502"/>
      <c r="I56" s="652"/>
      <c r="J56" s="497"/>
      <c r="K56" s="653"/>
      <c r="L56" s="502"/>
      <c r="M56" s="538"/>
      <c r="N56" s="392"/>
      <c r="O56" s="502"/>
    </row>
    <row r="57" spans="1:15" s="455" customFormat="1" ht="13.5">
      <c r="A57" s="566"/>
      <c r="B57" s="467"/>
      <c r="C57" s="497"/>
      <c r="D57" s="691"/>
      <c r="E57" s="675"/>
      <c r="F57" s="675"/>
      <c r="G57" s="654"/>
      <c r="H57" s="502"/>
      <c r="I57" s="652"/>
      <c r="J57" s="497"/>
      <c r="K57" s="653"/>
      <c r="L57" s="502"/>
      <c r="M57" s="538"/>
      <c r="N57" s="392"/>
      <c r="O57" s="502"/>
    </row>
    <row r="58" spans="1:15" s="455" customFormat="1" ht="13.5">
      <c r="A58" s="566"/>
      <c r="B58" s="467"/>
      <c r="C58" s="497"/>
      <c r="D58" s="691"/>
      <c r="E58" s="675"/>
      <c r="F58" s="675"/>
      <c r="G58" s="654"/>
      <c r="H58" s="502"/>
      <c r="I58" s="652"/>
      <c r="J58" s="497"/>
      <c r="K58" s="653"/>
      <c r="L58" s="502"/>
      <c r="M58" s="538"/>
      <c r="N58" s="392"/>
      <c r="O58" s="502"/>
    </row>
    <row r="59" spans="1:15" s="455" customFormat="1" ht="13.5">
      <c r="C59" s="1384"/>
      <c r="D59" s="314"/>
      <c r="E59" s="662"/>
      <c r="F59" s="662"/>
      <c r="G59" s="309"/>
      <c r="H59" s="497"/>
      <c r="I59" s="653"/>
      <c r="J59" s="985"/>
      <c r="K59" s="1469"/>
      <c r="L59" s="499"/>
      <c r="M59" s="1025"/>
      <c r="N59" s="499"/>
    </row>
    <row r="60" spans="1:15" s="455" customFormat="1" ht="13.5">
      <c r="C60" s="1384"/>
      <c r="D60" s="314"/>
      <c r="E60" s="662"/>
      <c r="F60" s="662"/>
      <c r="G60" s="309"/>
      <c r="H60" s="497"/>
      <c r="I60" s="653"/>
      <c r="J60" s="985"/>
      <c r="K60" s="1469"/>
      <c r="L60" s="499"/>
      <c r="M60" s="1025"/>
      <c r="N60" s="499"/>
    </row>
    <row r="61" spans="1:15" s="455" customFormat="1" ht="13.5">
      <c r="A61" s="566"/>
      <c r="B61" s="467"/>
      <c r="C61" s="499"/>
      <c r="D61" s="309"/>
      <c r="E61" s="391"/>
      <c r="F61" s="499"/>
      <c r="G61" s="497"/>
      <c r="H61" s="498"/>
      <c r="I61" s="498"/>
      <c r="J61" s="498"/>
      <c r="K61" s="499"/>
      <c r="L61" s="1470"/>
      <c r="M61" s="309"/>
      <c r="N61" s="499"/>
    </row>
    <row r="62" spans="1:15" s="455" customFormat="1" ht="13.5">
      <c r="A62" s="566"/>
      <c r="B62" s="467"/>
      <c r="C62" s="497"/>
      <c r="D62" s="691"/>
      <c r="E62" s="675"/>
      <c r="F62" s="675"/>
      <c r="G62" s="654"/>
      <c r="H62" s="502"/>
      <c r="I62" s="652"/>
      <c r="J62" s="497"/>
      <c r="K62" s="653"/>
      <c r="L62" s="502"/>
      <c r="M62" s="538"/>
      <c r="N62" s="392"/>
      <c r="O62" s="502"/>
    </row>
    <row r="63" spans="1:15" s="455" customFormat="1" ht="13.5">
      <c r="A63" s="566"/>
      <c r="B63" s="467"/>
      <c r="C63" s="497"/>
      <c r="D63" s="691"/>
      <c r="E63" s="675"/>
      <c r="F63" s="675"/>
      <c r="G63" s="654"/>
      <c r="H63" s="502"/>
      <c r="I63" s="652"/>
      <c r="J63" s="497"/>
      <c r="K63" s="653"/>
      <c r="L63" s="502"/>
      <c r="M63" s="538"/>
      <c r="N63" s="392"/>
      <c r="O63" s="502"/>
    </row>
    <row r="64" spans="1:15" s="455" customFormat="1" ht="13.5">
      <c r="A64" s="566"/>
      <c r="B64" s="467"/>
      <c r="C64" s="497"/>
      <c r="D64" s="691"/>
      <c r="E64" s="675"/>
      <c r="F64" s="675"/>
      <c r="G64" s="654"/>
      <c r="H64" s="502"/>
      <c r="I64" s="652"/>
      <c r="J64" s="497"/>
      <c r="K64" s="653"/>
      <c r="L64" s="502"/>
      <c r="M64" s="538"/>
      <c r="N64" s="392"/>
      <c r="O64" s="502"/>
    </row>
    <row r="65" spans="1:15" s="455" customFormat="1" ht="13.5">
      <c r="A65" s="566"/>
      <c r="B65" s="467"/>
      <c r="C65" s="497"/>
      <c r="D65" s="691"/>
      <c r="E65" s="675"/>
      <c r="F65" s="675"/>
      <c r="G65" s="654"/>
      <c r="H65" s="502"/>
      <c r="I65" s="652"/>
      <c r="J65" s="497"/>
      <c r="K65" s="653"/>
      <c r="L65" s="502"/>
      <c r="M65" s="538"/>
      <c r="N65" s="392"/>
      <c r="O65" s="502"/>
    </row>
    <row r="66" spans="1:15" s="455" customFormat="1" ht="13.5">
      <c r="C66" s="1385"/>
      <c r="D66" s="314"/>
      <c r="E66" s="991"/>
      <c r="F66" s="662"/>
      <c r="G66" s="309"/>
      <c r="H66" s="497"/>
      <c r="I66" s="774"/>
      <c r="J66" s="774"/>
      <c r="K66" s="774"/>
      <c r="L66" s="499"/>
      <c r="M66" s="1028"/>
      <c r="N66" s="499"/>
    </row>
    <row r="67" spans="1:15" s="455" customFormat="1" ht="13.5">
      <c r="C67" s="314"/>
      <c r="D67" s="314"/>
      <c r="E67" s="991"/>
      <c r="F67" s="662"/>
      <c r="G67" s="309"/>
      <c r="H67" s="497"/>
      <c r="I67" s="774"/>
      <c r="J67" s="774"/>
      <c r="K67" s="1471"/>
      <c r="L67" s="499"/>
      <c r="M67" s="1028"/>
      <c r="N67" s="499"/>
    </row>
    <row r="68" spans="1:15" s="455" customFormat="1" ht="13.5">
      <c r="C68" s="1027"/>
      <c r="D68" s="314"/>
      <c r="E68" s="991"/>
      <c r="F68" s="662"/>
      <c r="G68" s="309"/>
      <c r="H68" s="497"/>
      <c r="I68" s="1056"/>
      <c r="J68" s="985"/>
      <c r="K68" s="985"/>
      <c r="L68" s="499"/>
      <c r="M68" s="1028"/>
      <c r="N68" s="499"/>
    </row>
    <row r="69" spans="1:15" s="455" customFormat="1" ht="13.5">
      <c r="C69" s="499"/>
      <c r="D69" s="309"/>
      <c r="E69" s="391"/>
      <c r="F69" s="499"/>
      <c r="G69" s="497"/>
      <c r="H69" s="498"/>
      <c r="I69" s="498"/>
      <c r="J69" s="498"/>
      <c r="K69" s="499"/>
      <c r="L69" s="1472"/>
      <c r="M69" s="309"/>
      <c r="N69" s="499"/>
    </row>
    <row r="70" spans="1:15" s="455" customFormat="1" ht="13.5">
      <c r="C70" s="497"/>
      <c r="D70" s="691"/>
      <c r="E70" s="675"/>
      <c r="F70" s="675"/>
      <c r="G70" s="654"/>
      <c r="H70" s="502"/>
      <c r="I70" s="652"/>
      <c r="J70" s="497"/>
      <c r="K70" s="653"/>
      <c r="L70" s="502"/>
      <c r="M70" s="538"/>
      <c r="N70" s="392"/>
      <c r="O70" s="502"/>
    </row>
    <row r="71" spans="1:15" s="455" customFormat="1" ht="13.5">
      <c r="C71" s="497"/>
      <c r="D71" s="691"/>
      <c r="E71" s="675"/>
      <c r="F71" s="675"/>
      <c r="G71" s="654"/>
      <c r="H71" s="502"/>
      <c r="I71" s="652"/>
      <c r="J71" s="497"/>
      <c r="K71" s="653"/>
      <c r="L71" s="502"/>
      <c r="M71" s="538"/>
      <c r="N71" s="392"/>
      <c r="O71" s="502"/>
    </row>
    <row r="72" spans="1:15" s="455" customFormat="1" ht="13.5">
      <c r="C72" s="497"/>
      <c r="D72" s="691"/>
      <c r="E72" s="675"/>
      <c r="F72" s="675"/>
      <c r="G72" s="654"/>
      <c r="H72" s="502"/>
      <c r="I72" s="652"/>
      <c r="J72" s="497"/>
      <c r="K72" s="653"/>
      <c r="L72" s="502"/>
      <c r="M72" s="538"/>
      <c r="N72" s="392"/>
      <c r="O72" s="502"/>
    </row>
    <row r="73" spans="1:15" s="455" customFormat="1" ht="13.5">
      <c r="C73" s="497"/>
      <c r="D73" s="691"/>
      <c r="E73" s="675"/>
      <c r="F73" s="675"/>
      <c r="G73" s="654"/>
      <c r="H73" s="502"/>
      <c r="I73" s="652"/>
      <c r="J73" s="497"/>
      <c r="K73" s="653"/>
      <c r="L73" s="502"/>
      <c r="M73" s="538"/>
      <c r="N73" s="392"/>
      <c r="O73" s="502"/>
    </row>
    <row r="74" spans="1:15" s="455" customFormat="1" ht="13.5">
      <c r="C74" s="497"/>
      <c r="D74" s="691"/>
      <c r="E74" s="675"/>
      <c r="F74" s="675"/>
      <c r="G74" s="654"/>
      <c r="H74" s="502"/>
      <c r="I74" s="652"/>
      <c r="J74" s="497"/>
      <c r="K74" s="653"/>
      <c r="L74" s="502"/>
      <c r="M74" s="538"/>
      <c r="N74" s="392"/>
      <c r="O74" s="502"/>
    </row>
    <row r="75" spans="1:15" s="455" customFormat="1" ht="13.5">
      <c r="C75" s="497"/>
      <c r="D75" s="691"/>
      <c r="E75" s="675"/>
      <c r="F75" s="675"/>
      <c r="G75" s="654"/>
      <c r="H75" s="502"/>
      <c r="I75" s="652"/>
      <c r="J75" s="497"/>
      <c r="K75" s="653"/>
      <c r="L75" s="502"/>
      <c r="M75" s="538"/>
      <c r="N75" s="392"/>
      <c r="O75" s="502"/>
    </row>
    <row r="76" spans="1:15" s="455" customFormat="1" ht="13.5">
      <c r="C76" s="497"/>
      <c r="D76" s="691"/>
      <c r="E76" s="675"/>
      <c r="F76" s="1473"/>
      <c r="G76" s="654"/>
      <c r="H76" s="502"/>
      <c r="I76" s="652"/>
      <c r="J76" s="497"/>
      <c r="K76" s="653"/>
      <c r="L76" s="502"/>
      <c r="M76" s="538"/>
      <c r="N76" s="392"/>
      <c r="O76" s="502"/>
    </row>
    <row r="77" spans="1:15" s="355" customFormat="1" ht="13.5">
      <c r="C77" s="400"/>
      <c r="D77" s="400"/>
      <c r="E77" s="401"/>
      <c r="F77" s="402"/>
      <c r="G77" s="402"/>
      <c r="H77" s="403"/>
      <c r="I77" s="403"/>
      <c r="J77" s="403"/>
      <c r="K77" s="402"/>
      <c r="L77" s="404"/>
      <c r="M77" s="402"/>
      <c r="N77" s="405"/>
    </row>
    <row r="78" spans="1:15" s="355" customFormat="1" ht="13.5">
      <c r="C78" s="400"/>
      <c r="D78" s="400"/>
      <c r="E78" s="401"/>
      <c r="F78" s="402"/>
      <c r="G78" s="402"/>
      <c r="H78" s="403"/>
      <c r="I78" s="403"/>
      <c r="J78" s="403"/>
      <c r="K78" s="402"/>
      <c r="L78" s="404"/>
      <c r="M78" s="402"/>
      <c r="N78" s="405"/>
    </row>
    <row r="79" spans="1:15" s="355" customFormat="1" ht="13.5">
      <c r="C79" s="400"/>
      <c r="D79" s="400"/>
      <c r="E79" s="401"/>
      <c r="F79" s="402"/>
      <c r="G79" s="402"/>
      <c r="H79" s="403"/>
      <c r="I79" s="403"/>
      <c r="J79" s="403"/>
      <c r="K79" s="402"/>
      <c r="L79" s="404"/>
      <c r="M79" s="402"/>
      <c r="N79" s="405"/>
    </row>
    <row r="80" spans="1:15" s="355" customFormat="1" ht="13.5">
      <c r="C80" s="400"/>
      <c r="D80" s="400"/>
      <c r="E80" s="401"/>
      <c r="F80" s="402"/>
      <c r="G80" s="402"/>
      <c r="H80" s="403"/>
      <c r="I80" s="403"/>
      <c r="J80" s="403"/>
      <c r="K80" s="402"/>
      <c r="L80" s="404"/>
      <c r="M80" s="402"/>
      <c r="N80" s="405"/>
    </row>
    <row r="81" spans="3:14" s="355" customFormat="1" ht="13.5">
      <c r="C81" s="400"/>
      <c r="D81" s="400"/>
      <c r="E81" s="401"/>
      <c r="F81" s="402"/>
      <c r="G81" s="402"/>
      <c r="H81" s="403"/>
      <c r="I81" s="403"/>
      <c r="J81" s="403"/>
      <c r="K81" s="402"/>
      <c r="L81" s="404"/>
      <c r="M81" s="402"/>
      <c r="N81" s="405"/>
    </row>
    <row r="82" spans="3:14" s="355" customFormat="1" ht="13.5">
      <c r="C82" s="400"/>
      <c r="D82" s="400"/>
      <c r="E82" s="401"/>
      <c r="F82" s="402"/>
      <c r="G82" s="402"/>
      <c r="H82" s="403"/>
      <c r="I82" s="403"/>
      <c r="J82" s="403"/>
      <c r="K82" s="402"/>
      <c r="L82" s="404"/>
      <c r="M82" s="402"/>
      <c r="N82" s="405"/>
    </row>
    <row r="83" spans="3:14" s="355" customFormat="1" ht="13.5">
      <c r="C83" s="400"/>
      <c r="D83" s="400"/>
      <c r="E83" s="401"/>
      <c r="F83" s="402"/>
      <c r="G83" s="402"/>
      <c r="H83" s="403"/>
      <c r="I83" s="403"/>
      <c r="J83" s="403"/>
      <c r="K83" s="402"/>
      <c r="L83" s="404"/>
      <c r="M83" s="402"/>
      <c r="N83" s="405"/>
    </row>
    <row r="84" spans="3:14" s="355" customFormat="1" ht="13.5">
      <c r="C84" s="400"/>
      <c r="D84" s="400"/>
      <c r="E84" s="401"/>
      <c r="F84" s="402"/>
      <c r="G84" s="402"/>
      <c r="H84" s="403"/>
      <c r="I84" s="403"/>
      <c r="J84" s="403"/>
      <c r="K84" s="402"/>
      <c r="L84" s="404"/>
      <c r="M84" s="402"/>
      <c r="N84" s="405"/>
    </row>
    <row r="85" spans="3:14" s="355" customFormat="1" ht="13.5">
      <c r="C85" s="400"/>
      <c r="D85" s="400"/>
      <c r="E85" s="401"/>
      <c r="F85" s="402"/>
      <c r="G85" s="402"/>
      <c r="H85" s="403"/>
      <c r="I85" s="403"/>
      <c r="J85" s="403"/>
      <c r="K85" s="402"/>
      <c r="L85" s="404"/>
      <c r="M85" s="402"/>
      <c r="N85" s="405"/>
    </row>
    <row r="86" spans="3:14" s="355" customFormat="1" ht="13.5">
      <c r="C86" s="400"/>
      <c r="D86" s="400"/>
      <c r="E86" s="401"/>
      <c r="F86" s="402"/>
      <c r="G86" s="402"/>
      <c r="H86" s="403"/>
      <c r="I86" s="403"/>
      <c r="J86" s="403"/>
      <c r="K86" s="402"/>
      <c r="L86" s="404"/>
      <c r="M86" s="402"/>
      <c r="N86" s="405"/>
    </row>
    <row r="87" spans="3:14" s="355" customFormat="1" ht="13.5">
      <c r="C87" s="400"/>
      <c r="D87" s="400"/>
      <c r="E87" s="401"/>
      <c r="F87" s="402"/>
      <c r="G87" s="402"/>
      <c r="H87" s="403"/>
      <c r="I87" s="403"/>
      <c r="J87" s="403"/>
      <c r="K87" s="402"/>
      <c r="L87" s="404"/>
      <c r="M87" s="402"/>
      <c r="N87" s="405"/>
    </row>
    <row r="88" spans="3:14" s="355" customFormat="1" ht="13.5">
      <c r="C88" s="400"/>
      <c r="D88" s="400"/>
      <c r="E88" s="401"/>
      <c r="F88" s="402"/>
      <c r="G88" s="402"/>
      <c r="H88" s="403"/>
      <c r="I88" s="403"/>
      <c r="J88" s="403"/>
      <c r="K88" s="402"/>
      <c r="L88" s="404"/>
      <c r="M88" s="402"/>
      <c r="N88" s="405"/>
    </row>
    <row r="89" spans="3:14" s="355" customFormat="1" ht="13.5">
      <c r="C89" s="400"/>
      <c r="D89" s="400"/>
      <c r="E89" s="401"/>
      <c r="F89" s="402"/>
      <c r="G89" s="402"/>
      <c r="H89" s="403"/>
      <c r="I89" s="403"/>
      <c r="J89" s="403"/>
      <c r="K89" s="402"/>
      <c r="L89" s="404"/>
      <c r="M89" s="407"/>
      <c r="N89" s="405"/>
    </row>
    <row r="90" spans="3:14" s="355" customFormat="1" ht="13.5">
      <c r="C90" s="400"/>
      <c r="D90" s="400"/>
      <c r="E90" s="401"/>
      <c r="F90" s="402"/>
      <c r="G90" s="403"/>
      <c r="H90" s="403"/>
      <c r="I90" s="403"/>
      <c r="J90" s="403"/>
      <c r="K90" s="408"/>
      <c r="L90" s="404"/>
      <c r="M90" s="407"/>
      <c r="N90" s="405"/>
    </row>
    <row r="91" spans="3:14" s="355" customFormat="1" ht="13.5">
      <c r="C91" s="352"/>
      <c r="D91" s="352"/>
      <c r="E91" s="352"/>
      <c r="F91" s="352"/>
      <c r="G91" s="352"/>
      <c r="H91" s="352"/>
      <c r="I91" s="352"/>
      <c r="J91" s="352"/>
      <c r="K91" s="352"/>
      <c r="L91" s="1403">
        <f>SUM(L5:L89)</f>
        <v>100000</v>
      </c>
      <c r="M91" s="352"/>
      <c r="N91" s="352"/>
    </row>
    <row r="92" spans="3:14" ht="14.25" customHeight="1">
      <c r="C92" s="31"/>
      <c r="D92" s="27"/>
      <c r="E92" s="20"/>
      <c r="F92" s="28"/>
      <c r="G92" s="28"/>
      <c r="H92" s="26"/>
      <c r="I92" s="26"/>
      <c r="J92" s="26"/>
      <c r="K92" s="28"/>
      <c r="L92" s="179"/>
      <c r="M92" s="28"/>
      <c r="N92" s="27"/>
    </row>
    <row r="93" spans="3:14" s="1" customFormat="1" ht="14.25" customHeight="1">
      <c r="C93" s="31"/>
      <c r="D93" s="27"/>
      <c r="E93" s="21"/>
      <c r="F93" s="28"/>
      <c r="G93" s="28"/>
      <c r="H93" s="26"/>
      <c r="I93" s="26"/>
      <c r="J93" s="26"/>
      <c r="K93" s="28"/>
      <c r="L93" s="179"/>
      <c r="M93" s="28"/>
      <c r="N93" s="27"/>
    </row>
    <row r="94" spans="3:14" s="1" customFormat="1" ht="14.25" customHeight="1">
      <c r="C94" s="30"/>
      <c r="D94" s="25"/>
      <c r="E94" s="21"/>
      <c r="F94" s="22"/>
      <c r="G94" s="22"/>
      <c r="H94" s="23"/>
      <c r="I94" s="23"/>
      <c r="J94" s="23"/>
      <c r="K94" s="22"/>
      <c r="L94" s="180"/>
      <c r="M94" s="22"/>
      <c r="N94" s="25"/>
    </row>
  </sheetData>
  <mergeCells count="12">
    <mergeCell ref="N2:N3"/>
    <mergeCell ref="C8:C9"/>
    <mergeCell ref="C47:C49"/>
    <mergeCell ref="C2:G2"/>
    <mergeCell ref="H2:J2"/>
    <mergeCell ref="K2:L2"/>
    <mergeCell ref="M2:M3"/>
    <mergeCell ref="C10:C11"/>
    <mergeCell ref="C13:C14"/>
    <mergeCell ref="C15:C16"/>
    <mergeCell ref="C17:C18"/>
    <mergeCell ref="C45:C46"/>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E72C2-09B5-4C5E-9E6A-ECB51DF75A43}">
  <sheetPr>
    <tabColor rgb="FF00B0F0"/>
  </sheetPr>
  <dimension ref="A1:O125"/>
  <sheetViews>
    <sheetView topLeftCell="B1" zoomScale="85" zoomScaleNormal="85" workbookViewId="0">
      <pane ySplit="4" topLeftCell="A14" activePane="bottomLeft" state="frozen"/>
      <selection pane="bottomLeft" activeCell="F19" sqref="F19:M19"/>
    </sheetView>
  </sheetViews>
  <sheetFormatPr defaultRowHeight="15"/>
  <cols>
    <col min="3" max="3" width="21.42578125" customWidth="1"/>
    <col min="4" max="4" width="49.7109375" bestFit="1"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style="99" customWidth="1"/>
    <col min="13" max="13" width="16.28515625" customWidth="1"/>
    <col min="14" max="14" width="12.85546875" customWidth="1"/>
    <col min="17" max="17" width="73.7109375" bestFit="1" customWidth="1"/>
  </cols>
  <sheetData>
    <row r="1" spans="1:15" s="355" customFormat="1" ht="13.5">
      <c r="L1" s="32"/>
    </row>
    <row r="2" spans="1:15" s="355" customFormat="1" ht="13.5">
      <c r="C2" s="2601" t="s">
        <v>30</v>
      </c>
      <c r="D2" s="2602"/>
      <c r="E2" s="2602"/>
      <c r="F2" s="2602"/>
      <c r="G2" s="2603"/>
      <c r="H2" s="2604" t="s">
        <v>29</v>
      </c>
      <c r="I2" s="2605"/>
      <c r="J2" s="2606"/>
      <c r="K2" s="2601" t="s">
        <v>28</v>
      </c>
      <c r="L2" s="2603"/>
      <c r="M2" s="2594" t="s">
        <v>27</v>
      </c>
      <c r="N2" s="2594" t="s">
        <v>26</v>
      </c>
    </row>
    <row r="3" spans="1:15" s="355" customFormat="1" ht="94.5">
      <c r="C3" s="618" t="s">
        <v>25</v>
      </c>
      <c r="D3" s="852" t="s">
        <v>24</v>
      </c>
      <c r="E3" s="991" t="s">
        <v>23</v>
      </c>
      <c r="F3" s="618" t="s">
        <v>22</v>
      </c>
      <c r="G3" s="532" t="s">
        <v>1303</v>
      </c>
      <c r="H3" s="532" t="s">
        <v>20</v>
      </c>
      <c r="I3" s="532" t="s">
        <v>19</v>
      </c>
      <c r="J3" s="532" t="s">
        <v>18</v>
      </c>
      <c r="K3" s="618" t="s">
        <v>17</v>
      </c>
      <c r="L3" s="605" t="s">
        <v>16</v>
      </c>
      <c r="M3" s="2594"/>
      <c r="N3" s="2594"/>
    </row>
    <row r="4" spans="1:15" s="355" customFormat="1" ht="27">
      <c r="C4" s="1076" t="s">
        <v>15</v>
      </c>
      <c r="D4" s="1076" t="s">
        <v>14</v>
      </c>
      <c r="E4" s="1076" t="s">
        <v>13</v>
      </c>
      <c r="F4" s="1076" t="s">
        <v>12</v>
      </c>
      <c r="G4" s="1076" t="s">
        <v>11</v>
      </c>
      <c r="H4" s="1076" t="s">
        <v>10</v>
      </c>
      <c r="I4" s="1076" t="s">
        <v>9</v>
      </c>
      <c r="J4" s="1076" t="s">
        <v>8</v>
      </c>
      <c r="K4" s="1076" t="s">
        <v>7</v>
      </c>
      <c r="L4" s="1077" t="s">
        <v>6</v>
      </c>
      <c r="M4" s="1076" t="s">
        <v>5</v>
      </c>
      <c r="N4" s="1076" t="s">
        <v>4</v>
      </c>
    </row>
    <row r="5" spans="1:15" s="455" customFormat="1" ht="51">
      <c r="A5" s="471"/>
      <c r="B5" s="454" t="s">
        <v>1677</v>
      </c>
      <c r="C5" s="1556" t="s">
        <v>1682</v>
      </c>
      <c r="D5" s="1533" t="s">
        <v>2</v>
      </c>
      <c r="E5" s="1557" t="s">
        <v>1042</v>
      </c>
      <c r="F5" s="1558" t="s">
        <v>422</v>
      </c>
      <c r="G5" s="1535"/>
      <c r="H5" s="1551" t="s">
        <v>652</v>
      </c>
      <c r="I5" s="1551" t="s">
        <v>1654</v>
      </c>
      <c r="J5" s="1551" t="s">
        <v>1655</v>
      </c>
      <c r="K5" s="1530" t="s">
        <v>748</v>
      </c>
      <c r="L5" s="1546">
        <v>20000</v>
      </c>
      <c r="M5" s="1535"/>
      <c r="O5" s="1535"/>
    </row>
    <row r="6" spans="1:15" s="455" customFormat="1" ht="13.5">
      <c r="A6" s="471"/>
      <c r="B6" s="454"/>
      <c r="C6" s="314"/>
      <c r="D6" s="309"/>
      <c r="E6" s="309"/>
      <c r="F6" s="497"/>
      <c r="G6" s="985"/>
      <c r="H6" s="985"/>
      <c r="I6" s="985"/>
      <c r="J6" s="499"/>
      <c r="K6" s="1025"/>
      <c r="L6" s="499"/>
      <c r="M6" s="1464"/>
    </row>
    <row r="7" spans="1:15" s="455" customFormat="1" ht="51">
      <c r="A7" s="471"/>
      <c r="B7" s="454" t="s">
        <v>1724</v>
      </c>
      <c r="C7" s="1589" t="s">
        <v>1728</v>
      </c>
      <c r="D7" s="1595" t="s">
        <v>2</v>
      </c>
      <c r="E7" s="1598" t="s">
        <v>1042</v>
      </c>
      <c r="F7" s="1596" t="s">
        <v>422</v>
      </c>
      <c r="G7" s="1591"/>
      <c r="H7" s="1594" t="s">
        <v>652</v>
      </c>
      <c r="I7" s="1594" t="s">
        <v>653</v>
      </c>
      <c r="J7" s="1594" t="s">
        <v>1686</v>
      </c>
      <c r="K7" s="218" t="s">
        <v>748</v>
      </c>
      <c r="L7" s="1593">
        <v>27000</v>
      </c>
      <c r="M7" s="1591"/>
      <c r="O7" s="1591"/>
    </row>
    <row r="8" spans="1:15" s="455" customFormat="1" ht="13.5">
      <c r="A8" s="471"/>
      <c r="B8" s="454"/>
      <c r="C8" s="1961"/>
      <c r="D8" s="1595"/>
      <c r="E8" s="1598"/>
      <c r="F8" s="1596"/>
      <c r="G8" s="1591"/>
      <c r="H8" s="1594"/>
      <c r="I8" s="1594"/>
      <c r="J8" s="1594"/>
      <c r="K8" s="218"/>
      <c r="L8" s="1593"/>
      <c r="M8" s="1591"/>
      <c r="O8" s="1959"/>
    </row>
    <row r="9" spans="1:15" s="455" customFormat="1" ht="13.5">
      <c r="A9" s="471"/>
      <c r="B9" s="454"/>
      <c r="C9" s="1961"/>
      <c r="D9" s="1595"/>
      <c r="E9" s="1598"/>
      <c r="F9" s="1596"/>
      <c r="G9" s="1591"/>
      <c r="H9" s="1594"/>
      <c r="I9" s="1594"/>
      <c r="J9" s="1594"/>
      <c r="K9" s="218"/>
      <c r="L9" s="1593"/>
      <c r="M9" s="1591"/>
      <c r="O9" s="1959"/>
    </row>
    <row r="10" spans="1:15" s="455" customFormat="1" ht="27">
      <c r="A10" s="471"/>
      <c r="B10" s="454" t="s">
        <v>2699</v>
      </c>
      <c r="C10" s="2756" t="s">
        <v>2914</v>
      </c>
      <c r="D10" s="1712" t="s">
        <v>2</v>
      </c>
      <c r="E10" s="1922"/>
      <c r="F10" s="1919"/>
      <c r="G10" s="1725"/>
      <c r="H10" s="1801"/>
      <c r="I10" s="1801"/>
      <c r="K10" s="1712" t="s">
        <v>2216</v>
      </c>
      <c r="L10" s="1920"/>
      <c r="M10" s="1715" t="s">
        <v>2446</v>
      </c>
    </row>
    <row r="11" spans="1:15" s="455" customFormat="1" ht="13.5">
      <c r="A11" s="471"/>
      <c r="B11" s="454" t="s">
        <v>2699</v>
      </c>
      <c r="C11" s="2757"/>
      <c r="D11" s="1796" t="s">
        <v>2894</v>
      </c>
      <c r="E11" s="1884"/>
      <c r="F11" s="1724"/>
      <c r="G11" s="1725"/>
      <c r="H11" s="1801"/>
      <c r="I11" s="1801"/>
      <c r="K11" s="1836"/>
      <c r="L11" s="1943">
        <v>2000</v>
      </c>
      <c r="M11" s="1721"/>
    </row>
    <row r="12" spans="1:15" s="455" customFormat="1">
      <c r="A12" s="471"/>
      <c r="B12" s="454" t="s">
        <v>2699</v>
      </c>
      <c r="C12" s="2758"/>
      <c r="D12" s="1796"/>
      <c r="E12" s="1885"/>
      <c r="F12" s="1724"/>
      <c r="G12" s="1725"/>
      <c r="H12" s="1801"/>
      <c r="I12" s="1801"/>
      <c r="K12" s="1801"/>
      <c r="L12" s="1802"/>
      <c r="M12" s="1837"/>
      <c r="N12" s="1721"/>
      <c r="O12" s="1720"/>
    </row>
    <row r="13" spans="1:15" s="455" customFormat="1">
      <c r="A13" s="471"/>
      <c r="B13" s="454"/>
      <c r="C13" s="1912"/>
      <c r="D13" s="1726"/>
      <c r="E13" s="1885"/>
      <c r="F13" s="1724"/>
      <c r="G13" s="1725"/>
      <c r="H13" s="1801"/>
      <c r="I13" s="1801"/>
      <c r="K13" s="1801"/>
      <c r="L13" s="1802"/>
      <c r="M13" s="1837"/>
      <c r="N13" s="1721"/>
      <c r="O13" s="1720"/>
    </row>
    <row r="14" spans="1:15" s="455" customFormat="1" ht="27">
      <c r="A14" s="471"/>
      <c r="B14" s="454" t="s">
        <v>2699</v>
      </c>
      <c r="C14" s="2756" t="s">
        <v>2915</v>
      </c>
      <c r="D14" s="1712"/>
      <c r="E14" s="1922"/>
      <c r="F14" s="1919"/>
      <c r="G14" s="1725"/>
      <c r="H14" s="1801"/>
      <c r="I14" s="1801"/>
      <c r="K14" s="1712" t="s">
        <v>2216</v>
      </c>
      <c r="L14" s="1920"/>
      <c r="M14" s="1715" t="s">
        <v>2446</v>
      </c>
    </row>
    <row r="15" spans="1:15" s="455" customFormat="1" ht="13.5">
      <c r="A15" s="471"/>
      <c r="B15" s="454" t="s">
        <v>2699</v>
      </c>
      <c r="C15" s="2757"/>
      <c r="D15" s="2759" t="s">
        <v>2894</v>
      </c>
      <c r="E15" s="1884"/>
      <c r="F15" s="1724"/>
      <c r="G15" s="1725"/>
      <c r="H15" s="1801"/>
      <c r="I15" s="1801"/>
      <c r="K15" s="1836"/>
      <c r="L15" s="1943">
        <v>2000</v>
      </c>
      <c r="M15" s="1721"/>
    </row>
    <row r="16" spans="1:15" s="455" customFormat="1">
      <c r="A16" s="471"/>
      <c r="B16" s="454" t="s">
        <v>2699</v>
      </c>
      <c r="C16" s="2758"/>
      <c r="D16" s="2759"/>
      <c r="E16" s="1885"/>
      <c r="F16" s="1724"/>
      <c r="G16" s="1725"/>
      <c r="H16" s="1801"/>
      <c r="I16" s="1801"/>
      <c r="J16" s="1801"/>
      <c r="K16" s="1802"/>
      <c r="L16" s="1837"/>
      <c r="M16" s="1943"/>
      <c r="N16" s="1721"/>
      <c r="O16" s="1720"/>
    </row>
    <row r="17" spans="1:15" s="455" customFormat="1">
      <c r="A17" s="471"/>
      <c r="B17" s="454"/>
      <c r="C17" s="1917"/>
      <c r="D17" s="1800"/>
      <c r="E17" s="1885"/>
      <c r="F17" s="1724"/>
      <c r="G17" s="1725"/>
      <c r="H17" s="1801"/>
      <c r="I17" s="1801"/>
      <c r="J17" s="1801"/>
      <c r="K17" s="1802"/>
      <c r="L17" s="1837"/>
      <c r="M17" s="1943"/>
      <c r="N17" s="1992"/>
      <c r="O17" s="1993"/>
    </row>
    <row r="18" spans="1:15" s="455" customFormat="1">
      <c r="A18" s="471"/>
      <c r="B18" s="454"/>
      <c r="C18" s="1917"/>
      <c r="D18" s="1800"/>
      <c r="E18" s="1885"/>
      <c r="F18" s="1724"/>
      <c r="G18" s="1725"/>
      <c r="H18" s="1801"/>
      <c r="I18" s="1801"/>
      <c r="J18" s="1801"/>
      <c r="K18" s="1802"/>
      <c r="L18" s="1837"/>
      <c r="M18" s="1943"/>
      <c r="N18" s="1992"/>
      <c r="O18" s="1993"/>
    </row>
    <row r="19" spans="1:15" s="483" customFormat="1" ht="27">
      <c r="A19" s="522"/>
      <c r="B19" s="454" t="s">
        <v>3584</v>
      </c>
      <c r="C19" s="1917"/>
      <c r="D19" s="1917" t="s">
        <v>3880</v>
      </c>
      <c r="E19" s="2215"/>
      <c r="F19" s="2216" t="s">
        <v>1104</v>
      </c>
      <c r="G19" s="1725" t="s">
        <v>828</v>
      </c>
      <c r="H19" s="2214" t="s">
        <v>3879</v>
      </c>
      <c r="I19" s="2214" t="s">
        <v>3588</v>
      </c>
      <c r="J19" s="2214" t="s">
        <v>3881</v>
      </c>
      <c r="K19" s="1802" t="s">
        <v>3589</v>
      </c>
      <c r="L19" s="2101">
        <v>20000</v>
      </c>
      <c r="M19" s="2217" t="s">
        <v>99</v>
      </c>
      <c r="N19" s="2218"/>
      <c r="O19" s="2219"/>
    </row>
    <row r="20" spans="1:15" s="455" customFormat="1">
      <c r="A20" s="471"/>
      <c r="B20" s="454"/>
      <c r="C20" s="1917"/>
      <c r="D20" s="1800"/>
      <c r="E20" s="1885"/>
      <c r="F20" s="1724"/>
      <c r="G20" s="1725"/>
      <c r="H20" s="1801"/>
      <c r="I20" s="1801"/>
      <c r="J20" s="1801"/>
      <c r="K20" s="1802"/>
      <c r="L20" s="1837"/>
      <c r="M20" s="1943"/>
      <c r="N20" s="1992"/>
      <c r="O20" s="1993"/>
    </row>
    <row r="21" spans="1:15" s="455" customFormat="1">
      <c r="A21" s="471"/>
      <c r="B21" s="454"/>
      <c r="C21" s="1917"/>
      <c r="D21" s="1800"/>
      <c r="E21" s="1885"/>
      <c r="F21" s="1724"/>
      <c r="G21" s="1725"/>
      <c r="H21" s="1801"/>
      <c r="I21" s="1801"/>
      <c r="J21" s="1801"/>
      <c r="K21" s="1802"/>
      <c r="L21" s="1837"/>
      <c r="M21" s="1943"/>
      <c r="N21" s="1992"/>
      <c r="O21" s="1993"/>
    </row>
    <row r="22" spans="1:15" s="455" customFormat="1">
      <c r="A22" s="471"/>
      <c r="B22" s="454"/>
      <c r="C22" s="1917"/>
      <c r="D22" s="1800"/>
      <c r="E22" s="1885"/>
      <c r="F22" s="1724"/>
      <c r="G22" s="1725"/>
      <c r="H22" s="1801"/>
      <c r="I22" s="1801"/>
      <c r="J22" s="1801"/>
      <c r="K22" s="1802"/>
      <c r="L22" s="1837"/>
      <c r="M22" s="1943"/>
      <c r="N22" s="1992"/>
      <c r="O22" s="1993"/>
    </row>
    <row r="23" spans="1:15" s="455" customFormat="1">
      <c r="A23" s="471"/>
      <c r="B23" s="454"/>
      <c r="C23" s="1917"/>
      <c r="D23" s="1800"/>
      <c r="E23" s="1885"/>
      <c r="F23" s="1724"/>
      <c r="G23" s="1725"/>
      <c r="H23" s="1801"/>
      <c r="I23" s="1801"/>
      <c r="J23" s="1801"/>
      <c r="K23" s="1802"/>
      <c r="L23" s="1837"/>
      <c r="M23" s="1943"/>
      <c r="N23" s="1992"/>
      <c r="O23" s="1993"/>
    </row>
    <row r="24" spans="1:15" s="455" customFormat="1">
      <c r="A24" s="471"/>
      <c r="B24" s="454"/>
      <c r="C24" s="1917"/>
      <c r="D24" s="1800"/>
      <c r="E24" s="1885"/>
      <c r="F24" s="1724"/>
      <c r="G24" s="1725"/>
      <c r="H24" s="1801"/>
      <c r="I24" s="1801"/>
      <c r="J24" s="1801"/>
      <c r="K24" s="1802"/>
      <c r="L24" s="1837"/>
      <c r="M24" s="1943"/>
      <c r="N24" s="1992"/>
      <c r="O24" s="1993"/>
    </row>
    <row r="25" spans="1:15" s="455" customFormat="1" ht="13.5">
      <c r="A25" s="471"/>
      <c r="B25" s="454"/>
      <c r="C25" s="1961"/>
      <c r="D25" s="1595"/>
      <c r="E25" s="1598"/>
      <c r="F25" s="1596"/>
      <c r="G25" s="1591"/>
      <c r="H25" s="1594"/>
      <c r="I25" s="1594"/>
      <c r="J25" s="1594"/>
      <c r="K25" s="218"/>
      <c r="L25" s="1593"/>
      <c r="M25" s="1591"/>
      <c r="O25" s="1959"/>
    </row>
    <row r="26" spans="1:15" s="455" customFormat="1" ht="13.5">
      <c r="A26" s="471"/>
      <c r="B26" s="454"/>
      <c r="C26" s="1961"/>
      <c r="D26" s="1595"/>
      <c r="E26" s="1598"/>
      <c r="F26" s="1596"/>
      <c r="G26" s="1591"/>
      <c r="H26" s="1594"/>
      <c r="I26" s="1594"/>
      <c r="J26" s="1594"/>
      <c r="K26" s="218"/>
      <c r="L26" s="1593"/>
      <c r="M26" s="1591"/>
      <c r="O26" s="1959"/>
    </row>
    <row r="27" spans="1:15" s="455" customFormat="1" ht="13.5">
      <c r="A27" s="471"/>
      <c r="B27" s="454"/>
      <c r="C27" s="1961"/>
      <c r="D27" s="1595"/>
      <c r="E27" s="1598"/>
      <c r="F27" s="1596"/>
      <c r="G27" s="1591"/>
      <c r="H27" s="1594"/>
      <c r="I27" s="1594"/>
      <c r="J27" s="1594"/>
      <c r="K27" s="218"/>
      <c r="L27" s="1593"/>
      <c r="M27" s="1591"/>
      <c r="O27" s="1959"/>
    </row>
    <row r="28" spans="1:15" s="455" customFormat="1" ht="13.5">
      <c r="A28" s="471"/>
      <c r="B28" s="454"/>
      <c r="C28" s="1961"/>
      <c r="D28" s="1595"/>
      <c r="E28" s="1598"/>
      <c r="F28" s="1596"/>
      <c r="G28" s="1591"/>
      <c r="H28" s="1594"/>
      <c r="I28" s="1594"/>
      <c r="J28" s="1594"/>
      <c r="K28" s="218"/>
      <c r="L28" s="1593"/>
      <c r="M28" s="1591"/>
      <c r="O28" s="1959"/>
    </row>
    <row r="29" spans="1:15" s="455" customFormat="1" ht="13.5">
      <c r="A29" s="471"/>
      <c r="B29" s="454"/>
      <c r="C29" s="1961"/>
      <c r="D29" s="1595"/>
      <c r="E29" s="1598"/>
      <c r="F29" s="1596"/>
      <c r="G29" s="1591"/>
      <c r="H29" s="1594"/>
      <c r="I29" s="1594"/>
      <c r="J29" s="1594"/>
      <c r="K29" s="218"/>
      <c r="L29" s="1593"/>
      <c r="M29" s="1591"/>
      <c r="O29" s="1959"/>
    </row>
    <row r="30" spans="1:15" s="455" customFormat="1" ht="13.5">
      <c r="A30" s="471"/>
      <c r="B30" s="454"/>
      <c r="C30" s="1961"/>
      <c r="D30" s="1595"/>
      <c r="E30" s="1598"/>
      <c r="F30" s="1596"/>
      <c r="G30" s="1591"/>
      <c r="H30" s="1594"/>
      <c r="I30" s="1594"/>
      <c r="J30" s="1594"/>
      <c r="K30" s="218"/>
      <c r="L30" s="1593"/>
      <c r="M30" s="1591"/>
      <c r="O30" s="1959"/>
    </row>
    <row r="31" spans="1:15" s="455" customFormat="1" ht="13.5">
      <c r="A31" s="471"/>
      <c r="B31" s="454"/>
      <c r="C31" s="1961"/>
      <c r="D31" s="1595"/>
      <c r="E31" s="1598"/>
      <c r="F31" s="1596"/>
      <c r="G31" s="1591"/>
      <c r="H31" s="1594"/>
      <c r="I31" s="1594"/>
      <c r="J31" s="1594"/>
      <c r="K31" s="218"/>
      <c r="L31" s="1991">
        <f>SUM(L5:L29)</f>
        <v>71000</v>
      </c>
      <c r="M31" s="1591"/>
      <c r="O31" s="1959"/>
    </row>
    <row r="32" spans="1:15" s="455" customFormat="1" ht="13.5">
      <c r="A32" s="471"/>
      <c r="B32" s="454"/>
      <c r="C32" s="1961"/>
      <c r="D32" s="1595"/>
      <c r="E32" s="1598"/>
      <c r="F32" s="1596"/>
      <c r="G32" s="1591"/>
      <c r="H32" s="1594"/>
      <c r="I32" s="1594"/>
      <c r="J32" s="1594"/>
      <c r="K32" s="218"/>
      <c r="L32" s="1593"/>
      <c r="M32" s="1591"/>
      <c r="O32" s="1959"/>
    </row>
    <row r="33" spans="1:15" s="455" customFormat="1" ht="13.5">
      <c r="A33" s="471"/>
      <c r="B33" s="454"/>
      <c r="C33" s="1961"/>
      <c r="D33" s="1595"/>
      <c r="E33" s="1598"/>
      <c r="F33" s="1596"/>
      <c r="G33" s="1591"/>
      <c r="H33" s="1594"/>
      <c r="I33" s="1594"/>
      <c r="J33" s="1594"/>
      <c r="K33" s="218"/>
      <c r="L33" s="1593"/>
      <c r="M33" s="1591"/>
      <c r="O33" s="1959"/>
    </row>
    <row r="34" spans="1:15" s="455" customFormat="1" ht="13.5">
      <c r="A34" s="471"/>
      <c r="B34" s="454"/>
      <c r="C34" s="1961"/>
      <c r="D34" s="1595"/>
      <c r="E34" s="1598"/>
      <c r="F34" s="1596"/>
      <c r="G34" s="1591"/>
      <c r="H34" s="1594"/>
      <c r="I34" s="1594"/>
      <c r="J34" s="1594"/>
      <c r="K34" s="218"/>
      <c r="L34" s="1593"/>
      <c r="M34" s="1591"/>
      <c r="O34" s="1959"/>
    </row>
    <row r="35" spans="1:15" s="455" customFormat="1" ht="13.5">
      <c r="A35" s="471"/>
      <c r="B35" s="454"/>
      <c r="C35" s="1961"/>
      <c r="D35" s="1595"/>
      <c r="E35" s="1598"/>
      <c r="F35" s="1596"/>
      <c r="G35" s="1591"/>
      <c r="H35" s="1594"/>
      <c r="I35" s="1594"/>
      <c r="J35" s="1594"/>
      <c r="K35" s="218"/>
      <c r="L35" s="1593"/>
      <c r="M35" s="1591"/>
      <c r="O35" s="1959"/>
    </row>
    <row r="36" spans="1:15" s="455" customFormat="1" ht="13.5">
      <c r="A36" s="471"/>
      <c r="B36" s="454"/>
      <c r="C36" s="1961"/>
      <c r="D36" s="1595"/>
      <c r="E36" s="1598"/>
      <c r="F36" s="1596"/>
      <c r="G36" s="1591"/>
      <c r="H36" s="1594"/>
      <c r="I36" s="1594"/>
      <c r="J36" s="1594"/>
      <c r="K36" s="218"/>
      <c r="L36" s="1593"/>
      <c r="M36" s="1591"/>
      <c r="O36" s="1959"/>
    </row>
    <row r="37" spans="1:15" s="455" customFormat="1" ht="13.5">
      <c r="A37" s="471"/>
      <c r="B37" s="454"/>
      <c r="C37" s="1961"/>
      <c r="D37" s="1595"/>
      <c r="E37" s="1598"/>
      <c r="F37" s="1596"/>
      <c r="G37" s="1591"/>
      <c r="H37" s="1594"/>
      <c r="I37" s="1594"/>
      <c r="J37" s="1594"/>
      <c r="K37" s="218"/>
      <c r="L37" s="1593"/>
      <c r="M37" s="1591"/>
      <c r="O37" s="1959"/>
    </row>
    <row r="38" spans="1:15" s="455" customFormat="1" ht="13.5">
      <c r="A38" s="471"/>
      <c r="B38" s="454"/>
      <c r="C38" s="1961"/>
      <c r="D38" s="1595"/>
      <c r="E38" s="1598"/>
      <c r="F38" s="1596"/>
      <c r="G38" s="1591"/>
      <c r="H38" s="1594"/>
      <c r="I38" s="1594"/>
      <c r="J38" s="1594"/>
      <c r="K38" s="218"/>
      <c r="L38" s="1593"/>
      <c r="M38" s="1591"/>
      <c r="O38" s="1959"/>
    </row>
    <row r="39" spans="1:15" s="455" customFormat="1" ht="13.5">
      <c r="A39" s="471"/>
      <c r="B39" s="454"/>
      <c r="C39" s="2591"/>
      <c r="D39" s="309"/>
      <c r="E39" s="309"/>
      <c r="F39" s="309"/>
      <c r="G39" s="497"/>
      <c r="H39" s="1056"/>
      <c r="I39" s="985"/>
      <c r="J39" s="985"/>
      <c r="K39" s="499"/>
      <c r="L39" s="1025"/>
      <c r="M39" s="499"/>
    </row>
    <row r="40" spans="1:15" s="455" customFormat="1" ht="13.5">
      <c r="A40" s="471"/>
      <c r="B40" s="454"/>
      <c r="C40" s="2593"/>
      <c r="D40" s="309"/>
      <c r="E40" s="309"/>
      <c r="F40" s="309"/>
      <c r="G40" s="497"/>
      <c r="H40" s="1056"/>
      <c r="I40" s="985"/>
      <c r="J40" s="985"/>
      <c r="K40" s="499"/>
      <c r="L40" s="1025"/>
      <c r="M40" s="499"/>
    </row>
    <row r="41" spans="1:15" s="455" customFormat="1" ht="13.5">
      <c r="A41" s="471"/>
      <c r="B41" s="454"/>
      <c r="C41" s="2591"/>
      <c r="D41" s="309"/>
      <c r="E41" s="309"/>
      <c r="F41" s="309"/>
      <c r="G41" s="497"/>
      <c r="H41" s="1056"/>
      <c r="I41" s="985"/>
      <c r="J41" s="985"/>
      <c r="K41" s="499"/>
      <c r="L41" s="1025"/>
      <c r="M41" s="499"/>
    </row>
    <row r="42" spans="1:15" s="455" customFormat="1" ht="13.5">
      <c r="A42" s="471"/>
      <c r="B42" s="454"/>
      <c r="C42" s="2593"/>
      <c r="D42" s="309"/>
      <c r="E42" s="309"/>
      <c r="F42" s="309"/>
      <c r="G42" s="497"/>
      <c r="H42" s="1056"/>
      <c r="I42" s="985"/>
      <c r="J42" s="985"/>
      <c r="K42" s="499"/>
      <c r="L42" s="1025"/>
      <c r="M42" s="499"/>
    </row>
    <row r="43" spans="1:15" s="455" customFormat="1" ht="13.5">
      <c r="A43" s="471"/>
      <c r="B43" s="454"/>
      <c r="C43" s="314"/>
      <c r="D43" s="309"/>
      <c r="E43" s="309"/>
      <c r="F43" s="309"/>
      <c r="G43" s="497"/>
      <c r="H43" s="1056"/>
      <c r="I43" s="985"/>
      <c r="J43" s="985"/>
      <c r="K43" s="499"/>
      <c r="L43" s="1025"/>
      <c r="M43" s="499"/>
      <c r="N43" s="1466"/>
    </row>
    <row r="44" spans="1:15" s="455" customFormat="1" ht="13.5">
      <c r="A44" s="471"/>
      <c r="B44" s="454"/>
      <c r="C44" s="2679"/>
      <c r="D44" s="309"/>
      <c r="E44" s="309"/>
      <c r="F44" s="309"/>
      <c r="G44" s="497"/>
      <c r="H44" s="985"/>
      <c r="I44" s="985"/>
      <c r="J44" s="985"/>
      <c r="K44" s="499"/>
      <c r="L44" s="1600"/>
      <c r="M44" s="499"/>
      <c r="N44" s="1466"/>
    </row>
    <row r="45" spans="1:15" s="455" customFormat="1" ht="13.5">
      <c r="A45" s="471"/>
      <c r="B45" s="454"/>
      <c r="C45" s="2679"/>
      <c r="D45" s="309"/>
      <c r="E45" s="309"/>
      <c r="F45" s="309"/>
      <c r="G45" s="497"/>
      <c r="H45" s="985"/>
      <c r="I45" s="985"/>
      <c r="J45" s="985"/>
      <c r="K45" s="499"/>
      <c r="L45" s="1025"/>
      <c r="M45" s="499"/>
      <c r="N45" s="1467"/>
    </row>
    <row r="46" spans="1:15" s="455" customFormat="1" ht="13.5">
      <c r="A46" s="471"/>
      <c r="B46" s="454"/>
      <c r="C46" s="2679"/>
      <c r="D46" s="309"/>
      <c r="E46" s="309"/>
      <c r="F46" s="309"/>
      <c r="G46" s="497"/>
      <c r="H46" s="985"/>
      <c r="I46" s="985"/>
      <c r="J46" s="985"/>
      <c r="K46" s="499"/>
      <c r="L46" s="1025"/>
      <c r="M46" s="499"/>
      <c r="N46" s="1468"/>
    </row>
    <row r="47" spans="1:15" s="455" customFormat="1" ht="13.5">
      <c r="A47" s="471"/>
      <c r="B47" s="454"/>
      <c r="C47" s="2679"/>
      <c r="D47" s="309"/>
      <c r="E47" s="309"/>
      <c r="F47" s="309"/>
      <c r="G47" s="497"/>
      <c r="H47" s="985"/>
      <c r="I47" s="985"/>
      <c r="J47" s="985"/>
      <c r="K47" s="499"/>
      <c r="L47" s="1025"/>
      <c r="M47" s="499"/>
      <c r="N47" s="1468"/>
    </row>
    <row r="48" spans="1:15" s="455" customFormat="1" ht="13.5">
      <c r="A48" s="471"/>
      <c r="B48" s="454"/>
      <c r="C48" s="2591"/>
      <c r="D48" s="309"/>
      <c r="E48" s="309"/>
      <c r="F48" s="309"/>
      <c r="G48" s="497"/>
      <c r="H48" s="985"/>
      <c r="I48" s="985"/>
      <c r="J48" s="985"/>
      <c r="K48" s="499"/>
      <c r="L48" s="1025"/>
      <c r="M48" s="499"/>
      <c r="N48" s="1468"/>
    </row>
    <row r="49" spans="1:15" s="455" customFormat="1" ht="13.5">
      <c r="A49" s="471"/>
      <c r="B49" s="454"/>
      <c r="C49" s="2593"/>
      <c r="D49" s="309"/>
      <c r="E49" s="309"/>
      <c r="F49" s="309"/>
      <c r="G49" s="497"/>
      <c r="H49" s="985"/>
      <c r="I49" s="985"/>
      <c r="J49" s="985"/>
      <c r="K49" s="499"/>
      <c r="L49" s="1025"/>
      <c r="M49" s="499"/>
      <c r="N49" s="1468"/>
    </row>
    <row r="50" spans="1:15" s="455" customFormat="1" ht="13.5">
      <c r="A50" s="471"/>
      <c r="B50" s="454"/>
      <c r="C50" s="392"/>
      <c r="D50" s="309"/>
      <c r="E50" s="309"/>
      <c r="F50" s="309"/>
      <c r="G50" s="497"/>
      <c r="H50" s="1056"/>
      <c r="I50" s="985"/>
      <c r="J50" s="985"/>
      <c r="K50" s="499"/>
      <c r="L50" s="1025"/>
      <c r="M50" s="499"/>
      <c r="N50" s="1465"/>
    </row>
    <row r="51" spans="1:15" s="455" customFormat="1" ht="13.5">
      <c r="A51" s="471"/>
      <c r="B51" s="454"/>
      <c r="C51" s="392"/>
      <c r="D51" s="309"/>
      <c r="E51" s="309"/>
      <c r="F51" s="309"/>
      <c r="G51" s="497"/>
      <c r="H51" s="985"/>
      <c r="I51" s="985"/>
      <c r="J51" s="985"/>
      <c r="K51" s="499"/>
      <c r="L51" s="1025"/>
      <c r="M51" s="499"/>
    </row>
    <row r="52" spans="1:15" s="455" customFormat="1" ht="13.5">
      <c r="A52" s="471"/>
      <c r="B52" s="454"/>
      <c r="C52" s="987"/>
      <c r="D52" s="314"/>
      <c r="E52" s="662"/>
      <c r="F52" s="309"/>
      <c r="G52" s="497"/>
      <c r="H52" s="985"/>
      <c r="I52" s="985"/>
      <c r="J52" s="985"/>
      <c r="K52" s="499"/>
      <c r="L52" s="1025"/>
      <c r="M52" s="499"/>
      <c r="N52" s="454"/>
    </row>
    <row r="53" spans="1:15" s="455" customFormat="1" ht="13.5">
      <c r="A53" s="471"/>
      <c r="B53" s="454"/>
      <c r="C53" s="987"/>
      <c r="D53" s="314"/>
      <c r="E53" s="662"/>
      <c r="F53" s="309"/>
      <c r="G53" s="497"/>
      <c r="H53" s="985"/>
      <c r="I53" s="985"/>
      <c r="J53" s="985"/>
      <c r="K53" s="499"/>
      <c r="L53" s="1025"/>
      <c r="M53" s="499"/>
      <c r="N53" s="458"/>
    </row>
    <row r="54" spans="1:15" s="455" customFormat="1" ht="13.5">
      <c r="A54" s="471"/>
      <c r="B54" s="454"/>
      <c r="C54" s="987"/>
      <c r="D54" s="314"/>
      <c r="E54" s="662"/>
      <c r="F54" s="309"/>
      <c r="G54" s="497"/>
      <c r="H54" s="985"/>
      <c r="I54" s="985"/>
      <c r="J54" s="985"/>
      <c r="K54" s="499"/>
      <c r="L54" s="1065"/>
      <c r="M54" s="499"/>
      <c r="N54" s="458"/>
    </row>
    <row r="55" spans="1:15" s="455" customFormat="1" ht="13.5">
      <c r="A55" s="471"/>
      <c r="B55" s="454"/>
      <c r="C55" s="987"/>
      <c r="D55" s="309"/>
      <c r="E55" s="662"/>
      <c r="F55" s="309"/>
      <c r="G55" s="497"/>
      <c r="H55" s="985"/>
      <c r="I55" s="985"/>
      <c r="J55" s="985"/>
      <c r="K55" s="499"/>
      <c r="L55" s="1065"/>
      <c r="M55" s="499"/>
      <c r="N55" s="458"/>
    </row>
    <row r="56" spans="1:15" s="455" customFormat="1" ht="13.5">
      <c r="A56" s="471"/>
      <c r="B56" s="454"/>
      <c r="C56" s="314"/>
      <c r="D56" s="314"/>
      <c r="E56" s="309"/>
      <c r="F56" s="309"/>
      <c r="G56" s="497"/>
      <c r="H56" s="985"/>
      <c r="I56" s="985"/>
      <c r="J56" s="985"/>
      <c r="K56" s="309"/>
      <c r="L56" s="1015"/>
      <c r="M56" s="499"/>
      <c r="N56" s="458"/>
    </row>
    <row r="57" spans="1:15" s="455" customFormat="1" ht="13.5">
      <c r="A57" s="471"/>
      <c r="B57" s="454"/>
      <c r="C57" s="314"/>
      <c r="D57" s="314"/>
      <c r="E57" s="309"/>
      <c r="F57" s="309"/>
      <c r="G57" s="497"/>
      <c r="H57" s="985"/>
      <c r="I57" s="985"/>
      <c r="J57" s="985"/>
      <c r="K57" s="309"/>
      <c r="L57" s="1015"/>
      <c r="M57" s="499"/>
      <c r="N57" s="460"/>
    </row>
    <row r="58" spans="1:15" s="455" customFormat="1" ht="13.5">
      <c r="A58" s="471"/>
      <c r="B58" s="454"/>
      <c r="C58" s="314"/>
      <c r="D58" s="314"/>
      <c r="E58" s="560"/>
      <c r="F58" s="309"/>
      <c r="G58" s="497"/>
      <c r="H58" s="985"/>
      <c r="I58" s="985"/>
      <c r="J58" s="985"/>
      <c r="K58" s="309"/>
      <c r="L58" s="1015"/>
      <c r="M58" s="499"/>
      <c r="N58" s="454"/>
    </row>
    <row r="59" spans="1:15" s="455" customFormat="1" ht="13.5">
      <c r="A59" s="471"/>
      <c r="B59" s="454"/>
      <c r="C59" s="987"/>
      <c r="D59" s="314"/>
      <c r="E59" s="662"/>
      <c r="F59" s="309"/>
      <c r="G59" s="497"/>
      <c r="H59" s="985"/>
      <c r="I59" s="985"/>
      <c r="J59" s="985"/>
      <c r="K59" s="499"/>
      <c r="L59" s="1065"/>
      <c r="M59" s="499"/>
      <c r="N59" s="458"/>
    </row>
    <row r="60" spans="1:15" s="455" customFormat="1" ht="13.5">
      <c r="A60" s="471"/>
      <c r="B60" s="454"/>
      <c r="C60" s="392"/>
      <c r="D60" s="309"/>
      <c r="E60" s="309"/>
      <c r="F60" s="662"/>
      <c r="G60" s="309"/>
      <c r="H60" s="497"/>
      <c r="I60" s="985"/>
      <c r="J60" s="985"/>
      <c r="K60" s="1066"/>
      <c r="L60" s="1067"/>
      <c r="M60" s="1025"/>
      <c r="N60" s="1068"/>
      <c r="O60" s="458"/>
    </row>
    <row r="61" spans="1:15" s="455" customFormat="1" ht="13.5">
      <c r="A61" s="471"/>
      <c r="B61" s="454"/>
      <c r="C61" s="471"/>
      <c r="D61" s="456"/>
      <c r="E61" s="459"/>
      <c r="F61" s="466"/>
      <c r="G61" s="471"/>
      <c r="H61" s="477"/>
      <c r="I61" s="526"/>
      <c r="J61" s="526"/>
      <c r="K61" s="526"/>
      <c r="L61" s="473"/>
      <c r="M61" s="529"/>
      <c r="N61" s="471"/>
      <c r="O61" s="458"/>
    </row>
    <row r="62" spans="1:15" s="455" customFormat="1" ht="13.5">
      <c r="A62" s="471"/>
      <c r="B62" s="454"/>
      <c r="C62" s="471"/>
      <c r="D62" s="456"/>
      <c r="E62" s="459"/>
      <c r="F62" s="466"/>
      <c r="G62" s="471"/>
      <c r="H62" s="477"/>
      <c r="I62" s="526"/>
      <c r="J62" s="526"/>
      <c r="K62" s="526"/>
      <c r="L62" s="473"/>
      <c r="M62" s="529"/>
      <c r="N62" s="471"/>
      <c r="O62" s="458"/>
    </row>
    <row r="63" spans="1:15" s="455" customFormat="1" ht="13.5">
      <c r="A63" s="471"/>
      <c r="B63" s="454"/>
      <c r="C63" s="314"/>
      <c r="D63" s="309"/>
      <c r="E63" s="309"/>
      <c r="F63" s="309"/>
      <c r="G63" s="309"/>
      <c r="H63" s="309"/>
      <c r="I63" s="309"/>
      <c r="J63" s="309"/>
      <c r="K63" s="309"/>
      <c r="L63" s="309"/>
      <c r="M63" s="309"/>
      <c r="N63" s="309"/>
    </row>
    <row r="64" spans="1:15" s="455" customFormat="1" ht="13.5">
      <c r="A64" s="471"/>
      <c r="B64" s="454"/>
      <c r="C64" s="314"/>
      <c r="D64" s="314"/>
      <c r="E64" s="309"/>
      <c r="F64" s="309"/>
      <c r="G64" s="497"/>
      <c r="H64" s="1056"/>
      <c r="I64" s="309"/>
      <c r="J64" s="309"/>
      <c r="K64" s="499"/>
      <c r="L64" s="1069"/>
      <c r="M64" s="309"/>
      <c r="N64" s="454"/>
    </row>
    <row r="65" spans="1:14" s="455" customFormat="1" ht="13.5">
      <c r="A65" s="471"/>
      <c r="B65" s="454"/>
      <c r="C65" s="314"/>
      <c r="D65" s="314"/>
      <c r="E65" s="309"/>
      <c r="F65" s="309"/>
      <c r="G65" s="497"/>
      <c r="H65" s="1056"/>
      <c r="I65" s="309"/>
      <c r="J65" s="309"/>
      <c r="K65" s="499"/>
      <c r="L65" s="1069"/>
      <c r="M65" s="499"/>
      <c r="N65" s="458"/>
    </row>
    <row r="66" spans="1:14" s="455" customFormat="1" ht="13.5">
      <c r="A66" s="471"/>
      <c r="B66" s="454"/>
      <c r="C66" s="314"/>
      <c r="D66" s="314"/>
      <c r="E66" s="309"/>
      <c r="F66" s="309"/>
      <c r="G66" s="497"/>
      <c r="H66" s="1056"/>
      <c r="I66" s="309"/>
      <c r="J66" s="309"/>
      <c r="K66" s="499"/>
      <c r="L66" s="1069"/>
      <c r="M66" s="499"/>
      <c r="N66" s="458"/>
    </row>
    <row r="67" spans="1:14" s="455" customFormat="1" ht="13.5">
      <c r="A67" s="471"/>
      <c r="B67" s="454"/>
      <c r="C67" s="314"/>
      <c r="D67" s="314"/>
      <c r="E67" s="662"/>
      <c r="F67" s="309"/>
      <c r="G67" s="497"/>
      <c r="H67" s="1056"/>
      <c r="I67" s="985"/>
      <c r="J67" s="985"/>
      <c r="K67" s="499"/>
      <c r="L67" s="1016"/>
      <c r="M67" s="499"/>
      <c r="N67" s="458"/>
    </row>
    <row r="68" spans="1:14" s="455" customFormat="1" ht="13.5">
      <c r="A68" s="471"/>
      <c r="B68" s="454"/>
      <c r="C68" s="314"/>
      <c r="D68" s="314"/>
      <c r="E68" s="662"/>
      <c r="F68" s="309"/>
      <c r="G68" s="497"/>
      <c r="H68" s="1056"/>
      <c r="I68" s="985"/>
      <c r="J68" s="985"/>
      <c r="K68" s="499"/>
      <c r="L68" s="1016"/>
      <c r="M68" s="499"/>
      <c r="N68" s="458"/>
    </row>
    <row r="69" spans="1:14" s="455" customFormat="1" ht="13.5">
      <c r="A69" s="471"/>
      <c r="B69" s="454"/>
      <c r="C69" s="314"/>
      <c r="D69" s="314"/>
      <c r="E69" s="662"/>
      <c r="F69" s="309"/>
      <c r="G69" s="497"/>
      <c r="H69" s="1056"/>
      <c r="I69" s="985"/>
      <c r="J69" s="985"/>
      <c r="K69" s="499"/>
      <c r="L69" s="1071"/>
      <c r="M69" s="499"/>
    </row>
    <row r="70" spans="1:14" s="455" customFormat="1" ht="13.5">
      <c r="A70" s="471"/>
      <c r="B70" s="454"/>
      <c r="C70" s="314"/>
      <c r="D70" s="314"/>
      <c r="E70" s="662"/>
      <c r="F70" s="309"/>
      <c r="G70" s="497"/>
      <c r="H70" s="1056"/>
      <c r="I70" s="985"/>
      <c r="J70" s="985"/>
      <c r="K70" s="499"/>
      <c r="L70" s="1071"/>
      <c r="M70" s="499"/>
    </row>
    <row r="71" spans="1:14" s="455" customFormat="1" ht="13.5">
      <c r="A71" s="471"/>
      <c r="B71" s="454"/>
      <c r="C71" s="314"/>
      <c r="D71" s="314"/>
      <c r="E71" s="662"/>
      <c r="F71" s="309"/>
      <c r="G71" s="497"/>
      <c r="H71" s="1056"/>
      <c r="I71" s="985"/>
      <c r="J71" s="985"/>
      <c r="K71" s="499"/>
      <c r="L71" s="1016"/>
      <c r="M71" s="499"/>
    </row>
    <row r="72" spans="1:14" s="455" customFormat="1" ht="13.5">
      <c r="A72" s="471"/>
      <c r="B72" s="454"/>
      <c r="C72" s="314"/>
      <c r="D72" s="314"/>
      <c r="E72" s="662"/>
      <c r="F72" s="309"/>
      <c r="G72" s="497"/>
      <c r="H72" s="1056"/>
      <c r="I72" s="985"/>
      <c r="J72" s="985"/>
      <c r="K72" s="499"/>
      <c r="L72" s="1016"/>
      <c r="M72" s="499"/>
    </row>
    <row r="73" spans="1:14" s="455" customFormat="1" ht="13.5">
      <c r="A73" s="471"/>
      <c r="B73" s="454"/>
      <c r="C73" s="314"/>
      <c r="D73" s="314"/>
      <c r="E73" s="662"/>
      <c r="F73" s="309"/>
      <c r="G73" s="497"/>
      <c r="H73" s="1056"/>
      <c r="I73" s="985"/>
      <c r="J73" s="985"/>
      <c r="K73" s="499"/>
      <c r="L73" s="1016"/>
      <c r="M73" s="499"/>
      <c r="N73" s="458"/>
    </row>
    <row r="74" spans="1:14" s="455" customFormat="1" ht="13.5">
      <c r="A74" s="471"/>
      <c r="B74" s="454"/>
      <c r="C74" s="314"/>
      <c r="D74" s="314"/>
      <c r="E74" s="662"/>
      <c r="F74" s="309"/>
      <c r="G74" s="497"/>
      <c r="H74" s="1056"/>
      <c r="I74" s="985"/>
      <c r="J74" s="985"/>
      <c r="K74" s="499"/>
      <c r="L74" s="1016"/>
      <c r="M74" s="499"/>
      <c r="N74" s="458"/>
    </row>
    <row r="75" spans="1:14" s="455" customFormat="1" ht="13.5">
      <c r="A75" s="471"/>
      <c r="B75" s="454"/>
      <c r="C75" s="314"/>
      <c r="D75" s="314"/>
      <c r="E75" s="662"/>
      <c r="F75" s="309"/>
      <c r="G75" s="497"/>
      <c r="H75" s="1056"/>
      <c r="I75" s="985"/>
      <c r="J75" s="985"/>
      <c r="K75" s="499"/>
      <c r="L75" s="1016"/>
      <c r="M75" s="499"/>
      <c r="N75" s="458"/>
    </row>
    <row r="76" spans="1:14" s="455" customFormat="1" ht="13.5">
      <c r="A76" s="471"/>
      <c r="B76" s="454"/>
      <c r="C76" s="2591"/>
      <c r="D76" s="314"/>
      <c r="E76" s="662"/>
      <c r="F76" s="309"/>
      <c r="G76" s="497"/>
      <c r="H76" s="1056"/>
      <c r="I76" s="985"/>
      <c r="J76" s="985"/>
      <c r="K76" s="499"/>
      <c r="L76" s="1016"/>
      <c r="M76" s="499"/>
    </row>
    <row r="77" spans="1:14" s="455" customFormat="1" ht="13.5">
      <c r="A77" s="471"/>
      <c r="B77" s="454"/>
      <c r="C77" s="2593"/>
      <c r="D77" s="314"/>
      <c r="E77" s="662"/>
      <c r="F77" s="309"/>
      <c r="G77" s="497"/>
      <c r="H77" s="1056"/>
      <c r="I77" s="985"/>
      <c r="J77" s="985"/>
      <c r="K77" s="499"/>
      <c r="L77" s="1016"/>
      <c r="M77" s="499"/>
      <c r="N77" s="454"/>
    </row>
    <row r="78" spans="1:14" s="455" customFormat="1" ht="13.5">
      <c r="A78" s="471"/>
      <c r="B78" s="454"/>
      <c r="C78" s="2591"/>
      <c r="D78" s="314"/>
      <c r="E78" s="662"/>
      <c r="F78" s="309"/>
      <c r="G78" s="497"/>
      <c r="H78" s="1056"/>
      <c r="I78" s="985"/>
      <c r="J78" s="985"/>
      <c r="K78" s="499"/>
      <c r="L78" s="1016"/>
      <c r="M78" s="499"/>
      <c r="N78" s="458"/>
    </row>
    <row r="79" spans="1:14" s="455" customFormat="1" ht="13.5">
      <c r="A79" s="471"/>
      <c r="B79" s="454"/>
      <c r="C79" s="2592"/>
      <c r="D79" s="314"/>
      <c r="E79" s="662"/>
      <c r="F79" s="309"/>
      <c r="G79" s="497"/>
      <c r="H79" s="1056"/>
      <c r="I79" s="985"/>
      <c r="J79" s="985"/>
      <c r="K79" s="499"/>
      <c r="L79" s="1016"/>
      <c r="M79" s="499"/>
      <c r="N79" s="458"/>
    </row>
    <row r="80" spans="1:14" s="455" customFormat="1" ht="13.5">
      <c r="A80" s="471"/>
      <c r="B80" s="454"/>
      <c r="C80" s="2593"/>
      <c r="D80" s="314"/>
      <c r="E80" s="662"/>
      <c r="F80" s="309"/>
      <c r="G80" s="497"/>
      <c r="H80" s="1056"/>
      <c r="I80" s="985"/>
      <c r="J80" s="985"/>
      <c r="K80" s="499"/>
      <c r="L80" s="1016"/>
      <c r="M80" s="499"/>
      <c r="N80" s="458"/>
    </row>
    <row r="81" spans="1:15" s="455" customFormat="1" ht="13.5">
      <c r="A81" s="471"/>
      <c r="B81" s="454"/>
      <c r="C81" s="314"/>
      <c r="D81" s="314"/>
      <c r="E81" s="662"/>
      <c r="F81" s="309"/>
      <c r="G81" s="497"/>
      <c r="H81" s="985"/>
      <c r="I81" s="985"/>
      <c r="J81" s="985"/>
      <c r="K81" s="499"/>
      <c r="L81" s="1016"/>
      <c r="M81" s="499"/>
      <c r="N81" s="458"/>
    </row>
    <row r="82" spans="1:15" s="455" customFormat="1" ht="13.5">
      <c r="A82" s="471"/>
      <c r="B82" s="454"/>
      <c r="C82" s="314"/>
      <c r="D82" s="314"/>
      <c r="E82" s="662"/>
      <c r="F82" s="309"/>
      <c r="G82" s="497"/>
      <c r="H82" s="985"/>
      <c r="I82" s="985"/>
      <c r="J82" s="985"/>
      <c r="K82" s="499"/>
      <c r="L82" s="1016"/>
      <c r="M82" s="499"/>
      <c r="N82" s="460"/>
    </row>
    <row r="83" spans="1:15" s="455" customFormat="1" ht="13.5">
      <c r="C83" s="314"/>
      <c r="D83" s="314"/>
      <c r="E83" s="662"/>
      <c r="F83" s="662"/>
      <c r="G83" s="309"/>
      <c r="H83" s="497"/>
      <c r="I83" s="1056"/>
      <c r="J83" s="985"/>
      <c r="K83" s="985"/>
      <c r="L83" s="499"/>
      <c r="M83" s="1025"/>
      <c r="N83" s="499"/>
    </row>
    <row r="84" spans="1:15" s="455" customFormat="1" ht="13.5">
      <c r="C84" s="902"/>
      <c r="D84" s="309"/>
      <c r="E84" s="662"/>
      <c r="F84" s="662"/>
      <c r="G84" s="309"/>
      <c r="H84" s="497"/>
      <c r="I84" s="653"/>
      <c r="J84" s="985"/>
      <c r="K84" s="1469"/>
      <c r="L84" s="499"/>
      <c r="M84" s="1025"/>
      <c r="N84" s="499"/>
    </row>
    <row r="85" spans="1:15" s="455" customFormat="1" ht="13.5">
      <c r="A85" s="566"/>
      <c r="B85" s="467"/>
      <c r="C85" s="499"/>
      <c r="D85" s="309"/>
      <c r="E85" s="391"/>
      <c r="F85" s="499"/>
      <c r="G85" s="497"/>
      <c r="H85" s="498"/>
      <c r="I85" s="498"/>
      <c r="J85" s="498"/>
      <c r="K85" s="499"/>
      <c r="L85" s="1470"/>
      <c r="M85" s="309"/>
      <c r="N85" s="499"/>
    </row>
    <row r="86" spans="1:15" s="455" customFormat="1" ht="13.5">
      <c r="A86" s="566"/>
      <c r="B86" s="467"/>
      <c r="C86" s="497"/>
      <c r="D86" s="691"/>
      <c r="E86" s="675"/>
      <c r="F86" s="675"/>
      <c r="G86" s="654"/>
      <c r="H86" s="502"/>
      <c r="I86" s="652"/>
      <c r="J86" s="497"/>
      <c r="K86" s="653"/>
      <c r="L86" s="502"/>
      <c r="M86" s="538"/>
      <c r="N86" s="392"/>
      <c r="O86" s="502"/>
    </row>
    <row r="87" spans="1:15" s="455" customFormat="1" ht="13.5">
      <c r="A87" s="566"/>
      <c r="B87" s="467"/>
      <c r="C87" s="497"/>
      <c r="D87" s="691"/>
      <c r="E87" s="675"/>
      <c r="F87" s="675"/>
      <c r="G87" s="654"/>
      <c r="H87" s="502"/>
      <c r="I87" s="652"/>
      <c r="J87" s="497"/>
      <c r="K87" s="653"/>
      <c r="L87" s="502"/>
      <c r="M87" s="538"/>
      <c r="N87" s="392"/>
      <c r="O87" s="502"/>
    </row>
    <row r="88" spans="1:15" s="455" customFormat="1" ht="13.5">
      <c r="A88" s="566"/>
      <c r="B88" s="467"/>
      <c r="C88" s="497"/>
      <c r="D88" s="691"/>
      <c r="E88" s="675"/>
      <c r="F88" s="675"/>
      <c r="G88" s="654"/>
      <c r="H88" s="502"/>
      <c r="I88" s="652"/>
      <c r="J88" s="497"/>
      <c r="K88" s="653"/>
      <c r="L88" s="502"/>
      <c r="M88" s="538"/>
      <c r="N88" s="392"/>
      <c r="O88" s="502"/>
    </row>
    <row r="89" spans="1:15" s="455" customFormat="1" ht="13.5">
      <c r="A89" s="566"/>
      <c r="B89" s="467"/>
      <c r="C89" s="497"/>
      <c r="D89" s="691"/>
      <c r="E89" s="675"/>
      <c r="F89" s="675"/>
      <c r="G89" s="654"/>
      <c r="H89" s="502"/>
      <c r="I89" s="652"/>
      <c r="J89" s="497"/>
      <c r="K89" s="653"/>
      <c r="L89" s="502"/>
      <c r="M89" s="538"/>
      <c r="N89" s="392"/>
      <c r="O89" s="502"/>
    </row>
    <row r="90" spans="1:15" s="455" customFormat="1" ht="13.5">
      <c r="C90" s="1384"/>
      <c r="D90" s="314"/>
      <c r="E90" s="662"/>
      <c r="F90" s="662"/>
      <c r="G90" s="309"/>
      <c r="H90" s="497"/>
      <c r="I90" s="653"/>
      <c r="J90" s="985"/>
      <c r="K90" s="1469"/>
      <c r="L90" s="499"/>
      <c r="M90" s="1025"/>
      <c r="N90" s="499"/>
    </row>
    <row r="91" spans="1:15" s="455" customFormat="1" ht="13.5">
      <c r="C91" s="1384"/>
      <c r="D91" s="314"/>
      <c r="E91" s="662"/>
      <c r="F91" s="662"/>
      <c r="G91" s="309"/>
      <c r="H91" s="497"/>
      <c r="I91" s="653"/>
      <c r="J91" s="985"/>
      <c r="K91" s="1469"/>
      <c r="L91" s="499"/>
      <c r="M91" s="1025"/>
      <c r="N91" s="499"/>
    </row>
    <row r="92" spans="1:15" s="455" customFormat="1" ht="13.5">
      <c r="A92" s="566"/>
      <c r="B92" s="467"/>
      <c r="C92" s="499"/>
      <c r="D92" s="309"/>
      <c r="E92" s="391"/>
      <c r="F92" s="499"/>
      <c r="G92" s="497"/>
      <c r="H92" s="498"/>
      <c r="I92" s="498"/>
      <c r="J92" s="498"/>
      <c r="K92" s="499"/>
      <c r="L92" s="1470"/>
      <c r="M92" s="309"/>
      <c r="N92" s="499"/>
    </row>
    <row r="93" spans="1:15" s="455" customFormat="1" ht="13.5">
      <c r="A93" s="566"/>
      <c r="B93" s="467"/>
      <c r="C93" s="497"/>
      <c r="D93" s="691"/>
      <c r="E93" s="675"/>
      <c r="F93" s="675"/>
      <c r="G93" s="654"/>
      <c r="H93" s="502"/>
      <c r="I93" s="652"/>
      <c r="J93" s="497"/>
      <c r="K93" s="653"/>
      <c r="L93" s="502"/>
      <c r="M93" s="538"/>
      <c r="N93" s="392"/>
      <c r="O93" s="502"/>
    </row>
    <row r="94" spans="1:15" s="455" customFormat="1" ht="13.5">
      <c r="A94" s="566"/>
      <c r="B94" s="467"/>
      <c r="C94" s="497"/>
      <c r="D94" s="691"/>
      <c r="E94" s="675"/>
      <c r="F94" s="675"/>
      <c r="G94" s="654"/>
      <c r="H94" s="502"/>
      <c r="I94" s="652"/>
      <c r="J94" s="497"/>
      <c r="K94" s="653"/>
      <c r="L94" s="502"/>
      <c r="M94" s="538"/>
      <c r="N94" s="392"/>
      <c r="O94" s="502"/>
    </row>
    <row r="95" spans="1:15" s="455" customFormat="1" ht="13.5">
      <c r="A95" s="566"/>
      <c r="B95" s="467"/>
      <c r="C95" s="497"/>
      <c r="D95" s="691"/>
      <c r="E95" s="675"/>
      <c r="F95" s="675"/>
      <c r="G95" s="654"/>
      <c r="H95" s="502"/>
      <c r="I95" s="652"/>
      <c r="J95" s="497"/>
      <c r="K95" s="653"/>
      <c r="L95" s="502"/>
      <c r="M95" s="538"/>
      <c r="N95" s="392"/>
      <c r="O95" s="502"/>
    </row>
    <row r="96" spans="1:15" s="455" customFormat="1" ht="13.5">
      <c r="A96" s="566"/>
      <c r="B96" s="467"/>
      <c r="C96" s="497"/>
      <c r="D96" s="691"/>
      <c r="E96" s="675"/>
      <c r="F96" s="675"/>
      <c r="G96" s="654"/>
      <c r="H96" s="502"/>
      <c r="I96" s="652"/>
      <c r="J96" s="497"/>
      <c r="K96" s="653"/>
      <c r="L96" s="502"/>
      <c r="M96" s="538"/>
      <c r="N96" s="392"/>
      <c r="O96" s="502"/>
    </row>
    <row r="97" spans="3:15" s="455" customFormat="1" ht="13.5">
      <c r="C97" s="1385"/>
      <c r="D97" s="314"/>
      <c r="E97" s="991"/>
      <c r="F97" s="662"/>
      <c r="G97" s="309"/>
      <c r="H97" s="497"/>
      <c r="I97" s="774"/>
      <c r="J97" s="774"/>
      <c r="K97" s="774"/>
      <c r="L97" s="499"/>
      <c r="M97" s="1028"/>
      <c r="N97" s="499"/>
    </row>
    <row r="98" spans="3:15" s="455" customFormat="1" ht="13.5">
      <c r="C98" s="314"/>
      <c r="D98" s="314"/>
      <c r="E98" s="991"/>
      <c r="F98" s="662"/>
      <c r="G98" s="309"/>
      <c r="H98" s="497"/>
      <c r="I98" s="774"/>
      <c r="J98" s="774"/>
      <c r="K98" s="1471"/>
      <c r="L98" s="499"/>
      <c r="M98" s="1028"/>
      <c r="N98" s="499"/>
    </row>
    <row r="99" spans="3:15" s="455" customFormat="1" ht="13.5">
      <c r="C99" s="1027"/>
      <c r="D99" s="314"/>
      <c r="E99" s="991"/>
      <c r="F99" s="662"/>
      <c r="G99" s="309"/>
      <c r="H99" s="497"/>
      <c r="I99" s="1056"/>
      <c r="J99" s="985"/>
      <c r="K99" s="985"/>
      <c r="L99" s="499"/>
      <c r="M99" s="1028"/>
      <c r="N99" s="499"/>
    </row>
    <row r="100" spans="3:15" s="455" customFormat="1" ht="13.5">
      <c r="C100" s="499"/>
      <c r="D100" s="309"/>
      <c r="E100" s="391"/>
      <c r="F100" s="499"/>
      <c r="G100" s="497"/>
      <c r="H100" s="498"/>
      <c r="I100" s="498"/>
      <c r="J100" s="498"/>
      <c r="K100" s="499"/>
      <c r="L100" s="1472"/>
      <c r="M100" s="309"/>
      <c r="N100" s="499"/>
    </row>
    <row r="101" spans="3:15" s="455" customFormat="1" ht="13.5">
      <c r="C101" s="497"/>
      <c r="D101" s="691"/>
      <c r="E101" s="675"/>
      <c r="F101" s="675"/>
      <c r="G101" s="654"/>
      <c r="H101" s="502"/>
      <c r="I101" s="652"/>
      <c r="J101" s="497"/>
      <c r="K101" s="653"/>
      <c r="L101" s="502"/>
      <c r="M101" s="538"/>
      <c r="N101" s="392"/>
      <c r="O101" s="502"/>
    </row>
    <row r="102" spans="3:15" s="455" customFormat="1" ht="13.5">
      <c r="C102" s="497"/>
      <c r="D102" s="691"/>
      <c r="E102" s="675"/>
      <c r="F102" s="675"/>
      <c r="G102" s="654"/>
      <c r="H102" s="502"/>
      <c r="I102" s="652"/>
      <c r="J102" s="497"/>
      <c r="K102" s="653"/>
      <c r="L102" s="502"/>
      <c r="M102" s="538"/>
      <c r="N102" s="392"/>
      <c r="O102" s="502"/>
    </row>
    <row r="103" spans="3:15" s="455" customFormat="1" ht="13.5">
      <c r="C103" s="497"/>
      <c r="D103" s="691"/>
      <c r="E103" s="675"/>
      <c r="F103" s="675"/>
      <c r="G103" s="654"/>
      <c r="H103" s="502"/>
      <c r="I103" s="652"/>
      <c r="J103" s="497"/>
      <c r="K103" s="653"/>
      <c r="L103" s="502"/>
      <c r="M103" s="538"/>
      <c r="N103" s="392"/>
      <c r="O103" s="502"/>
    </row>
    <row r="104" spans="3:15" s="455" customFormat="1" ht="13.5">
      <c r="C104" s="497"/>
      <c r="D104" s="691"/>
      <c r="E104" s="675"/>
      <c r="F104" s="675"/>
      <c r="G104" s="654"/>
      <c r="H104" s="502"/>
      <c r="I104" s="652"/>
      <c r="J104" s="497"/>
      <c r="K104" s="653"/>
      <c r="L104" s="502"/>
      <c r="M104" s="538"/>
      <c r="N104" s="392"/>
      <c r="O104" s="502"/>
    </row>
    <row r="105" spans="3:15" s="455" customFormat="1" ht="13.5">
      <c r="C105" s="497"/>
      <c r="D105" s="691"/>
      <c r="E105" s="675"/>
      <c r="F105" s="675"/>
      <c r="G105" s="654"/>
      <c r="H105" s="502"/>
      <c r="I105" s="652"/>
      <c r="J105" s="497"/>
      <c r="K105" s="653"/>
      <c r="L105" s="502"/>
      <c r="M105" s="538"/>
      <c r="N105" s="392"/>
      <c r="O105" s="502"/>
    </row>
    <row r="106" spans="3:15" s="455" customFormat="1" ht="13.5">
      <c r="C106" s="497"/>
      <c r="D106" s="691"/>
      <c r="E106" s="675"/>
      <c r="F106" s="675"/>
      <c r="G106" s="654"/>
      <c r="H106" s="502"/>
      <c r="I106" s="652"/>
      <c r="J106" s="497"/>
      <c r="K106" s="653"/>
      <c r="L106" s="502"/>
      <c r="M106" s="538"/>
      <c r="N106" s="392"/>
      <c r="O106" s="502"/>
    </row>
    <row r="107" spans="3:15" s="455" customFormat="1" ht="13.5">
      <c r="C107" s="497"/>
      <c r="D107" s="691"/>
      <c r="E107" s="675"/>
      <c r="F107" s="1473"/>
      <c r="G107" s="654"/>
      <c r="H107" s="502"/>
      <c r="I107" s="652"/>
      <c r="J107" s="497"/>
      <c r="K107" s="653"/>
      <c r="L107" s="502"/>
      <c r="M107" s="538"/>
      <c r="N107" s="392"/>
      <c r="O107" s="502"/>
    </row>
    <row r="108" spans="3:15" s="355" customFormat="1" ht="13.5">
      <c r="C108" s="400"/>
      <c r="D108" s="400"/>
      <c r="E108" s="401"/>
      <c r="F108" s="402"/>
      <c r="G108" s="402"/>
      <c r="H108" s="403"/>
      <c r="I108" s="403"/>
      <c r="J108" s="403"/>
      <c r="K108" s="402"/>
      <c r="L108" s="404"/>
      <c r="M108" s="402"/>
      <c r="N108" s="405"/>
    </row>
    <row r="109" spans="3:15" s="355" customFormat="1" ht="13.5">
      <c r="C109" s="400"/>
      <c r="D109" s="400"/>
      <c r="E109" s="401"/>
      <c r="F109" s="402"/>
      <c r="G109" s="402"/>
      <c r="H109" s="403"/>
      <c r="I109" s="403"/>
      <c r="J109" s="403"/>
      <c r="K109" s="402"/>
      <c r="L109" s="404"/>
      <c r="M109" s="402"/>
      <c r="N109" s="405"/>
    </row>
    <row r="110" spans="3:15" s="355" customFormat="1" ht="13.5">
      <c r="C110" s="400"/>
      <c r="D110" s="400"/>
      <c r="E110" s="401"/>
      <c r="F110" s="402"/>
      <c r="G110" s="402"/>
      <c r="H110" s="403"/>
      <c r="I110" s="403"/>
      <c r="J110" s="403"/>
      <c r="K110" s="402"/>
      <c r="L110" s="404"/>
      <c r="M110" s="402"/>
      <c r="N110" s="405"/>
    </row>
    <row r="111" spans="3:15" s="355" customFormat="1" ht="13.5">
      <c r="C111" s="400"/>
      <c r="D111" s="400"/>
      <c r="E111" s="401"/>
      <c r="F111" s="402"/>
      <c r="G111" s="402"/>
      <c r="H111" s="403"/>
      <c r="I111" s="403"/>
      <c r="J111" s="403"/>
      <c r="K111" s="402"/>
      <c r="L111" s="404"/>
      <c r="M111" s="402"/>
      <c r="N111" s="405"/>
    </row>
    <row r="112" spans="3:15" s="355" customFormat="1" ht="13.5">
      <c r="C112" s="400"/>
      <c r="D112" s="400"/>
      <c r="E112" s="401"/>
      <c r="F112" s="402"/>
      <c r="G112" s="402"/>
      <c r="H112" s="403"/>
      <c r="I112" s="403"/>
      <c r="J112" s="403"/>
      <c r="K112" s="402"/>
      <c r="L112" s="404"/>
      <c r="M112" s="402"/>
      <c r="N112" s="405"/>
    </row>
    <row r="113" spans="3:14" s="355" customFormat="1" ht="13.5">
      <c r="C113" s="400"/>
      <c r="D113" s="400"/>
      <c r="E113" s="401"/>
      <c r="F113" s="402"/>
      <c r="G113" s="402"/>
      <c r="H113" s="403"/>
      <c r="I113" s="403"/>
      <c r="J113" s="403"/>
      <c r="K113" s="402"/>
      <c r="L113" s="404"/>
      <c r="M113" s="402"/>
      <c r="N113" s="405"/>
    </row>
    <row r="114" spans="3:14" s="355" customFormat="1" ht="13.5">
      <c r="C114" s="400"/>
      <c r="D114" s="400"/>
      <c r="E114" s="401"/>
      <c r="F114" s="402"/>
      <c r="G114" s="402"/>
      <c r="H114" s="403"/>
      <c r="I114" s="403"/>
      <c r="J114" s="403"/>
      <c r="K114" s="402"/>
      <c r="L114" s="404"/>
      <c r="M114" s="402"/>
      <c r="N114" s="405"/>
    </row>
    <row r="115" spans="3:14" s="355" customFormat="1" ht="13.5">
      <c r="C115" s="400"/>
      <c r="D115" s="400"/>
      <c r="E115" s="401"/>
      <c r="F115" s="402"/>
      <c r="G115" s="402"/>
      <c r="H115" s="403"/>
      <c r="I115" s="403"/>
      <c r="J115" s="403"/>
      <c r="K115" s="402"/>
      <c r="L115" s="404"/>
      <c r="M115" s="402"/>
      <c r="N115" s="405"/>
    </row>
    <row r="116" spans="3:14" s="355" customFormat="1" ht="13.5">
      <c r="C116" s="400"/>
      <c r="D116" s="400"/>
      <c r="E116" s="401"/>
      <c r="F116" s="402"/>
      <c r="G116" s="402"/>
      <c r="H116" s="403"/>
      <c r="I116" s="403"/>
      <c r="J116" s="403"/>
      <c r="K116" s="402"/>
      <c r="L116" s="404"/>
      <c r="M116" s="402"/>
      <c r="N116" s="405"/>
    </row>
    <row r="117" spans="3:14" s="355" customFormat="1" ht="13.5">
      <c r="C117" s="400"/>
      <c r="D117" s="400"/>
      <c r="E117" s="401"/>
      <c r="F117" s="402"/>
      <c r="G117" s="402"/>
      <c r="H117" s="403"/>
      <c r="I117" s="403"/>
      <c r="J117" s="403"/>
      <c r="K117" s="402"/>
      <c r="L117" s="404"/>
      <c r="M117" s="402"/>
      <c r="N117" s="405"/>
    </row>
    <row r="118" spans="3:14" s="355" customFormat="1" ht="13.5">
      <c r="C118" s="400"/>
      <c r="D118" s="400"/>
      <c r="E118" s="401"/>
      <c r="F118" s="402"/>
      <c r="G118" s="402"/>
      <c r="H118" s="403"/>
      <c r="I118" s="403"/>
      <c r="J118" s="403"/>
      <c r="K118" s="402"/>
      <c r="L118" s="404"/>
      <c r="M118" s="402"/>
      <c r="N118" s="405"/>
    </row>
    <row r="119" spans="3:14" s="355" customFormat="1" ht="13.5">
      <c r="C119" s="400"/>
      <c r="D119" s="400"/>
      <c r="E119" s="401"/>
      <c r="F119" s="402"/>
      <c r="G119" s="402"/>
      <c r="H119" s="403"/>
      <c r="I119" s="403"/>
      <c r="J119" s="403"/>
      <c r="K119" s="402"/>
      <c r="L119" s="404"/>
      <c r="M119" s="402"/>
      <c r="N119" s="405"/>
    </row>
    <row r="120" spans="3:14" s="355" customFormat="1" ht="13.5">
      <c r="C120" s="400"/>
      <c r="D120" s="400"/>
      <c r="E120" s="401"/>
      <c r="F120" s="402"/>
      <c r="G120" s="402"/>
      <c r="H120" s="403"/>
      <c r="I120" s="403"/>
      <c r="J120" s="403"/>
      <c r="K120" s="402"/>
      <c r="L120" s="404"/>
      <c r="M120" s="407"/>
      <c r="N120" s="405"/>
    </row>
    <row r="121" spans="3:14" s="355" customFormat="1" ht="13.5">
      <c r="C121" s="400"/>
      <c r="D121" s="400"/>
      <c r="E121" s="401"/>
      <c r="F121" s="402"/>
      <c r="G121" s="403"/>
      <c r="H121" s="403"/>
      <c r="I121" s="403"/>
      <c r="J121" s="403"/>
      <c r="K121" s="408"/>
      <c r="L121" s="404"/>
      <c r="M121" s="407"/>
      <c r="N121" s="405"/>
    </row>
    <row r="122" spans="3:14" s="355" customFormat="1" ht="13.5">
      <c r="C122" s="352"/>
      <c r="D122" s="352"/>
      <c r="E122" s="352"/>
      <c r="F122" s="352"/>
      <c r="G122" s="352"/>
      <c r="H122" s="352"/>
      <c r="I122" s="352"/>
      <c r="J122" s="352"/>
      <c r="K122" s="352"/>
      <c r="L122" s="1403">
        <f>SUM(L5:L120)</f>
        <v>142000</v>
      </c>
      <c r="M122" s="352"/>
      <c r="N122" s="352"/>
    </row>
    <row r="123" spans="3:14" ht="14.25" customHeight="1">
      <c r="C123" s="31"/>
      <c r="D123" s="27"/>
      <c r="E123" s="20"/>
      <c r="F123" s="28"/>
      <c r="G123" s="28"/>
      <c r="H123" s="26"/>
      <c r="I123" s="26"/>
      <c r="J123" s="26"/>
      <c r="K123" s="28"/>
      <c r="L123" s="179"/>
      <c r="M123" s="28"/>
      <c r="N123" s="27"/>
    </row>
    <row r="124" spans="3:14" s="1" customFormat="1" ht="14.25" customHeight="1">
      <c r="C124" s="31"/>
      <c r="D124" s="27"/>
      <c r="E124" s="21"/>
      <c r="F124" s="28"/>
      <c r="G124" s="28"/>
      <c r="H124" s="26"/>
      <c r="I124" s="26"/>
      <c r="J124" s="26"/>
      <c r="K124" s="28"/>
      <c r="L124" s="179"/>
      <c r="M124" s="28"/>
      <c r="N124" s="27"/>
    </row>
    <row r="125" spans="3:14" s="1" customFormat="1" ht="14.25" customHeight="1">
      <c r="C125" s="30"/>
      <c r="D125" s="25"/>
      <c r="E125" s="21"/>
      <c r="F125" s="22"/>
      <c r="G125" s="22"/>
      <c r="H125" s="23"/>
      <c r="I125" s="23"/>
      <c r="J125" s="23"/>
      <c r="K125" s="22"/>
      <c r="L125" s="180"/>
      <c r="M125" s="22"/>
      <c r="N125" s="25"/>
    </row>
  </sheetData>
  <mergeCells count="15">
    <mergeCell ref="D15:D16"/>
    <mergeCell ref="N2:N3"/>
    <mergeCell ref="C39:C40"/>
    <mergeCell ref="C78:C80"/>
    <mergeCell ref="C2:G2"/>
    <mergeCell ref="H2:J2"/>
    <mergeCell ref="K2:L2"/>
    <mergeCell ref="M2:M3"/>
    <mergeCell ref="C41:C42"/>
    <mergeCell ref="C44:C45"/>
    <mergeCell ref="C46:C47"/>
    <mergeCell ref="C48:C49"/>
    <mergeCell ref="C76:C77"/>
    <mergeCell ref="C10:C12"/>
    <mergeCell ref="C14:C16"/>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1E520-1476-440F-94A2-3B6BD9C38F41}">
  <sheetPr>
    <tabColor rgb="FF00B0F0"/>
  </sheetPr>
  <dimension ref="A1:O122"/>
  <sheetViews>
    <sheetView zoomScale="90" zoomScaleNormal="90" workbookViewId="0">
      <pane ySplit="4" topLeftCell="A21" activePane="bottomLeft" state="frozen"/>
      <selection pane="bottomLeft" activeCell="L36" sqref="L36"/>
    </sheetView>
  </sheetViews>
  <sheetFormatPr defaultRowHeight="15"/>
  <cols>
    <col min="3" max="3" width="21.42578125" customWidth="1"/>
    <col min="4" max="4" width="49.7109375" bestFit="1"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style="99" customWidth="1"/>
    <col min="13" max="13" width="16.28515625" customWidth="1"/>
    <col min="14" max="14" width="12.85546875" customWidth="1"/>
    <col min="17" max="17" width="73.7109375" bestFit="1" customWidth="1"/>
  </cols>
  <sheetData>
    <row r="1" spans="1:14" s="355" customFormat="1" ht="13.5">
      <c r="L1" s="32"/>
    </row>
    <row r="2" spans="1:14" s="355" customFormat="1" ht="13.5">
      <c r="C2" s="2601" t="s">
        <v>30</v>
      </c>
      <c r="D2" s="2602"/>
      <c r="E2" s="2602"/>
      <c r="F2" s="2602"/>
      <c r="G2" s="2603"/>
      <c r="H2" s="2604" t="s">
        <v>29</v>
      </c>
      <c r="I2" s="2605"/>
      <c r="J2" s="2606"/>
      <c r="K2" s="2601" t="s">
        <v>28</v>
      </c>
      <c r="L2" s="2603"/>
      <c r="M2" s="2594" t="s">
        <v>27</v>
      </c>
      <c r="N2" s="2594" t="s">
        <v>26</v>
      </c>
    </row>
    <row r="3" spans="1:14" s="355" customFormat="1" ht="94.5">
      <c r="C3" s="618" t="s">
        <v>25</v>
      </c>
      <c r="D3" s="852" t="s">
        <v>24</v>
      </c>
      <c r="E3" s="991" t="s">
        <v>23</v>
      </c>
      <c r="F3" s="618" t="s">
        <v>22</v>
      </c>
      <c r="G3" s="532" t="s">
        <v>1303</v>
      </c>
      <c r="H3" s="532" t="s">
        <v>20</v>
      </c>
      <c r="I3" s="532" t="s">
        <v>19</v>
      </c>
      <c r="J3" s="532" t="s">
        <v>18</v>
      </c>
      <c r="K3" s="618" t="s">
        <v>17</v>
      </c>
      <c r="L3" s="605" t="s">
        <v>16</v>
      </c>
      <c r="M3" s="2594"/>
      <c r="N3" s="2594"/>
    </row>
    <row r="4" spans="1:14" s="355" customFormat="1" ht="27">
      <c r="C4" s="1076" t="s">
        <v>15</v>
      </c>
      <c r="D4" s="1076" t="s">
        <v>14</v>
      </c>
      <c r="E4" s="1076" t="s">
        <v>13</v>
      </c>
      <c r="F4" s="1076" t="s">
        <v>12</v>
      </c>
      <c r="G4" s="1076" t="s">
        <v>11</v>
      </c>
      <c r="H4" s="1076" t="s">
        <v>10</v>
      </c>
      <c r="I4" s="1076" t="s">
        <v>9</v>
      </c>
      <c r="J4" s="1076" t="s">
        <v>8</v>
      </c>
      <c r="K4" s="1076" t="s">
        <v>7</v>
      </c>
      <c r="L4" s="1077" t="s">
        <v>6</v>
      </c>
      <c r="M4" s="1076" t="s">
        <v>5</v>
      </c>
      <c r="N4" s="1076" t="s">
        <v>4</v>
      </c>
    </row>
    <row r="5" spans="1:14" s="455" customFormat="1" ht="63.75">
      <c r="A5" s="471"/>
      <c r="B5" s="454" t="s">
        <v>1668</v>
      </c>
      <c r="C5" s="1556" t="s">
        <v>1652</v>
      </c>
      <c r="D5" s="1533" t="s">
        <v>2</v>
      </c>
      <c r="E5" s="1557" t="s">
        <v>1653</v>
      </c>
      <c r="F5" s="1558" t="s">
        <v>422</v>
      </c>
      <c r="G5" s="1535"/>
      <c r="H5" s="1551" t="s">
        <v>652</v>
      </c>
      <c r="I5" s="1551" t="s">
        <v>1654</v>
      </c>
      <c r="J5" s="1551" t="s">
        <v>1655</v>
      </c>
      <c r="K5" s="1530" t="s">
        <v>748</v>
      </c>
      <c r="L5" s="1546">
        <v>54000</v>
      </c>
      <c r="M5" s="1535"/>
      <c r="N5" s="1535"/>
    </row>
    <row r="6" spans="1:14" s="455" customFormat="1" ht="13.5">
      <c r="A6" s="471"/>
      <c r="B6" s="454"/>
      <c r="C6" s="314"/>
      <c r="D6" s="309"/>
      <c r="E6" s="309"/>
      <c r="F6" s="497"/>
      <c r="G6" s="985"/>
      <c r="H6" s="985"/>
      <c r="I6" s="985"/>
      <c r="J6" s="499"/>
      <c r="K6" s="1025"/>
      <c r="L6" s="499"/>
      <c r="M6" s="1464"/>
    </row>
    <row r="7" spans="1:14" s="455" customFormat="1" ht="63.75">
      <c r="A7" s="471"/>
      <c r="B7" s="454" t="s">
        <v>1677</v>
      </c>
      <c r="C7" s="1556" t="s">
        <v>1652</v>
      </c>
      <c r="D7" s="1533" t="s">
        <v>2</v>
      </c>
      <c r="E7" s="1557" t="s">
        <v>1653</v>
      </c>
      <c r="F7" s="1558" t="s">
        <v>422</v>
      </c>
      <c r="G7" s="1535"/>
      <c r="H7" s="1551" t="s">
        <v>652</v>
      </c>
      <c r="I7" s="1551" t="s">
        <v>1654</v>
      </c>
      <c r="J7" s="1551" t="s">
        <v>1655</v>
      </c>
      <c r="K7" s="1530" t="s">
        <v>748</v>
      </c>
      <c r="L7" s="1546">
        <v>108000</v>
      </c>
      <c r="M7" s="1535"/>
      <c r="N7" s="1535"/>
    </row>
    <row r="8" spans="1:14" s="455" customFormat="1" ht="13.5">
      <c r="A8" s="471"/>
      <c r="B8" s="454"/>
      <c r="C8" s="1964"/>
      <c r="D8" s="1533"/>
      <c r="E8" s="1557"/>
      <c r="F8" s="1558"/>
      <c r="G8" s="1535"/>
      <c r="H8" s="1551"/>
      <c r="I8" s="1551"/>
      <c r="J8" s="1551"/>
      <c r="K8" s="1530"/>
      <c r="L8" s="1546"/>
      <c r="M8" s="1535"/>
      <c r="N8" s="1965"/>
    </row>
    <row r="9" spans="1:14" s="455" customFormat="1" ht="27.6" customHeight="1">
      <c r="A9" s="471"/>
      <c r="B9" s="454" t="s">
        <v>2699</v>
      </c>
      <c r="C9" s="2756" t="s">
        <v>2917</v>
      </c>
      <c r="D9" s="1712" t="s">
        <v>2</v>
      </c>
      <c r="E9" s="1922"/>
      <c r="F9" s="1919"/>
      <c r="G9" s="1725"/>
      <c r="H9" s="1801"/>
      <c r="I9" s="1801"/>
      <c r="J9" s="1801"/>
      <c r="K9" s="1712" t="s">
        <v>2216</v>
      </c>
      <c r="L9" s="1920"/>
      <c r="M9" s="1715" t="s">
        <v>2446</v>
      </c>
      <c r="N9" s="1716"/>
    </row>
    <row r="10" spans="1:14" s="455" customFormat="1">
      <c r="A10" s="471"/>
      <c r="B10" s="454" t="s">
        <v>2699</v>
      </c>
      <c r="C10" s="2757"/>
      <c r="D10" s="1796" t="s">
        <v>2916</v>
      </c>
      <c r="E10" s="1884"/>
      <c r="F10" s="1724"/>
      <c r="G10" s="1725"/>
      <c r="H10" s="1801"/>
      <c r="I10" s="1801"/>
      <c r="J10" s="1801"/>
      <c r="K10" s="1836"/>
      <c r="L10" s="1943">
        <v>12000</v>
      </c>
      <c r="M10" s="1721"/>
      <c r="N10" s="1720"/>
    </row>
    <row r="11" spans="1:14" s="455" customFormat="1" ht="27.6" customHeight="1">
      <c r="A11" s="471"/>
      <c r="B11" s="454" t="s">
        <v>2699</v>
      </c>
      <c r="C11" s="2756" t="s">
        <v>2917</v>
      </c>
      <c r="D11" s="1712" t="s">
        <v>2</v>
      </c>
      <c r="E11" s="1922"/>
      <c r="F11" s="1919"/>
      <c r="G11" s="1725"/>
      <c r="H11" s="1801"/>
      <c r="I11" s="1801"/>
      <c r="J11" s="1801"/>
      <c r="K11" s="1712" t="s">
        <v>2216</v>
      </c>
      <c r="L11" s="1920"/>
      <c r="M11" s="1715" t="s">
        <v>2446</v>
      </c>
      <c r="N11" s="1716"/>
    </row>
    <row r="12" spans="1:14" s="455" customFormat="1">
      <c r="A12" s="471"/>
      <c r="B12" s="454" t="s">
        <v>2699</v>
      </c>
      <c r="C12" s="2757"/>
      <c r="D12" s="1796" t="s">
        <v>2916</v>
      </c>
      <c r="E12" s="1884"/>
      <c r="F12" s="1724"/>
      <c r="G12" s="1725"/>
      <c r="H12" s="1801"/>
      <c r="I12" s="1801"/>
      <c r="J12" s="1801"/>
      <c r="K12" s="1836"/>
      <c r="L12" s="1943">
        <v>12000</v>
      </c>
      <c r="M12" s="1721"/>
      <c r="N12" s="1720"/>
    </row>
    <row r="13" spans="1:14" s="455" customFormat="1">
      <c r="A13" s="471"/>
      <c r="B13" s="454"/>
      <c r="C13" s="1917"/>
      <c r="D13" s="1796"/>
      <c r="E13" s="1884"/>
      <c r="F13" s="1724"/>
      <c r="G13" s="1725"/>
      <c r="H13" s="1801"/>
      <c r="I13" s="1801"/>
      <c r="J13" s="1801"/>
      <c r="K13" s="1836"/>
      <c r="L13" s="1967"/>
      <c r="M13" s="2020"/>
      <c r="N13" s="1720"/>
    </row>
    <row r="14" spans="1:14" s="455" customFormat="1">
      <c r="A14" s="471"/>
      <c r="B14" s="454"/>
      <c r="C14" s="1917"/>
      <c r="D14" s="1796"/>
      <c r="E14" s="1884"/>
      <c r="F14" s="1724"/>
      <c r="G14" s="1725"/>
      <c r="H14" s="1801"/>
      <c r="I14" s="1801"/>
      <c r="J14" s="1801"/>
      <c r="K14" s="1836"/>
      <c r="L14" s="1967"/>
      <c r="M14" s="2020"/>
      <c r="N14" s="1720"/>
    </row>
    <row r="15" spans="1:14" s="455" customFormat="1" ht="25.5">
      <c r="A15" s="471"/>
      <c r="B15" s="454" t="s">
        <v>2929</v>
      </c>
      <c r="C15" s="1999" t="s">
        <v>36</v>
      </c>
      <c r="D15" s="2005" t="s">
        <v>2937</v>
      </c>
      <c r="E15" s="2017">
        <v>6</v>
      </c>
      <c r="F15" s="2018"/>
      <c r="G15" s="1725"/>
      <c r="H15" s="2008" t="s">
        <v>2213</v>
      </c>
      <c r="I15" s="2009">
        <v>46174</v>
      </c>
      <c r="J15" s="2008" t="s">
        <v>2938</v>
      </c>
      <c r="K15" s="1836"/>
      <c r="L15" s="2012">
        <v>36000</v>
      </c>
      <c r="M15" s="2020"/>
      <c r="N15" s="1720"/>
    </row>
    <row r="16" spans="1:14" s="455" customFormat="1">
      <c r="A16" s="471"/>
      <c r="B16" s="454"/>
      <c r="C16" s="1917"/>
      <c r="D16" s="1796"/>
      <c r="E16" s="1884"/>
      <c r="F16" s="1724"/>
      <c r="G16" s="1725"/>
      <c r="H16" s="2008"/>
      <c r="I16" s="2008"/>
      <c r="J16" s="1588"/>
      <c r="K16" s="1836"/>
      <c r="L16" s="1967"/>
      <c r="M16" s="2020"/>
      <c r="N16" s="1720"/>
    </row>
    <row r="17" spans="1:15" s="455" customFormat="1">
      <c r="A17" s="471"/>
      <c r="B17" s="454"/>
      <c r="C17" s="1917"/>
      <c r="D17" s="1796"/>
      <c r="E17" s="1884"/>
      <c r="F17" s="1724"/>
      <c r="G17" s="1725"/>
      <c r="H17" s="1801"/>
      <c r="I17" s="1801"/>
      <c r="J17" s="1801"/>
      <c r="K17" s="1836"/>
      <c r="L17" s="1967"/>
      <c r="M17" s="2020"/>
      <c r="N17" s="1720"/>
    </row>
    <row r="18" spans="1:15" s="455" customFormat="1">
      <c r="A18" s="471"/>
      <c r="B18" s="454"/>
      <c r="C18" s="1917"/>
      <c r="D18" s="1796"/>
      <c r="E18" s="1884"/>
      <c r="F18" s="1724"/>
      <c r="G18" s="1725"/>
      <c r="H18" s="1801"/>
      <c r="I18" s="1801"/>
      <c r="J18" s="1801"/>
      <c r="K18" s="1836"/>
      <c r="L18" s="1967"/>
      <c r="M18" s="2020"/>
      <c r="N18" s="1720"/>
    </row>
    <row r="19" spans="1:15" s="455" customFormat="1" ht="13.5">
      <c r="A19" s="471"/>
      <c r="B19" s="454"/>
      <c r="C19" s="1951"/>
      <c r="D19" s="1796"/>
      <c r="E19" s="1885"/>
      <c r="F19" s="1724"/>
      <c r="G19" s="1725"/>
      <c r="H19" s="1801"/>
      <c r="I19" s="1801"/>
      <c r="J19" s="1801"/>
      <c r="K19" s="1802"/>
      <c r="L19" s="1837"/>
      <c r="M19" s="1943"/>
      <c r="N19" s="1721"/>
    </row>
    <row r="20" spans="1:15" s="455" customFormat="1" ht="27">
      <c r="A20" s="471"/>
      <c r="B20" s="454" t="s">
        <v>3584</v>
      </c>
      <c r="C20" s="1951"/>
      <c r="D20" s="1796" t="s">
        <v>3882</v>
      </c>
      <c r="E20" s="1885" t="s">
        <v>3883</v>
      </c>
      <c r="F20" s="2216" t="s">
        <v>1104</v>
      </c>
      <c r="G20" s="1725" t="s">
        <v>828</v>
      </c>
      <c r="H20" s="2214" t="s">
        <v>3879</v>
      </c>
      <c r="I20" s="2214" t="s">
        <v>3588</v>
      </c>
      <c r="J20" s="2214" t="s">
        <v>3881</v>
      </c>
      <c r="K20" s="1802" t="s">
        <v>3589</v>
      </c>
      <c r="L20" s="2101">
        <v>120000</v>
      </c>
      <c r="M20" s="2217" t="s">
        <v>99</v>
      </c>
      <c r="N20" s="1721"/>
      <c r="O20" s="1720"/>
    </row>
    <row r="21" spans="1:15" s="455" customFormat="1">
      <c r="A21" s="471"/>
      <c r="B21" s="454"/>
      <c r="C21" s="1951"/>
      <c r="D21" s="1796"/>
      <c r="E21" s="1885"/>
      <c r="F21" s="1724"/>
      <c r="G21" s="1725"/>
      <c r="H21" s="1801"/>
      <c r="I21" s="1801"/>
      <c r="J21" s="1801"/>
      <c r="K21" s="1802"/>
      <c r="L21" s="1837"/>
      <c r="M21" s="1943"/>
      <c r="N21" s="1721"/>
      <c r="O21" s="1720"/>
    </row>
    <row r="22" spans="1:15" s="455" customFormat="1" ht="27">
      <c r="A22" s="471">
        <v>1021</v>
      </c>
      <c r="B22" s="454" t="s">
        <v>3955</v>
      </c>
      <c r="C22" s="1951" t="s">
        <v>3982</v>
      </c>
      <c r="D22" s="1796" t="s">
        <v>2</v>
      </c>
      <c r="E22" s="1885"/>
      <c r="F22" s="1724" t="s">
        <v>3</v>
      </c>
      <c r="G22" s="1725"/>
      <c r="H22" s="2214" t="s">
        <v>3983</v>
      </c>
      <c r="I22" s="2214" t="s">
        <v>3968</v>
      </c>
      <c r="J22" s="2214" t="s">
        <v>3984</v>
      </c>
      <c r="K22" s="1802" t="s">
        <v>3962</v>
      </c>
      <c r="L22" s="2101">
        <v>84000</v>
      </c>
      <c r="M22" s="1943"/>
      <c r="N22" s="1721"/>
      <c r="O22" s="1720"/>
    </row>
    <row r="23" spans="1:15" s="455" customFormat="1">
      <c r="A23" s="471"/>
      <c r="B23" s="454"/>
      <c r="C23" s="1951"/>
      <c r="D23" s="1796"/>
      <c r="E23" s="1885"/>
      <c r="F23" s="1724"/>
      <c r="G23" s="1725"/>
      <c r="H23" s="1801"/>
      <c r="I23" s="1801"/>
      <c r="J23" s="1801"/>
      <c r="K23" s="1802"/>
      <c r="L23" s="1837"/>
      <c r="M23" s="1943"/>
      <c r="N23" s="1721"/>
      <c r="O23" s="1720"/>
    </row>
    <row r="24" spans="1:15" s="455" customFormat="1">
      <c r="A24" s="471"/>
      <c r="B24" s="454"/>
      <c r="C24" s="1951"/>
      <c r="D24" s="1796"/>
      <c r="E24" s="1885"/>
      <c r="F24" s="1724"/>
      <c r="G24" s="1725"/>
      <c r="H24" s="1801"/>
      <c r="I24" s="1801"/>
      <c r="J24" s="1801"/>
      <c r="K24" s="1802"/>
      <c r="L24" s="1837"/>
      <c r="M24" s="1943"/>
      <c r="N24" s="1721"/>
      <c r="O24" s="1720"/>
    </row>
    <row r="25" spans="1:15" s="455" customFormat="1">
      <c r="A25" s="471"/>
      <c r="B25" s="454"/>
      <c r="C25" s="1951"/>
      <c r="D25" s="1796"/>
      <c r="E25" s="1885"/>
      <c r="F25" s="1724"/>
      <c r="G25" s="1725"/>
      <c r="H25" s="1801"/>
      <c r="I25" s="1801"/>
      <c r="J25" s="1801"/>
      <c r="K25" s="1802"/>
      <c r="L25" s="1837"/>
      <c r="M25" s="1943"/>
      <c r="N25" s="1721"/>
      <c r="O25" s="1720"/>
    </row>
    <row r="26" spans="1:15" s="455" customFormat="1">
      <c r="A26" s="471"/>
      <c r="B26" s="454"/>
      <c r="C26" s="1951"/>
      <c r="D26" s="1796"/>
      <c r="E26" s="1885"/>
      <c r="F26" s="1724"/>
      <c r="G26" s="1725"/>
      <c r="H26" s="1801"/>
      <c r="I26" s="1801"/>
      <c r="J26" s="1801"/>
      <c r="K26" s="1802"/>
      <c r="L26" s="1837"/>
      <c r="M26" s="1943"/>
      <c r="N26" s="1721"/>
      <c r="O26" s="1720"/>
    </row>
    <row r="27" spans="1:15" s="455" customFormat="1">
      <c r="A27" s="471"/>
      <c r="B27" s="454"/>
      <c r="C27" s="1951"/>
      <c r="D27" s="1796"/>
      <c r="E27" s="1885"/>
      <c r="F27" s="1724"/>
      <c r="G27" s="1725"/>
      <c r="H27" s="1801"/>
      <c r="I27" s="1801"/>
      <c r="J27" s="1801"/>
      <c r="K27" s="1802"/>
      <c r="L27" s="1837"/>
      <c r="M27" s="1943"/>
      <c r="N27" s="1721"/>
      <c r="O27" s="1720"/>
    </row>
    <row r="28" spans="1:15" s="455" customFormat="1">
      <c r="A28" s="471"/>
      <c r="B28" s="454"/>
      <c r="C28" s="1951"/>
      <c r="D28" s="1796"/>
      <c r="E28" s="1885"/>
      <c r="F28" s="1724"/>
      <c r="G28" s="1725"/>
      <c r="H28" s="1801"/>
      <c r="I28" s="1801"/>
      <c r="J28" s="1801"/>
      <c r="K28" s="1802"/>
      <c r="L28" s="1837"/>
      <c r="M28" s="1943"/>
      <c r="N28" s="1721"/>
      <c r="O28" s="1720"/>
    </row>
    <row r="29" spans="1:15" s="455" customFormat="1">
      <c r="A29" s="471"/>
      <c r="B29" s="454"/>
      <c r="C29" s="1951"/>
      <c r="D29" s="1796"/>
      <c r="E29" s="1885"/>
      <c r="F29" s="1724"/>
      <c r="G29" s="1725"/>
      <c r="H29" s="1801"/>
      <c r="I29" s="1801"/>
      <c r="J29" s="1801"/>
      <c r="K29" s="1802"/>
      <c r="L29" s="1837"/>
      <c r="M29" s="1943"/>
      <c r="N29" s="1721"/>
      <c r="O29" s="1720"/>
    </row>
    <row r="30" spans="1:15" s="455" customFormat="1">
      <c r="A30" s="471"/>
      <c r="B30" s="454" t="s">
        <v>2699</v>
      </c>
      <c r="C30" s="1951"/>
      <c r="D30" s="1726"/>
      <c r="E30" s="1885"/>
      <c r="F30" s="1724"/>
      <c r="G30" s="1725"/>
      <c r="H30" s="1801"/>
      <c r="I30" s="1801"/>
      <c r="J30" s="1801"/>
      <c r="K30" s="1802"/>
      <c r="L30" s="1837"/>
      <c r="M30" s="1943"/>
      <c r="N30" s="1721"/>
      <c r="O30" s="1720"/>
    </row>
    <row r="31" spans="1:15" s="455" customFormat="1">
      <c r="A31" s="471"/>
      <c r="B31" s="454" t="s">
        <v>2699</v>
      </c>
      <c r="C31" s="1951"/>
      <c r="D31" s="1726"/>
      <c r="E31" s="1885"/>
      <c r="F31" s="1724"/>
      <c r="G31" s="1725"/>
      <c r="H31" s="1801"/>
      <c r="I31" s="1801"/>
      <c r="J31" s="1801"/>
      <c r="K31" s="1802"/>
      <c r="L31" s="1837"/>
      <c r="M31" s="1943"/>
      <c r="N31" s="1721"/>
      <c r="O31" s="1720"/>
    </row>
    <row r="32" spans="1:15" s="455" customFormat="1">
      <c r="A32" s="471"/>
      <c r="B32" s="454" t="s">
        <v>2699</v>
      </c>
      <c r="C32" s="1951"/>
      <c r="D32" s="1726"/>
      <c r="E32" s="1881"/>
      <c r="F32" s="1724"/>
      <c r="G32" s="1725"/>
      <c r="H32" s="1801"/>
      <c r="I32" s="1801"/>
      <c r="J32" s="1801"/>
      <c r="K32" s="1802"/>
      <c r="L32" s="1801"/>
      <c r="M32" s="1943"/>
      <c r="N32" s="1721"/>
      <c r="O32" s="1720"/>
    </row>
    <row r="33" spans="1:15" s="455" customFormat="1">
      <c r="A33" s="471"/>
      <c r="B33" s="454"/>
      <c r="C33" s="1913"/>
      <c r="D33" s="1726"/>
      <c r="E33" s="1885"/>
      <c r="F33" s="1724"/>
      <c r="G33" s="1725"/>
      <c r="H33" s="1801"/>
      <c r="I33" s="1801"/>
      <c r="J33" s="1801"/>
      <c r="K33" s="1802"/>
      <c r="L33" s="1801"/>
      <c r="M33" s="1943"/>
      <c r="N33" s="1721"/>
      <c r="O33" s="1720"/>
    </row>
    <row r="34" spans="1:15" s="455" customFormat="1" ht="13.5">
      <c r="A34" s="471"/>
      <c r="B34" s="454"/>
      <c r="C34" s="1964"/>
      <c r="D34" s="1533"/>
      <c r="E34" s="1557"/>
      <c r="F34" s="1558"/>
      <c r="G34" s="1535"/>
      <c r="H34" s="1551"/>
      <c r="I34" s="1551"/>
      <c r="J34" s="1551"/>
      <c r="K34" s="1530"/>
      <c r="L34" s="1546"/>
      <c r="M34" s="1535"/>
      <c r="N34" s="1965"/>
    </row>
    <row r="35" spans="1:15" s="455" customFormat="1" ht="13.5">
      <c r="A35" s="471"/>
      <c r="B35" s="454"/>
      <c r="C35" s="1964"/>
      <c r="D35" s="1533"/>
      <c r="E35" s="1557"/>
      <c r="F35" s="1558"/>
      <c r="G35" s="1535"/>
      <c r="H35" s="1551"/>
      <c r="I35" s="1551"/>
      <c r="J35" s="1551"/>
      <c r="K35" s="1530"/>
      <c r="L35" s="1546"/>
      <c r="M35" s="1535"/>
      <c r="N35" s="1965"/>
    </row>
    <row r="36" spans="1:15" s="455" customFormat="1" ht="13.5">
      <c r="A36" s="471"/>
      <c r="B36" s="454"/>
      <c r="C36" s="2591"/>
      <c r="D36" s="309"/>
      <c r="E36" s="309"/>
      <c r="F36" s="309"/>
      <c r="G36" s="497"/>
      <c r="H36" s="1056"/>
      <c r="I36" s="985"/>
      <c r="J36" s="985"/>
      <c r="K36" s="499"/>
      <c r="L36" s="1984">
        <f>SUM(L5:L34)</f>
        <v>426000</v>
      </c>
      <c r="M36" s="499"/>
    </row>
    <row r="37" spans="1:15" s="455" customFormat="1" ht="13.5">
      <c r="A37" s="471"/>
      <c r="B37" s="454"/>
      <c r="C37" s="2593"/>
      <c r="D37" s="309"/>
      <c r="E37" s="309"/>
      <c r="F37" s="309"/>
      <c r="G37" s="497"/>
      <c r="H37" s="1056"/>
      <c r="I37" s="985"/>
      <c r="J37" s="985"/>
      <c r="K37" s="499"/>
      <c r="L37" s="1025"/>
      <c r="M37" s="499"/>
    </row>
    <row r="38" spans="1:15" s="455" customFormat="1" ht="13.5">
      <c r="A38" s="471"/>
      <c r="B38" s="454"/>
      <c r="C38" s="2591"/>
      <c r="D38" s="309"/>
      <c r="E38" s="309"/>
      <c r="F38" s="309"/>
      <c r="G38" s="497"/>
      <c r="H38" s="1056"/>
      <c r="I38" s="985"/>
      <c r="J38" s="985"/>
      <c r="K38" s="499"/>
      <c r="L38" s="1025"/>
      <c r="M38" s="499"/>
    </row>
    <row r="39" spans="1:15" s="455" customFormat="1" ht="13.5">
      <c r="A39" s="471"/>
      <c r="B39" s="454"/>
      <c r="C39" s="2593"/>
      <c r="D39" s="309"/>
      <c r="E39" s="309"/>
      <c r="F39" s="309"/>
      <c r="G39" s="497"/>
      <c r="H39" s="1056"/>
      <c r="I39" s="985"/>
      <c r="J39" s="985"/>
      <c r="K39" s="499"/>
      <c r="L39" s="1025"/>
      <c r="M39" s="499"/>
    </row>
    <row r="40" spans="1:15" s="455" customFormat="1" ht="13.5">
      <c r="A40" s="471"/>
      <c r="B40" s="454"/>
      <c r="C40" s="314"/>
      <c r="D40" s="309"/>
      <c r="E40" s="309"/>
      <c r="F40" s="309"/>
      <c r="G40" s="497"/>
      <c r="H40" s="1056"/>
      <c r="I40" s="985"/>
      <c r="J40" s="985"/>
      <c r="K40" s="499"/>
      <c r="L40" s="1025"/>
      <c r="M40" s="499"/>
      <c r="N40" s="1466"/>
    </row>
    <row r="41" spans="1:15" s="455" customFormat="1" ht="13.5">
      <c r="A41" s="471"/>
      <c r="B41" s="454"/>
      <c r="C41" s="2679"/>
      <c r="D41" s="309"/>
      <c r="E41" s="309"/>
      <c r="F41" s="309"/>
      <c r="G41" s="497"/>
      <c r="H41" s="985"/>
      <c r="I41" s="985"/>
      <c r="J41" s="985"/>
      <c r="K41" s="499"/>
      <c r="L41" s="1025"/>
      <c r="M41" s="499"/>
      <c r="N41" s="1466"/>
    </row>
    <row r="42" spans="1:15" s="455" customFormat="1" ht="13.5">
      <c r="A42" s="471"/>
      <c r="B42" s="454"/>
      <c r="C42" s="2679"/>
      <c r="D42" s="309"/>
      <c r="E42" s="309"/>
      <c r="F42" s="309"/>
      <c r="G42" s="497"/>
      <c r="H42" s="985"/>
      <c r="I42" s="985"/>
      <c r="J42" s="985"/>
      <c r="K42" s="499"/>
      <c r="L42" s="1600">
        <f>SUM(L5:L39)</f>
        <v>852000</v>
      </c>
      <c r="M42" s="499"/>
      <c r="N42" s="1467"/>
    </row>
    <row r="43" spans="1:15" s="455" customFormat="1" ht="13.5">
      <c r="A43" s="471"/>
      <c r="B43" s="454"/>
      <c r="C43" s="2679"/>
      <c r="D43" s="309"/>
      <c r="E43" s="309"/>
      <c r="F43" s="309"/>
      <c r="G43" s="497"/>
      <c r="H43" s="985"/>
      <c r="I43" s="985"/>
      <c r="J43" s="985"/>
      <c r="K43" s="499"/>
      <c r="L43" s="1025"/>
      <c r="M43" s="499"/>
      <c r="N43" s="1468"/>
    </row>
    <row r="44" spans="1:15" s="455" customFormat="1" ht="13.5">
      <c r="A44" s="471"/>
      <c r="B44" s="454"/>
      <c r="C44" s="2679"/>
      <c r="D44" s="309"/>
      <c r="E44" s="309"/>
      <c r="F44" s="309"/>
      <c r="G44" s="497"/>
      <c r="H44" s="985"/>
      <c r="I44" s="985"/>
      <c r="J44" s="985"/>
      <c r="K44" s="499"/>
      <c r="L44" s="1025"/>
      <c r="M44" s="499"/>
      <c r="N44" s="1468"/>
    </row>
    <row r="45" spans="1:15" s="455" customFormat="1" ht="13.5">
      <c r="A45" s="471"/>
      <c r="B45" s="454"/>
      <c r="C45" s="2591"/>
      <c r="D45" s="309"/>
      <c r="E45" s="309"/>
      <c r="F45" s="309"/>
      <c r="G45" s="497"/>
      <c r="H45" s="985"/>
      <c r="I45" s="985"/>
      <c r="J45" s="985"/>
      <c r="K45" s="499"/>
      <c r="L45" s="1025"/>
      <c r="M45" s="499"/>
      <c r="N45" s="1468"/>
    </row>
    <row r="46" spans="1:15" s="455" customFormat="1" ht="13.5">
      <c r="A46" s="471"/>
      <c r="B46" s="454"/>
      <c r="C46" s="2593"/>
      <c r="D46" s="309"/>
      <c r="E46" s="309"/>
      <c r="F46" s="309"/>
      <c r="G46" s="497"/>
      <c r="H46" s="985"/>
      <c r="I46" s="985"/>
      <c r="J46" s="985"/>
      <c r="K46" s="499"/>
      <c r="L46" s="1025"/>
      <c r="M46" s="499"/>
      <c r="N46" s="1468"/>
    </row>
    <row r="47" spans="1:15" s="455" customFormat="1" ht="13.5">
      <c r="A47" s="471"/>
      <c r="B47" s="454"/>
      <c r="C47" s="392"/>
      <c r="D47" s="309"/>
      <c r="E47" s="309"/>
      <c r="F47" s="309"/>
      <c r="G47" s="497"/>
      <c r="H47" s="1056"/>
      <c r="I47" s="985"/>
      <c r="J47" s="985"/>
      <c r="K47" s="499"/>
      <c r="L47" s="1025"/>
      <c r="M47" s="499"/>
      <c r="N47" s="1465"/>
    </row>
    <row r="48" spans="1:15" s="455" customFormat="1" ht="13.5">
      <c r="A48" s="471"/>
      <c r="B48" s="454"/>
      <c r="C48" s="392"/>
      <c r="D48" s="309"/>
      <c r="E48" s="309"/>
      <c r="F48" s="309"/>
      <c r="G48" s="497"/>
      <c r="H48" s="985"/>
      <c r="I48" s="985"/>
      <c r="J48" s="985"/>
      <c r="K48" s="499"/>
      <c r="L48" s="1025"/>
      <c r="M48" s="499"/>
    </row>
    <row r="49" spans="1:15" s="455" customFormat="1" ht="13.5">
      <c r="A49" s="471"/>
      <c r="B49" s="454"/>
      <c r="C49" s="987"/>
      <c r="D49" s="314"/>
      <c r="E49" s="662"/>
      <c r="F49" s="309"/>
      <c r="G49" s="497"/>
      <c r="H49" s="985"/>
      <c r="I49" s="985"/>
      <c r="J49" s="985"/>
      <c r="K49" s="499"/>
      <c r="L49" s="1025"/>
      <c r="M49" s="499"/>
      <c r="N49" s="454"/>
    </row>
    <row r="50" spans="1:15" s="455" customFormat="1" ht="13.5">
      <c r="A50" s="471"/>
      <c r="B50" s="454"/>
      <c r="C50" s="987"/>
      <c r="D50" s="314"/>
      <c r="E50" s="662"/>
      <c r="F50" s="309"/>
      <c r="G50" s="497"/>
      <c r="H50" s="985"/>
      <c r="I50" s="985"/>
      <c r="J50" s="985"/>
      <c r="K50" s="499"/>
      <c r="L50" s="1025"/>
      <c r="M50" s="499"/>
      <c r="N50" s="458"/>
    </row>
    <row r="51" spans="1:15" s="455" customFormat="1" ht="13.5">
      <c r="A51" s="471"/>
      <c r="B51" s="454"/>
      <c r="C51" s="987"/>
      <c r="D51" s="314"/>
      <c r="E51" s="662"/>
      <c r="F51" s="309"/>
      <c r="G51" s="497"/>
      <c r="H51" s="985"/>
      <c r="I51" s="985"/>
      <c r="J51" s="985"/>
      <c r="K51" s="499"/>
      <c r="L51" s="1065"/>
      <c r="M51" s="499"/>
      <c r="N51" s="458"/>
    </row>
    <row r="52" spans="1:15" s="455" customFormat="1" ht="13.5">
      <c r="A52" s="471"/>
      <c r="B52" s="454"/>
      <c r="C52" s="987"/>
      <c r="D52" s="309"/>
      <c r="E52" s="662"/>
      <c r="F52" s="309"/>
      <c r="G52" s="497"/>
      <c r="H52" s="985"/>
      <c r="I52" s="985"/>
      <c r="J52" s="985"/>
      <c r="K52" s="499"/>
      <c r="L52" s="1065"/>
      <c r="M52" s="499"/>
      <c r="N52" s="458"/>
    </row>
    <row r="53" spans="1:15" s="455" customFormat="1" ht="13.5">
      <c r="A53" s="471"/>
      <c r="B53" s="454"/>
      <c r="C53" s="314"/>
      <c r="D53" s="314"/>
      <c r="E53" s="309"/>
      <c r="F53" s="309"/>
      <c r="G53" s="497"/>
      <c r="H53" s="985"/>
      <c r="I53" s="985"/>
      <c r="J53" s="985"/>
      <c r="K53" s="309"/>
      <c r="L53" s="1015"/>
      <c r="M53" s="499"/>
      <c r="N53" s="458"/>
    </row>
    <row r="54" spans="1:15" s="455" customFormat="1" ht="13.5">
      <c r="A54" s="471"/>
      <c r="B54" s="454"/>
      <c r="C54" s="314"/>
      <c r="D54" s="314"/>
      <c r="E54" s="309"/>
      <c r="F54" s="309"/>
      <c r="G54" s="497"/>
      <c r="H54" s="985"/>
      <c r="I54" s="985"/>
      <c r="J54" s="985"/>
      <c r="K54" s="309"/>
      <c r="L54" s="1015"/>
      <c r="M54" s="499"/>
      <c r="N54" s="460"/>
    </row>
    <row r="55" spans="1:15" s="455" customFormat="1" ht="13.5">
      <c r="A55" s="471"/>
      <c r="B55" s="454"/>
      <c r="C55" s="314"/>
      <c r="D55" s="314"/>
      <c r="E55" s="560"/>
      <c r="F55" s="309"/>
      <c r="G55" s="497"/>
      <c r="H55" s="985"/>
      <c r="I55" s="985"/>
      <c r="J55" s="985"/>
      <c r="K55" s="309"/>
      <c r="L55" s="1015"/>
      <c r="M55" s="499"/>
      <c r="N55" s="454"/>
    </row>
    <row r="56" spans="1:15" s="455" customFormat="1" ht="13.5">
      <c r="A56" s="471"/>
      <c r="B56" s="454"/>
      <c r="C56" s="987"/>
      <c r="D56" s="314"/>
      <c r="E56" s="662"/>
      <c r="F56" s="309"/>
      <c r="G56" s="497"/>
      <c r="H56" s="985"/>
      <c r="I56" s="985"/>
      <c r="J56" s="985"/>
      <c r="K56" s="499"/>
      <c r="L56" s="1065"/>
      <c r="M56" s="499"/>
      <c r="N56" s="458"/>
    </row>
    <row r="57" spans="1:15" s="455" customFormat="1" ht="13.5">
      <c r="A57" s="471"/>
      <c r="B57" s="454"/>
      <c r="C57" s="392"/>
      <c r="D57" s="309"/>
      <c r="E57" s="309"/>
      <c r="F57" s="662"/>
      <c r="G57" s="309"/>
      <c r="H57" s="497"/>
      <c r="I57" s="985"/>
      <c r="J57" s="985"/>
      <c r="K57" s="1066"/>
      <c r="L57" s="1067"/>
      <c r="M57" s="1025"/>
      <c r="N57" s="1068"/>
      <c r="O57" s="458"/>
    </row>
    <row r="58" spans="1:15" s="455" customFormat="1" ht="13.5">
      <c r="A58" s="471"/>
      <c r="B58" s="454"/>
      <c r="C58" s="471"/>
      <c r="D58" s="456"/>
      <c r="E58" s="459"/>
      <c r="F58" s="466"/>
      <c r="G58" s="471"/>
      <c r="H58" s="477"/>
      <c r="I58" s="526"/>
      <c r="J58" s="526"/>
      <c r="K58" s="526"/>
      <c r="L58" s="473"/>
      <c r="M58" s="529"/>
      <c r="N58" s="471"/>
      <c r="O58" s="458"/>
    </row>
    <row r="59" spans="1:15" s="455" customFormat="1" ht="13.5">
      <c r="A59" s="471"/>
      <c r="B59" s="454"/>
      <c r="C59" s="471"/>
      <c r="D59" s="456"/>
      <c r="E59" s="459"/>
      <c r="F59" s="466"/>
      <c r="G59" s="471"/>
      <c r="H59" s="477"/>
      <c r="I59" s="526"/>
      <c r="J59" s="526"/>
      <c r="K59" s="526"/>
      <c r="L59" s="473"/>
      <c r="M59" s="529"/>
      <c r="N59" s="471"/>
      <c r="O59" s="458"/>
    </row>
    <row r="60" spans="1:15" s="455" customFormat="1" ht="13.5">
      <c r="A60" s="471"/>
      <c r="B60" s="454"/>
      <c r="C60" s="314"/>
      <c r="D60" s="309"/>
      <c r="E60" s="309"/>
      <c r="F60" s="309"/>
      <c r="G60" s="309"/>
      <c r="H60" s="309"/>
      <c r="I60" s="309"/>
      <c r="J60" s="309"/>
      <c r="K60" s="309"/>
      <c r="L60" s="309"/>
      <c r="M60" s="309"/>
      <c r="N60" s="309"/>
    </row>
    <row r="61" spans="1:15" s="455" customFormat="1" ht="13.5">
      <c r="A61" s="471"/>
      <c r="B61" s="454"/>
      <c r="C61" s="314"/>
      <c r="D61" s="314"/>
      <c r="E61" s="309"/>
      <c r="F61" s="309"/>
      <c r="G61" s="497"/>
      <c r="H61" s="1056"/>
      <c r="I61" s="309"/>
      <c r="J61" s="309"/>
      <c r="K61" s="499"/>
      <c r="L61" s="1069"/>
      <c r="M61" s="309"/>
      <c r="N61" s="454"/>
    </row>
    <row r="62" spans="1:15" s="455" customFormat="1" ht="13.5">
      <c r="A62" s="471"/>
      <c r="B62" s="454"/>
      <c r="C62" s="314"/>
      <c r="D62" s="314"/>
      <c r="E62" s="309"/>
      <c r="F62" s="309"/>
      <c r="G62" s="497"/>
      <c r="H62" s="1056"/>
      <c r="I62" s="309"/>
      <c r="J62" s="309"/>
      <c r="K62" s="499"/>
      <c r="L62" s="1069"/>
      <c r="M62" s="499"/>
      <c r="N62" s="458"/>
    </row>
    <row r="63" spans="1:15" s="455" customFormat="1" ht="13.5">
      <c r="A63" s="471"/>
      <c r="B63" s="454"/>
      <c r="C63" s="314"/>
      <c r="D63" s="314"/>
      <c r="E63" s="309"/>
      <c r="F63" s="309"/>
      <c r="G63" s="497"/>
      <c r="H63" s="1056"/>
      <c r="I63" s="309"/>
      <c r="J63" s="309"/>
      <c r="K63" s="499"/>
      <c r="L63" s="1069"/>
      <c r="M63" s="499"/>
      <c r="N63" s="458"/>
    </row>
    <row r="64" spans="1:15" s="455" customFormat="1" ht="13.5">
      <c r="A64" s="471"/>
      <c r="B64" s="454"/>
      <c r="C64" s="314"/>
      <c r="D64" s="314"/>
      <c r="E64" s="662"/>
      <c r="F64" s="309"/>
      <c r="G64" s="497"/>
      <c r="H64" s="1056"/>
      <c r="I64" s="985"/>
      <c r="J64" s="985"/>
      <c r="K64" s="499"/>
      <c r="L64" s="1016"/>
      <c r="M64" s="499"/>
      <c r="N64" s="458"/>
    </row>
    <row r="65" spans="1:14" s="455" customFormat="1" ht="13.5">
      <c r="A65" s="471"/>
      <c r="B65" s="454"/>
      <c r="C65" s="314"/>
      <c r="D65" s="314"/>
      <c r="E65" s="662"/>
      <c r="F65" s="309"/>
      <c r="G65" s="497"/>
      <c r="H65" s="1056"/>
      <c r="I65" s="985"/>
      <c r="J65" s="985"/>
      <c r="K65" s="499"/>
      <c r="L65" s="1016"/>
      <c r="M65" s="499"/>
      <c r="N65" s="458"/>
    </row>
    <row r="66" spans="1:14" s="455" customFormat="1" ht="13.5">
      <c r="A66" s="471"/>
      <c r="B66" s="454"/>
      <c r="C66" s="314"/>
      <c r="D66" s="314"/>
      <c r="E66" s="662"/>
      <c r="F66" s="309"/>
      <c r="G66" s="497"/>
      <c r="H66" s="1056"/>
      <c r="I66" s="985"/>
      <c r="J66" s="985"/>
      <c r="K66" s="499"/>
      <c r="L66" s="1071"/>
      <c r="M66" s="499"/>
    </row>
    <row r="67" spans="1:14" s="455" customFormat="1" ht="13.5">
      <c r="A67" s="471"/>
      <c r="B67" s="454"/>
      <c r="C67" s="314"/>
      <c r="D67" s="314"/>
      <c r="E67" s="662"/>
      <c r="F67" s="309"/>
      <c r="G67" s="497"/>
      <c r="H67" s="1056"/>
      <c r="I67" s="985"/>
      <c r="J67" s="985"/>
      <c r="K67" s="499"/>
      <c r="L67" s="1071"/>
      <c r="M67" s="499"/>
    </row>
    <row r="68" spans="1:14" s="455" customFormat="1" ht="13.5">
      <c r="A68" s="471"/>
      <c r="B68" s="454"/>
      <c r="C68" s="314"/>
      <c r="D68" s="314"/>
      <c r="E68" s="662"/>
      <c r="F68" s="309"/>
      <c r="G68" s="497"/>
      <c r="H68" s="1056"/>
      <c r="I68" s="985"/>
      <c r="J68" s="985"/>
      <c r="K68" s="499"/>
      <c r="L68" s="1016"/>
      <c r="M68" s="499"/>
    </row>
    <row r="69" spans="1:14" s="455" customFormat="1" ht="13.5">
      <c r="A69" s="471"/>
      <c r="B69" s="454"/>
      <c r="C69" s="314"/>
      <c r="D69" s="314"/>
      <c r="E69" s="662"/>
      <c r="F69" s="309"/>
      <c r="G69" s="497"/>
      <c r="H69" s="1056"/>
      <c r="I69" s="985"/>
      <c r="J69" s="985"/>
      <c r="K69" s="499"/>
      <c r="L69" s="1016"/>
      <c r="M69" s="499"/>
    </row>
    <row r="70" spans="1:14" s="455" customFormat="1" ht="13.5">
      <c r="A70" s="471"/>
      <c r="B70" s="454"/>
      <c r="C70" s="314"/>
      <c r="D70" s="314"/>
      <c r="E70" s="662"/>
      <c r="F70" s="309"/>
      <c r="G70" s="497"/>
      <c r="H70" s="1056"/>
      <c r="I70" s="985"/>
      <c r="J70" s="985"/>
      <c r="K70" s="499"/>
      <c r="L70" s="1016"/>
      <c r="M70" s="499"/>
      <c r="N70" s="458"/>
    </row>
    <row r="71" spans="1:14" s="455" customFormat="1" ht="13.5">
      <c r="A71" s="471"/>
      <c r="B71" s="454"/>
      <c r="C71" s="314"/>
      <c r="D71" s="314"/>
      <c r="E71" s="662"/>
      <c r="F71" s="309"/>
      <c r="G71" s="497"/>
      <c r="H71" s="1056"/>
      <c r="I71" s="985"/>
      <c r="J71" s="985"/>
      <c r="K71" s="499"/>
      <c r="L71" s="1016"/>
      <c r="M71" s="499"/>
      <c r="N71" s="458"/>
    </row>
    <row r="72" spans="1:14" s="455" customFormat="1" ht="13.5">
      <c r="A72" s="471"/>
      <c r="B72" s="454"/>
      <c r="C72" s="314"/>
      <c r="D72" s="314"/>
      <c r="E72" s="662"/>
      <c r="F72" s="309"/>
      <c r="G72" s="497"/>
      <c r="H72" s="1056"/>
      <c r="I72" s="985"/>
      <c r="J72" s="985"/>
      <c r="K72" s="499"/>
      <c r="L72" s="1016"/>
      <c r="M72" s="499"/>
      <c r="N72" s="458"/>
    </row>
    <row r="73" spans="1:14" s="455" customFormat="1" ht="13.5">
      <c r="A73" s="471"/>
      <c r="B73" s="454"/>
      <c r="C73" s="2591"/>
      <c r="D73" s="314"/>
      <c r="E73" s="662"/>
      <c r="F73" s="309"/>
      <c r="G73" s="497"/>
      <c r="H73" s="1056"/>
      <c r="I73" s="985"/>
      <c r="J73" s="985"/>
      <c r="K73" s="499"/>
      <c r="L73" s="1016"/>
      <c r="M73" s="499"/>
    </row>
    <row r="74" spans="1:14" s="455" customFormat="1" ht="13.5">
      <c r="A74" s="471"/>
      <c r="B74" s="454"/>
      <c r="C74" s="2593"/>
      <c r="D74" s="314"/>
      <c r="E74" s="662"/>
      <c r="F74" s="309"/>
      <c r="G74" s="497"/>
      <c r="H74" s="1056"/>
      <c r="I74" s="985"/>
      <c r="J74" s="985"/>
      <c r="K74" s="499"/>
      <c r="L74" s="1016"/>
      <c r="M74" s="499"/>
      <c r="N74" s="454"/>
    </row>
    <row r="75" spans="1:14" s="455" customFormat="1" ht="13.5">
      <c r="A75" s="471"/>
      <c r="B75" s="454"/>
      <c r="C75" s="2591"/>
      <c r="D75" s="314"/>
      <c r="E75" s="662"/>
      <c r="F75" s="309"/>
      <c r="G75" s="497"/>
      <c r="H75" s="1056"/>
      <c r="I75" s="985"/>
      <c r="J75" s="985"/>
      <c r="K75" s="499"/>
      <c r="L75" s="1016"/>
      <c r="M75" s="499"/>
      <c r="N75" s="458"/>
    </row>
    <row r="76" spans="1:14" s="455" customFormat="1" ht="13.5">
      <c r="A76" s="471"/>
      <c r="B76" s="454"/>
      <c r="C76" s="2592"/>
      <c r="D76" s="314"/>
      <c r="E76" s="662"/>
      <c r="F76" s="309"/>
      <c r="G76" s="497"/>
      <c r="H76" s="1056"/>
      <c r="I76" s="985"/>
      <c r="J76" s="985"/>
      <c r="K76" s="499"/>
      <c r="L76" s="1016"/>
      <c r="M76" s="499"/>
      <c r="N76" s="458"/>
    </row>
    <row r="77" spans="1:14" s="455" customFormat="1" ht="13.5">
      <c r="A77" s="471"/>
      <c r="B77" s="454"/>
      <c r="C77" s="2593"/>
      <c r="D77" s="314"/>
      <c r="E77" s="662"/>
      <c r="F77" s="309"/>
      <c r="G77" s="497"/>
      <c r="H77" s="1056"/>
      <c r="I77" s="985"/>
      <c r="J77" s="985"/>
      <c r="K77" s="499"/>
      <c r="L77" s="1016"/>
      <c r="M77" s="499"/>
      <c r="N77" s="458"/>
    </row>
    <row r="78" spans="1:14" s="455" customFormat="1" ht="13.5">
      <c r="A78" s="471"/>
      <c r="B78" s="454"/>
      <c r="C78" s="314"/>
      <c r="D78" s="314"/>
      <c r="E78" s="662"/>
      <c r="F78" s="309"/>
      <c r="G78" s="497"/>
      <c r="H78" s="985"/>
      <c r="I78" s="985"/>
      <c r="J78" s="985"/>
      <c r="K78" s="499"/>
      <c r="L78" s="1016"/>
      <c r="M78" s="499"/>
      <c r="N78" s="458"/>
    </row>
    <row r="79" spans="1:14" s="455" customFormat="1" ht="13.5">
      <c r="A79" s="471"/>
      <c r="B79" s="454"/>
      <c r="C79" s="314"/>
      <c r="D79" s="314"/>
      <c r="E79" s="662"/>
      <c r="F79" s="309"/>
      <c r="G79" s="497"/>
      <c r="H79" s="985"/>
      <c r="I79" s="985"/>
      <c r="J79" s="985"/>
      <c r="K79" s="499"/>
      <c r="L79" s="1016"/>
      <c r="M79" s="499"/>
      <c r="N79" s="460"/>
    </row>
    <row r="80" spans="1:14" s="455" customFormat="1" ht="13.5">
      <c r="C80" s="314"/>
      <c r="D80" s="314"/>
      <c r="E80" s="662"/>
      <c r="F80" s="662"/>
      <c r="G80" s="309"/>
      <c r="H80" s="497"/>
      <c r="I80" s="1056"/>
      <c r="J80" s="985"/>
      <c r="K80" s="985"/>
      <c r="L80" s="499"/>
      <c r="M80" s="1025"/>
      <c r="N80" s="499"/>
    </row>
    <row r="81" spans="1:15" s="455" customFormat="1" ht="13.5">
      <c r="C81" s="902"/>
      <c r="D81" s="309"/>
      <c r="E81" s="662"/>
      <c r="F81" s="662"/>
      <c r="G81" s="309"/>
      <c r="H81" s="497"/>
      <c r="I81" s="653"/>
      <c r="J81" s="985"/>
      <c r="K81" s="1469"/>
      <c r="L81" s="499"/>
      <c r="M81" s="1025"/>
      <c r="N81" s="499"/>
    </row>
    <row r="82" spans="1:15" s="455" customFormat="1" ht="13.5">
      <c r="A82" s="566"/>
      <c r="B82" s="467"/>
      <c r="C82" s="499"/>
      <c r="D82" s="309"/>
      <c r="E82" s="391"/>
      <c r="F82" s="499"/>
      <c r="G82" s="497"/>
      <c r="H82" s="498"/>
      <c r="I82" s="498"/>
      <c r="J82" s="498"/>
      <c r="K82" s="499"/>
      <c r="L82" s="1470"/>
      <c r="M82" s="309"/>
      <c r="N82" s="499"/>
    </row>
    <row r="83" spans="1:15" s="455" customFormat="1" ht="13.5">
      <c r="A83" s="566"/>
      <c r="B83" s="467"/>
      <c r="C83" s="497"/>
      <c r="D83" s="691"/>
      <c r="E83" s="675"/>
      <c r="F83" s="675"/>
      <c r="G83" s="654"/>
      <c r="H83" s="502"/>
      <c r="I83" s="652"/>
      <c r="J83" s="497"/>
      <c r="K83" s="653"/>
      <c r="L83" s="502"/>
      <c r="M83" s="538"/>
      <c r="N83" s="392"/>
      <c r="O83" s="502"/>
    </row>
    <row r="84" spans="1:15" s="455" customFormat="1" ht="13.5">
      <c r="A84" s="566"/>
      <c r="B84" s="467"/>
      <c r="C84" s="497"/>
      <c r="D84" s="691"/>
      <c r="E84" s="675"/>
      <c r="F84" s="675"/>
      <c r="G84" s="654"/>
      <c r="H84" s="502"/>
      <c r="I84" s="652"/>
      <c r="J84" s="497"/>
      <c r="K84" s="653"/>
      <c r="L84" s="502"/>
      <c r="M84" s="538"/>
      <c r="N84" s="392"/>
      <c r="O84" s="502"/>
    </row>
    <row r="85" spans="1:15" s="455" customFormat="1" ht="13.5">
      <c r="A85" s="566"/>
      <c r="B85" s="467"/>
      <c r="C85" s="497"/>
      <c r="D85" s="691"/>
      <c r="E85" s="675"/>
      <c r="F85" s="675"/>
      <c r="G85" s="654"/>
      <c r="H85" s="502"/>
      <c r="I85" s="652"/>
      <c r="J85" s="497"/>
      <c r="K85" s="653"/>
      <c r="L85" s="502"/>
      <c r="M85" s="538"/>
      <c r="N85" s="392"/>
      <c r="O85" s="502"/>
    </row>
    <row r="86" spans="1:15" s="455" customFormat="1" ht="13.5">
      <c r="A86" s="566"/>
      <c r="B86" s="467"/>
      <c r="C86" s="497"/>
      <c r="D86" s="691"/>
      <c r="E86" s="675"/>
      <c r="F86" s="675"/>
      <c r="G86" s="654"/>
      <c r="H86" s="502"/>
      <c r="I86" s="652"/>
      <c r="J86" s="497"/>
      <c r="K86" s="653"/>
      <c r="L86" s="502"/>
      <c r="M86" s="538"/>
      <c r="N86" s="392"/>
      <c r="O86" s="502"/>
    </row>
    <row r="87" spans="1:15" s="455" customFormat="1" ht="13.5">
      <c r="C87" s="1384"/>
      <c r="D87" s="314"/>
      <c r="E87" s="662"/>
      <c r="F87" s="662"/>
      <c r="G87" s="309"/>
      <c r="H87" s="497"/>
      <c r="I87" s="653"/>
      <c r="J87" s="985"/>
      <c r="K87" s="1469"/>
      <c r="L87" s="499"/>
      <c r="M87" s="1025"/>
      <c r="N87" s="499"/>
    </row>
    <row r="88" spans="1:15" s="455" customFormat="1" ht="13.5">
      <c r="C88" s="1384"/>
      <c r="D88" s="314"/>
      <c r="E88" s="662"/>
      <c r="F88" s="662"/>
      <c r="G88" s="309"/>
      <c r="H88" s="497"/>
      <c r="I88" s="653"/>
      <c r="J88" s="985"/>
      <c r="K88" s="1469"/>
      <c r="L88" s="499"/>
      <c r="M88" s="1025"/>
      <c r="N88" s="499"/>
    </row>
    <row r="89" spans="1:15" s="455" customFormat="1" ht="13.5">
      <c r="A89" s="566"/>
      <c r="B89" s="467"/>
      <c r="C89" s="499"/>
      <c r="D89" s="309"/>
      <c r="E89" s="391"/>
      <c r="F89" s="499"/>
      <c r="G89" s="497"/>
      <c r="H89" s="498"/>
      <c r="I89" s="498"/>
      <c r="J89" s="498"/>
      <c r="K89" s="499"/>
      <c r="L89" s="1470"/>
      <c r="M89" s="309"/>
      <c r="N89" s="499"/>
    </row>
    <row r="90" spans="1:15" s="455" customFormat="1" ht="13.5">
      <c r="A90" s="566"/>
      <c r="B90" s="467"/>
      <c r="C90" s="497"/>
      <c r="D90" s="691"/>
      <c r="E90" s="675"/>
      <c r="F90" s="675"/>
      <c r="G90" s="654"/>
      <c r="H90" s="502"/>
      <c r="I90" s="652"/>
      <c r="J90" s="497"/>
      <c r="K90" s="653"/>
      <c r="L90" s="502"/>
      <c r="M90" s="538"/>
      <c r="N90" s="392"/>
      <c r="O90" s="502"/>
    </row>
    <row r="91" spans="1:15" s="455" customFormat="1" ht="13.5">
      <c r="A91" s="566"/>
      <c r="B91" s="467"/>
      <c r="C91" s="497"/>
      <c r="D91" s="691"/>
      <c r="E91" s="675"/>
      <c r="F91" s="675"/>
      <c r="G91" s="654"/>
      <c r="H91" s="502"/>
      <c r="I91" s="652"/>
      <c r="J91" s="497"/>
      <c r="K91" s="653"/>
      <c r="L91" s="502"/>
      <c r="M91" s="538"/>
      <c r="N91" s="392"/>
      <c r="O91" s="502"/>
    </row>
    <row r="92" spans="1:15" s="455" customFormat="1" ht="13.5">
      <c r="A92" s="566"/>
      <c r="B92" s="467"/>
      <c r="C92" s="497"/>
      <c r="D92" s="691"/>
      <c r="E92" s="675"/>
      <c r="F92" s="675"/>
      <c r="G92" s="654"/>
      <c r="H92" s="502"/>
      <c r="I92" s="652"/>
      <c r="J92" s="497"/>
      <c r="K92" s="653"/>
      <c r="L92" s="502"/>
      <c r="M92" s="538"/>
      <c r="N92" s="392"/>
      <c r="O92" s="502"/>
    </row>
    <row r="93" spans="1:15" s="455" customFormat="1" ht="13.5">
      <c r="A93" s="566"/>
      <c r="B93" s="467"/>
      <c r="C93" s="497"/>
      <c r="D93" s="691"/>
      <c r="E93" s="675"/>
      <c r="F93" s="675"/>
      <c r="G93" s="654"/>
      <c r="H93" s="502"/>
      <c r="I93" s="652"/>
      <c r="J93" s="497"/>
      <c r="K93" s="653"/>
      <c r="L93" s="502"/>
      <c r="M93" s="538"/>
      <c r="N93" s="392"/>
      <c r="O93" s="502"/>
    </row>
    <row r="94" spans="1:15" s="455" customFormat="1" ht="13.5">
      <c r="C94" s="1385"/>
      <c r="D94" s="314"/>
      <c r="E94" s="991"/>
      <c r="F94" s="662"/>
      <c r="G94" s="309"/>
      <c r="H94" s="497"/>
      <c r="I94" s="774"/>
      <c r="J94" s="774"/>
      <c r="K94" s="774"/>
      <c r="L94" s="499"/>
      <c r="M94" s="1028"/>
      <c r="N94" s="499"/>
    </row>
    <row r="95" spans="1:15" s="455" customFormat="1" ht="13.5">
      <c r="C95" s="314"/>
      <c r="D95" s="314"/>
      <c r="E95" s="991"/>
      <c r="F95" s="662"/>
      <c r="G95" s="309"/>
      <c r="H95" s="497"/>
      <c r="I95" s="774"/>
      <c r="J95" s="774"/>
      <c r="K95" s="1471"/>
      <c r="L95" s="499"/>
      <c r="M95" s="1028"/>
      <c r="N95" s="499"/>
    </row>
    <row r="96" spans="1:15" s="455" customFormat="1" ht="13.5">
      <c r="C96" s="1027"/>
      <c r="D96" s="314"/>
      <c r="E96" s="991"/>
      <c r="F96" s="662"/>
      <c r="G96" s="309"/>
      <c r="H96" s="497"/>
      <c r="I96" s="1056"/>
      <c r="J96" s="985"/>
      <c r="K96" s="985"/>
      <c r="L96" s="499"/>
      <c r="M96" s="1028"/>
      <c r="N96" s="499"/>
    </row>
    <row r="97" spans="3:15" s="455" customFormat="1" ht="13.5">
      <c r="C97" s="499"/>
      <c r="D97" s="309"/>
      <c r="E97" s="391"/>
      <c r="F97" s="499"/>
      <c r="G97" s="497"/>
      <c r="H97" s="498"/>
      <c r="I97" s="498"/>
      <c r="J97" s="498"/>
      <c r="K97" s="499"/>
      <c r="L97" s="1472"/>
      <c r="M97" s="309"/>
      <c r="N97" s="499"/>
    </row>
    <row r="98" spans="3:15" s="455" customFormat="1" ht="13.5">
      <c r="C98" s="497"/>
      <c r="D98" s="691"/>
      <c r="E98" s="675"/>
      <c r="F98" s="675"/>
      <c r="G98" s="654"/>
      <c r="H98" s="502"/>
      <c r="I98" s="652"/>
      <c r="J98" s="497"/>
      <c r="K98" s="653"/>
      <c r="L98" s="502"/>
      <c r="M98" s="538"/>
      <c r="N98" s="392"/>
      <c r="O98" s="502"/>
    </row>
    <row r="99" spans="3:15" s="455" customFormat="1" ht="13.5">
      <c r="C99" s="497"/>
      <c r="D99" s="691"/>
      <c r="E99" s="675"/>
      <c r="F99" s="675"/>
      <c r="G99" s="654"/>
      <c r="H99" s="502"/>
      <c r="I99" s="652"/>
      <c r="J99" s="497"/>
      <c r="K99" s="653"/>
      <c r="L99" s="502"/>
      <c r="M99" s="538"/>
      <c r="N99" s="392"/>
      <c r="O99" s="502"/>
    </row>
    <row r="100" spans="3:15" s="455" customFormat="1" ht="13.5">
      <c r="C100" s="497"/>
      <c r="D100" s="691"/>
      <c r="E100" s="675"/>
      <c r="F100" s="675"/>
      <c r="G100" s="654"/>
      <c r="H100" s="502"/>
      <c r="I100" s="652"/>
      <c r="J100" s="497"/>
      <c r="K100" s="653"/>
      <c r="L100" s="502"/>
      <c r="M100" s="538"/>
      <c r="N100" s="392"/>
      <c r="O100" s="502"/>
    </row>
    <row r="101" spans="3:15" s="455" customFormat="1" ht="13.5">
      <c r="C101" s="497"/>
      <c r="D101" s="691"/>
      <c r="E101" s="675"/>
      <c r="F101" s="675"/>
      <c r="G101" s="654"/>
      <c r="H101" s="502"/>
      <c r="I101" s="652"/>
      <c r="J101" s="497"/>
      <c r="K101" s="653"/>
      <c r="L101" s="502"/>
      <c r="M101" s="538"/>
      <c r="N101" s="392"/>
      <c r="O101" s="502"/>
    </row>
    <row r="102" spans="3:15" s="455" customFormat="1" ht="13.5">
      <c r="C102" s="497"/>
      <c r="D102" s="691"/>
      <c r="E102" s="675"/>
      <c r="F102" s="675"/>
      <c r="G102" s="654"/>
      <c r="H102" s="502"/>
      <c r="I102" s="652"/>
      <c r="J102" s="497"/>
      <c r="K102" s="653"/>
      <c r="L102" s="502"/>
      <c r="M102" s="538"/>
      <c r="N102" s="392"/>
      <c r="O102" s="502"/>
    </row>
    <row r="103" spans="3:15" s="455" customFormat="1" ht="13.5">
      <c r="C103" s="497"/>
      <c r="D103" s="691"/>
      <c r="E103" s="675"/>
      <c r="F103" s="675"/>
      <c r="G103" s="654"/>
      <c r="H103" s="502"/>
      <c r="I103" s="652"/>
      <c r="J103" s="497"/>
      <c r="K103" s="653"/>
      <c r="L103" s="502"/>
      <c r="M103" s="538"/>
      <c r="N103" s="392"/>
      <c r="O103" s="502"/>
    </row>
    <row r="104" spans="3:15" s="455" customFormat="1" ht="13.5">
      <c r="C104" s="497"/>
      <c r="D104" s="691"/>
      <c r="E104" s="675"/>
      <c r="F104" s="1473"/>
      <c r="G104" s="654"/>
      <c r="H104" s="502"/>
      <c r="I104" s="652"/>
      <c r="J104" s="497"/>
      <c r="K104" s="653"/>
      <c r="L104" s="502"/>
      <c r="M104" s="538"/>
      <c r="N104" s="392"/>
      <c r="O104" s="502"/>
    </row>
    <row r="105" spans="3:15" s="355" customFormat="1" ht="13.5">
      <c r="C105" s="400"/>
      <c r="D105" s="400"/>
      <c r="E105" s="401"/>
      <c r="F105" s="402"/>
      <c r="G105" s="402"/>
      <c r="H105" s="403"/>
      <c r="I105" s="403"/>
      <c r="J105" s="403"/>
      <c r="K105" s="402"/>
      <c r="L105" s="404"/>
      <c r="M105" s="402"/>
      <c r="N105" s="405"/>
    </row>
    <row r="106" spans="3:15" s="355" customFormat="1" ht="13.5">
      <c r="C106" s="400"/>
      <c r="D106" s="400"/>
      <c r="E106" s="401"/>
      <c r="F106" s="402"/>
      <c r="G106" s="402"/>
      <c r="H106" s="403"/>
      <c r="I106" s="403"/>
      <c r="J106" s="403"/>
      <c r="K106" s="402"/>
      <c r="L106" s="404"/>
      <c r="M106" s="402"/>
      <c r="N106" s="405"/>
    </row>
    <row r="107" spans="3:15" s="355" customFormat="1" ht="13.5">
      <c r="C107" s="400"/>
      <c r="D107" s="400"/>
      <c r="E107" s="401"/>
      <c r="F107" s="402"/>
      <c r="G107" s="402"/>
      <c r="H107" s="403"/>
      <c r="I107" s="403"/>
      <c r="J107" s="403"/>
      <c r="K107" s="402"/>
      <c r="L107" s="404"/>
      <c r="M107" s="402"/>
      <c r="N107" s="405"/>
    </row>
    <row r="108" spans="3:15" s="355" customFormat="1" ht="13.5">
      <c r="C108" s="400"/>
      <c r="D108" s="400"/>
      <c r="E108" s="401"/>
      <c r="F108" s="402"/>
      <c r="G108" s="402"/>
      <c r="H108" s="403"/>
      <c r="I108" s="403"/>
      <c r="J108" s="403"/>
      <c r="K108" s="402"/>
      <c r="L108" s="404"/>
      <c r="M108" s="402"/>
      <c r="N108" s="405"/>
    </row>
    <row r="109" spans="3:15" s="355" customFormat="1" ht="13.5">
      <c r="C109" s="400"/>
      <c r="D109" s="400"/>
      <c r="E109" s="401"/>
      <c r="F109" s="402"/>
      <c r="G109" s="402"/>
      <c r="H109" s="403"/>
      <c r="I109" s="403"/>
      <c r="J109" s="403"/>
      <c r="K109" s="402"/>
      <c r="L109" s="404"/>
      <c r="M109" s="402"/>
      <c r="N109" s="405"/>
    </row>
    <row r="110" spans="3:15" s="355" customFormat="1" ht="13.5">
      <c r="C110" s="400"/>
      <c r="D110" s="400"/>
      <c r="E110" s="401"/>
      <c r="F110" s="402"/>
      <c r="G110" s="402"/>
      <c r="H110" s="403"/>
      <c r="I110" s="403"/>
      <c r="J110" s="403"/>
      <c r="K110" s="402"/>
      <c r="L110" s="404"/>
      <c r="M110" s="402"/>
      <c r="N110" s="405"/>
    </row>
    <row r="111" spans="3:15" s="355" customFormat="1" ht="13.5">
      <c r="C111" s="400"/>
      <c r="D111" s="400"/>
      <c r="E111" s="401"/>
      <c r="F111" s="402"/>
      <c r="G111" s="402"/>
      <c r="H111" s="403"/>
      <c r="I111" s="403"/>
      <c r="J111" s="403"/>
      <c r="K111" s="402"/>
      <c r="L111" s="404"/>
      <c r="M111" s="402"/>
      <c r="N111" s="405"/>
    </row>
    <row r="112" spans="3:15" s="355" customFormat="1" ht="13.5">
      <c r="C112" s="400"/>
      <c r="D112" s="400"/>
      <c r="E112" s="401"/>
      <c r="F112" s="402"/>
      <c r="G112" s="402"/>
      <c r="H112" s="403"/>
      <c r="I112" s="403"/>
      <c r="J112" s="403"/>
      <c r="K112" s="402"/>
      <c r="L112" s="404"/>
      <c r="M112" s="402"/>
      <c r="N112" s="405"/>
    </row>
    <row r="113" spans="3:14" s="355" customFormat="1" ht="13.5">
      <c r="C113" s="400"/>
      <c r="D113" s="400"/>
      <c r="E113" s="401"/>
      <c r="F113" s="402"/>
      <c r="G113" s="402"/>
      <c r="H113" s="403"/>
      <c r="I113" s="403"/>
      <c r="J113" s="403"/>
      <c r="K113" s="402"/>
      <c r="L113" s="404"/>
      <c r="M113" s="402"/>
      <c r="N113" s="405"/>
    </row>
    <row r="114" spans="3:14" s="355" customFormat="1" ht="13.5">
      <c r="C114" s="400"/>
      <c r="D114" s="400"/>
      <c r="E114" s="401"/>
      <c r="F114" s="402"/>
      <c r="G114" s="402"/>
      <c r="H114" s="403"/>
      <c r="I114" s="403"/>
      <c r="J114" s="403"/>
      <c r="K114" s="402"/>
      <c r="L114" s="404"/>
      <c r="M114" s="402"/>
      <c r="N114" s="405"/>
    </row>
    <row r="115" spans="3:14" s="355" customFormat="1" ht="13.5">
      <c r="C115" s="400"/>
      <c r="D115" s="400"/>
      <c r="E115" s="401"/>
      <c r="F115" s="402"/>
      <c r="G115" s="402"/>
      <c r="H115" s="403"/>
      <c r="I115" s="403"/>
      <c r="J115" s="403"/>
      <c r="K115" s="402"/>
      <c r="L115" s="404"/>
      <c r="M115" s="402"/>
      <c r="N115" s="405"/>
    </row>
    <row r="116" spans="3:14" s="355" customFormat="1" ht="13.5">
      <c r="C116" s="400"/>
      <c r="D116" s="400"/>
      <c r="E116" s="401"/>
      <c r="F116" s="402"/>
      <c r="G116" s="402"/>
      <c r="H116" s="403"/>
      <c r="I116" s="403"/>
      <c r="J116" s="403"/>
      <c r="K116" s="402"/>
      <c r="L116" s="404"/>
      <c r="M116" s="402"/>
      <c r="N116" s="405"/>
    </row>
    <row r="117" spans="3:14" s="355" customFormat="1" ht="13.5">
      <c r="C117" s="400"/>
      <c r="D117" s="400"/>
      <c r="E117" s="401"/>
      <c r="F117" s="402"/>
      <c r="G117" s="402"/>
      <c r="H117" s="403"/>
      <c r="I117" s="403"/>
      <c r="J117" s="403"/>
      <c r="K117" s="402"/>
      <c r="L117" s="404"/>
      <c r="M117" s="407"/>
      <c r="N117" s="405"/>
    </row>
    <row r="118" spans="3:14" s="355" customFormat="1" ht="13.5">
      <c r="C118" s="400"/>
      <c r="D118" s="400"/>
      <c r="E118" s="401"/>
      <c r="F118" s="402"/>
      <c r="G118" s="403"/>
      <c r="H118" s="403"/>
      <c r="I118" s="403"/>
      <c r="J118" s="403"/>
      <c r="K118" s="408"/>
      <c r="L118" s="404"/>
      <c r="M118" s="407"/>
      <c r="N118" s="405"/>
    </row>
    <row r="119" spans="3:14" s="355" customFormat="1" ht="13.5">
      <c r="C119" s="352"/>
      <c r="D119" s="352"/>
      <c r="E119" s="352"/>
      <c r="F119" s="352"/>
      <c r="G119" s="352"/>
      <c r="H119" s="352"/>
      <c r="I119" s="352"/>
      <c r="J119" s="352"/>
      <c r="K119" s="352"/>
      <c r="L119" s="1403">
        <f>SUM(L5:L117)</f>
        <v>1704000</v>
      </c>
      <c r="M119" s="352"/>
      <c r="N119" s="352"/>
    </row>
    <row r="120" spans="3:14" ht="14.25" customHeight="1">
      <c r="C120" s="31"/>
      <c r="D120" s="27"/>
      <c r="E120" s="20"/>
      <c r="F120" s="28"/>
      <c r="G120" s="28"/>
      <c r="H120" s="26"/>
      <c r="I120" s="26"/>
      <c r="J120" s="26"/>
      <c r="K120" s="28"/>
      <c r="L120" s="179"/>
      <c r="M120" s="28"/>
      <c r="N120" s="27"/>
    </row>
    <row r="121" spans="3:14" s="1" customFormat="1" ht="14.25" customHeight="1">
      <c r="C121" s="31"/>
      <c r="D121" s="27"/>
      <c r="E121" s="21"/>
      <c r="F121" s="28"/>
      <c r="G121" s="28"/>
      <c r="H121" s="26"/>
      <c r="I121" s="26"/>
      <c r="J121" s="26"/>
      <c r="K121" s="28"/>
      <c r="L121" s="179"/>
      <c r="M121" s="28"/>
      <c r="N121" s="27"/>
    </row>
    <row r="122" spans="3:14" s="1" customFormat="1" ht="14.25" customHeight="1">
      <c r="C122" s="30"/>
      <c r="D122" s="25"/>
      <c r="E122" s="21"/>
      <c r="F122" s="22"/>
      <c r="G122" s="22"/>
      <c r="H122" s="23"/>
      <c r="I122" s="23"/>
      <c r="J122" s="23"/>
      <c r="K122" s="22"/>
      <c r="L122" s="180"/>
      <c r="M122" s="22"/>
      <c r="N122" s="25"/>
    </row>
  </sheetData>
  <mergeCells count="14">
    <mergeCell ref="M2:M3"/>
    <mergeCell ref="N2:N3"/>
    <mergeCell ref="C36:C37"/>
    <mergeCell ref="C38:C39"/>
    <mergeCell ref="C2:G2"/>
    <mergeCell ref="H2:J2"/>
    <mergeCell ref="K2:L2"/>
    <mergeCell ref="C9:C10"/>
    <mergeCell ref="C11:C12"/>
    <mergeCell ref="C41:C42"/>
    <mergeCell ref="C43:C44"/>
    <mergeCell ref="C45:C46"/>
    <mergeCell ref="C73:C74"/>
    <mergeCell ref="C75:C77"/>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F00A4-CAE2-4442-B36A-1D52B8D7C25C}">
  <sheetPr>
    <tabColor rgb="FF00B0F0"/>
  </sheetPr>
  <dimension ref="A2:AK533"/>
  <sheetViews>
    <sheetView zoomScale="85" zoomScaleNormal="85" workbookViewId="0">
      <pane ySplit="4" topLeftCell="A474" activePane="bottomLeft" state="frozen"/>
      <selection pane="bottomLeft" activeCell="B390" sqref="B390:B500"/>
    </sheetView>
  </sheetViews>
  <sheetFormatPr defaultColWidth="9.140625" defaultRowHeight="13.5"/>
  <cols>
    <col min="1" max="2" width="9.140625" style="355"/>
    <col min="3" max="3" width="26.5703125" style="355" customWidth="1"/>
    <col min="4" max="4" width="49.7109375" style="355" bestFit="1" customWidth="1"/>
    <col min="5" max="5" width="29.85546875" style="2151" customWidth="1"/>
    <col min="6" max="6" width="16.7109375" style="355" customWidth="1"/>
    <col min="7" max="7" width="11.7109375" style="355" customWidth="1"/>
    <col min="8" max="8" width="13.7109375" style="355" customWidth="1"/>
    <col min="9" max="9" width="10.42578125" style="355" customWidth="1"/>
    <col min="10" max="10" width="15.42578125" style="355" customWidth="1"/>
    <col min="11" max="11" width="18.5703125" style="355" customWidth="1"/>
    <col min="12" max="12" width="19.7109375" style="32" customWidth="1"/>
    <col min="13" max="13" width="16.28515625" style="355" customWidth="1"/>
    <col min="14" max="14" width="12.85546875" style="355" customWidth="1"/>
    <col min="15" max="16" width="9.140625" style="355"/>
    <col min="17" max="17" width="73.7109375" style="355" bestFit="1" customWidth="1"/>
    <col min="18" max="36" width="9.140625" style="355"/>
    <col min="37" max="37" width="45.42578125" style="355" bestFit="1" customWidth="1"/>
    <col min="38" max="16384" width="9.140625" style="355"/>
  </cols>
  <sheetData>
    <row r="2" spans="1:15">
      <c r="C2" s="2601" t="s">
        <v>30</v>
      </c>
      <c r="D2" s="2602"/>
      <c r="E2" s="2602"/>
      <c r="F2" s="2602"/>
      <c r="G2" s="2603"/>
      <c r="H2" s="2604" t="s">
        <v>29</v>
      </c>
      <c r="I2" s="2605"/>
      <c r="J2" s="2606"/>
      <c r="K2" s="2601" t="s">
        <v>28</v>
      </c>
      <c r="L2" s="2603"/>
      <c r="M2" s="2594" t="s">
        <v>27</v>
      </c>
      <c r="N2" s="2594" t="s">
        <v>26</v>
      </c>
    </row>
    <row r="3" spans="1:15" ht="94.5">
      <c r="C3" s="618" t="s">
        <v>25</v>
      </c>
      <c r="D3" s="852" t="s">
        <v>24</v>
      </c>
      <c r="E3" s="991" t="s">
        <v>23</v>
      </c>
      <c r="F3" s="618" t="s">
        <v>22</v>
      </c>
      <c r="G3" s="532" t="s">
        <v>1303</v>
      </c>
      <c r="H3" s="532" t="s">
        <v>20</v>
      </c>
      <c r="I3" s="532" t="s">
        <v>19</v>
      </c>
      <c r="J3" s="532" t="s">
        <v>18</v>
      </c>
      <c r="K3" s="618" t="s">
        <v>17</v>
      </c>
      <c r="L3" s="605" t="s">
        <v>16</v>
      </c>
      <c r="M3" s="2594"/>
      <c r="N3" s="2594"/>
    </row>
    <row r="4" spans="1:15">
      <c r="C4" s="1076" t="s">
        <v>15</v>
      </c>
      <c r="D4" s="1076" t="s">
        <v>14</v>
      </c>
      <c r="E4" s="1076" t="s">
        <v>13</v>
      </c>
      <c r="F4" s="1076" t="s">
        <v>12</v>
      </c>
      <c r="G4" s="1076" t="s">
        <v>11</v>
      </c>
      <c r="H4" s="1076" t="s">
        <v>10</v>
      </c>
      <c r="I4" s="1076" t="s">
        <v>9</v>
      </c>
      <c r="J4" s="1076" t="s">
        <v>8</v>
      </c>
      <c r="K4" s="1076" t="s">
        <v>7</v>
      </c>
      <c r="L4" s="1077" t="s">
        <v>6</v>
      </c>
      <c r="M4" s="1076" t="s">
        <v>5</v>
      </c>
      <c r="N4" s="1076" t="s">
        <v>4</v>
      </c>
    </row>
    <row r="5" spans="1:15" s="455" customFormat="1" ht="25.5" customHeight="1">
      <c r="A5" s="471"/>
      <c r="B5" s="483" t="s">
        <v>589</v>
      </c>
      <c r="C5" s="393" t="s">
        <v>1576</v>
      </c>
      <c r="D5" s="393" t="s">
        <v>2</v>
      </c>
      <c r="E5" s="2155" t="s">
        <v>621</v>
      </c>
      <c r="F5" s="395" t="s">
        <v>609</v>
      </c>
      <c r="G5" s="396" t="s">
        <v>1</v>
      </c>
      <c r="H5" s="397" t="s">
        <v>972</v>
      </c>
      <c r="I5" s="397" t="s">
        <v>972</v>
      </c>
      <c r="J5" s="487" t="s">
        <v>594</v>
      </c>
      <c r="K5" s="395" t="s">
        <v>1577</v>
      </c>
      <c r="L5" s="399">
        <v>80000</v>
      </c>
      <c r="M5" s="393" t="s">
        <v>579</v>
      </c>
      <c r="N5" s="1606"/>
      <c r="O5" s="741"/>
    </row>
    <row r="6" spans="1:15" s="455" customFormat="1">
      <c r="A6" s="471"/>
      <c r="B6" s="483" t="s">
        <v>589</v>
      </c>
      <c r="C6" s="393" t="s">
        <v>1578</v>
      </c>
      <c r="D6" s="393"/>
      <c r="E6" s="2155" t="s">
        <v>624</v>
      </c>
      <c r="F6" s="395" t="s">
        <v>612</v>
      </c>
      <c r="G6" s="393"/>
      <c r="H6" s="393"/>
      <c r="I6" s="393"/>
      <c r="J6" s="393"/>
      <c r="K6" s="393"/>
      <c r="L6" s="399"/>
      <c r="M6" s="395" t="s">
        <v>602</v>
      </c>
      <c r="N6" s="741"/>
      <c r="O6" s="741"/>
    </row>
    <row r="7" spans="1:15" s="455" customFormat="1">
      <c r="A7" s="471"/>
      <c r="B7" s="454"/>
      <c r="C7" s="902"/>
      <c r="D7" s="902"/>
      <c r="E7" s="902"/>
      <c r="F7" s="1380"/>
      <c r="G7" s="636"/>
      <c r="H7" s="1462"/>
      <c r="I7" s="1462"/>
      <c r="J7" s="1462"/>
      <c r="K7" s="1380"/>
      <c r="L7" s="1625"/>
      <c r="M7" s="1172"/>
      <c r="N7" s="460"/>
      <c r="O7" s="1526"/>
    </row>
    <row r="8" spans="1:15" s="455" customFormat="1">
      <c r="A8" s="471"/>
      <c r="B8" s="454"/>
      <c r="C8" s="902"/>
      <c r="D8" s="902"/>
      <c r="E8" s="902"/>
      <c r="F8" s="1380"/>
      <c r="G8" s="636"/>
      <c r="H8" s="1462"/>
      <c r="I8" s="1462"/>
      <c r="J8" s="1462"/>
      <c r="K8" s="1380"/>
      <c r="L8" s="1625"/>
      <c r="M8" s="1172"/>
      <c r="N8" s="460"/>
      <c r="O8" s="1527"/>
    </row>
    <row r="9" spans="1:15" s="455" customFormat="1">
      <c r="C9" s="1529"/>
      <c r="D9" s="1529"/>
      <c r="E9" s="2156"/>
      <c r="F9" s="1529"/>
      <c r="G9" s="1529"/>
      <c r="H9" s="1529"/>
      <c r="I9" s="1529"/>
      <c r="J9" s="1529"/>
      <c r="K9" s="1529"/>
      <c r="L9" s="40"/>
      <c r="M9" s="538"/>
      <c r="N9" s="392"/>
      <c r="O9" s="502"/>
    </row>
    <row r="10" spans="1:15" s="455" customFormat="1" ht="40.5">
      <c r="B10" s="455" t="s">
        <v>1668</v>
      </c>
      <c r="C10" s="648" t="s">
        <v>1221</v>
      </c>
      <c r="D10" s="309" t="s">
        <v>2</v>
      </c>
      <c r="E10" s="391"/>
      <c r="F10" s="499" t="s">
        <v>674</v>
      </c>
      <c r="G10" s="497" t="s">
        <v>1</v>
      </c>
      <c r="H10" s="649" t="s">
        <v>675</v>
      </c>
      <c r="I10" s="649" t="s">
        <v>599</v>
      </c>
      <c r="J10" s="649" t="s">
        <v>599</v>
      </c>
      <c r="K10" s="499" t="s">
        <v>748</v>
      </c>
      <c r="L10" s="40">
        <v>85093</v>
      </c>
      <c r="M10" s="309" t="s">
        <v>659</v>
      </c>
      <c r="N10" s="499" t="s">
        <v>703</v>
      </c>
    </row>
    <row r="11" spans="1:15" s="455" customFormat="1">
      <c r="B11" s="455" t="s">
        <v>1668</v>
      </c>
      <c r="C11" s="1607" t="s">
        <v>735</v>
      </c>
      <c r="D11" s="661" t="s">
        <v>1613</v>
      </c>
      <c r="E11" s="662">
        <v>5</v>
      </c>
      <c r="F11" s="662" t="s">
        <v>755</v>
      </c>
      <c r="G11" s="654"/>
      <c r="H11" s="502"/>
      <c r="I11" s="652"/>
      <c r="J11" s="497"/>
      <c r="K11" s="653"/>
      <c r="L11" s="40"/>
      <c r="M11" s="538"/>
      <c r="N11" s="392"/>
      <c r="O11" s="502"/>
    </row>
    <row r="12" spans="1:15" s="455" customFormat="1">
      <c r="B12" s="455" t="s">
        <v>1668</v>
      </c>
      <c r="C12" s="502"/>
      <c r="D12" s="661" t="s">
        <v>1614</v>
      </c>
      <c r="E12" s="662">
        <v>1</v>
      </c>
      <c r="F12" s="662" t="s">
        <v>755</v>
      </c>
      <c r="G12" s="654"/>
      <c r="H12" s="502"/>
      <c r="I12" s="652"/>
      <c r="J12" s="497"/>
      <c r="K12" s="653"/>
      <c r="L12" s="40"/>
      <c r="M12" s="538"/>
      <c r="N12" s="392"/>
      <c r="O12" s="502"/>
    </row>
    <row r="13" spans="1:15" s="455" customFormat="1">
      <c r="B13" s="455" t="s">
        <v>1668</v>
      </c>
      <c r="C13" s="502"/>
      <c r="D13" s="661" t="s">
        <v>994</v>
      </c>
      <c r="E13" s="662">
        <v>15</v>
      </c>
      <c r="F13" s="662" t="s">
        <v>758</v>
      </c>
      <c r="G13" s="654"/>
      <c r="H13" s="502"/>
      <c r="I13" s="652"/>
      <c r="J13" s="497"/>
      <c r="K13" s="653"/>
      <c r="L13" s="40"/>
      <c r="M13" s="538"/>
      <c r="N13" s="392"/>
      <c r="O13" s="502"/>
    </row>
    <row r="14" spans="1:15" s="455" customFormat="1">
      <c r="B14" s="455" t="s">
        <v>1668</v>
      </c>
      <c r="C14" s="502"/>
      <c r="D14" s="661" t="s">
        <v>732</v>
      </c>
      <c r="E14" s="662">
        <v>10</v>
      </c>
      <c r="F14" s="662" t="s">
        <v>758</v>
      </c>
      <c r="G14" s="654"/>
      <c r="H14" s="502"/>
      <c r="I14" s="652"/>
      <c r="J14" s="497"/>
      <c r="K14" s="653"/>
      <c r="L14" s="40"/>
      <c r="M14" s="538"/>
      <c r="N14" s="392"/>
      <c r="O14" s="502"/>
    </row>
    <row r="15" spans="1:15" s="455" customFormat="1">
      <c r="B15" s="455" t="s">
        <v>1668</v>
      </c>
      <c r="C15" s="502"/>
      <c r="D15" s="661" t="s">
        <v>733</v>
      </c>
      <c r="E15" s="662">
        <v>10</v>
      </c>
      <c r="F15" s="662" t="s">
        <v>758</v>
      </c>
      <c r="G15" s="654"/>
      <c r="H15" s="502"/>
      <c r="I15" s="652"/>
      <c r="J15" s="497"/>
      <c r="K15" s="653"/>
      <c r="L15" s="40"/>
      <c r="M15" s="538"/>
      <c r="N15" s="392"/>
      <c r="O15" s="502"/>
    </row>
    <row r="16" spans="1:15" s="455" customFormat="1">
      <c r="B16" s="455" t="s">
        <v>1668</v>
      </c>
      <c r="C16" s="502"/>
      <c r="D16" s="661" t="s">
        <v>1752</v>
      </c>
      <c r="E16" s="662">
        <v>5</v>
      </c>
      <c r="F16" s="662" t="s">
        <v>1615</v>
      </c>
      <c r="G16" s="654"/>
      <c r="H16" s="502"/>
      <c r="I16" s="652"/>
      <c r="J16" s="497"/>
      <c r="K16" s="653"/>
      <c r="L16" s="40"/>
      <c r="M16" s="538"/>
      <c r="N16" s="392"/>
      <c r="O16" s="502"/>
    </row>
    <row r="17" spans="2:15" s="455" customFormat="1">
      <c r="B17" s="455" t="s">
        <v>1668</v>
      </c>
      <c r="C17" s="502"/>
      <c r="D17" s="661" t="s">
        <v>1753</v>
      </c>
      <c r="E17" s="662">
        <v>5</v>
      </c>
      <c r="F17" s="662" t="s">
        <v>1615</v>
      </c>
      <c r="G17" s="654"/>
      <c r="H17" s="502"/>
      <c r="I17" s="652"/>
      <c r="J17" s="497"/>
      <c r="K17" s="653"/>
      <c r="L17" s="40"/>
      <c r="M17" s="538"/>
      <c r="N17" s="392"/>
      <c r="O17" s="502"/>
    </row>
    <row r="18" spans="2:15" s="455" customFormat="1">
      <c r="B18" s="455" t="s">
        <v>1668</v>
      </c>
      <c r="C18" s="502"/>
      <c r="D18" s="661" t="s">
        <v>1754</v>
      </c>
      <c r="E18" s="662">
        <v>5</v>
      </c>
      <c r="F18" s="662" t="s">
        <v>1615</v>
      </c>
      <c r="G18" s="654"/>
      <c r="H18" s="502"/>
      <c r="I18" s="652"/>
      <c r="J18" s="497"/>
      <c r="K18" s="653"/>
      <c r="L18" s="40"/>
      <c r="M18" s="538"/>
      <c r="N18" s="392"/>
      <c r="O18" s="502"/>
    </row>
    <row r="19" spans="2:15" s="455" customFormat="1">
      <c r="B19" s="455" t="s">
        <v>1668</v>
      </c>
      <c r="C19" s="502"/>
      <c r="D19" s="661" t="s">
        <v>1616</v>
      </c>
      <c r="E19" s="662">
        <v>5</v>
      </c>
      <c r="F19" s="662" t="s">
        <v>1615</v>
      </c>
      <c r="G19" s="654"/>
      <c r="H19" s="502"/>
      <c r="I19" s="652"/>
      <c r="J19" s="497"/>
      <c r="K19" s="653"/>
      <c r="L19" s="40"/>
      <c r="M19" s="538"/>
      <c r="N19" s="392"/>
      <c r="O19" s="502"/>
    </row>
    <row r="20" spans="2:15" s="455" customFormat="1">
      <c r="B20" s="455" t="s">
        <v>1668</v>
      </c>
      <c r="C20" s="502"/>
      <c r="D20" s="661" t="s">
        <v>1617</v>
      </c>
      <c r="E20" s="662">
        <v>5</v>
      </c>
      <c r="F20" s="662" t="s">
        <v>1615</v>
      </c>
      <c r="G20" s="654"/>
      <c r="H20" s="502"/>
      <c r="I20" s="652"/>
      <c r="J20" s="497"/>
      <c r="K20" s="653"/>
      <c r="L20" s="40"/>
      <c r="M20" s="538"/>
      <c r="N20" s="392"/>
      <c r="O20" s="502"/>
    </row>
    <row r="21" spans="2:15" s="455" customFormat="1">
      <c r="B21" s="455" t="s">
        <v>1668</v>
      </c>
      <c r="C21" s="502"/>
      <c r="D21" s="661" t="s">
        <v>1618</v>
      </c>
      <c r="E21" s="662">
        <v>5</v>
      </c>
      <c r="F21" s="662" t="s">
        <v>1615</v>
      </c>
      <c r="G21" s="654"/>
      <c r="H21" s="502"/>
      <c r="I21" s="652"/>
      <c r="J21" s="497"/>
      <c r="K21" s="653"/>
      <c r="L21" s="40"/>
      <c r="M21" s="538"/>
      <c r="N21" s="392"/>
      <c r="O21" s="502"/>
    </row>
    <row r="22" spans="2:15" s="455" customFormat="1">
      <c r="B22" s="455" t="s">
        <v>1668</v>
      </c>
      <c r="C22" s="502"/>
      <c r="D22" s="661" t="s">
        <v>1619</v>
      </c>
      <c r="E22" s="662">
        <v>20</v>
      </c>
      <c r="F22" s="662" t="s">
        <v>761</v>
      </c>
      <c r="G22" s="654"/>
      <c r="H22" s="502"/>
      <c r="I22" s="652"/>
      <c r="J22" s="497"/>
      <c r="K22" s="653"/>
      <c r="L22" s="40"/>
      <c r="M22" s="538"/>
      <c r="N22" s="392"/>
      <c r="O22" s="502"/>
    </row>
    <row r="23" spans="2:15" s="455" customFormat="1">
      <c r="B23" s="455" t="s">
        <v>1668</v>
      </c>
      <c r="C23" s="502"/>
      <c r="D23" s="661" t="s">
        <v>1620</v>
      </c>
      <c r="E23" s="662">
        <v>20</v>
      </c>
      <c r="F23" s="662" t="s">
        <v>761</v>
      </c>
      <c r="G23" s="654"/>
      <c r="H23" s="502"/>
      <c r="I23" s="652"/>
      <c r="J23" s="497"/>
      <c r="K23" s="653"/>
      <c r="L23" s="40"/>
      <c r="M23" s="538"/>
      <c r="N23" s="392"/>
      <c r="O23" s="502"/>
    </row>
    <row r="24" spans="2:15" s="455" customFormat="1">
      <c r="B24" s="455" t="s">
        <v>1668</v>
      </c>
      <c r="C24" s="502"/>
      <c r="D24" s="661" t="s">
        <v>1621</v>
      </c>
      <c r="E24" s="662">
        <v>30</v>
      </c>
      <c r="F24" s="662" t="s">
        <v>761</v>
      </c>
      <c r="G24" s="654"/>
      <c r="H24" s="502"/>
      <c r="I24" s="652"/>
      <c r="J24" s="497"/>
      <c r="K24" s="653"/>
      <c r="L24" s="40"/>
      <c r="M24" s="538"/>
      <c r="N24" s="392"/>
      <c r="O24" s="502"/>
    </row>
    <row r="25" spans="2:15" s="455" customFormat="1">
      <c r="B25" s="455" t="s">
        <v>1668</v>
      </c>
      <c r="C25" s="502"/>
      <c r="D25" s="665" t="s">
        <v>1622</v>
      </c>
      <c r="E25" s="662">
        <v>1</v>
      </c>
      <c r="F25" s="662" t="s">
        <v>763</v>
      </c>
      <c r="G25" s="654"/>
      <c r="H25" s="502"/>
      <c r="I25" s="652"/>
      <c r="J25" s="497"/>
      <c r="K25" s="653"/>
      <c r="L25" s="40"/>
      <c r="M25" s="538"/>
      <c r="N25" s="392"/>
      <c r="O25" s="502"/>
    </row>
    <row r="26" spans="2:15" s="455" customFormat="1">
      <c r="B26" s="455" t="s">
        <v>1668</v>
      </c>
      <c r="C26" s="502"/>
      <c r="D26" s="665" t="s">
        <v>1623</v>
      </c>
      <c r="E26" s="662">
        <v>1</v>
      </c>
      <c r="F26" s="662" t="s">
        <v>761</v>
      </c>
      <c r="G26" s="654"/>
      <c r="H26" s="502"/>
      <c r="I26" s="652"/>
      <c r="J26" s="497"/>
      <c r="K26" s="653"/>
      <c r="L26" s="40"/>
      <c r="M26" s="538"/>
      <c r="N26" s="392"/>
      <c r="O26" s="502"/>
    </row>
    <row r="27" spans="2:15" s="455" customFormat="1">
      <c r="B27" s="455" t="s">
        <v>1668</v>
      </c>
      <c r="C27" s="502"/>
      <c r="D27" s="661" t="s">
        <v>1624</v>
      </c>
      <c r="E27" s="662">
        <v>2</v>
      </c>
      <c r="F27" s="662" t="s">
        <v>761</v>
      </c>
      <c r="G27" s="654"/>
      <c r="H27" s="502"/>
      <c r="I27" s="652"/>
      <c r="J27" s="497"/>
      <c r="K27" s="653"/>
      <c r="L27" s="40"/>
      <c r="M27" s="538"/>
      <c r="N27" s="392"/>
      <c r="O27" s="502"/>
    </row>
    <row r="28" spans="2:15" s="455" customFormat="1">
      <c r="B28" s="455" t="s">
        <v>1668</v>
      </c>
      <c r="C28" s="502"/>
      <c r="D28" s="661" t="s">
        <v>1625</v>
      </c>
      <c r="E28" s="662">
        <v>1</v>
      </c>
      <c r="F28" s="662" t="s">
        <v>755</v>
      </c>
      <c r="G28" s="654"/>
      <c r="H28" s="502"/>
      <c r="I28" s="652"/>
      <c r="J28" s="497"/>
      <c r="K28" s="653"/>
      <c r="L28" s="40"/>
      <c r="M28" s="538"/>
      <c r="N28" s="392"/>
      <c r="O28" s="502"/>
    </row>
    <row r="29" spans="2:15" s="455" customFormat="1">
      <c r="B29" s="455" t="s">
        <v>1668</v>
      </c>
      <c r="C29" s="502"/>
      <c r="D29" s="661" t="s">
        <v>1626</v>
      </c>
      <c r="E29" s="662">
        <v>3</v>
      </c>
      <c r="F29" s="662" t="s">
        <v>769</v>
      </c>
      <c r="G29" s="654"/>
      <c r="H29" s="502"/>
      <c r="I29" s="652"/>
      <c r="J29" s="497"/>
      <c r="K29" s="653"/>
      <c r="L29" s="40"/>
      <c r="M29" s="538"/>
      <c r="N29" s="392"/>
      <c r="O29" s="502"/>
    </row>
    <row r="30" spans="2:15" s="455" customFormat="1">
      <c r="B30" s="455" t="s">
        <v>1668</v>
      </c>
      <c r="C30" s="502"/>
      <c r="D30" s="661" t="s">
        <v>1627</v>
      </c>
      <c r="E30" s="662">
        <v>10</v>
      </c>
      <c r="F30" s="662" t="s">
        <v>755</v>
      </c>
      <c r="G30" s="654"/>
      <c r="H30" s="502"/>
      <c r="I30" s="652"/>
      <c r="J30" s="497"/>
      <c r="K30" s="653"/>
      <c r="L30" s="40"/>
      <c r="M30" s="538"/>
      <c r="N30" s="392"/>
      <c r="O30" s="502"/>
    </row>
    <row r="31" spans="2:15" s="455" customFormat="1">
      <c r="B31" s="455" t="s">
        <v>1668</v>
      </c>
      <c r="C31" s="502"/>
      <c r="D31" s="661" t="s">
        <v>1628</v>
      </c>
      <c r="E31" s="662">
        <v>15</v>
      </c>
      <c r="F31" s="662" t="s">
        <v>1629</v>
      </c>
      <c r="G31" s="654"/>
      <c r="H31" s="502"/>
      <c r="I31" s="652"/>
      <c r="J31" s="497"/>
      <c r="K31" s="653"/>
      <c r="L31" s="40"/>
      <c r="M31" s="538"/>
      <c r="N31" s="392"/>
      <c r="O31" s="502"/>
    </row>
    <row r="32" spans="2:15" s="455" customFormat="1">
      <c r="B32" s="455" t="s">
        <v>1668</v>
      </c>
      <c r="C32" s="502"/>
      <c r="D32" s="661" t="s">
        <v>1630</v>
      </c>
      <c r="E32" s="662">
        <v>25</v>
      </c>
      <c r="F32" s="662" t="s">
        <v>755</v>
      </c>
      <c r="G32" s="654"/>
      <c r="H32" s="502"/>
      <c r="I32" s="652"/>
      <c r="J32" s="497"/>
      <c r="K32" s="653"/>
      <c r="L32" s="40"/>
      <c r="M32" s="538"/>
      <c r="N32" s="392"/>
      <c r="O32" s="502"/>
    </row>
    <row r="33" spans="2:15" s="455" customFormat="1">
      <c r="B33" s="455" t="s">
        <v>1668</v>
      </c>
      <c r="C33" s="502"/>
      <c r="D33" s="661" t="s">
        <v>1009</v>
      </c>
      <c r="E33" s="662">
        <v>10</v>
      </c>
      <c r="F33" s="662" t="s">
        <v>755</v>
      </c>
      <c r="G33" s="654"/>
      <c r="H33" s="502"/>
      <c r="I33" s="652"/>
      <c r="J33" s="497"/>
      <c r="K33" s="653"/>
      <c r="L33" s="40"/>
      <c r="M33" s="538"/>
      <c r="N33" s="392"/>
      <c r="O33" s="502"/>
    </row>
    <row r="34" spans="2:15" s="455" customFormat="1">
      <c r="B34" s="455" t="s">
        <v>1668</v>
      </c>
      <c r="C34" s="502"/>
      <c r="D34" s="661" t="s">
        <v>1022</v>
      </c>
      <c r="E34" s="662">
        <v>1</v>
      </c>
      <c r="F34" s="662" t="s">
        <v>755</v>
      </c>
      <c r="G34" s="654"/>
      <c r="H34" s="502"/>
      <c r="I34" s="652"/>
      <c r="J34" s="497"/>
      <c r="K34" s="653"/>
      <c r="L34" s="40"/>
      <c r="M34" s="538"/>
      <c r="N34" s="392"/>
      <c r="O34" s="502"/>
    </row>
    <row r="35" spans="2:15" s="455" customFormat="1">
      <c r="B35" s="455" t="s">
        <v>1668</v>
      </c>
      <c r="C35" s="502"/>
      <c r="D35" s="661" t="s">
        <v>1631</v>
      </c>
      <c r="E35" s="662">
        <v>1</v>
      </c>
      <c r="F35" s="662" t="s">
        <v>761</v>
      </c>
      <c r="G35" s="654"/>
      <c r="H35" s="502"/>
      <c r="I35" s="652"/>
      <c r="J35" s="497"/>
      <c r="K35" s="653"/>
      <c r="L35" s="40"/>
      <c r="M35" s="538"/>
      <c r="N35" s="392"/>
      <c r="O35" s="502"/>
    </row>
    <row r="36" spans="2:15" s="455" customFormat="1">
      <c r="B36" s="455" t="s">
        <v>1668</v>
      </c>
      <c r="C36" s="502"/>
      <c r="D36" s="661" t="s">
        <v>1632</v>
      </c>
      <c r="E36" s="662">
        <v>1</v>
      </c>
      <c r="F36" s="662" t="s">
        <v>761</v>
      </c>
      <c r="G36" s="654"/>
      <c r="H36" s="502"/>
      <c r="I36" s="652"/>
      <c r="J36" s="497"/>
      <c r="K36" s="653"/>
      <c r="L36" s="40"/>
      <c r="M36" s="538"/>
      <c r="N36" s="392"/>
      <c r="O36" s="502"/>
    </row>
    <row r="37" spans="2:15" s="455" customFormat="1">
      <c r="B37" s="455" t="s">
        <v>1668</v>
      </c>
      <c r="C37" s="502"/>
      <c r="D37" s="661" t="s">
        <v>1633</v>
      </c>
      <c r="E37" s="662">
        <v>1</v>
      </c>
      <c r="F37" s="662" t="s">
        <v>761</v>
      </c>
      <c r="G37" s="654"/>
      <c r="H37" s="502"/>
      <c r="I37" s="652"/>
      <c r="J37" s="497"/>
      <c r="K37" s="653"/>
      <c r="L37" s="40"/>
      <c r="M37" s="538"/>
      <c r="N37" s="392"/>
      <c r="O37" s="502"/>
    </row>
    <row r="38" spans="2:15" s="455" customFormat="1">
      <c r="B38" s="455" t="s">
        <v>1668</v>
      </c>
      <c r="C38" s="502"/>
      <c r="D38" s="661" t="s">
        <v>1634</v>
      </c>
      <c r="E38" s="662">
        <v>30</v>
      </c>
      <c r="F38" s="662" t="s">
        <v>761</v>
      </c>
      <c r="G38" s="654"/>
      <c r="H38" s="502"/>
      <c r="I38" s="652"/>
      <c r="J38" s="497"/>
      <c r="K38" s="653"/>
      <c r="L38" s="40"/>
      <c r="M38" s="538"/>
      <c r="N38" s="392"/>
      <c r="O38" s="502"/>
    </row>
    <row r="39" spans="2:15" s="455" customFormat="1">
      <c r="B39" s="455" t="s">
        <v>1668</v>
      </c>
      <c r="C39" s="502"/>
      <c r="D39" s="661" t="s">
        <v>1635</v>
      </c>
      <c r="E39" s="662">
        <v>25</v>
      </c>
      <c r="F39" s="662" t="s">
        <v>778</v>
      </c>
      <c r="G39" s="654"/>
      <c r="H39" s="502"/>
      <c r="I39" s="652"/>
      <c r="J39" s="497"/>
      <c r="K39" s="653"/>
      <c r="L39" s="40"/>
      <c r="M39" s="538"/>
      <c r="N39" s="392"/>
      <c r="O39" s="502"/>
    </row>
    <row r="40" spans="2:15" s="455" customFormat="1">
      <c r="B40" s="455" t="s">
        <v>1668</v>
      </c>
      <c r="C40" s="502"/>
      <c r="D40" s="661" t="s">
        <v>502</v>
      </c>
      <c r="E40" s="662">
        <v>4</v>
      </c>
      <c r="F40" s="662" t="s">
        <v>1636</v>
      </c>
      <c r="G40" s="654"/>
      <c r="H40" s="502"/>
      <c r="I40" s="652"/>
      <c r="J40" s="497"/>
      <c r="K40" s="653"/>
      <c r="L40" s="40"/>
      <c r="M40" s="538"/>
      <c r="N40" s="392"/>
      <c r="O40" s="502"/>
    </row>
    <row r="41" spans="2:15" s="455" customFormat="1">
      <c r="B41" s="455" t="s">
        <v>1668</v>
      </c>
      <c r="C41" s="1529"/>
      <c r="D41" s="1529"/>
      <c r="E41" s="2156"/>
      <c r="F41" s="1529"/>
      <c r="G41" s="1529"/>
      <c r="H41" s="1529"/>
      <c r="I41" s="1529"/>
      <c r="J41" s="1529"/>
      <c r="K41" s="1529"/>
      <c r="L41" s="40"/>
      <c r="M41" s="538"/>
      <c r="N41" s="392"/>
      <c r="O41" s="502"/>
    </row>
    <row r="42" spans="2:15" s="455" customFormat="1" ht="40.5">
      <c r="B42" s="455" t="s">
        <v>1668</v>
      </c>
      <c r="C42" s="648" t="s">
        <v>1221</v>
      </c>
      <c r="D42" s="309" t="s">
        <v>2</v>
      </c>
      <c r="E42" s="391"/>
      <c r="F42" s="499" t="s">
        <v>674</v>
      </c>
      <c r="G42" s="497" t="s">
        <v>1</v>
      </c>
      <c r="H42" s="649">
        <v>46113</v>
      </c>
      <c r="I42" s="649">
        <v>46143</v>
      </c>
      <c r="J42" s="649">
        <v>46143</v>
      </c>
      <c r="K42" s="1016" t="s">
        <v>748</v>
      </c>
      <c r="L42" s="650">
        <v>84576</v>
      </c>
      <c r="M42" s="309" t="s">
        <v>659</v>
      </c>
      <c r="N42" s="499" t="s">
        <v>703</v>
      </c>
    </row>
    <row r="43" spans="2:15" s="455" customFormat="1">
      <c r="B43" s="455" t="s">
        <v>1668</v>
      </c>
      <c r="C43" s="1607" t="s">
        <v>1637</v>
      </c>
      <c r="D43" s="661"/>
      <c r="E43" s="662"/>
      <c r="F43" s="662"/>
      <c r="G43" s="654"/>
      <c r="H43" s="502"/>
      <c r="I43" s="652"/>
      <c r="J43" s="497"/>
      <c r="K43" s="653"/>
      <c r="L43" s="40"/>
      <c r="M43" s="538"/>
      <c r="N43" s="392"/>
      <c r="O43" s="502"/>
    </row>
    <row r="44" spans="2:15" s="455" customFormat="1">
      <c r="B44" s="455" t="s">
        <v>1668</v>
      </c>
      <c r="C44" s="502"/>
      <c r="D44" s="661" t="s">
        <v>1614</v>
      </c>
      <c r="E44" s="662">
        <v>2</v>
      </c>
      <c r="F44" s="662" t="s">
        <v>755</v>
      </c>
      <c r="G44" s="654"/>
      <c r="H44" s="502"/>
      <c r="I44" s="652"/>
      <c r="J44" s="497"/>
      <c r="K44" s="653"/>
      <c r="L44" s="40"/>
      <c r="M44" s="538"/>
      <c r="N44" s="392"/>
      <c r="O44" s="502"/>
    </row>
    <row r="45" spans="2:15" s="455" customFormat="1">
      <c r="B45" s="455" t="s">
        <v>1668</v>
      </c>
      <c r="C45" s="502"/>
      <c r="D45" s="661" t="s">
        <v>994</v>
      </c>
      <c r="E45" s="662">
        <v>15</v>
      </c>
      <c r="F45" s="662" t="s">
        <v>758</v>
      </c>
      <c r="G45" s="654"/>
      <c r="H45" s="502"/>
      <c r="I45" s="652"/>
      <c r="J45" s="497"/>
      <c r="K45" s="653"/>
      <c r="L45" s="40"/>
      <c r="M45" s="538"/>
      <c r="N45" s="392"/>
      <c r="O45" s="502"/>
    </row>
    <row r="46" spans="2:15" s="455" customFormat="1">
      <c r="B46" s="455" t="s">
        <v>1668</v>
      </c>
      <c r="C46" s="502"/>
      <c r="D46" s="661" t="s">
        <v>732</v>
      </c>
      <c r="E46" s="662">
        <v>95</v>
      </c>
      <c r="F46" s="662" t="s">
        <v>758</v>
      </c>
      <c r="G46" s="654"/>
      <c r="H46" s="502"/>
      <c r="I46" s="652"/>
      <c r="J46" s="497"/>
      <c r="K46" s="653"/>
      <c r="L46" s="40"/>
      <c r="M46" s="538"/>
      <c r="N46" s="392"/>
      <c r="O46" s="502"/>
    </row>
    <row r="47" spans="2:15" s="455" customFormat="1">
      <c r="B47" s="455" t="s">
        <v>1668</v>
      </c>
      <c r="C47" s="502"/>
      <c r="D47" s="661" t="s">
        <v>733</v>
      </c>
      <c r="E47" s="662">
        <v>50</v>
      </c>
      <c r="F47" s="662" t="s">
        <v>758</v>
      </c>
      <c r="G47" s="654"/>
      <c r="H47" s="502"/>
      <c r="I47" s="652"/>
      <c r="J47" s="497"/>
      <c r="K47" s="653"/>
      <c r="L47" s="40"/>
      <c r="M47" s="538"/>
      <c r="N47" s="392"/>
      <c r="O47" s="502"/>
    </row>
    <row r="48" spans="2:15" s="455" customFormat="1">
      <c r="B48" s="455" t="s">
        <v>1668</v>
      </c>
      <c r="C48" s="502"/>
      <c r="D48" s="661" t="s">
        <v>995</v>
      </c>
      <c r="E48" s="662">
        <v>10</v>
      </c>
      <c r="F48" s="662" t="s">
        <v>758</v>
      </c>
      <c r="G48" s="654"/>
      <c r="H48" s="502"/>
      <c r="I48" s="652"/>
      <c r="J48" s="497"/>
      <c r="K48" s="653"/>
      <c r="L48" s="40"/>
      <c r="M48" s="538"/>
      <c r="N48" s="392"/>
      <c r="O48" s="502"/>
    </row>
    <row r="49" spans="2:15" s="455" customFormat="1">
      <c r="B49" s="455" t="s">
        <v>1668</v>
      </c>
      <c r="C49" s="502"/>
      <c r="D49" s="661" t="s">
        <v>1638</v>
      </c>
      <c r="E49" s="662">
        <v>5</v>
      </c>
      <c r="F49" s="662" t="s">
        <v>1615</v>
      </c>
      <c r="G49" s="654"/>
      <c r="H49" s="502"/>
      <c r="I49" s="652"/>
      <c r="J49" s="497"/>
      <c r="K49" s="653"/>
      <c r="L49" s="40"/>
      <c r="M49" s="538"/>
      <c r="N49" s="392"/>
      <c r="O49" s="502"/>
    </row>
    <row r="50" spans="2:15" s="455" customFormat="1">
      <c r="B50" s="455" t="s">
        <v>1668</v>
      </c>
      <c r="C50" s="502"/>
      <c r="D50" s="661" t="s">
        <v>1639</v>
      </c>
      <c r="E50" s="662">
        <v>1</v>
      </c>
      <c r="F50" s="662" t="s">
        <v>1640</v>
      </c>
      <c r="G50" s="654"/>
      <c r="H50" s="502"/>
      <c r="I50" s="652"/>
      <c r="J50" s="497"/>
      <c r="K50" s="653"/>
      <c r="L50" s="40"/>
      <c r="M50" s="538"/>
      <c r="N50" s="392"/>
      <c r="O50" s="502"/>
    </row>
    <row r="51" spans="2:15" s="455" customFormat="1">
      <c r="C51" s="1529"/>
      <c r="D51" s="1529"/>
      <c r="E51" s="2156"/>
      <c r="F51" s="1529"/>
      <c r="G51" s="1529"/>
      <c r="H51" s="1529"/>
      <c r="I51" s="1529"/>
      <c r="J51" s="1529"/>
      <c r="K51" s="1529"/>
      <c r="L51" s="40"/>
      <c r="M51" s="538"/>
      <c r="N51" s="392"/>
      <c r="O51" s="502"/>
    </row>
    <row r="52" spans="2:15" s="455" customFormat="1">
      <c r="C52" s="1529"/>
      <c r="D52" s="1529"/>
      <c r="E52" s="2156"/>
      <c r="F52" s="1529"/>
      <c r="G52" s="1529"/>
      <c r="H52" s="1529"/>
      <c r="I52" s="1529"/>
      <c r="J52" s="1529"/>
      <c r="K52" s="1529"/>
      <c r="L52" s="40"/>
      <c r="M52" s="538"/>
      <c r="N52" s="392"/>
      <c r="O52" s="502"/>
    </row>
    <row r="53" spans="2:15" s="455" customFormat="1">
      <c r="C53" s="1529"/>
      <c r="D53" s="1529"/>
      <c r="E53" s="2156"/>
      <c r="F53" s="1529"/>
      <c r="G53" s="1529"/>
      <c r="H53" s="1529"/>
      <c r="I53" s="1529"/>
      <c r="J53" s="1529"/>
      <c r="K53" s="1529"/>
      <c r="L53" s="40"/>
      <c r="M53" s="538"/>
      <c r="N53" s="392"/>
      <c r="O53" s="502"/>
    </row>
    <row r="54" spans="2:15" s="455" customFormat="1">
      <c r="C54" s="1529"/>
      <c r="D54" s="1529"/>
      <c r="E54" s="2156"/>
      <c r="F54" s="1529"/>
      <c r="G54" s="1529"/>
      <c r="H54" s="1529"/>
      <c r="I54" s="1529"/>
      <c r="J54" s="1529"/>
      <c r="K54" s="1529"/>
      <c r="L54" s="40"/>
      <c r="M54" s="538"/>
      <c r="N54" s="392"/>
      <c r="O54" s="502"/>
    </row>
    <row r="55" spans="2:15" s="455" customFormat="1" ht="40.5">
      <c r="B55" s="455" t="s">
        <v>1674</v>
      </c>
      <c r="C55" s="595" t="s">
        <v>1221</v>
      </c>
      <c r="D55" s="309" t="s">
        <v>2</v>
      </c>
      <c r="E55" s="391"/>
      <c r="F55" s="308" t="s">
        <v>674</v>
      </c>
      <c r="G55" s="313" t="s">
        <v>1</v>
      </c>
      <c r="H55" s="596" t="s">
        <v>675</v>
      </c>
      <c r="I55" s="596" t="s">
        <v>599</v>
      </c>
      <c r="J55" s="596" t="s">
        <v>599</v>
      </c>
      <c r="K55" s="1019" t="s">
        <v>748</v>
      </c>
      <c r="L55" s="1623">
        <v>84899.5</v>
      </c>
      <c r="M55" s="309" t="s">
        <v>659</v>
      </c>
      <c r="N55" s="308" t="s">
        <v>703</v>
      </c>
    </row>
    <row r="56" spans="2:15">
      <c r="B56" s="455" t="s">
        <v>1674</v>
      </c>
      <c r="C56" s="313" t="s">
        <v>735</v>
      </c>
      <c r="D56" s="1608" t="s">
        <v>989</v>
      </c>
      <c r="E56" s="1151">
        <v>5</v>
      </c>
      <c r="F56" s="1151" t="s">
        <v>755</v>
      </c>
      <c r="G56" s="306"/>
      <c r="H56" s="318"/>
      <c r="I56" s="319"/>
      <c r="J56" s="313"/>
      <c r="K56" s="320"/>
      <c r="L56" s="34"/>
      <c r="M56" s="1609"/>
      <c r="N56" s="322"/>
      <c r="O56" s="318"/>
    </row>
    <row r="57" spans="2:15">
      <c r="B57" s="455" t="s">
        <v>1674</v>
      </c>
      <c r="C57" s="318"/>
      <c r="D57" s="1608" t="s">
        <v>992</v>
      </c>
      <c r="E57" s="1151">
        <v>5</v>
      </c>
      <c r="F57" s="1151" t="s">
        <v>755</v>
      </c>
      <c r="G57" s="306"/>
      <c r="H57" s="318"/>
      <c r="I57" s="319"/>
      <c r="J57" s="313"/>
      <c r="K57" s="320"/>
      <c r="L57" s="34"/>
      <c r="M57" s="1609"/>
      <c r="N57" s="322"/>
      <c r="O57" s="318"/>
    </row>
    <row r="58" spans="2:15">
      <c r="B58" s="455" t="s">
        <v>1674</v>
      </c>
      <c r="C58" s="318"/>
      <c r="D58" s="1608" t="s">
        <v>994</v>
      </c>
      <c r="E58" s="1151">
        <v>5</v>
      </c>
      <c r="F58" s="1151" t="s">
        <v>758</v>
      </c>
      <c r="G58" s="306"/>
      <c r="H58" s="318"/>
      <c r="I58" s="319"/>
      <c r="J58" s="313"/>
      <c r="K58" s="320"/>
      <c r="L58" s="34"/>
      <c r="M58" s="1609"/>
      <c r="N58" s="322"/>
      <c r="O58" s="318"/>
    </row>
    <row r="59" spans="2:15">
      <c r="B59" s="455" t="s">
        <v>1674</v>
      </c>
      <c r="C59" s="306"/>
      <c r="D59" s="1608" t="s">
        <v>732</v>
      </c>
      <c r="E59" s="1151">
        <v>30</v>
      </c>
      <c r="F59" s="1151" t="s">
        <v>758</v>
      </c>
      <c r="G59" s="306"/>
      <c r="H59" s="306"/>
      <c r="I59" s="311"/>
      <c r="J59" s="311"/>
      <c r="K59" s="600"/>
      <c r="L59" s="409"/>
      <c r="M59" s="1609"/>
      <c r="N59" s="306"/>
      <c r="O59" s="306"/>
    </row>
    <row r="60" spans="2:15">
      <c r="B60" s="455" t="s">
        <v>1674</v>
      </c>
      <c r="C60" s="306"/>
      <c r="D60" s="1608" t="s">
        <v>733</v>
      </c>
      <c r="E60" s="1151">
        <v>30</v>
      </c>
      <c r="F60" s="1151" t="s">
        <v>758</v>
      </c>
      <c r="G60" s="306"/>
      <c r="H60" s="306"/>
      <c r="I60" s="311"/>
      <c r="J60" s="311"/>
      <c r="K60" s="600"/>
      <c r="L60" s="409" t="s">
        <v>111</v>
      </c>
      <c r="M60" s="1609"/>
      <c r="N60" s="306"/>
      <c r="O60" s="306"/>
    </row>
    <row r="61" spans="2:15">
      <c r="B61" s="455" t="s">
        <v>1674</v>
      </c>
      <c r="C61" s="306"/>
      <c r="D61" s="1608" t="s">
        <v>995</v>
      </c>
      <c r="E61" s="1151">
        <v>30</v>
      </c>
      <c r="F61" s="1151" t="s">
        <v>758</v>
      </c>
      <c r="G61" s="306"/>
      <c r="H61" s="306"/>
      <c r="I61" s="311"/>
      <c r="J61" s="311"/>
      <c r="K61" s="600"/>
      <c r="L61" s="409"/>
      <c r="M61" s="1609"/>
      <c r="N61" s="306"/>
      <c r="O61" s="306"/>
    </row>
    <row r="62" spans="2:15" ht="27">
      <c r="B62" s="455" t="s">
        <v>1674</v>
      </c>
      <c r="C62" s="306"/>
      <c r="D62" s="597" t="s">
        <v>996</v>
      </c>
      <c r="E62" s="1610">
        <v>10</v>
      </c>
      <c r="F62" s="1610" t="s">
        <v>1669</v>
      </c>
      <c r="G62" s="306"/>
      <c r="H62" s="306"/>
      <c r="I62" s="601"/>
      <c r="J62" s="311"/>
      <c r="K62" s="600"/>
      <c r="L62" s="409"/>
      <c r="M62" s="1609"/>
      <c r="N62" s="306"/>
      <c r="O62" s="306"/>
    </row>
    <row r="63" spans="2:15">
      <c r="B63" s="455" t="s">
        <v>1674</v>
      </c>
      <c r="C63" s="306"/>
      <c r="D63" s="597" t="s">
        <v>1000</v>
      </c>
      <c r="E63" s="1610">
        <v>10</v>
      </c>
      <c r="F63" s="1610" t="s">
        <v>1640</v>
      </c>
      <c r="G63" s="306"/>
      <c r="H63" s="306"/>
      <c r="I63" s="320"/>
      <c r="J63" s="320"/>
      <c r="K63" s="320"/>
      <c r="M63" s="1609"/>
      <c r="N63" s="306"/>
      <c r="O63" s="306"/>
    </row>
    <row r="64" spans="2:15">
      <c r="B64" s="455" t="s">
        <v>1674</v>
      </c>
      <c r="C64" s="306"/>
      <c r="D64" s="597" t="s">
        <v>1002</v>
      </c>
      <c r="E64" s="1610">
        <v>8</v>
      </c>
      <c r="F64" s="1610" t="s">
        <v>1640</v>
      </c>
      <c r="G64" s="306"/>
      <c r="H64" s="306"/>
      <c r="I64" s="320"/>
      <c r="J64" s="320"/>
      <c r="K64" s="320"/>
      <c r="L64" s="409"/>
      <c r="M64" s="1609"/>
      <c r="N64" s="306"/>
      <c r="O64" s="306"/>
    </row>
    <row r="65" spans="2:15">
      <c r="B65" s="455" t="s">
        <v>1674</v>
      </c>
      <c r="C65" s="306"/>
      <c r="D65" s="597" t="s">
        <v>1003</v>
      </c>
      <c r="E65" s="1610">
        <v>10</v>
      </c>
      <c r="F65" s="1610" t="s">
        <v>761</v>
      </c>
      <c r="G65" s="306"/>
      <c r="H65" s="306"/>
      <c r="I65" s="320"/>
      <c r="J65" s="320"/>
      <c r="K65" s="320"/>
      <c r="L65" s="409"/>
      <c r="M65" s="1609"/>
      <c r="N65" s="306"/>
      <c r="O65" s="306"/>
    </row>
    <row r="66" spans="2:15">
      <c r="B66" s="455" t="s">
        <v>1674</v>
      </c>
      <c r="C66" s="306"/>
      <c r="D66" s="597" t="s">
        <v>1005</v>
      </c>
      <c r="E66" s="1610">
        <v>9</v>
      </c>
      <c r="F66" s="1610" t="s">
        <v>1669</v>
      </c>
      <c r="G66" s="306"/>
      <c r="H66" s="306"/>
      <c r="I66" s="601"/>
      <c r="J66" s="311"/>
      <c r="K66" s="600"/>
      <c r="L66" s="409"/>
      <c r="M66" s="1609"/>
      <c r="N66" s="306"/>
      <c r="O66" s="306"/>
    </row>
    <row r="67" spans="2:15">
      <c r="B67" s="455" t="s">
        <v>1674</v>
      </c>
      <c r="C67" s="306"/>
      <c r="D67" s="597" t="s">
        <v>1008</v>
      </c>
      <c r="E67" s="1610">
        <v>10</v>
      </c>
      <c r="F67" s="1610" t="s">
        <v>1629</v>
      </c>
      <c r="G67" s="306"/>
      <c r="H67" s="306"/>
      <c r="I67" s="320"/>
      <c r="J67" s="320"/>
      <c r="K67" s="320"/>
      <c r="L67" s="409"/>
      <c r="M67" s="1609"/>
      <c r="N67" s="306"/>
      <c r="O67" s="306"/>
    </row>
    <row r="68" spans="2:15">
      <c r="B68" s="455" t="s">
        <v>1674</v>
      </c>
      <c r="C68" s="306"/>
      <c r="D68" s="597" t="s">
        <v>1009</v>
      </c>
      <c r="E68" s="1610">
        <v>30</v>
      </c>
      <c r="F68" s="1610" t="s">
        <v>755</v>
      </c>
      <c r="G68" s="306"/>
      <c r="H68" s="306"/>
      <c r="I68" s="311"/>
      <c r="J68" s="311"/>
      <c r="K68" s="600"/>
      <c r="L68" s="409"/>
      <c r="M68" s="1609"/>
      <c r="N68" s="306"/>
      <c r="O68" s="306"/>
    </row>
    <row r="69" spans="2:15">
      <c r="B69" s="455" t="s">
        <v>1674</v>
      </c>
      <c r="C69" s="306"/>
      <c r="D69" s="597" t="s">
        <v>1010</v>
      </c>
      <c r="E69" s="1610">
        <v>3</v>
      </c>
      <c r="F69" s="1610" t="s">
        <v>755</v>
      </c>
      <c r="G69" s="306"/>
      <c r="H69" s="306"/>
      <c r="I69" s="601"/>
      <c r="J69" s="311"/>
      <c r="K69" s="600"/>
      <c r="L69" s="409"/>
      <c r="M69" s="1609"/>
      <c r="N69" s="306"/>
      <c r="O69" s="306"/>
    </row>
    <row r="70" spans="2:15">
      <c r="B70" s="455" t="s">
        <v>1674</v>
      </c>
      <c r="C70" s="306"/>
      <c r="D70" s="597" t="s">
        <v>1011</v>
      </c>
      <c r="E70" s="1610">
        <v>9</v>
      </c>
      <c r="F70" s="1610" t="s">
        <v>808</v>
      </c>
      <c r="G70" s="306"/>
      <c r="H70" s="306"/>
      <c r="I70" s="311"/>
      <c r="J70" s="311"/>
      <c r="K70" s="311"/>
      <c r="L70" s="409"/>
      <c r="M70" s="1609"/>
      <c r="N70" s="306" t="s">
        <v>111</v>
      </c>
      <c r="O70" s="306"/>
    </row>
    <row r="71" spans="2:15" ht="14.25" customHeight="1">
      <c r="B71" s="455" t="s">
        <v>1674</v>
      </c>
      <c r="C71" s="306"/>
      <c r="D71" s="597" t="s">
        <v>1013</v>
      </c>
      <c r="E71" s="1610">
        <v>2</v>
      </c>
      <c r="F71" s="1610" t="s">
        <v>1670</v>
      </c>
      <c r="G71" s="306"/>
      <c r="H71" s="306"/>
      <c r="I71" s="311"/>
      <c r="J71" s="311"/>
      <c r="K71" s="311"/>
      <c r="L71" s="409"/>
      <c r="M71" s="1609"/>
      <c r="N71" s="306"/>
      <c r="O71" s="306"/>
    </row>
    <row r="72" spans="2:15" s="302" customFormat="1" ht="14.25" customHeight="1">
      <c r="B72" s="455" t="s">
        <v>1674</v>
      </c>
      <c r="C72" s="306"/>
      <c r="D72" s="598" t="s">
        <v>1671</v>
      </c>
      <c r="E72" s="1610">
        <v>85</v>
      </c>
      <c r="F72" s="1610" t="s">
        <v>1667</v>
      </c>
      <c r="G72" s="306"/>
      <c r="H72" s="306"/>
      <c r="I72" s="311"/>
      <c r="J72" s="311"/>
      <c r="K72" s="311"/>
      <c r="L72" s="409"/>
      <c r="M72" s="1609"/>
      <c r="N72" s="306"/>
      <c r="O72" s="306"/>
    </row>
    <row r="73" spans="2:15" s="302" customFormat="1" ht="14.25" customHeight="1">
      <c r="B73" s="455" t="s">
        <v>1674</v>
      </c>
      <c r="C73" s="306"/>
      <c r="D73" s="597" t="s">
        <v>1016</v>
      </c>
      <c r="E73" s="1610">
        <v>20</v>
      </c>
      <c r="F73" s="1610" t="s">
        <v>761</v>
      </c>
      <c r="G73" s="306"/>
      <c r="H73" s="306"/>
      <c r="I73" s="320"/>
      <c r="J73" s="320"/>
      <c r="K73" s="320"/>
      <c r="L73" s="409"/>
      <c r="M73" s="1609"/>
      <c r="N73" s="306"/>
      <c r="O73" s="306"/>
    </row>
    <row r="74" spans="2:15">
      <c r="B74" s="455" t="s">
        <v>1674</v>
      </c>
      <c r="C74" s="306"/>
      <c r="D74" s="597" t="s">
        <v>1017</v>
      </c>
      <c r="E74" s="1610">
        <v>10</v>
      </c>
      <c r="F74" s="1610" t="s">
        <v>778</v>
      </c>
      <c r="G74" s="306"/>
      <c r="H74" s="306"/>
      <c r="I74" s="311"/>
      <c r="J74" s="311"/>
      <c r="K74" s="600"/>
      <c r="L74" s="409"/>
      <c r="M74" s="1609"/>
      <c r="N74" s="306"/>
      <c r="O74" s="306"/>
    </row>
    <row r="75" spans="2:15">
      <c r="B75" s="455" t="s">
        <v>1674</v>
      </c>
      <c r="C75" s="306"/>
      <c r="D75" s="597" t="s">
        <v>1672</v>
      </c>
      <c r="E75" s="1610">
        <v>10</v>
      </c>
      <c r="F75" s="1610" t="s">
        <v>1667</v>
      </c>
      <c r="G75" s="306"/>
      <c r="H75" s="306"/>
      <c r="I75" s="311"/>
      <c r="J75" s="311"/>
      <c r="K75" s="600"/>
      <c r="L75" s="409"/>
      <c r="M75" s="1609"/>
      <c r="N75" s="306"/>
      <c r="O75" s="306"/>
    </row>
    <row r="76" spans="2:15">
      <c r="B76" s="455" t="s">
        <v>1674</v>
      </c>
      <c r="C76" s="306"/>
      <c r="D76" s="597" t="s">
        <v>1018</v>
      </c>
      <c r="E76" s="1610">
        <v>25</v>
      </c>
      <c r="F76" s="1610" t="s">
        <v>808</v>
      </c>
      <c r="G76" s="306"/>
      <c r="H76" s="306"/>
      <c r="I76" s="311"/>
      <c r="J76" s="311"/>
      <c r="K76" s="600"/>
      <c r="L76" s="409"/>
      <c r="M76" s="1609"/>
      <c r="N76" s="306"/>
      <c r="O76" s="306"/>
    </row>
    <row r="77" spans="2:15">
      <c r="B77" s="455" t="s">
        <v>1674</v>
      </c>
      <c r="C77" s="306"/>
      <c r="D77" s="597" t="s">
        <v>1019</v>
      </c>
      <c r="E77" s="1610">
        <v>10</v>
      </c>
      <c r="F77" s="1610" t="s">
        <v>761</v>
      </c>
      <c r="G77" s="306"/>
      <c r="H77" s="306"/>
      <c r="I77" s="311"/>
      <c r="J77" s="311"/>
      <c r="K77" s="600"/>
      <c r="L77" s="409"/>
      <c r="M77" s="1609"/>
      <c r="N77" s="306"/>
      <c r="O77" s="306"/>
    </row>
    <row r="80" spans="2:15" ht="40.5">
      <c r="B80" s="455" t="s">
        <v>1674</v>
      </c>
      <c r="C80" s="595" t="s">
        <v>1221</v>
      </c>
      <c r="D80" s="309" t="s">
        <v>2</v>
      </c>
      <c r="E80" s="391"/>
      <c r="F80" s="308" t="s">
        <v>674</v>
      </c>
      <c r="G80" s="313" t="s">
        <v>1</v>
      </c>
      <c r="H80" s="596">
        <v>46113</v>
      </c>
      <c r="I80" s="596">
        <v>46143</v>
      </c>
      <c r="J80" s="596">
        <v>46143</v>
      </c>
      <c r="K80" s="1019" t="s">
        <v>748</v>
      </c>
      <c r="L80" s="1623">
        <v>84950</v>
      </c>
      <c r="M80" s="309" t="s">
        <v>659</v>
      </c>
      <c r="N80" s="308" t="s">
        <v>703</v>
      </c>
    </row>
    <row r="81" spans="2:15">
      <c r="B81" s="455" t="s">
        <v>1674</v>
      </c>
      <c r="C81" s="313" t="s">
        <v>704</v>
      </c>
      <c r="D81" s="1608" t="s">
        <v>989</v>
      </c>
      <c r="E81" s="1151">
        <v>5</v>
      </c>
      <c r="F81" s="1151" t="s">
        <v>755</v>
      </c>
      <c r="G81" s="306"/>
      <c r="H81" s="318"/>
      <c r="I81" s="319"/>
      <c r="J81" s="313"/>
      <c r="K81" s="320"/>
      <c r="L81" s="34"/>
      <c r="M81" s="1609"/>
      <c r="N81" s="322"/>
      <c r="O81" s="318"/>
    </row>
    <row r="82" spans="2:15">
      <c r="B82" s="455" t="s">
        <v>1674</v>
      </c>
      <c r="C82" s="318"/>
      <c r="D82" s="1608" t="s">
        <v>992</v>
      </c>
      <c r="E82" s="1151">
        <v>5</v>
      </c>
      <c r="F82" s="1151" t="s">
        <v>755</v>
      </c>
      <c r="G82" s="306"/>
      <c r="H82" s="318"/>
      <c r="I82" s="319"/>
      <c r="J82" s="313"/>
      <c r="K82" s="320"/>
      <c r="L82" s="34"/>
      <c r="M82" s="1609"/>
      <c r="N82" s="322"/>
      <c r="O82" s="318"/>
    </row>
    <row r="83" spans="2:15">
      <c r="B83" s="455" t="s">
        <v>1674</v>
      </c>
      <c r="C83" s="318"/>
      <c r="D83" s="1608" t="s">
        <v>994</v>
      </c>
      <c r="E83" s="1151">
        <v>5</v>
      </c>
      <c r="F83" s="1151" t="s">
        <v>758</v>
      </c>
      <c r="G83" s="306"/>
      <c r="H83" s="318"/>
      <c r="I83" s="319"/>
      <c r="J83" s="313"/>
      <c r="K83" s="320"/>
      <c r="L83" s="34"/>
      <c r="M83" s="1609"/>
      <c r="N83" s="322"/>
      <c r="O83" s="318"/>
    </row>
    <row r="84" spans="2:15">
      <c r="B84" s="455" t="s">
        <v>1674</v>
      </c>
      <c r="C84" s="306"/>
      <c r="D84" s="1608" t="s">
        <v>732</v>
      </c>
      <c r="E84" s="1151">
        <v>30</v>
      </c>
      <c r="F84" s="1151" t="s">
        <v>758</v>
      </c>
      <c r="G84" s="306"/>
      <c r="H84" s="306"/>
      <c r="I84" s="311"/>
      <c r="J84" s="311"/>
      <c r="K84" s="600"/>
      <c r="L84" s="409"/>
      <c r="M84" s="1609"/>
      <c r="N84" s="306"/>
      <c r="O84" s="306"/>
    </row>
    <row r="85" spans="2:15">
      <c r="B85" s="455" t="s">
        <v>1674</v>
      </c>
      <c r="C85" s="306"/>
      <c r="D85" s="1608" t="s">
        <v>733</v>
      </c>
      <c r="E85" s="1151">
        <v>30</v>
      </c>
      <c r="F85" s="1151" t="s">
        <v>758</v>
      </c>
      <c r="G85" s="306"/>
      <c r="H85" s="306"/>
      <c r="I85" s="311"/>
      <c r="J85" s="311"/>
      <c r="K85" s="600"/>
      <c r="L85" s="409" t="s">
        <v>111</v>
      </c>
      <c r="M85" s="1609"/>
      <c r="N85" s="306"/>
      <c r="O85" s="306"/>
    </row>
    <row r="86" spans="2:15" ht="27">
      <c r="B86" s="455" t="s">
        <v>1674</v>
      </c>
      <c r="C86" s="306"/>
      <c r="D86" s="597" t="s">
        <v>996</v>
      </c>
      <c r="E86" s="1151">
        <v>30</v>
      </c>
      <c r="F86" s="1610" t="s">
        <v>1669</v>
      </c>
      <c r="G86" s="306"/>
      <c r="H86" s="306"/>
      <c r="I86" s="311"/>
      <c r="J86" s="311"/>
      <c r="K86" s="600"/>
      <c r="L86" s="409"/>
      <c r="M86" s="1609"/>
      <c r="N86" s="306"/>
      <c r="O86" s="306"/>
    </row>
    <row r="87" spans="2:15">
      <c r="B87" s="455" t="s">
        <v>1674</v>
      </c>
      <c r="C87" s="306"/>
      <c r="D87" s="597" t="s">
        <v>1000</v>
      </c>
      <c r="E87" s="1610">
        <v>10</v>
      </c>
      <c r="F87" s="1610" t="s">
        <v>1640</v>
      </c>
      <c r="G87" s="306"/>
      <c r="H87" s="306"/>
      <c r="I87" s="601"/>
      <c r="J87" s="311"/>
      <c r="K87" s="600"/>
      <c r="L87" s="409"/>
      <c r="M87" s="1609"/>
      <c r="N87" s="306"/>
      <c r="O87" s="306"/>
    </row>
    <row r="88" spans="2:15">
      <c r="B88" s="455" t="s">
        <v>1674</v>
      </c>
      <c r="C88" s="306"/>
      <c r="D88" s="598" t="s">
        <v>1001</v>
      </c>
      <c r="E88" s="1610">
        <v>10</v>
      </c>
      <c r="F88" s="1610" t="s">
        <v>758</v>
      </c>
      <c r="G88" s="306"/>
      <c r="H88" s="306"/>
      <c r="I88" s="320"/>
      <c r="J88" s="320"/>
      <c r="K88" s="320"/>
      <c r="M88" s="1609"/>
      <c r="N88" s="306"/>
      <c r="O88" s="306"/>
    </row>
    <row r="89" spans="2:15">
      <c r="B89" s="455" t="s">
        <v>1674</v>
      </c>
      <c r="C89" s="306"/>
      <c r="D89" s="597" t="s">
        <v>737</v>
      </c>
      <c r="E89" s="1610">
        <v>8</v>
      </c>
      <c r="F89" s="1610" t="s">
        <v>758</v>
      </c>
      <c r="G89" s="306"/>
      <c r="H89" s="306"/>
      <c r="I89" s="320"/>
      <c r="J89" s="320"/>
      <c r="K89" s="320"/>
      <c r="L89" s="409"/>
      <c r="M89" s="1609"/>
      <c r="N89" s="306"/>
      <c r="O89" s="306"/>
    </row>
    <row r="90" spans="2:15">
      <c r="B90" s="455" t="s">
        <v>1674</v>
      </c>
      <c r="C90" s="306"/>
      <c r="D90" s="597" t="s">
        <v>1004</v>
      </c>
      <c r="E90" s="1610">
        <v>10</v>
      </c>
      <c r="F90" s="1610" t="s">
        <v>755</v>
      </c>
      <c r="G90" s="306"/>
      <c r="H90" s="306"/>
      <c r="I90" s="320"/>
      <c r="J90" s="320"/>
      <c r="K90" s="320"/>
      <c r="L90" s="409"/>
      <c r="M90" s="1609"/>
      <c r="N90" s="306"/>
      <c r="O90" s="306"/>
    </row>
    <row r="91" spans="2:15">
      <c r="B91" s="455" t="s">
        <v>1674</v>
      </c>
      <c r="C91" s="306"/>
      <c r="D91" s="597" t="s">
        <v>1007</v>
      </c>
      <c r="E91" s="1610">
        <v>9</v>
      </c>
      <c r="F91" s="1610" t="s">
        <v>755</v>
      </c>
      <c r="G91" s="306"/>
      <c r="H91" s="306"/>
      <c r="I91" s="601"/>
      <c r="J91" s="311"/>
      <c r="K91" s="600"/>
      <c r="L91" s="409"/>
      <c r="M91" s="1609"/>
      <c r="N91" s="306"/>
      <c r="O91" s="306"/>
    </row>
    <row r="92" spans="2:15">
      <c r="B92" s="455" t="s">
        <v>1674</v>
      </c>
      <c r="C92" s="306"/>
      <c r="D92" s="597" t="s">
        <v>1008</v>
      </c>
      <c r="E92" s="1610">
        <v>10</v>
      </c>
      <c r="F92" s="1610" t="s">
        <v>1629</v>
      </c>
      <c r="G92" s="306"/>
      <c r="H92" s="306"/>
      <c r="I92" s="320"/>
      <c r="J92" s="320"/>
      <c r="K92" s="320"/>
      <c r="L92" s="409"/>
      <c r="M92" s="1609"/>
      <c r="N92" s="306"/>
      <c r="O92" s="306"/>
    </row>
    <row r="93" spans="2:15">
      <c r="B93" s="455" t="s">
        <v>1674</v>
      </c>
      <c r="C93" s="306"/>
      <c r="D93" s="597" t="s">
        <v>1676</v>
      </c>
      <c r="E93" s="1610">
        <v>30</v>
      </c>
      <c r="F93" s="1610" t="s">
        <v>1051</v>
      </c>
      <c r="G93" s="306"/>
      <c r="H93" s="306"/>
      <c r="I93" s="311"/>
      <c r="J93" s="311"/>
      <c r="K93" s="600"/>
      <c r="L93" s="409"/>
      <c r="M93" s="1609"/>
      <c r="N93" s="306"/>
      <c r="O93" s="306"/>
    </row>
    <row r="94" spans="2:15">
      <c r="B94" s="455"/>
    </row>
    <row r="95" spans="2:15">
      <c r="B95" s="455"/>
    </row>
    <row r="97" spans="2:15" ht="40.5">
      <c r="B97" s="355" t="s">
        <v>1724</v>
      </c>
      <c r="C97" s="1611" t="s">
        <v>753</v>
      </c>
      <c r="D97" s="1614" t="s">
        <v>2</v>
      </c>
      <c r="E97" s="1628"/>
      <c r="F97" s="1612" t="s">
        <v>674</v>
      </c>
      <c r="G97" s="1607" t="s">
        <v>1</v>
      </c>
      <c r="H97" s="1613" t="s">
        <v>652</v>
      </c>
      <c r="I97" s="1613" t="s">
        <v>653</v>
      </c>
      <c r="J97" s="1613" t="s">
        <v>1686</v>
      </c>
      <c r="K97" s="1626" t="s">
        <v>748</v>
      </c>
      <c r="L97" s="1624">
        <f>274550+4950</f>
        <v>279500</v>
      </c>
      <c r="M97" s="1614" t="s">
        <v>659</v>
      </c>
      <c r="N97" s="1612" t="s">
        <v>703</v>
      </c>
    </row>
    <row r="98" spans="2:15">
      <c r="B98" s="355" t="s">
        <v>1724</v>
      </c>
      <c r="C98" s="410"/>
      <c r="D98" s="737" t="s">
        <v>1687</v>
      </c>
      <c r="E98" s="1179">
        <f>30*2</f>
        <v>60</v>
      </c>
      <c r="F98" s="1615" t="s">
        <v>1688</v>
      </c>
      <c r="G98" s="1616"/>
      <c r="H98" s="306"/>
      <c r="I98" s="320"/>
      <c r="J98" s="320"/>
      <c r="K98" s="320"/>
      <c r="L98" s="1019"/>
      <c r="M98" s="321"/>
      <c r="N98" s="306"/>
      <c r="O98" s="306"/>
    </row>
    <row r="99" spans="2:15">
      <c r="B99" s="355" t="s">
        <v>1724</v>
      </c>
      <c r="C99" s="410"/>
      <c r="D99" s="737" t="s">
        <v>1689</v>
      </c>
      <c r="E99" s="2157">
        <f>30*2</f>
        <v>60</v>
      </c>
      <c r="F99" s="1615" t="s">
        <v>1688</v>
      </c>
      <c r="G99" s="304"/>
      <c r="H99" s="306"/>
      <c r="I99" s="307"/>
      <c r="J99" s="307"/>
      <c r="K99" s="307"/>
      <c r="L99" s="1019"/>
      <c r="M99" s="321"/>
      <c r="N99" s="306"/>
      <c r="O99" s="306"/>
    </row>
    <row r="100" spans="2:15">
      <c r="B100" s="355" t="s">
        <v>1724</v>
      </c>
      <c r="C100" s="410"/>
      <c r="D100" s="737" t="s">
        <v>1690</v>
      </c>
      <c r="E100" s="2157">
        <f>30*2</f>
        <v>60</v>
      </c>
      <c r="F100" s="1615" t="s">
        <v>1688</v>
      </c>
      <c r="G100" s="304"/>
      <c r="H100" s="306"/>
      <c r="I100" s="307"/>
      <c r="J100" s="307"/>
      <c r="K100" s="307"/>
      <c r="L100" s="1019"/>
      <c r="M100" s="321"/>
      <c r="N100" s="306"/>
      <c r="O100" s="306"/>
    </row>
    <row r="101" spans="2:15">
      <c r="B101" s="355" t="s">
        <v>1724</v>
      </c>
      <c r="C101" s="410"/>
      <c r="D101" s="737" t="s">
        <v>1691</v>
      </c>
      <c r="E101" s="2157">
        <f>2*2</f>
        <v>4</v>
      </c>
      <c r="F101" s="1615" t="s">
        <v>1688</v>
      </c>
      <c r="G101" s="304"/>
      <c r="H101" s="306"/>
      <c r="I101" s="307"/>
      <c r="J101" s="307"/>
      <c r="K101" s="307"/>
      <c r="L101" s="1019"/>
      <c r="M101" s="321"/>
      <c r="N101" s="306"/>
      <c r="O101" s="306"/>
    </row>
    <row r="102" spans="2:15">
      <c r="B102" s="355" t="s">
        <v>1724</v>
      </c>
      <c r="C102" s="410"/>
      <c r="D102" s="737" t="s">
        <v>1692</v>
      </c>
      <c r="E102" s="2157">
        <f>4*2</f>
        <v>8</v>
      </c>
      <c r="F102" s="1615" t="s">
        <v>1688</v>
      </c>
      <c r="G102" s="304"/>
      <c r="H102" s="306"/>
      <c r="I102" s="307"/>
      <c r="J102" s="307"/>
      <c r="K102" s="307"/>
      <c r="L102" s="1019"/>
      <c r="M102" s="321"/>
      <c r="N102" s="306"/>
      <c r="O102" s="306"/>
    </row>
    <row r="103" spans="2:15">
      <c r="B103" s="355" t="s">
        <v>1724</v>
      </c>
      <c r="C103" s="410"/>
      <c r="D103" s="737" t="s">
        <v>1693</v>
      </c>
      <c r="E103" s="2157">
        <f>4*2</f>
        <v>8</v>
      </c>
      <c r="F103" s="1615" t="s">
        <v>1688</v>
      </c>
      <c r="G103" s="306"/>
      <c r="H103" s="306"/>
      <c r="I103" s="307"/>
      <c r="J103" s="307"/>
      <c r="K103" s="307"/>
      <c r="L103" s="1019"/>
      <c r="M103" s="321"/>
      <c r="N103" s="306"/>
      <c r="O103" s="306"/>
    </row>
    <row r="104" spans="2:15">
      <c r="B104" s="355" t="s">
        <v>1724</v>
      </c>
      <c r="C104" s="410"/>
      <c r="D104" s="737" t="s">
        <v>1694</v>
      </c>
      <c r="E104" s="2157">
        <f>1*2</f>
        <v>2</v>
      </c>
      <c r="F104" s="1615" t="s">
        <v>761</v>
      </c>
      <c r="G104" s="306"/>
      <c r="H104" s="306"/>
      <c r="I104" s="307"/>
      <c r="J104" s="307"/>
      <c r="K104" s="307"/>
      <c r="L104" s="1019"/>
      <c r="M104" s="321"/>
      <c r="N104" s="306"/>
      <c r="O104" s="306"/>
    </row>
    <row r="105" spans="2:15">
      <c r="B105" s="355" t="s">
        <v>1724</v>
      </c>
      <c r="C105" s="410"/>
      <c r="D105" s="737" t="s">
        <v>1695</v>
      </c>
      <c r="E105" s="2157">
        <f>10*2</f>
        <v>20</v>
      </c>
      <c r="F105" s="1615" t="s">
        <v>761</v>
      </c>
      <c r="G105" s="304"/>
      <c r="H105" s="313"/>
      <c r="I105" s="307"/>
      <c r="J105" s="307"/>
      <c r="K105" s="307"/>
      <c r="L105" s="1019"/>
      <c r="M105" s="321"/>
      <c r="N105" s="309"/>
      <c r="O105" s="308"/>
    </row>
    <row r="106" spans="2:15">
      <c r="B106" s="355" t="s">
        <v>1724</v>
      </c>
      <c r="C106" s="410"/>
      <c r="D106" s="737" t="s">
        <v>1696</v>
      </c>
      <c r="E106" s="2157">
        <f>10*2</f>
        <v>20</v>
      </c>
      <c r="F106" s="1615" t="s">
        <v>761</v>
      </c>
      <c r="G106" s="313"/>
      <c r="H106" s="313"/>
      <c r="I106" s="307"/>
      <c r="J106" s="307"/>
      <c r="K106" s="307"/>
      <c r="L106" s="1019"/>
      <c r="M106" s="321"/>
      <c r="N106" s="309"/>
      <c r="O106" s="308"/>
    </row>
    <row r="107" spans="2:15">
      <c r="B107" s="355" t="s">
        <v>1724</v>
      </c>
      <c r="C107" s="503"/>
      <c r="D107" s="737" t="s">
        <v>1697</v>
      </c>
      <c r="E107" s="2157">
        <f>10*2</f>
        <v>20</v>
      </c>
      <c r="F107" s="1615" t="s">
        <v>761</v>
      </c>
      <c r="G107" s="308"/>
      <c r="H107" s="318"/>
      <c r="I107" s="307"/>
      <c r="J107" s="307"/>
      <c r="K107" s="307"/>
      <c r="L107" s="1019"/>
      <c r="M107" s="321"/>
      <c r="N107" s="322"/>
      <c r="O107" s="318"/>
    </row>
    <row r="108" spans="2:15">
      <c r="B108" s="355" t="s">
        <v>1724</v>
      </c>
      <c r="C108" s="503"/>
      <c r="D108" s="737" t="s">
        <v>1698</v>
      </c>
      <c r="E108" s="2157">
        <f>10*2</f>
        <v>20</v>
      </c>
      <c r="F108" s="1615" t="s">
        <v>761</v>
      </c>
      <c r="G108" s="304"/>
      <c r="H108" s="318"/>
      <c r="I108" s="307"/>
      <c r="J108" s="307"/>
      <c r="K108" s="307"/>
      <c r="L108" s="1019"/>
      <c r="M108" s="321"/>
      <c r="N108" s="322"/>
      <c r="O108" s="318"/>
    </row>
    <row r="109" spans="2:15">
      <c r="B109" s="355" t="s">
        <v>1724</v>
      </c>
      <c r="C109" s="503"/>
      <c r="D109" s="737" t="s">
        <v>1699</v>
      </c>
      <c r="E109" s="2157">
        <v>6</v>
      </c>
      <c r="F109" s="1615" t="s">
        <v>1700</v>
      </c>
      <c r="G109" s="304"/>
      <c r="H109" s="306"/>
      <c r="I109" s="307"/>
      <c r="J109" s="307"/>
      <c r="K109" s="307"/>
      <c r="L109" s="1019"/>
      <c r="M109" s="321"/>
      <c r="N109" s="306"/>
      <c r="O109" s="306"/>
    </row>
    <row r="110" spans="2:15">
      <c r="B110" s="355" t="s">
        <v>1724</v>
      </c>
      <c r="C110" s="494"/>
      <c r="D110" s="737" t="s">
        <v>1701</v>
      </c>
      <c r="E110" s="2157">
        <f>3*2</f>
        <v>6</v>
      </c>
      <c r="F110" s="1615" t="s">
        <v>1700</v>
      </c>
      <c r="G110" s="308"/>
      <c r="H110" s="306"/>
      <c r="I110" s="307"/>
      <c r="J110" s="307"/>
      <c r="K110" s="307"/>
      <c r="L110" s="1019"/>
      <c r="M110" s="321"/>
      <c r="N110" s="309"/>
      <c r="O110" s="306"/>
    </row>
    <row r="111" spans="2:15">
      <c r="B111" s="355" t="s">
        <v>1724</v>
      </c>
      <c r="C111" s="494"/>
      <c r="D111" s="737" t="s">
        <v>1702</v>
      </c>
      <c r="E111" s="2157">
        <f>3*2</f>
        <v>6</v>
      </c>
      <c r="F111" s="675" t="s">
        <v>761</v>
      </c>
      <c r="G111" s="308"/>
      <c r="H111" s="306"/>
      <c r="I111" s="307"/>
      <c r="J111" s="307"/>
      <c r="K111" s="307"/>
      <c r="L111" s="1019"/>
      <c r="M111" s="321"/>
      <c r="N111" s="309"/>
      <c r="O111" s="306"/>
    </row>
    <row r="112" spans="2:15">
      <c r="B112" s="355" t="s">
        <v>1724</v>
      </c>
      <c r="C112" s="494"/>
      <c r="D112" s="737" t="s">
        <v>1703</v>
      </c>
      <c r="E112" s="2157">
        <f>2*2</f>
        <v>4</v>
      </c>
      <c r="F112" s="675" t="s">
        <v>1700</v>
      </c>
      <c r="G112" s="308"/>
      <c r="H112" s="306"/>
      <c r="I112" s="307"/>
      <c r="J112" s="307"/>
      <c r="K112" s="307"/>
      <c r="L112" s="1019"/>
      <c r="M112" s="321"/>
      <c r="N112" s="306"/>
      <c r="O112" s="306"/>
    </row>
    <row r="113" spans="2:15">
      <c r="B113" s="355" t="s">
        <v>1724</v>
      </c>
      <c r="C113" s="494"/>
      <c r="D113" s="737" t="s">
        <v>1704</v>
      </c>
      <c r="E113" s="2157">
        <v>5</v>
      </c>
      <c r="F113" s="675" t="s">
        <v>761</v>
      </c>
      <c r="G113" s="306"/>
      <c r="H113" s="306"/>
      <c r="I113" s="601"/>
      <c r="J113" s="311"/>
      <c r="K113" s="600"/>
      <c r="L113" s="409"/>
      <c r="M113" s="321"/>
      <c r="N113" s="306"/>
      <c r="O113" s="306"/>
    </row>
    <row r="114" spans="2:15">
      <c r="B114" s="355" t="s">
        <v>1724</v>
      </c>
      <c r="C114" s="494"/>
      <c r="D114" s="737" t="s">
        <v>1705</v>
      </c>
      <c r="E114" s="2157">
        <v>5</v>
      </c>
      <c r="F114" s="675" t="s">
        <v>761</v>
      </c>
      <c r="G114" s="306"/>
      <c r="H114" s="306"/>
      <c r="I114" s="311"/>
      <c r="J114" s="311"/>
      <c r="K114" s="311"/>
      <c r="L114" s="409"/>
      <c r="M114" s="321"/>
      <c r="N114" s="306"/>
      <c r="O114" s="306"/>
    </row>
    <row r="115" spans="2:15">
      <c r="B115" s="355" t="s">
        <v>1724</v>
      </c>
      <c r="C115" s="410"/>
      <c r="D115" s="737" t="s">
        <v>1706</v>
      </c>
      <c r="E115" s="2157">
        <v>2</v>
      </c>
      <c r="F115" s="675" t="s">
        <v>761</v>
      </c>
      <c r="G115" s="306"/>
      <c r="H115" s="306"/>
      <c r="I115" s="311"/>
      <c r="J115" s="311"/>
      <c r="K115" s="311"/>
      <c r="L115" s="409"/>
      <c r="M115" s="321"/>
      <c r="N115" s="306"/>
      <c r="O115" s="306"/>
    </row>
    <row r="116" spans="2:15">
      <c r="B116" s="355" t="s">
        <v>1724</v>
      </c>
      <c r="C116" s="410"/>
      <c r="D116" s="737" t="s">
        <v>1707</v>
      </c>
      <c r="E116" s="2157">
        <v>2</v>
      </c>
      <c r="F116" s="675" t="s">
        <v>761</v>
      </c>
      <c r="G116" s="306"/>
      <c r="H116" s="306"/>
      <c r="I116" s="311"/>
      <c r="J116" s="311"/>
      <c r="K116" s="311"/>
      <c r="L116" s="409"/>
      <c r="M116" s="321"/>
      <c r="N116" s="306"/>
      <c r="O116" s="306"/>
    </row>
    <row r="117" spans="2:15">
      <c r="B117" s="355" t="s">
        <v>1724</v>
      </c>
      <c r="C117" s="410"/>
      <c r="D117" s="737" t="s">
        <v>1708</v>
      </c>
      <c r="E117" s="2157">
        <f>10*2</f>
        <v>20</v>
      </c>
      <c r="F117" s="675" t="s">
        <v>761</v>
      </c>
      <c r="G117" s="306"/>
      <c r="H117" s="306"/>
      <c r="I117" s="311"/>
      <c r="J117" s="311"/>
      <c r="K117" s="311"/>
      <c r="L117" s="409"/>
      <c r="M117" s="321"/>
      <c r="N117" s="306"/>
      <c r="O117" s="306"/>
    </row>
    <row r="118" spans="2:15">
      <c r="B118" s="355" t="s">
        <v>1724</v>
      </c>
      <c r="C118" s="410"/>
      <c r="D118" s="737" t="s">
        <v>1612</v>
      </c>
      <c r="E118" s="2157">
        <f>3*2</f>
        <v>6</v>
      </c>
      <c r="F118" s="675" t="s">
        <v>761</v>
      </c>
      <c r="G118" s="306"/>
      <c r="H118" s="306"/>
      <c r="I118" s="311"/>
      <c r="J118" s="311"/>
      <c r="K118" s="311"/>
      <c r="L118" s="409"/>
      <c r="M118" s="321"/>
      <c r="N118" s="306"/>
      <c r="O118" s="306"/>
    </row>
    <row r="119" spans="2:15">
      <c r="B119" s="355" t="s">
        <v>1724</v>
      </c>
      <c r="C119" s="410"/>
      <c r="D119" s="737" t="s">
        <v>1709</v>
      </c>
      <c r="E119" s="2157">
        <f>10+5</f>
        <v>15</v>
      </c>
      <c r="F119" s="675" t="s">
        <v>761</v>
      </c>
      <c r="G119" s="306"/>
      <c r="H119" s="306"/>
      <c r="I119" s="311"/>
      <c r="J119" s="311"/>
      <c r="K119" s="311"/>
      <c r="L119" s="409"/>
      <c r="M119" s="321"/>
      <c r="N119" s="306"/>
      <c r="O119" s="306"/>
    </row>
    <row r="120" spans="2:15">
      <c r="B120" s="355" t="s">
        <v>1724</v>
      </c>
      <c r="C120" s="410"/>
      <c r="D120" s="737" t="s">
        <v>1710</v>
      </c>
      <c r="E120" s="2157">
        <v>6</v>
      </c>
      <c r="F120" s="675" t="s">
        <v>761</v>
      </c>
      <c r="G120" s="306"/>
      <c r="H120" s="306"/>
      <c r="I120" s="311"/>
      <c r="J120" s="311"/>
      <c r="K120" s="311"/>
      <c r="L120" s="409"/>
      <c r="M120" s="321"/>
      <c r="N120" s="306"/>
      <c r="O120" s="306"/>
    </row>
    <row r="121" spans="2:15">
      <c r="B121" s="355" t="s">
        <v>1724</v>
      </c>
      <c r="C121" s="410"/>
      <c r="D121" s="737" t="s">
        <v>1711</v>
      </c>
      <c r="E121" s="2157">
        <f>1*2</f>
        <v>2</v>
      </c>
      <c r="F121" s="675" t="s">
        <v>1688</v>
      </c>
      <c r="G121" s="306"/>
      <c r="H121" s="306"/>
      <c r="I121" s="311"/>
      <c r="J121" s="311"/>
      <c r="K121" s="311"/>
      <c r="L121" s="409"/>
      <c r="M121" s="321"/>
      <c r="N121" s="306"/>
      <c r="O121" s="306"/>
    </row>
    <row r="122" spans="2:15">
      <c r="B122" s="355" t="s">
        <v>1724</v>
      </c>
      <c r="C122" s="410"/>
      <c r="D122" s="737" t="s">
        <v>1712</v>
      </c>
      <c r="E122" s="2157">
        <f>20*2</f>
        <v>40</v>
      </c>
      <c r="F122" s="675" t="s">
        <v>1713</v>
      </c>
      <c r="G122" s="306"/>
      <c r="H122" s="306"/>
      <c r="I122" s="311"/>
      <c r="J122" s="311"/>
      <c r="K122" s="311"/>
      <c r="L122" s="409"/>
      <c r="M122" s="321"/>
      <c r="N122" s="306"/>
      <c r="O122" s="306"/>
    </row>
    <row r="123" spans="2:15">
      <c r="B123" s="355" t="s">
        <v>1724</v>
      </c>
      <c r="C123" s="410"/>
      <c r="D123" s="737" t="s">
        <v>1714</v>
      </c>
      <c r="E123" s="2157">
        <f>10*2</f>
        <v>20</v>
      </c>
      <c r="F123" s="675" t="s">
        <v>1713</v>
      </c>
      <c r="G123" s="306"/>
      <c r="H123" s="306"/>
      <c r="I123" s="311"/>
      <c r="J123" s="311"/>
      <c r="K123" s="311"/>
      <c r="L123" s="409"/>
      <c r="M123" s="321"/>
      <c r="N123" s="306"/>
      <c r="O123" s="306"/>
    </row>
    <row r="124" spans="2:15">
      <c r="B124" s="355" t="s">
        <v>1724</v>
      </c>
      <c r="C124" s="410"/>
      <c r="D124" s="737" t="s">
        <v>1715</v>
      </c>
      <c r="E124" s="2157">
        <f>20+10</f>
        <v>30</v>
      </c>
      <c r="F124" s="675" t="s">
        <v>761</v>
      </c>
      <c r="G124" s="306"/>
      <c r="H124" s="306"/>
      <c r="I124" s="311"/>
      <c r="J124" s="311"/>
      <c r="K124" s="311"/>
      <c r="L124" s="409"/>
      <c r="M124" s="321"/>
      <c r="N124" s="306"/>
      <c r="O124" s="306"/>
    </row>
    <row r="125" spans="2:15">
      <c r="B125" s="355" t="s">
        <v>1724</v>
      </c>
      <c r="C125" s="410"/>
      <c r="D125" s="737" t="s">
        <v>1716</v>
      </c>
      <c r="E125" s="2157">
        <f>4+2</f>
        <v>6</v>
      </c>
      <c r="F125" s="675" t="s">
        <v>761</v>
      </c>
      <c r="G125" s="306"/>
      <c r="H125" s="306"/>
      <c r="I125" s="311"/>
      <c r="J125" s="311"/>
      <c r="K125" s="311"/>
      <c r="L125" s="409"/>
      <c r="M125" s="321"/>
      <c r="N125" s="306"/>
      <c r="O125" s="306"/>
    </row>
    <row r="126" spans="2:15">
      <c r="B126" s="355" t="s">
        <v>1724</v>
      </c>
      <c r="C126" s="410"/>
      <c r="D126" s="737" t="s">
        <v>1717</v>
      </c>
      <c r="E126" s="2157">
        <f>5*2</f>
        <v>10</v>
      </c>
      <c r="F126" s="675" t="s">
        <v>761</v>
      </c>
      <c r="G126" s="306"/>
      <c r="H126" s="306"/>
      <c r="I126" s="311"/>
      <c r="J126" s="311"/>
      <c r="K126" s="311"/>
      <c r="L126" s="409"/>
      <c r="M126" s="321"/>
      <c r="N126" s="306"/>
      <c r="O126" s="306"/>
    </row>
    <row r="127" spans="2:15">
      <c r="B127" s="355" t="s">
        <v>1724</v>
      </c>
      <c r="C127" s="410"/>
      <c r="D127" s="737" t="s">
        <v>1718</v>
      </c>
      <c r="E127" s="2157">
        <f>5*2</f>
        <v>10</v>
      </c>
      <c r="F127" s="675" t="s">
        <v>761</v>
      </c>
      <c r="G127" s="306"/>
      <c r="H127" s="306"/>
      <c r="I127" s="311"/>
      <c r="J127" s="311"/>
      <c r="K127" s="311"/>
      <c r="L127" s="409"/>
      <c r="M127" s="321"/>
      <c r="N127" s="306"/>
      <c r="O127" s="306"/>
    </row>
    <row r="128" spans="2:15">
      <c r="B128" s="355" t="s">
        <v>1724</v>
      </c>
      <c r="C128" s="410"/>
      <c r="D128" s="737" t="s">
        <v>1033</v>
      </c>
      <c r="E128" s="2129">
        <f>20+10</f>
        <v>30</v>
      </c>
      <c r="F128" s="609" t="s">
        <v>778</v>
      </c>
      <c r="G128" s="306"/>
      <c r="H128" s="306"/>
      <c r="I128" s="311"/>
      <c r="J128" s="311"/>
      <c r="K128" s="311"/>
      <c r="L128" s="409"/>
      <c r="M128" s="321"/>
      <c r="N128" s="306"/>
      <c r="O128" s="306"/>
    </row>
    <row r="129" spans="2:15">
      <c r="B129" s="355" t="s">
        <v>1724</v>
      </c>
      <c r="C129" s="410"/>
      <c r="D129" s="737" t="s">
        <v>1719</v>
      </c>
      <c r="E129" s="2129">
        <f>11+10</f>
        <v>21</v>
      </c>
      <c r="F129" s="609" t="s">
        <v>1720</v>
      </c>
      <c r="G129" s="306"/>
      <c r="H129" s="306"/>
      <c r="I129" s="311"/>
      <c r="J129" s="311"/>
      <c r="K129" s="311"/>
      <c r="L129" s="409"/>
      <c r="M129" s="321"/>
      <c r="N129" s="306"/>
      <c r="O129" s="306"/>
    </row>
    <row r="130" spans="2:15">
      <c r="B130" s="355" t="s">
        <v>1724</v>
      </c>
      <c r="C130" s="410"/>
      <c r="D130" s="737" t="s">
        <v>1721</v>
      </c>
      <c r="E130" s="2129">
        <f>10*2</f>
        <v>20</v>
      </c>
      <c r="F130" s="609" t="s">
        <v>1713</v>
      </c>
      <c r="G130" s="306"/>
      <c r="H130" s="306"/>
      <c r="I130" s="311"/>
      <c r="J130" s="311"/>
      <c r="K130" s="311"/>
      <c r="L130" s="409"/>
      <c r="M130" s="321"/>
      <c r="N130" s="306"/>
      <c r="O130" s="306"/>
    </row>
    <row r="131" spans="2:15">
      <c r="B131" s="355" t="s">
        <v>1724</v>
      </c>
      <c r="C131" s="410"/>
      <c r="D131" s="1619" t="s">
        <v>1722</v>
      </c>
      <c r="E131" s="2129">
        <f>3*2</f>
        <v>6</v>
      </c>
      <c r="F131" s="609" t="s">
        <v>1713</v>
      </c>
      <c r="G131" s="306"/>
      <c r="H131" s="306"/>
      <c r="I131" s="311"/>
      <c r="J131" s="311"/>
      <c r="K131" s="311"/>
      <c r="L131" s="409"/>
      <c r="M131" s="321"/>
      <c r="N131" s="306"/>
      <c r="O131" s="306"/>
    </row>
    <row r="132" spans="2:15">
      <c r="B132" s="355" t="s">
        <v>1724</v>
      </c>
      <c r="C132" s="1620"/>
      <c r="D132" s="1619" t="s">
        <v>1723</v>
      </c>
      <c r="E132" s="2129">
        <f>4+3</f>
        <v>7</v>
      </c>
      <c r="F132" s="609" t="s">
        <v>1051</v>
      </c>
      <c r="G132" s="308"/>
      <c r="H132" s="306"/>
      <c r="I132" s="307"/>
      <c r="J132" s="307"/>
      <c r="K132" s="307"/>
      <c r="L132" s="1019"/>
      <c r="M132" s="321"/>
      <c r="N132" s="309"/>
      <c r="O132" s="306"/>
    </row>
    <row r="133" spans="2:15" ht="243">
      <c r="B133" s="355" t="s">
        <v>1724</v>
      </c>
      <c r="C133" s="308"/>
      <c r="D133" s="970" t="s">
        <v>1750</v>
      </c>
      <c r="E133" s="2129">
        <f>3+1</f>
        <v>4</v>
      </c>
      <c r="F133" s="609" t="s">
        <v>1051</v>
      </c>
      <c r="G133" s="313"/>
      <c r="H133" s="313"/>
      <c r="I133" s="307"/>
      <c r="J133" s="307"/>
      <c r="K133" s="307"/>
      <c r="L133" s="1019"/>
      <c r="M133" s="411"/>
      <c r="N133" s="309"/>
      <c r="O133" s="308"/>
    </row>
    <row r="134" spans="2:15" ht="40.5">
      <c r="B134" s="355" t="s">
        <v>1724</v>
      </c>
      <c r="C134" s="308"/>
      <c r="D134" s="1621" t="s">
        <v>1751</v>
      </c>
      <c r="E134" s="532">
        <v>1</v>
      </c>
      <c r="F134" s="609" t="s">
        <v>1667</v>
      </c>
      <c r="G134" s="313"/>
      <c r="H134" s="313"/>
      <c r="I134" s="307"/>
      <c r="J134" s="307"/>
      <c r="K134" s="990"/>
      <c r="L134" s="1627"/>
      <c r="M134" s="411"/>
      <c r="N134" s="309"/>
      <c r="O134" s="308"/>
    </row>
    <row r="138" spans="2:15" ht="27">
      <c r="B138" s="355" t="s">
        <v>2699</v>
      </c>
      <c r="C138" s="1899"/>
      <c r="D138" s="1900"/>
      <c r="E138" s="1901"/>
      <c r="F138" s="1835" t="s">
        <v>422</v>
      </c>
      <c r="G138" s="1878" t="s">
        <v>1</v>
      </c>
      <c r="H138" s="1878">
        <v>46054</v>
      </c>
      <c r="I138" s="1879">
        <v>46082</v>
      </c>
      <c r="J138" s="1879">
        <v>46082</v>
      </c>
      <c r="K138" s="1902" t="s">
        <v>2216</v>
      </c>
      <c r="L138" s="1903"/>
      <c r="M138" s="1715" t="s">
        <v>2446</v>
      </c>
      <c r="N138" s="1904"/>
    </row>
    <row r="139" spans="2:15" ht="15">
      <c r="B139" s="355" t="s">
        <v>2699</v>
      </c>
      <c r="C139" s="2756" t="s">
        <v>2698</v>
      </c>
      <c r="D139" s="1722" t="s">
        <v>2658</v>
      </c>
      <c r="E139" s="2158">
        <v>200</v>
      </c>
      <c r="F139" s="1724" t="s">
        <v>1571</v>
      </c>
      <c r="G139" s="1905"/>
      <c r="H139" s="1800"/>
      <c r="I139" s="1725"/>
      <c r="J139" s="1725"/>
      <c r="K139" s="1725"/>
      <c r="L139" s="1797">
        <v>1400</v>
      </c>
      <c r="N139" s="1715"/>
      <c r="O139" s="1716"/>
    </row>
    <row r="140" spans="2:15" ht="15">
      <c r="B140" s="355" t="s">
        <v>2699</v>
      </c>
      <c r="C140" s="2757"/>
      <c r="D140" s="1722" t="s">
        <v>2659</v>
      </c>
      <c r="E140" s="2158">
        <v>4</v>
      </c>
      <c r="F140" s="1724" t="s">
        <v>1841</v>
      </c>
      <c r="G140" s="1725"/>
      <c r="H140" s="1800"/>
      <c r="I140" s="1800"/>
      <c r="J140" s="1800"/>
      <c r="K140" s="1800"/>
      <c r="L140" s="1797">
        <v>268</v>
      </c>
      <c r="N140" s="1721"/>
      <c r="O140" s="1720"/>
    </row>
    <row r="141" spans="2:15" ht="15">
      <c r="B141" s="355" t="s">
        <v>2699</v>
      </c>
      <c r="C141" s="2757"/>
      <c r="D141" s="1722" t="s">
        <v>2660</v>
      </c>
      <c r="E141" s="2158">
        <v>50</v>
      </c>
      <c r="F141" s="1885" t="s">
        <v>1841</v>
      </c>
      <c r="G141" s="1725"/>
      <c r="H141" s="1801"/>
      <c r="I141" s="1801"/>
      <c r="J141" s="1801"/>
      <c r="K141" s="1802"/>
      <c r="L141" s="1797">
        <v>2900</v>
      </c>
      <c r="N141" s="1721"/>
      <c r="O141" s="1720"/>
    </row>
    <row r="142" spans="2:15" ht="15">
      <c r="B142" s="355" t="s">
        <v>2699</v>
      </c>
      <c r="C142" s="2757"/>
      <c r="D142" s="1722" t="s">
        <v>2661</v>
      </c>
      <c r="E142" s="2158">
        <v>50</v>
      </c>
      <c r="F142" s="1724" t="s">
        <v>1841</v>
      </c>
      <c r="G142" s="1725"/>
      <c r="H142" s="1801"/>
      <c r="I142" s="1801"/>
      <c r="J142" s="1801"/>
      <c r="K142" s="1802"/>
      <c r="L142" s="1797">
        <v>3900</v>
      </c>
      <c r="N142" s="1721"/>
      <c r="O142" s="1720"/>
    </row>
    <row r="143" spans="2:15" ht="15">
      <c r="B143" s="355" t="s">
        <v>2699</v>
      </c>
      <c r="C143" s="2757"/>
      <c r="D143" s="1722" t="s">
        <v>2662</v>
      </c>
      <c r="E143" s="2158">
        <v>18</v>
      </c>
      <c r="F143" s="1724" t="s">
        <v>1571</v>
      </c>
      <c r="G143" s="1725"/>
      <c r="H143" s="1801"/>
      <c r="I143" s="1801"/>
      <c r="J143" s="1801"/>
      <c r="K143" s="1802"/>
      <c r="L143" s="1803">
        <v>954</v>
      </c>
      <c r="N143" s="1721"/>
      <c r="O143" s="1720"/>
    </row>
    <row r="144" spans="2:15" ht="15">
      <c r="B144" s="355" t="s">
        <v>2699</v>
      </c>
      <c r="C144" s="2757"/>
      <c r="D144" s="1722" t="s">
        <v>2663</v>
      </c>
      <c r="E144" s="2158">
        <v>100</v>
      </c>
      <c r="F144" s="1724" t="s">
        <v>758</v>
      </c>
      <c r="G144" s="1725"/>
      <c r="H144" s="1801"/>
      <c r="I144" s="1801"/>
      <c r="J144" s="1801"/>
      <c r="K144" s="1802"/>
      <c r="L144" s="1797">
        <v>22000</v>
      </c>
      <c r="N144" s="1721"/>
      <c r="O144" s="1720"/>
    </row>
    <row r="145" spans="2:15" ht="15">
      <c r="B145" s="355" t="s">
        <v>2699</v>
      </c>
      <c r="C145" s="2758"/>
      <c r="D145" s="1722" t="s">
        <v>2664</v>
      </c>
      <c r="E145" s="2158">
        <v>50</v>
      </c>
      <c r="F145" s="1724" t="s">
        <v>758</v>
      </c>
      <c r="G145" s="1725"/>
      <c r="H145" s="1801"/>
      <c r="I145" s="1801"/>
      <c r="J145" s="1801"/>
      <c r="K145" s="1802"/>
      <c r="L145" s="1797">
        <v>12500</v>
      </c>
      <c r="N145" s="1721"/>
      <c r="O145" s="1720"/>
    </row>
    <row r="146" spans="2:15" ht="15">
      <c r="B146" s="355" t="s">
        <v>2699</v>
      </c>
      <c r="C146" s="1906" t="s">
        <v>735</v>
      </c>
      <c r="D146" s="1722" t="s">
        <v>2665</v>
      </c>
      <c r="E146" s="2158">
        <v>50</v>
      </c>
      <c r="F146" s="1724" t="s">
        <v>758</v>
      </c>
      <c r="G146" s="1725"/>
      <c r="H146" s="1801"/>
      <c r="I146" s="1801"/>
      <c r="J146" s="1801"/>
      <c r="K146" s="1802"/>
      <c r="L146" s="1797">
        <v>8750</v>
      </c>
      <c r="N146" s="1721"/>
      <c r="O146" s="1720"/>
    </row>
    <row r="147" spans="2:15" ht="15">
      <c r="B147" s="355" t="s">
        <v>2699</v>
      </c>
      <c r="C147" s="1856"/>
      <c r="D147" s="1722" t="s">
        <v>2666</v>
      </c>
      <c r="E147" s="2158">
        <v>10</v>
      </c>
      <c r="F147" s="1724" t="s">
        <v>758</v>
      </c>
      <c r="G147" s="1725"/>
      <c r="H147" s="1801"/>
      <c r="I147" s="1801"/>
      <c r="J147" s="1801"/>
      <c r="K147" s="1802"/>
      <c r="L147" s="1727">
        <v>4000</v>
      </c>
      <c r="N147" s="1721"/>
      <c r="O147" s="1720"/>
    </row>
    <row r="148" spans="2:15" ht="15">
      <c r="B148" s="355" t="s">
        <v>2699</v>
      </c>
      <c r="C148" s="1856"/>
      <c r="D148" s="1722" t="s">
        <v>2667</v>
      </c>
      <c r="E148" s="2158">
        <v>10</v>
      </c>
      <c r="F148" s="1724" t="s">
        <v>758</v>
      </c>
      <c r="G148" s="1725"/>
      <c r="H148" s="1801"/>
      <c r="I148" s="1801"/>
      <c r="J148" s="1801"/>
      <c r="K148" s="1802"/>
      <c r="L148" s="1727">
        <v>4000</v>
      </c>
      <c r="N148" s="1721"/>
      <c r="O148" s="1720"/>
    </row>
    <row r="149" spans="2:15" ht="15">
      <c r="B149" s="355" t="s">
        <v>2699</v>
      </c>
      <c r="C149" s="1856"/>
      <c r="D149" s="1722" t="s">
        <v>2668</v>
      </c>
      <c r="E149" s="2158">
        <v>10</v>
      </c>
      <c r="F149" s="1724" t="s">
        <v>758</v>
      </c>
      <c r="G149" s="1725"/>
      <c r="H149" s="1801"/>
      <c r="I149" s="1801"/>
      <c r="J149" s="1801"/>
      <c r="K149" s="1802"/>
      <c r="L149" s="1727">
        <v>4000</v>
      </c>
      <c r="N149" s="1721"/>
      <c r="O149" s="1720"/>
    </row>
    <row r="150" spans="2:15" ht="15">
      <c r="B150" s="355" t="s">
        <v>2699</v>
      </c>
      <c r="C150" s="1856"/>
      <c r="D150" s="1722" t="s">
        <v>2669</v>
      </c>
      <c r="E150" s="2158">
        <v>10</v>
      </c>
      <c r="F150" s="1724" t="s">
        <v>758</v>
      </c>
      <c r="G150" s="1725"/>
      <c r="H150" s="1801"/>
      <c r="I150" s="1801"/>
      <c r="J150" s="1801"/>
      <c r="K150" s="1802"/>
      <c r="L150" s="1727">
        <v>4000</v>
      </c>
      <c r="N150" s="1721"/>
      <c r="O150" s="1720"/>
    </row>
    <row r="151" spans="2:15" ht="15">
      <c r="B151" s="355" t="s">
        <v>2699</v>
      </c>
      <c r="C151" s="1856"/>
      <c r="D151" s="1722" t="s">
        <v>2670</v>
      </c>
      <c r="E151" s="2158">
        <v>10</v>
      </c>
      <c r="F151" s="1724" t="s">
        <v>758</v>
      </c>
      <c r="G151" s="1725"/>
      <c r="H151" s="1801"/>
      <c r="I151" s="1801"/>
      <c r="J151" s="1801"/>
      <c r="K151" s="1802"/>
      <c r="L151" s="1727">
        <v>4000</v>
      </c>
      <c r="N151" s="1721"/>
      <c r="O151" s="1720"/>
    </row>
    <row r="152" spans="2:15" ht="15">
      <c r="B152" s="355" t="s">
        <v>2699</v>
      </c>
      <c r="C152" s="1856"/>
      <c r="D152" s="1722" t="s">
        <v>2671</v>
      </c>
      <c r="E152" s="2158">
        <v>5</v>
      </c>
      <c r="F152" s="1907" t="s">
        <v>1571</v>
      </c>
      <c r="G152" s="1725"/>
      <c r="H152" s="1801"/>
      <c r="I152" s="1801"/>
      <c r="J152" s="1801"/>
      <c r="K152" s="1802"/>
      <c r="L152" s="1727">
        <v>4250</v>
      </c>
      <c r="N152" s="1721"/>
      <c r="O152" s="1720"/>
    </row>
    <row r="153" spans="2:15" ht="15">
      <c r="B153" s="355" t="s">
        <v>2699</v>
      </c>
      <c r="C153" s="1856"/>
      <c r="D153" s="1722" t="s">
        <v>2672</v>
      </c>
      <c r="E153" s="2158">
        <v>5</v>
      </c>
      <c r="F153" s="1724" t="s">
        <v>1571</v>
      </c>
      <c r="G153" s="1725"/>
      <c r="H153" s="1801"/>
      <c r="I153" s="1801"/>
      <c r="J153" s="1801"/>
      <c r="K153" s="1802"/>
      <c r="L153" s="1727">
        <v>4250</v>
      </c>
      <c r="N153" s="1721"/>
      <c r="O153" s="1720"/>
    </row>
    <row r="154" spans="2:15" ht="15">
      <c r="B154" s="355" t="s">
        <v>2699</v>
      </c>
      <c r="C154" s="1856"/>
      <c r="D154" s="1722" t="s">
        <v>2673</v>
      </c>
      <c r="E154" s="2158">
        <v>25</v>
      </c>
      <c r="F154" s="1885" t="s">
        <v>1571</v>
      </c>
      <c r="G154" s="1725"/>
      <c r="H154" s="1801"/>
      <c r="I154" s="1801"/>
      <c r="J154" s="1801"/>
      <c r="K154" s="1802"/>
      <c r="L154" s="1727">
        <v>5000</v>
      </c>
      <c r="N154" s="1721"/>
      <c r="O154" s="1720"/>
    </row>
    <row r="155" spans="2:15" ht="15">
      <c r="B155" s="355" t="s">
        <v>2699</v>
      </c>
      <c r="C155" s="1856"/>
      <c r="D155" s="1722" t="s">
        <v>2674</v>
      </c>
      <c r="E155" s="2158">
        <v>25</v>
      </c>
      <c r="F155" s="1885" t="s">
        <v>1571</v>
      </c>
      <c r="G155" s="1725"/>
      <c r="H155" s="1801"/>
      <c r="I155" s="1801"/>
      <c r="J155" s="1801"/>
      <c r="K155" s="1802"/>
      <c r="L155" s="1727">
        <v>875</v>
      </c>
      <c r="N155" s="1721"/>
      <c r="O155" s="1720"/>
    </row>
    <row r="156" spans="2:15" ht="15">
      <c r="B156" s="355" t="s">
        <v>2699</v>
      </c>
      <c r="C156" s="1856"/>
      <c r="D156" s="1723" t="s">
        <v>2675</v>
      </c>
      <c r="E156" s="2158">
        <v>20</v>
      </c>
      <c r="F156" s="1885" t="s">
        <v>2676</v>
      </c>
      <c r="G156" s="1725"/>
      <c r="H156" s="1801"/>
      <c r="I156" s="1801"/>
      <c r="J156" s="1801"/>
      <c r="K156" s="1802"/>
      <c r="L156" s="1727">
        <v>17580</v>
      </c>
      <c r="N156" s="1721"/>
      <c r="O156" s="1720"/>
    </row>
    <row r="157" spans="2:15" ht="15">
      <c r="B157" s="355" t="s">
        <v>2699</v>
      </c>
      <c r="C157" s="1856"/>
      <c r="D157" s="1723" t="s">
        <v>2677</v>
      </c>
      <c r="E157" s="2158">
        <v>3</v>
      </c>
      <c r="F157" s="1724" t="s">
        <v>1051</v>
      </c>
      <c r="G157" s="1725"/>
      <c r="H157" s="1801"/>
      <c r="I157" s="1801"/>
      <c r="J157" s="1801"/>
      <c r="K157" s="1802"/>
      <c r="L157" s="1727">
        <v>47640</v>
      </c>
      <c r="N157" s="1721"/>
      <c r="O157" s="1720"/>
    </row>
    <row r="158" spans="2:15" ht="15">
      <c r="B158" s="355" t="s">
        <v>2699</v>
      </c>
      <c r="C158" s="1856"/>
      <c r="D158" s="1722" t="s">
        <v>2678</v>
      </c>
      <c r="E158" s="2158">
        <v>10</v>
      </c>
      <c r="F158" s="1724" t="s">
        <v>1615</v>
      </c>
      <c r="G158" s="1725"/>
      <c r="H158" s="1801"/>
      <c r="I158" s="1801"/>
      <c r="J158" s="1801"/>
      <c r="K158" s="1802"/>
      <c r="L158" s="1727">
        <v>3000</v>
      </c>
      <c r="N158" s="1721"/>
      <c r="O158" s="1720"/>
    </row>
    <row r="159" spans="2:15" ht="15">
      <c r="B159" s="355" t="s">
        <v>2699</v>
      </c>
      <c r="C159" s="1856"/>
      <c r="D159" s="1722" t="s">
        <v>2679</v>
      </c>
      <c r="E159" s="2159">
        <v>20</v>
      </c>
      <c r="F159" s="1809" t="s">
        <v>1841</v>
      </c>
      <c r="G159" s="1725"/>
      <c r="H159" s="1801"/>
      <c r="I159" s="1801"/>
      <c r="J159" s="1801"/>
      <c r="K159" s="1802"/>
      <c r="L159" s="1727">
        <v>1000</v>
      </c>
      <c r="N159" s="1721"/>
      <c r="O159" s="1720"/>
    </row>
    <row r="160" spans="2:15" ht="15">
      <c r="B160" s="355" t="s">
        <v>2699</v>
      </c>
      <c r="C160" s="1856"/>
      <c r="D160" s="1722" t="s">
        <v>2680</v>
      </c>
      <c r="E160" s="2158">
        <v>9</v>
      </c>
      <c r="F160" s="1724" t="s">
        <v>758</v>
      </c>
      <c r="G160" s="1725"/>
      <c r="H160" s="1801"/>
      <c r="I160" s="1801"/>
      <c r="J160" s="1801"/>
      <c r="K160" s="1802"/>
      <c r="L160" s="1727">
        <v>4500</v>
      </c>
      <c r="N160" s="1721"/>
      <c r="O160" s="1720"/>
    </row>
    <row r="161" spans="2:15" ht="15">
      <c r="B161" s="355" t="s">
        <v>2699</v>
      </c>
      <c r="C161" s="1856"/>
      <c r="D161" s="1722" t="s">
        <v>2681</v>
      </c>
      <c r="E161" s="2158">
        <v>25</v>
      </c>
      <c r="F161" s="1724" t="s">
        <v>1571</v>
      </c>
      <c r="G161" s="1725"/>
      <c r="H161" s="1801"/>
      <c r="I161" s="1801"/>
      <c r="J161" s="1801"/>
      <c r="K161" s="1802"/>
      <c r="L161" s="1727">
        <v>450</v>
      </c>
      <c r="N161" s="1721"/>
      <c r="O161" s="1720"/>
    </row>
    <row r="162" spans="2:15" ht="15">
      <c r="B162" s="355" t="s">
        <v>2699</v>
      </c>
      <c r="C162" s="1856"/>
      <c r="D162" s="1722" t="s">
        <v>2682</v>
      </c>
      <c r="E162" s="2159">
        <v>2</v>
      </c>
      <c r="F162" s="1724" t="s">
        <v>1571</v>
      </c>
      <c r="G162" s="1725"/>
      <c r="H162" s="1801"/>
      <c r="I162" s="1801"/>
      <c r="J162" s="1801"/>
      <c r="K162" s="1802"/>
      <c r="L162" s="1727">
        <v>340</v>
      </c>
      <c r="N162" s="1721"/>
      <c r="O162" s="1720"/>
    </row>
    <row r="163" spans="2:15" ht="15">
      <c r="B163" s="355" t="s">
        <v>2699</v>
      </c>
      <c r="C163" s="1856"/>
      <c r="D163" s="1722" t="s">
        <v>2683</v>
      </c>
      <c r="E163" s="2158">
        <v>25</v>
      </c>
      <c r="F163" s="1885" t="s">
        <v>1571</v>
      </c>
      <c r="G163" s="1725"/>
      <c r="H163" s="1801"/>
      <c r="I163" s="1801"/>
      <c r="J163" s="1801"/>
      <c r="K163" s="1802"/>
      <c r="L163" s="1727">
        <v>875</v>
      </c>
      <c r="N163" s="1721"/>
      <c r="O163" s="1720"/>
    </row>
    <row r="164" spans="2:15" ht="15">
      <c r="B164" s="355" t="s">
        <v>2699</v>
      </c>
      <c r="C164" s="1856"/>
      <c r="D164" s="1722" t="s">
        <v>2684</v>
      </c>
      <c r="E164" s="2158">
        <v>20</v>
      </c>
      <c r="F164" s="1724" t="s">
        <v>1571</v>
      </c>
      <c r="G164" s="1725"/>
      <c r="H164" s="1801"/>
      <c r="I164" s="1801"/>
      <c r="J164" s="1801"/>
      <c r="K164" s="1802"/>
      <c r="L164" s="1727">
        <v>680</v>
      </c>
      <c r="N164" s="1721"/>
      <c r="O164" s="1720"/>
    </row>
    <row r="165" spans="2:15" ht="15">
      <c r="B165" s="355" t="s">
        <v>2699</v>
      </c>
      <c r="C165" s="1856"/>
      <c r="D165" s="1722" t="s">
        <v>2685</v>
      </c>
      <c r="E165" s="2158">
        <v>25</v>
      </c>
      <c r="F165" s="1724" t="s">
        <v>2039</v>
      </c>
      <c r="G165" s="1725"/>
      <c r="H165" s="1801"/>
      <c r="I165" s="1801"/>
      <c r="J165" s="1801"/>
      <c r="K165" s="1802"/>
      <c r="L165" s="1727">
        <v>800</v>
      </c>
      <c r="N165" s="1721"/>
      <c r="O165" s="1720"/>
    </row>
    <row r="166" spans="2:15" ht="15">
      <c r="B166" s="355" t="s">
        <v>2699</v>
      </c>
      <c r="C166" s="1856"/>
      <c r="D166" s="1722" t="s">
        <v>2686</v>
      </c>
      <c r="E166" s="2158">
        <v>25</v>
      </c>
      <c r="F166" s="1724" t="s">
        <v>2039</v>
      </c>
      <c r="G166" s="1725"/>
      <c r="H166" s="1801"/>
      <c r="I166" s="1801"/>
      <c r="J166" s="1801"/>
      <c r="K166" s="1802"/>
      <c r="L166" s="1727">
        <v>375</v>
      </c>
      <c r="N166" s="1721"/>
      <c r="O166" s="1720"/>
    </row>
    <row r="167" spans="2:15" ht="15">
      <c r="B167" s="355" t="s">
        <v>2699</v>
      </c>
      <c r="C167" s="1856"/>
      <c r="D167" s="1722" t="s">
        <v>2687</v>
      </c>
      <c r="E167" s="2158">
        <v>50</v>
      </c>
      <c r="F167" s="1724" t="s">
        <v>1571</v>
      </c>
      <c r="G167" s="1725"/>
      <c r="H167" s="1801"/>
      <c r="I167" s="1801"/>
      <c r="J167" s="1801"/>
      <c r="K167" s="1802"/>
      <c r="L167" s="1727">
        <v>1000</v>
      </c>
      <c r="N167" s="1721"/>
      <c r="O167" s="1720"/>
    </row>
    <row r="168" spans="2:15" ht="15">
      <c r="B168" s="355" t="s">
        <v>2699</v>
      </c>
      <c r="C168" s="1856"/>
      <c r="D168" s="1908" t="s">
        <v>2688</v>
      </c>
      <c r="E168" s="2159">
        <v>25</v>
      </c>
      <c r="F168" s="1809" t="s">
        <v>1571</v>
      </c>
      <c r="G168" s="1725"/>
      <c r="H168" s="1801"/>
      <c r="I168" s="1801"/>
      <c r="J168" s="1801"/>
      <c r="K168" s="1802"/>
      <c r="L168" s="1727">
        <v>1000</v>
      </c>
      <c r="N168" s="1721"/>
      <c r="O168" s="1720"/>
    </row>
    <row r="169" spans="2:15" ht="15">
      <c r="B169" s="355" t="s">
        <v>2699</v>
      </c>
      <c r="C169" s="1856"/>
      <c r="D169" s="1722" t="s">
        <v>2689</v>
      </c>
      <c r="E169" s="2158">
        <v>5</v>
      </c>
      <c r="F169" s="1724" t="s">
        <v>2001</v>
      </c>
      <c r="G169" s="1725"/>
      <c r="H169" s="1801"/>
      <c r="I169" s="1801"/>
      <c r="J169" s="1801"/>
      <c r="K169" s="1802"/>
      <c r="L169" s="1727">
        <v>475</v>
      </c>
      <c r="N169" s="1721"/>
      <c r="O169" s="1720"/>
    </row>
    <row r="170" spans="2:15" ht="15">
      <c r="B170" s="355" t="s">
        <v>2699</v>
      </c>
      <c r="C170" s="1856"/>
      <c r="D170" s="1722" t="s">
        <v>2690</v>
      </c>
      <c r="E170" s="2158">
        <v>6</v>
      </c>
      <c r="F170" s="1724" t="s">
        <v>1571</v>
      </c>
      <c r="G170" s="1725"/>
      <c r="H170" s="1801"/>
      <c r="I170" s="1801"/>
      <c r="J170" s="1801"/>
      <c r="K170" s="1802"/>
      <c r="L170" s="1727">
        <v>120</v>
      </c>
      <c r="N170" s="1721"/>
      <c r="O170" s="1720"/>
    </row>
    <row r="171" spans="2:15" ht="15">
      <c r="B171" s="355" t="s">
        <v>2699</v>
      </c>
      <c r="C171" s="1856"/>
      <c r="D171" s="1722" t="s">
        <v>2691</v>
      </c>
      <c r="E171" s="2158">
        <v>5</v>
      </c>
      <c r="F171" s="1724" t="s">
        <v>1571</v>
      </c>
      <c r="G171" s="1725"/>
      <c r="H171" s="1801"/>
      <c r="I171" s="1801"/>
      <c r="J171" s="1801"/>
      <c r="K171" s="1802"/>
      <c r="L171" s="1727">
        <v>100</v>
      </c>
      <c r="N171" s="1721"/>
      <c r="O171" s="1720"/>
    </row>
    <row r="172" spans="2:15" ht="15">
      <c r="B172" s="355" t="s">
        <v>2699</v>
      </c>
      <c r="C172" s="1856"/>
      <c r="D172" s="1722" t="s">
        <v>2692</v>
      </c>
      <c r="E172" s="2158">
        <v>1</v>
      </c>
      <c r="F172" s="1724" t="s">
        <v>2676</v>
      </c>
      <c r="G172" s="1725"/>
      <c r="H172" s="1801"/>
      <c r="I172" s="1801"/>
      <c r="J172" s="1801"/>
      <c r="K172" s="1802"/>
      <c r="L172" s="1727">
        <v>5900</v>
      </c>
      <c r="N172" s="1721"/>
      <c r="O172" s="1720"/>
    </row>
    <row r="173" spans="2:15" ht="15">
      <c r="B173" s="355" t="s">
        <v>2699</v>
      </c>
      <c r="C173" s="1856"/>
      <c r="D173" s="1722" t="s">
        <v>1694</v>
      </c>
      <c r="E173" s="2158">
        <v>20</v>
      </c>
      <c r="F173" s="1724" t="s">
        <v>1571</v>
      </c>
      <c r="G173" s="1725"/>
      <c r="H173" s="1801"/>
      <c r="I173" s="1801"/>
      <c r="J173" s="1801"/>
      <c r="K173" s="1802"/>
      <c r="L173" s="1727">
        <v>1100</v>
      </c>
      <c r="N173" s="1721"/>
      <c r="O173" s="1720"/>
    </row>
    <row r="174" spans="2:15" ht="15">
      <c r="B174" s="355" t="s">
        <v>2699</v>
      </c>
      <c r="C174" s="1856"/>
      <c r="D174" s="1722" t="s">
        <v>2693</v>
      </c>
      <c r="E174" s="2160">
        <v>8</v>
      </c>
      <c r="F174" s="1724" t="s">
        <v>1571</v>
      </c>
      <c r="G174" s="1725"/>
      <c r="H174" s="1801"/>
      <c r="I174" s="1801"/>
      <c r="J174" s="1801"/>
      <c r="K174" s="1802"/>
      <c r="L174" s="1727">
        <v>320</v>
      </c>
      <c r="N174" s="1721"/>
      <c r="O174" s="1720"/>
    </row>
    <row r="175" spans="2:15" ht="15">
      <c r="B175" s="355" t="s">
        <v>2699</v>
      </c>
      <c r="C175" s="1856"/>
      <c r="D175" s="1722" t="s">
        <v>2694</v>
      </c>
      <c r="E175" s="2158">
        <v>10</v>
      </c>
      <c r="F175" s="1885" t="s">
        <v>1571</v>
      </c>
      <c r="G175" s="1725"/>
      <c r="H175" s="1801"/>
      <c r="I175" s="1801"/>
      <c r="J175" s="1801"/>
      <c r="K175" s="1802"/>
      <c r="L175" s="1727">
        <v>180</v>
      </c>
      <c r="N175" s="1721"/>
      <c r="O175" s="1720"/>
    </row>
    <row r="176" spans="2:15" ht="15">
      <c r="B176" s="355" t="s">
        <v>2699</v>
      </c>
      <c r="C176" s="1856"/>
      <c r="D176" s="1722" t="s">
        <v>2695</v>
      </c>
      <c r="E176" s="2158">
        <v>10</v>
      </c>
      <c r="F176" s="1885" t="s">
        <v>758</v>
      </c>
      <c r="G176" s="1725"/>
      <c r="H176" s="1801"/>
      <c r="I176" s="1801"/>
      <c r="J176" s="1801"/>
      <c r="K176" s="1802"/>
      <c r="L176" s="1727">
        <v>300</v>
      </c>
      <c r="N176" s="1721"/>
      <c r="O176" s="1720"/>
    </row>
    <row r="177" spans="2:15" ht="15">
      <c r="B177" s="355" t="s">
        <v>2699</v>
      </c>
      <c r="C177" s="1856"/>
      <c r="D177" s="1722" t="s">
        <v>2696</v>
      </c>
      <c r="E177" s="2158">
        <v>10</v>
      </c>
      <c r="F177" s="1724" t="s">
        <v>2039</v>
      </c>
      <c r="G177" s="1725"/>
      <c r="H177" s="1801"/>
      <c r="I177" s="1801"/>
      <c r="J177" s="1801"/>
      <c r="K177" s="1802"/>
      <c r="L177" s="1727">
        <v>100</v>
      </c>
      <c r="N177" s="1721"/>
      <c r="O177" s="1720"/>
    </row>
    <row r="178" spans="2:15" ht="15">
      <c r="B178" s="355" t="s">
        <v>2699</v>
      </c>
      <c r="C178" s="1856"/>
      <c r="D178" s="1722" t="s">
        <v>2697</v>
      </c>
      <c r="E178" s="2158">
        <v>5</v>
      </c>
      <c r="F178" s="1724" t="s">
        <v>1779</v>
      </c>
      <c r="G178" s="1725"/>
      <c r="H178" s="1801"/>
      <c r="I178" s="1801"/>
      <c r="J178" s="1801"/>
      <c r="K178" s="1802"/>
      <c r="L178" s="1727">
        <v>118</v>
      </c>
      <c r="N178" s="1721"/>
      <c r="O178" s="1720"/>
    </row>
    <row r="180" spans="2:15" ht="27">
      <c r="C180" s="1909"/>
      <c r="D180" s="1836" t="s">
        <v>2</v>
      </c>
      <c r="E180" s="1910"/>
      <c r="F180" s="1835" t="s">
        <v>422</v>
      </c>
      <c r="G180" s="1878" t="s">
        <v>1</v>
      </c>
      <c r="H180" s="1878">
        <v>46113</v>
      </c>
      <c r="I180" s="1878">
        <v>46143</v>
      </c>
      <c r="J180" s="1878">
        <v>46143</v>
      </c>
      <c r="K180" s="1902" t="s">
        <v>2216</v>
      </c>
      <c r="L180" s="1903"/>
      <c r="M180" s="1715" t="s">
        <v>2446</v>
      </c>
      <c r="N180" s="1904"/>
    </row>
    <row r="181" spans="2:15" ht="15">
      <c r="B181" s="355" t="s">
        <v>2699</v>
      </c>
      <c r="C181" s="2756" t="s">
        <v>2698</v>
      </c>
      <c r="D181" s="1722" t="s">
        <v>2658</v>
      </c>
      <c r="E181" s="2161">
        <v>100</v>
      </c>
      <c r="F181" s="1719" t="s">
        <v>1571</v>
      </c>
      <c r="G181" s="1725"/>
      <c r="H181" s="1800"/>
      <c r="I181" s="1725"/>
      <c r="J181" s="1725"/>
      <c r="K181" s="1725"/>
      <c r="L181" s="1797">
        <v>700</v>
      </c>
      <c r="N181" s="1715"/>
      <c r="O181" s="1716"/>
    </row>
    <row r="182" spans="2:15" ht="15">
      <c r="B182" s="355" t="s">
        <v>2699</v>
      </c>
      <c r="C182" s="2757"/>
      <c r="D182" s="1722" t="s">
        <v>2659</v>
      </c>
      <c r="E182" s="2161">
        <v>6</v>
      </c>
      <c r="F182" s="1719" t="s">
        <v>1841</v>
      </c>
      <c r="G182" s="1725"/>
      <c r="H182" s="1800"/>
      <c r="I182" s="1800"/>
      <c r="J182" s="1800"/>
      <c r="K182" s="1800"/>
      <c r="L182" s="1797">
        <v>402</v>
      </c>
      <c r="N182" s="1721"/>
      <c r="O182" s="1720"/>
    </row>
    <row r="183" spans="2:15" ht="15">
      <c r="B183" s="355" t="s">
        <v>2699</v>
      </c>
      <c r="C183" s="2757"/>
      <c r="D183" s="1722" t="s">
        <v>2660</v>
      </c>
      <c r="E183" s="2161">
        <v>50</v>
      </c>
      <c r="F183" s="1911" t="s">
        <v>1841</v>
      </c>
      <c r="G183" s="1725"/>
      <c r="H183" s="1801"/>
      <c r="I183" s="1801"/>
      <c r="J183" s="1801"/>
      <c r="K183" s="1802"/>
      <c r="L183" s="1797">
        <v>2900</v>
      </c>
      <c r="N183" s="1721"/>
      <c r="O183" s="1720"/>
    </row>
    <row r="184" spans="2:15" ht="15">
      <c r="B184" s="355" t="s">
        <v>2699</v>
      </c>
      <c r="C184" s="2758"/>
      <c r="D184" s="1722" t="s">
        <v>2661</v>
      </c>
      <c r="E184" s="2161">
        <v>50</v>
      </c>
      <c r="F184" s="1719" t="s">
        <v>1841</v>
      </c>
      <c r="G184" s="1725"/>
      <c r="H184" s="1801"/>
      <c r="I184" s="1801"/>
      <c r="J184" s="1801"/>
      <c r="K184" s="1802"/>
      <c r="L184" s="1797">
        <v>3900</v>
      </c>
      <c r="N184" s="1721"/>
      <c r="O184" s="1720"/>
    </row>
    <row r="185" spans="2:15" ht="15">
      <c r="B185" s="355" t="s">
        <v>2699</v>
      </c>
      <c r="C185" s="1912"/>
      <c r="D185" s="1722" t="s">
        <v>2662</v>
      </c>
      <c r="E185" s="2161">
        <v>30</v>
      </c>
      <c r="F185" s="1719" t="s">
        <v>1571</v>
      </c>
      <c r="G185" s="1725"/>
      <c r="H185" s="1801"/>
      <c r="I185" s="1801"/>
      <c r="J185" s="1801"/>
      <c r="K185" s="1802"/>
      <c r="L185" s="1803">
        <v>1590</v>
      </c>
      <c r="N185" s="1721"/>
      <c r="O185" s="1720"/>
    </row>
    <row r="186" spans="2:15" ht="15">
      <c r="B186" s="355" t="s">
        <v>2699</v>
      </c>
      <c r="C186" s="1718" t="s">
        <v>704</v>
      </c>
      <c r="D186" s="1722" t="s">
        <v>2700</v>
      </c>
      <c r="E186" s="2161">
        <v>100</v>
      </c>
      <c r="F186" s="1719" t="s">
        <v>758</v>
      </c>
      <c r="G186" s="1725"/>
      <c r="H186" s="1801"/>
      <c r="I186" s="1801"/>
      <c r="J186" s="1801"/>
      <c r="K186" s="1802"/>
      <c r="L186" s="1797">
        <v>22000</v>
      </c>
      <c r="N186" s="1721"/>
      <c r="O186" s="1720"/>
    </row>
    <row r="187" spans="2:15" ht="15">
      <c r="B187" s="355" t="s">
        <v>2699</v>
      </c>
      <c r="C187" s="1913"/>
      <c r="D187" s="1722" t="s">
        <v>2701</v>
      </c>
      <c r="E187" s="2161">
        <v>100</v>
      </c>
      <c r="F187" s="1719" t="s">
        <v>758</v>
      </c>
      <c r="G187" s="1725"/>
      <c r="H187" s="1801"/>
      <c r="I187" s="1801"/>
      <c r="J187" s="1801"/>
      <c r="K187" s="1802"/>
      <c r="L187" s="1797">
        <v>25000</v>
      </c>
      <c r="N187" s="1721"/>
      <c r="O187" s="1720"/>
    </row>
    <row r="188" spans="2:15" ht="15">
      <c r="B188" s="355" t="s">
        <v>2699</v>
      </c>
      <c r="C188" s="1718"/>
      <c r="D188" s="1722" t="s">
        <v>2702</v>
      </c>
      <c r="E188" s="2161">
        <v>100</v>
      </c>
      <c r="F188" s="1719" t="s">
        <v>758</v>
      </c>
      <c r="G188" s="1725"/>
      <c r="H188" s="1801"/>
      <c r="I188" s="1801"/>
      <c r="J188" s="1801"/>
      <c r="K188" s="1802"/>
      <c r="L188" s="1797">
        <v>17500</v>
      </c>
      <c r="N188" s="1721"/>
      <c r="O188" s="1720"/>
    </row>
    <row r="189" spans="2:15" ht="15">
      <c r="B189" s="355" t="s">
        <v>2699</v>
      </c>
      <c r="C189" s="1856"/>
      <c r="D189" s="1722" t="s">
        <v>2703</v>
      </c>
      <c r="E189" s="2161">
        <v>500</v>
      </c>
      <c r="F189" s="1719" t="s">
        <v>1571</v>
      </c>
      <c r="G189" s="1725"/>
      <c r="H189" s="1801"/>
      <c r="I189" s="1801"/>
      <c r="J189" s="1801"/>
      <c r="K189" s="1802"/>
      <c r="L189" s="1797">
        <v>2500</v>
      </c>
      <c r="N189" s="1721"/>
      <c r="O189" s="1720"/>
    </row>
    <row r="190" spans="2:15" ht="15">
      <c r="B190" s="355" t="s">
        <v>2699</v>
      </c>
      <c r="C190" s="1856"/>
      <c r="D190" s="1722" t="s">
        <v>2704</v>
      </c>
      <c r="E190" s="2161">
        <v>500</v>
      </c>
      <c r="F190" s="1719" t="s">
        <v>1571</v>
      </c>
      <c r="G190" s="1725"/>
      <c r="H190" s="1801"/>
      <c r="I190" s="1801"/>
      <c r="J190" s="1801"/>
      <c r="K190" s="1802"/>
      <c r="L190" s="1797">
        <v>2500</v>
      </c>
      <c r="N190" s="1721"/>
      <c r="O190" s="1720"/>
    </row>
    <row r="191" spans="2:15" ht="15">
      <c r="B191" s="355" t="s">
        <v>2699</v>
      </c>
      <c r="C191" s="1856"/>
      <c r="D191" s="1722" t="s">
        <v>2705</v>
      </c>
      <c r="E191" s="2161">
        <v>5</v>
      </c>
      <c r="F191" s="1719" t="s">
        <v>1571</v>
      </c>
      <c r="G191" s="1725"/>
      <c r="H191" s="1801"/>
      <c r="I191" s="1801"/>
      <c r="J191" s="1801"/>
      <c r="K191" s="1802"/>
      <c r="L191" s="1797">
        <v>1500</v>
      </c>
      <c r="N191" s="1721"/>
      <c r="O191" s="1720"/>
    </row>
    <row r="192" spans="2:15" ht="15">
      <c r="B192" s="355" t="s">
        <v>2699</v>
      </c>
      <c r="C192" s="1856"/>
      <c r="D192" s="1722" t="s">
        <v>2706</v>
      </c>
      <c r="E192" s="2161">
        <v>4</v>
      </c>
      <c r="F192" s="1719" t="s">
        <v>2039</v>
      </c>
      <c r="G192" s="1725"/>
      <c r="H192" s="1801"/>
      <c r="I192" s="1801"/>
      <c r="J192" s="1801"/>
      <c r="K192" s="1802"/>
      <c r="L192" s="1727">
        <v>2020</v>
      </c>
      <c r="N192" s="1721"/>
      <c r="O192" s="1720"/>
    </row>
    <row r="193" spans="2:15" ht="15">
      <c r="B193" s="355" t="s">
        <v>2699</v>
      </c>
      <c r="C193" s="1856"/>
      <c r="D193" s="1722" t="s">
        <v>2707</v>
      </c>
      <c r="E193" s="2161">
        <v>10</v>
      </c>
      <c r="F193" s="1719" t="s">
        <v>758</v>
      </c>
      <c r="G193" s="1725"/>
      <c r="H193" s="1801"/>
      <c r="I193" s="1801"/>
      <c r="J193" s="1801"/>
      <c r="K193" s="1802"/>
      <c r="L193" s="1727">
        <v>4000</v>
      </c>
      <c r="N193" s="1721"/>
      <c r="O193" s="1720"/>
    </row>
    <row r="194" spans="2:15" ht="15">
      <c r="B194" s="355" t="s">
        <v>2699</v>
      </c>
      <c r="C194" s="1856"/>
      <c r="D194" s="1722" t="s">
        <v>2708</v>
      </c>
      <c r="E194" s="2161">
        <v>10</v>
      </c>
      <c r="F194" s="1719" t="s">
        <v>758</v>
      </c>
      <c r="G194" s="1725"/>
      <c r="H194" s="1801"/>
      <c r="I194" s="1801"/>
      <c r="J194" s="1801"/>
      <c r="K194" s="1802"/>
      <c r="L194" s="1727">
        <v>4000</v>
      </c>
      <c r="N194" s="1721"/>
      <c r="O194" s="1720"/>
    </row>
    <row r="195" spans="2:15" ht="15">
      <c r="B195" s="355" t="s">
        <v>2699</v>
      </c>
      <c r="C195" s="1856"/>
      <c r="D195" s="1722" t="s">
        <v>2709</v>
      </c>
      <c r="E195" s="2161">
        <v>5</v>
      </c>
      <c r="F195" s="1719" t="s">
        <v>1779</v>
      </c>
      <c r="G195" s="1725"/>
      <c r="H195" s="1801"/>
      <c r="I195" s="1801"/>
      <c r="J195" s="1801"/>
      <c r="K195" s="1802"/>
      <c r="L195" s="1727">
        <v>1550</v>
      </c>
      <c r="N195" s="1721"/>
      <c r="O195" s="1720"/>
    </row>
    <row r="196" spans="2:15" ht="15">
      <c r="B196" s="355" t="s">
        <v>2699</v>
      </c>
      <c r="C196" s="1856"/>
      <c r="D196" s="1722" t="s">
        <v>2710</v>
      </c>
      <c r="E196" s="2161">
        <v>15</v>
      </c>
      <c r="F196" s="1719" t="s">
        <v>1779</v>
      </c>
      <c r="G196" s="1725"/>
      <c r="H196" s="1801"/>
      <c r="I196" s="1801"/>
      <c r="J196" s="1801"/>
      <c r="K196" s="1802"/>
      <c r="L196" s="1727">
        <v>4650</v>
      </c>
      <c r="N196" s="1721"/>
      <c r="O196" s="1720"/>
    </row>
    <row r="197" spans="2:15" ht="15">
      <c r="B197" s="355" t="s">
        <v>2699</v>
      </c>
      <c r="C197" s="1856"/>
      <c r="D197" s="1722" t="s">
        <v>2711</v>
      </c>
      <c r="E197" s="2158">
        <v>28</v>
      </c>
      <c r="F197" s="1719" t="s">
        <v>1571</v>
      </c>
      <c r="G197" s="1725"/>
      <c r="H197" s="1801"/>
      <c r="I197" s="1801"/>
      <c r="J197" s="1801"/>
      <c r="K197" s="1802"/>
      <c r="L197" s="1727">
        <v>1260</v>
      </c>
      <c r="N197" s="1721"/>
      <c r="O197" s="1720"/>
    </row>
    <row r="198" spans="2:15" ht="15">
      <c r="B198" s="355" t="s">
        <v>2699</v>
      </c>
      <c r="C198" s="1856"/>
      <c r="D198" s="1722" t="s">
        <v>2712</v>
      </c>
      <c r="E198" s="2158">
        <v>10</v>
      </c>
      <c r="F198" s="1719" t="s">
        <v>1571</v>
      </c>
      <c r="G198" s="1725"/>
      <c r="H198" s="1801"/>
      <c r="I198" s="1801"/>
      <c r="J198" s="1801"/>
      <c r="K198" s="1802"/>
      <c r="L198" s="1727">
        <v>1150</v>
      </c>
      <c r="N198" s="1721"/>
      <c r="O198" s="1720"/>
    </row>
    <row r="199" spans="2:15" ht="15">
      <c r="B199" s="355" t="s">
        <v>2699</v>
      </c>
      <c r="C199" s="1856"/>
      <c r="D199" s="1722" t="s">
        <v>2713</v>
      </c>
      <c r="E199" s="2161">
        <v>25</v>
      </c>
      <c r="F199" s="1911" t="s">
        <v>1571</v>
      </c>
      <c r="G199" s="1725"/>
      <c r="H199" s="1801"/>
      <c r="I199" s="1801"/>
      <c r="J199" s="1801"/>
      <c r="K199" s="1802"/>
      <c r="L199" s="1727">
        <v>5000</v>
      </c>
      <c r="N199" s="1721"/>
      <c r="O199" s="1720"/>
    </row>
    <row r="200" spans="2:15" ht="15">
      <c r="B200" s="355" t="s">
        <v>2699</v>
      </c>
      <c r="C200" s="1856"/>
      <c r="D200" s="1722" t="s">
        <v>2714</v>
      </c>
      <c r="E200" s="2161">
        <v>20</v>
      </c>
      <c r="F200" s="1911" t="s">
        <v>1571</v>
      </c>
      <c r="G200" s="1725"/>
      <c r="H200" s="1801"/>
      <c r="I200" s="1801"/>
      <c r="J200" s="1801"/>
      <c r="K200" s="1802"/>
      <c r="L200" s="1727">
        <v>4000</v>
      </c>
      <c r="N200" s="1721"/>
      <c r="O200" s="1720"/>
    </row>
    <row r="201" spans="2:15" ht="15">
      <c r="B201" s="355" t="s">
        <v>2699</v>
      </c>
      <c r="C201" s="1856"/>
      <c r="D201" s="1722" t="s">
        <v>2715</v>
      </c>
      <c r="E201" s="2161">
        <v>50</v>
      </c>
      <c r="F201" s="1719" t="s">
        <v>1571</v>
      </c>
      <c r="G201" s="1725"/>
      <c r="H201" s="1801"/>
      <c r="I201" s="1801"/>
      <c r="J201" s="1801"/>
      <c r="K201" s="1802"/>
      <c r="L201" s="1727">
        <v>2400</v>
      </c>
      <c r="N201" s="1721"/>
      <c r="O201" s="1720"/>
    </row>
    <row r="202" spans="2:15" ht="15">
      <c r="B202" s="355" t="s">
        <v>2699</v>
      </c>
      <c r="C202" s="1856"/>
      <c r="D202" s="1722" t="s">
        <v>2716</v>
      </c>
      <c r="E202" s="2162">
        <v>10</v>
      </c>
      <c r="F202" s="1719" t="s">
        <v>1615</v>
      </c>
      <c r="G202" s="1725"/>
      <c r="H202" s="1801"/>
      <c r="I202" s="1801"/>
      <c r="J202" s="1801"/>
      <c r="K202" s="1802"/>
      <c r="L202" s="1727">
        <v>3000</v>
      </c>
      <c r="N202" s="1721"/>
      <c r="O202" s="1720"/>
    </row>
    <row r="203" spans="2:15" ht="15">
      <c r="B203" s="355" t="s">
        <v>2699</v>
      </c>
      <c r="C203" s="1856"/>
      <c r="D203" s="1722" t="s">
        <v>2717</v>
      </c>
      <c r="E203" s="2162">
        <v>10</v>
      </c>
      <c r="F203" s="1719" t="s">
        <v>1615</v>
      </c>
      <c r="G203" s="1725"/>
      <c r="H203" s="1801"/>
      <c r="I203" s="1801"/>
      <c r="J203" s="1801"/>
      <c r="K203" s="1802"/>
      <c r="L203" s="1727">
        <v>3000</v>
      </c>
      <c r="N203" s="1721"/>
      <c r="O203" s="1720"/>
    </row>
    <row r="204" spans="2:15" ht="15">
      <c r="B204" s="355" t="s">
        <v>2699</v>
      </c>
      <c r="C204" s="1856"/>
      <c r="D204" s="1722" t="s">
        <v>2718</v>
      </c>
      <c r="E204" s="2162">
        <v>10</v>
      </c>
      <c r="F204" s="1719" t="s">
        <v>1615</v>
      </c>
      <c r="G204" s="1725"/>
      <c r="H204" s="1801"/>
      <c r="I204" s="1801"/>
      <c r="J204" s="1801"/>
      <c r="K204" s="1802"/>
      <c r="L204" s="1727">
        <v>3000</v>
      </c>
      <c r="N204" s="1721"/>
      <c r="O204" s="1720"/>
    </row>
    <row r="205" spans="2:15" ht="15">
      <c r="B205" s="355" t="s">
        <v>2699</v>
      </c>
      <c r="C205" s="1856"/>
      <c r="D205" s="1722" t="s">
        <v>967</v>
      </c>
      <c r="E205" s="2161">
        <v>5</v>
      </c>
      <c r="F205" s="1719" t="s">
        <v>1571</v>
      </c>
      <c r="G205" s="1725"/>
      <c r="H205" s="1801"/>
      <c r="I205" s="1801"/>
      <c r="J205" s="1801"/>
      <c r="K205" s="1802"/>
      <c r="L205" s="1727">
        <v>9000</v>
      </c>
      <c r="N205" s="1721"/>
      <c r="O205" s="1720"/>
    </row>
    <row r="206" spans="2:15" ht="15">
      <c r="B206" s="355" t="s">
        <v>2699</v>
      </c>
      <c r="C206" s="1856"/>
      <c r="D206" s="1722" t="s">
        <v>2719</v>
      </c>
      <c r="E206" s="2161">
        <v>10</v>
      </c>
      <c r="F206" s="1719" t="s">
        <v>1571</v>
      </c>
      <c r="G206" s="1725"/>
      <c r="H206" s="1801"/>
      <c r="I206" s="1801"/>
      <c r="J206" s="1801"/>
      <c r="K206" s="1802"/>
      <c r="L206" s="1727">
        <v>1200</v>
      </c>
      <c r="N206" s="1721"/>
      <c r="O206" s="1720"/>
    </row>
    <row r="207" spans="2:15" ht="15">
      <c r="B207" s="355" t="s">
        <v>2699</v>
      </c>
      <c r="C207" s="1856"/>
      <c r="D207" s="1722" t="s">
        <v>2720</v>
      </c>
      <c r="E207" s="2161">
        <v>2</v>
      </c>
      <c r="F207" s="1719" t="s">
        <v>758</v>
      </c>
      <c r="G207" s="1725"/>
      <c r="H207" s="1801"/>
      <c r="I207" s="1801"/>
      <c r="J207" s="1801"/>
      <c r="K207" s="1802"/>
      <c r="L207" s="1727">
        <v>683</v>
      </c>
      <c r="N207" s="1721"/>
      <c r="O207" s="1720"/>
    </row>
    <row r="208" spans="2:15" ht="15">
      <c r="B208" s="355" t="s">
        <v>2699</v>
      </c>
      <c r="C208" s="1856"/>
      <c r="D208" s="1722" t="s">
        <v>2681</v>
      </c>
      <c r="E208" s="2161">
        <v>25</v>
      </c>
      <c r="F208" s="1719" t="s">
        <v>1571</v>
      </c>
      <c r="G208" s="1725"/>
      <c r="H208" s="1801"/>
      <c r="I208" s="1801"/>
      <c r="J208" s="1801"/>
      <c r="K208" s="1802"/>
      <c r="L208" s="1727">
        <v>450</v>
      </c>
      <c r="N208" s="1721"/>
      <c r="O208" s="1720"/>
    </row>
    <row r="209" spans="2:15" ht="15">
      <c r="B209" s="355" t="s">
        <v>2699</v>
      </c>
      <c r="C209" s="1856"/>
      <c r="D209" s="1722" t="s">
        <v>2721</v>
      </c>
      <c r="E209" s="2163">
        <v>25</v>
      </c>
      <c r="F209" s="1719" t="s">
        <v>1571</v>
      </c>
      <c r="G209" s="1725"/>
      <c r="H209" s="1801"/>
      <c r="I209" s="1801"/>
      <c r="J209" s="1801"/>
      <c r="K209" s="1802"/>
      <c r="L209" s="1727">
        <v>12500</v>
      </c>
      <c r="N209" s="1721"/>
      <c r="O209" s="1720"/>
    </row>
    <row r="210" spans="2:15" ht="15">
      <c r="B210" s="355" t="s">
        <v>2699</v>
      </c>
      <c r="C210" s="1856"/>
      <c r="D210" s="1722" t="s">
        <v>2682</v>
      </c>
      <c r="E210" s="2161">
        <v>2</v>
      </c>
      <c r="F210" s="1719" t="s">
        <v>1571</v>
      </c>
      <c r="G210" s="1725"/>
      <c r="H210" s="1801"/>
      <c r="I210" s="1801"/>
      <c r="J210" s="1801"/>
      <c r="K210" s="1802"/>
      <c r="L210" s="1727">
        <v>340</v>
      </c>
      <c r="N210" s="1721"/>
      <c r="O210" s="1720"/>
    </row>
    <row r="211" spans="2:15" ht="15">
      <c r="B211" s="355" t="s">
        <v>2699</v>
      </c>
      <c r="C211" s="1856"/>
      <c r="D211" s="1722" t="s">
        <v>2722</v>
      </c>
      <c r="E211" s="2161">
        <v>100</v>
      </c>
      <c r="F211" s="1719" t="s">
        <v>1571</v>
      </c>
      <c r="G211" s="1725"/>
      <c r="H211" s="1801"/>
      <c r="I211" s="1801"/>
      <c r="J211" s="1801"/>
      <c r="K211" s="1802"/>
      <c r="L211" s="1727">
        <v>900</v>
      </c>
      <c r="N211" s="1721"/>
      <c r="O211" s="1720"/>
    </row>
    <row r="212" spans="2:15" ht="15">
      <c r="B212" s="355" t="s">
        <v>2699</v>
      </c>
      <c r="C212" s="1856"/>
      <c r="D212" s="1722" t="s">
        <v>2723</v>
      </c>
      <c r="E212" s="2161">
        <v>5</v>
      </c>
      <c r="F212" s="1719" t="s">
        <v>758</v>
      </c>
      <c r="G212" s="1725"/>
      <c r="H212" s="1801"/>
      <c r="I212" s="1801"/>
      <c r="J212" s="1801"/>
      <c r="K212" s="1802"/>
      <c r="L212" s="1727">
        <v>500</v>
      </c>
      <c r="N212" s="1721"/>
      <c r="O212" s="1720"/>
    </row>
    <row r="213" spans="2:15" ht="15">
      <c r="B213" s="355" t="s">
        <v>2699</v>
      </c>
      <c r="C213" s="1856"/>
      <c r="D213" s="1722" t="s">
        <v>2683</v>
      </c>
      <c r="E213" s="2161">
        <v>25</v>
      </c>
      <c r="F213" s="1911" t="s">
        <v>1571</v>
      </c>
      <c r="G213" s="1725"/>
      <c r="H213" s="1801"/>
      <c r="I213" s="1801"/>
      <c r="J213" s="1801"/>
      <c r="K213" s="1802"/>
      <c r="L213" s="1727">
        <v>875</v>
      </c>
      <c r="N213" s="1721"/>
      <c r="O213" s="1720"/>
    </row>
    <row r="214" spans="2:15" ht="15">
      <c r="B214" s="355" t="s">
        <v>2699</v>
      </c>
      <c r="C214" s="1856"/>
      <c r="D214" s="1722" t="s">
        <v>2684</v>
      </c>
      <c r="E214" s="2161">
        <v>20</v>
      </c>
      <c r="F214" s="1719" t="s">
        <v>1571</v>
      </c>
      <c r="G214" s="1725"/>
      <c r="H214" s="1801"/>
      <c r="I214" s="1801"/>
      <c r="J214" s="1801"/>
      <c r="K214" s="1802"/>
      <c r="L214" s="1727">
        <v>680</v>
      </c>
      <c r="N214" s="1721"/>
      <c r="O214" s="1720"/>
    </row>
    <row r="215" spans="2:15" ht="15">
      <c r="B215" s="355" t="s">
        <v>2699</v>
      </c>
      <c r="C215" s="1856"/>
      <c r="D215" s="1722" t="s">
        <v>2724</v>
      </c>
      <c r="E215" s="2161">
        <v>25</v>
      </c>
      <c r="F215" s="1719" t="s">
        <v>2039</v>
      </c>
      <c r="G215" s="1725"/>
      <c r="H215" s="1801"/>
      <c r="I215" s="1801"/>
      <c r="J215" s="1801"/>
      <c r="K215" s="1802"/>
      <c r="L215" s="1727">
        <v>500</v>
      </c>
      <c r="N215" s="1721"/>
      <c r="O215" s="1720"/>
    </row>
    <row r="216" spans="2:15" ht="15">
      <c r="B216" s="355" t="s">
        <v>2699</v>
      </c>
      <c r="C216" s="1856"/>
      <c r="D216" s="1722" t="s">
        <v>2725</v>
      </c>
      <c r="E216" s="2161">
        <v>10</v>
      </c>
      <c r="F216" s="1719" t="s">
        <v>1571</v>
      </c>
      <c r="G216" s="1725"/>
      <c r="H216" s="1801"/>
      <c r="I216" s="1801"/>
      <c r="J216" s="1801"/>
      <c r="K216" s="1802"/>
      <c r="L216" s="1727">
        <v>11000</v>
      </c>
      <c r="N216" s="1721"/>
      <c r="O216" s="1720"/>
    </row>
    <row r="217" spans="2:15" ht="15">
      <c r="B217" s="355" t="s">
        <v>2699</v>
      </c>
      <c r="C217" s="1856"/>
      <c r="D217" s="1722" t="s">
        <v>183</v>
      </c>
      <c r="E217" s="2161">
        <v>3</v>
      </c>
      <c r="F217" s="1719" t="s">
        <v>1720</v>
      </c>
      <c r="G217" s="1725"/>
      <c r="H217" s="1801"/>
      <c r="I217" s="1801"/>
      <c r="J217" s="1801"/>
      <c r="K217" s="1802"/>
      <c r="L217" s="1727">
        <v>300</v>
      </c>
      <c r="N217" s="1721"/>
      <c r="O217" s="1720"/>
    </row>
    <row r="218" spans="2:15" ht="15">
      <c r="B218" s="355" t="s">
        <v>2699</v>
      </c>
      <c r="C218" s="1856"/>
      <c r="D218" s="1722" t="s">
        <v>2689</v>
      </c>
      <c r="E218" s="2161">
        <v>10</v>
      </c>
      <c r="F218" s="1719" t="s">
        <v>2001</v>
      </c>
      <c r="G218" s="1725"/>
      <c r="H218" s="1801"/>
      <c r="I218" s="1801"/>
      <c r="J218" s="1801"/>
      <c r="K218" s="1802"/>
      <c r="L218" s="1727">
        <v>950</v>
      </c>
      <c r="N218" s="1721"/>
      <c r="O218" s="1720"/>
    </row>
    <row r="219" spans="2:15" ht="15">
      <c r="B219" s="355" t="s">
        <v>2699</v>
      </c>
      <c r="C219" s="1856"/>
      <c r="D219" s="1722" t="s">
        <v>2692</v>
      </c>
      <c r="E219" s="2161">
        <v>1</v>
      </c>
      <c r="F219" s="1719" t="s">
        <v>2676</v>
      </c>
      <c r="G219" s="1725"/>
      <c r="H219" s="1801"/>
      <c r="I219" s="1801"/>
      <c r="J219" s="1801"/>
      <c r="K219" s="1802"/>
      <c r="L219" s="1727">
        <v>5900</v>
      </c>
      <c r="N219" s="1721"/>
      <c r="O219" s="1720"/>
    </row>
    <row r="220" spans="2:15" ht="15">
      <c r="B220" s="355" t="s">
        <v>2699</v>
      </c>
      <c r="C220" s="1856"/>
      <c r="D220" s="1722" t="s">
        <v>2726</v>
      </c>
      <c r="E220" s="2161">
        <v>2</v>
      </c>
      <c r="F220" s="1719" t="s">
        <v>1571</v>
      </c>
      <c r="G220" s="1725"/>
      <c r="H220" s="1801"/>
      <c r="I220" s="1801"/>
      <c r="J220" s="1801"/>
      <c r="K220" s="1802"/>
      <c r="L220" s="1727">
        <v>400</v>
      </c>
      <c r="N220" s="1721"/>
      <c r="O220" s="1720"/>
    </row>
    <row r="221" spans="2:15" ht="15">
      <c r="B221" s="355" t="s">
        <v>2699</v>
      </c>
      <c r="C221" s="1856"/>
      <c r="D221" s="1722" t="s">
        <v>2727</v>
      </c>
      <c r="E221" s="2161">
        <v>15</v>
      </c>
      <c r="F221" s="1719" t="s">
        <v>1571</v>
      </c>
      <c r="G221" s="1725"/>
      <c r="H221" s="1801"/>
      <c r="I221" s="1801"/>
      <c r="J221" s="1801"/>
      <c r="K221" s="1802"/>
      <c r="L221" s="1727">
        <v>4500</v>
      </c>
      <c r="N221" s="1721"/>
      <c r="O221" s="1720"/>
    </row>
    <row r="222" spans="2:15" ht="15">
      <c r="B222" s="355" t="s">
        <v>2699</v>
      </c>
      <c r="C222" s="1856"/>
      <c r="D222" s="1722" t="s">
        <v>2728</v>
      </c>
      <c r="E222" s="2161">
        <v>10</v>
      </c>
      <c r="F222" s="1719" t="s">
        <v>2001</v>
      </c>
      <c r="G222" s="1725"/>
      <c r="H222" s="1801"/>
      <c r="I222" s="1801"/>
      <c r="J222" s="1801"/>
      <c r="K222" s="1802"/>
      <c r="L222" s="1727">
        <v>300</v>
      </c>
      <c r="N222" s="1721"/>
      <c r="O222" s="1720"/>
    </row>
    <row r="223" spans="2:15" ht="15">
      <c r="B223" s="355" t="s">
        <v>2699</v>
      </c>
      <c r="C223" s="1856"/>
      <c r="D223" s="1722" t="s">
        <v>2729</v>
      </c>
      <c r="E223" s="2161">
        <v>25</v>
      </c>
      <c r="F223" s="1719" t="s">
        <v>2039</v>
      </c>
      <c r="G223" s="1725"/>
      <c r="H223" s="1801"/>
      <c r="I223" s="1801"/>
      <c r="J223" s="1801"/>
      <c r="K223" s="1802"/>
      <c r="L223" s="1727">
        <v>1000</v>
      </c>
      <c r="N223" s="1721"/>
      <c r="O223" s="1720"/>
    </row>
    <row r="224" spans="2:15" ht="15">
      <c r="B224" s="355" t="s">
        <v>2699</v>
      </c>
      <c r="C224" s="1856"/>
      <c r="D224" s="1722" t="s">
        <v>2730</v>
      </c>
      <c r="E224" s="2161">
        <v>5</v>
      </c>
      <c r="F224" s="1719" t="s">
        <v>1571</v>
      </c>
      <c r="G224" s="1725"/>
      <c r="H224" s="1801"/>
      <c r="I224" s="1801"/>
      <c r="J224" s="1801"/>
      <c r="K224" s="1802"/>
      <c r="L224" s="1727">
        <v>1500</v>
      </c>
      <c r="N224" s="1721"/>
      <c r="O224" s="1720"/>
    </row>
    <row r="225" spans="2:15" ht="15">
      <c r="B225" s="355" t="s">
        <v>2699</v>
      </c>
      <c r="C225" s="1856"/>
      <c r="D225" s="1722" t="s">
        <v>2731</v>
      </c>
      <c r="E225" s="2161">
        <v>10</v>
      </c>
      <c r="F225" s="1719" t="s">
        <v>1571</v>
      </c>
      <c r="G225" s="1725"/>
      <c r="H225" s="1801"/>
      <c r="I225" s="1801"/>
      <c r="J225" s="1801"/>
      <c r="K225" s="1802"/>
      <c r="L225" s="1727">
        <v>2000</v>
      </c>
      <c r="N225" s="1721"/>
      <c r="O225" s="1720"/>
    </row>
    <row r="226" spans="2:15" ht="15">
      <c r="C226" s="2119"/>
      <c r="D226" s="2120"/>
      <c r="E226" s="2164"/>
      <c r="F226" s="2121"/>
      <c r="G226" s="2122"/>
      <c r="H226" s="2123"/>
      <c r="I226" s="2123"/>
      <c r="J226" s="2123"/>
      <c r="K226" s="2100"/>
      <c r="L226" s="2124"/>
      <c r="N226" s="1992"/>
      <c r="O226" s="1993"/>
    </row>
    <row r="227" spans="2:15" ht="15">
      <c r="C227" s="2119"/>
      <c r="D227" s="2120"/>
      <c r="E227" s="2164"/>
      <c r="F227" s="2121"/>
      <c r="G227" s="2122"/>
      <c r="H227" s="2123"/>
      <c r="I227" s="2123"/>
      <c r="J227" s="2123"/>
      <c r="K227" s="2100"/>
      <c r="L227" s="2124"/>
      <c r="N227" s="1992"/>
      <c r="O227" s="1993"/>
    </row>
    <row r="228" spans="2:15" ht="15">
      <c r="C228" s="2119"/>
      <c r="D228" s="2120"/>
      <c r="E228" s="2164"/>
      <c r="F228" s="2121"/>
      <c r="G228" s="2122"/>
      <c r="H228" s="2123"/>
      <c r="I228" s="2123"/>
      <c r="J228" s="2123"/>
      <c r="K228" s="2100"/>
      <c r="L228" s="2124"/>
      <c r="N228" s="1992"/>
      <c r="O228" s="1993"/>
    </row>
    <row r="229" spans="2:15" ht="15">
      <c r="C229" s="2119"/>
      <c r="D229" s="2120"/>
      <c r="E229" s="2164"/>
      <c r="F229" s="2121"/>
      <c r="G229" s="2122"/>
      <c r="H229" s="2123"/>
      <c r="I229" s="2123"/>
      <c r="J229" s="2123"/>
      <c r="K229" s="2100"/>
      <c r="L229" s="2124"/>
      <c r="N229" s="1992"/>
      <c r="O229" s="1993"/>
    </row>
    <row r="230" spans="2:15" ht="38.25">
      <c r="B230" s="355" t="s">
        <v>2929</v>
      </c>
      <c r="C230" s="1999" t="s">
        <v>3466</v>
      </c>
      <c r="D230" s="2125" t="s">
        <v>637</v>
      </c>
      <c r="E230" s="2015"/>
      <c r="F230" s="2011" t="s">
        <v>1764</v>
      </c>
      <c r="G230" s="2001" t="s">
        <v>1</v>
      </c>
      <c r="H230" s="2002"/>
      <c r="I230" s="2002"/>
      <c r="J230" s="2002"/>
      <c r="K230" s="2003" t="s">
        <v>748</v>
      </c>
      <c r="L230" s="2032"/>
      <c r="M230" s="2002" t="s">
        <v>2924</v>
      </c>
      <c r="N230" s="2003" t="s">
        <v>703</v>
      </c>
    </row>
    <row r="231" spans="2:15" ht="15">
      <c r="B231" s="355" t="s">
        <v>2929</v>
      </c>
      <c r="C231" s="2004"/>
      <c r="D231" s="2005" t="s">
        <v>1808</v>
      </c>
      <c r="E231" s="2056">
        <v>40</v>
      </c>
      <c r="F231" s="2035" t="s">
        <v>3420</v>
      </c>
      <c r="G231" s="2006"/>
      <c r="H231" s="2008" t="s">
        <v>2213</v>
      </c>
      <c r="I231" s="2009">
        <v>46174</v>
      </c>
      <c r="J231" s="2010" t="s">
        <v>2215</v>
      </c>
      <c r="K231" s="2030"/>
      <c r="L231" s="2033">
        <v>5200</v>
      </c>
      <c r="M231" s="2031"/>
      <c r="N231" s="2011"/>
    </row>
    <row r="232" spans="2:15" ht="15">
      <c r="B232" s="355" t="s">
        <v>2929</v>
      </c>
      <c r="C232" s="2004"/>
      <c r="D232" s="2005" t="s">
        <v>3467</v>
      </c>
      <c r="E232" s="2056">
        <v>200</v>
      </c>
      <c r="F232" s="2035" t="s">
        <v>1885</v>
      </c>
      <c r="G232" s="2006"/>
      <c r="H232" s="2008"/>
      <c r="I232" s="2008"/>
      <c r="J232" s="1588" t="s">
        <v>2927</v>
      </c>
      <c r="K232" s="2030"/>
      <c r="L232" s="2033">
        <v>1100</v>
      </c>
      <c r="M232" s="2031"/>
      <c r="N232" s="2011"/>
    </row>
    <row r="233" spans="2:15" ht="15">
      <c r="B233" s="355" t="s">
        <v>2929</v>
      </c>
      <c r="C233" s="2004"/>
      <c r="D233" s="2005" t="s">
        <v>3468</v>
      </c>
      <c r="E233" s="2056">
        <v>200</v>
      </c>
      <c r="F233" s="2035" t="s">
        <v>1885</v>
      </c>
      <c r="G233" s="2122"/>
      <c r="H233" s="2123"/>
      <c r="I233" s="2123"/>
      <c r="J233" s="2123"/>
      <c r="K233" s="2100"/>
      <c r="L233" s="2033">
        <v>1100</v>
      </c>
      <c r="N233" s="1992"/>
      <c r="O233" s="1993"/>
    </row>
    <row r="234" spans="2:15" ht="15">
      <c r="B234" s="355" t="s">
        <v>2929</v>
      </c>
      <c r="C234" s="2004"/>
      <c r="D234" s="2005" t="s">
        <v>3469</v>
      </c>
      <c r="E234" s="2056">
        <v>200</v>
      </c>
      <c r="F234" s="2035" t="s">
        <v>1885</v>
      </c>
      <c r="G234" s="2122"/>
      <c r="H234" s="2123"/>
      <c r="I234" s="2123"/>
      <c r="J234" s="2123"/>
      <c r="K234" s="2100"/>
      <c r="L234" s="2033">
        <v>1100</v>
      </c>
      <c r="N234" s="1992"/>
      <c r="O234" s="1993"/>
    </row>
    <row r="235" spans="2:15" ht="15">
      <c r="B235" s="355" t="s">
        <v>2929</v>
      </c>
      <c r="C235" s="2004"/>
      <c r="D235" s="2005" t="s">
        <v>1923</v>
      </c>
      <c r="E235" s="2056">
        <v>50</v>
      </c>
      <c r="F235" s="2035" t="s">
        <v>1885</v>
      </c>
      <c r="G235" s="2122"/>
      <c r="H235" s="2123"/>
      <c r="I235" s="2123"/>
      <c r="J235" s="2123"/>
      <c r="K235" s="2100"/>
      <c r="L235" s="2033">
        <v>750</v>
      </c>
      <c r="N235" s="1992"/>
      <c r="O235" s="1993"/>
    </row>
    <row r="236" spans="2:15" ht="15">
      <c r="B236" s="355" t="s">
        <v>2929</v>
      </c>
      <c r="C236" s="2004"/>
      <c r="D236" s="2005" t="s">
        <v>3470</v>
      </c>
      <c r="E236" s="2056">
        <v>40</v>
      </c>
      <c r="F236" s="2035" t="s">
        <v>3471</v>
      </c>
      <c r="G236" s="2122"/>
      <c r="H236" s="2123"/>
      <c r="I236" s="2123"/>
      <c r="J236" s="2123"/>
      <c r="K236" s="2100"/>
      <c r="L236" s="2033">
        <v>14000</v>
      </c>
      <c r="N236" s="1992"/>
      <c r="O236" s="1993"/>
    </row>
    <row r="237" spans="2:15" ht="15">
      <c r="B237" s="355" t="s">
        <v>2929</v>
      </c>
      <c r="C237" s="2004"/>
      <c r="D237" s="2005" t="s">
        <v>3472</v>
      </c>
      <c r="E237" s="2056">
        <v>120</v>
      </c>
      <c r="F237" s="2035" t="s">
        <v>3393</v>
      </c>
      <c r="G237" s="2122"/>
      <c r="H237" s="2123"/>
      <c r="I237" s="2123"/>
      <c r="J237" s="2123"/>
      <c r="K237" s="2100"/>
      <c r="L237" s="2033">
        <v>27600</v>
      </c>
      <c r="N237" s="1992"/>
      <c r="O237" s="1993"/>
    </row>
    <row r="238" spans="2:15" ht="15">
      <c r="B238" s="355" t="s">
        <v>2929</v>
      </c>
      <c r="C238" s="2004"/>
      <c r="D238" s="2005" t="s">
        <v>3473</v>
      </c>
      <c r="E238" s="2056">
        <v>120</v>
      </c>
      <c r="F238" s="2035" t="s">
        <v>3393</v>
      </c>
      <c r="G238" s="2122"/>
      <c r="H238" s="2123"/>
      <c r="I238" s="2123"/>
      <c r="J238" s="2123"/>
      <c r="K238" s="2100"/>
      <c r="L238" s="2033">
        <v>28200</v>
      </c>
      <c r="N238" s="1992"/>
      <c r="O238" s="1993"/>
    </row>
    <row r="239" spans="2:15" ht="15">
      <c r="B239" s="355" t="s">
        <v>2929</v>
      </c>
      <c r="C239" s="2004"/>
      <c r="D239" s="2005" t="s">
        <v>3474</v>
      </c>
      <c r="E239" s="2056">
        <v>120</v>
      </c>
      <c r="F239" s="2035" t="s">
        <v>3393</v>
      </c>
      <c r="G239" s="2122"/>
      <c r="H239" s="2123"/>
      <c r="I239" s="2123"/>
      <c r="J239" s="2123"/>
      <c r="K239" s="2100"/>
      <c r="L239" s="2033">
        <v>21000</v>
      </c>
      <c r="N239" s="1992"/>
      <c r="O239" s="1993"/>
    </row>
    <row r="240" spans="2:15" ht="15">
      <c r="B240" s="355" t="s">
        <v>2929</v>
      </c>
      <c r="C240" s="2004"/>
      <c r="D240" s="2005" t="s">
        <v>3475</v>
      </c>
      <c r="E240" s="2056">
        <v>70</v>
      </c>
      <c r="F240" s="2035" t="s">
        <v>3393</v>
      </c>
      <c r="G240" s="2122"/>
      <c r="H240" s="2123"/>
      <c r="I240" s="2123"/>
      <c r="J240" s="2123"/>
      <c r="K240" s="2100"/>
      <c r="L240" s="2033">
        <v>21000</v>
      </c>
      <c r="N240" s="1992"/>
      <c r="O240" s="1993"/>
    </row>
    <row r="241" spans="2:15" ht="15">
      <c r="B241" s="355" t="s">
        <v>2929</v>
      </c>
      <c r="C241" s="2004"/>
      <c r="D241" s="2005" t="s">
        <v>3476</v>
      </c>
      <c r="E241" s="2056">
        <v>70</v>
      </c>
      <c r="F241" s="2035" t="s">
        <v>3393</v>
      </c>
      <c r="G241" s="2122"/>
      <c r="H241" s="2123"/>
      <c r="I241" s="2123"/>
      <c r="J241" s="2123"/>
      <c r="K241" s="2100"/>
      <c r="L241" s="2033">
        <v>21000</v>
      </c>
      <c r="N241" s="1992"/>
      <c r="O241" s="1993"/>
    </row>
    <row r="242" spans="2:15" ht="15">
      <c r="B242" s="355" t="s">
        <v>2929</v>
      </c>
      <c r="C242" s="2004"/>
      <c r="D242" s="2005" t="s">
        <v>3477</v>
      </c>
      <c r="E242" s="2056">
        <v>10</v>
      </c>
      <c r="F242" s="2035" t="s">
        <v>377</v>
      </c>
      <c r="G242" s="2122"/>
      <c r="H242" s="2123"/>
      <c r="I242" s="2123"/>
      <c r="J242" s="2123"/>
      <c r="K242" s="2100"/>
      <c r="L242" s="2033">
        <v>2000</v>
      </c>
      <c r="N242" s="1992"/>
      <c r="O242" s="1993"/>
    </row>
    <row r="243" spans="2:15" ht="15">
      <c r="B243" s="355" t="s">
        <v>2929</v>
      </c>
      <c r="C243" s="2004"/>
      <c r="D243" s="2005" t="s">
        <v>3478</v>
      </c>
      <c r="E243" s="2056">
        <v>50</v>
      </c>
      <c r="F243" s="2035" t="s">
        <v>3479</v>
      </c>
      <c r="G243" s="2122"/>
      <c r="H243" s="2123"/>
      <c r="I243" s="2123"/>
      <c r="J243" s="2123"/>
      <c r="K243" s="2100"/>
      <c r="L243" s="2033">
        <v>7000</v>
      </c>
      <c r="N243" s="1992"/>
      <c r="O243" s="1993"/>
    </row>
    <row r="244" spans="2:15" ht="15">
      <c r="B244" s="355" t="s">
        <v>2929</v>
      </c>
      <c r="C244" s="2004"/>
      <c r="D244" s="2005" t="s">
        <v>3480</v>
      </c>
      <c r="E244" s="2056">
        <v>50</v>
      </c>
      <c r="F244" s="2035" t="s">
        <v>3352</v>
      </c>
      <c r="G244" s="2122"/>
      <c r="H244" s="2123"/>
      <c r="I244" s="2123"/>
      <c r="J244" s="2123"/>
      <c r="K244" s="2100"/>
      <c r="L244" s="2033">
        <v>3000</v>
      </c>
      <c r="N244" s="1992"/>
      <c r="O244" s="1993"/>
    </row>
    <row r="245" spans="2:15" ht="15">
      <c r="B245" s="355" t="s">
        <v>2929</v>
      </c>
      <c r="C245" s="2004"/>
      <c r="D245" s="2005" t="s">
        <v>3481</v>
      </c>
      <c r="E245" s="2056">
        <v>40</v>
      </c>
      <c r="F245" s="2035" t="s">
        <v>3352</v>
      </c>
      <c r="G245" s="2122"/>
      <c r="H245" s="2123"/>
      <c r="I245" s="2123"/>
      <c r="J245" s="2123"/>
      <c r="K245" s="2100"/>
      <c r="L245" s="2033">
        <v>6800</v>
      </c>
      <c r="N245" s="1992"/>
      <c r="O245" s="1993"/>
    </row>
    <row r="246" spans="2:15" ht="15">
      <c r="B246" s="355" t="s">
        <v>2929</v>
      </c>
      <c r="C246" s="2004"/>
      <c r="D246" s="2005" t="s">
        <v>3482</v>
      </c>
      <c r="E246" s="2056">
        <v>40</v>
      </c>
      <c r="F246" s="2035" t="s">
        <v>1885</v>
      </c>
      <c r="G246" s="2122"/>
      <c r="H246" s="2123"/>
      <c r="I246" s="2123"/>
      <c r="J246" s="2123"/>
      <c r="K246" s="2100"/>
      <c r="L246" s="2033">
        <v>2800</v>
      </c>
      <c r="N246" s="1992"/>
      <c r="O246" s="1993"/>
    </row>
    <row r="247" spans="2:15" ht="15">
      <c r="B247" s="355" t="s">
        <v>2929</v>
      </c>
      <c r="C247" s="2004"/>
      <c r="D247" s="2005" t="s">
        <v>3483</v>
      </c>
      <c r="E247" s="2056">
        <v>300</v>
      </c>
      <c r="F247" s="2035" t="s">
        <v>1885</v>
      </c>
      <c r="G247" s="2122"/>
      <c r="H247" s="2123"/>
      <c r="I247" s="2123"/>
      <c r="J247" s="2123"/>
      <c r="K247" s="2100"/>
      <c r="L247" s="2033">
        <v>2100</v>
      </c>
      <c r="N247" s="1992"/>
      <c r="O247" s="1993"/>
    </row>
    <row r="248" spans="2:15" ht="15">
      <c r="B248" s="355" t="s">
        <v>2929</v>
      </c>
      <c r="C248" s="2004"/>
      <c r="D248" s="2005" t="s">
        <v>3484</v>
      </c>
      <c r="E248" s="2056">
        <v>30</v>
      </c>
      <c r="F248" s="2035" t="s">
        <v>1885</v>
      </c>
      <c r="G248" s="2122"/>
      <c r="H248" s="2123"/>
      <c r="I248" s="2123"/>
      <c r="J248" s="2123"/>
      <c r="K248" s="2100"/>
      <c r="L248" s="2033">
        <v>450</v>
      </c>
      <c r="N248" s="1992"/>
      <c r="O248" s="1993"/>
    </row>
    <row r="249" spans="2:15" ht="15">
      <c r="B249" s="355" t="s">
        <v>2929</v>
      </c>
      <c r="C249" s="2004"/>
      <c r="D249" s="2005" t="s">
        <v>3485</v>
      </c>
      <c r="E249" s="2056">
        <v>30</v>
      </c>
      <c r="F249" s="2035" t="s">
        <v>3486</v>
      </c>
      <c r="G249" s="2122"/>
      <c r="H249" s="2123"/>
      <c r="I249" s="2123"/>
      <c r="J249" s="2123"/>
      <c r="K249" s="2100"/>
      <c r="L249" s="2033">
        <v>1950</v>
      </c>
      <c r="N249" s="1992"/>
      <c r="O249" s="1993"/>
    </row>
    <row r="250" spans="2:15" ht="15">
      <c r="B250" s="355" t="s">
        <v>2929</v>
      </c>
      <c r="C250" s="2004"/>
      <c r="D250" s="2005" t="s">
        <v>3487</v>
      </c>
      <c r="E250" s="2056">
        <v>30</v>
      </c>
      <c r="F250" s="2035" t="s">
        <v>3488</v>
      </c>
      <c r="G250" s="2122"/>
      <c r="H250" s="2123"/>
      <c r="I250" s="2123"/>
      <c r="J250" s="2123"/>
      <c r="K250" s="2100"/>
      <c r="L250" s="2033">
        <v>2550</v>
      </c>
      <c r="N250" s="1992"/>
      <c r="O250" s="1993"/>
    </row>
    <row r="251" spans="2:15" ht="15">
      <c r="B251" s="355" t="s">
        <v>2929</v>
      </c>
      <c r="C251" s="2004"/>
      <c r="D251" s="2005" t="s">
        <v>3489</v>
      </c>
      <c r="E251" s="2056">
        <v>50</v>
      </c>
      <c r="F251" s="2035" t="s">
        <v>1885</v>
      </c>
      <c r="G251" s="2122"/>
      <c r="H251" s="2123"/>
      <c r="I251" s="2123"/>
      <c r="J251" s="2123"/>
      <c r="K251" s="2100"/>
      <c r="L251" s="2033">
        <v>4500</v>
      </c>
      <c r="N251" s="1992"/>
      <c r="O251" s="1993"/>
    </row>
    <row r="252" spans="2:15" ht="15">
      <c r="B252" s="355" t="s">
        <v>2929</v>
      </c>
      <c r="C252" s="2004"/>
      <c r="D252" s="2005" t="s">
        <v>475</v>
      </c>
      <c r="E252" s="2056">
        <v>20</v>
      </c>
      <c r="F252" s="2035" t="s">
        <v>3471</v>
      </c>
      <c r="G252" s="2122"/>
      <c r="H252" s="2123"/>
      <c r="I252" s="2123"/>
      <c r="J252" s="2123"/>
      <c r="K252" s="2100"/>
      <c r="L252" s="2033">
        <v>300</v>
      </c>
      <c r="N252" s="1992"/>
      <c r="O252" s="1993"/>
    </row>
    <row r="253" spans="2:15" ht="15">
      <c r="B253" s="355" t="s">
        <v>2929</v>
      </c>
      <c r="C253" s="2004"/>
      <c r="D253" s="2005" t="s">
        <v>3490</v>
      </c>
      <c r="E253" s="2056">
        <v>20</v>
      </c>
      <c r="F253" s="2035" t="s">
        <v>3471</v>
      </c>
      <c r="G253" s="2122"/>
      <c r="H253" s="2123"/>
      <c r="I253" s="2123"/>
      <c r="J253" s="2123"/>
      <c r="K253" s="2100"/>
      <c r="L253" s="2033">
        <v>3100</v>
      </c>
      <c r="N253" s="1992"/>
      <c r="O253" s="1993"/>
    </row>
    <row r="254" spans="2:15" ht="15">
      <c r="B254" s="355" t="s">
        <v>2929</v>
      </c>
      <c r="C254" s="2004"/>
      <c r="D254" s="2005" t="s">
        <v>3491</v>
      </c>
      <c r="E254" s="2056">
        <v>30</v>
      </c>
      <c r="F254" s="2035" t="s">
        <v>3420</v>
      </c>
      <c r="G254" s="2122"/>
      <c r="H254" s="2123"/>
      <c r="I254" s="2123"/>
      <c r="J254" s="2123"/>
      <c r="K254" s="2100"/>
      <c r="L254" s="2033">
        <v>4500</v>
      </c>
      <c r="N254" s="1992"/>
      <c r="O254" s="1993"/>
    </row>
    <row r="255" spans="2:15" ht="15">
      <c r="B255" s="355" t="s">
        <v>2929</v>
      </c>
      <c r="C255" s="2004"/>
      <c r="D255" s="2005" t="s">
        <v>3492</v>
      </c>
      <c r="E255" s="2056">
        <v>30</v>
      </c>
      <c r="F255" s="2035" t="s">
        <v>3493</v>
      </c>
      <c r="G255" s="2122"/>
      <c r="H255" s="2123"/>
      <c r="I255" s="2123"/>
      <c r="J255" s="2123"/>
      <c r="K255" s="2100"/>
      <c r="L255" s="2033">
        <v>900</v>
      </c>
      <c r="N255" s="1992"/>
      <c r="O255" s="1993"/>
    </row>
    <row r="256" spans="2:15" ht="15">
      <c r="B256" s="355" t="s">
        <v>2929</v>
      </c>
      <c r="C256" s="2004"/>
      <c r="D256" s="2005" t="s">
        <v>3494</v>
      </c>
      <c r="E256" s="2056">
        <v>36</v>
      </c>
      <c r="F256" s="2035" t="s">
        <v>1885</v>
      </c>
      <c r="G256" s="2122"/>
      <c r="H256" s="2123"/>
      <c r="I256" s="2123"/>
      <c r="J256" s="2123"/>
      <c r="K256" s="2100"/>
      <c r="L256" s="2033">
        <v>9000</v>
      </c>
      <c r="N256" s="1992"/>
      <c r="O256" s="1993"/>
    </row>
    <row r="257" spans="2:15" ht="15">
      <c r="B257" s="355" t="s">
        <v>2929</v>
      </c>
      <c r="C257" s="2004"/>
      <c r="D257" s="2005" t="s">
        <v>3495</v>
      </c>
      <c r="E257" s="2056">
        <v>500</v>
      </c>
      <c r="F257" s="2035" t="s">
        <v>2990</v>
      </c>
      <c r="G257" s="2122"/>
      <c r="H257" s="2123"/>
      <c r="I257" s="2123"/>
      <c r="J257" s="2123"/>
      <c r="K257" s="2100"/>
      <c r="L257" s="2033">
        <v>5500</v>
      </c>
      <c r="N257" s="1992"/>
      <c r="O257" s="1993"/>
    </row>
    <row r="258" spans="2:15" ht="15">
      <c r="B258" s="355" t="s">
        <v>2929</v>
      </c>
      <c r="C258" s="2004"/>
      <c r="D258" s="2005" t="s">
        <v>3496</v>
      </c>
      <c r="E258" s="2056">
        <v>300</v>
      </c>
      <c r="F258" s="2035" t="s">
        <v>2990</v>
      </c>
      <c r="G258" s="2122"/>
      <c r="H258" s="2123"/>
      <c r="I258" s="2123"/>
      <c r="J258" s="2123"/>
      <c r="K258" s="2100"/>
      <c r="L258" s="2033">
        <v>2400</v>
      </c>
      <c r="N258" s="1992"/>
      <c r="O258" s="1993"/>
    </row>
    <row r="259" spans="2:15" ht="15">
      <c r="B259" s="355" t="s">
        <v>2929</v>
      </c>
      <c r="C259" s="2004"/>
      <c r="D259" s="2005" t="s">
        <v>3497</v>
      </c>
      <c r="E259" s="2056">
        <v>100</v>
      </c>
      <c r="F259" s="2035" t="s">
        <v>3233</v>
      </c>
      <c r="G259" s="2122"/>
      <c r="H259" s="2123"/>
      <c r="I259" s="2123"/>
      <c r="J259" s="2123"/>
      <c r="K259" s="2100"/>
      <c r="L259" s="2033">
        <v>7000</v>
      </c>
      <c r="N259" s="1992"/>
      <c r="O259" s="1993"/>
    </row>
    <row r="260" spans="2:15" ht="15">
      <c r="B260" s="355" t="s">
        <v>2929</v>
      </c>
      <c r="C260" s="2004"/>
      <c r="D260" s="2005" t="s">
        <v>3498</v>
      </c>
      <c r="E260" s="2056">
        <v>45</v>
      </c>
      <c r="F260" s="2035" t="s">
        <v>3416</v>
      </c>
      <c r="G260" s="2122"/>
      <c r="H260" s="2123"/>
      <c r="I260" s="2123"/>
      <c r="J260" s="2123"/>
      <c r="K260" s="2100"/>
      <c r="L260" s="2033">
        <v>8100</v>
      </c>
      <c r="N260" s="1992"/>
      <c r="O260" s="1993"/>
    </row>
    <row r="261" spans="2:15" ht="15">
      <c r="B261" s="355" t="s">
        <v>2929</v>
      </c>
      <c r="C261" s="2004"/>
      <c r="D261" s="2005" t="s">
        <v>3499</v>
      </c>
      <c r="E261" s="2056">
        <v>10</v>
      </c>
      <c r="F261" s="2035" t="s">
        <v>3004</v>
      </c>
      <c r="G261" s="2122"/>
      <c r="H261" s="2123"/>
      <c r="I261" s="2123"/>
      <c r="J261" s="2123"/>
      <c r="K261" s="2100"/>
      <c r="L261" s="2033">
        <v>60</v>
      </c>
      <c r="N261" s="1992"/>
      <c r="O261" s="1993"/>
    </row>
    <row r="262" spans="2:15" ht="15">
      <c r="B262" s="355" t="s">
        <v>2929</v>
      </c>
      <c r="C262" s="2004"/>
      <c r="D262" s="2005" t="s">
        <v>3500</v>
      </c>
      <c r="E262" s="2056">
        <v>20</v>
      </c>
      <c r="F262" s="2035" t="s">
        <v>1885</v>
      </c>
      <c r="G262" s="2122"/>
      <c r="H262" s="2123"/>
      <c r="I262" s="2123"/>
      <c r="J262" s="2123"/>
      <c r="K262" s="2100"/>
      <c r="L262" s="2033">
        <v>400</v>
      </c>
      <c r="N262" s="1992"/>
      <c r="O262" s="1993"/>
    </row>
    <row r="263" spans="2:15" ht="15">
      <c r="B263" s="355" t="s">
        <v>2929</v>
      </c>
      <c r="C263" s="2004"/>
      <c r="D263" s="2005" t="s">
        <v>3501</v>
      </c>
      <c r="E263" s="2056">
        <v>8</v>
      </c>
      <c r="F263" s="2035" t="s">
        <v>3408</v>
      </c>
      <c r="G263" s="2122"/>
      <c r="H263" s="2123"/>
      <c r="I263" s="2123"/>
      <c r="J263" s="2123"/>
      <c r="K263" s="2100"/>
      <c r="L263" s="2033">
        <v>200</v>
      </c>
      <c r="N263" s="1992"/>
      <c r="O263" s="1993"/>
    </row>
    <row r="264" spans="2:15" ht="15">
      <c r="B264" s="355" t="s">
        <v>2929</v>
      </c>
      <c r="C264" s="2004"/>
      <c r="D264" s="2005" t="s">
        <v>3502</v>
      </c>
      <c r="E264" s="2056">
        <v>5</v>
      </c>
      <c r="F264" s="2035" t="s">
        <v>3167</v>
      </c>
      <c r="G264" s="2122"/>
      <c r="H264" s="2123"/>
      <c r="I264" s="2123"/>
      <c r="J264" s="2123"/>
      <c r="K264" s="2100"/>
      <c r="L264" s="2033">
        <v>6250</v>
      </c>
      <c r="N264" s="1992"/>
      <c r="O264" s="1993"/>
    </row>
    <row r="265" spans="2:15" ht="15">
      <c r="B265" s="355" t="s">
        <v>2929</v>
      </c>
      <c r="C265" s="2004"/>
      <c r="D265" s="2005" t="s">
        <v>3503</v>
      </c>
      <c r="E265" s="2056">
        <v>30</v>
      </c>
      <c r="F265" s="2035" t="s">
        <v>3504</v>
      </c>
      <c r="G265" s="2122"/>
      <c r="H265" s="2123"/>
      <c r="I265" s="2123"/>
      <c r="J265" s="2123"/>
      <c r="K265" s="2100"/>
      <c r="L265" s="2033">
        <v>600</v>
      </c>
      <c r="N265" s="1992"/>
      <c r="O265" s="1993"/>
    </row>
    <row r="266" spans="2:15" ht="15">
      <c r="B266" s="355" t="s">
        <v>2929</v>
      </c>
      <c r="C266" s="2004"/>
      <c r="D266" s="2005" t="s">
        <v>2066</v>
      </c>
      <c r="E266" s="2056">
        <v>10</v>
      </c>
      <c r="F266" s="2035" t="s">
        <v>3007</v>
      </c>
      <c r="G266" s="2122"/>
      <c r="H266" s="2123"/>
      <c r="I266" s="2123"/>
      <c r="J266" s="2123"/>
      <c r="K266" s="2100"/>
      <c r="L266" s="2033">
        <v>450</v>
      </c>
      <c r="N266" s="1992"/>
      <c r="O266" s="1993"/>
    </row>
    <row r="267" spans="2:15" ht="15">
      <c r="B267" s="355" t="s">
        <v>2929</v>
      </c>
      <c r="C267" s="2004"/>
      <c r="D267" s="2005" t="s">
        <v>3505</v>
      </c>
      <c r="E267" s="2056">
        <v>10</v>
      </c>
      <c r="F267" s="2035" t="s">
        <v>3004</v>
      </c>
      <c r="G267" s="2122"/>
      <c r="H267" s="2123"/>
      <c r="I267" s="2123"/>
      <c r="J267" s="2123"/>
      <c r="K267" s="2100"/>
      <c r="L267" s="2033">
        <v>400</v>
      </c>
      <c r="N267" s="1992"/>
      <c r="O267" s="1993"/>
    </row>
    <row r="268" spans="2:15" ht="15">
      <c r="B268" s="355" t="s">
        <v>2929</v>
      </c>
      <c r="C268" s="2004"/>
      <c r="D268" s="2005" t="s">
        <v>3506</v>
      </c>
      <c r="E268" s="2056">
        <v>10</v>
      </c>
      <c r="F268" s="2035" t="s">
        <v>1885</v>
      </c>
      <c r="G268" s="2122"/>
      <c r="H268" s="2123"/>
      <c r="I268" s="2123"/>
      <c r="J268" s="2123"/>
      <c r="K268" s="2100"/>
      <c r="L268" s="2033">
        <v>500</v>
      </c>
      <c r="N268" s="1992"/>
      <c r="O268" s="1993"/>
    </row>
    <row r="269" spans="2:15" ht="15">
      <c r="B269" s="355" t="s">
        <v>2929</v>
      </c>
      <c r="C269" s="2004"/>
      <c r="D269" s="2005" t="s">
        <v>3507</v>
      </c>
      <c r="E269" s="2056">
        <v>5</v>
      </c>
      <c r="F269" s="2035" t="s">
        <v>3275</v>
      </c>
      <c r="G269" s="2122"/>
      <c r="H269" s="2123"/>
      <c r="I269" s="2123"/>
      <c r="J269" s="2123"/>
      <c r="K269" s="2100"/>
      <c r="L269" s="2033">
        <v>450</v>
      </c>
      <c r="N269" s="1992"/>
      <c r="O269" s="1993"/>
    </row>
    <row r="270" spans="2:15" ht="15">
      <c r="B270" s="355" t="s">
        <v>2929</v>
      </c>
      <c r="C270" s="2004"/>
      <c r="D270" s="2005" t="s">
        <v>3508</v>
      </c>
      <c r="E270" s="2056"/>
      <c r="F270" s="2035"/>
      <c r="G270" s="2122"/>
      <c r="H270" s="2123"/>
      <c r="I270" s="2123"/>
      <c r="J270" s="2123"/>
      <c r="K270" s="2100"/>
      <c r="L270" s="2033" t="s">
        <v>3417</v>
      </c>
      <c r="N270" s="1992"/>
      <c r="O270" s="1993"/>
    </row>
    <row r="271" spans="2:15" ht="15">
      <c r="B271" s="355" t="s">
        <v>2929</v>
      </c>
      <c r="C271" s="2004"/>
      <c r="D271" s="2005" t="s">
        <v>183</v>
      </c>
      <c r="E271" s="2056">
        <v>10</v>
      </c>
      <c r="F271" s="2035" t="s">
        <v>1885</v>
      </c>
      <c r="G271" s="2122"/>
      <c r="H271" s="2123"/>
      <c r="I271" s="2123"/>
      <c r="J271" s="2123"/>
      <c r="K271" s="2100"/>
      <c r="L271" s="2033">
        <v>100</v>
      </c>
      <c r="N271" s="1992"/>
      <c r="O271" s="1993"/>
    </row>
    <row r="272" spans="2:15" ht="15">
      <c r="B272" s="355" t="s">
        <v>2929</v>
      </c>
      <c r="C272" s="2004"/>
      <c r="D272" s="2005" t="s">
        <v>3509</v>
      </c>
      <c r="E272" s="2056">
        <v>16</v>
      </c>
      <c r="F272" s="2035" t="s">
        <v>1885</v>
      </c>
      <c r="G272" s="2122"/>
      <c r="H272" s="2123"/>
      <c r="I272" s="2123"/>
      <c r="J272" s="2123"/>
      <c r="K272" s="2100"/>
      <c r="L272" s="2033">
        <v>928</v>
      </c>
      <c r="N272" s="1992"/>
      <c r="O272" s="1993"/>
    </row>
    <row r="273" spans="2:15" ht="15">
      <c r="B273" s="355" t="s">
        <v>2929</v>
      </c>
      <c r="C273" s="2004"/>
      <c r="D273" s="2005" t="s">
        <v>3510</v>
      </c>
      <c r="E273" s="2056">
        <v>16</v>
      </c>
      <c r="F273" s="2035" t="s">
        <v>1885</v>
      </c>
      <c r="G273" s="2122"/>
      <c r="H273" s="2123"/>
      <c r="I273" s="2123"/>
      <c r="J273" s="2123"/>
      <c r="K273" s="2100"/>
      <c r="L273" s="2033">
        <v>494.36</v>
      </c>
      <c r="N273" s="1992"/>
      <c r="O273" s="1993"/>
    </row>
    <row r="274" spans="2:15" ht="15">
      <c r="B274" s="355" t="s">
        <v>2929</v>
      </c>
      <c r="C274" s="2004"/>
      <c r="D274" s="2113" t="s">
        <v>3511</v>
      </c>
      <c r="E274" s="2056">
        <v>60</v>
      </c>
      <c r="F274" s="2035" t="s">
        <v>1885</v>
      </c>
      <c r="G274" s="2122"/>
      <c r="H274" s="2123"/>
      <c r="I274" s="2123"/>
      <c r="J274" s="2123"/>
      <c r="K274" s="2100"/>
      <c r="L274" s="2033">
        <v>8100</v>
      </c>
      <c r="N274" s="1992"/>
      <c r="O274" s="1993"/>
    </row>
    <row r="275" spans="2:15" ht="15">
      <c r="B275" s="355" t="s">
        <v>2929</v>
      </c>
      <c r="C275" s="2004"/>
      <c r="D275" s="2113" t="s">
        <v>1263</v>
      </c>
      <c r="E275" s="2056">
        <v>80</v>
      </c>
      <c r="F275" s="2035" t="s">
        <v>3486</v>
      </c>
      <c r="G275" s="2122"/>
      <c r="H275" s="2123"/>
      <c r="I275" s="2123"/>
      <c r="J275" s="2123"/>
      <c r="K275" s="2100"/>
      <c r="L275" s="2033">
        <v>4000</v>
      </c>
      <c r="N275" s="1992"/>
      <c r="O275" s="1993"/>
    </row>
    <row r="276" spans="2:15" ht="15">
      <c r="B276" s="355" t="s">
        <v>2929</v>
      </c>
      <c r="C276" s="2004"/>
      <c r="D276" s="2113" t="s">
        <v>3512</v>
      </c>
      <c r="E276" s="2056">
        <v>10</v>
      </c>
      <c r="F276" s="2035" t="s">
        <v>1885</v>
      </c>
      <c r="G276" s="2122"/>
      <c r="H276" s="2123"/>
      <c r="I276" s="2123"/>
      <c r="J276" s="2123"/>
      <c r="K276" s="2100"/>
      <c r="L276" s="2033">
        <v>350</v>
      </c>
      <c r="N276" s="1992"/>
      <c r="O276" s="1993"/>
    </row>
    <row r="277" spans="2:15" ht="15">
      <c r="B277" s="355" t="s">
        <v>2929</v>
      </c>
      <c r="C277" s="2004"/>
      <c r="D277" s="2113" t="s">
        <v>3513</v>
      </c>
      <c r="E277" s="2056">
        <v>10</v>
      </c>
      <c r="F277" s="2035" t="s">
        <v>1885</v>
      </c>
      <c r="G277" s="2122"/>
      <c r="H277" s="2123"/>
      <c r="I277" s="2123"/>
      <c r="J277" s="2123"/>
      <c r="K277" s="2100"/>
      <c r="L277" s="2033">
        <v>500</v>
      </c>
      <c r="N277" s="1992"/>
      <c r="O277" s="1993"/>
    </row>
    <row r="278" spans="2:15" ht="15">
      <c r="B278" s="355" t="s">
        <v>2929</v>
      </c>
      <c r="C278" s="2004"/>
      <c r="D278" s="2113" t="s">
        <v>3514</v>
      </c>
      <c r="E278" s="2056">
        <v>10</v>
      </c>
      <c r="F278" s="2035" t="s">
        <v>3408</v>
      </c>
      <c r="G278" s="2122"/>
      <c r="H278" s="2123"/>
      <c r="I278" s="2123"/>
      <c r="J278" s="2123"/>
      <c r="K278" s="2100"/>
      <c r="L278" s="2033">
        <v>260</v>
      </c>
      <c r="N278" s="1992"/>
      <c r="O278" s="1993"/>
    </row>
    <row r="279" spans="2:15" ht="15">
      <c r="B279" s="355" t="s">
        <v>2929</v>
      </c>
      <c r="C279" s="2004"/>
      <c r="D279" s="2113" t="s">
        <v>3515</v>
      </c>
      <c r="E279" s="2056">
        <v>30</v>
      </c>
      <c r="F279" s="2035" t="s">
        <v>1885</v>
      </c>
      <c r="G279" s="2122"/>
      <c r="H279" s="2123"/>
      <c r="I279" s="2123"/>
      <c r="J279" s="2123"/>
      <c r="K279" s="2100"/>
      <c r="L279" s="2033">
        <v>1050</v>
      </c>
      <c r="N279" s="1992"/>
      <c r="O279" s="1993"/>
    </row>
    <row r="280" spans="2:15" ht="15">
      <c r="B280" s="355" t="s">
        <v>2929</v>
      </c>
      <c r="C280" s="2004"/>
      <c r="D280" s="2113" t="s">
        <v>3516</v>
      </c>
      <c r="E280" s="2056">
        <v>10</v>
      </c>
      <c r="F280" s="2035" t="s">
        <v>1885</v>
      </c>
      <c r="G280" s="2122"/>
      <c r="H280" s="2123"/>
      <c r="I280" s="2123"/>
      <c r="J280" s="2123"/>
      <c r="K280" s="2100"/>
      <c r="L280" s="2033">
        <v>70</v>
      </c>
      <c r="N280" s="1992"/>
      <c r="O280" s="1993"/>
    </row>
    <row r="281" spans="2:15" ht="15">
      <c r="B281" s="355" t="s">
        <v>2929</v>
      </c>
      <c r="C281" s="2004"/>
      <c r="D281" s="2113" t="s">
        <v>3517</v>
      </c>
      <c r="E281" s="2056">
        <v>20</v>
      </c>
      <c r="F281" s="2035" t="s">
        <v>2990</v>
      </c>
      <c r="L281" s="2033">
        <v>1300</v>
      </c>
    </row>
    <row r="282" spans="2:15" ht="15">
      <c r="B282" s="355" t="s">
        <v>2929</v>
      </c>
      <c r="C282" s="2004"/>
      <c r="D282" s="2113" t="s">
        <v>3518</v>
      </c>
      <c r="E282" s="2056">
        <v>10</v>
      </c>
      <c r="F282" s="2035" t="s">
        <v>3007</v>
      </c>
      <c r="L282" s="2033">
        <v>150</v>
      </c>
    </row>
    <row r="283" spans="2:15" ht="15">
      <c r="B283" s="355" t="s">
        <v>2929</v>
      </c>
      <c r="C283" s="2004"/>
      <c r="D283" s="2113" t="s">
        <v>1803</v>
      </c>
      <c r="E283" s="2056">
        <v>10</v>
      </c>
      <c r="F283" s="2035" t="s">
        <v>3007</v>
      </c>
      <c r="L283" s="2033">
        <v>1050</v>
      </c>
    </row>
    <row r="284" spans="2:15" ht="15">
      <c r="B284" s="355" t="s">
        <v>2929</v>
      </c>
      <c r="C284" s="2004"/>
      <c r="D284" s="2113" t="s">
        <v>1019</v>
      </c>
      <c r="E284" s="2056">
        <v>6</v>
      </c>
      <c r="F284" s="2035" t="s">
        <v>1885</v>
      </c>
      <c r="L284" s="2033">
        <v>762</v>
      </c>
    </row>
    <row r="285" spans="2:15" ht="15">
      <c r="B285" s="355" t="s">
        <v>2929</v>
      </c>
      <c r="C285" s="2004"/>
      <c r="D285" s="2113" t="s">
        <v>3519</v>
      </c>
      <c r="E285" s="2056">
        <v>2</v>
      </c>
      <c r="F285" s="2035" t="s">
        <v>3007</v>
      </c>
      <c r="L285" s="2033">
        <v>2800</v>
      </c>
    </row>
    <row r="286" spans="2:15" ht="15">
      <c r="B286" s="355" t="s">
        <v>2929</v>
      </c>
      <c r="C286" s="2004"/>
      <c r="D286" s="2113" t="s">
        <v>3520</v>
      </c>
      <c r="E286" s="2056">
        <v>20</v>
      </c>
      <c r="F286" s="2035" t="s">
        <v>3233</v>
      </c>
      <c r="L286" s="2033">
        <v>840</v>
      </c>
    </row>
    <row r="287" spans="2:15" ht="15">
      <c r="B287" s="355" t="s">
        <v>2929</v>
      </c>
      <c r="C287" s="2004"/>
      <c r="D287" s="2113" t="s">
        <v>3521</v>
      </c>
      <c r="E287" s="2056">
        <v>10</v>
      </c>
      <c r="F287" s="2035" t="s">
        <v>1885</v>
      </c>
      <c r="L287" s="2033">
        <v>2400</v>
      </c>
    </row>
    <row r="290" spans="2:37" s="302" customFormat="1" ht="94.5">
      <c r="B290" s="302" t="s">
        <v>3584</v>
      </c>
      <c r="C290" s="2152" t="s">
        <v>3585</v>
      </c>
      <c r="D290" s="302" t="s">
        <v>2</v>
      </c>
      <c r="E290" s="2152" t="s">
        <v>3586</v>
      </c>
      <c r="F290" s="302" t="s">
        <v>422</v>
      </c>
      <c r="G290" s="302" t="s">
        <v>1</v>
      </c>
      <c r="H290" s="301" t="s">
        <v>3587</v>
      </c>
      <c r="I290" s="301" t="s">
        <v>3588</v>
      </c>
      <c r="J290" s="301" t="s">
        <v>1322</v>
      </c>
      <c r="K290" s="302" t="s">
        <v>3589</v>
      </c>
      <c r="L290" s="1426"/>
      <c r="M290" s="302" t="s">
        <v>99</v>
      </c>
    </row>
    <row r="291" spans="2:37">
      <c r="B291" s="302" t="s">
        <v>3584</v>
      </c>
      <c r="D291" s="355" t="s">
        <v>3590</v>
      </c>
      <c r="E291" s="2165" t="s">
        <v>622</v>
      </c>
    </row>
    <row r="292" spans="2:37">
      <c r="B292" s="302" t="s">
        <v>3584</v>
      </c>
      <c r="D292" s="2151" t="s">
        <v>3706</v>
      </c>
      <c r="E292" s="2151" t="s">
        <v>3687</v>
      </c>
      <c r="F292" s="355" t="s">
        <v>422</v>
      </c>
      <c r="G292" s="355" t="s">
        <v>828</v>
      </c>
      <c r="H292" s="2153" t="s">
        <v>3587</v>
      </c>
      <c r="I292" s="2153" t="s">
        <v>3588</v>
      </c>
      <c r="J292" s="301" t="s">
        <v>1322</v>
      </c>
      <c r="K292" s="302" t="s">
        <v>3589</v>
      </c>
      <c r="L292" s="32">
        <v>12000</v>
      </c>
      <c r="M292" s="302" t="s">
        <v>99</v>
      </c>
      <c r="AK292" s="2151" t="s">
        <v>3591</v>
      </c>
    </row>
    <row r="293" spans="2:37">
      <c r="B293" s="302" t="s">
        <v>3584</v>
      </c>
      <c r="D293" s="2151" t="s">
        <v>3707</v>
      </c>
      <c r="E293" s="2151" t="s">
        <v>3687</v>
      </c>
      <c r="F293" s="355" t="s">
        <v>422</v>
      </c>
      <c r="G293" s="355" t="s">
        <v>828</v>
      </c>
      <c r="H293" s="2153" t="s">
        <v>3587</v>
      </c>
      <c r="I293" s="2153" t="s">
        <v>3588</v>
      </c>
      <c r="J293" s="301" t="s">
        <v>1322</v>
      </c>
      <c r="K293" s="302" t="s">
        <v>3589</v>
      </c>
      <c r="L293" s="32">
        <v>13800</v>
      </c>
      <c r="M293" s="302" t="s">
        <v>99</v>
      </c>
      <c r="AK293" s="2151" t="s">
        <v>3592</v>
      </c>
    </row>
    <row r="294" spans="2:37">
      <c r="B294" s="302" t="s">
        <v>3584</v>
      </c>
      <c r="D294" s="2151" t="s">
        <v>3708</v>
      </c>
      <c r="E294" s="2151" t="s">
        <v>3688</v>
      </c>
      <c r="F294" s="355" t="s">
        <v>422</v>
      </c>
      <c r="G294" s="355" t="s">
        <v>828</v>
      </c>
      <c r="H294" s="2153" t="s">
        <v>3587</v>
      </c>
      <c r="I294" s="2153" t="s">
        <v>3588</v>
      </c>
      <c r="J294" s="301" t="s">
        <v>1322</v>
      </c>
      <c r="K294" s="302" t="s">
        <v>3589</v>
      </c>
      <c r="L294" s="32">
        <v>6600</v>
      </c>
      <c r="M294" s="302" t="s">
        <v>99</v>
      </c>
      <c r="AK294" s="2151" t="s">
        <v>3593</v>
      </c>
    </row>
    <row r="295" spans="2:37">
      <c r="B295" s="302" t="s">
        <v>3584</v>
      </c>
      <c r="D295" s="2151" t="s">
        <v>3709</v>
      </c>
      <c r="E295" s="2151" t="s">
        <v>3689</v>
      </c>
      <c r="F295" s="355" t="s">
        <v>422</v>
      </c>
      <c r="G295" s="355" t="s">
        <v>828</v>
      </c>
      <c r="H295" s="2153" t="s">
        <v>3587</v>
      </c>
      <c r="I295" s="2153" t="s">
        <v>3588</v>
      </c>
      <c r="J295" s="301" t="s">
        <v>1322</v>
      </c>
      <c r="K295" s="302" t="s">
        <v>3589</v>
      </c>
      <c r="L295" s="32">
        <v>15000</v>
      </c>
      <c r="M295" s="302" t="s">
        <v>99</v>
      </c>
      <c r="AK295" s="2151" t="s">
        <v>3594</v>
      </c>
    </row>
    <row r="296" spans="2:37">
      <c r="B296" s="302" t="s">
        <v>3584</v>
      </c>
      <c r="D296" s="2151" t="s">
        <v>3710</v>
      </c>
      <c r="E296" s="2151" t="s">
        <v>3690</v>
      </c>
      <c r="F296" s="355" t="s">
        <v>422</v>
      </c>
      <c r="G296" s="355" t="s">
        <v>828</v>
      </c>
      <c r="H296" s="2153" t="s">
        <v>3587</v>
      </c>
      <c r="I296" s="2153" t="s">
        <v>3588</v>
      </c>
      <c r="J296" s="301" t="s">
        <v>1322</v>
      </c>
      <c r="K296" s="302" t="s">
        <v>3589</v>
      </c>
      <c r="L296" s="32">
        <v>4200</v>
      </c>
      <c r="M296" s="302" t="s">
        <v>99</v>
      </c>
      <c r="AK296" s="2151" t="s">
        <v>3595</v>
      </c>
    </row>
    <row r="297" spans="2:37">
      <c r="B297" s="302" t="s">
        <v>3584</v>
      </c>
      <c r="D297" s="2151" t="s">
        <v>3711</v>
      </c>
      <c r="E297" s="2151" t="s">
        <v>3689</v>
      </c>
      <c r="F297" s="355" t="s">
        <v>422</v>
      </c>
      <c r="G297" s="355" t="s">
        <v>828</v>
      </c>
      <c r="H297" s="2153" t="s">
        <v>3587</v>
      </c>
      <c r="I297" s="2153" t="s">
        <v>3588</v>
      </c>
      <c r="J297" s="301" t="s">
        <v>1322</v>
      </c>
      <c r="K297" s="302" t="s">
        <v>3589</v>
      </c>
      <c r="L297" s="32">
        <v>12500</v>
      </c>
      <c r="M297" s="302" t="s">
        <v>99</v>
      </c>
      <c r="AK297" s="2151" t="s">
        <v>3596</v>
      </c>
    </row>
    <row r="298" spans="2:37">
      <c r="B298" s="302" t="s">
        <v>3584</v>
      </c>
      <c r="D298" s="2151" t="s">
        <v>3712</v>
      </c>
      <c r="E298" s="2151" t="s">
        <v>3691</v>
      </c>
      <c r="F298" s="355" t="s">
        <v>422</v>
      </c>
      <c r="G298" s="355" t="s">
        <v>828</v>
      </c>
      <c r="H298" s="2153" t="s">
        <v>3587</v>
      </c>
      <c r="I298" s="2153" t="s">
        <v>3588</v>
      </c>
      <c r="J298" s="301" t="s">
        <v>1322</v>
      </c>
      <c r="K298" s="302" t="s">
        <v>3589</v>
      </c>
      <c r="L298" s="32">
        <v>2000</v>
      </c>
      <c r="M298" s="302" t="s">
        <v>99</v>
      </c>
      <c r="AK298" s="2151" t="s">
        <v>3597</v>
      </c>
    </row>
    <row r="299" spans="2:37">
      <c r="B299" s="302" t="s">
        <v>3584</v>
      </c>
      <c r="D299" s="2151" t="s">
        <v>3713</v>
      </c>
      <c r="E299" s="2151" t="s">
        <v>3692</v>
      </c>
      <c r="F299" s="355" t="s">
        <v>422</v>
      </c>
      <c r="G299" s="355" t="s">
        <v>828</v>
      </c>
      <c r="H299" s="2153" t="s">
        <v>3587</v>
      </c>
      <c r="I299" s="2153" t="s">
        <v>3588</v>
      </c>
      <c r="J299" s="301" t="s">
        <v>1322</v>
      </c>
      <c r="K299" s="302" t="s">
        <v>3589</v>
      </c>
      <c r="L299" s="32">
        <v>9000</v>
      </c>
      <c r="M299" s="302" t="s">
        <v>99</v>
      </c>
      <c r="AK299" s="2151" t="s">
        <v>3598</v>
      </c>
    </row>
    <row r="300" spans="2:37">
      <c r="B300" s="302" t="s">
        <v>3584</v>
      </c>
      <c r="D300" s="2151" t="s">
        <v>3714</v>
      </c>
      <c r="E300" s="2151" t="s">
        <v>3693</v>
      </c>
      <c r="F300" s="355" t="s">
        <v>422</v>
      </c>
      <c r="G300" s="355" t="s">
        <v>828</v>
      </c>
      <c r="H300" s="2153" t="s">
        <v>3587</v>
      </c>
      <c r="I300" s="2153" t="s">
        <v>3588</v>
      </c>
      <c r="J300" s="301" t="s">
        <v>1322</v>
      </c>
      <c r="K300" s="302" t="s">
        <v>3589</v>
      </c>
      <c r="L300" s="32">
        <v>1000</v>
      </c>
      <c r="M300" s="302" t="s">
        <v>99</v>
      </c>
      <c r="AK300" s="2151" t="s">
        <v>3599</v>
      </c>
    </row>
    <row r="301" spans="2:37">
      <c r="B301" s="302" t="s">
        <v>3584</v>
      </c>
      <c r="D301" s="2151" t="s">
        <v>3715</v>
      </c>
      <c r="E301" s="2151" t="s">
        <v>3694</v>
      </c>
      <c r="F301" s="355" t="s">
        <v>422</v>
      </c>
      <c r="G301" s="355" t="s">
        <v>828</v>
      </c>
      <c r="H301" s="2153" t="s">
        <v>3587</v>
      </c>
      <c r="I301" s="2153" t="s">
        <v>3588</v>
      </c>
      <c r="J301" s="301" t="s">
        <v>1322</v>
      </c>
      <c r="K301" s="302" t="s">
        <v>3589</v>
      </c>
      <c r="L301" s="32">
        <v>2800</v>
      </c>
      <c r="M301" s="302" t="s">
        <v>99</v>
      </c>
      <c r="AK301" s="2151" t="s">
        <v>3600</v>
      </c>
    </row>
    <row r="302" spans="2:37">
      <c r="B302" s="302" t="s">
        <v>3584</v>
      </c>
      <c r="D302" s="2151" t="s">
        <v>3716</v>
      </c>
      <c r="E302" s="2151" t="s">
        <v>3693</v>
      </c>
      <c r="F302" s="355" t="s">
        <v>422</v>
      </c>
      <c r="G302" s="355" t="s">
        <v>828</v>
      </c>
      <c r="H302" s="2153" t="s">
        <v>3587</v>
      </c>
      <c r="I302" s="2153" t="s">
        <v>3588</v>
      </c>
      <c r="J302" s="301" t="s">
        <v>1322</v>
      </c>
      <c r="K302" s="302" t="s">
        <v>3589</v>
      </c>
      <c r="L302" s="32">
        <v>660</v>
      </c>
      <c r="M302" s="302" t="s">
        <v>99</v>
      </c>
      <c r="AK302" s="2151" t="s">
        <v>3601</v>
      </c>
    </row>
    <row r="303" spans="2:37" ht="17.25" customHeight="1">
      <c r="B303" s="302" t="s">
        <v>3584</v>
      </c>
      <c r="D303" s="2151" t="s">
        <v>3717</v>
      </c>
      <c r="E303" s="2151" t="s">
        <v>3693</v>
      </c>
      <c r="F303" s="355" t="s">
        <v>422</v>
      </c>
      <c r="G303" s="355" t="s">
        <v>828</v>
      </c>
      <c r="H303" s="2153" t="s">
        <v>3587</v>
      </c>
      <c r="I303" s="2153" t="s">
        <v>3588</v>
      </c>
      <c r="J303" s="301" t="s">
        <v>1322</v>
      </c>
      <c r="K303" s="302" t="s">
        <v>3589</v>
      </c>
      <c r="L303" s="32">
        <v>860</v>
      </c>
      <c r="M303" s="302" t="s">
        <v>99</v>
      </c>
      <c r="AK303" s="2151" t="s">
        <v>3602</v>
      </c>
    </row>
    <row r="304" spans="2:37">
      <c r="B304" s="302" t="s">
        <v>3584</v>
      </c>
      <c r="D304" s="2151" t="s">
        <v>3747</v>
      </c>
      <c r="E304" s="2151" t="s">
        <v>3695</v>
      </c>
      <c r="F304" s="355" t="s">
        <v>422</v>
      </c>
      <c r="G304" s="355" t="s">
        <v>828</v>
      </c>
      <c r="H304" s="2153" t="s">
        <v>3587</v>
      </c>
      <c r="I304" s="2153" t="s">
        <v>3588</v>
      </c>
      <c r="J304" s="301" t="s">
        <v>1322</v>
      </c>
      <c r="K304" s="302" t="s">
        <v>3589</v>
      </c>
      <c r="L304" s="32">
        <v>600</v>
      </c>
      <c r="M304" s="302" t="s">
        <v>99</v>
      </c>
      <c r="AK304" s="2151" t="s">
        <v>3603</v>
      </c>
    </row>
    <row r="305" spans="2:37">
      <c r="B305" s="302" t="s">
        <v>3584</v>
      </c>
      <c r="D305" s="2151" t="s">
        <v>3748</v>
      </c>
      <c r="E305" s="2151" t="s">
        <v>3696</v>
      </c>
      <c r="F305" s="355" t="s">
        <v>422</v>
      </c>
      <c r="G305" s="355" t="s">
        <v>828</v>
      </c>
      <c r="H305" s="2153" t="s">
        <v>3587</v>
      </c>
      <c r="I305" s="2153" t="s">
        <v>3588</v>
      </c>
      <c r="J305" s="301" t="s">
        <v>1322</v>
      </c>
      <c r="K305" s="302" t="s">
        <v>3589</v>
      </c>
      <c r="L305" s="32">
        <v>1000</v>
      </c>
      <c r="M305" s="302" t="s">
        <v>99</v>
      </c>
      <c r="AK305" s="2151" t="s">
        <v>3604</v>
      </c>
    </row>
    <row r="306" spans="2:37">
      <c r="B306" s="302" t="s">
        <v>3584</v>
      </c>
      <c r="D306" s="2151" t="s">
        <v>3749</v>
      </c>
      <c r="E306" s="2151" t="s">
        <v>3697</v>
      </c>
      <c r="F306" s="355" t="s">
        <v>422</v>
      </c>
      <c r="G306" s="355" t="s">
        <v>828</v>
      </c>
      <c r="H306" s="2153" t="s">
        <v>3587</v>
      </c>
      <c r="I306" s="2153" t="s">
        <v>3588</v>
      </c>
      <c r="J306" s="301" t="s">
        <v>1322</v>
      </c>
      <c r="K306" s="302" t="s">
        <v>3589</v>
      </c>
      <c r="L306" s="32">
        <v>500</v>
      </c>
      <c r="M306" s="302" t="s">
        <v>99</v>
      </c>
      <c r="AK306" s="2151" t="s">
        <v>3605</v>
      </c>
    </row>
    <row r="307" spans="2:37">
      <c r="B307" s="302" t="s">
        <v>3584</v>
      </c>
      <c r="D307" s="2151" t="s">
        <v>3750</v>
      </c>
      <c r="E307" s="2151" t="s">
        <v>3698</v>
      </c>
      <c r="F307" s="355" t="s">
        <v>422</v>
      </c>
      <c r="G307" s="355" t="s">
        <v>828</v>
      </c>
      <c r="H307" s="2153" t="s">
        <v>3587</v>
      </c>
      <c r="I307" s="2153" t="s">
        <v>3588</v>
      </c>
      <c r="J307" s="301" t="s">
        <v>1322</v>
      </c>
      <c r="K307" s="302" t="s">
        <v>3589</v>
      </c>
      <c r="L307" s="32">
        <v>1040</v>
      </c>
      <c r="M307" s="302" t="s">
        <v>99</v>
      </c>
      <c r="AK307" s="2151" t="s">
        <v>3606</v>
      </c>
    </row>
    <row r="308" spans="2:37">
      <c r="B308" s="302" t="s">
        <v>3584</v>
      </c>
      <c r="D308" s="2151" t="s">
        <v>3751</v>
      </c>
      <c r="E308" s="2151" t="s">
        <v>3699</v>
      </c>
      <c r="F308" s="355" t="s">
        <v>422</v>
      </c>
      <c r="G308" s="355" t="s">
        <v>828</v>
      </c>
      <c r="H308" s="2153" t="s">
        <v>3587</v>
      </c>
      <c r="I308" s="2153" t="s">
        <v>3588</v>
      </c>
      <c r="J308" s="301" t="s">
        <v>1322</v>
      </c>
      <c r="K308" s="302" t="s">
        <v>3589</v>
      </c>
      <c r="L308" s="32">
        <v>340</v>
      </c>
      <c r="M308" s="302" t="s">
        <v>99</v>
      </c>
      <c r="AK308" s="2151" t="s">
        <v>3607</v>
      </c>
    </row>
    <row r="309" spans="2:37">
      <c r="B309" s="302" t="s">
        <v>3584</v>
      </c>
      <c r="D309" s="2151" t="s">
        <v>3752</v>
      </c>
      <c r="E309" s="2151" t="s">
        <v>3700</v>
      </c>
      <c r="F309" s="355" t="s">
        <v>422</v>
      </c>
      <c r="G309" s="355" t="s">
        <v>828</v>
      </c>
      <c r="H309" s="2153" t="s">
        <v>3587</v>
      </c>
      <c r="I309" s="2153" t="s">
        <v>3588</v>
      </c>
      <c r="J309" s="301" t="s">
        <v>1322</v>
      </c>
      <c r="K309" s="302" t="s">
        <v>3589</v>
      </c>
      <c r="L309" s="32">
        <v>860</v>
      </c>
      <c r="M309" s="302" t="s">
        <v>99</v>
      </c>
      <c r="AK309" s="2151" t="s">
        <v>3608</v>
      </c>
    </row>
    <row r="310" spans="2:37">
      <c r="B310" s="302" t="s">
        <v>3584</v>
      </c>
      <c r="D310" s="2151" t="s">
        <v>3758</v>
      </c>
      <c r="E310" s="2151" t="s">
        <v>3701</v>
      </c>
      <c r="F310" s="355" t="s">
        <v>422</v>
      </c>
      <c r="G310" s="355" t="s">
        <v>828</v>
      </c>
      <c r="H310" s="2153" t="s">
        <v>3587</v>
      </c>
      <c r="I310" s="2153" t="s">
        <v>3588</v>
      </c>
      <c r="J310" s="301" t="s">
        <v>1322</v>
      </c>
      <c r="K310" s="302" t="s">
        <v>3589</v>
      </c>
      <c r="L310" s="32">
        <v>5250</v>
      </c>
      <c r="M310" s="302" t="s">
        <v>99</v>
      </c>
      <c r="AK310" s="2151" t="s">
        <v>3609</v>
      </c>
    </row>
    <row r="311" spans="2:37">
      <c r="B311" s="302" t="s">
        <v>3584</v>
      </c>
      <c r="D311" s="2151" t="s">
        <v>3757</v>
      </c>
      <c r="E311" s="2151" t="s">
        <v>3702</v>
      </c>
      <c r="F311" s="355" t="s">
        <v>422</v>
      </c>
      <c r="G311" s="355" t="s">
        <v>828</v>
      </c>
      <c r="H311" s="2153" t="s">
        <v>3587</v>
      </c>
      <c r="I311" s="2153" t="s">
        <v>3588</v>
      </c>
      <c r="J311" s="301" t="s">
        <v>1322</v>
      </c>
      <c r="K311" s="302" t="s">
        <v>3589</v>
      </c>
      <c r="L311" s="32">
        <v>2000</v>
      </c>
      <c r="M311" s="2166" t="s">
        <v>99</v>
      </c>
      <c r="AK311" s="2151" t="s">
        <v>3610</v>
      </c>
    </row>
    <row r="312" spans="2:37">
      <c r="B312" s="302" t="s">
        <v>3584</v>
      </c>
      <c r="D312" s="2151" t="s">
        <v>3756</v>
      </c>
      <c r="E312" s="2151" t="s">
        <v>3703</v>
      </c>
      <c r="F312" s="302" t="s">
        <v>422</v>
      </c>
      <c r="G312" s="302" t="s">
        <v>828</v>
      </c>
      <c r="H312" s="301" t="s">
        <v>3587</v>
      </c>
      <c r="I312" s="301" t="s">
        <v>3588</v>
      </c>
      <c r="J312" s="301" t="s">
        <v>1322</v>
      </c>
      <c r="K312" s="302" t="s">
        <v>3589</v>
      </c>
      <c r="L312" s="32">
        <v>6000</v>
      </c>
      <c r="M312" s="302" t="s">
        <v>99</v>
      </c>
      <c r="AK312" s="2151" t="s">
        <v>3611</v>
      </c>
    </row>
    <row r="313" spans="2:37">
      <c r="B313" s="302" t="s">
        <v>3584</v>
      </c>
      <c r="D313" s="2151" t="s">
        <v>3755</v>
      </c>
      <c r="E313" s="2151" t="s">
        <v>3704</v>
      </c>
      <c r="F313" s="302" t="s">
        <v>422</v>
      </c>
      <c r="G313" s="302" t="s">
        <v>828</v>
      </c>
      <c r="H313" s="301" t="s">
        <v>3587</v>
      </c>
      <c r="I313" s="301" t="s">
        <v>3588</v>
      </c>
      <c r="J313" s="301" t="s">
        <v>1322</v>
      </c>
      <c r="K313" s="302" t="s">
        <v>3589</v>
      </c>
      <c r="L313" s="32">
        <v>650</v>
      </c>
      <c r="M313" s="302" t="s">
        <v>99</v>
      </c>
      <c r="AK313" s="2151" t="s">
        <v>3612</v>
      </c>
    </row>
    <row r="314" spans="2:37">
      <c r="B314" s="302" t="s">
        <v>3584</v>
      </c>
      <c r="D314" s="2151" t="s">
        <v>3754</v>
      </c>
      <c r="E314" s="2151" t="s">
        <v>3704</v>
      </c>
      <c r="F314" s="302" t="s">
        <v>422</v>
      </c>
      <c r="G314" s="302" t="s">
        <v>828</v>
      </c>
      <c r="H314" s="301" t="s">
        <v>3587</v>
      </c>
      <c r="I314" s="301" t="s">
        <v>3588</v>
      </c>
      <c r="J314" s="301" t="s">
        <v>1322</v>
      </c>
      <c r="K314" s="302" t="s">
        <v>3589</v>
      </c>
      <c r="L314" s="32">
        <v>500</v>
      </c>
      <c r="M314" s="302" t="s">
        <v>99</v>
      </c>
      <c r="AK314" s="2151" t="s">
        <v>3613</v>
      </c>
    </row>
    <row r="315" spans="2:37">
      <c r="B315" s="302" t="s">
        <v>3584</v>
      </c>
      <c r="D315" s="2151" t="s">
        <v>3753</v>
      </c>
      <c r="E315" s="2151" t="s">
        <v>3704</v>
      </c>
      <c r="F315" s="302" t="s">
        <v>422</v>
      </c>
      <c r="G315" s="302" t="s">
        <v>828</v>
      </c>
      <c r="H315" s="301" t="s">
        <v>3587</v>
      </c>
      <c r="I315" s="301" t="s">
        <v>3588</v>
      </c>
      <c r="J315" s="301" t="s">
        <v>1322</v>
      </c>
      <c r="K315" s="302" t="s">
        <v>3589</v>
      </c>
      <c r="L315" s="32">
        <v>500</v>
      </c>
      <c r="M315" s="302" t="s">
        <v>99</v>
      </c>
      <c r="AK315" s="2151" t="s">
        <v>3614</v>
      </c>
    </row>
    <row r="316" spans="2:37" ht="17.25" customHeight="1">
      <c r="B316" s="302" t="s">
        <v>3584</v>
      </c>
      <c r="D316" s="2151" t="s">
        <v>3759</v>
      </c>
      <c r="E316" s="2151" t="s">
        <v>3705</v>
      </c>
      <c r="F316" s="302" t="s">
        <v>422</v>
      </c>
      <c r="G316" s="302" t="s">
        <v>828</v>
      </c>
      <c r="H316" s="301" t="s">
        <v>3587</v>
      </c>
      <c r="I316" s="301" t="s">
        <v>3588</v>
      </c>
      <c r="J316" s="301" t="s">
        <v>1322</v>
      </c>
      <c r="K316" s="302" t="s">
        <v>3589</v>
      </c>
      <c r="L316" s="32">
        <v>30000</v>
      </c>
      <c r="M316" s="302" t="s">
        <v>99</v>
      </c>
      <c r="AK316" s="2151" t="s">
        <v>3615</v>
      </c>
    </row>
    <row r="317" spans="2:37">
      <c r="B317" s="302" t="s">
        <v>3584</v>
      </c>
      <c r="D317" s="2151" t="s">
        <v>3773</v>
      </c>
      <c r="E317" s="2151" t="s">
        <v>3742</v>
      </c>
      <c r="F317" s="302" t="s">
        <v>422</v>
      </c>
      <c r="G317" s="302" t="s">
        <v>828</v>
      </c>
      <c r="H317" s="301" t="s">
        <v>3587</v>
      </c>
      <c r="I317" s="301" t="s">
        <v>3588</v>
      </c>
      <c r="J317" s="301" t="s">
        <v>1322</v>
      </c>
      <c r="K317" s="302" t="s">
        <v>3589</v>
      </c>
      <c r="L317" s="32">
        <v>500</v>
      </c>
      <c r="M317" s="302" t="s">
        <v>99</v>
      </c>
      <c r="AK317" s="2151" t="s">
        <v>3616</v>
      </c>
    </row>
    <row r="318" spans="2:37">
      <c r="B318" s="302" t="s">
        <v>3584</v>
      </c>
      <c r="D318" s="2151" t="s">
        <v>3774</v>
      </c>
      <c r="E318" s="2151" t="s">
        <v>3684</v>
      </c>
      <c r="F318" s="302" t="s">
        <v>422</v>
      </c>
      <c r="G318" s="302" t="s">
        <v>828</v>
      </c>
      <c r="H318" s="301" t="s">
        <v>3587</v>
      </c>
      <c r="I318" s="301" t="s">
        <v>3588</v>
      </c>
      <c r="J318" s="301" t="s">
        <v>1322</v>
      </c>
      <c r="K318" s="302" t="s">
        <v>3589</v>
      </c>
      <c r="L318" s="32">
        <v>300</v>
      </c>
      <c r="M318" s="302" t="s">
        <v>99</v>
      </c>
      <c r="AK318" s="2151" t="s">
        <v>3617</v>
      </c>
    </row>
    <row r="319" spans="2:37">
      <c r="B319" s="302" t="s">
        <v>3584</v>
      </c>
      <c r="D319" s="2151" t="s">
        <v>3775</v>
      </c>
      <c r="E319" s="2151" t="s">
        <v>3760</v>
      </c>
      <c r="F319" s="302" t="s">
        <v>422</v>
      </c>
      <c r="G319" s="302" t="s">
        <v>828</v>
      </c>
      <c r="H319" s="301" t="s">
        <v>3587</v>
      </c>
      <c r="I319" s="301" t="s">
        <v>3588</v>
      </c>
      <c r="J319" s="301" t="s">
        <v>1322</v>
      </c>
      <c r="K319" s="302" t="s">
        <v>3589</v>
      </c>
      <c r="L319" s="32">
        <v>540</v>
      </c>
      <c r="M319" s="302" t="s">
        <v>99</v>
      </c>
      <c r="AK319" s="2151" t="s">
        <v>3618</v>
      </c>
    </row>
    <row r="320" spans="2:37">
      <c r="B320" s="302" t="s">
        <v>3584</v>
      </c>
      <c r="D320" s="2151" t="s">
        <v>3776</v>
      </c>
      <c r="E320" s="2151" t="s">
        <v>3761</v>
      </c>
      <c r="F320" s="302" t="s">
        <v>422</v>
      </c>
      <c r="G320" s="302" t="s">
        <v>828</v>
      </c>
      <c r="H320" s="301" t="s">
        <v>3587</v>
      </c>
      <c r="I320" s="301" t="s">
        <v>3588</v>
      </c>
      <c r="J320" s="301" t="s">
        <v>1322</v>
      </c>
      <c r="K320" s="302" t="s">
        <v>3589</v>
      </c>
      <c r="L320" s="32">
        <v>2000</v>
      </c>
      <c r="M320" s="302" t="s">
        <v>99</v>
      </c>
      <c r="AK320" s="2151" t="s">
        <v>3619</v>
      </c>
    </row>
    <row r="321" spans="2:37">
      <c r="B321" s="302" t="s">
        <v>3584</v>
      </c>
      <c r="D321" s="2151" t="s">
        <v>3805</v>
      </c>
      <c r="E321" s="2151" t="s">
        <v>3762</v>
      </c>
      <c r="F321" s="302" t="s">
        <v>422</v>
      </c>
      <c r="G321" s="302" t="s">
        <v>828</v>
      </c>
      <c r="H321" s="301" t="s">
        <v>3587</v>
      </c>
      <c r="I321" s="301" t="s">
        <v>3588</v>
      </c>
      <c r="J321" s="301" t="s">
        <v>1322</v>
      </c>
      <c r="K321" s="302" t="s">
        <v>3589</v>
      </c>
      <c r="L321" s="32">
        <v>9000</v>
      </c>
      <c r="M321" s="302" t="s">
        <v>99</v>
      </c>
      <c r="AK321" s="2151" t="s">
        <v>3620</v>
      </c>
    </row>
    <row r="322" spans="2:37">
      <c r="B322" s="302" t="s">
        <v>3584</v>
      </c>
      <c r="D322" s="2151" t="s">
        <v>3805</v>
      </c>
      <c r="E322" s="2151" t="s">
        <v>3763</v>
      </c>
      <c r="F322" s="302" t="s">
        <v>422</v>
      </c>
      <c r="G322" s="302" t="s">
        <v>828</v>
      </c>
      <c r="H322" s="301" t="s">
        <v>3587</v>
      </c>
      <c r="I322" s="301" t="s">
        <v>3588</v>
      </c>
      <c r="J322" s="301" t="s">
        <v>1322</v>
      </c>
      <c r="K322" s="302" t="s">
        <v>3589</v>
      </c>
      <c r="L322" s="32">
        <v>2000</v>
      </c>
      <c r="M322" s="302" t="s">
        <v>99</v>
      </c>
      <c r="AK322" s="2151" t="s">
        <v>3621</v>
      </c>
    </row>
    <row r="323" spans="2:37" ht="18.75" customHeight="1">
      <c r="B323" s="302" t="s">
        <v>3584</v>
      </c>
      <c r="D323" s="2151" t="s">
        <v>3804</v>
      </c>
      <c r="E323" s="2151" t="s">
        <v>3764</v>
      </c>
      <c r="F323" s="302" t="s">
        <v>422</v>
      </c>
      <c r="G323" s="302" t="s">
        <v>828</v>
      </c>
      <c r="H323" s="301" t="s">
        <v>3587</v>
      </c>
      <c r="I323" s="301" t="s">
        <v>3588</v>
      </c>
      <c r="J323" s="301" t="s">
        <v>1322</v>
      </c>
      <c r="K323" s="302" t="s">
        <v>3589</v>
      </c>
      <c r="L323" s="32">
        <v>200</v>
      </c>
      <c r="M323" s="302" t="s">
        <v>99</v>
      </c>
      <c r="AK323" s="2151" t="s">
        <v>3622</v>
      </c>
    </row>
    <row r="324" spans="2:37" ht="18.75" customHeight="1">
      <c r="B324" s="302" t="s">
        <v>3584</v>
      </c>
      <c r="D324" s="2151" t="s">
        <v>3803</v>
      </c>
      <c r="E324" s="2151" t="s">
        <v>3765</v>
      </c>
      <c r="F324" s="302" t="s">
        <v>422</v>
      </c>
      <c r="G324" s="302" t="s">
        <v>828</v>
      </c>
      <c r="H324" s="301" t="s">
        <v>3587</v>
      </c>
      <c r="I324" s="301" t="s">
        <v>3588</v>
      </c>
      <c r="J324" s="301" t="s">
        <v>1322</v>
      </c>
      <c r="K324" s="302" t="s">
        <v>3589</v>
      </c>
      <c r="L324" s="32">
        <v>900</v>
      </c>
      <c r="M324" s="302" t="s">
        <v>99</v>
      </c>
      <c r="AK324" s="2151" t="s">
        <v>3623</v>
      </c>
    </row>
    <row r="325" spans="2:37" ht="18.75" customHeight="1">
      <c r="B325" s="302" t="s">
        <v>3584</v>
      </c>
      <c r="D325" s="2151" t="s">
        <v>3802</v>
      </c>
      <c r="E325" s="2151" t="s">
        <v>3766</v>
      </c>
      <c r="F325" s="302" t="s">
        <v>422</v>
      </c>
      <c r="G325" s="302" t="s">
        <v>828</v>
      </c>
      <c r="H325" s="301" t="s">
        <v>3587</v>
      </c>
      <c r="I325" s="301" t="s">
        <v>3588</v>
      </c>
      <c r="J325" s="301" t="s">
        <v>1322</v>
      </c>
      <c r="K325" s="302" t="s">
        <v>3589</v>
      </c>
      <c r="L325" s="32">
        <v>400</v>
      </c>
      <c r="M325" s="302" t="s">
        <v>99</v>
      </c>
      <c r="AK325" s="2151" t="s">
        <v>3624</v>
      </c>
    </row>
    <row r="326" spans="2:37" ht="18.75" customHeight="1">
      <c r="B326" s="302" t="s">
        <v>3584</v>
      </c>
      <c r="D326" s="2151" t="s">
        <v>3806</v>
      </c>
      <c r="E326" s="2151" t="s">
        <v>3746</v>
      </c>
      <c r="F326" s="302" t="s">
        <v>422</v>
      </c>
      <c r="G326" s="302" t="s">
        <v>828</v>
      </c>
      <c r="H326" s="301" t="s">
        <v>3587</v>
      </c>
      <c r="I326" s="301" t="s">
        <v>3588</v>
      </c>
      <c r="J326" s="301" t="s">
        <v>1322</v>
      </c>
      <c r="K326" s="302" t="s">
        <v>3589</v>
      </c>
      <c r="L326" s="32">
        <v>1500</v>
      </c>
      <c r="M326" s="302" t="s">
        <v>99</v>
      </c>
      <c r="AK326" s="2151" t="s">
        <v>3625</v>
      </c>
    </row>
    <row r="327" spans="2:37" ht="18.75" customHeight="1">
      <c r="B327" s="302" t="s">
        <v>3584</v>
      </c>
      <c r="D327" s="2151" t="s">
        <v>3801</v>
      </c>
      <c r="E327" s="2151" t="s">
        <v>3739</v>
      </c>
      <c r="F327" s="302" t="s">
        <v>422</v>
      </c>
      <c r="G327" s="302" t="s">
        <v>828</v>
      </c>
      <c r="H327" s="301" t="s">
        <v>3587</v>
      </c>
      <c r="I327" s="301" t="s">
        <v>3588</v>
      </c>
      <c r="J327" s="301" t="s">
        <v>1322</v>
      </c>
      <c r="K327" s="302" t="s">
        <v>3589</v>
      </c>
      <c r="L327" s="32">
        <v>1500</v>
      </c>
      <c r="M327" s="302" t="s">
        <v>99</v>
      </c>
      <c r="AK327" s="2151" t="s">
        <v>3626</v>
      </c>
    </row>
    <row r="328" spans="2:37" ht="18.75" customHeight="1">
      <c r="B328" s="302" t="s">
        <v>3584</v>
      </c>
      <c r="D328" s="2151" t="s">
        <v>3800</v>
      </c>
      <c r="E328" s="2151" t="s">
        <v>3767</v>
      </c>
      <c r="F328" s="302" t="s">
        <v>422</v>
      </c>
      <c r="G328" s="302" t="s">
        <v>828</v>
      </c>
      <c r="H328" s="301" t="s">
        <v>3587</v>
      </c>
      <c r="I328" s="301" t="s">
        <v>3588</v>
      </c>
      <c r="J328" s="301" t="s">
        <v>1322</v>
      </c>
      <c r="K328" s="302" t="s">
        <v>3589</v>
      </c>
      <c r="L328" s="32">
        <v>1400</v>
      </c>
      <c r="M328" s="302" t="s">
        <v>99</v>
      </c>
      <c r="AK328" s="2151" t="s">
        <v>3627</v>
      </c>
    </row>
    <row r="329" spans="2:37" ht="18.75" customHeight="1">
      <c r="B329" s="302" t="s">
        <v>3584</v>
      </c>
      <c r="D329" s="2151" t="s">
        <v>3807</v>
      </c>
      <c r="E329" s="2151" t="s">
        <v>3768</v>
      </c>
      <c r="F329" s="302" t="s">
        <v>422</v>
      </c>
      <c r="G329" s="302" t="s">
        <v>828</v>
      </c>
      <c r="H329" s="301" t="s">
        <v>3587</v>
      </c>
      <c r="I329" s="301" t="s">
        <v>3588</v>
      </c>
      <c r="J329" s="301" t="s">
        <v>1322</v>
      </c>
      <c r="K329" s="302" t="s">
        <v>3589</v>
      </c>
      <c r="L329" s="32">
        <v>800</v>
      </c>
      <c r="M329" s="302" t="s">
        <v>99</v>
      </c>
      <c r="AK329" s="2151" t="s">
        <v>3628</v>
      </c>
    </row>
    <row r="330" spans="2:37" ht="18.75" customHeight="1">
      <c r="B330" s="302" t="s">
        <v>3584</v>
      </c>
      <c r="D330" s="2151" t="s">
        <v>3808</v>
      </c>
      <c r="E330" s="2151" t="s">
        <v>3769</v>
      </c>
      <c r="F330" s="302" t="s">
        <v>422</v>
      </c>
      <c r="G330" s="302" t="s">
        <v>828</v>
      </c>
      <c r="H330" s="301" t="s">
        <v>3587</v>
      </c>
      <c r="I330" s="301" t="s">
        <v>3588</v>
      </c>
      <c r="J330" s="301" t="s">
        <v>1322</v>
      </c>
      <c r="K330" s="302" t="s">
        <v>3589</v>
      </c>
      <c r="L330" s="32">
        <v>400</v>
      </c>
      <c r="M330" s="302" t="s">
        <v>99</v>
      </c>
      <c r="AK330" s="2151" t="s">
        <v>3629</v>
      </c>
    </row>
    <row r="331" spans="2:37" ht="18.75" customHeight="1">
      <c r="B331" s="302" t="s">
        <v>3584</v>
      </c>
      <c r="D331" s="2151" t="s">
        <v>3825</v>
      </c>
      <c r="E331" s="2151" t="s">
        <v>3770</v>
      </c>
      <c r="F331" s="302" t="s">
        <v>422</v>
      </c>
      <c r="G331" s="302" t="s">
        <v>828</v>
      </c>
      <c r="H331" s="301" t="s">
        <v>3587</v>
      </c>
      <c r="I331" s="301" t="s">
        <v>3588</v>
      </c>
      <c r="J331" s="301" t="s">
        <v>1322</v>
      </c>
      <c r="K331" s="302" t="s">
        <v>3589</v>
      </c>
      <c r="L331" s="32">
        <v>1500</v>
      </c>
      <c r="M331" s="302" t="s">
        <v>99</v>
      </c>
      <c r="AK331" s="2151" t="s">
        <v>3630</v>
      </c>
    </row>
    <row r="332" spans="2:37" ht="18.75" customHeight="1">
      <c r="B332" s="302" t="s">
        <v>3584</v>
      </c>
      <c r="D332" s="2151" t="s">
        <v>3826</v>
      </c>
      <c r="E332" s="2151" t="s">
        <v>3771</v>
      </c>
      <c r="F332" s="302" t="s">
        <v>422</v>
      </c>
      <c r="G332" s="302" t="s">
        <v>828</v>
      </c>
      <c r="H332" s="301" t="s">
        <v>3587</v>
      </c>
      <c r="I332" s="301" t="s">
        <v>3588</v>
      </c>
      <c r="J332" s="301" t="s">
        <v>1322</v>
      </c>
      <c r="K332" s="302" t="s">
        <v>3589</v>
      </c>
      <c r="L332" s="32">
        <v>750</v>
      </c>
      <c r="M332" s="302" t="s">
        <v>99</v>
      </c>
      <c r="AK332" s="2151" t="s">
        <v>3631</v>
      </c>
    </row>
    <row r="333" spans="2:37" ht="18.75" customHeight="1">
      <c r="B333" s="302" t="s">
        <v>3584</v>
      </c>
      <c r="D333" s="2151" t="s">
        <v>3827</v>
      </c>
      <c r="E333" s="2151" t="s">
        <v>3772</v>
      </c>
      <c r="F333" s="302" t="s">
        <v>422</v>
      </c>
      <c r="G333" s="302" t="s">
        <v>828</v>
      </c>
      <c r="H333" s="301" t="s">
        <v>3587</v>
      </c>
      <c r="I333" s="301" t="s">
        <v>3588</v>
      </c>
      <c r="J333" s="301" t="s">
        <v>1322</v>
      </c>
      <c r="K333" s="302" t="s">
        <v>3589</v>
      </c>
      <c r="L333" s="32">
        <v>250</v>
      </c>
      <c r="M333" s="302" t="s">
        <v>99</v>
      </c>
      <c r="AK333" s="2151" t="s">
        <v>3632</v>
      </c>
    </row>
    <row r="334" spans="2:37">
      <c r="B334" s="302" t="s">
        <v>3584</v>
      </c>
      <c r="D334" s="2151" t="s">
        <v>3828</v>
      </c>
      <c r="E334" s="2151" t="s">
        <v>3699</v>
      </c>
      <c r="F334" s="302" t="s">
        <v>422</v>
      </c>
      <c r="G334" s="302" t="s">
        <v>828</v>
      </c>
      <c r="H334" s="301" t="s">
        <v>3587</v>
      </c>
      <c r="I334" s="301" t="s">
        <v>3588</v>
      </c>
      <c r="J334" s="301" t="s">
        <v>1322</v>
      </c>
      <c r="K334" s="302" t="s">
        <v>3589</v>
      </c>
      <c r="L334" s="32">
        <v>400</v>
      </c>
      <c r="M334" s="302" t="s">
        <v>99</v>
      </c>
      <c r="AK334" s="2151" t="s">
        <v>3633</v>
      </c>
    </row>
    <row r="335" spans="2:37" ht="18.75" customHeight="1">
      <c r="B335" s="302" t="s">
        <v>3584</v>
      </c>
      <c r="D335" s="2151" t="s">
        <v>3786</v>
      </c>
      <c r="E335" s="2151" t="s">
        <v>3739</v>
      </c>
      <c r="F335" s="302" t="s">
        <v>422</v>
      </c>
      <c r="G335" s="302" t="s">
        <v>828</v>
      </c>
      <c r="H335" s="301" t="s">
        <v>3587</v>
      </c>
      <c r="I335" s="301" t="s">
        <v>3588</v>
      </c>
      <c r="J335" s="301" t="s">
        <v>1322</v>
      </c>
      <c r="K335" s="302" t="s">
        <v>3589</v>
      </c>
      <c r="L335" s="32">
        <v>1000</v>
      </c>
      <c r="M335" s="302" t="s">
        <v>99</v>
      </c>
      <c r="AK335" s="2151" t="s">
        <v>3634</v>
      </c>
    </row>
    <row r="336" spans="2:37" ht="18.75" customHeight="1">
      <c r="B336" s="302" t="s">
        <v>3584</v>
      </c>
      <c r="D336" s="2151" t="s">
        <v>3787</v>
      </c>
      <c r="E336" s="2151" t="s">
        <v>3769</v>
      </c>
      <c r="F336" s="302" t="s">
        <v>422</v>
      </c>
      <c r="G336" s="302" t="s">
        <v>828</v>
      </c>
      <c r="H336" s="301" t="s">
        <v>3587</v>
      </c>
      <c r="I336" s="301" t="s">
        <v>3588</v>
      </c>
      <c r="J336" s="301" t="s">
        <v>1322</v>
      </c>
      <c r="K336" s="302" t="s">
        <v>3589</v>
      </c>
      <c r="L336" s="32">
        <v>120</v>
      </c>
      <c r="M336" s="302" t="s">
        <v>99</v>
      </c>
      <c r="AK336" s="2151" t="s">
        <v>3635</v>
      </c>
    </row>
    <row r="337" spans="2:37">
      <c r="B337" s="302" t="s">
        <v>3584</v>
      </c>
      <c r="D337" s="2151" t="s">
        <v>3788</v>
      </c>
      <c r="E337" s="2151" t="s">
        <v>3746</v>
      </c>
      <c r="F337" s="302" t="s">
        <v>422</v>
      </c>
      <c r="G337" s="302" t="s">
        <v>828</v>
      </c>
      <c r="H337" s="301" t="s">
        <v>3587</v>
      </c>
      <c r="I337" s="301" t="s">
        <v>3588</v>
      </c>
      <c r="J337" s="301" t="s">
        <v>1322</v>
      </c>
      <c r="K337" s="302" t="s">
        <v>3589</v>
      </c>
      <c r="L337" s="32">
        <v>1500</v>
      </c>
      <c r="M337" s="302" t="s">
        <v>99</v>
      </c>
      <c r="AK337" s="2151" t="s">
        <v>3636</v>
      </c>
    </row>
    <row r="338" spans="2:37" ht="17.25" customHeight="1">
      <c r="B338" s="302" t="s">
        <v>3584</v>
      </c>
      <c r="D338" s="2151" t="s">
        <v>3789</v>
      </c>
      <c r="E338" s="2151" t="s">
        <v>3745</v>
      </c>
      <c r="F338" s="302" t="s">
        <v>422</v>
      </c>
      <c r="G338" s="302" t="s">
        <v>828</v>
      </c>
      <c r="H338" s="301" t="s">
        <v>3587</v>
      </c>
      <c r="I338" s="301" t="s">
        <v>3588</v>
      </c>
      <c r="J338" s="301" t="s">
        <v>1322</v>
      </c>
      <c r="K338" s="302" t="s">
        <v>3589</v>
      </c>
      <c r="L338" s="32">
        <v>1000</v>
      </c>
      <c r="M338" s="302" t="s">
        <v>99</v>
      </c>
      <c r="AK338" s="2151" t="s">
        <v>3637</v>
      </c>
    </row>
    <row r="339" spans="2:37" ht="17.25" customHeight="1">
      <c r="B339" s="302" t="s">
        <v>3584</v>
      </c>
      <c r="D339" s="2151" t="s">
        <v>3790</v>
      </c>
      <c r="E339" s="2151" t="s">
        <v>3702</v>
      </c>
      <c r="F339" s="302" t="s">
        <v>422</v>
      </c>
      <c r="G339" s="302" t="s">
        <v>828</v>
      </c>
      <c r="H339" s="301" t="s">
        <v>3587</v>
      </c>
      <c r="I339" s="301" t="s">
        <v>3588</v>
      </c>
      <c r="J339" s="301" t="s">
        <v>1322</v>
      </c>
      <c r="K339" s="302" t="s">
        <v>3589</v>
      </c>
      <c r="L339" s="32">
        <v>1200</v>
      </c>
      <c r="M339" s="302" t="s">
        <v>99</v>
      </c>
      <c r="AK339" s="2151" t="s">
        <v>3638</v>
      </c>
    </row>
    <row r="340" spans="2:37" ht="17.25" customHeight="1">
      <c r="B340" s="302" t="s">
        <v>3584</v>
      </c>
      <c r="D340" s="2151" t="s">
        <v>3791</v>
      </c>
      <c r="E340" s="2151" t="s">
        <v>3702</v>
      </c>
      <c r="F340" s="302" t="s">
        <v>422</v>
      </c>
      <c r="G340" s="302" t="s">
        <v>828</v>
      </c>
      <c r="H340" s="301" t="s">
        <v>3587</v>
      </c>
      <c r="I340" s="301" t="s">
        <v>3588</v>
      </c>
      <c r="J340" s="301" t="s">
        <v>1322</v>
      </c>
      <c r="K340" s="302" t="s">
        <v>3589</v>
      </c>
      <c r="L340" s="32">
        <v>1200</v>
      </c>
      <c r="M340" s="302" t="s">
        <v>99</v>
      </c>
      <c r="AK340" s="2151" t="s">
        <v>3639</v>
      </c>
    </row>
    <row r="341" spans="2:37" ht="17.25" customHeight="1">
      <c r="B341" s="302" t="s">
        <v>3584</v>
      </c>
      <c r="D341" s="2151" t="s">
        <v>3792</v>
      </c>
      <c r="E341" s="2151" t="s">
        <v>3702</v>
      </c>
      <c r="F341" s="302" t="s">
        <v>422</v>
      </c>
      <c r="G341" s="302" t="s">
        <v>828</v>
      </c>
      <c r="H341" s="301" t="s">
        <v>3587</v>
      </c>
      <c r="I341" s="301" t="s">
        <v>3588</v>
      </c>
      <c r="J341" s="301" t="s">
        <v>1322</v>
      </c>
      <c r="K341" s="302" t="s">
        <v>3589</v>
      </c>
      <c r="L341" s="32">
        <v>1200</v>
      </c>
      <c r="M341" s="302" t="s">
        <v>99</v>
      </c>
      <c r="AK341" s="2151" t="s">
        <v>3640</v>
      </c>
    </row>
    <row r="342" spans="2:37">
      <c r="B342" s="302" t="s">
        <v>3584</v>
      </c>
      <c r="D342" s="2151" t="s">
        <v>3793</v>
      </c>
      <c r="E342" s="2151" t="s">
        <v>3744</v>
      </c>
      <c r="F342" s="302" t="s">
        <v>422</v>
      </c>
      <c r="G342" s="302" t="s">
        <v>828</v>
      </c>
      <c r="H342" s="301" t="s">
        <v>3587</v>
      </c>
      <c r="I342" s="301" t="s">
        <v>3588</v>
      </c>
      <c r="J342" s="301" t="s">
        <v>1322</v>
      </c>
      <c r="K342" s="302" t="s">
        <v>3589</v>
      </c>
      <c r="L342" s="32">
        <v>2250</v>
      </c>
      <c r="M342" s="302" t="s">
        <v>99</v>
      </c>
      <c r="AK342" s="2151" t="s">
        <v>3641</v>
      </c>
    </row>
    <row r="343" spans="2:37">
      <c r="B343" s="302" t="s">
        <v>3584</v>
      </c>
      <c r="D343" s="2151" t="s">
        <v>3794</v>
      </c>
      <c r="E343" s="2151" t="s">
        <v>3743</v>
      </c>
      <c r="F343" s="302" t="s">
        <v>422</v>
      </c>
      <c r="G343" s="302" t="s">
        <v>828</v>
      </c>
      <c r="H343" s="301" t="s">
        <v>3587</v>
      </c>
      <c r="I343" s="301" t="s">
        <v>3588</v>
      </c>
      <c r="J343" s="301" t="s">
        <v>1322</v>
      </c>
      <c r="K343" s="302" t="s">
        <v>3589</v>
      </c>
      <c r="L343" s="32">
        <v>720</v>
      </c>
      <c r="M343" s="302" t="s">
        <v>99</v>
      </c>
      <c r="AK343" s="2151" t="s">
        <v>3642</v>
      </c>
    </row>
    <row r="344" spans="2:37" ht="17.25" customHeight="1">
      <c r="B344" s="302" t="s">
        <v>3584</v>
      </c>
      <c r="D344" s="2151" t="s">
        <v>3824</v>
      </c>
      <c r="E344" s="2151" t="s">
        <v>3742</v>
      </c>
      <c r="F344" s="302" t="s">
        <v>422</v>
      </c>
      <c r="G344" s="302" t="s">
        <v>828</v>
      </c>
      <c r="H344" s="301" t="s">
        <v>3587</v>
      </c>
      <c r="I344" s="301" t="s">
        <v>3588</v>
      </c>
      <c r="J344" s="301" t="s">
        <v>1322</v>
      </c>
      <c r="K344" s="302" t="s">
        <v>3589</v>
      </c>
      <c r="L344" s="32">
        <v>450</v>
      </c>
      <c r="M344" s="302" t="s">
        <v>99</v>
      </c>
      <c r="AK344" s="2151" t="s">
        <v>3643</v>
      </c>
    </row>
    <row r="345" spans="2:37" ht="17.25" customHeight="1">
      <c r="B345" s="302" t="s">
        <v>3584</v>
      </c>
      <c r="D345" s="2151" t="s">
        <v>3823</v>
      </c>
      <c r="E345" s="2151" t="s">
        <v>3741</v>
      </c>
      <c r="F345" s="302" t="s">
        <v>422</v>
      </c>
      <c r="G345" s="302" t="s">
        <v>828</v>
      </c>
      <c r="H345" s="301" t="s">
        <v>3587</v>
      </c>
      <c r="I345" s="301" t="s">
        <v>3588</v>
      </c>
      <c r="J345" s="301" t="s">
        <v>1322</v>
      </c>
      <c r="K345" s="302" t="s">
        <v>3589</v>
      </c>
      <c r="L345" s="32">
        <v>1200</v>
      </c>
      <c r="M345" s="302" t="s">
        <v>99</v>
      </c>
      <c r="AK345" s="2151" t="s">
        <v>3644</v>
      </c>
    </row>
    <row r="346" spans="2:37">
      <c r="B346" s="302" t="s">
        <v>3584</v>
      </c>
      <c r="D346" s="2151" t="s">
        <v>3799</v>
      </c>
      <c r="E346" s="2151" t="s">
        <v>3741</v>
      </c>
      <c r="F346" s="302" t="s">
        <v>422</v>
      </c>
      <c r="G346" s="302" t="s">
        <v>828</v>
      </c>
      <c r="H346" s="301" t="s">
        <v>3587</v>
      </c>
      <c r="I346" s="301" t="s">
        <v>3588</v>
      </c>
      <c r="J346" s="301" t="s">
        <v>1322</v>
      </c>
      <c r="K346" s="302" t="s">
        <v>3589</v>
      </c>
      <c r="L346" s="32">
        <v>1200</v>
      </c>
      <c r="M346" s="302" t="s">
        <v>99</v>
      </c>
      <c r="AK346" s="2151" t="s">
        <v>3645</v>
      </c>
    </row>
    <row r="347" spans="2:37" ht="18.75" customHeight="1">
      <c r="B347" s="302" t="s">
        <v>3584</v>
      </c>
      <c r="D347" s="2151" t="s">
        <v>3798</v>
      </c>
      <c r="E347" s="2151" t="s">
        <v>3740</v>
      </c>
      <c r="F347" s="302" t="s">
        <v>422</v>
      </c>
      <c r="G347" s="302" t="s">
        <v>828</v>
      </c>
      <c r="H347" s="301" t="s">
        <v>3587</v>
      </c>
      <c r="I347" s="301" t="s">
        <v>3588</v>
      </c>
      <c r="J347" s="301" t="s">
        <v>1322</v>
      </c>
      <c r="K347" s="302" t="s">
        <v>3589</v>
      </c>
      <c r="L347" s="32">
        <v>800</v>
      </c>
      <c r="M347" s="302" t="s">
        <v>99</v>
      </c>
      <c r="AK347" s="2151" t="s">
        <v>3646</v>
      </c>
    </row>
    <row r="348" spans="2:37" ht="18.75" customHeight="1">
      <c r="B348" s="302" t="s">
        <v>3584</v>
      </c>
      <c r="D348" s="2151" t="s">
        <v>3797</v>
      </c>
      <c r="E348" s="2151" t="s">
        <v>3739</v>
      </c>
      <c r="F348" s="302" t="s">
        <v>422</v>
      </c>
      <c r="G348" s="302" t="s">
        <v>828</v>
      </c>
      <c r="H348" s="301" t="s">
        <v>3587</v>
      </c>
      <c r="I348" s="301" t="s">
        <v>3588</v>
      </c>
      <c r="J348" s="301" t="s">
        <v>1322</v>
      </c>
      <c r="K348" s="302" t="s">
        <v>3589</v>
      </c>
      <c r="L348" s="32">
        <v>700</v>
      </c>
      <c r="M348" s="2154" t="s">
        <v>99</v>
      </c>
      <c r="AK348" s="2151" t="s">
        <v>3647</v>
      </c>
    </row>
    <row r="349" spans="2:37" ht="18.75" customHeight="1">
      <c r="B349" s="302" t="s">
        <v>3584</v>
      </c>
      <c r="D349" s="2151" t="s">
        <v>3795</v>
      </c>
      <c r="E349" s="2151" t="s">
        <v>3738</v>
      </c>
      <c r="F349" s="302" t="s">
        <v>422</v>
      </c>
      <c r="G349" s="302" t="s">
        <v>828</v>
      </c>
      <c r="H349" s="301" t="s">
        <v>3587</v>
      </c>
      <c r="I349" s="301" t="s">
        <v>3588</v>
      </c>
      <c r="J349" s="301" t="s">
        <v>1322</v>
      </c>
      <c r="K349" s="302" t="s">
        <v>3589</v>
      </c>
      <c r="L349" s="32">
        <v>600</v>
      </c>
      <c r="M349" s="355" t="s">
        <v>99</v>
      </c>
      <c r="AK349" s="2151" t="s">
        <v>3648</v>
      </c>
    </row>
    <row r="350" spans="2:37" ht="18.75" customHeight="1">
      <c r="B350" s="302" t="s">
        <v>3584</v>
      </c>
      <c r="D350" s="2151" t="s">
        <v>3796</v>
      </c>
      <c r="E350" s="2151" t="s">
        <v>3737</v>
      </c>
      <c r="F350" s="302" t="s">
        <v>422</v>
      </c>
      <c r="G350" s="302" t="s">
        <v>828</v>
      </c>
      <c r="H350" s="301" t="s">
        <v>3587</v>
      </c>
      <c r="I350" s="301" t="s">
        <v>3588</v>
      </c>
      <c r="J350" s="301" t="s">
        <v>1322</v>
      </c>
      <c r="K350" s="302" t="s">
        <v>3589</v>
      </c>
      <c r="L350" s="32">
        <v>400</v>
      </c>
      <c r="M350" s="355" t="s">
        <v>99</v>
      </c>
      <c r="AK350" s="2151" t="s">
        <v>3649</v>
      </c>
    </row>
    <row r="351" spans="2:37">
      <c r="B351" s="302" t="s">
        <v>3584</v>
      </c>
      <c r="D351" s="2151" t="s">
        <v>2143</v>
      </c>
      <c r="E351" s="2151" t="s">
        <v>3736</v>
      </c>
      <c r="F351" s="302" t="s">
        <v>422</v>
      </c>
      <c r="G351" s="302" t="s">
        <v>828</v>
      </c>
      <c r="H351" s="301" t="s">
        <v>3587</v>
      </c>
      <c r="I351" s="301" t="s">
        <v>3588</v>
      </c>
      <c r="J351" s="301" t="s">
        <v>1322</v>
      </c>
      <c r="K351" s="302" t="s">
        <v>3589</v>
      </c>
      <c r="L351" s="32">
        <v>2600</v>
      </c>
      <c r="M351" s="355" t="s">
        <v>99</v>
      </c>
      <c r="AK351" s="2151" t="s">
        <v>3650</v>
      </c>
    </row>
    <row r="352" spans="2:37" ht="17.25" customHeight="1">
      <c r="B352" s="302" t="s">
        <v>3584</v>
      </c>
      <c r="D352" s="2151" t="s">
        <v>3815</v>
      </c>
      <c r="E352" s="2151" t="s">
        <v>3732</v>
      </c>
      <c r="F352" s="302" t="s">
        <v>422</v>
      </c>
      <c r="G352" s="302" t="s">
        <v>828</v>
      </c>
      <c r="H352" s="301" t="s">
        <v>3587</v>
      </c>
      <c r="I352" s="301" t="s">
        <v>3588</v>
      </c>
      <c r="J352" s="301" t="s">
        <v>1322</v>
      </c>
      <c r="K352" s="302" t="s">
        <v>3589</v>
      </c>
      <c r="L352" s="32">
        <v>1400</v>
      </c>
      <c r="M352" s="355" t="s">
        <v>99</v>
      </c>
      <c r="AK352" s="2151" t="s">
        <v>3651</v>
      </c>
    </row>
    <row r="353" spans="2:37" ht="16.5" customHeight="1">
      <c r="B353" s="302" t="s">
        <v>3584</v>
      </c>
      <c r="D353" s="2151" t="s">
        <v>3814</v>
      </c>
      <c r="E353" s="2151" t="s">
        <v>3733</v>
      </c>
      <c r="F353" s="302" t="s">
        <v>422</v>
      </c>
      <c r="G353" s="302" t="s">
        <v>828</v>
      </c>
      <c r="H353" s="301" t="s">
        <v>3587</v>
      </c>
      <c r="I353" s="301" t="s">
        <v>3588</v>
      </c>
      <c r="J353" s="301" t="s">
        <v>1322</v>
      </c>
      <c r="K353" s="302" t="s">
        <v>3589</v>
      </c>
      <c r="L353" s="32">
        <v>1260</v>
      </c>
      <c r="M353" s="355" t="s">
        <v>99</v>
      </c>
      <c r="AK353" s="2151" t="s">
        <v>3652</v>
      </c>
    </row>
    <row r="354" spans="2:37" ht="15" customHeight="1">
      <c r="B354" s="302" t="s">
        <v>3584</v>
      </c>
      <c r="D354" s="2151" t="s">
        <v>3813</v>
      </c>
      <c r="E354" s="2151" t="s">
        <v>3734</v>
      </c>
      <c r="F354" s="302" t="s">
        <v>422</v>
      </c>
      <c r="G354" s="302" t="s">
        <v>828</v>
      </c>
      <c r="H354" s="301" t="s">
        <v>3587</v>
      </c>
      <c r="I354" s="301" t="s">
        <v>3588</v>
      </c>
      <c r="J354" s="301" t="s">
        <v>1322</v>
      </c>
      <c r="K354" s="302" t="s">
        <v>3589</v>
      </c>
      <c r="L354" s="32">
        <v>300</v>
      </c>
      <c r="M354" s="355" t="s">
        <v>99</v>
      </c>
      <c r="AK354" s="2151" t="s">
        <v>3653</v>
      </c>
    </row>
    <row r="355" spans="2:37" ht="15" customHeight="1">
      <c r="B355" s="302" t="s">
        <v>3584</v>
      </c>
      <c r="D355" s="2151" t="s">
        <v>3816</v>
      </c>
      <c r="E355" s="2151" t="s">
        <v>3696</v>
      </c>
      <c r="F355" s="302" t="s">
        <v>422</v>
      </c>
      <c r="G355" s="302" t="s">
        <v>828</v>
      </c>
      <c r="H355" s="301" t="s">
        <v>3587</v>
      </c>
      <c r="I355" s="301" t="s">
        <v>3588</v>
      </c>
      <c r="J355" s="301" t="s">
        <v>1322</v>
      </c>
      <c r="K355" s="302" t="s">
        <v>3589</v>
      </c>
      <c r="L355" s="32">
        <v>1000</v>
      </c>
      <c r="M355" s="355" t="s">
        <v>99</v>
      </c>
      <c r="AK355" s="2151" t="s">
        <v>3654</v>
      </c>
    </row>
    <row r="356" spans="2:37" ht="15" customHeight="1">
      <c r="B356" s="302" t="s">
        <v>3584</v>
      </c>
      <c r="D356" s="2151" t="s">
        <v>3817</v>
      </c>
      <c r="E356" s="2151" t="s">
        <v>3735</v>
      </c>
      <c r="F356" s="302" t="s">
        <v>422</v>
      </c>
      <c r="G356" s="302" t="s">
        <v>828</v>
      </c>
      <c r="H356" s="301" t="s">
        <v>3587</v>
      </c>
      <c r="I356" s="301" t="s">
        <v>3588</v>
      </c>
      <c r="J356" s="301" t="s">
        <v>1322</v>
      </c>
      <c r="K356" s="302" t="s">
        <v>3589</v>
      </c>
      <c r="L356" s="32">
        <v>1200</v>
      </c>
      <c r="M356" s="355" t="s">
        <v>99</v>
      </c>
      <c r="AK356" s="2151" t="s">
        <v>3655</v>
      </c>
    </row>
    <row r="357" spans="2:37" ht="15" customHeight="1">
      <c r="B357" s="302" t="s">
        <v>3584</v>
      </c>
      <c r="D357" s="2151" t="s">
        <v>3818</v>
      </c>
      <c r="E357" s="2151" t="s">
        <v>3702</v>
      </c>
      <c r="F357" s="302" t="s">
        <v>422</v>
      </c>
      <c r="G357" s="302" t="s">
        <v>828</v>
      </c>
      <c r="H357" s="301" t="s">
        <v>3587</v>
      </c>
      <c r="I357" s="301" t="s">
        <v>3588</v>
      </c>
      <c r="J357" s="301" t="s">
        <v>1322</v>
      </c>
      <c r="K357" s="302" t="s">
        <v>3589</v>
      </c>
      <c r="L357" s="32">
        <v>1600</v>
      </c>
      <c r="M357" s="355" t="s">
        <v>99</v>
      </c>
      <c r="AK357" s="2151" t="s">
        <v>3656</v>
      </c>
    </row>
    <row r="358" spans="2:37" ht="15" customHeight="1">
      <c r="B358" s="302" t="s">
        <v>3584</v>
      </c>
      <c r="D358" s="2151" t="s">
        <v>3819</v>
      </c>
      <c r="E358" s="2151" t="s">
        <v>3728</v>
      </c>
      <c r="F358" s="302" t="s">
        <v>422</v>
      </c>
      <c r="G358" s="302" t="s">
        <v>828</v>
      </c>
      <c r="H358" s="301" t="s">
        <v>3587</v>
      </c>
      <c r="I358" s="301" t="s">
        <v>3588</v>
      </c>
      <c r="J358" s="301" t="s">
        <v>1322</v>
      </c>
      <c r="K358" s="302" t="s">
        <v>3589</v>
      </c>
      <c r="L358" s="32">
        <v>1200</v>
      </c>
      <c r="M358" s="355" t="s">
        <v>99</v>
      </c>
      <c r="AK358" s="2151" t="s">
        <v>3657</v>
      </c>
    </row>
    <row r="359" spans="2:37" ht="15" customHeight="1">
      <c r="B359" s="302" t="s">
        <v>3584</v>
      </c>
      <c r="D359" s="2151" t="s">
        <v>3820</v>
      </c>
      <c r="E359" s="2151" t="s">
        <v>3729</v>
      </c>
      <c r="F359" s="302" t="s">
        <v>422</v>
      </c>
      <c r="G359" s="302" t="s">
        <v>828</v>
      </c>
      <c r="H359" s="301" t="s">
        <v>3587</v>
      </c>
      <c r="I359" s="301" t="s">
        <v>3588</v>
      </c>
      <c r="J359" s="301" t="s">
        <v>1322</v>
      </c>
      <c r="K359" s="302" t="s">
        <v>3589</v>
      </c>
      <c r="L359" s="32">
        <v>450</v>
      </c>
      <c r="M359" s="355" t="s">
        <v>99</v>
      </c>
      <c r="AK359" s="2151" t="s">
        <v>3658</v>
      </c>
    </row>
    <row r="360" spans="2:37" ht="15" customHeight="1">
      <c r="B360" s="302" t="s">
        <v>3584</v>
      </c>
      <c r="D360" s="2151" t="s">
        <v>3821</v>
      </c>
      <c r="E360" s="2151" t="s">
        <v>3730</v>
      </c>
      <c r="F360" s="302" t="s">
        <v>422</v>
      </c>
      <c r="G360" s="302" t="s">
        <v>828</v>
      </c>
      <c r="H360" s="301" t="s">
        <v>3587</v>
      </c>
      <c r="I360" s="301" t="s">
        <v>3588</v>
      </c>
      <c r="J360" s="301" t="s">
        <v>1322</v>
      </c>
      <c r="K360" s="302" t="s">
        <v>3589</v>
      </c>
      <c r="L360" s="32">
        <v>2250</v>
      </c>
      <c r="M360" s="355" t="s">
        <v>99</v>
      </c>
      <c r="AK360" s="2151" t="s">
        <v>3659</v>
      </c>
    </row>
    <row r="361" spans="2:37" ht="15" customHeight="1">
      <c r="B361" s="302" t="s">
        <v>3584</v>
      </c>
      <c r="D361" s="2151" t="s">
        <v>3822</v>
      </c>
      <c r="E361" s="2151" t="s">
        <v>3731</v>
      </c>
      <c r="F361" s="302" t="s">
        <v>422</v>
      </c>
      <c r="G361" s="302" t="s">
        <v>828</v>
      </c>
      <c r="H361" s="301" t="s">
        <v>3587</v>
      </c>
      <c r="I361" s="301" t="s">
        <v>3588</v>
      </c>
      <c r="J361" s="301" t="s">
        <v>1322</v>
      </c>
      <c r="K361" s="302" t="s">
        <v>3589</v>
      </c>
      <c r="L361" s="32">
        <v>2500</v>
      </c>
      <c r="M361" s="355" t="s">
        <v>99</v>
      </c>
      <c r="AK361" s="2151" t="s">
        <v>3660</v>
      </c>
    </row>
    <row r="362" spans="2:37" ht="15" customHeight="1">
      <c r="B362" s="302" t="s">
        <v>3584</v>
      </c>
      <c r="D362" s="2151" t="s">
        <v>3809</v>
      </c>
      <c r="E362" s="2151" t="s">
        <v>3727</v>
      </c>
      <c r="F362" s="302" t="s">
        <v>422</v>
      </c>
      <c r="G362" s="302" t="s">
        <v>828</v>
      </c>
      <c r="H362" s="301" t="s">
        <v>3587</v>
      </c>
      <c r="I362" s="301" t="s">
        <v>3588</v>
      </c>
      <c r="J362" s="301" t="s">
        <v>1322</v>
      </c>
      <c r="K362" s="302" t="s">
        <v>3589</v>
      </c>
      <c r="L362" s="32">
        <v>4000</v>
      </c>
      <c r="M362" s="355" t="s">
        <v>99</v>
      </c>
      <c r="AK362" s="2151" t="s">
        <v>3661</v>
      </c>
    </row>
    <row r="363" spans="2:37" ht="15" customHeight="1">
      <c r="B363" s="302" t="s">
        <v>3584</v>
      </c>
      <c r="D363" s="2151" t="s">
        <v>3810</v>
      </c>
      <c r="E363" s="2151" t="s">
        <v>3693</v>
      </c>
      <c r="F363" s="302" t="s">
        <v>422</v>
      </c>
      <c r="G363" s="302" t="s">
        <v>828</v>
      </c>
      <c r="H363" s="301" t="s">
        <v>3587</v>
      </c>
      <c r="I363" s="301" t="s">
        <v>3588</v>
      </c>
      <c r="J363" s="301" t="s">
        <v>1322</v>
      </c>
      <c r="K363" s="302" t="s">
        <v>3589</v>
      </c>
      <c r="L363" s="32">
        <v>200</v>
      </c>
      <c r="M363" s="355" t="s">
        <v>99</v>
      </c>
      <c r="AK363" s="2151" t="s">
        <v>3662</v>
      </c>
    </row>
    <row r="364" spans="2:37" ht="15" customHeight="1">
      <c r="B364" s="302" t="s">
        <v>3584</v>
      </c>
      <c r="D364" s="2151" t="s">
        <v>3811</v>
      </c>
      <c r="E364" s="2151" t="s">
        <v>3725</v>
      </c>
      <c r="F364" s="302" t="s">
        <v>422</v>
      </c>
      <c r="G364" s="302" t="s">
        <v>828</v>
      </c>
      <c r="H364" s="301" t="s">
        <v>3587</v>
      </c>
      <c r="I364" s="301" t="s">
        <v>3588</v>
      </c>
      <c r="J364" s="301" t="s">
        <v>1322</v>
      </c>
      <c r="K364" s="302" t="s">
        <v>3589</v>
      </c>
      <c r="L364" s="32">
        <v>600</v>
      </c>
      <c r="M364" s="355" t="s">
        <v>99</v>
      </c>
      <c r="AK364" s="2151" t="s">
        <v>3663</v>
      </c>
    </row>
    <row r="365" spans="2:37" ht="15" customHeight="1">
      <c r="B365" s="302" t="s">
        <v>3584</v>
      </c>
      <c r="D365" s="2151" t="s">
        <v>3812</v>
      </c>
      <c r="E365" s="2151" t="s">
        <v>3726</v>
      </c>
      <c r="F365" s="302" t="s">
        <v>422</v>
      </c>
      <c r="G365" s="302" t="s">
        <v>828</v>
      </c>
      <c r="H365" s="301" t="s">
        <v>3587</v>
      </c>
      <c r="I365" s="301" t="s">
        <v>3588</v>
      </c>
      <c r="J365" s="301" t="s">
        <v>1322</v>
      </c>
      <c r="K365" s="302" t="s">
        <v>3589</v>
      </c>
      <c r="L365" s="32">
        <v>600</v>
      </c>
      <c r="M365" s="355" t="s">
        <v>99</v>
      </c>
      <c r="AK365" s="2151" t="s">
        <v>3664</v>
      </c>
    </row>
    <row r="366" spans="2:37" ht="17.25" customHeight="1">
      <c r="B366" s="302" t="s">
        <v>3584</v>
      </c>
      <c r="D366" s="2151" t="s">
        <v>3777</v>
      </c>
      <c r="E366" s="2151" t="s">
        <v>3724</v>
      </c>
      <c r="F366" s="302" t="s">
        <v>422</v>
      </c>
      <c r="G366" s="302" t="s">
        <v>828</v>
      </c>
      <c r="H366" s="301" t="s">
        <v>3587</v>
      </c>
      <c r="I366" s="301" t="s">
        <v>3588</v>
      </c>
      <c r="J366" s="301" t="s">
        <v>1322</v>
      </c>
      <c r="K366" s="302" t="s">
        <v>3589</v>
      </c>
      <c r="L366" s="32">
        <v>7000</v>
      </c>
      <c r="M366" s="355" t="s">
        <v>99</v>
      </c>
      <c r="AK366" s="2151" t="s">
        <v>3665</v>
      </c>
    </row>
    <row r="367" spans="2:37" ht="14.25" customHeight="1">
      <c r="B367" s="302" t="s">
        <v>3584</v>
      </c>
      <c r="D367" s="2151" t="s">
        <v>3778</v>
      </c>
      <c r="E367" s="2151" t="s">
        <v>3666</v>
      </c>
      <c r="F367" s="302" t="s">
        <v>422</v>
      </c>
      <c r="G367" s="302" t="s">
        <v>828</v>
      </c>
      <c r="H367" s="301" t="s">
        <v>3587</v>
      </c>
      <c r="I367" s="301" t="s">
        <v>3588</v>
      </c>
      <c r="J367" s="301" t="s">
        <v>1322</v>
      </c>
      <c r="K367" s="302" t="s">
        <v>3589</v>
      </c>
      <c r="L367" s="32">
        <v>2000</v>
      </c>
      <c r="M367" s="355" t="s">
        <v>99</v>
      </c>
      <c r="AK367" s="2151" t="s">
        <v>3666</v>
      </c>
    </row>
    <row r="368" spans="2:37" ht="15.75" customHeight="1">
      <c r="B368" s="302" t="s">
        <v>3584</v>
      </c>
      <c r="D368" s="2151" t="s">
        <v>3779</v>
      </c>
      <c r="E368" s="2151" t="s">
        <v>3685</v>
      </c>
      <c r="F368" s="302" t="s">
        <v>422</v>
      </c>
      <c r="G368" s="302" t="s">
        <v>828</v>
      </c>
      <c r="H368" s="301" t="s">
        <v>3587</v>
      </c>
      <c r="I368" s="301" t="s">
        <v>3588</v>
      </c>
      <c r="J368" s="301" t="s">
        <v>1322</v>
      </c>
      <c r="K368" s="302" t="s">
        <v>3589</v>
      </c>
      <c r="L368" s="32">
        <v>1200</v>
      </c>
      <c r="M368" s="355" t="s">
        <v>99</v>
      </c>
      <c r="AK368" s="2151" t="s">
        <v>3667</v>
      </c>
    </row>
    <row r="369" spans="1:37" ht="15.75" customHeight="1">
      <c r="B369" s="302" t="s">
        <v>3584</v>
      </c>
      <c r="D369" s="2151" t="s">
        <v>3780</v>
      </c>
      <c r="E369" s="2151" t="s">
        <v>3686</v>
      </c>
      <c r="F369" s="302" t="s">
        <v>422</v>
      </c>
      <c r="G369" s="302" t="s">
        <v>828</v>
      </c>
      <c r="H369" s="301" t="s">
        <v>3587</v>
      </c>
      <c r="I369" s="301" t="s">
        <v>3588</v>
      </c>
      <c r="J369" s="301" t="s">
        <v>1322</v>
      </c>
      <c r="K369" s="302" t="s">
        <v>3589</v>
      </c>
      <c r="L369" s="32">
        <v>1200</v>
      </c>
      <c r="M369" s="355" t="s">
        <v>99</v>
      </c>
      <c r="AK369" s="2151" t="s">
        <v>3668</v>
      </c>
    </row>
    <row r="370" spans="1:37" ht="15.75" customHeight="1">
      <c r="B370" s="302" t="s">
        <v>3584</v>
      </c>
      <c r="D370" s="2151" t="s">
        <v>3781</v>
      </c>
      <c r="E370" s="2151" t="s">
        <v>3685</v>
      </c>
      <c r="F370" s="302" t="s">
        <v>422</v>
      </c>
      <c r="G370" s="302" t="s">
        <v>828</v>
      </c>
      <c r="H370" s="301" t="s">
        <v>3587</v>
      </c>
      <c r="I370" s="301" t="s">
        <v>3588</v>
      </c>
      <c r="J370" s="301" t="s">
        <v>1322</v>
      </c>
      <c r="K370" s="302" t="s">
        <v>3589</v>
      </c>
      <c r="L370" s="32">
        <v>1200</v>
      </c>
      <c r="M370" s="355" t="s">
        <v>99</v>
      </c>
      <c r="AK370" s="2151" t="s">
        <v>3669</v>
      </c>
    </row>
    <row r="371" spans="1:37" ht="15.75" customHeight="1">
      <c r="B371" s="302" t="s">
        <v>3584</v>
      </c>
      <c r="D371" s="2151" t="s">
        <v>3782</v>
      </c>
      <c r="E371" s="2151" t="s">
        <v>3685</v>
      </c>
      <c r="F371" s="302" t="s">
        <v>422</v>
      </c>
      <c r="G371" s="302" t="s">
        <v>828</v>
      </c>
      <c r="H371" s="301" t="s">
        <v>3587</v>
      </c>
      <c r="I371" s="301" t="s">
        <v>3588</v>
      </c>
      <c r="J371" s="301" t="s">
        <v>1322</v>
      </c>
      <c r="K371" s="302" t="s">
        <v>3589</v>
      </c>
      <c r="L371" s="32">
        <v>1200</v>
      </c>
      <c r="M371" s="355" t="s">
        <v>99</v>
      </c>
      <c r="AK371" s="2151" t="s">
        <v>3670</v>
      </c>
    </row>
    <row r="372" spans="1:37" ht="15.75" customHeight="1">
      <c r="B372" s="302" t="s">
        <v>3584</v>
      </c>
      <c r="D372" s="2151" t="s">
        <v>3783</v>
      </c>
      <c r="E372" s="2151" t="s">
        <v>3685</v>
      </c>
      <c r="F372" s="302" t="s">
        <v>422</v>
      </c>
      <c r="G372" s="302" t="s">
        <v>828</v>
      </c>
      <c r="H372" s="301" t="s">
        <v>3587</v>
      </c>
      <c r="I372" s="301" t="s">
        <v>3588</v>
      </c>
      <c r="J372" s="301" t="s">
        <v>1322</v>
      </c>
      <c r="K372" s="302" t="s">
        <v>3589</v>
      </c>
      <c r="L372" s="32">
        <v>1200</v>
      </c>
      <c r="M372" s="355" t="s">
        <v>99</v>
      </c>
      <c r="AK372" s="2151" t="s">
        <v>3671</v>
      </c>
    </row>
    <row r="373" spans="1:37" ht="15.75" customHeight="1">
      <c r="B373" s="302" t="s">
        <v>3584</v>
      </c>
      <c r="D373" s="2151" t="s">
        <v>3784</v>
      </c>
      <c r="E373" s="2151" t="s">
        <v>3686</v>
      </c>
      <c r="F373" s="302" t="s">
        <v>422</v>
      </c>
      <c r="G373" s="302" t="s">
        <v>828</v>
      </c>
      <c r="H373" s="301" t="s">
        <v>3587</v>
      </c>
      <c r="I373" s="301" t="s">
        <v>3588</v>
      </c>
      <c r="J373" s="301" t="s">
        <v>1322</v>
      </c>
      <c r="K373" s="302" t="s">
        <v>3589</v>
      </c>
      <c r="L373" s="32">
        <v>1200</v>
      </c>
      <c r="M373" s="355" t="s">
        <v>99</v>
      </c>
      <c r="AK373" s="2151" t="s">
        <v>3672</v>
      </c>
    </row>
    <row r="374" spans="1:37" ht="15.75" customHeight="1">
      <c r="B374" s="302" t="s">
        <v>3584</v>
      </c>
      <c r="D374" s="2151" t="s">
        <v>3785</v>
      </c>
      <c r="E374" s="2151" t="s">
        <v>3683</v>
      </c>
      <c r="F374" s="302" t="s">
        <v>422</v>
      </c>
      <c r="G374" s="302" t="s">
        <v>828</v>
      </c>
      <c r="H374" s="301" t="s">
        <v>3587</v>
      </c>
      <c r="I374" s="301" t="s">
        <v>3588</v>
      </c>
      <c r="J374" s="301" t="s">
        <v>1322</v>
      </c>
      <c r="K374" s="302" t="s">
        <v>3589</v>
      </c>
      <c r="L374" s="32">
        <v>3900</v>
      </c>
      <c r="M374" s="355" t="s">
        <v>99</v>
      </c>
      <c r="AK374" s="2151" t="s">
        <v>3673</v>
      </c>
    </row>
    <row r="375" spans="1:37" ht="15.75" customHeight="1">
      <c r="B375" s="302" t="s">
        <v>3584</v>
      </c>
      <c r="D375" s="2151" t="s">
        <v>3723</v>
      </c>
      <c r="E375" s="2151" t="s">
        <v>3684</v>
      </c>
      <c r="F375" s="302" t="s">
        <v>422</v>
      </c>
      <c r="G375" s="302" t="s">
        <v>828</v>
      </c>
      <c r="H375" s="301" t="s">
        <v>3587</v>
      </c>
      <c r="I375" s="301" t="s">
        <v>3588</v>
      </c>
      <c r="J375" s="301" t="s">
        <v>1322</v>
      </c>
      <c r="K375" s="302" t="s">
        <v>3589</v>
      </c>
      <c r="L375" s="32">
        <v>3900</v>
      </c>
      <c r="M375" s="355" t="s">
        <v>99</v>
      </c>
      <c r="AK375" s="2151" t="s">
        <v>3674</v>
      </c>
    </row>
    <row r="376" spans="1:37" ht="15.75" customHeight="1">
      <c r="B376" s="302" t="s">
        <v>3584</v>
      </c>
      <c r="D376" s="2151" t="s">
        <v>3722</v>
      </c>
      <c r="E376" s="2151" t="s">
        <v>3684</v>
      </c>
      <c r="F376" s="302" t="s">
        <v>422</v>
      </c>
      <c r="G376" s="302" t="s">
        <v>828</v>
      </c>
      <c r="H376" s="301" t="s">
        <v>3587</v>
      </c>
      <c r="I376" s="301" t="s">
        <v>3588</v>
      </c>
      <c r="J376" s="301" t="s">
        <v>1322</v>
      </c>
      <c r="K376" s="302" t="s">
        <v>3589</v>
      </c>
      <c r="L376" s="32">
        <v>3900</v>
      </c>
      <c r="M376" s="355" t="s">
        <v>99</v>
      </c>
      <c r="AK376" s="2151" t="s">
        <v>3675</v>
      </c>
    </row>
    <row r="377" spans="1:37" ht="15.75" customHeight="1">
      <c r="B377" s="302" t="s">
        <v>3584</v>
      </c>
      <c r="D377" s="2151" t="s">
        <v>3721</v>
      </c>
      <c r="E377" s="2151" t="s">
        <v>3683</v>
      </c>
      <c r="F377" s="302" t="s">
        <v>422</v>
      </c>
      <c r="G377" s="302" t="s">
        <v>828</v>
      </c>
      <c r="H377" s="301" t="s">
        <v>3587</v>
      </c>
      <c r="I377" s="301" t="s">
        <v>3588</v>
      </c>
      <c r="J377" s="301" t="s">
        <v>1322</v>
      </c>
      <c r="K377" s="302" t="s">
        <v>3589</v>
      </c>
      <c r="L377" s="32">
        <v>3900</v>
      </c>
      <c r="M377" s="355" t="s">
        <v>99</v>
      </c>
      <c r="AK377" s="2151" t="s">
        <v>3676</v>
      </c>
    </row>
    <row r="378" spans="1:37" ht="15.75" customHeight="1">
      <c r="B378" s="302" t="s">
        <v>3584</v>
      </c>
      <c r="D378" s="2151" t="s">
        <v>3720</v>
      </c>
      <c r="E378" s="2151" t="s">
        <v>3682</v>
      </c>
      <c r="F378" s="302" t="s">
        <v>422</v>
      </c>
      <c r="G378" s="302" t="s">
        <v>828</v>
      </c>
      <c r="H378" s="301" t="s">
        <v>3587</v>
      </c>
      <c r="I378" s="301" t="s">
        <v>3588</v>
      </c>
      <c r="J378" s="301" t="s">
        <v>1322</v>
      </c>
      <c r="K378" s="302" t="s">
        <v>3589</v>
      </c>
      <c r="L378" s="32">
        <v>135000</v>
      </c>
      <c r="M378" s="355" t="s">
        <v>99</v>
      </c>
      <c r="AK378" s="2151" t="s">
        <v>3677</v>
      </c>
    </row>
    <row r="379" spans="1:37" ht="15.75" customHeight="1">
      <c r="B379" s="302" t="s">
        <v>3584</v>
      </c>
      <c r="D379" s="2151" t="s">
        <v>3719</v>
      </c>
      <c r="E379" s="2151" t="s">
        <v>3681</v>
      </c>
      <c r="F379" s="302" t="s">
        <v>422</v>
      </c>
      <c r="G379" s="302" t="s">
        <v>828</v>
      </c>
      <c r="H379" s="301" t="s">
        <v>3587</v>
      </c>
      <c r="I379" s="301" t="s">
        <v>3588</v>
      </c>
      <c r="J379" s="301" t="s">
        <v>1322</v>
      </c>
      <c r="K379" s="302" t="s">
        <v>3589</v>
      </c>
      <c r="L379" s="32">
        <v>1500</v>
      </c>
      <c r="M379" s="355" t="s">
        <v>99</v>
      </c>
      <c r="AK379" s="2151" t="s">
        <v>3678</v>
      </c>
    </row>
    <row r="380" spans="1:37" ht="15.75" customHeight="1">
      <c r="B380" s="302" t="s">
        <v>3584</v>
      </c>
      <c r="D380" s="2151" t="s">
        <v>3718</v>
      </c>
      <c r="E380" s="2151" t="s">
        <v>3680</v>
      </c>
      <c r="F380" s="302" t="s">
        <v>422</v>
      </c>
      <c r="G380" s="302" t="s">
        <v>828</v>
      </c>
      <c r="H380" s="301" t="s">
        <v>3587</v>
      </c>
      <c r="I380" s="301" t="s">
        <v>3588</v>
      </c>
      <c r="J380" s="301" t="s">
        <v>1322</v>
      </c>
      <c r="K380" s="302" t="s">
        <v>3589</v>
      </c>
      <c r="L380" s="32">
        <v>1000</v>
      </c>
      <c r="M380" s="355" t="s">
        <v>99</v>
      </c>
      <c r="AK380" s="2151" t="s">
        <v>3679</v>
      </c>
    </row>
    <row r="381" spans="1:37" ht="12" customHeight="1"/>
    <row r="382" spans="1:37" ht="12" customHeight="1"/>
    <row r="383" spans="1:37" ht="12" customHeight="1"/>
    <row r="384" spans="1:37" ht="12" customHeight="1">
      <c r="A384" s="355">
        <v>1016</v>
      </c>
      <c r="B384" s="355" t="s">
        <v>3955</v>
      </c>
      <c r="C384" s="355" t="s">
        <v>3996</v>
      </c>
      <c r="D384" s="355" t="s">
        <v>637</v>
      </c>
      <c r="F384" s="355" t="s">
        <v>3</v>
      </c>
      <c r="H384" s="2153" t="s">
        <v>3557</v>
      </c>
      <c r="I384" s="2153" t="s">
        <v>3994</v>
      </c>
      <c r="J384" s="2153" t="s">
        <v>3997</v>
      </c>
      <c r="K384" s="355" t="s">
        <v>3962</v>
      </c>
      <c r="L384" s="32">
        <v>90000</v>
      </c>
    </row>
    <row r="385" spans="2:16" ht="12" customHeight="1"/>
    <row r="386" spans="2:16" ht="12" customHeight="1"/>
    <row r="387" spans="2:16" ht="12" customHeight="1"/>
    <row r="388" spans="2:16" ht="12" customHeight="1"/>
    <row r="389" spans="2:16" ht="12" customHeight="1"/>
    <row r="390" spans="2:16" ht="12" customHeight="1" thickBot="1">
      <c r="B390" s="355" t="s">
        <v>4006</v>
      </c>
      <c r="C390" s="352"/>
      <c r="D390" s="2829" t="s">
        <v>752</v>
      </c>
      <c r="E390" s="420"/>
      <c r="F390" s="1912" t="s">
        <v>3</v>
      </c>
      <c r="G390" s="1912" t="s">
        <v>4012</v>
      </c>
      <c r="H390" s="2910">
        <v>46023</v>
      </c>
      <c r="I390" s="1912" t="s">
        <v>4414</v>
      </c>
      <c r="J390" s="1912" t="s">
        <v>4708</v>
      </c>
      <c r="K390" s="2829" t="s">
        <v>4411</v>
      </c>
      <c r="L390" s="409"/>
      <c r="M390" s="352"/>
    </row>
    <row r="391" spans="2:16" ht="13.5" customHeight="1">
      <c r="B391" s="355" t="s">
        <v>4006</v>
      </c>
      <c r="C391" s="2911" t="s">
        <v>4606</v>
      </c>
      <c r="D391" s="2912" t="s">
        <v>4607</v>
      </c>
      <c r="E391" s="2913">
        <v>1500</v>
      </c>
      <c r="F391" s="2913" t="s">
        <v>2876</v>
      </c>
      <c r="G391" s="352"/>
      <c r="H391" s="352"/>
      <c r="I391" s="352"/>
      <c r="J391" s="352"/>
      <c r="K391" s="352"/>
      <c r="L391" s="2914">
        <v>15000</v>
      </c>
      <c r="M391" s="352"/>
      <c r="N391" s="2904" t="s">
        <v>4604</v>
      </c>
      <c r="P391" s="2908"/>
    </row>
    <row r="392" spans="2:16" ht="12" customHeight="1">
      <c r="B392" s="355" t="s">
        <v>4006</v>
      </c>
      <c r="C392" s="2911"/>
      <c r="D392" s="2912"/>
      <c r="E392" s="2913"/>
      <c r="F392" s="2913"/>
      <c r="G392" s="352"/>
      <c r="H392" s="1912"/>
      <c r="I392" s="1912"/>
      <c r="J392" s="2910"/>
      <c r="K392" s="1912"/>
      <c r="L392" s="2914"/>
      <c r="M392" s="2829"/>
      <c r="N392" s="2909"/>
      <c r="P392" s="2812"/>
    </row>
    <row r="393" spans="2:16" ht="12" customHeight="1">
      <c r="B393" s="355" t="s">
        <v>4006</v>
      </c>
      <c r="C393" s="2911"/>
      <c r="D393" s="2873" t="s">
        <v>4609</v>
      </c>
      <c r="E393" s="2862">
        <v>500</v>
      </c>
      <c r="F393" s="2862" t="s">
        <v>2876</v>
      </c>
      <c r="G393" s="352"/>
      <c r="H393" s="2829" t="s">
        <v>2757</v>
      </c>
      <c r="I393" s="2829"/>
      <c r="J393" s="2829"/>
      <c r="K393" s="2829"/>
      <c r="L393" s="2840">
        <v>5000</v>
      </c>
      <c r="M393" s="1912"/>
      <c r="N393" s="2909"/>
      <c r="P393" s="2810"/>
    </row>
    <row r="394" spans="2:16" ht="12" customHeight="1">
      <c r="B394" s="355" t="s">
        <v>4006</v>
      </c>
      <c r="C394" s="2911"/>
      <c r="D394" s="2873" t="s">
        <v>4610</v>
      </c>
      <c r="E394" s="2862">
        <v>500</v>
      </c>
      <c r="F394" s="2862" t="s">
        <v>2876</v>
      </c>
      <c r="G394" s="352"/>
      <c r="H394" s="2829" t="s">
        <v>2757</v>
      </c>
      <c r="I394" s="2829"/>
      <c r="J394" s="2829"/>
      <c r="K394" s="2829"/>
      <c r="L394" s="2840">
        <v>5000</v>
      </c>
      <c r="M394" s="1912"/>
      <c r="N394" s="2909"/>
      <c r="P394" s="2810"/>
    </row>
    <row r="395" spans="2:16" ht="12" customHeight="1">
      <c r="B395" s="355" t="s">
        <v>4006</v>
      </c>
      <c r="C395" s="2911"/>
      <c r="D395" s="2873" t="s">
        <v>4611</v>
      </c>
      <c r="E395" s="2862">
        <v>50</v>
      </c>
      <c r="F395" s="2862" t="s">
        <v>2876</v>
      </c>
      <c r="G395" s="352"/>
      <c r="H395" s="2829" t="s">
        <v>2757</v>
      </c>
      <c r="I395" s="2829"/>
      <c r="J395" s="2829"/>
      <c r="K395" s="2829"/>
      <c r="L395" s="2840">
        <v>2670</v>
      </c>
      <c r="M395" s="1912"/>
      <c r="N395" s="2909"/>
      <c r="P395" s="2810"/>
    </row>
    <row r="396" spans="2:16" ht="12" customHeight="1">
      <c r="B396" s="355" t="s">
        <v>4006</v>
      </c>
      <c r="C396" s="2911"/>
      <c r="D396" s="2873" t="s">
        <v>4612</v>
      </c>
      <c r="E396" s="2862">
        <v>100</v>
      </c>
      <c r="F396" s="2862" t="s">
        <v>1841</v>
      </c>
      <c r="G396" s="352"/>
      <c r="H396" s="2829" t="s">
        <v>2757</v>
      </c>
      <c r="I396" s="2829"/>
      <c r="J396" s="2829"/>
      <c r="K396" s="2829"/>
      <c r="L396" s="2840">
        <v>15000</v>
      </c>
      <c r="M396" s="1912"/>
      <c r="N396" s="2909"/>
      <c r="P396" s="2810"/>
    </row>
    <row r="397" spans="2:16" ht="12" customHeight="1">
      <c r="B397" s="355" t="s">
        <v>4006</v>
      </c>
      <c r="C397" s="2911"/>
      <c r="D397" s="2873" t="s">
        <v>4613</v>
      </c>
      <c r="E397" s="2862">
        <v>100</v>
      </c>
      <c r="F397" s="2862" t="s">
        <v>1841</v>
      </c>
      <c r="G397" s="352"/>
      <c r="H397" s="2829" t="s">
        <v>2757</v>
      </c>
      <c r="I397" s="2829"/>
      <c r="J397" s="2829"/>
      <c r="K397" s="2829"/>
      <c r="L397" s="2840">
        <v>15000</v>
      </c>
      <c r="M397" s="1912"/>
      <c r="N397" s="2909"/>
      <c r="P397" s="2810"/>
    </row>
    <row r="398" spans="2:16" ht="12" customHeight="1">
      <c r="B398" s="355" t="s">
        <v>4006</v>
      </c>
      <c r="C398" s="2911"/>
      <c r="D398" s="2873" t="s">
        <v>4614</v>
      </c>
      <c r="E398" s="2862">
        <v>50</v>
      </c>
      <c r="F398" s="2862" t="s">
        <v>2876</v>
      </c>
      <c r="G398" s="352"/>
      <c r="H398" s="2829" t="s">
        <v>2757</v>
      </c>
      <c r="I398" s="2829"/>
      <c r="J398" s="2829"/>
      <c r="K398" s="2829"/>
      <c r="L398" s="2840">
        <v>3500</v>
      </c>
      <c r="M398" s="1912"/>
      <c r="N398" s="2909"/>
      <c r="P398" s="2810"/>
    </row>
    <row r="399" spans="2:16" ht="12" customHeight="1">
      <c r="B399" s="355" t="s">
        <v>4006</v>
      </c>
      <c r="C399" s="2911"/>
      <c r="D399" s="2873" t="s">
        <v>4615</v>
      </c>
      <c r="E399" s="2862">
        <v>20</v>
      </c>
      <c r="F399" s="2862" t="s">
        <v>1688</v>
      </c>
      <c r="G399" s="352"/>
      <c r="H399" s="2829" t="s">
        <v>2757</v>
      </c>
      <c r="I399" s="2829"/>
      <c r="J399" s="2829"/>
      <c r="K399" s="2829"/>
      <c r="L399" s="2840">
        <v>6000</v>
      </c>
      <c r="M399" s="1912"/>
      <c r="N399" s="2909"/>
      <c r="P399" s="2810"/>
    </row>
    <row r="400" spans="2:16" ht="12" customHeight="1">
      <c r="B400" s="355" t="s">
        <v>4006</v>
      </c>
      <c r="C400" s="2911"/>
      <c r="D400" s="2873" t="s">
        <v>4616</v>
      </c>
      <c r="E400" s="2862">
        <v>20</v>
      </c>
      <c r="F400" s="2862" t="s">
        <v>1688</v>
      </c>
      <c r="G400" s="352"/>
      <c r="H400" s="2829" t="s">
        <v>2757</v>
      </c>
      <c r="I400" s="2829"/>
      <c r="J400" s="2829"/>
      <c r="K400" s="2829"/>
      <c r="L400" s="2840">
        <v>6000</v>
      </c>
      <c r="M400" s="1912"/>
      <c r="N400" s="2909"/>
      <c r="P400" s="2810"/>
    </row>
    <row r="401" spans="2:16" ht="12" customHeight="1">
      <c r="B401" s="355" t="s">
        <v>4006</v>
      </c>
      <c r="C401" s="2911"/>
      <c r="D401" s="2873" t="s">
        <v>4617</v>
      </c>
      <c r="E401" s="2862">
        <v>50</v>
      </c>
      <c r="F401" s="2862" t="s">
        <v>1688</v>
      </c>
      <c r="G401" s="352"/>
      <c r="H401" s="2829" t="s">
        <v>2757</v>
      </c>
      <c r="I401" s="2829"/>
      <c r="J401" s="2829"/>
      <c r="K401" s="2829"/>
      <c r="L401" s="2840">
        <v>15000</v>
      </c>
      <c r="M401" s="1912"/>
      <c r="N401" s="2909"/>
      <c r="P401" s="2810"/>
    </row>
    <row r="402" spans="2:16" ht="12" customHeight="1">
      <c r="B402" s="355" t="s">
        <v>4006</v>
      </c>
      <c r="C402" s="2911"/>
      <c r="D402" s="2873" t="s">
        <v>4618</v>
      </c>
      <c r="E402" s="2862">
        <v>50</v>
      </c>
      <c r="F402" s="2862" t="s">
        <v>1688</v>
      </c>
      <c r="G402" s="352"/>
      <c r="H402" s="2829" t="s">
        <v>2757</v>
      </c>
      <c r="I402" s="2829"/>
      <c r="J402" s="2829"/>
      <c r="K402" s="2829"/>
      <c r="L402" s="2840">
        <v>15000</v>
      </c>
      <c r="M402" s="1912"/>
      <c r="N402" s="2909"/>
      <c r="P402" s="2810"/>
    </row>
    <row r="403" spans="2:16" ht="12" customHeight="1">
      <c r="B403" s="355" t="s">
        <v>4006</v>
      </c>
      <c r="C403" s="1912"/>
      <c r="D403" s="2873" t="s">
        <v>4620</v>
      </c>
      <c r="E403" s="2862">
        <v>10</v>
      </c>
      <c r="F403" s="2862" t="s">
        <v>4619</v>
      </c>
      <c r="G403" s="352"/>
      <c r="H403" s="2829" t="s">
        <v>2757</v>
      </c>
      <c r="I403" s="2829"/>
      <c r="J403" s="2829"/>
      <c r="K403" s="2829"/>
      <c r="L403" s="2840">
        <v>12800</v>
      </c>
      <c r="M403" s="1912"/>
      <c r="N403" s="2909"/>
      <c r="P403" s="2810"/>
    </row>
    <row r="404" spans="2:16" ht="12" customHeight="1">
      <c r="B404" s="355" t="s">
        <v>4006</v>
      </c>
      <c r="C404" s="1912"/>
      <c r="D404" s="2873" t="s">
        <v>4621</v>
      </c>
      <c r="E404" s="2862">
        <v>10</v>
      </c>
      <c r="F404" s="2862" t="s">
        <v>4619</v>
      </c>
      <c r="G404" s="352"/>
      <c r="H404" s="2829" t="s">
        <v>2757</v>
      </c>
      <c r="I404" s="2829"/>
      <c r="J404" s="2829"/>
      <c r="K404" s="2829"/>
      <c r="L404" s="2840">
        <v>12800</v>
      </c>
      <c r="M404" s="1912"/>
      <c r="N404" s="2909"/>
      <c r="P404" s="2810"/>
    </row>
    <row r="405" spans="2:16" ht="12" customHeight="1">
      <c r="B405" s="355" t="s">
        <v>4006</v>
      </c>
      <c r="C405" s="1912"/>
      <c r="D405" s="2873" t="s">
        <v>4622</v>
      </c>
      <c r="E405" s="2862">
        <v>100</v>
      </c>
      <c r="F405" s="2862" t="s">
        <v>2876</v>
      </c>
      <c r="G405" s="352"/>
      <c r="H405" s="2829" t="s">
        <v>2757</v>
      </c>
      <c r="I405" s="2829"/>
      <c r="J405" s="2829"/>
      <c r="K405" s="2829"/>
      <c r="L405" s="2840">
        <v>1000</v>
      </c>
      <c r="M405" s="1912"/>
      <c r="N405" s="2909"/>
      <c r="P405" s="2810"/>
    </row>
    <row r="406" spans="2:16" ht="12" customHeight="1">
      <c r="B406" s="355" t="s">
        <v>4006</v>
      </c>
      <c r="C406" s="1912"/>
      <c r="D406" s="2873" t="s">
        <v>4623</v>
      </c>
      <c r="E406" s="2862">
        <v>300</v>
      </c>
      <c r="F406" s="2862" t="s">
        <v>2876</v>
      </c>
      <c r="G406" s="352"/>
      <c r="H406" s="2829" t="s">
        <v>2757</v>
      </c>
      <c r="I406" s="2829"/>
      <c r="J406" s="2829"/>
      <c r="K406" s="2829"/>
      <c r="L406" s="2840">
        <v>3000</v>
      </c>
      <c r="M406" s="1912"/>
      <c r="N406" s="2909"/>
      <c r="P406" s="2810"/>
    </row>
    <row r="407" spans="2:16" ht="12" customHeight="1">
      <c r="B407" s="355" t="s">
        <v>4006</v>
      </c>
      <c r="C407" s="1912"/>
      <c r="D407" s="2873" t="s">
        <v>4624</v>
      </c>
      <c r="E407" s="2862">
        <v>300</v>
      </c>
      <c r="F407" s="2862" t="s">
        <v>2876</v>
      </c>
      <c r="G407" s="352"/>
      <c r="H407" s="2829" t="s">
        <v>2757</v>
      </c>
      <c r="I407" s="2829"/>
      <c r="J407" s="2829"/>
      <c r="K407" s="2829"/>
      <c r="L407" s="2840">
        <v>3000</v>
      </c>
      <c r="M407" s="1912"/>
      <c r="N407" s="2909"/>
      <c r="P407" s="2810"/>
    </row>
    <row r="408" spans="2:16" ht="12" customHeight="1">
      <c r="B408" s="355" t="s">
        <v>4006</v>
      </c>
      <c r="C408" s="1912"/>
      <c r="D408" s="2873" t="s">
        <v>4625</v>
      </c>
      <c r="E408" s="2862">
        <v>300</v>
      </c>
      <c r="F408" s="2862" t="s">
        <v>2876</v>
      </c>
      <c r="G408" s="352"/>
      <c r="H408" s="2829" t="s">
        <v>2757</v>
      </c>
      <c r="I408" s="2829"/>
      <c r="J408" s="2829"/>
      <c r="K408" s="2829"/>
      <c r="L408" s="2840">
        <v>3000</v>
      </c>
      <c r="M408" s="1912"/>
      <c r="N408" s="2909"/>
      <c r="P408" s="2810"/>
    </row>
    <row r="409" spans="2:16" ht="12" customHeight="1">
      <c r="B409" s="355" t="s">
        <v>4006</v>
      </c>
      <c r="C409" s="1912"/>
      <c r="D409" s="2873" t="s">
        <v>4626</v>
      </c>
      <c r="E409" s="2862">
        <v>300</v>
      </c>
      <c r="F409" s="2862" t="s">
        <v>2876</v>
      </c>
      <c r="G409" s="352"/>
      <c r="H409" s="2829" t="s">
        <v>2757</v>
      </c>
      <c r="I409" s="2829"/>
      <c r="J409" s="2829"/>
      <c r="K409" s="2829"/>
      <c r="L409" s="2840">
        <v>3000</v>
      </c>
      <c r="M409" s="1912"/>
      <c r="N409" s="2909"/>
      <c r="P409" s="2810"/>
    </row>
    <row r="410" spans="2:16" ht="12" customHeight="1">
      <c r="B410" s="355" t="s">
        <v>4006</v>
      </c>
      <c r="C410" s="1912"/>
      <c r="D410" s="2873" t="s">
        <v>4627</v>
      </c>
      <c r="E410" s="2862">
        <v>300</v>
      </c>
      <c r="F410" s="2862" t="s">
        <v>2876</v>
      </c>
      <c r="G410" s="352"/>
      <c r="H410" s="2829" t="s">
        <v>2757</v>
      </c>
      <c r="I410" s="2829"/>
      <c r="J410" s="2829"/>
      <c r="K410" s="2829"/>
      <c r="L410" s="2840">
        <v>3000</v>
      </c>
      <c r="M410" s="1912"/>
      <c r="N410" s="2909"/>
      <c r="P410" s="2810"/>
    </row>
    <row r="411" spans="2:16" ht="12" customHeight="1">
      <c r="B411" s="355" t="s">
        <v>4006</v>
      </c>
      <c r="C411" s="1912"/>
      <c r="D411" s="2873" t="s">
        <v>4628</v>
      </c>
      <c r="E411" s="2862">
        <v>300</v>
      </c>
      <c r="F411" s="2862" t="s">
        <v>2876</v>
      </c>
      <c r="G411" s="352"/>
      <c r="H411" s="2829" t="s">
        <v>2757</v>
      </c>
      <c r="I411" s="2829"/>
      <c r="J411" s="2829"/>
      <c r="K411" s="2829"/>
      <c r="L411" s="2840">
        <v>3000</v>
      </c>
      <c r="M411" s="1912"/>
      <c r="N411" s="2909"/>
      <c r="P411" s="2810"/>
    </row>
    <row r="412" spans="2:16" ht="12" customHeight="1">
      <c r="B412" s="355" t="s">
        <v>4006</v>
      </c>
      <c r="C412" s="1912"/>
      <c r="D412" s="2873" t="s">
        <v>4629</v>
      </c>
      <c r="E412" s="2862">
        <v>300</v>
      </c>
      <c r="F412" s="2862" t="s">
        <v>2876</v>
      </c>
      <c r="G412" s="352"/>
      <c r="H412" s="2829" t="s">
        <v>2757</v>
      </c>
      <c r="I412" s="2829"/>
      <c r="J412" s="2829"/>
      <c r="K412" s="2829"/>
      <c r="L412" s="2840">
        <v>3000</v>
      </c>
      <c r="M412" s="1912"/>
      <c r="N412" s="2909"/>
      <c r="P412" s="2810"/>
    </row>
    <row r="413" spans="2:16" ht="12" customHeight="1">
      <c r="B413" s="355" t="s">
        <v>4006</v>
      </c>
      <c r="C413" s="1912"/>
      <c r="D413" s="2873" t="s">
        <v>4630</v>
      </c>
      <c r="E413" s="2862">
        <v>300</v>
      </c>
      <c r="F413" s="2862" t="s">
        <v>2876</v>
      </c>
      <c r="G413" s="352"/>
      <c r="H413" s="2829" t="s">
        <v>2757</v>
      </c>
      <c r="I413" s="2829"/>
      <c r="J413" s="2829"/>
      <c r="K413" s="2829"/>
      <c r="L413" s="2840">
        <v>3000</v>
      </c>
      <c r="M413" s="1912"/>
      <c r="N413" s="2909"/>
      <c r="P413" s="2810"/>
    </row>
    <row r="414" spans="2:16" ht="12" customHeight="1">
      <c r="B414" s="355" t="s">
        <v>4006</v>
      </c>
      <c r="C414" s="1912"/>
      <c r="D414" s="2873" t="s">
        <v>475</v>
      </c>
      <c r="E414" s="2862">
        <v>500</v>
      </c>
      <c r="F414" s="2862" t="s">
        <v>2876</v>
      </c>
      <c r="G414" s="352"/>
      <c r="H414" s="2829" t="s">
        <v>2757</v>
      </c>
      <c r="I414" s="2829"/>
      <c r="J414" s="2829"/>
      <c r="K414" s="2829"/>
      <c r="L414" s="2840">
        <v>20000</v>
      </c>
      <c r="M414" s="1912"/>
      <c r="N414" s="2909"/>
      <c r="P414" s="2810"/>
    </row>
    <row r="415" spans="2:16" ht="12" customHeight="1">
      <c r="B415" s="355" t="s">
        <v>4006</v>
      </c>
      <c r="C415" s="1912"/>
      <c r="D415" s="2873" t="s">
        <v>4631</v>
      </c>
      <c r="E415" s="2862">
        <v>5</v>
      </c>
      <c r="F415" s="2862" t="s">
        <v>1700</v>
      </c>
      <c r="G415" s="352"/>
      <c r="H415" s="2829" t="s">
        <v>2757</v>
      </c>
      <c r="I415" s="1912"/>
      <c r="J415" s="1912"/>
      <c r="K415" s="1912"/>
      <c r="L415" s="2840">
        <v>15000</v>
      </c>
      <c r="M415" s="1912"/>
      <c r="N415" s="2909"/>
      <c r="P415" s="2810"/>
    </row>
    <row r="416" spans="2:16" ht="12" customHeight="1">
      <c r="B416" s="355" t="s">
        <v>4006</v>
      </c>
      <c r="C416" s="1912"/>
      <c r="D416" s="2915" t="s">
        <v>4633</v>
      </c>
      <c r="E416" s="2862">
        <v>100</v>
      </c>
      <c r="F416" s="2862" t="s">
        <v>4632</v>
      </c>
      <c r="G416" s="352"/>
      <c r="H416" s="2829" t="s">
        <v>2757</v>
      </c>
      <c r="I416" s="1912"/>
      <c r="J416" s="1912"/>
      <c r="K416" s="1912"/>
      <c r="L416" s="2840">
        <v>2000</v>
      </c>
      <c r="M416" s="1912"/>
      <c r="O416" s="2809"/>
      <c r="P416" s="2810"/>
    </row>
    <row r="417" spans="2:16" ht="12" customHeight="1">
      <c r="B417" s="355" t="s">
        <v>4006</v>
      </c>
      <c r="C417" s="1912"/>
      <c r="D417" s="2915" t="s">
        <v>4635</v>
      </c>
      <c r="E417" s="2862">
        <v>30</v>
      </c>
      <c r="F417" s="2862" t="s">
        <v>4634</v>
      </c>
      <c r="G417" s="352"/>
      <c r="H417" s="2829" t="s">
        <v>2757</v>
      </c>
      <c r="I417" s="1912"/>
      <c r="J417" s="1912"/>
      <c r="K417" s="1912"/>
      <c r="L417" s="2840">
        <v>19500</v>
      </c>
      <c r="M417" s="1912"/>
      <c r="O417" s="2809"/>
      <c r="P417" s="2810"/>
    </row>
    <row r="418" spans="2:16" ht="12" customHeight="1">
      <c r="B418" s="355" t="s">
        <v>4006</v>
      </c>
      <c r="C418" s="1912"/>
      <c r="D418" s="2873" t="s">
        <v>4636</v>
      </c>
      <c r="E418" s="2862">
        <v>300</v>
      </c>
      <c r="F418" s="2862" t="s">
        <v>2876</v>
      </c>
      <c r="G418" s="352"/>
      <c r="H418" s="2829" t="s">
        <v>2757</v>
      </c>
      <c r="I418" s="1912"/>
      <c r="J418" s="1912"/>
      <c r="K418" s="1912"/>
      <c r="L418" s="2840">
        <v>6000</v>
      </c>
      <c r="M418" s="1912"/>
      <c r="O418" s="2809"/>
      <c r="P418" s="2810"/>
    </row>
    <row r="419" spans="2:16" ht="12" customHeight="1">
      <c r="B419" s="355" t="s">
        <v>4006</v>
      </c>
      <c r="C419" s="1906"/>
      <c r="D419" s="2916" t="s">
        <v>4637</v>
      </c>
      <c r="E419" s="2862">
        <v>2</v>
      </c>
      <c r="F419" s="2862" t="s">
        <v>1841</v>
      </c>
      <c r="G419" s="352"/>
      <c r="H419" s="2829" t="s">
        <v>2757</v>
      </c>
      <c r="I419" s="1912"/>
      <c r="J419" s="1912"/>
      <c r="K419" s="1912"/>
      <c r="L419" s="2840">
        <v>6000</v>
      </c>
      <c r="M419" s="1912"/>
      <c r="O419" s="2809"/>
      <c r="P419" s="2810"/>
    </row>
    <row r="420" spans="2:16" ht="12" customHeight="1">
      <c r="B420" s="355" t="s">
        <v>4006</v>
      </c>
      <c r="C420" s="1906"/>
      <c r="D420" s="2916" t="s">
        <v>4638</v>
      </c>
      <c r="E420" s="2862">
        <v>100</v>
      </c>
      <c r="F420" s="2862" t="s">
        <v>2001</v>
      </c>
      <c r="G420" s="352"/>
      <c r="H420" s="2829" t="s">
        <v>2757</v>
      </c>
      <c r="I420" s="1912"/>
      <c r="J420" s="1912"/>
      <c r="K420" s="1912"/>
      <c r="L420" s="2840">
        <v>34000</v>
      </c>
      <c r="M420" s="1912"/>
      <c r="O420" s="2809"/>
      <c r="P420" s="2810"/>
    </row>
    <row r="421" spans="2:16" ht="12" customHeight="1">
      <c r="B421" s="355" t="s">
        <v>4006</v>
      </c>
      <c r="C421" s="1906"/>
      <c r="D421" s="2916" t="s">
        <v>4639</v>
      </c>
      <c r="E421" s="2862">
        <v>30</v>
      </c>
      <c r="F421" s="2862" t="s">
        <v>2001</v>
      </c>
      <c r="G421" s="352"/>
      <c r="H421" s="2829" t="s">
        <v>2757</v>
      </c>
      <c r="I421" s="1912"/>
      <c r="J421" s="1912"/>
      <c r="K421" s="1912"/>
      <c r="L421" s="2840">
        <v>10200</v>
      </c>
      <c r="M421" s="1912"/>
      <c r="O421" s="2809"/>
      <c r="P421" s="2810"/>
    </row>
    <row r="422" spans="2:16" ht="12" customHeight="1">
      <c r="B422" s="355" t="s">
        <v>4006</v>
      </c>
      <c r="C422" s="1906"/>
      <c r="D422" s="2916" t="s">
        <v>4640</v>
      </c>
      <c r="E422" s="2862">
        <v>30</v>
      </c>
      <c r="F422" s="2862" t="s">
        <v>2001</v>
      </c>
      <c r="G422" s="352"/>
      <c r="H422" s="2829" t="s">
        <v>2757</v>
      </c>
      <c r="I422" s="1912"/>
      <c r="J422" s="1912"/>
      <c r="K422" s="1912"/>
      <c r="L422" s="2840">
        <v>10200</v>
      </c>
      <c r="M422" s="1912"/>
      <c r="O422" s="2809"/>
      <c r="P422" s="2810"/>
    </row>
    <row r="423" spans="2:16" ht="12" customHeight="1">
      <c r="B423" s="355" t="s">
        <v>4006</v>
      </c>
      <c r="C423" s="1906"/>
      <c r="D423" s="2916" t="s">
        <v>4641</v>
      </c>
      <c r="E423" s="2862">
        <v>30</v>
      </c>
      <c r="F423" s="2862" t="s">
        <v>2001</v>
      </c>
      <c r="G423" s="352"/>
      <c r="H423" s="2829" t="s">
        <v>2757</v>
      </c>
      <c r="I423" s="1912"/>
      <c r="J423" s="1912"/>
      <c r="K423" s="1912"/>
      <c r="L423" s="2840">
        <v>10300</v>
      </c>
      <c r="M423" s="1912"/>
      <c r="O423" s="2809"/>
      <c r="P423" s="2810"/>
    </row>
    <row r="424" spans="2:16" ht="12" customHeight="1">
      <c r="B424" s="355" t="s">
        <v>4006</v>
      </c>
      <c r="C424" s="1906"/>
      <c r="D424" s="2916" t="s">
        <v>4642</v>
      </c>
      <c r="E424" s="2862">
        <v>30</v>
      </c>
      <c r="F424" s="2862" t="s">
        <v>2876</v>
      </c>
      <c r="G424" s="352"/>
      <c r="H424" s="2829" t="s">
        <v>2757</v>
      </c>
      <c r="I424" s="1912"/>
      <c r="J424" s="1912"/>
      <c r="K424" s="1912"/>
      <c r="L424" s="2840">
        <v>10200</v>
      </c>
      <c r="M424" s="1912"/>
      <c r="O424" s="2809"/>
      <c r="P424" s="2810"/>
    </row>
    <row r="425" spans="2:16" ht="12" customHeight="1">
      <c r="B425" s="355" t="s">
        <v>4006</v>
      </c>
      <c r="C425" s="1906"/>
      <c r="D425" s="2917" t="s">
        <v>4643</v>
      </c>
      <c r="E425" s="2862">
        <v>400</v>
      </c>
      <c r="F425" s="2862" t="s">
        <v>2001</v>
      </c>
      <c r="G425" s="352"/>
      <c r="H425" s="2829" t="s">
        <v>2757</v>
      </c>
      <c r="I425" s="1912"/>
      <c r="J425" s="1912"/>
      <c r="K425" s="1912"/>
      <c r="L425" s="2840">
        <v>60000</v>
      </c>
      <c r="M425" s="1912"/>
      <c r="O425" s="2809"/>
      <c r="P425" s="2810"/>
    </row>
    <row r="426" spans="2:16" ht="12" customHeight="1">
      <c r="B426" s="355" t="s">
        <v>4006</v>
      </c>
      <c r="C426" s="1906"/>
      <c r="D426" s="2917" t="s">
        <v>4644</v>
      </c>
      <c r="E426" s="2862">
        <v>100</v>
      </c>
      <c r="F426" s="2862" t="s">
        <v>2001</v>
      </c>
      <c r="G426" s="352"/>
      <c r="H426" s="2829" t="s">
        <v>2757</v>
      </c>
      <c r="I426" s="1912"/>
      <c r="J426" s="1912"/>
      <c r="K426" s="1912"/>
      <c r="L426" s="2840">
        <v>15000</v>
      </c>
      <c r="M426" s="1912"/>
      <c r="O426" s="2809"/>
      <c r="P426" s="2810"/>
    </row>
    <row r="427" spans="2:16" ht="12" customHeight="1">
      <c r="B427" s="355" t="s">
        <v>4006</v>
      </c>
      <c r="C427" s="1906"/>
      <c r="D427" s="2917" t="s">
        <v>4645</v>
      </c>
      <c r="E427" s="2862">
        <v>100</v>
      </c>
      <c r="F427" s="2862" t="s">
        <v>2001</v>
      </c>
      <c r="G427" s="352"/>
      <c r="H427" s="2829" t="s">
        <v>2757</v>
      </c>
      <c r="I427" s="1912"/>
      <c r="J427" s="1912"/>
      <c r="K427" s="1912"/>
      <c r="L427" s="2840">
        <v>15000</v>
      </c>
      <c r="M427" s="1912"/>
      <c r="O427" s="2809"/>
      <c r="P427" s="2810"/>
    </row>
    <row r="428" spans="2:16" ht="12" customHeight="1">
      <c r="B428" s="355" t="s">
        <v>4006</v>
      </c>
      <c r="C428" s="1906"/>
      <c r="D428" s="2917" t="s">
        <v>4646</v>
      </c>
      <c r="E428" s="2862">
        <v>100</v>
      </c>
      <c r="F428" s="2862" t="s">
        <v>2001</v>
      </c>
      <c r="G428" s="352"/>
      <c r="H428" s="2829" t="s">
        <v>2757</v>
      </c>
      <c r="I428" s="1912"/>
      <c r="J428" s="1912"/>
      <c r="K428" s="1912"/>
      <c r="L428" s="2840">
        <v>15000</v>
      </c>
      <c r="M428" s="1912"/>
      <c r="O428" s="2809"/>
      <c r="P428" s="2810"/>
    </row>
    <row r="429" spans="2:16" ht="12" customHeight="1">
      <c r="B429" s="355" t="s">
        <v>4006</v>
      </c>
      <c r="C429" s="1906"/>
      <c r="D429" s="2874" t="s">
        <v>4647</v>
      </c>
      <c r="E429" s="2862">
        <v>10</v>
      </c>
      <c r="F429" s="2862" t="s">
        <v>1057</v>
      </c>
      <c r="G429" s="352"/>
      <c r="H429" s="2829" t="s">
        <v>2757</v>
      </c>
      <c r="I429" s="1912"/>
      <c r="J429" s="1912"/>
      <c r="K429" s="1912"/>
      <c r="L429" s="2840">
        <v>20000</v>
      </c>
      <c r="M429" s="1912"/>
      <c r="O429" s="2809"/>
      <c r="P429" s="2810"/>
    </row>
    <row r="430" spans="2:16" ht="12" customHeight="1">
      <c r="B430" s="355" t="s">
        <v>4006</v>
      </c>
      <c r="C430" s="1906"/>
      <c r="D430" s="2873" t="s">
        <v>4648</v>
      </c>
      <c r="E430" s="2862">
        <v>10</v>
      </c>
      <c r="F430" s="2862" t="s">
        <v>1747</v>
      </c>
      <c r="G430" s="352"/>
      <c r="H430" s="2829" t="s">
        <v>2757</v>
      </c>
      <c r="I430" s="1912"/>
      <c r="J430" s="1912"/>
      <c r="K430" s="1912"/>
      <c r="L430" s="2840">
        <v>39130</v>
      </c>
      <c r="M430" s="1912"/>
      <c r="O430" s="2809"/>
      <c r="P430" s="2810"/>
    </row>
    <row r="431" spans="2:16" ht="12" customHeight="1">
      <c r="B431" s="355" t="s">
        <v>4006</v>
      </c>
      <c r="C431" s="1906"/>
      <c r="D431" s="2873" t="s">
        <v>4649</v>
      </c>
      <c r="E431" s="2862">
        <v>10</v>
      </c>
      <c r="F431" s="2862" t="s">
        <v>2876</v>
      </c>
      <c r="G431" s="352"/>
      <c r="H431" s="2829" t="s">
        <v>2757</v>
      </c>
      <c r="I431" s="1912"/>
      <c r="J431" s="1912"/>
      <c r="K431" s="1912"/>
      <c r="L431" s="2840">
        <v>10000</v>
      </c>
      <c r="M431" s="1912"/>
      <c r="O431" s="2809"/>
      <c r="P431" s="2810"/>
    </row>
    <row r="432" spans="2:16" ht="12" customHeight="1">
      <c r="B432" s="355" t="s">
        <v>4006</v>
      </c>
      <c r="C432" s="1906"/>
      <c r="D432" s="2873" t="s">
        <v>4650</v>
      </c>
      <c r="E432" s="2862">
        <v>10</v>
      </c>
      <c r="F432" s="2862" t="s">
        <v>1700</v>
      </c>
      <c r="G432" s="352"/>
      <c r="H432" s="2829" t="s">
        <v>2757</v>
      </c>
      <c r="I432" s="1912"/>
      <c r="J432" s="1912"/>
      <c r="K432" s="1912"/>
      <c r="L432" s="2840">
        <v>300</v>
      </c>
      <c r="M432" s="1912"/>
      <c r="O432" s="2809"/>
      <c r="P432" s="2810"/>
    </row>
    <row r="433" spans="2:16" ht="12" customHeight="1">
      <c r="B433" s="355" t="s">
        <v>4006</v>
      </c>
      <c r="C433" s="1906"/>
      <c r="D433" s="2873" t="s">
        <v>4651</v>
      </c>
      <c r="E433" s="2862">
        <v>50</v>
      </c>
      <c r="F433" s="2862" t="s">
        <v>1700</v>
      </c>
      <c r="G433" s="352"/>
      <c r="H433" s="2829" t="s">
        <v>2757</v>
      </c>
      <c r="I433" s="1912"/>
      <c r="J433" s="1912"/>
      <c r="K433" s="1912"/>
      <c r="L433" s="2840">
        <v>3250</v>
      </c>
      <c r="M433" s="1912"/>
      <c r="O433" s="2809"/>
      <c r="P433" s="2810"/>
    </row>
    <row r="434" spans="2:16" ht="12" customHeight="1">
      <c r="B434" s="355" t="s">
        <v>4006</v>
      </c>
      <c r="C434" s="1906"/>
      <c r="D434" s="2873" t="s">
        <v>4652</v>
      </c>
      <c r="E434" s="2862">
        <v>3000</v>
      </c>
      <c r="F434" s="2862" t="s">
        <v>1688</v>
      </c>
      <c r="G434" s="352"/>
      <c r="H434" s="2829" t="s">
        <v>2757</v>
      </c>
      <c r="I434" s="1912"/>
      <c r="J434" s="1912"/>
      <c r="K434" s="1912"/>
      <c r="L434" s="2840">
        <v>795000</v>
      </c>
      <c r="M434" s="1912"/>
      <c r="O434" s="2809"/>
      <c r="P434" s="2810"/>
    </row>
    <row r="435" spans="2:16" ht="12" customHeight="1">
      <c r="B435" s="355" t="s">
        <v>4006</v>
      </c>
      <c r="C435" s="1906"/>
      <c r="D435" s="2873" t="s">
        <v>4653</v>
      </c>
      <c r="E435" s="2862">
        <v>200</v>
      </c>
      <c r="F435" s="2862" t="s">
        <v>1927</v>
      </c>
      <c r="G435" s="352"/>
      <c r="H435" s="2829" t="s">
        <v>2757</v>
      </c>
      <c r="I435" s="1912"/>
      <c r="J435" s="1912"/>
      <c r="K435" s="1912"/>
      <c r="L435" s="2840">
        <v>17000</v>
      </c>
      <c r="M435" s="1912"/>
      <c r="O435" s="2809"/>
      <c r="P435" s="2810"/>
    </row>
    <row r="436" spans="2:16" ht="12" customHeight="1">
      <c r="B436" s="355" t="s">
        <v>4006</v>
      </c>
      <c r="C436" s="1906"/>
      <c r="D436" s="2873" t="s">
        <v>4654</v>
      </c>
      <c r="E436" s="2862">
        <v>5</v>
      </c>
      <c r="F436" s="2862" t="s">
        <v>1952</v>
      </c>
      <c r="G436" s="352"/>
      <c r="H436" s="2829" t="s">
        <v>2757</v>
      </c>
      <c r="I436" s="1912"/>
      <c r="J436" s="1912"/>
      <c r="K436" s="1912"/>
      <c r="L436" s="2840">
        <v>7000</v>
      </c>
      <c r="M436" s="1912"/>
      <c r="O436" s="2809"/>
      <c r="P436" s="2810"/>
    </row>
    <row r="437" spans="2:16" ht="12" customHeight="1">
      <c r="B437" s="355" t="s">
        <v>4006</v>
      </c>
      <c r="C437" s="1906"/>
      <c r="D437" s="2873" t="s">
        <v>4655</v>
      </c>
      <c r="E437" s="2862">
        <v>10</v>
      </c>
      <c r="F437" s="2862" t="s">
        <v>2876</v>
      </c>
      <c r="G437" s="352"/>
      <c r="H437" s="2829" t="s">
        <v>2757</v>
      </c>
      <c r="I437" s="1912"/>
      <c r="J437" s="1912"/>
      <c r="K437" s="1912"/>
      <c r="L437" s="2840">
        <v>5750</v>
      </c>
      <c r="M437" s="1912"/>
      <c r="O437" s="2809"/>
      <c r="P437" s="2810"/>
    </row>
    <row r="438" spans="2:16" ht="12" customHeight="1">
      <c r="B438" s="355" t="s">
        <v>4006</v>
      </c>
      <c r="C438" s="1906"/>
      <c r="D438" s="2873" t="s">
        <v>4656</v>
      </c>
      <c r="E438" s="2862">
        <v>266</v>
      </c>
      <c r="F438" s="2862" t="s">
        <v>2876</v>
      </c>
      <c r="G438" s="352"/>
      <c r="H438" s="2829" t="s">
        <v>2757</v>
      </c>
      <c r="I438" s="1912"/>
      <c r="J438" s="1912"/>
      <c r="K438" s="1912"/>
      <c r="L438" s="2840">
        <v>10108</v>
      </c>
      <c r="M438" s="1912"/>
      <c r="O438" s="2809"/>
      <c r="P438" s="2810"/>
    </row>
    <row r="439" spans="2:16" ht="12" customHeight="1">
      <c r="B439" s="355" t="s">
        <v>4006</v>
      </c>
      <c r="C439" s="1906"/>
      <c r="D439" s="2873" t="s">
        <v>4657</v>
      </c>
      <c r="E439" s="2862">
        <v>10</v>
      </c>
      <c r="F439" s="2862" t="s">
        <v>1700</v>
      </c>
      <c r="G439" s="352"/>
      <c r="H439" s="2829" t="s">
        <v>2757</v>
      </c>
      <c r="I439" s="1912"/>
      <c r="J439" s="1912"/>
      <c r="K439" s="1912"/>
      <c r="L439" s="2840">
        <v>550</v>
      </c>
      <c r="M439" s="1912"/>
      <c r="O439" s="2809"/>
      <c r="P439" s="2810"/>
    </row>
    <row r="440" spans="2:16" ht="12" customHeight="1">
      <c r="B440" s="355" t="s">
        <v>4006</v>
      </c>
      <c r="C440" s="1906"/>
      <c r="D440" s="2873" t="s">
        <v>4658</v>
      </c>
      <c r="E440" s="2862">
        <v>300</v>
      </c>
      <c r="F440" s="2862" t="s">
        <v>1700</v>
      </c>
      <c r="G440" s="352"/>
      <c r="H440" s="2829" t="s">
        <v>2757</v>
      </c>
      <c r="I440" s="1912"/>
      <c r="J440" s="1912"/>
      <c r="K440" s="1912"/>
      <c r="L440" s="2840">
        <v>23700</v>
      </c>
      <c r="M440" s="1912"/>
      <c r="O440" s="2809"/>
      <c r="P440" s="2810"/>
    </row>
    <row r="441" spans="2:16" ht="12" customHeight="1">
      <c r="B441" s="355" t="s">
        <v>4006</v>
      </c>
      <c r="C441" s="1906"/>
      <c r="D441" s="2873" t="s">
        <v>4659</v>
      </c>
      <c r="E441" s="2862">
        <v>150</v>
      </c>
      <c r="F441" s="2862" t="s">
        <v>1700</v>
      </c>
      <c r="G441" s="352"/>
      <c r="H441" s="2829" t="s">
        <v>2757</v>
      </c>
      <c r="I441" s="1912"/>
      <c r="J441" s="1912"/>
      <c r="K441" s="1912"/>
      <c r="L441" s="2840">
        <v>12750</v>
      </c>
      <c r="M441" s="1912"/>
      <c r="O441" s="2809"/>
      <c r="P441" s="2810"/>
    </row>
    <row r="442" spans="2:16" ht="12" customHeight="1">
      <c r="B442" s="355" t="s">
        <v>4006</v>
      </c>
      <c r="C442" s="1906"/>
      <c r="D442" s="2873" t="s">
        <v>4660</v>
      </c>
      <c r="E442" s="2862">
        <v>30</v>
      </c>
      <c r="F442" s="2862" t="s">
        <v>2876</v>
      </c>
      <c r="G442" s="352"/>
      <c r="H442" s="2829" t="s">
        <v>2757</v>
      </c>
      <c r="I442" s="1912"/>
      <c r="J442" s="1912"/>
      <c r="K442" s="1912"/>
      <c r="L442" s="2840">
        <v>7200</v>
      </c>
      <c r="M442" s="1912"/>
      <c r="O442" s="2809"/>
      <c r="P442" s="2810"/>
    </row>
    <row r="443" spans="2:16" ht="12" customHeight="1">
      <c r="B443" s="355" t="s">
        <v>4006</v>
      </c>
      <c r="C443" s="1906"/>
      <c r="D443" s="2875" t="s">
        <v>4661</v>
      </c>
      <c r="E443" s="2862">
        <v>100</v>
      </c>
      <c r="F443" s="2839" t="s">
        <v>2876</v>
      </c>
      <c r="G443" s="352"/>
      <c r="H443" s="2829" t="s">
        <v>2757</v>
      </c>
      <c r="I443" s="1912"/>
      <c r="J443" s="1912"/>
      <c r="K443" s="1912"/>
      <c r="L443" s="2840">
        <v>1000</v>
      </c>
      <c r="M443" s="1912"/>
      <c r="O443" s="2809"/>
      <c r="P443" s="2810"/>
    </row>
    <row r="444" spans="2:16" ht="12" customHeight="1">
      <c r="B444" s="355" t="s">
        <v>4006</v>
      </c>
      <c r="C444" s="1906"/>
      <c r="D444" s="2875" t="s">
        <v>4662</v>
      </c>
      <c r="E444" s="2862">
        <v>50</v>
      </c>
      <c r="F444" s="2839" t="s">
        <v>2001</v>
      </c>
      <c r="G444" s="352"/>
      <c r="H444" s="2829" t="s">
        <v>2757</v>
      </c>
      <c r="I444" s="1912"/>
      <c r="J444" s="1912"/>
      <c r="K444" s="1912"/>
      <c r="L444" s="2840">
        <v>17000</v>
      </c>
      <c r="M444" s="1912"/>
      <c r="O444" s="2809"/>
      <c r="P444" s="2810"/>
    </row>
    <row r="445" spans="2:16" ht="12" customHeight="1">
      <c r="B445" s="355" t="s">
        <v>4006</v>
      </c>
      <c r="C445" s="1906"/>
      <c r="D445" s="2875" t="s">
        <v>4663</v>
      </c>
      <c r="E445" s="2862">
        <v>10</v>
      </c>
      <c r="F445" s="2839" t="s">
        <v>2001</v>
      </c>
      <c r="G445" s="352"/>
      <c r="H445" s="2829" t="s">
        <v>2757</v>
      </c>
      <c r="I445" s="1912"/>
      <c r="J445" s="1912"/>
      <c r="K445" s="1912"/>
      <c r="L445" s="2840">
        <v>3400</v>
      </c>
      <c r="M445" s="1912"/>
      <c r="O445" s="2809"/>
      <c r="P445" s="2810"/>
    </row>
    <row r="446" spans="2:16" ht="12" customHeight="1">
      <c r="B446" s="355" t="s">
        <v>4006</v>
      </c>
      <c r="C446" s="1906"/>
      <c r="D446" s="2875" t="s">
        <v>4664</v>
      </c>
      <c r="E446" s="2862">
        <v>10</v>
      </c>
      <c r="F446" s="2839" t="s">
        <v>2001</v>
      </c>
      <c r="G446" s="352"/>
      <c r="H446" s="2829" t="s">
        <v>2757</v>
      </c>
      <c r="I446" s="1912"/>
      <c r="J446" s="1912"/>
      <c r="K446" s="1912"/>
      <c r="L446" s="2840">
        <v>3400</v>
      </c>
      <c r="M446" s="1912"/>
      <c r="O446" s="2809"/>
      <c r="P446" s="2810"/>
    </row>
    <row r="447" spans="2:16" ht="12" customHeight="1">
      <c r="B447" s="355" t="s">
        <v>4006</v>
      </c>
      <c r="C447" s="1906"/>
      <c r="D447" s="2875" t="s">
        <v>4665</v>
      </c>
      <c r="E447" s="2862">
        <v>10</v>
      </c>
      <c r="F447" s="2839" t="s">
        <v>2001</v>
      </c>
      <c r="G447" s="352"/>
      <c r="H447" s="2829" t="s">
        <v>2757</v>
      </c>
      <c r="I447" s="1912"/>
      <c r="J447" s="1912"/>
      <c r="K447" s="1912"/>
      <c r="L447" s="2840">
        <v>3400</v>
      </c>
      <c r="M447" s="1912"/>
      <c r="O447" s="2809"/>
      <c r="P447" s="2810"/>
    </row>
    <row r="448" spans="2:16" ht="12" customHeight="1">
      <c r="B448" s="355" t="s">
        <v>4006</v>
      </c>
      <c r="C448" s="1906"/>
      <c r="D448" s="2875" t="s">
        <v>4666</v>
      </c>
      <c r="E448" s="2862">
        <v>5</v>
      </c>
      <c r="F448" s="2839" t="s">
        <v>2001</v>
      </c>
      <c r="G448" s="352"/>
      <c r="H448" s="2829" t="s">
        <v>2757</v>
      </c>
      <c r="I448" s="1912"/>
      <c r="J448" s="1912"/>
      <c r="K448" s="1912"/>
      <c r="L448" s="2840">
        <v>2850</v>
      </c>
      <c r="M448" s="1912"/>
      <c r="O448" s="2809"/>
      <c r="P448" s="2810"/>
    </row>
    <row r="449" spans="2:16" ht="12" customHeight="1">
      <c r="B449" s="355" t="s">
        <v>4006</v>
      </c>
      <c r="C449" s="1906"/>
      <c r="D449" s="2875" t="s">
        <v>4667</v>
      </c>
      <c r="E449" s="2862">
        <v>5</v>
      </c>
      <c r="F449" s="2839" t="s">
        <v>2001</v>
      </c>
      <c r="G449" s="352"/>
      <c r="H449" s="2829" t="s">
        <v>2757</v>
      </c>
      <c r="I449" s="1912"/>
      <c r="J449" s="1912"/>
      <c r="K449" s="1912"/>
      <c r="L449" s="2840">
        <v>2850</v>
      </c>
      <c r="M449" s="1912"/>
      <c r="O449" s="2809"/>
      <c r="P449" s="2810"/>
    </row>
    <row r="450" spans="2:16" ht="12" customHeight="1">
      <c r="B450" s="355" t="s">
        <v>4006</v>
      </c>
      <c r="C450" s="1906"/>
      <c r="D450" s="2875" t="s">
        <v>4668</v>
      </c>
      <c r="E450" s="2862">
        <v>5</v>
      </c>
      <c r="F450" s="2839" t="s">
        <v>2001</v>
      </c>
      <c r="G450" s="352"/>
      <c r="H450" s="2829" t="s">
        <v>2757</v>
      </c>
      <c r="I450" s="1912"/>
      <c r="J450" s="1912"/>
      <c r="K450" s="1912"/>
      <c r="L450" s="2840">
        <v>2850</v>
      </c>
      <c r="M450" s="1912"/>
      <c r="O450" s="2809"/>
      <c r="P450" s="2810"/>
    </row>
    <row r="451" spans="2:16" ht="12" customHeight="1">
      <c r="B451" s="355" t="s">
        <v>4006</v>
      </c>
      <c r="C451" s="1906"/>
      <c r="D451" s="2875" t="s">
        <v>4669</v>
      </c>
      <c r="E451" s="2862">
        <v>5</v>
      </c>
      <c r="F451" s="2839" t="s">
        <v>2001</v>
      </c>
      <c r="G451" s="352"/>
      <c r="H451" s="2829" t="s">
        <v>2757</v>
      </c>
      <c r="I451" s="1912"/>
      <c r="J451" s="1912"/>
      <c r="K451" s="1912"/>
      <c r="L451" s="2840">
        <v>2850</v>
      </c>
      <c r="M451" s="1912"/>
      <c r="O451" s="2809"/>
      <c r="P451" s="2810"/>
    </row>
    <row r="452" spans="2:16" ht="12" customHeight="1">
      <c r="B452" s="355" t="s">
        <v>4006</v>
      </c>
      <c r="C452" s="1906"/>
      <c r="D452" s="2875" t="s">
        <v>4670</v>
      </c>
      <c r="E452" s="2862">
        <v>10</v>
      </c>
      <c r="F452" s="2839" t="s">
        <v>2001</v>
      </c>
      <c r="G452" s="352"/>
      <c r="H452" s="2829" t="s">
        <v>2757</v>
      </c>
      <c r="I452" s="1912"/>
      <c r="J452" s="1912"/>
      <c r="K452" s="1912"/>
      <c r="L452" s="2840">
        <v>5200</v>
      </c>
      <c r="M452" s="1912"/>
      <c r="O452" s="2809"/>
      <c r="P452" s="2810"/>
    </row>
    <row r="453" spans="2:16" ht="12" customHeight="1">
      <c r="B453" s="355" t="s">
        <v>4006</v>
      </c>
      <c r="C453" s="1906"/>
      <c r="D453" s="2875" t="s">
        <v>4671</v>
      </c>
      <c r="E453" s="2862">
        <v>8</v>
      </c>
      <c r="F453" s="2839" t="s">
        <v>2001</v>
      </c>
      <c r="G453" s="352"/>
      <c r="H453" s="2829" t="s">
        <v>2757</v>
      </c>
      <c r="I453" s="1912"/>
      <c r="J453" s="1912"/>
      <c r="K453" s="1912"/>
      <c r="L453" s="2840">
        <v>4160</v>
      </c>
      <c r="M453" s="1912"/>
      <c r="O453" s="2809"/>
      <c r="P453" s="2810"/>
    </row>
    <row r="454" spans="2:16" ht="12" customHeight="1">
      <c r="B454" s="355" t="s">
        <v>4006</v>
      </c>
      <c r="C454" s="1906"/>
      <c r="D454" s="2875" t="s">
        <v>4672</v>
      </c>
      <c r="E454" s="2862">
        <v>8</v>
      </c>
      <c r="F454" s="2839" t="s">
        <v>2001</v>
      </c>
      <c r="G454" s="352"/>
      <c r="H454" s="2829" t="s">
        <v>2757</v>
      </c>
      <c r="I454" s="1912"/>
      <c r="J454" s="1912"/>
      <c r="K454" s="1912"/>
      <c r="L454" s="2840">
        <v>4160</v>
      </c>
      <c r="M454" s="1912"/>
      <c r="O454" s="2809"/>
      <c r="P454" s="2810"/>
    </row>
    <row r="455" spans="2:16" ht="12" customHeight="1">
      <c r="B455" s="355" t="s">
        <v>4006</v>
      </c>
      <c r="C455" s="1906"/>
      <c r="D455" s="2875" t="s">
        <v>4673</v>
      </c>
      <c r="E455" s="2862">
        <v>8</v>
      </c>
      <c r="F455" s="2839" t="s">
        <v>2001</v>
      </c>
      <c r="G455" s="352"/>
      <c r="H455" s="2829" t="s">
        <v>2757</v>
      </c>
      <c r="I455" s="1912"/>
      <c r="J455" s="1912"/>
      <c r="K455" s="1912"/>
      <c r="L455" s="2840">
        <v>4160</v>
      </c>
      <c r="M455" s="1912"/>
      <c r="O455" s="2809"/>
      <c r="P455" s="2810"/>
    </row>
    <row r="456" spans="2:16" ht="12" customHeight="1">
      <c r="B456" s="355" t="s">
        <v>4006</v>
      </c>
      <c r="C456" s="1906"/>
      <c r="D456" s="2875" t="s">
        <v>4674</v>
      </c>
      <c r="E456" s="2862">
        <v>80</v>
      </c>
      <c r="F456" s="2839" t="s">
        <v>2001</v>
      </c>
      <c r="G456" s="352"/>
      <c r="H456" s="2829" t="s">
        <v>2757</v>
      </c>
      <c r="I456" s="1912"/>
      <c r="J456" s="1912"/>
      <c r="K456" s="1912"/>
      <c r="L456" s="2840">
        <v>66000</v>
      </c>
      <c r="M456" s="1912"/>
      <c r="O456" s="2809"/>
      <c r="P456" s="2810"/>
    </row>
    <row r="457" spans="2:16" ht="12" customHeight="1">
      <c r="B457" s="355" t="s">
        <v>4006</v>
      </c>
      <c r="C457" s="1906"/>
      <c r="D457" s="2875" t="s">
        <v>4675</v>
      </c>
      <c r="E457" s="2862">
        <v>20</v>
      </c>
      <c r="F457" s="2839" t="s">
        <v>2001</v>
      </c>
      <c r="G457" s="352"/>
      <c r="H457" s="2829" t="s">
        <v>2757</v>
      </c>
      <c r="I457" s="1912"/>
      <c r="J457" s="1912"/>
      <c r="K457" s="1912"/>
      <c r="L457" s="2840">
        <v>25800</v>
      </c>
      <c r="M457" s="1912"/>
      <c r="O457" s="2809"/>
      <c r="P457" s="2810"/>
    </row>
    <row r="458" spans="2:16" ht="12" customHeight="1">
      <c r="B458" s="355" t="s">
        <v>4006</v>
      </c>
      <c r="C458" s="1906"/>
      <c r="D458" s="2875" t="s">
        <v>4676</v>
      </c>
      <c r="E458" s="2862">
        <v>10</v>
      </c>
      <c r="F458" s="2839" t="s">
        <v>2876</v>
      </c>
      <c r="G458" s="352"/>
      <c r="H458" s="2829" t="s">
        <v>2757</v>
      </c>
      <c r="I458" s="1912"/>
      <c r="J458" s="1912"/>
      <c r="K458" s="1912"/>
      <c r="L458" s="2840">
        <v>14500</v>
      </c>
      <c r="M458" s="1912"/>
      <c r="O458" s="2809"/>
      <c r="P458" s="2810"/>
    </row>
    <row r="459" spans="2:16" ht="12" customHeight="1">
      <c r="B459" s="355" t="s">
        <v>4006</v>
      </c>
      <c r="C459" s="1906"/>
      <c r="D459" s="2875" t="s">
        <v>4677</v>
      </c>
      <c r="E459" s="2862">
        <v>25</v>
      </c>
      <c r="F459" s="2839" t="s">
        <v>1700</v>
      </c>
      <c r="G459" s="352"/>
      <c r="H459" s="2829" t="s">
        <v>2757</v>
      </c>
      <c r="I459" s="1912"/>
      <c r="J459" s="1912"/>
      <c r="K459" s="1912"/>
      <c r="L459" s="2840">
        <v>30000</v>
      </c>
      <c r="M459" s="1912"/>
      <c r="O459" s="2809"/>
      <c r="P459" s="2810"/>
    </row>
    <row r="460" spans="2:16" ht="12" customHeight="1">
      <c r="B460" s="355" t="s">
        <v>4006</v>
      </c>
      <c r="C460" s="1906"/>
      <c r="D460" s="2873" t="s">
        <v>4678</v>
      </c>
      <c r="E460" s="2862">
        <v>10</v>
      </c>
      <c r="F460" s="2862" t="s">
        <v>2876</v>
      </c>
      <c r="G460" s="352"/>
      <c r="H460" s="2829" t="s">
        <v>2567</v>
      </c>
      <c r="I460" s="1912"/>
      <c r="J460" s="1912"/>
      <c r="K460" s="1912"/>
      <c r="L460" s="2840">
        <v>1928.3</v>
      </c>
      <c r="M460" s="1912"/>
      <c r="O460" s="2809"/>
      <c r="P460" s="2810"/>
    </row>
    <row r="461" spans="2:16" ht="12" customHeight="1">
      <c r="B461" s="355" t="s">
        <v>4006</v>
      </c>
      <c r="C461" s="1906"/>
      <c r="D461" s="2873" t="s">
        <v>4679</v>
      </c>
      <c r="E461" s="2862">
        <v>3000</v>
      </c>
      <c r="F461" s="2862" t="s">
        <v>1688</v>
      </c>
      <c r="G461" s="352"/>
      <c r="H461" s="2829" t="s">
        <v>2757</v>
      </c>
      <c r="I461" s="1912"/>
      <c r="J461" s="1912"/>
      <c r="K461" s="1912"/>
      <c r="L461" s="2840">
        <v>682920</v>
      </c>
      <c r="M461" s="1912"/>
      <c r="O461" s="2809"/>
      <c r="P461" s="2810"/>
    </row>
    <row r="462" spans="2:16" ht="12" customHeight="1">
      <c r="B462" s="355" t="s">
        <v>4006</v>
      </c>
      <c r="C462" s="1906"/>
      <c r="D462" s="2915" t="s">
        <v>4680</v>
      </c>
      <c r="E462" s="2862">
        <v>10</v>
      </c>
      <c r="F462" s="2862" t="s">
        <v>2876</v>
      </c>
      <c r="G462" s="352"/>
      <c r="H462" s="2829" t="s">
        <v>2757</v>
      </c>
      <c r="I462" s="1912"/>
      <c r="J462" s="1912"/>
      <c r="K462" s="1912"/>
      <c r="L462" s="2840">
        <v>638.29999999999995</v>
      </c>
      <c r="M462" s="1912"/>
      <c r="O462" s="2809"/>
      <c r="P462" s="2810"/>
    </row>
    <row r="463" spans="2:16" ht="12" customHeight="1">
      <c r="B463" s="355" t="s">
        <v>4006</v>
      </c>
      <c r="C463" s="1906"/>
      <c r="D463" s="2915" t="s">
        <v>4681</v>
      </c>
      <c r="E463" s="2862">
        <v>10</v>
      </c>
      <c r="F463" s="2862" t="s">
        <v>2876</v>
      </c>
      <c r="G463" s="352"/>
      <c r="H463" s="2829" t="s">
        <v>2757</v>
      </c>
      <c r="I463" s="1912"/>
      <c r="J463" s="1912"/>
      <c r="K463" s="1912"/>
      <c r="L463" s="2840">
        <v>199.1</v>
      </c>
      <c r="M463" s="1912"/>
      <c r="O463" s="2809"/>
      <c r="P463" s="2810"/>
    </row>
    <row r="464" spans="2:16" ht="12" customHeight="1">
      <c r="B464" s="355" t="s">
        <v>4006</v>
      </c>
      <c r="C464" s="1906"/>
      <c r="D464" s="2873" t="s">
        <v>4682</v>
      </c>
      <c r="E464" s="2862">
        <v>5</v>
      </c>
      <c r="F464" s="2862" t="s">
        <v>2876</v>
      </c>
      <c r="G464" s="352"/>
      <c r="H464" s="2829" t="s">
        <v>2757</v>
      </c>
      <c r="I464" s="1912"/>
      <c r="J464" s="1912"/>
      <c r="K464" s="1912"/>
      <c r="L464" s="2840">
        <v>1292.95</v>
      </c>
      <c r="M464" s="1912"/>
      <c r="O464" s="2809"/>
      <c r="P464" s="2810"/>
    </row>
    <row r="465" spans="2:16" ht="12" customHeight="1">
      <c r="B465" s="355" t="s">
        <v>4006</v>
      </c>
      <c r="C465" s="1906"/>
      <c r="D465" s="2873" t="s">
        <v>4683</v>
      </c>
      <c r="E465" s="2862">
        <v>102</v>
      </c>
      <c r="F465" s="2862" t="s">
        <v>1700</v>
      </c>
      <c r="G465" s="352"/>
      <c r="H465" s="2829" t="s">
        <v>2757</v>
      </c>
      <c r="I465" s="1912"/>
      <c r="J465" s="1912"/>
      <c r="K465" s="1912"/>
      <c r="L465" s="2840">
        <v>14966.45</v>
      </c>
      <c r="M465" s="1912"/>
      <c r="O465" s="2809"/>
      <c r="P465" s="2810"/>
    </row>
    <row r="466" spans="2:16" ht="12" customHeight="1">
      <c r="B466" s="355" t="s">
        <v>4006</v>
      </c>
      <c r="C466" s="1906"/>
      <c r="D466" s="2873" t="s">
        <v>4684</v>
      </c>
      <c r="E466" s="2862">
        <v>30</v>
      </c>
      <c r="F466" s="2862" t="s">
        <v>2876</v>
      </c>
      <c r="G466" s="352"/>
      <c r="H466" s="2829" t="s">
        <v>2757</v>
      </c>
      <c r="I466" s="1912"/>
      <c r="J466" s="1912"/>
      <c r="K466" s="1912"/>
      <c r="L466" s="2840">
        <v>1116.9000000000001</v>
      </c>
      <c r="M466" s="1912"/>
      <c r="O466" s="2809"/>
      <c r="P466" s="2810"/>
    </row>
    <row r="467" spans="2:16" ht="12" customHeight="1">
      <c r="B467" s="355" t="s">
        <v>4006</v>
      </c>
      <c r="C467" s="1906"/>
      <c r="D467" s="2873" t="s">
        <v>4685</v>
      </c>
      <c r="E467" s="2862">
        <v>24</v>
      </c>
      <c r="F467" s="2862" t="s">
        <v>2876</v>
      </c>
      <c r="G467" s="352"/>
      <c r="H467" s="2829" t="s">
        <v>2757</v>
      </c>
      <c r="I467" s="1912"/>
      <c r="J467" s="1912"/>
      <c r="K467" s="1912"/>
      <c r="L467" s="2840">
        <v>367.2</v>
      </c>
      <c r="M467" s="1912"/>
      <c r="O467" s="2809"/>
      <c r="P467" s="2810"/>
    </row>
    <row r="468" spans="2:16" ht="12" customHeight="1">
      <c r="B468" s="355" t="s">
        <v>4006</v>
      </c>
      <c r="C468" s="1906"/>
      <c r="D468" s="2873" t="s">
        <v>4686</v>
      </c>
      <c r="E468" s="2862">
        <v>12</v>
      </c>
      <c r="F468" s="2862" t="s">
        <v>2876</v>
      </c>
      <c r="G468" s="352"/>
      <c r="H468" s="2829" t="s">
        <v>2757</v>
      </c>
      <c r="I468" s="1912"/>
      <c r="J468" s="1912"/>
      <c r="K468" s="1912"/>
      <c r="L468" s="2840">
        <v>266.04000000000002</v>
      </c>
      <c r="M468" s="1912"/>
      <c r="O468" s="2809"/>
      <c r="P468" s="2810"/>
    </row>
    <row r="469" spans="2:16" ht="12" customHeight="1">
      <c r="B469" s="355" t="s">
        <v>4006</v>
      </c>
      <c r="C469" s="1906"/>
      <c r="D469" s="2873" t="s">
        <v>4687</v>
      </c>
      <c r="E469" s="2862">
        <v>12</v>
      </c>
      <c r="F469" s="2862" t="s">
        <v>2876</v>
      </c>
      <c r="G469" s="352"/>
      <c r="H469" s="2829" t="s">
        <v>2757</v>
      </c>
      <c r="I469" s="1912"/>
      <c r="J469" s="1912"/>
      <c r="K469" s="1912"/>
      <c r="L469" s="2840">
        <v>266.04000000000002</v>
      </c>
      <c r="M469" s="1912"/>
      <c r="O469" s="2809"/>
      <c r="P469" s="2810"/>
    </row>
    <row r="470" spans="2:16" ht="12" customHeight="1">
      <c r="B470" s="355" t="s">
        <v>4006</v>
      </c>
      <c r="C470" s="1906"/>
      <c r="D470" s="2873" t="s">
        <v>2166</v>
      </c>
      <c r="E470" s="2862">
        <v>6</v>
      </c>
      <c r="F470" s="2862" t="s">
        <v>1747</v>
      </c>
      <c r="G470" s="352"/>
      <c r="H470" s="2829" t="s">
        <v>2757</v>
      </c>
      <c r="I470" s="1912"/>
      <c r="J470" s="1912"/>
      <c r="K470" s="1912"/>
      <c r="L470" s="2840">
        <v>817.68</v>
      </c>
      <c r="M470" s="1912"/>
      <c r="O470" s="2809"/>
      <c r="P470" s="2810"/>
    </row>
    <row r="471" spans="2:16" ht="12" customHeight="1">
      <c r="B471" s="355" t="s">
        <v>4006</v>
      </c>
      <c r="C471" s="1906"/>
      <c r="D471" s="2873" t="s">
        <v>4688</v>
      </c>
      <c r="E471" s="2862">
        <v>100</v>
      </c>
      <c r="F471" s="2862" t="s">
        <v>1700</v>
      </c>
      <c r="G471" s="352"/>
      <c r="H471" s="2829" t="s">
        <v>2757</v>
      </c>
      <c r="I471" s="1912"/>
      <c r="J471" s="1912"/>
      <c r="K471" s="1912"/>
      <c r="L471" s="2840">
        <v>1897</v>
      </c>
      <c r="M471" s="2875"/>
      <c r="O471" s="2809"/>
      <c r="P471" s="2810"/>
    </row>
    <row r="472" spans="2:16" ht="12" customHeight="1">
      <c r="B472" s="355" t="s">
        <v>4006</v>
      </c>
      <c r="C472" s="1906"/>
      <c r="D472" s="2915" t="s">
        <v>4680</v>
      </c>
      <c r="E472" s="2862">
        <v>3</v>
      </c>
      <c r="F472" s="2862" t="s">
        <v>2876</v>
      </c>
      <c r="G472" s="352"/>
      <c r="H472" s="2829" t="s">
        <v>422</v>
      </c>
      <c r="I472" s="1912"/>
      <c r="J472" s="1912"/>
      <c r="K472" s="1912"/>
      <c r="L472" s="2840">
        <v>59.85</v>
      </c>
      <c r="M472" s="1912"/>
      <c r="O472" s="2809"/>
      <c r="P472" s="2810"/>
    </row>
    <row r="473" spans="2:16" ht="12" customHeight="1">
      <c r="B473" s="355" t="s">
        <v>4006</v>
      </c>
      <c r="C473" s="1906"/>
      <c r="D473" s="2915" t="s">
        <v>4681</v>
      </c>
      <c r="E473" s="2862">
        <v>3</v>
      </c>
      <c r="F473" s="2862" t="s">
        <v>2876</v>
      </c>
      <c r="G473" s="352"/>
      <c r="H473" s="2829" t="s">
        <v>2757</v>
      </c>
      <c r="I473" s="1912"/>
      <c r="J473" s="1912"/>
      <c r="K473" s="1912"/>
      <c r="L473" s="2840">
        <v>252</v>
      </c>
      <c r="M473" s="1912"/>
      <c r="O473" s="2809"/>
      <c r="P473" s="2810"/>
    </row>
    <row r="474" spans="2:16" ht="12" customHeight="1">
      <c r="B474" s="355" t="s">
        <v>4006</v>
      </c>
      <c r="C474" s="1906"/>
      <c r="D474" s="2875" t="s">
        <v>4689</v>
      </c>
      <c r="E474" s="2862">
        <v>1</v>
      </c>
      <c r="F474" s="2839" t="s">
        <v>2876</v>
      </c>
      <c r="G474" s="352"/>
      <c r="H474" s="2829" t="s">
        <v>2757</v>
      </c>
      <c r="I474" s="1912"/>
      <c r="J474" s="1912"/>
      <c r="K474" s="1912"/>
      <c r="L474" s="2840">
        <v>40000</v>
      </c>
      <c r="M474" s="1912"/>
      <c r="O474" s="2809"/>
      <c r="P474" s="2810"/>
    </row>
    <row r="475" spans="2:16" ht="12" customHeight="1">
      <c r="B475" s="355" t="s">
        <v>4006</v>
      </c>
      <c r="C475" s="1906"/>
      <c r="D475" s="2875" t="s">
        <v>1954</v>
      </c>
      <c r="E475" s="2862">
        <v>3</v>
      </c>
      <c r="F475" s="2839" t="s">
        <v>2876</v>
      </c>
      <c r="G475" s="352"/>
      <c r="H475" s="2829" t="s">
        <v>2757</v>
      </c>
      <c r="I475" s="1912"/>
      <c r="J475" s="1912"/>
      <c r="K475" s="1912"/>
      <c r="L475" s="2840">
        <v>472.5</v>
      </c>
      <c r="M475" s="1912"/>
      <c r="O475" s="2809"/>
      <c r="P475" s="2810"/>
    </row>
    <row r="476" spans="2:16" ht="12" customHeight="1">
      <c r="B476" s="355" t="s">
        <v>4006</v>
      </c>
      <c r="C476" s="1906"/>
      <c r="D476" s="2875" t="s">
        <v>4690</v>
      </c>
      <c r="E476" s="2862">
        <v>3</v>
      </c>
      <c r="F476" s="2839" t="s">
        <v>2876</v>
      </c>
      <c r="G476" s="352"/>
      <c r="H476" s="2829" t="s">
        <v>2757</v>
      </c>
      <c r="I476" s="1912"/>
      <c r="J476" s="1912"/>
      <c r="K476" s="1912"/>
      <c r="L476" s="2840">
        <v>405</v>
      </c>
      <c r="M476" s="1912"/>
      <c r="O476" s="2809"/>
      <c r="P476" s="2810"/>
    </row>
    <row r="477" spans="2:16" ht="12" customHeight="1">
      <c r="B477" s="355" t="s">
        <v>4006</v>
      </c>
      <c r="C477" s="1906"/>
      <c r="D477" s="2875" t="s">
        <v>4691</v>
      </c>
      <c r="E477" s="2862">
        <v>2</v>
      </c>
      <c r="F477" s="2839" t="s">
        <v>1700</v>
      </c>
      <c r="G477" s="352"/>
      <c r="H477" s="2829" t="s">
        <v>2757</v>
      </c>
      <c r="I477" s="1912"/>
      <c r="J477" s="1912"/>
      <c r="K477" s="1912"/>
      <c r="L477" s="2840">
        <v>29</v>
      </c>
      <c r="M477" s="2918"/>
      <c r="O477" s="2809"/>
      <c r="P477" s="2810"/>
    </row>
    <row r="478" spans="2:16" ht="12" customHeight="1">
      <c r="B478" s="355" t="s">
        <v>4006</v>
      </c>
      <c r="C478" s="1906"/>
      <c r="D478" s="2875" t="s">
        <v>176</v>
      </c>
      <c r="E478" s="2862">
        <v>1</v>
      </c>
      <c r="F478" s="2839" t="s">
        <v>2001</v>
      </c>
      <c r="G478" s="352"/>
      <c r="H478" s="2829" t="s">
        <v>2757</v>
      </c>
      <c r="I478" s="1912"/>
      <c r="J478" s="1912"/>
      <c r="K478" s="1912"/>
      <c r="L478" s="2840">
        <v>59.5</v>
      </c>
      <c r="M478" s="1912"/>
      <c r="O478" s="2809"/>
      <c r="P478" s="2810"/>
    </row>
    <row r="479" spans="2:16" ht="12" customHeight="1">
      <c r="B479" s="355" t="s">
        <v>4006</v>
      </c>
      <c r="C479" s="1906"/>
      <c r="D479" s="2875" t="s">
        <v>4692</v>
      </c>
      <c r="E479" s="2862">
        <v>3</v>
      </c>
      <c r="F479" s="2839" t="s">
        <v>1688</v>
      </c>
      <c r="G479" s="352"/>
      <c r="H479" s="2829" t="s">
        <v>2757</v>
      </c>
      <c r="I479" s="1912"/>
      <c r="J479" s="1912"/>
      <c r="K479" s="1912"/>
      <c r="L479" s="2840">
        <v>1200</v>
      </c>
      <c r="M479" s="1912"/>
      <c r="O479" s="2809"/>
      <c r="P479" s="2810"/>
    </row>
    <row r="480" spans="2:16" ht="12" customHeight="1">
      <c r="B480" s="355" t="s">
        <v>4006</v>
      </c>
      <c r="C480" s="1906"/>
      <c r="D480" s="2875" t="s">
        <v>4693</v>
      </c>
      <c r="E480" s="2862">
        <v>1</v>
      </c>
      <c r="F480" s="2839" t="s">
        <v>2876</v>
      </c>
      <c r="G480" s="352"/>
      <c r="H480" s="2829" t="s">
        <v>2757</v>
      </c>
      <c r="I480" s="1912"/>
      <c r="J480" s="1912"/>
      <c r="K480" s="1912"/>
      <c r="L480" s="2840">
        <v>63</v>
      </c>
      <c r="M480" s="1912"/>
      <c r="O480" s="2809"/>
      <c r="P480" s="2810"/>
    </row>
    <row r="481" spans="2:16" ht="12" customHeight="1">
      <c r="B481" s="355" t="s">
        <v>4006</v>
      </c>
      <c r="C481" s="1906"/>
      <c r="D481" s="2875" t="s">
        <v>4694</v>
      </c>
      <c r="E481" s="2862">
        <v>2</v>
      </c>
      <c r="F481" s="2839" t="s">
        <v>2876</v>
      </c>
      <c r="G481" s="352"/>
      <c r="H481" s="2829" t="s">
        <v>2757</v>
      </c>
      <c r="I481" s="1912"/>
      <c r="J481" s="1912"/>
      <c r="K481" s="1912"/>
      <c r="L481" s="2840">
        <v>6400</v>
      </c>
      <c r="M481" s="1912"/>
      <c r="O481" s="2809"/>
      <c r="P481" s="2810"/>
    </row>
    <row r="482" spans="2:16" ht="12" customHeight="1">
      <c r="B482" s="355" t="s">
        <v>4006</v>
      </c>
      <c r="C482" s="1906"/>
      <c r="D482" s="2875" t="s">
        <v>4695</v>
      </c>
      <c r="E482" s="2862">
        <v>1</v>
      </c>
      <c r="F482" s="2839" t="s">
        <v>1688</v>
      </c>
      <c r="G482" s="352"/>
      <c r="H482" s="2829" t="s">
        <v>2757</v>
      </c>
      <c r="I482" s="1912"/>
      <c r="J482" s="1912"/>
      <c r="K482" s="1912"/>
      <c r="L482" s="2840">
        <v>365</v>
      </c>
      <c r="M482" s="1912"/>
      <c r="O482" s="2809"/>
      <c r="P482" s="2810"/>
    </row>
    <row r="483" spans="2:16" ht="12" customHeight="1">
      <c r="B483" s="355" t="s">
        <v>4006</v>
      </c>
      <c r="C483" s="1906"/>
      <c r="D483" s="2875" t="s">
        <v>4696</v>
      </c>
      <c r="E483" s="2862">
        <v>5</v>
      </c>
      <c r="F483" s="2839" t="s">
        <v>2876</v>
      </c>
      <c r="G483" s="352"/>
      <c r="H483" s="2829" t="s">
        <v>2757</v>
      </c>
      <c r="I483" s="1912"/>
      <c r="J483" s="1912"/>
      <c r="K483" s="1912"/>
      <c r="L483" s="2840">
        <v>4950</v>
      </c>
      <c r="M483" s="1912"/>
      <c r="O483" s="2809"/>
      <c r="P483" s="2810"/>
    </row>
    <row r="484" spans="2:16" ht="12" customHeight="1">
      <c r="B484" s="355" t="s">
        <v>4006</v>
      </c>
      <c r="C484" s="1906"/>
      <c r="D484" s="2875" t="s">
        <v>4697</v>
      </c>
      <c r="E484" s="2862">
        <v>3</v>
      </c>
      <c r="F484" s="2839" t="s">
        <v>2334</v>
      </c>
      <c r="G484" s="352"/>
      <c r="H484" s="2829" t="s">
        <v>2757</v>
      </c>
      <c r="I484" s="1912"/>
      <c r="J484" s="1912"/>
      <c r="K484" s="1912"/>
      <c r="L484" s="2840">
        <v>69</v>
      </c>
      <c r="M484" s="1912"/>
      <c r="O484" s="2809"/>
      <c r="P484" s="2810"/>
    </row>
    <row r="485" spans="2:16" ht="12" customHeight="1">
      <c r="B485" s="355" t="s">
        <v>4006</v>
      </c>
      <c r="C485" s="1906"/>
      <c r="D485" s="2875" t="s">
        <v>1612</v>
      </c>
      <c r="E485" s="2862">
        <v>1</v>
      </c>
      <c r="F485" s="2839" t="s">
        <v>2876</v>
      </c>
      <c r="G485" s="352"/>
      <c r="H485" s="2829" t="s">
        <v>2757</v>
      </c>
      <c r="I485" s="1912"/>
      <c r="J485" s="1912"/>
      <c r="K485" s="1912"/>
      <c r="L485" s="2840">
        <v>247.5</v>
      </c>
      <c r="M485" s="1912"/>
      <c r="O485" s="2809"/>
      <c r="P485" s="2810"/>
    </row>
    <row r="486" spans="2:16" ht="12" customHeight="1">
      <c r="B486" s="355" t="s">
        <v>4006</v>
      </c>
      <c r="C486" s="1906"/>
      <c r="D486" s="2875" t="s">
        <v>4698</v>
      </c>
      <c r="E486" s="2862">
        <v>13</v>
      </c>
      <c r="F486" s="2839" t="s">
        <v>1700</v>
      </c>
      <c r="G486" s="352"/>
      <c r="H486" s="2829" t="s">
        <v>2757</v>
      </c>
      <c r="I486" s="1912"/>
      <c r="J486" s="1912"/>
      <c r="K486" s="1912"/>
      <c r="L486" s="2840">
        <v>1608</v>
      </c>
      <c r="M486" s="1912"/>
      <c r="O486" s="2809"/>
      <c r="P486" s="2810"/>
    </row>
    <row r="487" spans="2:16" ht="12" customHeight="1">
      <c r="B487" s="355" t="s">
        <v>4006</v>
      </c>
      <c r="C487" s="1906"/>
      <c r="D487" s="2875" t="s">
        <v>4699</v>
      </c>
      <c r="E487" s="2862">
        <v>6</v>
      </c>
      <c r="F487" s="2839" t="s">
        <v>2876</v>
      </c>
      <c r="G487" s="352"/>
      <c r="H487" s="2829" t="s">
        <v>2757</v>
      </c>
      <c r="I487" s="1912"/>
      <c r="J487" s="1912"/>
      <c r="K487" s="1912"/>
      <c r="L487" s="2840">
        <v>60000</v>
      </c>
      <c r="M487" s="1912"/>
      <c r="O487" s="2809"/>
      <c r="P487" s="2810"/>
    </row>
    <row r="488" spans="2:16" ht="12" customHeight="1">
      <c r="B488" s="355" t="s">
        <v>4006</v>
      </c>
      <c r="C488" s="1906"/>
      <c r="D488" s="2875" t="s">
        <v>4700</v>
      </c>
      <c r="E488" s="2862">
        <v>2</v>
      </c>
      <c r="F488" s="2839" t="s">
        <v>2876</v>
      </c>
      <c r="G488" s="352"/>
      <c r="H488" s="2829" t="s">
        <v>2757</v>
      </c>
      <c r="I488" s="1912"/>
      <c r="J488" s="1912"/>
      <c r="K488" s="1912"/>
      <c r="L488" s="2840">
        <v>20000</v>
      </c>
      <c r="M488" s="1912"/>
      <c r="O488" s="2809"/>
      <c r="P488" s="2810"/>
    </row>
    <row r="489" spans="2:16" ht="12" customHeight="1">
      <c r="B489" s="355" t="s">
        <v>4006</v>
      </c>
      <c r="C489" s="1906"/>
      <c r="D489" s="2875" t="s">
        <v>4701</v>
      </c>
      <c r="E489" s="2862">
        <v>2</v>
      </c>
      <c r="F489" s="2839" t="s">
        <v>2876</v>
      </c>
      <c r="G489" s="352"/>
      <c r="H489" s="2829" t="s">
        <v>2757</v>
      </c>
      <c r="I489" s="1912"/>
      <c r="J489" s="1912"/>
      <c r="K489" s="1912"/>
      <c r="L489" s="2840">
        <v>20000</v>
      </c>
      <c r="M489" s="1912"/>
      <c r="O489" s="2809"/>
      <c r="P489" s="2810"/>
    </row>
    <row r="490" spans="2:16" ht="12" customHeight="1">
      <c r="B490" s="355" t="s">
        <v>4006</v>
      </c>
      <c r="C490" s="1906"/>
      <c r="D490" s="2875" t="s">
        <v>4677</v>
      </c>
      <c r="E490" s="2862">
        <v>25</v>
      </c>
      <c r="F490" s="2839" t="s">
        <v>1700</v>
      </c>
      <c r="G490" s="352"/>
      <c r="H490" s="2829" t="s">
        <v>2757</v>
      </c>
      <c r="I490" s="1912"/>
      <c r="J490" s="1912"/>
      <c r="K490" s="1912"/>
      <c r="L490" s="2840">
        <v>30000</v>
      </c>
      <c r="M490" s="1912"/>
      <c r="O490" s="2809"/>
      <c r="P490" s="2810"/>
    </row>
    <row r="491" spans="2:16" ht="12" customHeight="1">
      <c r="B491" s="355" t="s">
        <v>4006</v>
      </c>
      <c r="C491" s="1906"/>
      <c r="D491" s="2873" t="s">
        <v>4702</v>
      </c>
      <c r="E491" s="2862">
        <v>3</v>
      </c>
      <c r="F491" s="2862" t="s">
        <v>2876</v>
      </c>
      <c r="G491" s="352"/>
      <c r="H491" s="2829" t="s">
        <v>2757</v>
      </c>
      <c r="I491" s="1912"/>
      <c r="J491" s="1912"/>
      <c r="K491" s="1912"/>
      <c r="L491" s="2840">
        <v>6800</v>
      </c>
      <c r="M491" s="1912"/>
      <c r="O491" s="2809"/>
      <c r="P491" s="2810"/>
    </row>
    <row r="492" spans="2:16" ht="12" customHeight="1">
      <c r="B492" s="355" t="s">
        <v>4006</v>
      </c>
      <c r="C492" s="1906"/>
      <c r="D492" s="2873" t="s">
        <v>4655</v>
      </c>
      <c r="E492" s="2862">
        <v>3</v>
      </c>
      <c r="F492" s="2862" t="s">
        <v>2876</v>
      </c>
      <c r="G492" s="352"/>
      <c r="H492" s="2829" t="s">
        <v>2757</v>
      </c>
      <c r="I492" s="1912"/>
      <c r="J492" s="1912"/>
      <c r="K492" s="1912"/>
      <c r="L492" s="2840">
        <v>377.25</v>
      </c>
      <c r="M492" s="1912"/>
      <c r="O492" s="2809"/>
      <c r="P492" s="2810"/>
    </row>
    <row r="493" spans="2:16" ht="12" customHeight="1">
      <c r="B493" s="355" t="s">
        <v>4006</v>
      </c>
      <c r="C493" s="1906"/>
      <c r="D493" s="2873" t="s">
        <v>4658</v>
      </c>
      <c r="E493" s="2862">
        <v>36</v>
      </c>
      <c r="F493" s="2862" t="s">
        <v>1700</v>
      </c>
      <c r="G493" s="352"/>
      <c r="H493" s="2829" t="s">
        <v>2757</v>
      </c>
      <c r="I493" s="1912"/>
      <c r="J493" s="1912"/>
      <c r="K493" s="1912"/>
      <c r="L493" s="2840">
        <v>2259</v>
      </c>
      <c r="M493" s="1912"/>
      <c r="O493" s="2809"/>
      <c r="P493" s="2810"/>
    </row>
    <row r="494" spans="2:16" ht="12" customHeight="1">
      <c r="B494" s="355" t="s">
        <v>4006</v>
      </c>
      <c r="C494" s="1906"/>
      <c r="D494" s="2873" t="s">
        <v>4688</v>
      </c>
      <c r="E494" s="2862">
        <v>6</v>
      </c>
      <c r="F494" s="2862" t="s">
        <v>1700</v>
      </c>
      <c r="G494" s="352"/>
      <c r="H494" s="2829" t="s">
        <v>2757</v>
      </c>
      <c r="I494" s="1912"/>
      <c r="J494" s="1912"/>
      <c r="K494" s="1912"/>
      <c r="L494" s="2840">
        <v>162</v>
      </c>
      <c r="M494" s="1912"/>
      <c r="O494" s="2809"/>
      <c r="P494" s="2810"/>
    </row>
    <row r="495" spans="2:16" ht="12" customHeight="1">
      <c r="B495" s="355" t="s">
        <v>4006</v>
      </c>
      <c r="C495" s="1906"/>
      <c r="D495" s="2915" t="s">
        <v>4635</v>
      </c>
      <c r="E495" s="2862">
        <v>17</v>
      </c>
      <c r="F495" s="2862" t="s">
        <v>4634</v>
      </c>
      <c r="G495" s="352"/>
      <c r="H495" s="2829" t="s">
        <v>2757</v>
      </c>
      <c r="I495" s="1912"/>
      <c r="J495" s="2829"/>
      <c r="K495" s="2829"/>
      <c r="L495" s="2840">
        <v>6318.5</v>
      </c>
      <c r="M495" s="1912"/>
      <c r="O495" s="2809"/>
      <c r="P495" s="2810"/>
    </row>
    <row r="496" spans="2:16" ht="12" customHeight="1">
      <c r="B496" s="355" t="s">
        <v>4006</v>
      </c>
      <c r="C496" s="1906"/>
      <c r="D496" s="2873" t="s">
        <v>4703</v>
      </c>
      <c r="E496" s="2862">
        <v>20</v>
      </c>
      <c r="F496" s="2862" t="s">
        <v>2876</v>
      </c>
      <c r="G496" s="352"/>
      <c r="H496" s="2829" t="s">
        <v>2757</v>
      </c>
      <c r="I496" s="1912"/>
      <c r="J496" s="1912"/>
      <c r="K496" s="1912"/>
      <c r="L496" s="2840">
        <v>150</v>
      </c>
      <c r="M496" s="1912"/>
      <c r="O496" s="2809"/>
      <c r="P496" s="2810"/>
    </row>
    <row r="497" spans="2:16" ht="12" customHeight="1">
      <c r="B497" s="355" t="s">
        <v>4006</v>
      </c>
      <c r="C497" s="1906"/>
      <c r="D497" s="2873" t="s">
        <v>4704</v>
      </c>
      <c r="E497" s="2862">
        <v>200</v>
      </c>
      <c r="F497" s="2862" t="s">
        <v>4619</v>
      </c>
      <c r="G497" s="352"/>
      <c r="H497" s="2829" t="s">
        <v>2757</v>
      </c>
      <c r="I497" s="1912"/>
      <c r="J497" s="1912"/>
      <c r="K497" s="1912"/>
      <c r="L497" s="2840">
        <v>61000</v>
      </c>
      <c r="M497" s="1912"/>
      <c r="O497" s="2809"/>
      <c r="P497" s="2810"/>
    </row>
    <row r="498" spans="2:16" ht="12" customHeight="1">
      <c r="B498" s="355" t="s">
        <v>4006</v>
      </c>
      <c r="C498" s="1906"/>
      <c r="D498" s="2873" t="s">
        <v>4705</v>
      </c>
      <c r="E498" s="2862">
        <v>200</v>
      </c>
      <c r="F498" s="2862" t="s">
        <v>4619</v>
      </c>
      <c r="G498" s="352"/>
      <c r="H498" s="2829" t="s">
        <v>2757</v>
      </c>
      <c r="I498" s="1912"/>
      <c r="J498" s="1912"/>
      <c r="K498" s="1912"/>
      <c r="L498" s="2840">
        <v>61000</v>
      </c>
      <c r="M498" s="1912"/>
      <c r="O498" s="2809"/>
      <c r="P498" s="2810"/>
    </row>
    <row r="499" spans="2:16" ht="12" customHeight="1">
      <c r="B499" s="355" t="s">
        <v>4006</v>
      </c>
      <c r="C499" s="1906"/>
      <c r="D499" s="2873" t="s">
        <v>4706</v>
      </c>
      <c r="E499" s="2862">
        <v>100</v>
      </c>
      <c r="F499" s="2862" t="s">
        <v>4619</v>
      </c>
      <c r="G499" s="352"/>
      <c r="H499" s="2829" t="s">
        <v>2757</v>
      </c>
      <c r="I499" s="1912"/>
      <c r="J499" s="1912"/>
      <c r="K499" s="1912"/>
      <c r="L499" s="2840">
        <v>27000</v>
      </c>
      <c r="M499" s="1912"/>
      <c r="O499" s="2809"/>
      <c r="P499" s="2810"/>
    </row>
    <row r="500" spans="2:16" ht="12" customHeight="1">
      <c r="B500" s="355" t="s">
        <v>4006</v>
      </c>
      <c r="C500" s="1906"/>
      <c r="D500" s="2873" t="s">
        <v>4707</v>
      </c>
      <c r="E500" s="2862">
        <v>20</v>
      </c>
      <c r="F500" s="2862" t="s">
        <v>4619</v>
      </c>
      <c r="G500" s="352"/>
      <c r="H500" s="2829" t="s">
        <v>2757</v>
      </c>
      <c r="I500" s="1912"/>
      <c r="J500" s="1912"/>
      <c r="K500" s="1912"/>
      <c r="L500" s="2840">
        <v>1980</v>
      </c>
      <c r="M500" s="1912"/>
      <c r="O500" s="2809"/>
      <c r="P500" s="2810"/>
    </row>
    <row r="501" spans="2:16" ht="12" customHeight="1"/>
    <row r="502" spans="2:16" ht="12" customHeight="1"/>
    <row r="508" spans="2:16" ht="15">
      <c r="L508" s="2442">
        <f>SUM(L5:L506)</f>
        <v>4356873.9200000009</v>
      </c>
    </row>
    <row r="533" spans="12:12">
      <c r="L533" s="854"/>
    </row>
  </sheetData>
  <mergeCells count="14">
    <mergeCell ref="L391:L392"/>
    <mergeCell ref="N391:N415"/>
    <mergeCell ref="P391:P392"/>
    <mergeCell ref="C391:C402"/>
    <mergeCell ref="E391:E392"/>
    <mergeCell ref="F391:F392"/>
    <mergeCell ref="D391:D392"/>
    <mergeCell ref="M2:M3"/>
    <mergeCell ref="N2:N3"/>
    <mergeCell ref="C139:C145"/>
    <mergeCell ref="C181:C184"/>
    <mergeCell ref="C2:G2"/>
    <mergeCell ref="H2:J2"/>
    <mergeCell ref="K2:L2"/>
  </mergeCells>
  <phoneticPr fontId="87" type="noConversion"/>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D010E-39AE-46FD-AF5B-513D6FD7DF55}">
  <sheetPr>
    <tabColor rgb="FF00B0F0"/>
  </sheetPr>
  <dimension ref="A2:O201"/>
  <sheetViews>
    <sheetView zoomScale="70" zoomScaleNormal="70" workbookViewId="0">
      <pane ySplit="4" topLeftCell="A170" activePane="bottomLeft" state="frozen"/>
      <selection pane="bottomLeft" activeCell="G189" sqref="G189"/>
    </sheetView>
  </sheetViews>
  <sheetFormatPr defaultColWidth="9.140625" defaultRowHeight="13.5"/>
  <cols>
    <col min="1" max="1" width="9.140625" style="355"/>
    <col min="2" max="2" width="20.42578125" style="355" customWidth="1"/>
    <col min="3" max="3" width="21.42578125" style="355" customWidth="1"/>
    <col min="4" max="4" width="49.7109375" style="355" bestFit="1" customWidth="1"/>
    <col min="5" max="5" width="26" style="355" customWidth="1"/>
    <col min="6" max="6" width="16.7109375" style="355" customWidth="1"/>
    <col min="7" max="7" width="11.7109375" style="355" customWidth="1"/>
    <col min="8" max="8" width="13.7109375" style="355" customWidth="1"/>
    <col min="9" max="9" width="9.140625" style="355"/>
    <col min="10" max="10" width="12.5703125" style="355" customWidth="1"/>
    <col min="11" max="11" width="18.5703125" style="355" customWidth="1"/>
    <col min="12" max="12" width="15.5703125" style="32" customWidth="1"/>
    <col min="13" max="13" width="16.28515625" style="355" customWidth="1"/>
    <col min="14" max="14" width="12.85546875" style="355" customWidth="1"/>
    <col min="15" max="16" width="9.140625" style="355"/>
    <col min="17" max="17" width="73.7109375" style="355" bestFit="1" customWidth="1"/>
    <col min="18" max="16384" width="9.140625" style="355"/>
  </cols>
  <sheetData>
    <row r="2" spans="1:15">
      <c r="C2" s="2601" t="s">
        <v>30</v>
      </c>
      <c r="D2" s="2602"/>
      <c r="E2" s="2602"/>
      <c r="F2" s="2602"/>
      <c r="G2" s="2603"/>
      <c r="H2" s="2604" t="s">
        <v>29</v>
      </c>
      <c r="I2" s="2605"/>
      <c r="J2" s="2606"/>
      <c r="K2" s="2601" t="s">
        <v>28</v>
      </c>
      <c r="L2" s="2603"/>
      <c r="M2" s="2594" t="s">
        <v>27</v>
      </c>
      <c r="N2" s="2594" t="s">
        <v>26</v>
      </c>
    </row>
    <row r="3" spans="1:15" ht="94.5">
      <c r="C3" s="618" t="s">
        <v>25</v>
      </c>
      <c r="D3" s="852" t="s">
        <v>24</v>
      </c>
      <c r="E3" s="991" t="s">
        <v>23</v>
      </c>
      <c r="F3" s="618" t="s">
        <v>22</v>
      </c>
      <c r="G3" s="532" t="s">
        <v>1303</v>
      </c>
      <c r="H3" s="532" t="s">
        <v>20</v>
      </c>
      <c r="I3" s="532" t="s">
        <v>19</v>
      </c>
      <c r="J3" s="532" t="s">
        <v>18</v>
      </c>
      <c r="K3" s="618" t="s">
        <v>17</v>
      </c>
      <c r="L3" s="605" t="s">
        <v>16</v>
      </c>
      <c r="M3" s="2594"/>
      <c r="N3" s="2594"/>
    </row>
    <row r="4" spans="1:15" ht="27">
      <c r="C4" s="1076" t="s">
        <v>15</v>
      </c>
      <c r="D4" s="1076" t="s">
        <v>14</v>
      </c>
      <c r="E4" s="1076" t="s">
        <v>13</v>
      </c>
      <c r="F4" s="1076" t="s">
        <v>12</v>
      </c>
      <c r="G4" s="1076" t="s">
        <v>11</v>
      </c>
      <c r="H4" s="1076" t="s">
        <v>10</v>
      </c>
      <c r="I4" s="1076" t="s">
        <v>9</v>
      </c>
      <c r="J4" s="1076" t="s">
        <v>8</v>
      </c>
      <c r="K4" s="1076" t="s">
        <v>7</v>
      </c>
      <c r="L4" s="1077" t="s">
        <v>6</v>
      </c>
      <c r="M4" s="1076" t="s">
        <v>5</v>
      </c>
      <c r="N4" s="1076" t="s">
        <v>4</v>
      </c>
    </row>
    <row r="5" spans="1:15" s="455" customFormat="1">
      <c r="A5" s="471"/>
      <c r="B5" s="454" t="s">
        <v>589</v>
      </c>
      <c r="C5" s="393" t="s">
        <v>630</v>
      </c>
      <c r="D5" s="395" t="s">
        <v>2</v>
      </c>
      <c r="E5" s="394" t="s">
        <v>631</v>
      </c>
      <c r="F5" s="393" t="s">
        <v>593</v>
      </c>
      <c r="G5" s="396" t="s">
        <v>1</v>
      </c>
      <c r="H5" s="397" t="s">
        <v>599</v>
      </c>
      <c r="I5" s="397" t="s">
        <v>599</v>
      </c>
      <c r="J5" s="487" t="s">
        <v>594</v>
      </c>
      <c r="K5" s="395" t="s">
        <v>1588</v>
      </c>
      <c r="L5" s="1629">
        <v>30000</v>
      </c>
      <c r="M5" s="393" t="s">
        <v>632</v>
      </c>
      <c r="N5" s="393"/>
      <c r="O5" s="458"/>
    </row>
    <row r="6" spans="1:15" s="455" customFormat="1">
      <c r="A6" s="471"/>
      <c r="B6" s="454"/>
      <c r="C6" s="471"/>
      <c r="D6" s="456"/>
      <c r="E6" s="459"/>
      <c r="F6" s="466"/>
      <c r="G6" s="471"/>
      <c r="H6" s="477"/>
      <c r="I6" s="526"/>
      <c r="J6" s="526"/>
      <c r="K6" s="526"/>
      <c r="L6" s="473"/>
      <c r="M6" s="529"/>
      <c r="N6" s="471"/>
      <c r="O6" s="458"/>
    </row>
    <row r="7" spans="1:15" s="455" customFormat="1">
      <c r="A7" s="471"/>
      <c r="B7" s="454"/>
      <c r="C7" s="314"/>
      <c r="D7" s="309"/>
      <c r="E7" s="309"/>
      <c r="F7" s="309"/>
      <c r="G7" s="309"/>
      <c r="H7" s="309"/>
      <c r="I7" s="309"/>
      <c r="J7" s="309"/>
      <c r="K7" s="309"/>
      <c r="L7" s="309"/>
      <c r="M7" s="309"/>
      <c r="N7" s="309"/>
    </row>
    <row r="8" spans="1:15" s="455" customFormat="1" ht="40.5">
      <c r="A8" s="471"/>
      <c r="B8" s="454" t="s">
        <v>1724</v>
      </c>
      <c r="C8" s="410" t="s">
        <v>1731</v>
      </c>
      <c r="D8" s="309" t="s">
        <v>2</v>
      </c>
      <c r="E8" s="852"/>
      <c r="F8" s="304" t="s">
        <v>674</v>
      </c>
      <c r="G8" s="306"/>
      <c r="H8" s="307" t="s">
        <v>675</v>
      </c>
      <c r="I8" s="307" t="s">
        <v>653</v>
      </c>
      <c r="J8" s="307" t="s">
        <v>1686</v>
      </c>
      <c r="K8" s="308" t="s">
        <v>748</v>
      </c>
      <c r="L8" s="1617">
        <f>46500+7500</f>
        <v>54000</v>
      </c>
      <c r="M8" s="306"/>
      <c r="N8" s="306"/>
    </row>
    <row r="9" spans="1:15" s="455" customFormat="1">
      <c r="A9" s="471"/>
      <c r="B9" s="454" t="s">
        <v>1724</v>
      </c>
      <c r="C9" s="410"/>
      <c r="D9" s="309" t="s">
        <v>1732</v>
      </c>
      <c r="E9" s="852">
        <v>15</v>
      </c>
      <c r="F9" s="304" t="s">
        <v>1733</v>
      </c>
      <c r="G9" s="304"/>
      <c r="H9" s="306"/>
      <c r="I9" s="307"/>
      <c r="J9" s="307"/>
      <c r="K9" s="307"/>
      <c r="L9" s="308"/>
      <c r="M9" s="1617"/>
      <c r="N9" s="306"/>
      <c r="O9" s="306"/>
    </row>
    <row r="10" spans="1:15" s="455" customFormat="1">
      <c r="A10" s="471"/>
      <c r="B10" s="454" t="s">
        <v>1724</v>
      </c>
      <c r="C10" s="410"/>
      <c r="D10" s="309" t="s">
        <v>1734</v>
      </c>
      <c r="E10" s="852">
        <v>10</v>
      </c>
      <c r="F10" s="304" t="s">
        <v>1733</v>
      </c>
      <c r="G10" s="304"/>
      <c r="H10" s="306"/>
      <c r="I10" s="307"/>
      <c r="J10" s="307"/>
      <c r="K10" s="307"/>
      <c r="L10" s="308"/>
      <c r="M10" s="1617"/>
      <c r="N10" s="306"/>
      <c r="O10" s="306"/>
    </row>
    <row r="11" spans="1:15" s="455" customFormat="1" ht="283.5">
      <c r="A11" s="471"/>
      <c r="B11" s="454" t="s">
        <v>1724</v>
      </c>
      <c r="C11" s="410"/>
      <c r="D11" s="309" t="s">
        <v>1735</v>
      </c>
      <c r="E11" s="852">
        <v>1</v>
      </c>
      <c r="F11" s="304" t="s">
        <v>1057</v>
      </c>
      <c r="G11" s="304"/>
      <c r="H11" s="306"/>
      <c r="I11" s="307"/>
      <c r="J11" s="307"/>
      <c r="K11" s="307"/>
      <c r="L11" s="308"/>
      <c r="M11" s="1617"/>
      <c r="N11" s="306"/>
      <c r="O11" s="306"/>
    </row>
    <row r="12" spans="1:15" s="455" customFormat="1">
      <c r="A12" s="471"/>
      <c r="B12" s="454"/>
      <c r="C12" s="410"/>
      <c r="D12" s="309"/>
      <c r="E12" s="852"/>
      <c r="F12" s="304"/>
      <c r="G12" s="304"/>
      <c r="H12" s="306"/>
      <c r="I12" s="307"/>
      <c r="J12" s="307"/>
      <c r="K12" s="307"/>
      <c r="L12" s="308"/>
      <c r="M12" s="1617"/>
      <c r="N12" s="306"/>
      <c r="O12" s="1914"/>
    </row>
    <row r="13" spans="1:15" s="455" customFormat="1">
      <c r="A13" s="471"/>
      <c r="B13" s="454"/>
      <c r="C13" s="410"/>
      <c r="D13" s="309"/>
      <c r="E13" s="852"/>
      <c r="F13" s="304"/>
      <c r="G13" s="304"/>
      <c r="H13" s="306"/>
      <c r="I13" s="307"/>
      <c r="J13" s="307"/>
      <c r="K13" s="307"/>
      <c r="L13" s="308"/>
      <c r="M13" s="1617"/>
      <c r="N13" s="306"/>
      <c r="O13" s="1914"/>
    </row>
    <row r="14" spans="1:15" s="455" customFormat="1" ht="27">
      <c r="A14" s="471"/>
      <c r="B14" s="454" t="s">
        <v>2574</v>
      </c>
      <c r="C14" s="2167"/>
      <c r="D14" s="991" t="s">
        <v>2</v>
      </c>
      <c r="E14" s="2168"/>
      <c r="F14" s="2169" t="s">
        <v>422</v>
      </c>
      <c r="G14" s="2170" t="s">
        <v>1</v>
      </c>
      <c r="H14" s="2170">
        <v>46054</v>
      </c>
      <c r="I14" s="2171">
        <v>46082</v>
      </c>
      <c r="J14" s="2171">
        <v>46082</v>
      </c>
      <c r="K14" s="2172" t="s">
        <v>2216</v>
      </c>
      <c r="L14" s="2173"/>
      <c r="M14" s="2174" t="s">
        <v>2446</v>
      </c>
      <c r="N14" s="2168"/>
    </row>
    <row r="15" spans="1:15" s="455" customFormat="1">
      <c r="A15" s="471"/>
      <c r="B15" s="454" t="s">
        <v>2574</v>
      </c>
      <c r="C15" s="2598" t="s">
        <v>3847</v>
      </c>
      <c r="D15" s="2172"/>
      <c r="E15" s="2175"/>
      <c r="F15" s="2176"/>
      <c r="G15" s="2177"/>
      <c r="H15" s="2178"/>
      <c r="I15" s="2178"/>
      <c r="J15" s="2178"/>
      <c r="K15" s="2179"/>
      <c r="L15" s="2178"/>
      <c r="M15" s="2180"/>
      <c r="N15" s="2181"/>
      <c r="O15" s="405"/>
    </row>
    <row r="16" spans="1:15" s="455" customFormat="1">
      <c r="A16" s="471"/>
      <c r="B16" s="454" t="s">
        <v>2574</v>
      </c>
      <c r="C16" s="2599"/>
      <c r="D16" s="2182" t="s">
        <v>2732</v>
      </c>
      <c r="E16" s="2183">
        <v>6</v>
      </c>
      <c r="F16" s="2176" t="s">
        <v>1571</v>
      </c>
      <c r="G16" s="2177"/>
      <c r="H16" s="2178"/>
      <c r="I16" s="2178"/>
      <c r="J16" s="2178"/>
      <c r="K16" s="2179"/>
      <c r="L16" s="2180">
        <v>1800</v>
      </c>
      <c r="N16" s="2181"/>
      <c r="O16" s="405"/>
    </row>
    <row r="17" spans="1:15" s="455" customFormat="1">
      <c r="A17" s="471"/>
      <c r="B17" s="454" t="s">
        <v>2574</v>
      </c>
      <c r="C17" s="2599"/>
      <c r="D17" s="2182" t="s">
        <v>2733</v>
      </c>
      <c r="E17" s="2183">
        <v>20</v>
      </c>
      <c r="F17" s="2176" t="s">
        <v>1571</v>
      </c>
      <c r="G17" s="2177"/>
      <c r="H17" s="2178"/>
      <c r="I17" s="2178"/>
      <c r="J17" s="2178"/>
      <c r="K17" s="2179"/>
      <c r="L17" s="2180">
        <v>5000</v>
      </c>
      <c r="N17" s="2181"/>
      <c r="O17" s="405"/>
    </row>
    <row r="18" spans="1:15" s="455" customFormat="1">
      <c r="A18" s="471"/>
      <c r="B18" s="454" t="s">
        <v>2574</v>
      </c>
      <c r="C18" s="2599"/>
      <c r="D18" s="2182" t="s">
        <v>2734</v>
      </c>
      <c r="E18" s="2183">
        <v>31</v>
      </c>
      <c r="F18" s="2176" t="s">
        <v>1571</v>
      </c>
      <c r="G18" s="2169"/>
      <c r="H18" s="2178"/>
      <c r="I18" s="2178"/>
      <c r="J18" s="2178"/>
      <c r="K18" s="2179"/>
      <c r="L18" s="2184">
        <v>3100</v>
      </c>
      <c r="N18" s="2181"/>
      <c r="O18" s="405"/>
    </row>
    <row r="19" spans="1:15" s="455" customFormat="1">
      <c r="A19" s="471"/>
      <c r="B19" s="454" t="s">
        <v>2574</v>
      </c>
      <c r="C19" s="2600"/>
      <c r="D19" s="2182" t="s">
        <v>2735</v>
      </c>
      <c r="E19" s="2183">
        <v>4</v>
      </c>
      <c r="F19" s="2176" t="s">
        <v>1571</v>
      </c>
      <c r="G19" s="2177"/>
      <c r="H19" s="2178"/>
      <c r="I19" s="2178"/>
      <c r="J19" s="2178"/>
      <c r="K19" s="2179"/>
      <c r="L19" s="2180">
        <v>600</v>
      </c>
      <c r="N19" s="2181"/>
      <c r="O19" s="405"/>
    </row>
    <row r="20" spans="1:15" s="455" customFormat="1">
      <c r="A20" s="471"/>
      <c r="B20" s="454" t="s">
        <v>2574</v>
      </c>
      <c r="C20" s="2186"/>
      <c r="D20" s="2182" t="s">
        <v>2736</v>
      </c>
      <c r="E20" s="2183">
        <v>50</v>
      </c>
      <c r="F20" s="2187" t="s">
        <v>2630</v>
      </c>
      <c r="G20" s="2177"/>
      <c r="H20" s="2178"/>
      <c r="I20" s="2178"/>
      <c r="J20" s="2178"/>
      <c r="K20" s="2179"/>
      <c r="L20" s="2180">
        <v>5000</v>
      </c>
      <c r="N20" s="2181"/>
      <c r="O20" s="405"/>
    </row>
    <row r="21" spans="1:15" s="455" customFormat="1">
      <c r="A21" s="471"/>
      <c r="B21" s="454" t="s">
        <v>2574</v>
      </c>
      <c r="C21" s="2186" t="s">
        <v>735</v>
      </c>
      <c r="D21" s="2182" t="s">
        <v>2737</v>
      </c>
      <c r="E21" s="2183">
        <v>25</v>
      </c>
      <c r="F21" s="2176" t="s">
        <v>1571</v>
      </c>
      <c r="G21" s="2177"/>
      <c r="H21" s="2178"/>
      <c r="I21" s="2178"/>
      <c r="J21" s="2178"/>
      <c r="K21" s="2179"/>
      <c r="L21" s="2180">
        <v>850</v>
      </c>
      <c r="N21" s="2181"/>
      <c r="O21" s="405"/>
    </row>
    <row r="22" spans="1:15" s="455" customFormat="1">
      <c r="A22" s="471"/>
      <c r="B22" s="454" t="s">
        <v>2574</v>
      </c>
      <c r="C22" s="513"/>
      <c r="D22" s="2188" t="s">
        <v>2738</v>
      </c>
      <c r="E22" s="2183">
        <v>39</v>
      </c>
      <c r="F22" s="2187" t="s">
        <v>2739</v>
      </c>
      <c r="G22" s="2177"/>
      <c r="H22" s="2178"/>
      <c r="I22" s="2178"/>
      <c r="J22" s="2178"/>
      <c r="K22" s="2179"/>
      <c r="L22" s="2180">
        <v>1170</v>
      </c>
      <c r="N22" s="2181"/>
      <c r="O22" s="405"/>
    </row>
    <row r="23" spans="1:15" s="455" customFormat="1">
      <c r="A23" s="471"/>
      <c r="B23" s="454" t="s">
        <v>2574</v>
      </c>
      <c r="C23" s="513"/>
      <c r="D23" s="2182" t="s">
        <v>2740</v>
      </c>
      <c r="E23" s="2183">
        <v>10</v>
      </c>
      <c r="F23" s="2187" t="s">
        <v>1571</v>
      </c>
      <c r="G23" s="2177"/>
      <c r="H23" s="2178"/>
      <c r="I23" s="2178"/>
      <c r="J23" s="2178"/>
      <c r="K23" s="2179"/>
      <c r="L23" s="2189">
        <v>1060</v>
      </c>
      <c r="N23" s="2181"/>
      <c r="O23" s="405"/>
    </row>
    <row r="24" spans="1:15" s="455" customFormat="1">
      <c r="A24" s="471"/>
      <c r="B24" s="454" t="s">
        <v>2574</v>
      </c>
      <c r="C24" s="2190"/>
      <c r="D24" s="2182" t="s">
        <v>2741</v>
      </c>
      <c r="E24" s="2183">
        <v>11</v>
      </c>
      <c r="F24" s="2187" t="s">
        <v>1571</v>
      </c>
      <c r="G24" s="2177"/>
      <c r="H24" s="2178"/>
      <c r="I24" s="2178"/>
      <c r="J24" s="2178"/>
      <c r="K24" s="2179"/>
      <c r="L24" s="2189">
        <v>1760</v>
      </c>
      <c r="N24" s="2181"/>
      <c r="O24" s="405"/>
    </row>
    <row r="25" spans="1:15" s="455" customFormat="1">
      <c r="A25" s="471"/>
      <c r="B25" s="454" t="s">
        <v>2574</v>
      </c>
      <c r="C25" s="513"/>
      <c r="D25" s="2182" t="s">
        <v>2742</v>
      </c>
      <c r="E25" s="2183">
        <v>250</v>
      </c>
      <c r="F25" s="2187" t="s">
        <v>1841</v>
      </c>
      <c r="G25" s="2177"/>
      <c r="H25" s="2178"/>
      <c r="I25" s="2178"/>
      <c r="J25" s="2178"/>
      <c r="K25" s="2179"/>
      <c r="L25" s="2189">
        <v>27500</v>
      </c>
      <c r="N25" s="2181"/>
      <c r="O25" s="405"/>
    </row>
    <row r="26" spans="1:15" s="455" customFormat="1">
      <c r="A26" s="471"/>
      <c r="B26" s="454" t="s">
        <v>2574</v>
      </c>
      <c r="C26" s="513"/>
      <c r="D26" s="2182" t="s">
        <v>2743</v>
      </c>
      <c r="E26" s="2183">
        <v>300</v>
      </c>
      <c r="F26" s="2187" t="s">
        <v>1841</v>
      </c>
      <c r="G26" s="2177"/>
      <c r="H26" s="2178"/>
      <c r="I26" s="2178"/>
      <c r="J26" s="2178"/>
      <c r="K26" s="2179"/>
      <c r="L26" s="2189">
        <v>45000</v>
      </c>
      <c r="N26" s="2181"/>
      <c r="O26" s="405"/>
    </row>
    <row r="27" spans="1:15" s="455" customFormat="1">
      <c r="A27" s="471"/>
      <c r="B27" s="454" t="s">
        <v>2574</v>
      </c>
      <c r="C27" s="513"/>
      <c r="D27" s="2182" t="s">
        <v>2744</v>
      </c>
      <c r="E27" s="2183">
        <v>10</v>
      </c>
      <c r="F27" s="2187" t="s">
        <v>1713</v>
      </c>
      <c r="G27" s="2177"/>
      <c r="H27" s="2178"/>
      <c r="I27" s="2178"/>
      <c r="J27" s="2178"/>
      <c r="K27" s="2179"/>
      <c r="L27" s="2189">
        <v>1940</v>
      </c>
      <c r="N27" s="2181"/>
      <c r="O27" s="405"/>
    </row>
    <row r="28" spans="1:15" s="455" customFormat="1">
      <c r="A28" s="471"/>
      <c r="B28" s="454" t="s">
        <v>2574</v>
      </c>
      <c r="C28" s="513"/>
      <c r="D28" s="2182" t="s">
        <v>2745</v>
      </c>
      <c r="E28" s="2183">
        <v>25</v>
      </c>
      <c r="F28" s="2187" t="s">
        <v>1571</v>
      </c>
      <c r="G28" s="2177"/>
      <c r="H28" s="2178"/>
      <c r="I28" s="2178"/>
      <c r="J28" s="2178"/>
      <c r="K28" s="2179"/>
      <c r="L28" s="2189">
        <v>2500</v>
      </c>
      <c r="N28" s="2181"/>
      <c r="O28" s="405"/>
    </row>
    <row r="29" spans="1:15" s="455" customFormat="1">
      <c r="A29" s="471"/>
      <c r="B29" s="454" t="s">
        <v>2574</v>
      </c>
      <c r="C29" s="513"/>
      <c r="D29" s="2182" t="s">
        <v>2746</v>
      </c>
      <c r="E29" s="2183">
        <v>10</v>
      </c>
      <c r="F29" s="2176" t="s">
        <v>776</v>
      </c>
      <c r="G29" s="2177"/>
      <c r="H29" s="2178"/>
      <c r="I29" s="2178"/>
      <c r="J29" s="2178"/>
      <c r="K29" s="2179"/>
      <c r="L29" s="2189">
        <v>20000</v>
      </c>
      <c r="N29" s="2181"/>
      <c r="O29" s="405"/>
    </row>
    <row r="30" spans="1:15" s="455" customFormat="1">
      <c r="A30" s="471"/>
      <c r="B30" s="454" t="s">
        <v>2574</v>
      </c>
      <c r="C30" s="513"/>
      <c r="D30" s="2182" t="s">
        <v>2747</v>
      </c>
      <c r="E30" s="2183">
        <v>20</v>
      </c>
      <c r="F30" s="2176" t="s">
        <v>1571</v>
      </c>
      <c r="G30" s="2177"/>
      <c r="H30" s="2178"/>
      <c r="I30" s="2178"/>
      <c r="J30" s="2178"/>
      <c r="K30" s="2179"/>
      <c r="L30" s="2189">
        <v>4200</v>
      </c>
      <c r="N30" s="2181"/>
      <c r="O30" s="405"/>
    </row>
    <row r="31" spans="1:15" s="455" customFormat="1">
      <c r="A31" s="471"/>
      <c r="B31" s="454" t="s">
        <v>2574</v>
      </c>
      <c r="C31" s="513"/>
      <c r="D31" s="2182" t="s">
        <v>2748</v>
      </c>
      <c r="E31" s="2183">
        <v>20</v>
      </c>
      <c r="F31" s="2176" t="s">
        <v>1571</v>
      </c>
      <c r="G31" s="2177"/>
      <c r="H31" s="2178"/>
      <c r="I31" s="2178"/>
      <c r="J31" s="2178"/>
      <c r="K31" s="2179"/>
      <c r="L31" s="2189">
        <v>3200</v>
      </c>
      <c r="N31" s="2181"/>
      <c r="O31" s="405"/>
    </row>
    <row r="32" spans="1:15" s="455" customFormat="1">
      <c r="A32" s="471"/>
      <c r="B32" s="454" t="s">
        <v>2574</v>
      </c>
      <c r="C32" s="513"/>
      <c r="D32" s="2182" t="s">
        <v>2749</v>
      </c>
      <c r="E32" s="2183">
        <v>25</v>
      </c>
      <c r="F32" s="2176" t="s">
        <v>776</v>
      </c>
      <c r="G32" s="2177"/>
      <c r="H32" s="2178"/>
      <c r="I32" s="2178"/>
      <c r="J32" s="2178"/>
      <c r="K32" s="2179"/>
      <c r="L32" s="2189">
        <v>8750</v>
      </c>
      <c r="N32" s="2181"/>
      <c r="O32" s="405"/>
    </row>
    <row r="33" spans="1:15" s="455" customFormat="1">
      <c r="A33" s="471"/>
      <c r="B33" s="454" t="s">
        <v>2574</v>
      </c>
      <c r="C33" s="513"/>
      <c r="D33" s="2182" t="s">
        <v>2750</v>
      </c>
      <c r="E33" s="2183">
        <v>20</v>
      </c>
      <c r="F33" s="2187" t="s">
        <v>1571</v>
      </c>
      <c r="G33" s="2177"/>
      <c r="H33" s="2178"/>
      <c r="I33" s="2178"/>
      <c r="J33" s="2178"/>
      <c r="K33" s="2179"/>
      <c r="L33" s="2189">
        <v>1700</v>
      </c>
      <c r="N33" s="2181"/>
      <c r="O33" s="405"/>
    </row>
    <row r="34" spans="1:15" s="455" customFormat="1">
      <c r="A34" s="471"/>
      <c r="B34" s="454" t="s">
        <v>2574</v>
      </c>
      <c r="C34" s="513"/>
      <c r="D34" s="2182" t="s">
        <v>2751</v>
      </c>
      <c r="E34" s="2183">
        <v>25</v>
      </c>
      <c r="F34" s="2187" t="s">
        <v>1571</v>
      </c>
      <c r="G34" s="2177"/>
      <c r="H34" s="2178"/>
      <c r="I34" s="2178"/>
      <c r="J34" s="2178"/>
      <c r="K34" s="2179"/>
      <c r="L34" s="2189">
        <v>5000</v>
      </c>
      <c r="N34" s="2181"/>
      <c r="O34" s="405"/>
    </row>
    <row r="35" spans="1:15" s="455" customFormat="1">
      <c r="A35" s="471"/>
      <c r="B35" s="454" t="s">
        <v>2574</v>
      </c>
      <c r="C35" s="513"/>
      <c r="D35" s="2182" t="s">
        <v>2752</v>
      </c>
      <c r="E35" s="2183">
        <v>500</v>
      </c>
      <c r="F35" s="2187" t="s">
        <v>2630</v>
      </c>
      <c r="G35" s="2177"/>
      <c r="H35" s="2178"/>
      <c r="I35" s="2178"/>
      <c r="J35" s="2178"/>
      <c r="K35" s="2179"/>
      <c r="L35" s="2189">
        <v>50000</v>
      </c>
      <c r="N35" s="2181"/>
      <c r="O35" s="405"/>
    </row>
    <row r="36" spans="1:15" s="455" customFormat="1">
      <c r="A36" s="471"/>
      <c r="B36" s="454" t="s">
        <v>2574</v>
      </c>
      <c r="C36" s="513"/>
      <c r="D36" s="2182" t="s">
        <v>2753</v>
      </c>
      <c r="E36" s="2183">
        <v>4</v>
      </c>
      <c r="F36" s="2187" t="s">
        <v>2754</v>
      </c>
      <c r="G36" s="2177"/>
      <c r="H36" s="2178"/>
      <c r="I36" s="2178"/>
      <c r="J36" s="2178"/>
      <c r="K36" s="2179"/>
      <c r="L36" s="2189">
        <v>1920</v>
      </c>
      <c r="N36" s="2181"/>
      <c r="O36" s="405"/>
    </row>
    <row r="37" spans="1:15" s="455" customFormat="1">
      <c r="A37" s="471"/>
      <c r="B37" s="454" t="s">
        <v>2574</v>
      </c>
      <c r="C37" s="513"/>
      <c r="D37" s="2182" t="s">
        <v>2755</v>
      </c>
      <c r="E37" s="2183">
        <v>20</v>
      </c>
      <c r="F37" s="2187" t="s">
        <v>1571</v>
      </c>
      <c r="G37" s="2177"/>
      <c r="H37" s="2178"/>
      <c r="I37" s="2178"/>
      <c r="J37" s="2178"/>
      <c r="K37" s="2179"/>
      <c r="L37" s="2189">
        <v>1700</v>
      </c>
      <c r="N37" s="2181"/>
      <c r="O37" s="405"/>
    </row>
    <row r="38" spans="1:15" s="455" customFormat="1">
      <c r="A38" s="471"/>
      <c r="B38" s="454" t="s">
        <v>2574</v>
      </c>
      <c r="C38" s="513"/>
      <c r="D38" s="2182" t="s">
        <v>2756</v>
      </c>
      <c r="E38" s="2183">
        <v>50</v>
      </c>
      <c r="F38" s="2187" t="s">
        <v>776</v>
      </c>
      <c r="G38" s="2177"/>
      <c r="H38" s="2178"/>
      <c r="I38" s="2178"/>
      <c r="J38" s="2178"/>
      <c r="K38" s="2179"/>
      <c r="L38" s="2189">
        <v>6250</v>
      </c>
      <c r="N38" s="2181"/>
      <c r="O38" s="405"/>
    </row>
    <row r="39" spans="1:15" s="455" customFormat="1">
      <c r="A39" s="471"/>
      <c r="B39" s="454"/>
      <c r="C39" s="513"/>
      <c r="D39" s="2182"/>
      <c r="E39" s="2191"/>
      <c r="F39" s="2187"/>
      <c r="G39" s="2177"/>
      <c r="H39" s="2178"/>
      <c r="I39" s="2178"/>
      <c r="J39" s="2178"/>
      <c r="K39" s="2179"/>
      <c r="L39" s="2178"/>
      <c r="M39" s="2189"/>
      <c r="N39" s="2181"/>
      <c r="O39" s="405"/>
    </row>
    <row r="40" spans="1:15" s="455" customFormat="1" ht="27">
      <c r="A40" s="471"/>
      <c r="B40" s="454" t="s">
        <v>2574</v>
      </c>
      <c r="C40" s="568"/>
      <c r="D40" s="2192" t="s">
        <v>2</v>
      </c>
      <c r="E40" s="2193"/>
      <c r="F40" s="2169" t="s">
        <v>422</v>
      </c>
      <c r="G40" s="2170" t="s">
        <v>1</v>
      </c>
      <c r="H40" s="2170">
        <v>46113</v>
      </c>
      <c r="I40" s="2171">
        <v>46143</v>
      </c>
      <c r="J40" s="2171">
        <v>46143</v>
      </c>
      <c r="K40" s="2172" t="s">
        <v>2216</v>
      </c>
      <c r="L40" s="2194"/>
      <c r="M40" s="2174" t="s">
        <v>2446</v>
      </c>
      <c r="O40" s="1914"/>
    </row>
    <row r="41" spans="1:15" s="455" customFormat="1">
      <c r="A41" s="471"/>
      <c r="B41" s="454" t="s">
        <v>2574</v>
      </c>
      <c r="C41" s="2760" t="s">
        <v>3848</v>
      </c>
      <c r="D41" s="2182" t="s">
        <v>2734</v>
      </c>
      <c r="E41" s="2187">
        <v>24</v>
      </c>
      <c r="F41" s="2176" t="s">
        <v>1571</v>
      </c>
      <c r="G41" s="2177" t="s">
        <v>2757</v>
      </c>
      <c r="H41" s="2178"/>
      <c r="I41" s="2178"/>
      <c r="J41" s="2178"/>
      <c r="K41" s="2179"/>
      <c r="L41" s="2180">
        <v>2400</v>
      </c>
      <c r="N41" s="2181"/>
      <c r="O41" s="1914"/>
    </row>
    <row r="42" spans="1:15" s="455" customFormat="1">
      <c r="A42" s="471"/>
      <c r="B42" s="454" t="s">
        <v>2574</v>
      </c>
      <c r="C42" s="2760"/>
      <c r="D42" s="2182" t="s">
        <v>2743</v>
      </c>
      <c r="E42" s="2187">
        <v>300</v>
      </c>
      <c r="F42" s="2187" t="s">
        <v>1841</v>
      </c>
      <c r="G42" s="2177"/>
      <c r="H42" s="2178"/>
      <c r="I42" s="2178"/>
      <c r="J42" s="2178"/>
      <c r="K42" s="2179"/>
      <c r="L42" s="2189">
        <v>45000</v>
      </c>
      <c r="N42" s="2181"/>
      <c r="O42" s="1914"/>
    </row>
    <row r="43" spans="1:15" s="455" customFormat="1">
      <c r="A43" s="471"/>
      <c r="B43" s="454" t="s">
        <v>2574</v>
      </c>
      <c r="C43" s="2760"/>
      <c r="D43" s="2182" t="s">
        <v>2758</v>
      </c>
      <c r="E43" s="2187">
        <v>500</v>
      </c>
      <c r="F43" s="2187" t="s">
        <v>2654</v>
      </c>
      <c r="G43" s="2177"/>
      <c r="H43" s="2178"/>
      <c r="I43" s="2178"/>
      <c r="J43" s="2178"/>
      <c r="K43" s="2179"/>
      <c r="L43" s="2189">
        <v>50000</v>
      </c>
      <c r="N43" s="2181"/>
      <c r="O43" s="1914"/>
    </row>
    <row r="44" spans="1:15" s="455" customFormat="1">
      <c r="A44" s="471"/>
      <c r="B44" s="454" t="s">
        <v>2574</v>
      </c>
      <c r="C44" s="2760"/>
      <c r="D44" s="2182" t="s">
        <v>2746</v>
      </c>
      <c r="E44" s="2187">
        <v>20</v>
      </c>
      <c r="F44" s="2176" t="s">
        <v>776</v>
      </c>
      <c r="G44" s="2177"/>
      <c r="H44" s="2178"/>
      <c r="I44" s="2178"/>
      <c r="J44" s="2178"/>
      <c r="K44" s="2179"/>
      <c r="L44" s="2189">
        <v>40000</v>
      </c>
      <c r="N44" s="2181"/>
      <c r="O44" s="1914"/>
    </row>
    <row r="45" spans="1:15" s="455" customFormat="1">
      <c r="A45" s="471"/>
      <c r="B45" s="454" t="s">
        <v>2574</v>
      </c>
      <c r="C45" s="2760"/>
      <c r="D45" s="2182" t="s">
        <v>2747</v>
      </c>
      <c r="E45" s="2187">
        <v>10</v>
      </c>
      <c r="F45" s="2176" t="s">
        <v>1571</v>
      </c>
      <c r="G45" s="2177"/>
      <c r="H45" s="2178"/>
      <c r="I45" s="2178"/>
      <c r="J45" s="2178"/>
      <c r="K45" s="2179"/>
      <c r="L45" s="2189">
        <v>2100</v>
      </c>
      <c r="N45" s="2181"/>
      <c r="O45" s="1914"/>
    </row>
    <row r="46" spans="1:15" s="455" customFormat="1">
      <c r="A46" s="471"/>
      <c r="B46" s="454" t="s">
        <v>2574</v>
      </c>
      <c r="C46" s="513"/>
      <c r="D46" s="2182" t="s">
        <v>2749</v>
      </c>
      <c r="E46" s="2195">
        <v>25</v>
      </c>
      <c r="F46" s="2176" t="s">
        <v>776</v>
      </c>
      <c r="G46" s="2177"/>
      <c r="H46" s="2178"/>
      <c r="I46" s="2178"/>
      <c r="J46" s="2178"/>
      <c r="K46" s="2179"/>
      <c r="L46" s="2189">
        <v>8750</v>
      </c>
      <c r="N46" s="2181"/>
      <c r="O46" s="1914"/>
    </row>
    <row r="47" spans="1:15" s="455" customFormat="1">
      <c r="A47" s="471"/>
      <c r="B47" s="454" t="s">
        <v>2574</v>
      </c>
      <c r="C47" s="509" t="s">
        <v>704</v>
      </c>
      <c r="D47" s="2182" t="s">
        <v>2752</v>
      </c>
      <c r="E47" s="2195">
        <v>500</v>
      </c>
      <c r="F47" s="2187" t="s">
        <v>2630</v>
      </c>
      <c r="G47" s="2177"/>
      <c r="H47" s="2178"/>
      <c r="I47" s="2178"/>
      <c r="J47" s="2178"/>
      <c r="K47" s="2179"/>
      <c r="L47" s="2189">
        <v>50000</v>
      </c>
      <c r="N47" s="2181"/>
      <c r="O47" s="1914"/>
    </row>
    <row r="48" spans="1:15" s="455" customFormat="1">
      <c r="A48" s="471"/>
      <c r="B48" s="454" t="s">
        <v>2574</v>
      </c>
      <c r="C48" s="513"/>
      <c r="D48" s="2182" t="s">
        <v>2756</v>
      </c>
      <c r="E48" s="2195">
        <v>14</v>
      </c>
      <c r="F48" s="2187" t="s">
        <v>776</v>
      </c>
      <c r="G48" s="2177"/>
      <c r="H48" s="2178"/>
      <c r="I48" s="2178"/>
      <c r="J48" s="2178"/>
      <c r="K48" s="2179"/>
      <c r="L48" s="2189">
        <v>1750</v>
      </c>
      <c r="N48" s="2181"/>
      <c r="O48" s="1914"/>
    </row>
    <row r="49" spans="1:15" s="455" customFormat="1">
      <c r="A49" s="471"/>
      <c r="B49" s="454"/>
      <c r="C49" s="513"/>
      <c r="D49" s="2182"/>
      <c r="E49" s="2195"/>
      <c r="F49" s="2187"/>
      <c r="G49" s="2177"/>
      <c r="H49" s="2178"/>
      <c r="I49" s="2178"/>
      <c r="J49" s="2178"/>
      <c r="K49" s="2179"/>
      <c r="L49" s="2189"/>
      <c r="N49" s="2181"/>
      <c r="O49" s="1914"/>
    </row>
    <row r="50" spans="1:15" s="455" customFormat="1">
      <c r="A50" s="471"/>
      <c r="B50" s="454"/>
      <c r="C50" s="513"/>
      <c r="D50" s="2182"/>
      <c r="E50" s="2195"/>
      <c r="F50" s="2187"/>
      <c r="G50" s="2177"/>
      <c r="H50" s="2178"/>
      <c r="I50" s="2178"/>
      <c r="J50" s="2178"/>
      <c r="K50" s="2179"/>
      <c r="L50" s="2189"/>
      <c r="N50" s="2181"/>
      <c r="O50" s="1914"/>
    </row>
    <row r="51" spans="1:15" s="455" customFormat="1">
      <c r="A51" s="471"/>
      <c r="B51" s="454"/>
      <c r="C51" s="513"/>
      <c r="D51" s="2182"/>
      <c r="E51" s="2195"/>
      <c r="F51" s="2187"/>
      <c r="G51" s="2177"/>
      <c r="H51" s="2178"/>
      <c r="I51" s="2178"/>
      <c r="J51" s="2178"/>
      <c r="K51" s="2179"/>
      <c r="L51" s="2189"/>
      <c r="N51" s="2181"/>
      <c r="O51" s="1914"/>
    </row>
    <row r="52" spans="1:15" s="455" customFormat="1" ht="40.5">
      <c r="A52" s="471"/>
      <c r="B52" s="454" t="s">
        <v>2929</v>
      </c>
      <c r="C52" s="2196" t="s">
        <v>2130</v>
      </c>
      <c r="D52" s="2168" t="s">
        <v>637</v>
      </c>
      <c r="E52" s="2197"/>
      <c r="F52" s="532" t="s">
        <v>1764</v>
      </c>
      <c r="G52" s="533" t="s">
        <v>1</v>
      </c>
      <c r="H52" s="677"/>
      <c r="I52" s="677"/>
      <c r="J52" s="677"/>
      <c r="K52" s="532" t="s">
        <v>748</v>
      </c>
      <c r="L52" s="2198"/>
      <c r="M52" s="677" t="s">
        <v>2924</v>
      </c>
      <c r="N52" s="532" t="s">
        <v>703</v>
      </c>
    </row>
    <row r="53" spans="1:15" s="455" customFormat="1" ht="16.5">
      <c r="A53" s="471"/>
      <c r="B53" s="454" t="s">
        <v>2929</v>
      </c>
      <c r="C53" s="2199"/>
      <c r="D53" s="342" t="s">
        <v>3370</v>
      </c>
      <c r="E53" s="533">
        <v>60</v>
      </c>
      <c r="F53" s="533" t="s">
        <v>1885</v>
      </c>
      <c r="G53" s="2200"/>
      <c r="H53" s="2177" t="s">
        <v>2213</v>
      </c>
      <c r="I53" s="2201">
        <v>46174</v>
      </c>
      <c r="J53" s="2202" t="s">
        <v>2215</v>
      </c>
      <c r="K53" s="2203"/>
      <c r="L53" s="2204">
        <v>2100</v>
      </c>
      <c r="M53" s="2205"/>
      <c r="N53" s="2206"/>
    </row>
    <row r="54" spans="1:15" s="455" customFormat="1" ht="16.5">
      <c r="A54" s="471"/>
      <c r="B54" s="454" t="s">
        <v>2929</v>
      </c>
      <c r="C54" s="2199"/>
      <c r="D54" s="342" t="s">
        <v>3371</v>
      </c>
      <c r="E54" s="533">
        <v>25</v>
      </c>
      <c r="F54" s="533" t="s">
        <v>1885</v>
      </c>
      <c r="G54" s="2200"/>
      <c r="H54" s="2177"/>
      <c r="I54" s="2177"/>
      <c r="J54" s="852" t="s">
        <v>2927</v>
      </c>
      <c r="K54" s="2203"/>
      <c r="L54" s="2204">
        <v>1250</v>
      </c>
      <c r="M54" s="2205"/>
      <c r="N54" s="2206"/>
    </row>
    <row r="55" spans="1:15" s="455" customFormat="1" ht="16.5">
      <c r="A55" s="471"/>
      <c r="B55" s="454" t="s">
        <v>2929</v>
      </c>
      <c r="C55" s="2199"/>
      <c r="D55" s="342" t="s">
        <v>3372</v>
      </c>
      <c r="E55" s="533">
        <v>30</v>
      </c>
      <c r="F55" s="533" t="s">
        <v>3373</v>
      </c>
      <c r="G55" s="2177"/>
      <c r="H55" s="2178"/>
      <c r="I55" s="2178"/>
      <c r="J55" s="2178"/>
      <c r="K55" s="2207"/>
      <c r="L55" s="2204">
        <v>3600</v>
      </c>
      <c r="N55" s="2181"/>
      <c r="O55" s="1914"/>
    </row>
    <row r="56" spans="1:15" s="455" customFormat="1" ht="16.5">
      <c r="A56" s="471"/>
      <c r="B56" s="454" t="s">
        <v>2929</v>
      </c>
      <c r="C56" s="2199"/>
      <c r="D56" s="342" t="s">
        <v>1710</v>
      </c>
      <c r="E56" s="533">
        <v>10</v>
      </c>
      <c r="F56" s="533" t="s">
        <v>3374</v>
      </c>
      <c r="G56" s="2177"/>
      <c r="H56" s="2178"/>
      <c r="I56" s="2178"/>
      <c r="J56" s="2178"/>
      <c r="K56" s="2207"/>
      <c r="L56" s="2204">
        <v>8500</v>
      </c>
      <c r="N56" s="2181"/>
      <c r="O56" s="1914"/>
    </row>
    <row r="57" spans="1:15" s="455" customFormat="1" ht="16.5">
      <c r="A57" s="471"/>
      <c r="B57" s="454" t="s">
        <v>2929</v>
      </c>
      <c r="C57" s="2199"/>
      <c r="D57" s="342" t="s">
        <v>3375</v>
      </c>
      <c r="E57" s="533">
        <v>4</v>
      </c>
      <c r="F57" s="533" t="s">
        <v>3374</v>
      </c>
      <c r="G57" s="2177"/>
      <c r="H57" s="2178"/>
      <c r="I57" s="2178"/>
      <c r="J57" s="2178"/>
      <c r="K57" s="2207"/>
      <c r="L57" s="2204">
        <v>6000</v>
      </c>
      <c r="N57" s="2181"/>
      <c r="O57" s="1914"/>
    </row>
    <row r="58" spans="1:15" s="455" customFormat="1" ht="16.5">
      <c r="A58" s="471"/>
      <c r="B58" s="454" t="s">
        <v>2929</v>
      </c>
      <c r="C58" s="2199"/>
      <c r="D58" s="342" t="s">
        <v>3376</v>
      </c>
      <c r="E58" s="533">
        <v>10</v>
      </c>
      <c r="F58" s="533" t="s">
        <v>1885</v>
      </c>
      <c r="G58" s="2177"/>
      <c r="H58" s="2178"/>
      <c r="I58" s="2178"/>
      <c r="J58" s="2178"/>
      <c r="K58" s="2207"/>
      <c r="L58" s="2204">
        <v>5000</v>
      </c>
      <c r="N58" s="2181"/>
      <c r="O58" s="1914"/>
    </row>
    <row r="59" spans="1:15" s="455" customFormat="1" ht="16.5">
      <c r="A59" s="471"/>
      <c r="B59" s="454" t="s">
        <v>2929</v>
      </c>
      <c r="C59" s="2199"/>
      <c r="D59" s="342" t="s">
        <v>3377</v>
      </c>
      <c r="E59" s="533"/>
      <c r="F59" s="533"/>
      <c r="G59" s="2177"/>
      <c r="H59" s="2178"/>
      <c r="I59" s="2178"/>
      <c r="J59" s="2178"/>
      <c r="K59" s="2207"/>
      <c r="L59" s="2204" t="s">
        <v>3417</v>
      </c>
      <c r="N59" s="2181"/>
      <c r="O59" s="1914"/>
    </row>
    <row r="60" spans="1:15" s="455" customFormat="1" ht="16.5">
      <c r="A60" s="471"/>
      <c r="B60" s="454" t="s">
        <v>2929</v>
      </c>
      <c r="C60" s="2199"/>
      <c r="D60" s="342" t="s">
        <v>1462</v>
      </c>
      <c r="E60" s="533">
        <v>100</v>
      </c>
      <c r="F60" s="533" t="s">
        <v>3233</v>
      </c>
      <c r="G60" s="2177"/>
      <c r="H60" s="2178"/>
      <c r="I60" s="2178"/>
      <c r="J60" s="2178"/>
      <c r="K60" s="2207"/>
      <c r="L60" s="2204">
        <v>5000</v>
      </c>
      <c r="N60" s="2181"/>
      <c r="O60" s="1914"/>
    </row>
    <row r="61" spans="1:15" s="455" customFormat="1" ht="16.5">
      <c r="A61" s="471"/>
      <c r="B61" s="454" t="s">
        <v>2929</v>
      </c>
      <c r="C61" s="2199"/>
      <c r="D61" s="342" t="s">
        <v>3378</v>
      </c>
      <c r="E61" s="533">
        <v>10</v>
      </c>
      <c r="F61" s="533" t="s">
        <v>2990</v>
      </c>
      <c r="G61" s="2177"/>
      <c r="H61" s="2178"/>
      <c r="I61" s="2178"/>
      <c r="J61" s="2178"/>
      <c r="K61" s="2207"/>
      <c r="L61" s="2204">
        <v>30000</v>
      </c>
      <c r="N61" s="2181"/>
      <c r="O61" s="1914"/>
    </row>
    <row r="62" spans="1:15" s="455" customFormat="1" ht="16.5">
      <c r="A62" s="471"/>
      <c r="B62" s="454" t="s">
        <v>2929</v>
      </c>
      <c r="C62" s="2199"/>
      <c r="D62" s="342" t="s">
        <v>3379</v>
      </c>
      <c r="E62" s="533">
        <v>10</v>
      </c>
      <c r="F62" s="533" t="s">
        <v>1885</v>
      </c>
      <c r="G62" s="2177"/>
      <c r="H62" s="2178"/>
      <c r="I62" s="2178"/>
      <c r="J62" s="2178"/>
      <c r="K62" s="2207"/>
      <c r="L62" s="2204">
        <v>4500</v>
      </c>
      <c r="N62" s="2181"/>
      <c r="O62" s="1914"/>
    </row>
    <row r="63" spans="1:15" s="455" customFormat="1" ht="16.5">
      <c r="A63" s="471"/>
      <c r="B63" s="454" t="s">
        <v>2929</v>
      </c>
      <c r="C63" s="2199"/>
      <c r="D63" s="342" t="s">
        <v>3380</v>
      </c>
      <c r="E63" s="533">
        <v>10</v>
      </c>
      <c r="F63" s="533" t="s">
        <v>1885</v>
      </c>
      <c r="G63" s="2177"/>
      <c r="H63" s="2178"/>
      <c r="I63" s="2178"/>
      <c r="J63" s="2178"/>
      <c r="K63" s="2207"/>
      <c r="L63" s="2204">
        <v>1500</v>
      </c>
      <c r="N63" s="2181"/>
      <c r="O63" s="1914"/>
    </row>
    <row r="64" spans="1:15" s="455" customFormat="1" ht="16.5">
      <c r="A64" s="471"/>
      <c r="B64" s="454" t="s">
        <v>2929</v>
      </c>
      <c r="C64" s="2199"/>
      <c r="D64" s="342" t="s">
        <v>3381</v>
      </c>
      <c r="E64" s="533">
        <v>10</v>
      </c>
      <c r="F64" s="533" t="s">
        <v>1885</v>
      </c>
      <c r="G64" s="2177"/>
      <c r="H64" s="2178"/>
      <c r="I64" s="2178"/>
      <c r="J64" s="2178"/>
      <c r="K64" s="2207"/>
      <c r="L64" s="2204">
        <v>1500</v>
      </c>
      <c r="N64" s="2181"/>
      <c r="O64" s="1914"/>
    </row>
    <row r="65" spans="1:15" s="455" customFormat="1" ht="16.5">
      <c r="A65" s="471"/>
      <c r="B65" s="454" t="s">
        <v>2929</v>
      </c>
      <c r="C65" s="2199"/>
      <c r="D65" s="342" t="s">
        <v>2076</v>
      </c>
      <c r="E65" s="533">
        <v>3</v>
      </c>
      <c r="F65" s="533" t="s">
        <v>377</v>
      </c>
      <c r="G65" s="2177"/>
      <c r="H65" s="2178"/>
      <c r="I65" s="2178"/>
      <c r="J65" s="2178"/>
      <c r="K65" s="2207"/>
      <c r="L65" s="2204">
        <v>15000</v>
      </c>
      <c r="N65" s="2181"/>
      <c r="O65" s="1914"/>
    </row>
    <row r="66" spans="1:15" s="455" customFormat="1" ht="16.5">
      <c r="A66" s="471"/>
      <c r="B66" s="454" t="s">
        <v>2929</v>
      </c>
      <c r="C66" s="2199"/>
      <c r="D66" s="342" t="s">
        <v>3382</v>
      </c>
      <c r="E66" s="533">
        <v>70</v>
      </c>
      <c r="F66" s="533" t="s">
        <v>1885</v>
      </c>
      <c r="G66" s="2177"/>
      <c r="H66" s="2178"/>
      <c r="I66" s="2178"/>
      <c r="J66" s="2178"/>
      <c r="K66" s="2207"/>
      <c r="L66" s="2204">
        <v>2800</v>
      </c>
      <c r="N66" s="2181"/>
      <c r="O66" s="1914"/>
    </row>
    <row r="67" spans="1:15" s="455" customFormat="1" ht="16.5">
      <c r="A67" s="471"/>
      <c r="B67" s="454" t="s">
        <v>2929</v>
      </c>
      <c r="C67" s="2199"/>
      <c r="D67" s="342" t="s">
        <v>3383</v>
      </c>
      <c r="E67" s="533">
        <v>9</v>
      </c>
      <c r="F67" s="533" t="s">
        <v>377</v>
      </c>
      <c r="G67" s="2177"/>
      <c r="H67" s="2178"/>
      <c r="I67" s="2178"/>
      <c r="J67" s="2178"/>
      <c r="K67" s="2207"/>
      <c r="L67" s="2204">
        <v>2700</v>
      </c>
      <c r="N67" s="2181"/>
      <c r="O67" s="1914"/>
    </row>
    <row r="68" spans="1:15" s="455" customFormat="1" ht="16.5">
      <c r="A68" s="471"/>
      <c r="B68" s="454" t="s">
        <v>2929</v>
      </c>
      <c r="C68" s="2199"/>
      <c r="D68" s="342" t="s">
        <v>3384</v>
      </c>
      <c r="E68" s="533">
        <v>5</v>
      </c>
      <c r="F68" s="533" t="s">
        <v>377</v>
      </c>
      <c r="G68" s="2177"/>
      <c r="H68" s="2178"/>
      <c r="I68" s="2178"/>
      <c r="J68" s="2178"/>
      <c r="K68" s="2207"/>
      <c r="L68" s="2204">
        <v>5000</v>
      </c>
      <c r="N68" s="2181"/>
      <c r="O68" s="1914"/>
    </row>
    <row r="69" spans="1:15" s="455" customFormat="1" ht="16.5">
      <c r="A69" s="471"/>
      <c r="B69" s="454" t="s">
        <v>2929</v>
      </c>
      <c r="C69" s="2199"/>
      <c r="D69" s="342" t="s">
        <v>3385</v>
      </c>
      <c r="E69" s="533">
        <v>3</v>
      </c>
      <c r="F69" s="533" t="s">
        <v>2990</v>
      </c>
      <c r="G69" s="2177"/>
      <c r="H69" s="2178"/>
      <c r="I69" s="2178"/>
      <c r="J69" s="2178"/>
      <c r="K69" s="2207"/>
      <c r="L69" s="2204">
        <v>9000</v>
      </c>
      <c r="N69" s="2181"/>
      <c r="O69" s="1914"/>
    </row>
    <row r="70" spans="1:15" s="455" customFormat="1" ht="16.5">
      <c r="A70" s="471"/>
      <c r="B70" s="454" t="s">
        <v>2929</v>
      </c>
      <c r="C70" s="2199"/>
      <c r="D70" s="342" t="s">
        <v>3386</v>
      </c>
      <c r="E70" s="533">
        <v>5</v>
      </c>
      <c r="F70" s="533" t="s">
        <v>377</v>
      </c>
      <c r="G70" s="2177"/>
      <c r="H70" s="2178"/>
      <c r="I70" s="2178"/>
      <c r="J70" s="2178"/>
      <c r="K70" s="2207"/>
      <c r="L70" s="2204">
        <v>10000</v>
      </c>
      <c r="N70" s="2181"/>
      <c r="O70" s="1914"/>
    </row>
    <row r="71" spans="1:15" s="455" customFormat="1" ht="16.5">
      <c r="A71" s="471"/>
      <c r="B71" s="454" t="s">
        <v>2929</v>
      </c>
      <c r="C71" s="2199"/>
      <c r="D71" s="342" t="s">
        <v>3387</v>
      </c>
      <c r="E71" s="533">
        <v>8</v>
      </c>
      <c r="F71" s="533" t="s">
        <v>2990</v>
      </c>
      <c r="G71" s="2177"/>
      <c r="H71" s="2178"/>
      <c r="I71" s="2178"/>
      <c r="J71" s="2178"/>
      <c r="K71" s="2207"/>
      <c r="L71" s="2204" t="s">
        <v>3417</v>
      </c>
      <c r="N71" s="2181"/>
      <c r="O71" s="1914"/>
    </row>
    <row r="72" spans="1:15" s="455" customFormat="1" ht="16.5">
      <c r="A72" s="471"/>
      <c r="B72" s="454" t="s">
        <v>2929</v>
      </c>
      <c r="C72" s="2199"/>
      <c r="D72" s="342" t="s">
        <v>3388</v>
      </c>
      <c r="E72" s="533">
        <v>30</v>
      </c>
      <c r="F72" s="533" t="s">
        <v>3389</v>
      </c>
      <c r="G72" s="2177"/>
      <c r="H72" s="2178"/>
      <c r="I72" s="2178"/>
      <c r="J72" s="2178"/>
      <c r="K72" s="2207"/>
      <c r="L72" s="2204">
        <v>1800</v>
      </c>
      <c r="N72" s="2181"/>
      <c r="O72" s="1914"/>
    </row>
    <row r="73" spans="1:15" s="455" customFormat="1" ht="16.5">
      <c r="A73" s="471"/>
      <c r="B73" s="454" t="s">
        <v>2929</v>
      </c>
      <c r="C73" s="2199"/>
      <c r="D73" s="342" t="s">
        <v>3390</v>
      </c>
      <c r="E73" s="533">
        <v>30</v>
      </c>
      <c r="F73" s="533" t="s">
        <v>808</v>
      </c>
      <c r="G73" s="2177"/>
      <c r="H73" s="2178"/>
      <c r="I73" s="2178"/>
      <c r="J73" s="2178"/>
      <c r="K73" s="2207"/>
      <c r="L73" s="2204">
        <v>1350</v>
      </c>
      <c r="N73" s="2181"/>
      <c r="O73" s="1914"/>
    </row>
    <row r="74" spans="1:15" s="455" customFormat="1" ht="16.5">
      <c r="A74" s="471"/>
      <c r="B74" s="454" t="s">
        <v>2929</v>
      </c>
      <c r="C74" s="2199"/>
      <c r="D74" s="342" t="s">
        <v>3391</v>
      </c>
      <c r="E74" s="533">
        <v>15</v>
      </c>
      <c r="F74" s="533" t="s">
        <v>2990</v>
      </c>
      <c r="G74" s="2177"/>
      <c r="H74" s="2178"/>
      <c r="I74" s="2178"/>
      <c r="J74" s="2178"/>
      <c r="K74" s="2207"/>
      <c r="L74" s="2204">
        <v>1500</v>
      </c>
      <c r="N74" s="2181"/>
      <c r="O74" s="1914"/>
    </row>
    <row r="75" spans="1:15" s="455" customFormat="1" ht="16.5">
      <c r="A75" s="471"/>
      <c r="B75" s="454" t="s">
        <v>2929</v>
      </c>
      <c r="C75" s="2199"/>
      <c r="D75" s="342" t="s">
        <v>3392</v>
      </c>
      <c r="E75" s="533">
        <v>8</v>
      </c>
      <c r="F75" s="533" t="s">
        <v>3393</v>
      </c>
      <c r="G75" s="2177"/>
      <c r="H75" s="2178"/>
      <c r="I75" s="2178"/>
      <c r="J75" s="2178"/>
      <c r="K75" s="2207"/>
      <c r="L75" s="2204">
        <v>1200</v>
      </c>
      <c r="N75" s="2181"/>
      <c r="O75" s="1914"/>
    </row>
    <row r="76" spans="1:15" s="455" customFormat="1" ht="16.5">
      <c r="A76" s="471"/>
      <c r="B76" s="454" t="s">
        <v>2929</v>
      </c>
      <c r="C76" s="2199"/>
      <c r="D76" s="342" t="s">
        <v>3394</v>
      </c>
      <c r="E76" s="533">
        <v>8</v>
      </c>
      <c r="F76" s="533" t="s">
        <v>3393</v>
      </c>
      <c r="G76" s="2177"/>
      <c r="H76" s="2178"/>
      <c r="I76" s="2178"/>
      <c r="J76" s="2178"/>
      <c r="K76" s="2207"/>
      <c r="L76" s="2204">
        <v>1080</v>
      </c>
      <c r="N76" s="2181"/>
      <c r="O76" s="1914"/>
    </row>
    <row r="77" spans="1:15" s="455" customFormat="1" ht="16.5">
      <c r="A77" s="471"/>
      <c r="B77" s="454" t="s">
        <v>2929</v>
      </c>
      <c r="C77" s="2199"/>
      <c r="D77" s="342" t="s">
        <v>3395</v>
      </c>
      <c r="E77" s="533">
        <v>3</v>
      </c>
      <c r="F77" s="533" t="s">
        <v>3342</v>
      </c>
      <c r="G77" s="2177"/>
      <c r="H77" s="2178"/>
      <c r="I77" s="2178"/>
      <c r="J77" s="2178"/>
      <c r="K77" s="2207"/>
      <c r="L77" s="2204">
        <v>720</v>
      </c>
      <c r="N77" s="2181"/>
      <c r="O77" s="1914"/>
    </row>
    <row r="78" spans="1:15" s="455" customFormat="1" ht="16.5">
      <c r="A78" s="471"/>
      <c r="B78" s="454" t="s">
        <v>2929</v>
      </c>
      <c r="C78" s="2199"/>
      <c r="D78" s="342" t="s">
        <v>2056</v>
      </c>
      <c r="E78" s="533">
        <v>15</v>
      </c>
      <c r="F78" s="533" t="s">
        <v>2994</v>
      </c>
      <c r="G78" s="2177"/>
      <c r="H78" s="2178"/>
      <c r="I78" s="2178"/>
      <c r="J78" s="2178"/>
      <c r="K78" s="2207"/>
      <c r="L78" s="2204">
        <v>1125</v>
      </c>
      <c r="N78" s="2181"/>
      <c r="O78" s="1914"/>
    </row>
    <row r="79" spans="1:15" s="455" customFormat="1" ht="16.5">
      <c r="A79" s="471"/>
      <c r="B79" s="454" t="s">
        <v>2929</v>
      </c>
      <c r="C79" s="2199"/>
      <c r="D79" s="342" t="s">
        <v>3396</v>
      </c>
      <c r="E79" s="533">
        <v>10</v>
      </c>
      <c r="F79" s="533" t="s">
        <v>1885</v>
      </c>
      <c r="G79" s="2177"/>
      <c r="H79" s="2178"/>
      <c r="I79" s="2178"/>
      <c r="J79" s="2178"/>
      <c r="K79" s="2207"/>
      <c r="L79" s="2204">
        <v>350</v>
      </c>
      <c r="N79" s="2181"/>
      <c r="O79" s="1914"/>
    </row>
    <row r="80" spans="1:15" s="455" customFormat="1" ht="16.5">
      <c r="A80" s="471"/>
      <c r="B80" s="454" t="s">
        <v>2929</v>
      </c>
      <c r="C80" s="2199"/>
      <c r="D80" s="342" t="s">
        <v>3397</v>
      </c>
      <c r="E80" s="533">
        <v>6</v>
      </c>
      <c r="F80" s="533" t="s">
        <v>2994</v>
      </c>
      <c r="G80" s="2177"/>
      <c r="H80" s="2178"/>
      <c r="I80" s="2178"/>
      <c r="J80" s="2178"/>
      <c r="K80" s="2207"/>
      <c r="L80" s="2204">
        <v>540</v>
      </c>
      <c r="N80" s="2181"/>
      <c r="O80" s="1914"/>
    </row>
    <row r="81" spans="1:15" s="455" customFormat="1" ht="16.5">
      <c r="A81" s="471"/>
      <c r="B81" s="454" t="s">
        <v>2929</v>
      </c>
      <c r="C81" s="2199"/>
      <c r="D81" s="342" t="s">
        <v>3398</v>
      </c>
      <c r="E81" s="533"/>
      <c r="F81" s="533"/>
      <c r="G81" s="2177"/>
      <c r="H81" s="2178"/>
      <c r="I81" s="2178"/>
      <c r="J81" s="2178"/>
      <c r="K81" s="2207"/>
      <c r="L81" s="2204" t="s">
        <v>3417</v>
      </c>
      <c r="N81" s="2181"/>
      <c r="O81" s="1914"/>
    </row>
    <row r="82" spans="1:15" s="455" customFormat="1" ht="16.5">
      <c r="A82" s="471"/>
      <c r="B82" s="454" t="s">
        <v>2929</v>
      </c>
      <c r="C82" s="2199"/>
      <c r="D82" s="342" t="s">
        <v>3399</v>
      </c>
      <c r="E82" s="533"/>
      <c r="F82" s="533"/>
      <c r="G82" s="2177"/>
      <c r="H82" s="2178"/>
      <c r="I82" s="2178"/>
      <c r="J82" s="2178"/>
      <c r="K82" s="2207"/>
      <c r="L82" s="2204" t="s">
        <v>3417</v>
      </c>
      <c r="N82" s="2181"/>
      <c r="O82" s="1914"/>
    </row>
    <row r="83" spans="1:15" s="455" customFormat="1" ht="16.5">
      <c r="A83" s="471"/>
      <c r="B83" s="454" t="s">
        <v>2929</v>
      </c>
      <c r="C83" s="2199"/>
      <c r="D83" s="342" t="s">
        <v>3400</v>
      </c>
      <c r="E83" s="533"/>
      <c r="F83" s="533"/>
      <c r="G83" s="2177"/>
      <c r="H83" s="2178"/>
      <c r="I83" s="2178"/>
      <c r="J83" s="2178"/>
      <c r="K83" s="2207"/>
      <c r="L83" s="2204" t="s">
        <v>3417</v>
      </c>
      <c r="N83" s="2181"/>
      <c r="O83" s="1914"/>
    </row>
    <row r="84" spans="1:15" s="455" customFormat="1" ht="16.5">
      <c r="A84" s="471"/>
      <c r="B84" s="454" t="s">
        <v>2929</v>
      </c>
      <c r="C84" s="2199"/>
      <c r="D84" s="342" t="s">
        <v>3401</v>
      </c>
      <c r="E84" s="533"/>
      <c r="F84" s="533"/>
      <c r="G84" s="2177"/>
      <c r="H84" s="2178"/>
      <c r="I84" s="2178"/>
      <c r="J84" s="2178"/>
      <c r="K84" s="2207"/>
      <c r="L84" s="2204" t="s">
        <v>3417</v>
      </c>
      <c r="N84" s="2181"/>
      <c r="O84" s="1914"/>
    </row>
    <row r="85" spans="1:15" s="455" customFormat="1" ht="16.5">
      <c r="A85" s="471"/>
      <c r="B85" s="454" t="s">
        <v>2929</v>
      </c>
      <c r="C85" s="2199"/>
      <c r="D85" s="342" t="s">
        <v>3402</v>
      </c>
      <c r="E85" s="533">
        <v>12</v>
      </c>
      <c r="F85" s="533" t="s">
        <v>1885</v>
      </c>
      <c r="G85" s="2177"/>
      <c r="H85" s="2178"/>
      <c r="I85" s="2178"/>
      <c r="J85" s="2178"/>
      <c r="K85" s="2207"/>
      <c r="L85" s="2204">
        <v>2404.5</v>
      </c>
      <c r="N85" s="2181"/>
      <c r="O85" s="1914"/>
    </row>
    <row r="86" spans="1:15" s="455" customFormat="1" ht="16.5">
      <c r="A86" s="471"/>
      <c r="B86" s="454" t="s">
        <v>2929</v>
      </c>
      <c r="C86" s="2199"/>
      <c r="D86" s="342" t="s">
        <v>3403</v>
      </c>
      <c r="E86" s="533"/>
      <c r="F86" s="533"/>
      <c r="G86" s="2177"/>
      <c r="H86" s="2178"/>
      <c r="I86" s="2178"/>
      <c r="J86" s="2178"/>
      <c r="K86" s="2207"/>
      <c r="L86" s="2204" t="s">
        <v>3417</v>
      </c>
      <c r="N86" s="2181"/>
      <c r="O86" s="1914"/>
    </row>
    <row r="87" spans="1:15" s="455" customFormat="1" ht="16.5">
      <c r="A87" s="471"/>
      <c r="B87" s="454" t="s">
        <v>2929</v>
      </c>
      <c r="C87" s="2199"/>
      <c r="D87" s="953" t="s">
        <v>3404</v>
      </c>
      <c r="E87" s="533">
        <v>3</v>
      </c>
      <c r="F87" s="533" t="s">
        <v>2990</v>
      </c>
      <c r="G87" s="2177"/>
      <c r="H87" s="2178"/>
      <c r="I87" s="2178"/>
      <c r="J87" s="2178"/>
      <c r="K87" s="2207"/>
      <c r="L87" s="2204">
        <v>600</v>
      </c>
      <c r="N87" s="2181"/>
      <c r="O87" s="1914"/>
    </row>
    <row r="88" spans="1:15" s="455" customFormat="1" ht="16.5">
      <c r="A88" s="471"/>
      <c r="B88" s="454" t="s">
        <v>2929</v>
      </c>
      <c r="C88" s="2199"/>
      <c r="D88" s="953" t="s">
        <v>3405</v>
      </c>
      <c r="E88" s="533">
        <v>5</v>
      </c>
      <c r="F88" s="533" t="s">
        <v>1885</v>
      </c>
      <c r="G88" s="2177"/>
      <c r="H88" s="2178"/>
      <c r="I88" s="2178"/>
      <c r="J88" s="2178"/>
      <c r="K88" s="2207"/>
      <c r="L88" s="2204">
        <v>500</v>
      </c>
      <c r="N88" s="2181"/>
      <c r="O88" s="1914"/>
    </row>
    <row r="89" spans="1:15" s="455" customFormat="1" ht="26.25">
      <c r="A89" s="471"/>
      <c r="B89" s="454" t="s">
        <v>2929</v>
      </c>
      <c r="C89" s="2199"/>
      <c r="D89" s="953" t="s">
        <v>3406</v>
      </c>
      <c r="E89" s="533">
        <v>10</v>
      </c>
      <c r="F89" s="533" t="s">
        <v>1885</v>
      </c>
      <c r="G89" s="2208"/>
      <c r="H89" s="2209"/>
      <c r="I89" s="2209"/>
      <c r="J89" s="2209"/>
      <c r="K89" s="2210"/>
      <c r="L89" s="2204">
        <v>400</v>
      </c>
      <c r="M89" s="2211"/>
      <c r="N89" s="2212"/>
      <c r="O89" s="1914"/>
    </row>
    <row r="90" spans="1:15" s="455" customFormat="1" ht="16.5">
      <c r="A90" s="471"/>
      <c r="B90" s="454" t="s">
        <v>2929</v>
      </c>
      <c r="C90" s="2199"/>
      <c r="D90" s="953" t="s">
        <v>3407</v>
      </c>
      <c r="E90" s="533">
        <v>1</v>
      </c>
      <c r="F90" s="533" t="s">
        <v>1917</v>
      </c>
      <c r="G90" s="304"/>
      <c r="H90" s="306"/>
      <c r="I90" s="307"/>
      <c r="J90" s="307"/>
      <c r="K90" s="990"/>
      <c r="L90" s="2204">
        <v>350</v>
      </c>
      <c r="M90" s="2115"/>
      <c r="N90" s="306"/>
      <c r="O90" s="1914"/>
    </row>
    <row r="91" spans="1:15" s="455" customFormat="1" ht="16.5">
      <c r="A91" s="471"/>
      <c r="B91" s="454" t="s">
        <v>2929</v>
      </c>
      <c r="C91" s="2199"/>
      <c r="D91" s="953" t="s">
        <v>1899</v>
      </c>
      <c r="E91" s="533">
        <v>31</v>
      </c>
      <c r="F91" s="533" t="s">
        <v>3408</v>
      </c>
      <c r="G91" s="304"/>
      <c r="H91" s="306"/>
      <c r="I91" s="307"/>
      <c r="J91" s="307"/>
      <c r="K91" s="990"/>
      <c r="L91" s="2204">
        <v>3658</v>
      </c>
      <c r="M91" s="2115"/>
      <c r="N91" s="306"/>
      <c r="O91" s="1914"/>
    </row>
    <row r="92" spans="1:15" s="455" customFormat="1" ht="16.5">
      <c r="A92" s="471"/>
      <c r="B92" s="454" t="s">
        <v>2929</v>
      </c>
      <c r="C92" s="2199"/>
      <c r="D92" s="953" t="s">
        <v>3409</v>
      </c>
      <c r="E92" s="533"/>
      <c r="F92" s="533"/>
      <c r="G92" s="304"/>
      <c r="H92" s="306"/>
      <c r="I92" s="307"/>
      <c r="J92" s="307"/>
      <c r="K92" s="990"/>
      <c r="L92" s="2204" t="s">
        <v>3417</v>
      </c>
      <c r="M92" s="2115"/>
      <c r="N92" s="306"/>
      <c r="O92" s="1914"/>
    </row>
    <row r="93" spans="1:15" s="455" customFormat="1" ht="16.5">
      <c r="A93" s="471"/>
      <c r="B93" s="454" t="s">
        <v>2929</v>
      </c>
      <c r="C93" s="2199"/>
      <c r="D93" s="953" t="s">
        <v>3410</v>
      </c>
      <c r="E93" s="533">
        <v>15</v>
      </c>
      <c r="F93" s="533" t="s">
        <v>1885</v>
      </c>
      <c r="G93" s="304"/>
      <c r="H93" s="306"/>
      <c r="I93" s="307"/>
      <c r="J93" s="307"/>
      <c r="K93" s="990"/>
      <c r="L93" s="2204">
        <v>750</v>
      </c>
      <c r="M93" s="2115"/>
      <c r="N93" s="306"/>
      <c r="O93" s="1914"/>
    </row>
    <row r="94" spans="1:15" s="455" customFormat="1" ht="16.5">
      <c r="A94" s="471"/>
      <c r="B94" s="454" t="s">
        <v>2929</v>
      </c>
      <c r="C94" s="2199"/>
      <c r="D94" s="953" t="s">
        <v>2731</v>
      </c>
      <c r="E94" s="533">
        <v>5</v>
      </c>
      <c r="F94" s="533" t="s">
        <v>1885</v>
      </c>
      <c r="G94" s="304"/>
      <c r="H94" s="306"/>
      <c r="I94" s="307"/>
      <c r="J94" s="307"/>
      <c r="K94" s="990"/>
      <c r="L94" s="2204">
        <v>425</v>
      </c>
      <c r="M94" s="2115"/>
      <c r="N94" s="306"/>
      <c r="O94" s="1914"/>
    </row>
    <row r="95" spans="1:15" s="455" customFormat="1" ht="16.5">
      <c r="A95" s="471"/>
      <c r="B95" s="454" t="s">
        <v>2929</v>
      </c>
      <c r="C95" s="2199"/>
      <c r="D95" s="953" t="s">
        <v>3411</v>
      </c>
      <c r="E95" s="533">
        <v>5</v>
      </c>
      <c r="F95" s="533" t="s">
        <v>3412</v>
      </c>
      <c r="G95" s="304"/>
      <c r="H95" s="306"/>
      <c r="I95" s="307"/>
      <c r="J95" s="307"/>
      <c r="K95" s="990"/>
      <c r="L95" s="2204">
        <v>3500</v>
      </c>
      <c r="M95" s="2115"/>
      <c r="N95" s="306"/>
      <c r="O95" s="1914"/>
    </row>
    <row r="96" spans="1:15" s="455" customFormat="1" ht="16.5">
      <c r="A96" s="471"/>
      <c r="B96" s="454" t="s">
        <v>2929</v>
      </c>
      <c r="C96" s="2199"/>
      <c r="D96" s="953" t="s">
        <v>3413</v>
      </c>
      <c r="E96" s="533">
        <v>2</v>
      </c>
      <c r="F96" s="533" t="s">
        <v>3414</v>
      </c>
      <c r="G96" s="304"/>
      <c r="H96" s="306"/>
      <c r="I96" s="307"/>
      <c r="J96" s="307"/>
      <c r="K96" s="990"/>
      <c r="L96" s="2204">
        <v>180</v>
      </c>
      <c r="M96" s="2115"/>
      <c r="N96" s="306"/>
      <c r="O96" s="1914"/>
    </row>
    <row r="97" spans="1:15" s="455" customFormat="1" ht="16.5">
      <c r="A97" s="471"/>
      <c r="B97" s="454" t="s">
        <v>2929</v>
      </c>
      <c r="C97" s="2199"/>
      <c r="D97" s="953" t="s">
        <v>3415</v>
      </c>
      <c r="E97" s="533">
        <v>5</v>
      </c>
      <c r="F97" s="533" t="s">
        <v>1885</v>
      </c>
      <c r="G97" s="304"/>
      <c r="H97" s="306"/>
      <c r="I97" s="307"/>
      <c r="J97" s="307"/>
      <c r="K97" s="990"/>
      <c r="L97" s="2204">
        <v>13000</v>
      </c>
      <c r="M97" s="2115"/>
      <c r="N97" s="306"/>
      <c r="O97" s="1914"/>
    </row>
    <row r="98" spans="1:15" s="455" customFormat="1" ht="16.5">
      <c r="A98" s="471"/>
      <c r="B98" s="454" t="s">
        <v>2929</v>
      </c>
      <c r="C98" s="2199"/>
      <c r="D98" s="953" t="s">
        <v>2047</v>
      </c>
      <c r="E98" s="533">
        <v>40</v>
      </c>
      <c r="F98" s="533" t="s">
        <v>3416</v>
      </c>
      <c r="G98" s="304"/>
      <c r="H98" s="306"/>
      <c r="I98" s="307"/>
      <c r="J98" s="307"/>
      <c r="K98" s="990"/>
      <c r="L98" s="2204">
        <v>2000</v>
      </c>
      <c r="M98" s="2115"/>
      <c r="N98" s="306"/>
      <c r="O98" s="1914"/>
    </row>
    <row r="99" spans="1:15" s="455" customFormat="1">
      <c r="A99" s="471"/>
      <c r="B99" s="454"/>
      <c r="C99" s="410"/>
      <c r="D99" s="309"/>
      <c r="E99" s="852"/>
      <c r="F99" s="304"/>
      <c r="G99" s="304"/>
      <c r="H99" s="306"/>
      <c r="I99" s="307"/>
      <c r="J99" s="307"/>
      <c r="K99" s="307"/>
      <c r="L99" s="964"/>
      <c r="M99" s="1617"/>
      <c r="N99" s="306"/>
      <c r="O99" s="1914"/>
    </row>
    <row r="100" spans="1:15" s="455" customFormat="1">
      <c r="A100" s="471"/>
      <c r="B100" s="454"/>
      <c r="C100" s="410"/>
      <c r="D100" s="309"/>
      <c r="E100" s="852"/>
      <c r="F100" s="304"/>
      <c r="G100" s="304"/>
      <c r="H100" s="306"/>
      <c r="I100" s="307"/>
      <c r="J100" s="307"/>
      <c r="K100" s="307"/>
      <c r="L100" s="308"/>
      <c r="M100" s="1617"/>
      <c r="N100" s="306"/>
      <c r="O100" s="1914"/>
    </row>
    <row r="101" spans="1:15" s="455" customFormat="1">
      <c r="A101" s="471"/>
      <c r="B101" s="454"/>
      <c r="C101" s="410"/>
      <c r="D101" s="309"/>
      <c r="E101" s="852"/>
      <c r="F101" s="304"/>
      <c r="G101" s="304"/>
      <c r="H101" s="306"/>
      <c r="I101" s="307"/>
      <c r="J101" s="307"/>
      <c r="K101" s="307"/>
      <c r="L101" s="308"/>
      <c r="M101" s="1617"/>
      <c r="N101" s="306"/>
      <c r="O101" s="1914"/>
    </row>
    <row r="102" spans="1:15" s="455" customFormat="1">
      <c r="A102" s="471"/>
      <c r="B102" s="454" t="s">
        <v>3584</v>
      </c>
      <c r="C102" s="410"/>
      <c r="D102" s="314" t="s">
        <v>3849</v>
      </c>
      <c r="E102" s="852" t="s">
        <v>3850</v>
      </c>
      <c r="F102" s="302" t="s">
        <v>422</v>
      </c>
      <c r="G102" s="302" t="s">
        <v>828</v>
      </c>
      <c r="H102" s="871" t="s">
        <v>3587</v>
      </c>
      <c r="I102" s="871" t="s">
        <v>3588</v>
      </c>
      <c r="J102" s="871" t="s">
        <v>1322</v>
      </c>
      <c r="K102" s="342" t="s">
        <v>3589</v>
      </c>
      <c r="L102" s="409">
        <v>9000</v>
      </c>
      <c r="M102" s="342" t="s">
        <v>99</v>
      </c>
      <c r="N102" s="306"/>
      <c r="O102" s="1914"/>
    </row>
    <row r="103" spans="1:15" s="455" customFormat="1">
      <c r="A103" s="471"/>
      <c r="B103" s="454" t="s">
        <v>3584</v>
      </c>
      <c r="C103" s="410"/>
      <c r="D103" s="314" t="s">
        <v>3852</v>
      </c>
      <c r="E103" s="852" t="s">
        <v>3851</v>
      </c>
      <c r="F103" s="302" t="s">
        <v>422</v>
      </c>
      <c r="G103" s="302" t="s">
        <v>828</v>
      </c>
      <c r="H103" s="871" t="s">
        <v>3587</v>
      </c>
      <c r="I103" s="871" t="s">
        <v>3588</v>
      </c>
      <c r="J103" s="871" t="s">
        <v>1322</v>
      </c>
      <c r="K103" s="342" t="s">
        <v>3589</v>
      </c>
      <c r="L103" s="409">
        <v>6750</v>
      </c>
      <c r="M103" s="342" t="s">
        <v>99</v>
      </c>
      <c r="N103" s="306"/>
      <c r="O103" s="1914"/>
    </row>
    <row r="104" spans="1:15" s="455" customFormat="1">
      <c r="A104" s="471"/>
      <c r="B104" s="454" t="s">
        <v>3584</v>
      </c>
      <c r="C104" s="410"/>
      <c r="D104" s="314" t="s">
        <v>3853</v>
      </c>
      <c r="E104" s="852" t="s">
        <v>3855</v>
      </c>
      <c r="F104" s="302" t="s">
        <v>422</v>
      </c>
      <c r="G104" s="302" t="s">
        <v>828</v>
      </c>
      <c r="H104" s="871" t="s">
        <v>3587</v>
      </c>
      <c r="I104" s="871" t="s">
        <v>3588</v>
      </c>
      <c r="J104" s="871" t="s">
        <v>1322</v>
      </c>
      <c r="K104" s="342" t="s">
        <v>3589</v>
      </c>
      <c r="L104" s="409">
        <v>1500</v>
      </c>
      <c r="M104" s="342" t="s">
        <v>99</v>
      </c>
      <c r="N104" s="306"/>
      <c r="O104" s="1914"/>
    </row>
    <row r="105" spans="1:15" s="455" customFormat="1">
      <c r="A105" s="471"/>
      <c r="B105" s="454" t="s">
        <v>3584</v>
      </c>
      <c r="C105" s="410"/>
      <c r="D105" s="314" t="s">
        <v>3854</v>
      </c>
      <c r="E105" s="852" t="s">
        <v>3856</v>
      </c>
      <c r="F105" s="302" t="s">
        <v>422</v>
      </c>
      <c r="G105" s="302" t="s">
        <v>828</v>
      </c>
      <c r="H105" s="871" t="s">
        <v>3587</v>
      </c>
      <c r="I105" s="871" t="s">
        <v>3588</v>
      </c>
      <c r="J105" s="871" t="s">
        <v>1322</v>
      </c>
      <c r="K105" s="342" t="s">
        <v>3589</v>
      </c>
      <c r="L105" s="409">
        <v>3500</v>
      </c>
      <c r="M105" s="342" t="s">
        <v>99</v>
      </c>
      <c r="N105" s="306"/>
      <c r="O105" s="1914"/>
    </row>
    <row r="106" spans="1:15" s="455" customFormat="1">
      <c r="A106" s="471"/>
      <c r="B106" s="454" t="s">
        <v>3584</v>
      </c>
      <c r="C106" s="410"/>
      <c r="D106" s="314" t="s">
        <v>3857</v>
      </c>
      <c r="E106" s="852" t="s">
        <v>3856</v>
      </c>
      <c r="F106" s="302" t="s">
        <v>422</v>
      </c>
      <c r="G106" s="302" t="s">
        <v>828</v>
      </c>
      <c r="H106" s="871" t="s">
        <v>3587</v>
      </c>
      <c r="I106" s="871" t="s">
        <v>3588</v>
      </c>
      <c r="J106" s="871" t="s">
        <v>1322</v>
      </c>
      <c r="K106" s="342" t="s">
        <v>3589</v>
      </c>
      <c r="L106" s="409">
        <v>2500</v>
      </c>
      <c r="M106" s="342" t="s">
        <v>99</v>
      </c>
      <c r="N106" s="306"/>
      <c r="O106" s="1914"/>
    </row>
    <row r="107" spans="1:15" s="455" customFormat="1">
      <c r="A107" s="471"/>
      <c r="B107" s="454" t="s">
        <v>3584</v>
      </c>
      <c r="C107" s="410"/>
      <c r="D107" s="314" t="s">
        <v>3858</v>
      </c>
      <c r="E107" s="852" t="s">
        <v>3856</v>
      </c>
      <c r="F107" s="302" t="s">
        <v>422</v>
      </c>
      <c r="G107" s="302" t="s">
        <v>828</v>
      </c>
      <c r="H107" s="871" t="s">
        <v>3587</v>
      </c>
      <c r="I107" s="871" t="s">
        <v>3588</v>
      </c>
      <c r="J107" s="871" t="s">
        <v>1322</v>
      </c>
      <c r="K107" s="342" t="s">
        <v>3589</v>
      </c>
      <c r="L107" s="409">
        <v>1000</v>
      </c>
      <c r="M107" s="342" t="s">
        <v>99</v>
      </c>
      <c r="N107" s="306"/>
      <c r="O107" s="1914"/>
    </row>
    <row r="108" spans="1:15" s="455" customFormat="1">
      <c r="A108" s="471"/>
      <c r="B108" s="454" t="s">
        <v>3584</v>
      </c>
      <c r="C108" s="410"/>
      <c r="D108" s="314" t="s">
        <v>3859</v>
      </c>
      <c r="E108" s="852" t="s">
        <v>3766</v>
      </c>
      <c r="F108" s="302" t="s">
        <v>422</v>
      </c>
      <c r="G108" s="302" t="s">
        <v>828</v>
      </c>
      <c r="H108" s="871" t="s">
        <v>3587</v>
      </c>
      <c r="I108" s="871" t="s">
        <v>3588</v>
      </c>
      <c r="J108" s="871" t="s">
        <v>1322</v>
      </c>
      <c r="K108" s="342" t="s">
        <v>3589</v>
      </c>
      <c r="L108" s="409">
        <v>600</v>
      </c>
      <c r="M108" s="342" t="s">
        <v>99</v>
      </c>
      <c r="N108" s="306"/>
      <c r="O108" s="1914"/>
    </row>
    <row r="109" spans="1:15" s="455" customFormat="1">
      <c r="A109" s="471"/>
      <c r="B109" s="454" t="s">
        <v>3584</v>
      </c>
      <c r="C109" s="410"/>
      <c r="D109" s="314" t="s">
        <v>3860</v>
      </c>
      <c r="E109" s="852" t="s">
        <v>3861</v>
      </c>
      <c r="F109" s="302" t="s">
        <v>422</v>
      </c>
      <c r="G109" s="302" t="s">
        <v>828</v>
      </c>
      <c r="H109" s="871" t="s">
        <v>3587</v>
      </c>
      <c r="I109" s="871" t="s">
        <v>3588</v>
      </c>
      <c r="J109" s="871" t="s">
        <v>1322</v>
      </c>
      <c r="K109" s="342" t="s">
        <v>3589</v>
      </c>
      <c r="L109" s="409">
        <v>1000</v>
      </c>
      <c r="M109" s="342" t="s">
        <v>99</v>
      </c>
      <c r="N109" s="306"/>
      <c r="O109" s="1914"/>
    </row>
    <row r="110" spans="1:15" s="455" customFormat="1">
      <c r="A110" s="471"/>
      <c r="B110" s="454" t="s">
        <v>3584</v>
      </c>
      <c r="C110" s="410"/>
      <c r="D110" s="314" t="s">
        <v>3862</v>
      </c>
      <c r="E110" s="852" t="s">
        <v>3856</v>
      </c>
      <c r="F110" s="302" t="s">
        <v>422</v>
      </c>
      <c r="G110" s="302" t="s">
        <v>828</v>
      </c>
      <c r="H110" s="871" t="s">
        <v>3587</v>
      </c>
      <c r="I110" s="871" t="s">
        <v>3588</v>
      </c>
      <c r="J110" s="871" t="s">
        <v>1322</v>
      </c>
      <c r="K110" s="342" t="s">
        <v>3589</v>
      </c>
      <c r="L110" s="409">
        <v>500</v>
      </c>
      <c r="M110" s="342" t="s">
        <v>99</v>
      </c>
      <c r="N110" s="306"/>
      <c r="O110" s="1914"/>
    </row>
    <row r="111" spans="1:15" s="455" customFormat="1">
      <c r="A111" s="471"/>
      <c r="B111" s="454" t="s">
        <v>3584</v>
      </c>
      <c r="C111" s="410"/>
      <c r="D111" s="314" t="s">
        <v>3863</v>
      </c>
      <c r="E111" s="852" t="s">
        <v>3742</v>
      </c>
      <c r="F111" s="302" t="s">
        <v>422</v>
      </c>
      <c r="G111" s="302" t="s">
        <v>828</v>
      </c>
      <c r="H111" s="871" t="s">
        <v>3587</v>
      </c>
      <c r="I111" s="871" t="s">
        <v>3588</v>
      </c>
      <c r="J111" s="871" t="s">
        <v>1322</v>
      </c>
      <c r="K111" s="342" t="s">
        <v>3589</v>
      </c>
      <c r="L111" s="409">
        <v>500</v>
      </c>
      <c r="M111" s="342" t="s">
        <v>99</v>
      </c>
      <c r="N111" s="306"/>
      <c r="O111" s="1914"/>
    </row>
    <row r="112" spans="1:15" s="455" customFormat="1">
      <c r="A112" s="471"/>
      <c r="B112" s="454" t="s">
        <v>3584</v>
      </c>
      <c r="C112" s="410"/>
      <c r="D112" s="314" t="s">
        <v>3864</v>
      </c>
      <c r="E112" s="852" t="s">
        <v>3742</v>
      </c>
      <c r="F112" s="302" t="s">
        <v>422</v>
      </c>
      <c r="G112" s="302" t="s">
        <v>828</v>
      </c>
      <c r="H112" s="871" t="s">
        <v>3587</v>
      </c>
      <c r="I112" s="871" t="s">
        <v>3588</v>
      </c>
      <c r="J112" s="871" t="s">
        <v>1322</v>
      </c>
      <c r="K112" s="342" t="s">
        <v>3589</v>
      </c>
      <c r="L112" s="409">
        <v>500</v>
      </c>
      <c r="M112" s="342" t="s">
        <v>99</v>
      </c>
      <c r="N112" s="306"/>
      <c r="O112" s="1914"/>
    </row>
    <row r="113" spans="1:15" s="455" customFormat="1">
      <c r="A113" s="471"/>
      <c r="B113" s="454" t="s">
        <v>3584</v>
      </c>
      <c r="C113" s="410"/>
      <c r="D113" s="314" t="s">
        <v>3865</v>
      </c>
      <c r="E113" s="852" t="s">
        <v>3742</v>
      </c>
      <c r="F113" s="302" t="s">
        <v>422</v>
      </c>
      <c r="G113" s="302" t="s">
        <v>828</v>
      </c>
      <c r="H113" s="871" t="s">
        <v>3587</v>
      </c>
      <c r="I113" s="871" t="s">
        <v>3588</v>
      </c>
      <c r="J113" s="871" t="s">
        <v>1322</v>
      </c>
      <c r="K113" s="342" t="s">
        <v>3589</v>
      </c>
      <c r="L113" s="409">
        <v>750</v>
      </c>
      <c r="M113" s="342" t="s">
        <v>99</v>
      </c>
      <c r="N113" s="306"/>
      <c r="O113" s="1914"/>
    </row>
    <row r="114" spans="1:15" s="455" customFormat="1">
      <c r="A114" s="471"/>
      <c r="B114" s="454" t="s">
        <v>3584</v>
      </c>
      <c r="C114" s="410"/>
      <c r="D114" s="314" t="s">
        <v>3866</v>
      </c>
      <c r="E114" s="852" t="s">
        <v>3867</v>
      </c>
      <c r="F114" s="302" t="s">
        <v>422</v>
      </c>
      <c r="G114" s="302" t="s">
        <v>828</v>
      </c>
      <c r="H114" s="871" t="s">
        <v>3587</v>
      </c>
      <c r="I114" s="871" t="s">
        <v>3588</v>
      </c>
      <c r="J114" s="871" t="s">
        <v>1322</v>
      </c>
      <c r="K114" s="342" t="s">
        <v>3589</v>
      </c>
      <c r="L114" s="409">
        <v>1360</v>
      </c>
      <c r="M114" s="342" t="s">
        <v>99</v>
      </c>
      <c r="N114" s="306"/>
      <c r="O114" s="1914"/>
    </row>
    <row r="115" spans="1:15" s="455" customFormat="1">
      <c r="A115" s="471"/>
      <c r="B115" s="454" t="s">
        <v>3584</v>
      </c>
      <c r="C115" s="410"/>
      <c r="D115" s="314" t="s">
        <v>3868</v>
      </c>
      <c r="E115" s="852" t="s">
        <v>3869</v>
      </c>
      <c r="F115" s="302" t="s">
        <v>422</v>
      </c>
      <c r="G115" s="302" t="s">
        <v>828</v>
      </c>
      <c r="H115" s="871" t="s">
        <v>3587</v>
      </c>
      <c r="I115" s="871" t="s">
        <v>3588</v>
      </c>
      <c r="J115" s="871" t="s">
        <v>1322</v>
      </c>
      <c r="K115" s="342" t="s">
        <v>3589</v>
      </c>
      <c r="L115" s="409">
        <v>800</v>
      </c>
      <c r="M115" s="342" t="s">
        <v>99</v>
      </c>
      <c r="N115" s="306"/>
      <c r="O115" s="1914"/>
    </row>
    <row r="116" spans="1:15" s="455" customFormat="1">
      <c r="A116" s="471"/>
      <c r="B116" s="454" t="s">
        <v>3584</v>
      </c>
      <c r="C116" s="410"/>
      <c r="D116" s="314" t="s">
        <v>3870</v>
      </c>
      <c r="E116" s="852" t="s">
        <v>3871</v>
      </c>
      <c r="F116" s="302" t="s">
        <v>422</v>
      </c>
      <c r="G116" s="302" t="s">
        <v>828</v>
      </c>
      <c r="H116" s="871" t="s">
        <v>3587</v>
      </c>
      <c r="I116" s="871" t="s">
        <v>3588</v>
      </c>
      <c r="J116" s="871" t="s">
        <v>1322</v>
      </c>
      <c r="K116" s="342" t="s">
        <v>3589</v>
      </c>
      <c r="L116" s="409">
        <v>400</v>
      </c>
      <c r="M116" s="342" t="s">
        <v>99</v>
      </c>
      <c r="N116" s="306"/>
      <c r="O116" s="1914"/>
    </row>
    <row r="117" spans="1:15" s="455" customFormat="1">
      <c r="A117" s="471"/>
      <c r="B117" s="454" t="s">
        <v>3584</v>
      </c>
      <c r="C117" s="410"/>
      <c r="D117" s="314" t="s">
        <v>3872</v>
      </c>
      <c r="E117" s="852" t="s">
        <v>3871</v>
      </c>
      <c r="F117" s="302" t="s">
        <v>422</v>
      </c>
      <c r="G117" s="302" t="s">
        <v>828</v>
      </c>
      <c r="H117" s="871" t="s">
        <v>3587</v>
      </c>
      <c r="I117" s="871" t="s">
        <v>3588</v>
      </c>
      <c r="J117" s="871" t="s">
        <v>1322</v>
      </c>
      <c r="K117" s="342" t="s">
        <v>3589</v>
      </c>
      <c r="L117" s="409">
        <v>600</v>
      </c>
      <c r="M117" s="342" t="s">
        <v>99</v>
      </c>
      <c r="N117" s="306"/>
      <c r="O117" s="1914"/>
    </row>
    <row r="118" spans="1:15" s="455" customFormat="1">
      <c r="A118" s="471"/>
      <c r="B118" s="454" t="s">
        <v>3584</v>
      </c>
      <c r="C118" s="410"/>
      <c r="D118" s="314" t="s">
        <v>3873</v>
      </c>
      <c r="E118" s="852" t="s">
        <v>3871</v>
      </c>
      <c r="F118" s="302" t="s">
        <v>422</v>
      </c>
      <c r="G118" s="302" t="s">
        <v>828</v>
      </c>
      <c r="H118" s="871" t="s">
        <v>3587</v>
      </c>
      <c r="I118" s="871" t="s">
        <v>3588</v>
      </c>
      <c r="J118" s="871" t="s">
        <v>1322</v>
      </c>
      <c r="K118" s="342" t="s">
        <v>3589</v>
      </c>
      <c r="L118" s="409">
        <v>600</v>
      </c>
      <c r="M118" s="342" t="s">
        <v>99</v>
      </c>
      <c r="N118" s="306"/>
      <c r="O118" s="1914"/>
    </row>
    <row r="119" spans="1:15" s="455" customFormat="1">
      <c r="A119" s="471"/>
      <c r="B119" s="454" t="s">
        <v>3584</v>
      </c>
      <c r="C119" s="410"/>
      <c r="D119" s="314" t="s">
        <v>3874</v>
      </c>
      <c r="E119" s="852" t="s">
        <v>3839</v>
      </c>
      <c r="F119" s="302" t="s">
        <v>422</v>
      </c>
      <c r="G119" s="302" t="s">
        <v>828</v>
      </c>
      <c r="H119" s="871" t="s">
        <v>3587</v>
      </c>
      <c r="I119" s="871" t="s">
        <v>3588</v>
      </c>
      <c r="J119" s="871" t="s">
        <v>1322</v>
      </c>
      <c r="K119" s="342" t="s">
        <v>3589</v>
      </c>
      <c r="L119" s="409">
        <v>990</v>
      </c>
      <c r="M119" s="342" t="s">
        <v>99</v>
      </c>
      <c r="N119" s="306"/>
      <c r="O119" s="1914"/>
    </row>
    <row r="120" spans="1:15" s="455" customFormat="1">
      <c r="A120" s="471"/>
      <c r="B120" s="454" t="s">
        <v>3584</v>
      </c>
      <c r="C120" s="410"/>
      <c r="D120" s="314" t="s">
        <v>3875</v>
      </c>
      <c r="E120" s="852" t="s">
        <v>3876</v>
      </c>
      <c r="F120" s="302" t="s">
        <v>422</v>
      </c>
      <c r="G120" s="302" t="s">
        <v>828</v>
      </c>
      <c r="H120" s="871" t="s">
        <v>3587</v>
      </c>
      <c r="I120" s="871" t="s">
        <v>3588</v>
      </c>
      <c r="J120" s="871" t="s">
        <v>1322</v>
      </c>
      <c r="K120" s="342" t="s">
        <v>3589</v>
      </c>
      <c r="L120" s="409">
        <v>12150</v>
      </c>
      <c r="M120" s="342" t="s">
        <v>99</v>
      </c>
      <c r="N120" s="306"/>
      <c r="O120" s="1914"/>
    </row>
    <row r="121" spans="1:15" s="455" customFormat="1">
      <c r="A121" s="471"/>
      <c r="B121" s="454"/>
      <c r="C121" s="410"/>
      <c r="D121" s="314"/>
      <c r="E121" s="852"/>
      <c r="F121" s="304"/>
      <c r="G121" s="304"/>
      <c r="H121" s="871"/>
      <c r="I121" s="871"/>
      <c r="J121" s="871"/>
      <c r="K121" s="342"/>
      <c r="L121" s="409"/>
      <c r="M121" s="342"/>
      <c r="N121" s="306"/>
      <c r="O121" s="1914"/>
    </row>
    <row r="122" spans="1:15" s="455" customFormat="1">
      <c r="A122" s="471"/>
      <c r="B122" s="454"/>
      <c r="C122" s="2799"/>
      <c r="D122" s="2958"/>
      <c r="E122" s="2172"/>
      <c r="F122" s="2959"/>
      <c r="G122" s="2959"/>
      <c r="H122" s="2960"/>
      <c r="I122" s="2960"/>
      <c r="J122" s="2960"/>
      <c r="K122" s="2815"/>
      <c r="L122" s="2961"/>
      <c r="M122" s="2815"/>
      <c r="N122" s="2962"/>
      <c r="O122" s="1914"/>
    </row>
    <row r="123" spans="1:15" s="455" customFormat="1" ht="27">
      <c r="A123" s="471"/>
      <c r="B123" s="551" t="s">
        <v>4006</v>
      </c>
      <c r="C123" s="2829" t="s">
        <v>4729</v>
      </c>
      <c r="D123" s="2916" t="s">
        <v>4730</v>
      </c>
      <c r="E123" s="2862" t="s">
        <v>4791</v>
      </c>
      <c r="F123" s="2829" t="s">
        <v>3</v>
      </c>
      <c r="G123" s="2829" t="s">
        <v>4012</v>
      </c>
      <c r="H123" s="2830">
        <v>46023</v>
      </c>
      <c r="I123" s="2830">
        <v>46174</v>
      </c>
      <c r="J123" s="2829" t="s">
        <v>2215</v>
      </c>
      <c r="K123" s="2829" t="s">
        <v>4404</v>
      </c>
      <c r="L123" s="2966">
        <v>349920</v>
      </c>
      <c r="M123" s="2837" t="s">
        <v>4731</v>
      </c>
      <c r="O123" s="2872"/>
    </row>
    <row r="124" spans="1:15" s="455" customFormat="1" ht="15">
      <c r="A124" s="471"/>
      <c r="B124" s="551" t="s">
        <v>4006</v>
      </c>
      <c r="C124" s="1912"/>
      <c r="D124" s="2916" t="s">
        <v>4732</v>
      </c>
      <c r="E124" s="2862" t="s">
        <v>4792</v>
      </c>
      <c r="F124" s="2829" t="s">
        <v>2757</v>
      </c>
      <c r="G124" s="1912"/>
      <c r="H124" s="1912"/>
      <c r="I124" s="1912"/>
      <c r="J124" s="2829" t="s">
        <v>4733</v>
      </c>
      <c r="K124" s="2829" t="s">
        <v>4405</v>
      </c>
      <c r="L124" s="2966">
        <v>12600</v>
      </c>
      <c r="M124" s="2837"/>
      <c r="O124" s="2872"/>
    </row>
    <row r="125" spans="1:15" s="455" customFormat="1" ht="15">
      <c r="A125" s="471"/>
      <c r="B125" s="551" t="s">
        <v>4006</v>
      </c>
      <c r="C125" s="1912"/>
      <c r="D125" s="2916" t="s">
        <v>4734</v>
      </c>
      <c r="E125" s="2862" t="s">
        <v>4793</v>
      </c>
      <c r="F125" s="2829" t="s">
        <v>2757</v>
      </c>
      <c r="G125" s="1912"/>
      <c r="H125" s="1912"/>
      <c r="I125" s="1912"/>
      <c r="J125" s="1912"/>
      <c r="K125" s="1912"/>
      <c r="L125" s="2966">
        <v>30000</v>
      </c>
      <c r="N125" s="1912"/>
      <c r="O125" s="2872"/>
    </row>
    <row r="126" spans="1:15" s="455" customFormat="1" ht="15">
      <c r="A126" s="471"/>
      <c r="B126" s="551" t="s">
        <v>4006</v>
      </c>
      <c r="C126" s="1912"/>
      <c r="D126" s="2916" t="s">
        <v>4735</v>
      </c>
      <c r="E126" s="2862" t="s">
        <v>4794</v>
      </c>
      <c r="F126" s="2829" t="s">
        <v>2757</v>
      </c>
      <c r="G126" s="1912"/>
      <c r="H126" s="1912"/>
      <c r="I126" s="1912"/>
      <c r="J126" s="1912"/>
      <c r="K126" s="1912"/>
      <c r="L126" s="2967">
        <v>600</v>
      </c>
      <c r="N126" s="1912"/>
      <c r="O126" s="2872"/>
    </row>
    <row r="127" spans="1:15" s="455" customFormat="1" ht="15">
      <c r="A127" s="471"/>
      <c r="B127" s="551" t="s">
        <v>4006</v>
      </c>
      <c r="C127" s="1912"/>
      <c r="D127" s="2916" t="s">
        <v>4736</v>
      </c>
      <c r="E127" s="2862" t="s">
        <v>1082</v>
      </c>
      <c r="F127" s="2829" t="s">
        <v>2757</v>
      </c>
      <c r="G127" s="1912"/>
      <c r="H127" s="1912"/>
      <c r="I127" s="1912"/>
      <c r="J127" s="1912"/>
      <c r="K127" s="1912"/>
      <c r="L127" s="2967">
        <v>820</v>
      </c>
      <c r="N127" s="1912"/>
      <c r="O127" s="2872"/>
    </row>
    <row r="128" spans="1:15" s="455" customFormat="1" ht="15">
      <c r="A128" s="471"/>
      <c r="B128" s="551" t="s">
        <v>4006</v>
      </c>
      <c r="C128" s="1912"/>
      <c r="D128" s="2916" t="s">
        <v>4737</v>
      </c>
      <c r="E128" s="2862" t="s">
        <v>1082</v>
      </c>
      <c r="F128" s="2829" t="s">
        <v>2757</v>
      </c>
      <c r="G128" s="1912"/>
      <c r="H128" s="1912"/>
      <c r="I128" s="1912"/>
      <c r="J128" s="1912"/>
      <c r="K128" s="1912"/>
      <c r="L128" s="2966">
        <v>1150</v>
      </c>
      <c r="N128" s="1912"/>
      <c r="O128" s="2872"/>
    </row>
    <row r="129" spans="1:15" s="455" customFormat="1" ht="15">
      <c r="A129" s="471"/>
      <c r="B129" s="551" t="s">
        <v>4006</v>
      </c>
      <c r="C129" s="1912"/>
      <c r="D129" s="2873" t="s">
        <v>4738</v>
      </c>
      <c r="E129" s="2862" t="s">
        <v>4795</v>
      </c>
      <c r="F129" s="2829" t="s">
        <v>2757</v>
      </c>
      <c r="G129" s="1912"/>
      <c r="H129" s="1912"/>
      <c r="I129" s="1912"/>
      <c r="J129" s="1912"/>
      <c r="K129" s="1912"/>
      <c r="L129" s="2966">
        <v>174150</v>
      </c>
      <c r="N129" s="1912"/>
      <c r="O129" s="2872"/>
    </row>
    <row r="130" spans="1:15" s="455" customFormat="1" ht="15">
      <c r="A130" s="471"/>
      <c r="B130" s="551" t="s">
        <v>4006</v>
      </c>
      <c r="C130" s="1912"/>
      <c r="D130" s="2873" t="s">
        <v>4739</v>
      </c>
      <c r="E130" s="2862" t="s">
        <v>4796</v>
      </c>
      <c r="F130" s="2829" t="s">
        <v>2757</v>
      </c>
      <c r="G130" s="1912"/>
      <c r="H130" s="1912"/>
      <c r="I130" s="1912"/>
      <c r="J130" s="1912"/>
      <c r="K130" s="1912"/>
      <c r="L130" s="2966">
        <v>22500</v>
      </c>
      <c r="N130" s="1912"/>
      <c r="O130" s="2872"/>
    </row>
    <row r="131" spans="1:15" s="455" customFormat="1" ht="15">
      <c r="A131" s="471"/>
      <c r="B131" s="551" t="s">
        <v>4006</v>
      </c>
      <c r="C131" s="1912"/>
      <c r="D131" s="2873" t="s">
        <v>4740</v>
      </c>
      <c r="E131" s="2862" t="s">
        <v>4791</v>
      </c>
      <c r="F131" s="2829" t="s">
        <v>2757</v>
      </c>
      <c r="G131" s="1912"/>
      <c r="H131" s="1912"/>
      <c r="I131" s="1912"/>
      <c r="J131" s="1912"/>
      <c r="K131" s="1912"/>
      <c r="L131" s="2966">
        <v>220320</v>
      </c>
      <c r="N131" s="1912"/>
      <c r="O131" s="2872"/>
    </row>
    <row r="132" spans="1:15" s="455" customFormat="1" ht="15">
      <c r="A132" s="471"/>
      <c r="B132" s="551" t="s">
        <v>4006</v>
      </c>
      <c r="C132" s="1912"/>
      <c r="D132" s="2873" t="s">
        <v>4741</v>
      </c>
      <c r="E132" s="2862" t="s">
        <v>4797</v>
      </c>
      <c r="F132" s="2829" t="s">
        <v>2757</v>
      </c>
      <c r="G132" s="1912"/>
      <c r="H132" s="1912"/>
      <c r="I132" s="1912"/>
      <c r="J132" s="1912"/>
      <c r="K132" s="1912"/>
      <c r="L132" s="2966">
        <v>7470</v>
      </c>
      <c r="N132" s="1912"/>
      <c r="O132" s="2872"/>
    </row>
    <row r="133" spans="1:15" s="455" customFormat="1" ht="15">
      <c r="A133" s="471"/>
      <c r="B133" s="551" t="s">
        <v>4006</v>
      </c>
      <c r="C133" s="1912"/>
      <c r="D133" s="2915" t="s">
        <v>4742</v>
      </c>
      <c r="E133" s="2862" t="s">
        <v>4798</v>
      </c>
      <c r="F133" s="2829" t="s">
        <v>2757</v>
      </c>
      <c r="G133" s="1912"/>
      <c r="H133" s="1912"/>
      <c r="I133" s="1912"/>
      <c r="J133" s="1912"/>
      <c r="K133" s="1912"/>
      <c r="L133" s="2966">
        <v>202837.5</v>
      </c>
      <c r="N133" s="1912"/>
      <c r="O133" s="2872"/>
    </row>
    <row r="134" spans="1:15" s="455" customFormat="1" ht="15">
      <c r="A134" s="471"/>
      <c r="B134" s="551" t="s">
        <v>4006</v>
      </c>
      <c r="C134" s="1912"/>
      <c r="D134" s="2873" t="s">
        <v>4743</v>
      </c>
      <c r="E134" s="2862" t="s">
        <v>4799</v>
      </c>
      <c r="F134" s="2829" t="s">
        <v>2757</v>
      </c>
      <c r="G134" s="1912"/>
      <c r="H134" s="1912"/>
      <c r="I134" s="1912"/>
      <c r="J134" s="1912"/>
      <c r="K134" s="1912"/>
      <c r="L134" s="2966">
        <v>189000</v>
      </c>
      <c r="N134" s="1912"/>
      <c r="O134" s="2872"/>
    </row>
    <row r="135" spans="1:15" s="455" customFormat="1" ht="15">
      <c r="A135" s="471"/>
      <c r="B135" s="551" t="s">
        <v>4006</v>
      </c>
      <c r="C135" s="1912"/>
      <c r="D135" s="2873" t="s">
        <v>4744</v>
      </c>
      <c r="E135" s="2862" t="s">
        <v>4800</v>
      </c>
      <c r="F135" s="2829" t="s">
        <v>2757</v>
      </c>
      <c r="G135" s="1912"/>
      <c r="H135" s="1912"/>
      <c r="I135" s="1912"/>
      <c r="J135" s="1912"/>
      <c r="K135" s="1912"/>
      <c r="L135" s="2966">
        <v>540000</v>
      </c>
      <c r="N135" s="1912"/>
      <c r="O135" s="2872"/>
    </row>
    <row r="136" spans="1:15" s="455" customFormat="1" ht="15">
      <c r="A136" s="471"/>
      <c r="B136" s="551" t="s">
        <v>4006</v>
      </c>
      <c r="C136" s="1912"/>
      <c r="D136" s="2916" t="s">
        <v>4745</v>
      </c>
      <c r="E136" s="2862" t="s">
        <v>4801</v>
      </c>
      <c r="F136" s="2829" t="s">
        <v>2757</v>
      </c>
      <c r="G136" s="1912"/>
      <c r="H136" s="1912"/>
      <c r="I136" s="1912"/>
      <c r="J136" s="1912"/>
      <c r="K136" s="1912"/>
      <c r="L136" s="2966">
        <v>5880</v>
      </c>
      <c r="N136" s="1912"/>
      <c r="O136" s="2872"/>
    </row>
    <row r="137" spans="1:15" s="455" customFormat="1" ht="15">
      <c r="A137" s="471"/>
      <c r="B137" s="551" t="s">
        <v>4006</v>
      </c>
      <c r="C137" s="1912"/>
      <c r="D137" s="2916" t="s">
        <v>4746</v>
      </c>
      <c r="E137" s="2862" t="s">
        <v>4802</v>
      </c>
      <c r="F137" s="2829" t="s">
        <v>2757</v>
      </c>
      <c r="G137" s="1912"/>
      <c r="H137" s="1912"/>
      <c r="I137" s="1912"/>
      <c r="J137" s="1912"/>
      <c r="K137" s="1912"/>
      <c r="L137" s="2966">
        <v>28000</v>
      </c>
      <c r="N137" s="1912"/>
      <c r="O137" s="2872"/>
    </row>
    <row r="138" spans="1:15" s="455" customFormat="1" ht="15">
      <c r="A138" s="471"/>
      <c r="B138" s="551" t="s">
        <v>4006</v>
      </c>
      <c r="C138" s="1912"/>
      <c r="D138" s="2916" t="s">
        <v>4747</v>
      </c>
      <c r="E138" s="2862" t="s">
        <v>4802</v>
      </c>
      <c r="F138" s="2829" t="s">
        <v>2757</v>
      </c>
      <c r="G138" s="1912"/>
      <c r="H138" s="1912"/>
      <c r="I138" s="1912"/>
      <c r="J138" s="1912"/>
      <c r="K138" s="1912"/>
      <c r="L138" s="2966">
        <v>28000</v>
      </c>
      <c r="N138" s="1912"/>
      <c r="O138" s="2872"/>
    </row>
    <row r="139" spans="1:15" s="455" customFormat="1" ht="15">
      <c r="A139" s="471"/>
      <c r="B139" s="551" t="s">
        <v>4006</v>
      </c>
      <c r="C139" s="1912"/>
      <c r="D139" s="2916" t="s">
        <v>4748</v>
      </c>
      <c r="E139" s="2862" t="s">
        <v>4803</v>
      </c>
      <c r="F139" s="2829" t="s">
        <v>2757</v>
      </c>
      <c r="G139" s="1912"/>
      <c r="H139" s="1912"/>
      <c r="I139" s="1912"/>
      <c r="J139" s="1912"/>
      <c r="K139" s="1912"/>
      <c r="L139" s="2966">
        <v>56000</v>
      </c>
      <c r="N139" s="1912"/>
      <c r="O139" s="2872"/>
    </row>
    <row r="140" spans="1:15" s="455" customFormat="1" ht="15">
      <c r="A140" s="471"/>
      <c r="B140" s="551" t="s">
        <v>4006</v>
      </c>
      <c r="C140" s="1912"/>
      <c r="D140" s="2916" t="s">
        <v>4749</v>
      </c>
      <c r="E140" s="2862" t="s">
        <v>4804</v>
      </c>
      <c r="F140" s="2829" t="s">
        <v>2757</v>
      </c>
      <c r="G140" s="1912"/>
      <c r="H140" s="1912"/>
      <c r="I140" s="1912"/>
      <c r="J140" s="1912"/>
      <c r="K140" s="1912"/>
      <c r="L140" s="2966">
        <v>24750</v>
      </c>
      <c r="N140" s="1912"/>
      <c r="O140" s="2872"/>
    </row>
    <row r="141" spans="1:15" s="455" customFormat="1" ht="15">
      <c r="A141" s="471"/>
      <c r="B141" s="551" t="s">
        <v>4006</v>
      </c>
      <c r="C141" s="1912"/>
      <c r="D141" s="2916" t="s">
        <v>4750</v>
      </c>
      <c r="E141" s="2862" t="s">
        <v>4804</v>
      </c>
      <c r="F141" s="2829" t="s">
        <v>2757</v>
      </c>
      <c r="G141" s="1912"/>
      <c r="H141" s="1912"/>
      <c r="I141" s="1912"/>
      <c r="J141" s="1912"/>
      <c r="K141" s="1912"/>
      <c r="L141" s="2966">
        <v>24750</v>
      </c>
      <c r="N141" s="1912"/>
      <c r="O141" s="2872"/>
    </row>
    <row r="142" spans="1:15" s="455" customFormat="1" ht="15">
      <c r="A142" s="471"/>
      <c r="B142" s="551" t="s">
        <v>4006</v>
      </c>
      <c r="C142" s="1912"/>
      <c r="D142" s="2916" t="s">
        <v>4751</v>
      </c>
      <c r="E142" s="2862" t="s">
        <v>4804</v>
      </c>
      <c r="F142" s="2829" t="s">
        <v>2757</v>
      </c>
      <c r="G142" s="1912"/>
      <c r="H142" s="1912"/>
      <c r="I142" s="1912"/>
      <c r="J142" s="1912"/>
      <c r="K142" s="1912"/>
      <c r="L142" s="2966">
        <v>24750</v>
      </c>
      <c r="N142" s="1912"/>
      <c r="O142" s="2872"/>
    </row>
    <row r="143" spans="1:15" s="455" customFormat="1" ht="15">
      <c r="A143" s="471"/>
      <c r="B143" s="551" t="s">
        <v>4006</v>
      </c>
      <c r="C143" s="1912"/>
      <c r="D143" s="2916" t="s">
        <v>4752</v>
      </c>
      <c r="E143" s="2862" t="s">
        <v>4805</v>
      </c>
      <c r="F143" s="2829" t="s">
        <v>2757</v>
      </c>
      <c r="G143" s="1912"/>
      <c r="H143" s="1912"/>
      <c r="I143" s="1912"/>
      <c r="J143" s="1912"/>
      <c r="K143" s="1912"/>
      <c r="L143" s="2966">
        <v>77500</v>
      </c>
      <c r="N143" s="1912"/>
      <c r="O143" s="2872"/>
    </row>
    <row r="144" spans="1:15" s="455" customFormat="1" ht="15">
      <c r="A144" s="471"/>
      <c r="B144" s="551" t="s">
        <v>4006</v>
      </c>
      <c r="C144" s="1912"/>
      <c r="D144" s="2916" t="s">
        <v>4753</v>
      </c>
      <c r="E144" s="2862" t="s">
        <v>4805</v>
      </c>
      <c r="F144" s="2829" t="s">
        <v>2757</v>
      </c>
      <c r="G144" s="1912"/>
      <c r="H144" s="1912"/>
      <c r="I144" s="1912"/>
      <c r="J144" s="1912"/>
      <c r="K144" s="1912"/>
      <c r="L144" s="2966">
        <v>77500</v>
      </c>
      <c r="N144" s="1912"/>
      <c r="O144" s="2872"/>
    </row>
    <row r="145" spans="1:15" s="455" customFormat="1" ht="15">
      <c r="A145" s="471"/>
      <c r="B145" s="551" t="s">
        <v>4006</v>
      </c>
      <c r="C145" s="1912"/>
      <c r="D145" s="2916" t="s">
        <v>4754</v>
      </c>
      <c r="E145" s="2862" t="s">
        <v>4805</v>
      </c>
      <c r="F145" s="2829" t="s">
        <v>2757</v>
      </c>
      <c r="G145" s="1912"/>
      <c r="H145" s="1912"/>
      <c r="I145" s="1912"/>
      <c r="J145" s="1912"/>
      <c r="K145" s="1912"/>
      <c r="L145" s="2966">
        <v>77500</v>
      </c>
      <c r="N145" s="1912"/>
      <c r="O145" s="2872"/>
    </row>
    <row r="146" spans="1:15" s="455" customFormat="1" ht="15">
      <c r="A146" s="471"/>
      <c r="B146" s="551" t="s">
        <v>4006</v>
      </c>
      <c r="C146" s="1912"/>
      <c r="D146" s="2873" t="s">
        <v>4755</v>
      </c>
      <c r="E146" s="2968" t="s">
        <v>4806</v>
      </c>
      <c r="F146" s="2829" t="s">
        <v>2757</v>
      </c>
      <c r="G146" s="1912"/>
      <c r="H146" s="1912"/>
      <c r="I146" s="1912"/>
      <c r="J146" s="1912"/>
      <c r="K146" s="1912"/>
      <c r="L146" s="2966">
        <v>17500</v>
      </c>
      <c r="N146" s="1912"/>
      <c r="O146" s="2872"/>
    </row>
    <row r="147" spans="1:15" s="455" customFormat="1" ht="15">
      <c r="A147" s="471"/>
      <c r="B147" s="551" t="s">
        <v>4006</v>
      </c>
      <c r="C147" s="1912"/>
      <c r="D147" s="2969" t="s">
        <v>4756</v>
      </c>
      <c r="E147" s="2968" t="s">
        <v>4807</v>
      </c>
      <c r="F147" s="2829" t="s">
        <v>2757</v>
      </c>
      <c r="G147" s="1912"/>
      <c r="H147" s="1912"/>
      <c r="I147" s="1912"/>
      <c r="J147" s="1912"/>
      <c r="K147" s="1912"/>
      <c r="L147" s="2966">
        <v>100000</v>
      </c>
      <c r="N147" s="1912"/>
      <c r="O147" s="2872"/>
    </row>
    <row r="148" spans="1:15" s="455" customFormat="1" ht="15">
      <c r="A148" s="471"/>
      <c r="B148" s="551" t="s">
        <v>4006</v>
      </c>
      <c r="C148" s="1912"/>
      <c r="D148" s="2969" t="s">
        <v>4757</v>
      </c>
      <c r="E148" s="2968" t="s">
        <v>4808</v>
      </c>
      <c r="F148" s="2829" t="s">
        <v>2757</v>
      </c>
      <c r="G148" s="1912"/>
      <c r="H148" s="1912"/>
      <c r="I148" s="1912"/>
      <c r="J148" s="1912"/>
      <c r="K148" s="1912"/>
      <c r="L148" s="2966">
        <v>3000</v>
      </c>
      <c r="N148" s="1912"/>
      <c r="O148" s="2872"/>
    </row>
    <row r="149" spans="1:15" s="455" customFormat="1" ht="15">
      <c r="A149" s="471"/>
      <c r="B149" s="551" t="s">
        <v>4006</v>
      </c>
      <c r="C149" s="1912"/>
      <c r="D149" s="2873" t="s">
        <v>4758</v>
      </c>
      <c r="E149" s="2968" t="s">
        <v>4809</v>
      </c>
      <c r="F149" s="2829" t="s">
        <v>2757</v>
      </c>
      <c r="G149" s="1912"/>
      <c r="H149" s="1912"/>
      <c r="I149" s="1912"/>
      <c r="J149" s="1912"/>
      <c r="K149" s="1912"/>
      <c r="L149" s="2966">
        <v>41000</v>
      </c>
      <c r="N149" s="1912"/>
      <c r="O149" s="2872"/>
    </row>
    <row r="150" spans="1:15" s="455" customFormat="1" ht="15">
      <c r="A150" s="471"/>
      <c r="B150" s="551" t="s">
        <v>4006</v>
      </c>
      <c r="C150" s="1912"/>
      <c r="D150" s="2873" t="s">
        <v>4759</v>
      </c>
      <c r="E150" s="2968" t="s">
        <v>4810</v>
      </c>
      <c r="F150" s="2829" t="s">
        <v>2757</v>
      </c>
      <c r="G150" s="1912"/>
      <c r="H150" s="1912"/>
      <c r="I150" s="1912"/>
      <c r="J150" s="1912"/>
      <c r="K150" s="1912"/>
      <c r="L150" s="2966">
        <v>2400</v>
      </c>
      <c r="N150" s="1912"/>
      <c r="O150" s="2872"/>
    </row>
    <row r="151" spans="1:15" s="455" customFormat="1" ht="15">
      <c r="A151" s="471"/>
      <c r="B151" s="551" t="s">
        <v>4006</v>
      </c>
      <c r="C151" s="1912"/>
      <c r="D151" s="2873" t="s">
        <v>4760</v>
      </c>
      <c r="E151" s="2968" t="s">
        <v>4811</v>
      </c>
      <c r="F151" s="2829" t="s">
        <v>2757</v>
      </c>
      <c r="G151" s="1912"/>
      <c r="H151" s="1912"/>
      <c r="I151" s="1912"/>
      <c r="J151" s="1912"/>
      <c r="K151" s="1912"/>
      <c r="L151" s="2966">
        <v>3600</v>
      </c>
      <c r="N151" s="1912"/>
      <c r="O151" s="2872"/>
    </row>
    <row r="152" spans="1:15" s="455" customFormat="1" ht="15">
      <c r="A152" s="471"/>
      <c r="B152" s="551" t="s">
        <v>4006</v>
      </c>
      <c r="C152" s="1912"/>
      <c r="D152" s="2873" t="s">
        <v>4761</v>
      </c>
      <c r="E152" s="2968" t="s">
        <v>4808</v>
      </c>
      <c r="F152" s="2829" t="s">
        <v>2757</v>
      </c>
      <c r="G152" s="1912"/>
      <c r="H152" s="1912"/>
      <c r="I152" s="1912"/>
      <c r="J152" s="1912"/>
      <c r="K152" s="1912"/>
      <c r="L152" s="2966">
        <v>10500</v>
      </c>
      <c r="N152" s="1912"/>
      <c r="O152" s="2872"/>
    </row>
    <row r="153" spans="1:15" s="455" customFormat="1" ht="15">
      <c r="A153" s="471"/>
      <c r="B153" s="551" t="s">
        <v>4006</v>
      </c>
      <c r="C153" s="1912"/>
      <c r="D153" s="2873" t="s">
        <v>4762</v>
      </c>
      <c r="E153" s="2968" t="s">
        <v>4808</v>
      </c>
      <c r="F153" s="2829" t="s">
        <v>2757</v>
      </c>
      <c r="G153" s="1912"/>
      <c r="H153" s="1912"/>
      <c r="I153" s="1912"/>
      <c r="J153" s="1912"/>
      <c r="K153" s="1912"/>
      <c r="L153" s="2966">
        <v>10500</v>
      </c>
      <c r="N153" s="1912"/>
      <c r="O153" s="2872"/>
    </row>
    <row r="154" spans="1:15" s="455" customFormat="1" ht="15">
      <c r="A154" s="471"/>
      <c r="B154" s="551" t="s">
        <v>4006</v>
      </c>
      <c r="C154" s="1912"/>
      <c r="D154" s="2873" t="s">
        <v>4763</v>
      </c>
      <c r="E154" s="2968" t="s">
        <v>4808</v>
      </c>
      <c r="F154" s="2829" t="s">
        <v>2757</v>
      </c>
      <c r="G154" s="1912"/>
      <c r="H154" s="1912"/>
      <c r="I154" s="1912"/>
      <c r="J154" s="1912"/>
      <c r="K154" s="1912"/>
      <c r="L154" s="2966">
        <v>10500</v>
      </c>
      <c r="N154" s="1912"/>
      <c r="O154" s="2872"/>
    </row>
    <row r="155" spans="1:15" s="455" customFormat="1" ht="15">
      <c r="A155" s="471"/>
      <c r="B155" s="551" t="s">
        <v>4006</v>
      </c>
      <c r="C155" s="1912"/>
      <c r="D155" s="2873" t="s">
        <v>4764</v>
      </c>
      <c r="E155" s="2968" t="s">
        <v>4811</v>
      </c>
      <c r="F155" s="2829" t="s">
        <v>2757</v>
      </c>
      <c r="G155" s="1912"/>
      <c r="H155" s="1912"/>
      <c r="I155" s="1912"/>
      <c r="J155" s="1912"/>
      <c r="K155" s="1912"/>
      <c r="L155" s="2966">
        <v>37500</v>
      </c>
      <c r="N155" s="1912"/>
      <c r="O155" s="2872"/>
    </row>
    <row r="156" spans="1:15" s="455" customFormat="1" ht="15">
      <c r="A156" s="471"/>
      <c r="B156" s="551" t="s">
        <v>4006</v>
      </c>
      <c r="C156" s="1912"/>
      <c r="D156" s="2873" t="s">
        <v>4765</v>
      </c>
      <c r="E156" s="2968" t="s">
        <v>4723</v>
      </c>
      <c r="F156" s="2829" t="s">
        <v>2757</v>
      </c>
      <c r="G156" s="1912"/>
      <c r="H156" s="1912"/>
      <c r="I156" s="1912"/>
      <c r="J156" s="1912"/>
      <c r="K156" s="1912"/>
      <c r="L156" s="2966">
        <v>14000</v>
      </c>
      <c r="N156" s="1912"/>
      <c r="O156" s="2872"/>
    </row>
    <row r="157" spans="1:15" s="455" customFormat="1" ht="15">
      <c r="A157" s="471"/>
      <c r="B157" s="551" t="s">
        <v>4006</v>
      </c>
      <c r="C157" s="1912"/>
      <c r="D157" s="2873" t="s">
        <v>4766</v>
      </c>
      <c r="E157" s="2968" t="s">
        <v>4812</v>
      </c>
      <c r="F157" s="2829" t="s">
        <v>2757</v>
      </c>
      <c r="G157" s="1912"/>
      <c r="H157" s="1912"/>
      <c r="I157" s="1912"/>
      <c r="J157" s="1912"/>
      <c r="K157" s="1912"/>
      <c r="L157" s="2966">
        <v>40000</v>
      </c>
      <c r="N157" s="1912"/>
      <c r="O157" s="2872"/>
    </row>
    <row r="158" spans="1:15" s="455" customFormat="1" ht="15">
      <c r="A158" s="471"/>
      <c r="B158" s="551" t="s">
        <v>4006</v>
      </c>
      <c r="C158" s="1912"/>
      <c r="D158" s="2873" t="s">
        <v>4767</v>
      </c>
      <c r="E158" s="2968" t="s">
        <v>4813</v>
      </c>
      <c r="F158" s="2829" t="s">
        <v>2757</v>
      </c>
      <c r="G158" s="1912"/>
      <c r="H158" s="1912"/>
      <c r="I158" s="1912"/>
      <c r="J158" s="1912"/>
      <c r="K158" s="1912"/>
      <c r="L158" s="2966">
        <v>8000</v>
      </c>
      <c r="N158" s="1912"/>
      <c r="O158" s="2872"/>
    </row>
    <row r="159" spans="1:15" s="455" customFormat="1" ht="15">
      <c r="A159" s="471"/>
      <c r="B159" s="551" t="s">
        <v>4006</v>
      </c>
      <c r="C159" s="1912"/>
      <c r="D159" s="2873" t="s">
        <v>4768</v>
      </c>
      <c r="E159" s="2968" t="s">
        <v>4813</v>
      </c>
      <c r="F159" s="2829" t="s">
        <v>2757</v>
      </c>
      <c r="G159" s="1912"/>
      <c r="H159" s="1912"/>
      <c r="I159" s="1912"/>
      <c r="J159" s="1912"/>
      <c r="K159" s="1912"/>
      <c r="L159" s="2966">
        <v>2500</v>
      </c>
      <c r="N159" s="1912"/>
      <c r="O159" s="2872"/>
    </row>
    <row r="160" spans="1:15" s="455" customFormat="1" ht="15">
      <c r="A160" s="471"/>
      <c r="B160" s="551" t="s">
        <v>4006</v>
      </c>
      <c r="C160" s="1912"/>
      <c r="D160" s="2873" t="s">
        <v>4769</v>
      </c>
      <c r="E160" s="2968" t="s">
        <v>4813</v>
      </c>
      <c r="F160" s="2829" t="s">
        <v>2757</v>
      </c>
      <c r="G160" s="1912"/>
      <c r="H160" s="1912"/>
      <c r="I160" s="1912"/>
      <c r="J160" s="1912"/>
      <c r="K160" s="1912"/>
      <c r="L160" s="2966">
        <v>13200</v>
      </c>
      <c r="N160" s="1912"/>
      <c r="O160" s="2872"/>
    </row>
    <row r="161" spans="1:15" s="455" customFormat="1" ht="15">
      <c r="A161" s="471"/>
      <c r="B161" s="551" t="s">
        <v>4006</v>
      </c>
      <c r="C161" s="1912"/>
      <c r="D161" s="2873" t="s">
        <v>4770</v>
      </c>
      <c r="E161" s="2968" t="s">
        <v>4813</v>
      </c>
      <c r="F161" s="2829" t="s">
        <v>2757</v>
      </c>
      <c r="G161" s="1912"/>
      <c r="H161" s="1912"/>
      <c r="I161" s="1912"/>
      <c r="J161" s="1912"/>
      <c r="K161" s="1912"/>
      <c r="L161" s="2966">
        <v>13690</v>
      </c>
      <c r="N161" s="1912"/>
      <c r="O161" s="2872"/>
    </row>
    <row r="162" spans="1:15" s="455" customFormat="1" ht="15">
      <c r="A162" s="471"/>
      <c r="B162" s="551" t="s">
        <v>4006</v>
      </c>
      <c r="C162" s="1912"/>
      <c r="D162" s="2873" t="s">
        <v>4771</v>
      </c>
      <c r="E162" s="2968" t="s">
        <v>4813</v>
      </c>
      <c r="F162" s="2829" t="s">
        <v>2757</v>
      </c>
      <c r="G162" s="1912"/>
      <c r="H162" s="1912"/>
      <c r="I162" s="1912"/>
      <c r="J162" s="1912"/>
      <c r="K162" s="1912"/>
      <c r="L162" s="2966">
        <v>18000</v>
      </c>
      <c r="N162" s="1912"/>
      <c r="O162" s="2872"/>
    </row>
    <row r="163" spans="1:15" s="455" customFormat="1" ht="15">
      <c r="A163" s="471"/>
      <c r="B163" s="551" t="s">
        <v>4006</v>
      </c>
      <c r="C163" s="1912"/>
      <c r="D163" s="2873" t="s">
        <v>4772</v>
      </c>
      <c r="E163" s="2968" t="s">
        <v>4814</v>
      </c>
      <c r="F163" s="2829" t="s">
        <v>2757</v>
      </c>
      <c r="G163" s="1912"/>
      <c r="H163" s="1912"/>
      <c r="I163" s="1912"/>
      <c r="J163" s="1912"/>
      <c r="K163" s="1912"/>
      <c r="L163" s="2966">
        <v>6000</v>
      </c>
      <c r="N163" s="1912"/>
      <c r="O163" s="2872"/>
    </row>
    <row r="164" spans="1:15" s="455" customFormat="1" ht="15">
      <c r="A164" s="471"/>
      <c r="B164" s="551" t="s">
        <v>4006</v>
      </c>
      <c r="C164" s="1912"/>
      <c r="D164" s="2873" t="s">
        <v>4773</v>
      </c>
      <c r="E164" s="2968" t="s">
        <v>4815</v>
      </c>
      <c r="F164" s="2829" t="s">
        <v>2757</v>
      </c>
      <c r="G164" s="1912"/>
      <c r="H164" s="1912"/>
      <c r="I164" s="1912"/>
      <c r="J164" s="1912"/>
      <c r="K164" s="1912"/>
      <c r="L164" s="2966">
        <v>90000</v>
      </c>
      <c r="N164" s="1912"/>
      <c r="O164" s="2872"/>
    </row>
    <row r="165" spans="1:15" s="455" customFormat="1" ht="15">
      <c r="A165" s="471"/>
      <c r="B165" s="551" t="s">
        <v>4006</v>
      </c>
      <c r="C165" s="1912"/>
      <c r="D165" s="2873" t="s">
        <v>4774</v>
      </c>
      <c r="E165" s="2968" t="s">
        <v>4722</v>
      </c>
      <c r="F165" s="2829"/>
      <c r="G165" s="1912"/>
      <c r="H165" s="1912"/>
      <c r="I165" s="1912"/>
      <c r="J165" s="1912"/>
      <c r="K165" s="1912"/>
      <c r="L165" s="2966">
        <v>14000</v>
      </c>
      <c r="N165" s="1912"/>
      <c r="O165" s="2872"/>
    </row>
    <row r="166" spans="1:15" s="455" customFormat="1" ht="15">
      <c r="A166" s="471"/>
      <c r="B166" s="551" t="s">
        <v>4006</v>
      </c>
      <c r="C166" s="1912"/>
      <c r="D166" s="2873" t="s">
        <v>4775</v>
      </c>
      <c r="E166" s="2968" t="s">
        <v>4794</v>
      </c>
      <c r="F166" s="2829" t="s">
        <v>2757</v>
      </c>
      <c r="G166" s="1912"/>
      <c r="H166" s="1912"/>
      <c r="I166" s="1912"/>
      <c r="J166" s="1912"/>
      <c r="K166" s="1912"/>
      <c r="L166" s="2966">
        <v>8000</v>
      </c>
      <c r="N166" s="1912"/>
      <c r="O166" s="2872"/>
    </row>
    <row r="167" spans="1:15" s="455" customFormat="1" ht="15">
      <c r="A167" s="471"/>
      <c r="B167" s="551" t="s">
        <v>4006</v>
      </c>
      <c r="C167" s="1912"/>
      <c r="D167" s="2873" t="s">
        <v>4776</v>
      </c>
      <c r="E167" s="2968" t="s">
        <v>4813</v>
      </c>
      <c r="F167" s="2829" t="s">
        <v>2757</v>
      </c>
      <c r="G167" s="1912"/>
      <c r="H167" s="1912"/>
      <c r="I167" s="1912"/>
      <c r="J167" s="1912"/>
      <c r="K167" s="1912"/>
      <c r="L167" s="2966">
        <v>8051</v>
      </c>
      <c r="N167" s="1912"/>
      <c r="O167" s="2872"/>
    </row>
    <row r="168" spans="1:15" s="455" customFormat="1" ht="15">
      <c r="A168" s="471"/>
      <c r="B168" s="551" t="s">
        <v>4006</v>
      </c>
      <c r="C168" s="1912"/>
      <c r="D168" s="2916" t="s">
        <v>4777</v>
      </c>
      <c r="E168" s="2968" t="s">
        <v>4816</v>
      </c>
      <c r="F168" s="2829" t="s">
        <v>2757</v>
      </c>
      <c r="G168" s="1912"/>
      <c r="H168" s="1912"/>
      <c r="I168" s="1912"/>
      <c r="J168" s="1912"/>
      <c r="K168" s="1912"/>
      <c r="L168" s="2966">
        <v>84572.800000000003</v>
      </c>
      <c r="N168" s="1912"/>
      <c r="O168" s="2872"/>
    </row>
    <row r="169" spans="1:15" s="455" customFormat="1" ht="15">
      <c r="A169" s="471"/>
      <c r="B169" s="551" t="s">
        <v>4006</v>
      </c>
      <c r="C169" s="1912"/>
      <c r="D169" s="2970" t="s">
        <v>4778</v>
      </c>
      <c r="E169" s="2862"/>
      <c r="F169" s="2829" t="s">
        <v>2757</v>
      </c>
      <c r="G169" s="1912"/>
      <c r="H169" s="1912"/>
      <c r="I169" s="1912"/>
      <c r="J169" s="1912"/>
      <c r="K169" s="1912"/>
      <c r="L169" s="2967" t="s">
        <v>4790</v>
      </c>
      <c r="N169" s="1912"/>
      <c r="O169" s="2872"/>
    </row>
    <row r="170" spans="1:15" s="455" customFormat="1" ht="15">
      <c r="A170" s="471"/>
      <c r="B170" s="551" t="s">
        <v>4006</v>
      </c>
      <c r="C170" s="1912"/>
      <c r="D170" s="2972" t="s">
        <v>4779</v>
      </c>
      <c r="E170" s="2971" t="s">
        <v>4813</v>
      </c>
      <c r="F170" s="2829" t="s">
        <v>422</v>
      </c>
      <c r="G170" s="1912"/>
      <c r="H170" s="1912"/>
      <c r="I170" s="1912"/>
      <c r="J170" s="1912"/>
      <c r="K170" s="1912"/>
      <c r="L170" s="2966">
        <v>4250</v>
      </c>
      <c r="N170" s="1912"/>
      <c r="O170" s="2872"/>
    </row>
    <row r="171" spans="1:15" s="455" customFormat="1" ht="15">
      <c r="A171" s="471"/>
      <c r="B171" s="551" t="s">
        <v>4006</v>
      </c>
      <c r="C171" s="1912"/>
      <c r="D171" s="2917" t="s">
        <v>4780</v>
      </c>
      <c r="E171" s="2968" t="s">
        <v>4723</v>
      </c>
      <c r="F171" s="2829" t="s">
        <v>2757</v>
      </c>
      <c r="G171" s="1912"/>
      <c r="H171" s="1912"/>
      <c r="I171" s="1912"/>
      <c r="J171" s="1912"/>
      <c r="K171" s="1912"/>
      <c r="L171" s="2966">
        <v>23000</v>
      </c>
      <c r="N171" s="1912"/>
      <c r="O171" s="2872"/>
    </row>
    <row r="172" spans="1:15" s="455" customFormat="1" ht="15">
      <c r="A172" s="471"/>
      <c r="B172" s="551" t="s">
        <v>4006</v>
      </c>
      <c r="C172" s="1912"/>
      <c r="D172" s="2973" t="s">
        <v>4781</v>
      </c>
      <c r="E172" s="2968" t="s">
        <v>1248</v>
      </c>
      <c r="F172" s="2829" t="s">
        <v>2757</v>
      </c>
      <c r="G172" s="1912"/>
      <c r="H172" s="1912"/>
      <c r="I172" s="1912"/>
      <c r="J172" s="1912"/>
      <c r="K172" s="1912"/>
      <c r="L172" s="2966">
        <v>6000</v>
      </c>
      <c r="N172" s="1912"/>
      <c r="O172" s="2872"/>
    </row>
    <row r="173" spans="1:15" s="455" customFormat="1" ht="15">
      <c r="A173" s="471"/>
      <c r="B173" s="551" t="s">
        <v>4006</v>
      </c>
      <c r="C173" s="1912"/>
      <c r="D173" s="2973" t="s">
        <v>4782</v>
      </c>
      <c r="E173" s="2968" t="s">
        <v>1248</v>
      </c>
      <c r="F173" s="2829" t="s">
        <v>2757</v>
      </c>
      <c r="G173" s="1912"/>
      <c r="H173" s="1912"/>
      <c r="I173" s="1912"/>
      <c r="J173" s="1912"/>
      <c r="K173" s="1912"/>
      <c r="L173" s="2966">
        <v>9000</v>
      </c>
      <c r="N173" s="1912"/>
      <c r="O173" s="2872"/>
    </row>
    <row r="174" spans="1:15" s="455" customFormat="1" ht="15">
      <c r="A174" s="471"/>
      <c r="B174" s="551" t="s">
        <v>4006</v>
      </c>
      <c r="C174" s="1912"/>
      <c r="D174" s="2973" t="s">
        <v>4783</v>
      </c>
      <c r="E174" s="2968" t="s">
        <v>4723</v>
      </c>
      <c r="F174" s="2829" t="s">
        <v>2757</v>
      </c>
      <c r="G174" s="1912"/>
      <c r="H174" s="1912"/>
      <c r="I174" s="1912"/>
      <c r="J174" s="1912"/>
      <c r="K174" s="1912"/>
      <c r="L174" s="2966">
        <v>5000</v>
      </c>
      <c r="N174" s="1912"/>
      <c r="O174" s="2872"/>
    </row>
    <row r="175" spans="1:15" s="455" customFormat="1" ht="15">
      <c r="A175" s="471"/>
      <c r="B175" s="551" t="s">
        <v>4006</v>
      </c>
      <c r="C175" s="1912"/>
      <c r="D175" s="2973" t="s">
        <v>4784</v>
      </c>
      <c r="E175" s="2968" t="s">
        <v>4793</v>
      </c>
      <c r="F175" s="2829" t="s">
        <v>2757</v>
      </c>
      <c r="G175" s="1912"/>
      <c r="H175" s="1912"/>
      <c r="I175" s="1912"/>
      <c r="J175" s="1912"/>
      <c r="K175" s="1912"/>
      <c r="L175" s="2966">
        <v>3000</v>
      </c>
      <c r="N175" s="1912"/>
      <c r="O175" s="2872"/>
    </row>
    <row r="176" spans="1:15" s="455" customFormat="1" ht="15">
      <c r="A176" s="471"/>
      <c r="B176" s="551" t="s">
        <v>4006</v>
      </c>
      <c r="C176" s="1912"/>
      <c r="D176" s="2973" t="s">
        <v>4785</v>
      </c>
      <c r="E176" s="2968" t="s">
        <v>4794</v>
      </c>
      <c r="F176" s="2829" t="s">
        <v>2757</v>
      </c>
      <c r="G176" s="1912"/>
      <c r="H176" s="1912"/>
      <c r="I176" s="1912"/>
      <c r="J176" s="1912"/>
      <c r="K176" s="1912"/>
      <c r="L176" s="2966">
        <v>5000</v>
      </c>
      <c r="N176" s="1912"/>
      <c r="O176" s="2872"/>
    </row>
    <row r="177" spans="1:15" s="455" customFormat="1" ht="15">
      <c r="A177" s="471"/>
      <c r="B177" s="551" t="s">
        <v>4006</v>
      </c>
      <c r="C177" s="1912"/>
      <c r="D177" s="2973" t="s">
        <v>4786</v>
      </c>
      <c r="E177" s="2968" t="s">
        <v>4815</v>
      </c>
      <c r="F177" s="2829" t="s">
        <v>2757</v>
      </c>
      <c r="G177" s="1912"/>
      <c r="H177" s="1912"/>
      <c r="I177" s="1912"/>
      <c r="J177" s="1912"/>
      <c r="K177" s="1912"/>
      <c r="L177" s="2966">
        <v>5000</v>
      </c>
      <c r="N177" s="1912"/>
      <c r="O177" s="2872"/>
    </row>
    <row r="178" spans="1:15" s="455" customFormat="1" ht="15">
      <c r="A178" s="471"/>
      <c r="B178" s="551" t="s">
        <v>4006</v>
      </c>
      <c r="C178" s="1912"/>
      <c r="D178" s="2916" t="s">
        <v>4787</v>
      </c>
      <c r="E178" s="2968" t="s">
        <v>4815</v>
      </c>
      <c r="F178" s="2829"/>
      <c r="G178" s="1912"/>
      <c r="H178" s="1912"/>
      <c r="I178" s="1912"/>
      <c r="J178" s="1912"/>
      <c r="K178" s="1912"/>
      <c r="L178" s="2966">
        <v>10000</v>
      </c>
      <c r="N178" s="1912"/>
      <c r="O178" s="2872"/>
    </row>
    <row r="179" spans="1:15" s="455" customFormat="1" ht="38.25">
      <c r="A179" s="471"/>
      <c r="B179" s="551" t="s">
        <v>4006</v>
      </c>
      <c r="C179" s="1912"/>
      <c r="D179" s="2916" t="s">
        <v>4788</v>
      </c>
      <c r="E179" s="2968" t="s">
        <v>4813</v>
      </c>
      <c r="F179" s="2829"/>
      <c r="G179" s="1912"/>
      <c r="H179" s="1912"/>
      <c r="I179" s="1912"/>
      <c r="J179" s="1912"/>
      <c r="K179" s="1912"/>
      <c r="L179" s="2966">
        <v>3000</v>
      </c>
      <c r="N179" s="1912"/>
      <c r="O179" s="2872"/>
    </row>
    <row r="180" spans="1:15" s="455" customFormat="1" ht="25.5">
      <c r="A180" s="471"/>
      <c r="B180" s="551" t="s">
        <v>4006</v>
      </c>
      <c r="C180" s="1912"/>
      <c r="D180" s="2916" t="s">
        <v>4789</v>
      </c>
      <c r="E180" s="2968" t="s">
        <v>4813</v>
      </c>
      <c r="F180" s="2829" t="s">
        <v>2757</v>
      </c>
      <c r="G180" s="1912"/>
      <c r="H180" s="1912"/>
      <c r="I180" s="1912"/>
      <c r="J180" s="1912"/>
      <c r="K180" s="1912"/>
      <c r="L180" s="2966">
        <v>3950</v>
      </c>
      <c r="N180" s="1912"/>
      <c r="O180" s="2872"/>
    </row>
    <row r="181" spans="1:15" s="455" customFormat="1">
      <c r="A181" s="471"/>
      <c r="B181" s="454"/>
      <c r="C181" s="2328"/>
      <c r="D181" s="2855"/>
      <c r="E181" s="2963"/>
      <c r="F181" s="2964"/>
      <c r="G181" s="2964"/>
      <c r="H181" s="2249"/>
      <c r="I181" s="965"/>
      <c r="J181" s="965"/>
      <c r="K181" s="965"/>
      <c r="L181" s="964"/>
      <c r="M181" s="2965"/>
      <c r="N181" s="2249"/>
      <c r="O181" s="1914"/>
    </row>
    <row r="182" spans="1:15" s="455" customFormat="1">
      <c r="A182" s="471"/>
      <c r="B182" s="454"/>
      <c r="C182" s="410"/>
      <c r="D182" s="314"/>
      <c r="E182" s="852"/>
      <c r="F182" s="304"/>
      <c r="G182" s="304"/>
      <c r="H182" s="306"/>
      <c r="I182" s="307"/>
      <c r="J182" s="307"/>
      <c r="K182" s="307"/>
      <c r="L182" s="308"/>
      <c r="M182" s="1617"/>
      <c r="N182" s="306"/>
      <c r="O182" s="1914"/>
    </row>
    <row r="183" spans="1:15" s="455" customFormat="1">
      <c r="A183" s="471"/>
      <c r="B183" s="454"/>
      <c r="C183" s="410"/>
      <c r="D183" s="314"/>
      <c r="E183" s="852"/>
      <c r="F183" s="304"/>
      <c r="G183" s="304"/>
      <c r="H183" s="306"/>
      <c r="I183" s="307"/>
      <c r="J183" s="307"/>
      <c r="K183" s="307"/>
      <c r="L183" s="308"/>
      <c r="M183" s="1617"/>
      <c r="N183" s="306"/>
      <c r="O183" s="1914"/>
    </row>
    <row r="184" spans="1:15" s="455" customFormat="1">
      <c r="A184" s="471"/>
      <c r="B184" s="454"/>
      <c r="C184" s="410"/>
      <c r="D184" s="314"/>
      <c r="E184" s="852"/>
      <c r="F184" s="304"/>
      <c r="G184" s="304"/>
      <c r="H184" s="306"/>
      <c r="I184" s="307"/>
      <c r="J184" s="307"/>
      <c r="K184" s="307"/>
      <c r="L184" s="308"/>
      <c r="M184" s="1617"/>
      <c r="N184" s="306"/>
      <c r="O184" s="1914"/>
    </row>
    <row r="185" spans="1:15" s="455" customFormat="1">
      <c r="A185" s="471"/>
      <c r="B185" s="454"/>
      <c r="C185" s="410"/>
      <c r="D185" s="314"/>
      <c r="E185" s="852"/>
      <c r="F185" s="304"/>
      <c r="G185" s="304"/>
      <c r="H185" s="306"/>
      <c r="I185" s="307"/>
      <c r="J185" s="307"/>
      <c r="K185" s="307"/>
      <c r="L185" s="308"/>
      <c r="M185" s="1617"/>
      <c r="N185" s="306"/>
      <c r="O185" s="1914"/>
    </row>
    <row r="186" spans="1:15" s="455" customFormat="1">
      <c r="A186" s="471"/>
      <c r="B186" s="454"/>
      <c r="C186" s="410"/>
      <c r="D186" s="314"/>
      <c r="E186" s="852"/>
      <c r="F186" s="304"/>
      <c r="G186" s="304"/>
      <c r="H186" s="306"/>
      <c r="I186" s="307"/>
      <c r="J186" s="307"/>
      <c r="K186" s="307"/>
      <c r="L186" s="308"/>
      <c r="M186" s="1617"/>
      <c r="N186" s="306"/>
      <c r="O186" s="1914"/>
    </row>
    <row r="187" spans="1:15" s="455" customFormat="1">
      <c r="A187" s="471"/>
      <c r="B187" s="454"/>
      <c r="C187" s="410"/>
      <c r="D187" s="314"/>
      <c r="E187" s="852"/>
      <c r="F187" s="304"/>
      <c r="G187" s="304"/>
      <c r="H187" s="306"/>
      <c r="I187" s="307"/>
      <c r="J187" s="307"/>
      <c r="K187" s="307"/>
      <c r="L187" s="308"/>
      <c r="M187" s="1617"/>
      <c r="N187" s="306"/>
      <c r="O187" s="1914"/>
    </row>
    <row r="188" spans="1:15" s="455" customFormat="1">
      <c r="A188" s="471"/>
      <c r="B188" s="454"/>
      <c r="C188" s="410"/>
      <c r="D188" s="314"/>
      <c r="E188" s="852"/>
      <c r="F188" s="304"/>
      <c r="G188" s="304"/>
      <c r="H188" s="306"/>
      <c r="I188" s="307"/>
      <c r="J188" s="307"/>
      <c r="K188" s="307"/>
      <c r="L188" s="308"/>
      <c r="M188" s="1617"/>
      <c r="N188" s="306"/>
      <c r="O188" s="1914"/>
    </row>
    <row r="189" spans="1:15">
      <c r="C189" s="400"/>
      <c r="D189" s="400"/>
      <c r="E189" s="401"/>
      <c r="F189" s="402"/>
      <c r="G189" s="402"/>
      <c r="H189" s="403"/>
      <c r="I189" s="403"/>
      <c r="J189" s="403"/>
      <c r="K189" s="402"/>
      <c r="L189" s="404"/>
      <c r="M189" s="402"/>
      <c r="N189" s="405"/>
    </row>
    <row r="190" spans="1:15">
      <c r="C190" s="400"/>
      <c r="D190" s="400"/>
      <c r="E190" s="401"/>
      <c r="F190" s="402"/>
      <c r="G190" s="402"/>
      <c r="H190" s="403"/>
      <c r="I190" s="403"/>
      <c r="J190" s="403"/>
      <c r="K190" s="402"/>
      <c r="L190" s="404"/>
      <c r="M190" s="402"/>
      <c r="N190" s="405"/>
    </row>
    <row r="191" spans="1:15">
      <c r="C191" s="400"/>
      <c r="D191" s="400"/>
      <c r="E191" s="401"/>
      <c r="F191" s="402"/>
      <c r="G191" s="402"/>
      <c r="H191" s="403"/>
      <c r="I191" s="403"/>
      <c r="J191" s="403"/>
      <c r="K191" s="402"/>
      <c r="L191" s="404"/>
      <c r="M191" s="402"/>
      <c r="N191" s="405"/>
    </row>
    <row r="192" spans="1:15">
      <c r="C192" s="400"/>
      <c r="D192" s="400"/>
      <c r="E192" s="401"/>
      <c r="F192" s="402"/>
      <c r="G192" s="402"/>
      <c r="H192" s="403"/>
      <c r="I192" s="403"/>
      <c r="J192" s="403"/>
      <c r="K192" s="402"/>
      <c r="L192" s="404"/>
      <c r="M192" s="402"/>
      <c r="N192" s="405"/>
    </row>
    <row r="193" spans="3:14">
      <c r="C193" s="400"/>
      <c r="D193" s="400"/>
      <c r="E193" s="401"/>
      <c r="F193" s="402"/>
      <c r="G193" s="402"/>
      <c r="H193" s="403"/>
      <c r="I193" s="403"/>
      <c r="J193" s="403"/>
      <c r="K193" s="402"/>
      <c r="L193" s="404"/>
      <c r="M193" s="402"/>
      <c r="N193" s="405"/>
    </row>
    <row r="194" spans="3:14">
      <c r="C194" s="400"/>
      <c r="D194" s="400"/>
      <c r="E194" s="401"/>
      <c r="F194" s="402"/>
      <c r="G194" s="402"/>
      <c r="H194" s="403"/>
      <c r="I194" s="403"/>
      <c r="J194" s="403"/>
      <c r="K194" s="402"/>
      <c r="L194" s="404"/>
      <c r="M194" s="402"/>
      <c r="N194" s="405"/>
    </row>
    <row r="195" spans="3:14">
      <c r="C195" s="400"/>
      <c r="D195" s="400"/>
      <c r="E195" s="401"/>
      <c r="F195" s="402"/>
      <c r="G195" s="402"/>
      <c r="H195" s="403"/>
      <c r="I195" s="403"/>
      <c r="J195" s="403"/>
      <c r="K195" s="402"/>
      <c r="L195" s="404"/>
      <c r="M195" s="402"/>
      <c r="N195" s="405"/>
    </row>
    <row r="196" spans="3:14">
      <c r="C196" s="400"/>
      <c r="D196" s="400"/>
      <c r="E196" s="401"/>
      <c r="F196" s="402"/>
      <c r="G196" s="402"/>
      <c r="H196" s="403"/>
      <c r="I196" s="403"/>
      <c r="J196" s="403"/>
      <c r="K196" s="402"/>
      <c r="L196" s="404"/>
      <c r="M196" s="407"/>
      <c r="N196" s="405"/>
    </row>
    <row r="197" spans="3:14">
      <c r="C197" s="400"/>
      <c r="D197" s="400"/>
      <c r="E197" s="401"/>
      <c r="F197" s="402"/>
      <c r="G197" s="403"/>
      <c r="H197" s="403"/>
      <c r="I197" s="403"/>
      <c r="J197" s="403"/>
      <c r="K197" s="408"/>
      <c r="L197" s="404"/>
      <c r="M197" s="407"/>
      <c r="N197" s="405"/>
    </row>
    <row r="198" spans="3:14" ht="17.25">
      <c r="C198" s="352"/>
      <c r="D198" s="352"/>
      <c r="E198" s="352"/>
      <c r="F198" s="352"/>
      <c r="G198" s="352"/>
      <c r="H198" s="352"/>
      <c r="I198" s="352"/>
      <c r="J198" s="352"/>
      <c r="K198" s="352"/>
      <c r="L198" s="2974">
        <f>SUM(L5:L196)</f>
        <v>3489593.8</v>
      </c>
      <c r="M198" s="352"/>
      <c r="N198" s="352"/>
    </row>
    <row r="199" spans="3:14" ht="14.25" customHeight="1">
      <c r="C199" s="367"/>
      <c r="D199" s="368"/>
      <c r="E199" s="369"/>
      <c r="F199" s="370"/>
      <c r="G199" s="370"/>
      <c r="H199" s="371"/>
      <c r="I199" s="371"/>
      <c r="J199" s="371"/>
      <c r="K199" s="370"/>
      <c r="L199" s="372"/>
      <c r="M199" s="370"/>
      <c r="N199" s="368"/>
    </row>
    <row r="200" spans="3:14" s="302" customFormat="1" ht="14.25" customHeight="1">
      <c r="C200" s="367"/>
      <c r="D200" s="368"/>
      <c r="E200" s="373"/>
      <c r="F200" s="370"/>
      <c r="G200" s="370"/>
      <c r="H200" s="371"/>
      <c r="I200" s="371"/>
      <c r="J200" s="371"/>
      <c r="K200" s="370"/>
      <c r="L200" s="372"/>
      <c r="M200" s="370"/>
      <c r="N200" s="368"/>
    </row>
    <row r="201" spans="3:14" s="302" customFormat="1" ht="14.25" customHeight="1">
      <c r="C201" s="374"/>
      <c r="D201" s="375"/>
      <c r="E201" s="373"/>
      <c r="F201" s="376"/>
      <c r="G201" s="376"/>
      <c r="H201" s="377"/>
      <c r="I201" s="377"/>
      <c r="J201" s="377"/>
      <c r="K201" s="376"/>
      <c r="L201" s="378"/>
      <c r="M201" s="376"/>
      <c r="N201" s="375"/>
    </row>
  </sheetData>
  <mergeCells count="8">
    <mergeCell ref="M2:M3"/>
    <mergeCell ref="N2:N3"/>
    <mergeCell ref="C2:G2"/>
    <mergeCell ref="H2:J2"/>
    <mergeCell ref="K2:L2"/>
    <mergeCell ref="C15:C19"/>
    <mergeCell ref="C41:C45"/>
    <mergeCell ref="M123:M124"/>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E9FE-2C90-4F44-AB82-F6D8D331BD99}">
  <sheetPr>
    <tabColor rgb="FF00B0F0"/>
  </sheetPr>
  <dimension ref="A1:O53"/>
  <sheetViews>
    <sheetView zoomScale="70" zoomScaleNormal="70" workbookViewId="0">
      <pane ySplit="4" topLeftCell="A6" activePane="bottomLeft" state="frozen"/>
      <selection pane="bottomLeft" activeCell="F28" sqref="F28"/>
    </sheetView>
  </sheetViews>
  <sheetFormatPr defaultRowHeight="15"/>
  <cols>
    <col min="3" max="3" width="21.42578125" customWidth="1"/>
    <col min="4" max="4" width="49.7109375" bestFit="1"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style="99" customWidth="1"/>
    <col min="13" max="13" width="16.28515625" customWidth="1"/>
    <col min="14" max="14" width="12.85546875" customWidth="1"/>
    <col min="17" max="17" width="73.7109375" bestFit="1" customWidth="1"/>
  </cols>
  <sheetData>
    <row r="1" spans="1:15" s="355" customFormat="1" ht="13.5">
      <c r="L1" s="32"/>
    </row>
    <row r="2" spans="1:15" s="355" customFormat="1" ht="13.5">
      <c r="C2" s="2601" t="s">
        <v>30</v>
      </c>
      <c r="D2" s="2602"/>
      <c r="E2" s="2602"/>
      <c r="F2" s="2602"/>
      <c r="G2" s="2603"/>
      <c r="H2" s="2604" t="s">
        <v>29</v>
      </c>
      <c r="I2" s="2605"/>
      <c r="J2" s="2606"/>
      <c r="K2" s="2601" t="s">
        <v>28</v>
      </c>
      <c r="L2" s="2603"/>
      <c r="M2" s="2594" t="s">
        <v>27</v>
      </c>
      <c r="N2" s="2594" t="s">
        <v>26</v>
      </c>
    </row>
    <row r="3" spans="1:15" s="355" customFormat="1" ht="94.5">
      <c r="C3" s="618" t="s">
        <v>25</v>
      </c>
      <c r="D3" s="852" t="s">
        <v>24</v>
      </c>
      <c r="E3" s="991" t="s">
        <v>23</v>
      </c>
      <c r="F3" s="618" t="s">
        <v>22</v>
      </c>
      <c r="G3" s="532" t="s">
        <v>1303</v>
      </c>
      <c r="H3" s="532" t="s">
        <v>20</v>
      </c>
      <c r="I3" s="532" t="s">
        <v>19</v>
      </c>
      <c r="J3" s="532" t="s">
        <v>18</v>
      </c>
      <c r="K3" s="618" t="s">
        <v>17</v>
      </c>
      <c r="L3" s="605" t="s">
        <v>16</v>
      </c>
      <c r="M3" s="2594"/>
      <c r="N3" s="2594"/>
    </row>
    <row r="4" spans="1:15" s="355" customFormat="1" ht="27">
      <c r="C4" s="1076" t="s">
        <v>15</v>
      </c>
      <c r="D4" s="1076" t="s">
        <v>14</v>
      </c>
      <c r="E4" s="1076" t="s">
        <v>13</v>
      </c>
      <c r="F4" s="1076" t="s">
        <v>12</v>
      </c>
      <c r="G4" s="1076" t="s">
        <v>11</v>
      </c>
      <c r="H4" s="1076" t="s">
        <v>10</v>
      </c>
      <c r="I4" s="1076" t="s">
        <v>9</v>
      </c>
      <c r="J4" s="1076" t="s">
        <v>8</v>
      </c>
      <c r="K4" s="1076" t="s">
        <v>7</v>
      </c>
      <c r="L4" s="1077" t="s">
        <v>6</v>
      </c>
      <c r="M4" s="1076" t="s">
        <v>5</v>
      </c>
      <c r="N4" s="1076" t="s">
        <v>4</v>
      </c>
    </row>
    <row r="5" spans="1:15" s="455" customFormat="1" ht="27">
      <c r="A5" s="471"/>
      <c r="B5" s="454" t="s">
        <v>2574</v>
      </c>
      <c r="C5" s="1909"/>
      <c r="D5" s="1915" t="s">
        <v>2</v>
      </c>
      <c r="E5" s="1900"/>
      <c r="F5" s="1835" t="s">
        <v>422</v>
      </c>
      <c r="G5" s="1878" t="s">
        <v>1</v>
      </c>
      <c r="H5" s="1878">
        <v>46054</v>
      </c>
      <c r="I5" s="1879">
        <v>46082</v>
      </c>
      <c r="J5" s="1879">
        <v>46082</v>
      </c>
      <c r="K5" s="1712" t="s">
        <v>2216</v>
      </c>
      <c r="L5" s="1916"/>
      <c r="M5" s="1715" t="s">
        <v>2446</v>
      </c>
      <c r="N5" s="1716"/>
    </row>
    <row r="6" spans="1:15" s="455" customFormat="1">
      <c r="A6" s="471"/>
      <c r="B6" s="454" t="s">
        <v>2574</v>
      </c>
      <c r="C6" s="2756" t="s">
        <v>2900</v>
      </c>
      <c r="D6" s="1956" t="s">
        <v>2901</v>
      </c>
      <c r="E6" s="1885"/>
      <c r="F6" s="1725"/>
      <c r="G6" s="1801"/>
      <c r="H6" s="1801"/>
      <c r="I6" s="1801"/>
      <c r="J6" s="1802"/>
      <c r="K6" s="1796"/>
      <c r="L6" s="1943">
        <v>22500</v>
      </c>
      <c r="M6" s="1721"/>
      <c r="N6" s="1720"/>
    </row>
    <row r="7" spans="1:15" s="455" customFormat="1">
      <c r="A7" s="471"/>
      <c r="B7" s="454" t="s">
        <v>2574</v>
      </c>
      <c r="C7" s="2757"/>
      <c r="D7" s="1796"/>
      <c r="E7" s="1885"/>
      <c r="F7" s="1724"/>
      <c r="G7" s="1725"/>
      <c r="H7" s="1801"/>
      <c r="I7" s="1801"/>
      <c r="J7" s="1801"/>
      <c r="K7" s="1802"/>
      <c r="L7" s="1801"/>
      <c r="M7" s="1943"/>
      <c r="N7" s="1721"/>
      <c r="O7" s="1720"/>
    </row>
    <row r="8" spans="1:15" s="455" customFormat="1">
      <c r="A8" s="471"/>
      <c r="B8" s="454" t="s">
        <v>2574</v>
      </c>
      <c r="C8" s="2757"/>
      <c r="D8" s="1726"/>
      <c r="E8" s="1885"/>
      <c r="F8" s="1724"/>
      <c r="G8" s="1725"/>
      <c r="H8" s="1801"/>
      <c r="I8" s="1801"/>
      <c r="J8" s="1801"/>
      <c r="K8" s="1802"/>
      <c r="L8" s="1801"/>
      <c r="M8" s="1943"/>
      <c r="N8" s="1721"/>
      <c r="O8" s="1720"/>
    </row>
    <row r="9" spans="1:15" s="455" customFormat="1">
      <c r="A9" s="471"/>
      <c r="B9" s="454" t="s">
        <v>2574</v>
      </c>
      <c r="C9" s="2757"/>
      <c r="D9" s="1726"/>
      <c r="E9" s="1885"/>
      <c r="F9" s="1724"/>
      <c r="G9" s="1725"/>
      <c r="H9" s="1801"/>
      <c r="I9" s="1801"/>
      <c r="J9" s="1801"/>
      <c r="K9" s="1802"/>
      <c r="L9" s="1801"/>
      <c r="M9" s="1943"/>
      <c r="N9" s="1721"/>
      <c r="O9" s="1720"/>
    </row>
    <row r="10" spans="1:15" s="455" customFormat="1">
      <c r="A10" s="471"/>
      <c r="B10" s="454" t="s">
        <v>2574</v>
      </c>
      <c r="C10" s="2757"/>
      <c r="D10" s="1726"/>
      <c r="E10" s="1881"/>
      <c r="F10" s="1724"/>
      <c r="G10" s="1725"/>
      <c r="H10" s="1801"/>
      <c r="I10" s="1801"/>
      <c r="J10" s="1801"/>
      <c r="K10" s="1802"/>
      <c r="L10" s="1801"/>
      <c r="M10" s="1943"/>
      <c r="N10" s="1721"/>
      <c r="O10" s="1720"/>
    </row>
    <row r="11" spans="1:15" s="455" customFormat="1">
      <c r="A11" s="471"/>
      <c r="B11" s="454" t="s">
        <v>2574</v>
      </c>
      <c r="C11" s="2758"/>
      <c r="D11" s="1726"/>
      <c r="E11" s="1885"/>
      <c r="F11" s="1724"/>
      <c r="G11" s="1725"/>
      <c r="H11" s="1801"/>
      <c r="I11" s="1801"/>
      <c r="J11" s="1801"/>
      <c r="K11" s="1802"/>
      <c r="L11" s="1801"/>
      <c r="M11" s="1943"/>
      <c r="N11" s="1721"/>
      <c r="O11" s="1720"/>
    </row>
    <row r="12" spans="1:15" s="455" customFormat="1">
      <c r="A12" s="471"/>
      <c r="B12" s="454"/>
      <c r="C12" s="1909"/>
      <c r="D12" s="1824"/>
      <c r="E12" s="1885"/>
      <c r="F12" s="1725"/>
      <c r="G12" s="1801"/>
      <c r="H12" s="1801"/>
      <c r="I12" s="1801"/>
      <c r="J12" s="1802"/>
      <c r="K12" s="1801"/>
      <c r="L12" s="1950"/>
      <c r="M12" s="1721"/>
      <c r="N12" s="1720"/>
    </row>
    <row r="13" spans="1:15" s="455" customFormat="1" ht="38.25">
      <c r="A13" s="471"/>
      <c r="B13" s="454" t="s">
        <v>2929</v>
      </c>
      <c r="C13" s="1999" t="s">
        <v>2962</v>
      </c>
      <c r="D13" s="2000" t="s">
        <v>637</v>
      </c>
      <c r="E13" s="2015"/>
      <c r="F13" s="2001" t="s">
        <v>609</v>
      </c>
      <c r="G13" s="2001" t="s">
        <v>1</v>
      </c>
      <c r="H13" s="2002"/>
      <c r="I13" s="2002"/>
      <c r="J13" s="2002"/>
      <c r="K13" s="2003" t="s">
        <v>748</v>
      </c>
      <c r="L13" s="1673"/>
      <c r="M13" s="2002" t="s">
        <v>2924</v>
      </c>
      <c r="N13" s="2003" t="s">
        <v>703</v>
      </c>
      <c r="O13" s="1720"/>
    </row>
    <row r="14" spans="1:15" s="455" customFormat="1">
      <c r="A14" s="471"/>
      <c r="B14" s="454" t="s">
        <v>2929</v>
      </c>
      <c r="C14" s="2004"/>
      <c r="D14" s="2005" t="s">
        <v>2963</v>
      </c>
      <c r="E14" s="2037" t="s">
        <v>2567</v>
      </c>
      <c r="F14" s="2006"/>
      <c r="G14" s="2006"/>
      <c r="H14" s="2008" t="s">
        <v>2213</v>
      </c>
      <c r="I14" s="2009">
        <v>46174</v>
      </c>
      <c r="J14" s="2010" t="s">
        <v>2215</v>
      </c>
      <c r="K14" s="2011"/>
      <c r="L14" s="2012">
        <v>11000</v>
      </c>
      <c r="M14" s="2013"/>
      <c r="N14" s="2011"/>
      <c r="O14" s="1720"/>
    </row>
    <row r="15" spans="1:15" s="455" customFormat="1">
      <c r="A15" s="471"/>
      <c r="B15" s="454" t="s">
        <v>2929</v>
      </c>
      <c r="C15" s="2004"/>
      <c r="D15" s="2005" t="s">
        <v>2964</v>
      </c>
      <c r="E15" s="2037" t="s">
        <v>2567</v>
      </c>
      <c r="F15" s="2006"/>
      <c r="G15" s="2006"/>
      <c r="H15" s="2008"/>
      <c r="I15" s="2008"/>
      <c r="J15" s="1588" t="s">
        <v>2927</v>
      </c>
      <c r="K15" s="2011"/>
      <c r="L15" s="2012">
        <v>11000</v>
      </c>
      <c r="M15" s="2013"/>
      <c r="N15" s="2011"/>
      <c r="O15" s="1720"/>
    </row>
    <row r="16" spans="1:15" s="455" customFormat="1">
      <c r="A16" s="471"/>
      <c r="B16" s="454"/>
      <c r="C16" s="1951"/>
      <c r="D16" s="1726"/>
      <c r="E16" s="1881"/>
      <c r="F16" s="1724"/>
      <c r="G16" s="1725"/>
      <c r="H16" s="1801"/>
      <c r="I16" s="1801"/>
      <c r="J16" s="1801"/>
      <c r="K16" s="1802"/>
      <c r="L16" s="1801"/>
      <c r="M16" s="1943"/>
      <c r="N16" s="1721"/>
      <c r="O16" s="1720"/>
    </row>
    <row r="17" spans="1:15" s="455" customFormat="1">
      <c r="A17" s="471"/>
      <c r="B17" s="454"/>
      <c r="C17" s="1913"/>
      <c r="D17" s="1923"/>
      <c r="E17" s="1885"/>
      <c r="F17" s="1724"/>
      <c r="G17" s="1725"/>
      <c r="H17" s="1801"/>
      <c r="I17" s="1801"/>
      <c r="J17" s="1801"/>
      <c r="K17" s="1802"/>
      <c r="L17" s="1801"/>
      <c r="M17" s="1943"/>
      <c r="N17" s="1721"/>
      <c r="O17" s="1720"/>
    </row>
    <row r="18" spans="1:15" s="455" customFormat="1" ht="13.5">
      <c r="C18" s="1384"/>
      <c r="D18" s="314"/>
      <c r="E18" s="662"/>
      <c r="F18" s="662"/>
      <c r="G18" s="309"/>
      <c r="H18" s="497"/>
      <c r="I18" s="653"/>
      <c r="J18" s="985"/>
      <c r="K18" s="1469"/>
      <c r="L18" s="499"/>
      <c r="M18" s="1025"/>
      <c r="N18" s="499"/>
    </row>
    <row r="19" spans="1:15" s="455" customFormat="1" ht="13.5">
      <c r="C19" s="1384"/>
      <c r="D19" s="314"/>
      <c r="E19" s="662"/>
      <c r="F19" s="662"/>
      <c r="G19" s="309"/>
      <c r="H19" s="497"/>
      <c r="I19" s="653"/>
      <c r="J19" s="985"/>
      <c r="K19" s="1469"/>
      <c r="L19" s="499"/>
      <c r="M19" s="1025"/>
      <c r="N19" s="499"/>
    </row>
    <row r="20" spans="1:15" s="455" customFormat="1" ht="13.5">
      <c r="A20" s="566"/>
      <c r="B20" s="467"/>
      <c r="C20" s="499"/>
      <c r="D20" s="309"/>
      <c r="E20" s="391"/>
      <c r="F20" s="499"/>
      <c r="G20" s="497"/>
      <c r="H20" s="498"/>
      <c r="I20" s="498"/>
      <c r="J20" s="498"/>
      <c r="K20" s="499"/>
      <c r="L20" s="1470"/>
      <c r="M20" s="309"/>
      <c r="N20" s="499"/>
    </row>
    <row r="21" spans="1:15" s="455" customFormat="1" ht="13.5">
      <c r="A21" s="566"/>
      <c r="B21" s="467"/>
      <c r="C21" s="497"/>
      <c r="D21" s="691"/>
      <c r="E21" s="675"/>
      <c r="F21" s="675"/>
      <c r="G21" s="654"/>
      <c r="H21" s="502"/>
      <c r="I21" s="652"/>
      <c r="J21" s="497"/>
      <c r="K21" s="653"/>
      <c r="L21" s="502"/>
      <c r="M21" s="538"/>
      <c r="N21" s="392"/>
      <c r="O21" s="502"/>
    </row>
    <row r="22" spans="1:15" s="455" customFormat="1" ht="13.5">
      <c r="A22" s="566"/>
      <c r="B22" s="467"/>
      <c r="C22" s="497"/>
      <c r="D22" s="691"/>
      <c r="E22" s="675"/>
      <c r="F22" s="675"/>
      <c r="G22" s="654"/>
      <c r="H22" s="502"/>
      <c r="I22" s="652"/>
      <c r="J22" s="497"/>
      <c r="K22" s="653"/>
      <c r="L22" s="502"/>
      <c r="M22" s="538"/>
      <c r="N22" s="392"/>
      <c r="O22" s="502"/>
    </row>
    <row r="23" spans="1:15" s="455" customFormat="1" ht="13.5">
      <c r="A23" s="566"/>
      <c r="B23" s="467"/>
      <c r="C23" s="497"/>
      <c r="D23" s="691"/>
      <c r="E23" s="675"/>
      <c r="F23" s="675"/>
      <c r="G23" s="654"/>
      <c r="H23" s="502"/>
      <c r="I23" s="652"/>
      <c r="J23" s="497"/>
      <c r="K23" s="653"/>
      <c r="L23" s="502"/>
      <c r="M23" s="538"/>
      <c r="N23" s="392"/>
      <c r="O23" s="502"/>
    </row>
    <row r="24" spans="1:15" s="455" customFormat="1" ht="13.5">
      <c r="A24" s="566"/>
      <c r="B24" s="467"/>
      <c r="C24" s="497"/>
      <c r="D24" s="691"/>
      <c r="E24" s="675"/>
      <c r="F24" s="675"/>
      <c r="G24" s="654"/>
      <c r="H24" s="502"/>
      <c r="I24" s="652"/>
      <c r="J24" s="497"/>
      <c r="K24" s="653"/>
      <c r="L24" s="502"/>
      <c r="M24" s="538"/>
      <c r="N24" s="392"/>
      <c r="O24" s="502"/>
    </row>
    <row r="25" spans="1:15" s="455" customFormat="1" ht="13.5">
      <c r="C25" s="1385"/>
      <c r="D25" s="314"/>
      <c r="E25" s="991"/>
      <c r="F25" s="662"/>
      <c r="G25" s="309"/>
      <c r="H25" s="497"/>
      <c r="I25" s="774"/>
      <c r="J25" s="774"/>
      <c r="K25" s="774"/>
      <c r="L25" s="499"/>
      <c r="M25" s="1028"/>
      <c r="N25" s="499"/>
    </row>
    <row r="26" spans="1:15" s="455" customFormat="1" ht="13.5">
      <c r="C26" s="314"/>
      <c r="D26" s="314"/>
      <c r="E26" s="991"/>
      <c r="F26" s="662"/>
      <c r="G26" s="309"/>
      <c r="H26" s="497"/>
      <c r="I26" s="774"/>
      <c r="J26" s="774"/>
      <c r="K26" s="1471"/>
      <c r="L26" s="499"/>
      <c r="M26" s="1028"/>
      <c r="N26" s="499"/>
    </row>
    <row r="27" spans="1:15" s="455" customFormat="1" ht="13.5">
      <c r="C27" s="1027"/>
      <c r="D27" s="314"/>
      <c r="E27" s="991"/>
      <c r="F27" s="662"/>
      <c r="G27" s="309"/>
      <c r="H27" s="497"/>
      <c r="I27" s="1056"/>
      <c r="J27" s="985"/>
      <c r="K27" s="985"/>
      <c r="L27" s="1988">
        <f>SUM(L6:L26)</f>
        <v>44500</v>
      </c>
      <c r="M27" s="1028"/>
      <c r="N27" s="499"/>
    </row>
    <row r="28" spans="1:15" s="455" customFormat="1" ht="13.5">
      <c r="C28" s="499"/>
      <c r="D28" s="309"/>
      <c r="E28" s="391"/>
      <c r="F28" s="499"/>
      <c r="G28" s="497"/>
      <c r="H28" s="498"/>
      <c r="I28" s="498"/>
      <c r="J28" s="498"/>
      <c r="K28" s="499"/>
      <c r="L28" s="1472"/>
      <c r="M28" s="309"/>
      <c r="N28" s="499"/>
    </row>
    <row r="29" spans="1:15" s="455" customFormat="1" ht="13.5">
      <c r="C29" s="497"/>
      <c r="D29" s="691"/>
      <c r="E29" s="675"/>
      <c r="F29" s="675"/>
      <c r="G29" s="654"/>
      <c r="H29" s="502"/>
      <c r="I29" s="652"/>
      <c r="J29" s="497"/>
      <c r="K29" s="653"/>
      <c r="L29" s="502"/>
      <c r="M29" s="538"/>
      <c r="N29" s="392"/>
      <c r="O29" s="502"/>
    </row>
    <row r="30" spans="1:15" s="455" customFormat="1" ht="13.5">
      <c r="C30" s="497"/>
      <c r="D30" s="691"/>
      <c r="E30" s="675"/>
      <c r="F30" s="675"/>
      <c r="G30" s="654"/>
      <c r="H30" s="502"/>
      <c r="I30" s="652"/>
      <c r="J30" s="497"/>
      <c r="K30" s="653"/>
      <c r="L30" s="502"/>
      <c r="M30" s="538"/>
      <c r="N30" s="392"/>
      <c r="O30" s="502"/>
    </row>
    <row r="31" spans="1:15" s="455" customFormat="1" ht="13.5">
      <c r="C31" s="497"/>
      <c r="D31" s="691"/>
      <c r="E31" s="675"/>
      <c r="F31" s="675"/>
      <c r="G31" s="654"/>
      <c r="H31" s="502"/>
      <c r="I31" s="652"/>
      <c r="J31" s="497"/>
      <c r="K31" s="653"/>
      <c r="L31" s="502"/>
      <c r="M31" s="538"/>
      <c r="N31" s="392"/>
      <c r="O31" s="502"/>
    </row>
    <row r="32" spans="1:15" s="455" customFormat="1" ht="13.5">
      <c r="C32" s="497"/>
      <c r="D32" s="691"/>
      <c r="E32" s="675"/>
      <c r="F32" s="675"/>
      <c r="G32" s="654"/>
      <c r="H32" s="502"/>
      <c r="I32" s="652"/>
      <c r="J32" s="497"/>
      <c r="K32" s="653"/>
      <c r="L32" s="502"/>
      <c r="M32" s="538"/>
      <c r="N32" s="392"/>
      <c r="O32" s="502"/>
    </row>
    <row r="33" spans="3:15" s="455" customFormat="1" ht="13.5">
      <c r="C33" s="497"/>
      <c r="D33" s="691"/>
      <c r="E33" s="675"/>
      <c r="F33" s="675"/>
      <c r="G33" s="654"/>
      <c r="H33" s="502"/>
      <c r="I33" s="652"/>
      <c r="J33" s="497"/>
      <c r="K33" s="653"/>
      <c r="L33" s="502"/>
      <c r="M33" s="538"/>
      <c r="N33" s="392"/>
      <c r="O33" s="502"/>
    </row>
    <row r="34" spans="3:15" s="455" customFormat="1" ht="13.5">
      <c r="C34" s="497"/>
      <c r="D34" s="691"/>
      <c r="E34" s="675"/>
      <c r="F34" s="675"/>
      <c r="G34" s="654"/>
      <c r="H34" s="502"/>
      <c r="I34" s="652"/>
      <c r="J34" s="497"/>
      <c r="K34" s="653"/>
      <c r="L34" s="502"/>
      <c r="M34" s="538"/>
      <c r="N34" s="392"/>
      <c r="O34" s="502"/>
    </row>
    <row r="35" spans="3:15" s="455" customFormat="1" ht="13.5">
      <c r="C35" s="497"/>
      <c r="D35" s="691"/>
      <c r="E35" s="675"/>
      <c r="F35" s="1473"/>
      <c r="G35" s="654"/>
      <c r="H35" s="502"/>
      <c r="I35" s="652"/>
      <c r="J35" s="497"/>
      <c r="K35" s="653"/>
      <c r="L35" s="502"/>
      <c r="M35" s="538"/>
      <c r="N35" s="392"/>
      <c r="O35" s="502"/>
    </row>
    <row r="36" spans="3:15" s="355" customFormat="1" ht="13.5">
      <c r="C36" s="400"/>
      <c r="D36" s="400"/>
      <c r="E36" s="401"/>
      <c r="F36" s="402"/>
      <c r="G36" s="402"/>
      <c r="H36" s="403"/>
      <c r="I36" s="403"/>
      <c r="J36" s="403"/>
      <c r="K36" s="402"/>
      <c r="L36" s="404"/>
      <c r="M36" s="402"/>
      <c r="N36" s="405"/>
    </row>
    <row r="37" spans="3:15" s="355" customFormat="1" ht="13.5">
      <c r="C37" s="400"/>
      <c r="D37" s="400"/>
      <c r="E37" s="401"/>
      <c r="F37" s="402"/>
      <c r="G37" s="402"/>
      <c r="H37" s="403"/>
      <c r="I37" s="403"/>
      <c r="J37" s="403"/>
      <c r="K37" s="402"/>
      <c r="L37" s="404"/>
      <c r="M37" s="402"/>
      <c r="N37" s="405"/>
    </row>
    <row r="38" spans="3:15" s="355" customFormat="1" ht="13.5">
      <c r="C38" s="400"/>
      <c r="D38" s="400"/>
      <c r="E38" s="401"/>
      <c r="F38" s="402"/>
      <c r="G38" s="402"/>
      <c r="H38" s="403"/>
      <c r="I38" s="403"/>
      <c r="J38" s="403"/>
      <c r="K38" s="402"/>
      <c r="L38" s="404"/>
      <c r="M38" s="402"/>
      <c r="N38" s="405"/>
    </row>
    <row r="39" spans="3:15" s="355" customFormat="1" ht="13.5">
      <c r="C39" s="400"/>
      <c r="D39" s="400"/>
      <c r="E39" s="401"/>
      <c r="F39" s="402"/>
      <c r="G39" s="402"/>
      <c r="H39" s="403"/>
      <c r="I39" s="403"/>
      <c r="J39" s="403"/>
      <c r="K39" s="402"/>
      <c r="L39" s="404"/>
      <c r="M39" s="402"/>
      <c r="N39" s="405"/>
    </row>
    <row r="40" spans="3:15" s="355" customFormat="1" ht="13.5">
      <c r="C40" s="400"/>
      <c r="D40" s="400"/>
      <c r="E40" s="401"/>
      <c r="F40" s="402"/>
      <c r="G40" s="402"/>
      <c r="H40" s="403"/>
      <c r="I40" s="403"/>
      <c r="J40" s="403"/>
      <c r="K40" s="402"/>
      <c r="L40" s="404"/>
      <c r="M40" s="402"/>
      <c r="N40" s="405"/>
    </row>
    <row r="41" spans="3:15" s="355" customFormat="1" ht="13.5">
      <c r="C41" s="400"/>
      <c r="D41" s="400"/>
      <c r="E41" s="401"/>
      <c r="F41" s="402"/>
      <c r="G41" s="402"/>
      <c r="H41" s="403"/>
      <c r="I41" s="403"/>
      <c r="J41" s="403"/>
      <c r="K41" s="402"/>
      <c r="L41" s="404"/>
      <c r="M41" s="402"/>
      <c r="N41" s="405"/>
    </row>
    <row r="42" spans="3:15" s="355" customFormat="1" ht="13.5">
      <c r="C42" s="400"/>
      <c r="D42" s="400"/>
      <c r="E42" s="401"/>
      <c r="F42" s="402"/>
      <c r="G42" s="402"/>
      <c r="H42" s="403"/>
      <c r="I42" s="403"/>
      <c r="J42" s="403"/>
      <c r="K42" s="402"/>
      <c r="L42" s="404"/>
      <c r="M42" s="402"/>
      <c r="N42" s="405"/>
    </row>
    <row r="43" spans="3:15" s="355" customFormat="1" ht="13.5">
      <c r="C43" s="400"/>
      <c r="D43" s="400"/>
      <c r="E43" s="401"/>
      <c r="F43" s="402"/>
      <c r="G43" s="402"/>
      <c r="H43" s="403"/>
      <c r="I43" s="403"/>
      <c r="J43" s="403"/>
      <c r="K43" s="402"/>
      <c r="L43" s="404"/>
      <c r="M43" s="402"/>
      <c r="N43" s="405"/>
    </row>
    <row r="44" spans="3:15" s="355" customFormat="1" ht="13.5">
      <c r="C44" s="400"/>
      <c r="D44" s="400"/>
      <c r="E44" s="401"/>
      <c r="F44" s="402"/>
      <c r="G44" s="402"/>
      <c r="H44" s="403"/>
      <c r="I44" s="403"/>
      <c r="J44" s="403"/>
      <c r="K44" s="402"/>
      <c r="L44" s="404"/>
      <c r="M44" s="402"/>
      <c r="N44" s="405"/>
    </row>
    <row r="45" spans="3:15" s="355" customFormat="1" ht="13.5">
      <c r="C45" s="400"/>
      <c r="D45" s="400"/>
      <c r="E45" s="401"/>
      <c r="F45" s="402"/>
      <c r="G45" s="402"/>
      <c r="H45" s="403"/>
      <c r="I45" s="403"/>
      <c r="J45" s="403"/>
      <c r="K45" s="402"/>
      <c r="L45" s="404"/>
      <c r="M45" s="402"/>
      <c r="N45" s="405"/>
    </row>
    <row r="46" spans="3:15" s="355" customFormat="1" ht="13.5">
      <c r="C46" s="400"/>
      <c r="D46" s="400"/>
      <c r="E46" s="401"/>
      <c r="F46" s="402"/>
      <c r="G46" s="402"/>
      <c r="H46" s="403"/>
      <c r="I46" s="403"/>
      <c r="J46" s="403"/>
      <c r="K46" s="402"/>
      <c r="L46" s="404"/>
      <c r="M46" s="402"/>
      <c r="N46" s="405"/>
    </row>
    <row r="47" spans="3:15" s="355" customFormat="1" ht="13.5">
      <c r="C47" s="400"/>
      <c r="D47" s="400"/>
      <c r="E47" s="401"/>
      <c r="F47" s="402"/>
      <c r="G47" s="402"/>
      <c r="H47" s="403"/>
      <c r="I47" s="403"/>
      <c r="J47" s="403"/>
      <c r="K47" s="402"/>
      <c r="L47" s="404"/>
      <c r="M47" s="402"/>
      <c r="N47" s="405"/>
    </row>
    <row r="48" spans="3:15" s="355" customFormat="1" ht="13.5">
      <c r="C48" s="400"/>
      <c r="D48" s="400"/>
      <c r="E48" s="401"/>
      <c r="F48" s="402"/>
      <c r="G48" s="402"/>
      <c r="H48" s="403"/>
      <c r="I48" s="403"/>
      <c r="J48" s="403"/>
      <c r="K48" s="402"/>
      <c r="L48" s="404"/>
      <c r="M48" s="407"/>
      <c r="N48" s="405"/>
    </row>
    <row r="49" spans="3:14" s="355" customFormat="1" ht="13.5">
      <c r="C49" s="400"/>
      <c r="D49" s="400"/>
      <c r="E49" s="401"/>
      <c r="F49" s="402"/>
      <c r="G49" s="403"/>
      <c r="H49" s="403"/>
      <c r="I49" s="403"/>
      <c r="J49" s="403"/>
      <c r="K49" s="408"/>
      <c r="L49" s="404"/>
      <c r="M49" s="407"/>
      <c r="N49" s="405"/>
    </row>
    <row r="50" spans="3:14" s="355" customFormat="1" ht="13.5">
      <c r="C50" s="352"/>
      <c r="D50" s="352"/>
      <c r="E50" s="352"/>
      <c r="F50" s="352"/>
      <c r="G50" s="352"/>
      <c r="H50" s="352"/>
      <c r="I50" s="352"/>
      <c r="J50" s="352"/>
      <c r="K50" s="352"/>
      <c r="L50" s="1403"/>
      <c r="M50" s="352"/>
      <c r="N50" s="352"/>
    </row>
    <row r="51" spans="3:14" ht="14.25" customHeight="1">
      <c r="C51" s="31"/>
      <c r="D51" s="27"/>
      <c r="E51" s="20"/>
      <c r="F51" s="28"/>
      <c r="G51" s="28"/>
      <c r="H51" s="26"/>
      <c r="I51" s="26"/>
      <c r="J51" s="26"/>
      <c r="K51" s="28"/>
      <c r="L51" s="179"/>
      <c r="M51" s="28"/>
      <c r="N51" s="27"/>
    </row>
    <row r="52" spans="3:14" s="1" customFormat="1" ht="14.25" customHeight="1">
      <c r="C52" s="31"/>
      <c r="D52" s="27"/>
      <c r="E52" s="21"/>
      <c r="F52" s="28"/>
      <c r="G52" s="28"/>
      <c r="H52" s="26"/>
      <c r="I52" s="26"/>
      <c r="J52" s="26"/>
      <c r="K52" s="28"/>
      <c r="L52" s="179"/>
      <c r="M52" s="28"/>
      <c r="N52" s="27"/>
    </row>
    <row r="53" spans="3:14" s="1" customFormat="1" ht="14.25" customHeight="1">
      <c r="C53" s="30"/>
      <c r="D53" s="25"/>
      <c r="E53" s="21"/>
      <c r="F53" s="22"/>
      <c r="G53" s="22"/>
      <c r="H53" s="23"/>
      <c r="I53" s="23"/>
      <c r="J53" s="23"/>
      <c r="K53" s="22"/>
      <c r="L53" s="180"/>
      <c r="M53" s="22"/>
      <c r="N53" s="25"/>
    </row>
  </sheetData>
  <mergeCells count="6">
    <mergeCell ref="N2:N3"/>
    <mergeCell ref="C6:C11"/>
    <mergeCell ref="C2:G2"/>
    <mergeCell ref="H2:J2"/>
    <mergeCell ref="K2:L2"/>
    <mergeCell ref="M2:M3"/>
  </mergeCell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A77D0-06EC-494C-8DDA-DAA28075CFAF}">
  <sheetPr>
    <tabColor rgb="FF00B0F0"/>
  </sheetPr>
  <dimension ref="A1:O80"/>
  <sheetViews>
    <sheetView zoomScale="85" zoomScaleNormal="85" workbookViewId="0">
      <pane ySplit="4" topLeftCell="A5" activePane="bottomLeft" state="frozen"/>
      <selection pane="bottomLeft" activeCell="B6" sqref="B6:B9"/>
    </sheetView>
  </sheetViews>
  <sheetFormatPr defaultRowHeight="15"/>
  <cols>
    <col min="3" max="3" width="33.42578125" customWidth="1"/>
    <col min="4" max="4" width="49.7109375" bestFit="1"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style="99" customWidth="1"/>
    <col min="13" max="13" width="16.28515625" customWidth="1"/>
    <col min="14" max="14" width="12.85546875" customWidth="1"/>
    <col min="17" max="17" width="73.7109375" bestFit="1" customWidth="1"/>
  </cols>
  <sheetData>
    <row r="1" spans="1:15" s="355" customFormat="1" ht="13.5">
      <c r="L1" s="32"/>
    </row>
    <row r="2" spans="1:15" s="355" customFormat="1" ht="13.5">
      <c r="C2" s="2601" t="s">
        <v>30</v>
      </c>
      <c r="D2" s="2602"/>
      <c r="E2" s="2602"/>
      <c r="F2" s="2602"/>
      <c r="G2" s="2603"/>
      <c r="H2" s="2604" t="s">
        <v>29</v>
      </c>
      <c r="I2" s="2605"/>
      <c r="J2" s="2606"/>
      <c r="K2" s="2601" t="s">
        <v>28</v>
      </c>
      <c r="L2" s="2603"/>
      <c r="M2" s="2594" t="s">
        <v>27</v>
      </c>
      <c r="N2" s="2594" t="s">
        <v>26</v>
      </c>
    </row>
    <row r="3" spans="1:15" s="355" customFormat="1" ht="94.5">
      <c r="C3" s="618" t="s">
        <v>25</v>
      </c>
      <c r="D3" s="852" t="s">
        <v>24</v>
      </c>
      <c r="E3" s="991" t="s">
        <v>23</v>
      </c>
      <c r="F3" s="618" t="s">
        <v>22</v>
      </c>
      <c r="G3" s="532" t="s">
        <v>1303</v>
      </c>
      <c r="H3" s="532" t="s">
        <v>20</v>
      </c>
      <c r="I3" s="532" t="s">
        <v>19</v>
      </c>
      <c r="J3" s="532" t="s">
        <v>18</v>
      </c>
      <c r="K3" s="618" t="s">
        <v>17</v>
      </c>
      <c r="L3" s="605" t="s">
        <v>16</v>
      </c>
      <c r="M3" s="2594"/>
      <c r="N3" s="2594"/>
    </row>
    <row r="4" spans="1:15" s="355" customFormat="1" ht="27">
      <c r="C4" s="1076" t="s">
        <v>15</v>
      </c>
      <c r="D4" s="1076" t="s">
        <v>14</v>
      </c>
      <c r="E4" s="1076" t="s">
        <v>13</v>
      </c>
      <c r="F4" s="1076" t="s">
        <v>12</v>
      </c>
      <c r="G4" s="1076" t="s">
        <v>11</v>
      </c>
      <c r="H4" s="1076" t="s">
        <v>10</v>
      </c>
      <c r="I4" s="1076" t="s">
        <v>9</v>
      </c>
      <c r="J4" s="1076" t="s">
        <v>8</v>
      </c>
      <c r="K4" s="1076" t="s">
        <v>7</v>
      </c>
      <c r="L4" s="1077" t="s">
        <v>6</v>
      </c>
      <c r="M4" s="1076" t="s">
        <v>5</v>
      </c>
      <c r="N4" s="1076" t="s">
        <v>4</v>
      </c>
    </row>
    <row r="5" spans="1:15" s="355" customFormat="1" ht="13.5">
      <c r="C5" s="2937"/>
      <c r="D5" s="1712" t="s">
        <v>4712</v>
      </c>
      <c r="E5" s="1076"/>
      <c r="F5" s="1076"/>
      <c r="G5" s="1076"/>
      <c r="H5" s="1076"/>
      <c r="I5" s="1076"/>
      <c r="J5" s="1076"/>
      <c r="K5" s="1076"/>
      <c r="L5" s="2938"/>
      <c r="M5" s="1076"/>
      <c r="N5" s="1076"/>
    </row>
    <row r="6" spans="1:15" s="455" customFormat="1" ht="25.5" customHeight="1">
      <c r="A6" s="471"/>
      <c r="B6" s="454" t="s">
        <v>4710</v>
      </c>
      <c r="C6" s="2920" t="s">
        <v>4711</v>
      </c>
      <c r="D6" s="2915" t="s">
        <v>4713</v>
      </c>
      <c r="E6" s="2921" t="s">
        <v>4722</v>
      </c>
      <c r="F6" s="1713" t="s">
        <v>3</v>
      </c>
      <c r="G6" s="1712" t="s">
        <v>828</v>
      </c>
      <c r="H6" s="1713" t="s">
        <v>4603</v>
      </c>
      <c r="I6" s="1713" t="s">
        <v>4414</v>
      </c>
      <c r="J6" s="2922" t="s">
        <v>4714</v>
      </c>
      <c r="K6" s="2939" t="s">
        <v>2216</v>
      </c>
      <c r="L6" s="2923">
        <v>320000</v>
      </c>
      <c r="M6" s="2789" t="s">
        <v>4604</v>
      </c>
      <c r="N6" s="1716"/>
    </row>
    <row r="7" spans="1:15" s="455" customFormat="1" ht="27">
      <c r="A7" s="471"/>
      <c r="B7" s="454" t="s">
        <v>4710</v>
      </c>
      <c r="C7" s="2924"/>
      <c r="D7" s="2925" t="s">
        <v>4715</v>
      </c>
      <c r="E7" s="2921" t="s">
        <v>251</v>
      </c>
      <c r="F7" s="1835" t="s">
        <v>2757</v>
      </c>
      <c r="G7" s="1836"/>
      <c r="H7" s="1835" t="s">
        <v>4716</v>
      </c>
      <c r="I7" s="1835" t="s">
        <v>4717</v>
      </c>
      <c r="J7" s="2926" t="s">
        <v>4717</v>
      </c>
      <c r="K7" s="1952"/>
      <c r="L7" s="2923">
        <v>330000</v>
      </c>
      <c r="M7" s="2790"/>
      <c r="N7" s="1717"/>
    </row>
    <row r="8" spans="1:15" s="455" customFormat="1" ht="27">
      <c r="A8" s="471"/>
      <c r="B8" s="454" t="s">
        <v>4710</v>
      </c>
      <c r="C8" s="2924"/>
      <c r="D8" s="2928" t="s">
        <v>4718</v>
      </c>
      <c r="E8" s="2927" t="s">
        <v>362</v>
      </c>
      <c r="F8" s="1835" t="s">
        <v>2757</v>
      </c>
      <c r="G8" s="1836"/>
      <c r="H8" s="1878" t="s">
        <v>4603</v>
      </c>
      <c r="I8" s="1835" t="s">
        <v>4414</v>
      </c>
      <c r="J8" s="2926" t="s">
        <v>4719</v>
      </c>
      <c r="K8" s="1952"/>
      <c r="L8" s="2923">
        <v>463200</v>
      </c>
      <c r="M8" s="2790"/>
      <c r="N8" s="1717"/>
    </row>
    <row r="9" spans="1:15" s="455" customFormat="1" ht="27">
      <c r="A9" s="471"/>
      <c r="B9" s="454" t="s">
        <v>4710</v>
      </c>
      <c r="C9" s="2924"/>
      <c r="D9" s="2928" t="s">
        <v>4720</v>
      </c>
      <c r="E9" s="2927" t="s">
        <v>4723</v>
      </c>
      <c r="F9" s="1835" t="s">
        <v>2757</v>
      </c>
      <c r="G9" s="1836"/>
      <c r="H9" s="1835" t="s">
        <v>4603</v>
      </c>
      <c r="I9" s="1835" t="s">
        <v>4414</v>
      </c>
      <c r="J9" s="2926" t="s">
        <v>4719</v>
      </c>
      <c r="K9" s="2940"/>
      <c r="L9" s="2929">
        <v>234200</v>
      </c>
      <c r="M9" s="2790"/>
      <c r="N9" s="1717"/>
    </row>
    <row r="10" spans="1:15" s="455" customFormat="1">
      <c r="A10" s="471"/>
      <c r="B10" s="454"/>
      <c r="C10" s="2930" t="s">
        <v>4721</v>
      </c>
      <c r="D10" s="2930"/>
      <c r="E10" s="2931"/>
      <c r="F10" s="2931"/>
      <c r="G10" s="2932"/>
      <c r="H10" s="2933"/>
      <c r="I10" s="2932"/>
      <c r="J10" s="2932"/>
      <c r="K10" s="2919"/>
      <c r="L10" s="2934"/>
      <c r="M10" s="2935"/>
      <c r="N10" s="2936"/>
    </row>
    <row r="11" spans="1:15" s="455" customFormat="1" ht="13.5">
      <c r="A11" s="471"/>
      <c r="B11" s="454"/>
      <c r="C11" s="1564"/>
      <c r="D11" s="1533"/>
      <c r="E11" s="280"/>
      <c r="F11" s="1565"/>
      <c r="G11" s="1561"/>
      <c r="H11" s="1566"/>
      <c r="I11" s="1566"/>
      <c r="J11" s="1566"/>
      <c r="K11" s="1565"/>
      <c r="L11" s="1567"/>
      <c r="M11" s="1533"/>
      <c r="N11" s="1561"/>
    </row>
    <row r="12" spans="1:15" s="455" customFormat="1" ht="13.5">
      <c r="A12" s="471"/>
      <c r="B12" s="454"/>
      <c r="C12" s="1568"/>
      <c r="D12" s="1569"/>
      <c r="E12" s="280"/>
      <c r="F12" s="1570"/>
      <c r="G12" s="1571"/>
      <c r="H12" s="1571"/>
      <c r="I12" s="1566"/>
      <c r="J12" s="1566"/>
      <c r="K12" s="1566"/>
      <c r="L12" s="1565"/>
      <c r="M12" s="1572"/>
      <c r="N12" s="1533"/>
      <c r="O12" s="1565"/>
    </row>
    <row r="13" spans="1:15" s="455" customFormat="1" ht="13.5">
      <c r="A13" s="471"/>
      <c r="B13" s="454"/>
      <c r="C13" s="1568"/>
      <c r="D13" s="1573"/>
      <c r="E13" s="280"/>
      <c r="F13" s="1570"/>
      <c r="G13" s="1571"/>
      <c r="H13" s="1571"/>
      <c r="I13" s="1566"/>
      <c r="J13" s="1566"/>
      <c r="K13" s="1566"/>
      <c r="L13" s="1565"/>
      <c r="M13" s="1572"/>
      <c r="N13" s="1533"/>
      <c r="O13" s="1565"/>
    </row>
    <row r="14" spans="1:15" s="455" customFormat="1" ht="13.5">
      <c r="A14" s="471"/>
      <c r="B14" s="454"/>
      <c r="C14" s="1574"/>
      <c r="D14" s="1575"/>
      <c r="E14" s="280"/>
      <c r="F14" s="1576"/>
      <c r="G14" s="1561"/>
      <c r="H14" s="1577"/>
      <c r="I14" s="1578"/>
      <c r="J14" s="1571"/>
      <c r="K14" s="1579"/>
      <c r="L14" s="1577"/>
      <c r="M14" s="1563"/>
      <c r="N14" s="1580"/>
      <c r="O14" s="1577"/>
    </row>
    <row r="15" spans="1:15" s="455" customFormat="1" ht="13.5">
      <c r="A15" s="471"/>
      <c r="B15" s="454"/>
      <c r="C15" s="1577"/>
      <c r="D15" s="1575"/>
      <c r="E15" s="280"/>
      <c r="F15" s="1576"/>
      <c r="G15" s="1561"/>
      <c r="H15" s="1577"/>
      <c r="I15" s="1578"/>
      <c r="J15" s="1571"/>
      <c r="K15" s="1579"/>
      <c r="L15" s="1577"/>
      <c r="M15" s="1563"/>
      <c r="N15" s="1580"/>
      <c r="O15" s="1577"/>
    </row>
    <row r="16" spans="1:15" s="455" customFormat="1" ht="13.5">
      <c r="A16" s="471"/>
      <c r="B16" s="454"/>
      <c r="C16" s="1561"/>
      <c r="D16" s="1581"/>
      <c r="E16" s="280"/>
      <c r="F16" s="280"/>
      <c r="G16" s="1561"/>
      <c r="H16" s="1561"/>
      <c r="I16" s="1562"/>
      <c r="J16" s="1562"/>
      <c r="K16" s="1582"/>
      <c r="L16" s="1561"/>
      <c r="M16" s="1563"/>
      <c r="N16" s="1561"/>
      <c r="O16" s="1561"/>
    </row>
    <row r="17" spans="1:15" s="455" customFormat="1" ht="13.5">
      <c r="A17" s="471"/>
      <c r="B17" s="454"/>
      <c r="C17" s="471"/>
      <c r="D17" s="456"/>
      <c r="E17" s="459"/>
      <c r="F17" s="466"/>
      <c r="G17" s="471"/>
      <c r="H17" s="477"/>
      <c r="I17" s="526"/>
      <c r="J17" s="526"/>
      <c r="K17" s="526"/>
      <c r="L17" s="473"/>
      <c r="M17" s="529"/>
      <c r="N17" s="471"/>
      <c r="O17" s="458"/>
    </row>
    <row r="18" spans="1:15" s="455" customFormat="1" ht="13.5">
      <c r="A18" s="471"/>
      <c r="B18" s="454"/>
      <c r="C18" s="314"/>
      <c r="D18" s="309"/>
      <c r="E18" s="309"/>
      <c r="F18" s="309"/>
      <c r="G18" s="309"/>
      <c r="H18" s="309"/>
      <c r="I18" s="309"/>
      <c r="J18" s="309"/>
      <c r="K18" s="309"/>
      <c r="L18" s="309"/>
      <c r="M18" s="309"/>
      <c r="N18" s="309"/>
    </row>
    <row r="19" spans="1:15" s="455" customFormat="1" ht="13.5">
      <c r="A19" s="471"/>
      <c r="B19" s="454"/>
      <c r="C19" s="314"/>
      <c r="D19" s="314"/>
      <c r="E19" s="309"/>
      <c r="F19" s="309"/>
      <c r="G19" s="497"/>
      <c r="H19" s="1056"/>
      <c r="I19" s="309"/>
      <c r="J19" s="309"/>
      <c r="K19" s="499"/>
      <c r="L19" s="1069"/>
      <c r="M19" s="309"/>
      <c r="N19" s="454"/>
    </row>
    <row r="20" spans="1:15" s="455" customFormat="1" ht="13.5">
      <c r="A20" s="471"/>
      <c r="B20" s="454"/>
      <c r="C20" s="314"/>
      <c r="D20" s="314"/>
      <c r="E20" s="309"/>
      <c r="F20" s="309"/>
      <c r="G20" s="497"/>
      <c r="H20" s="1056"/>
      <c r="I20" s="309"/>
      <c r="J20" s="309"/>
      <c r="K20" s="499"/>
      <c r="L20" s="1069"/>
      <c r="M20" s="499"/>
      <c r="N20" s="458"/>
    </row>
    <row r="21" spans="1:15" s="455" customFormat="1" ht="13.5">
      <c r="A21" s="471"/>
      <c r="B21" s="454"/>
      <c r="C21" s="314"/>
      <c r="D21" s="314"/>
      <c r="E21" s="309"/>
      <c r="F21" s="309"/>
      <c r="G21" s="497"/>
      <c r="H21" s="1056"/>
      <c r="I21" s="309"/>
      <c r="J21" s="309"/>
      <c r="K21" s="499"/>
      <c r="L21" s="1069"/>
      <c r="M21" s="499"/>
      <c r="N21" s="458"/>
    </row>
    <row r="22" spans="1:15" s="455" customFormat="1" ht="13.5">
      <c r="A22" s="471"/>
      <c r="B22" s="454"/>
      <c r="C22" s="314"/>
      <c r="D22" s="314"/>
      <c r="E22" s="662"/>
      <c r="F22" s="309"/>
      <c r="G22" s="497"/>
      <c r="H22" s="1056"/>
      <c r="I22" s="985"/>
      <c r="J22" s="985"/>
      <c r="K22" s="499"/>
      <c r="L22" s="1016"/>
      <c r="M22" s="499"/>
      <c r="N22" s="458"/>
    </row>
    <row r="23" spans="1:15" s="455" customFormat="1" ht="13.5">
      <c r="A23" s="471"/>
      <c r="B23" s="454"/>
      <c r="C23" s="314"/>
      <c r="D23" s="314"/>
      <c r="E23" s="662"/>
      <c r="F23" s="309"/>
      <c r="G23" s="497"/>
      <c r="H23" s="1056"/>
      <c r="I23" s="985"/>
      <c r="J23" s="985"/>
      <c r="K23" s="499"/>
      <c r="L23" s="1016"/>
      <c r="M23" s="499"/>
      <c r="N23" s="458"/>
    </row>
    <row r="24" spans="1:15" s="455" customFormat="1" ht="13.5">
      <c r="A24" s="471"/>
      <c r="B24" s="454"/>
      <c r="C24" s="314"/>
      <c r="D24" s="314"/>
      <c r="E24" s="662"/>
      <c r="F24" s="309"/>
      <c r="G24" s="497"/>
      <c r="H24" s="1056"/>
      <c r="I24" s="985"/>
      <c r="J24" s="985"/>
      <c r="K24" s="499"/>
      <c r="L24" s="1984">
        <f>SUM(L6:L22)</f>
        <v>1347400</v>
      </c>
      <c r="M24" s="499"/>
    </row>
    <row r="25" spans="1:15" s="455" customFormat="1" ht="13.5">
      <c r="A25" s="471"/>
      <c r="B25" s="454"/>
      <c r="C25" s="314"/>
      <c r="D25" s="314"/>
      <c r="E25" s="662"/>
      <c r="F25" s="309"/>
      <c r="G25" s="497"/>
      <c r="H25" s="1056"/>
      <c r="I25" s="985"/>
      <c r="J25" s="985"/>
      <c r="K25" s="499"/>
      <c r="L25" s="1071"/>
      <c r="M25" s="499"/>
    </row>
    <row r="26" spans="1:15" s="455" customFormat="1" ht="13.5">
      <c r="A26" s="471"/>
      <c r="B26" s="454"/>
      <c r="C26" s="314"/>
      <c r="D26" s="314"/>
      <c r="E26" s="662"/>
      <c r="F26" s="309"/>
      <c r="G26" s="497"/>
      <c r="H26" s="1056"/>
      <c r="I26" s="985"/>
      <c r="J26" s="985"/>
      <c r="K26" s="499"/>
      <c r="L26" s="1016"/>
      <c r="M26" s="499"/>
    </row>
    <row r="27" spans="1:15" s="455" customFormat="1" ht="13.5">
      <c r="A27" s="471"/>
      <c r="B27" s="454"/>
      <c r="C27" s="314"/>
      <c r="D27" s="314"/>
      <c r="E27" s="662"/>
      <c r="F27" s="309"/>
      <c r="G27" s="497"/>
      <c r="H27" s="1056"/>
      <c r="I27" s="985"/>
      <c r="J27" s="985"/>
      <c r="K27" s="499"/>
      <c r="L27" s="1016"/>
      <c r="M27" s="499"/>
    </row>
    <row r="28" spans="1:15" s="455" customFormat="1" ht="13.5">
      <c r="A28" s="471"/>
      <c r="B28" s="454"/>
      <c r="C28" s="314"/>
      <c r="D28" s="314"/>
      <c r="E28" s="662"/>
      <c r="F28" s="309"/>
      <c r="G28" s="497"/>
      <c r="H28" s="1056"/>
      <c r="I28" s="985"/>
      <c r="J28" s="985"/>
      <c r="K28" s="499"/>
      <c r="L28" s="1016"/>
      <c r="M28" s="499"/>
      <c r="N28" s="458"/>
    </row>
    <row r="29" spans="1:15" s="455" customFormat="1" ht="13.5">
      <c r="A29" s="471"/>
      <c r="B29" s="454"/>
      <c r="C29" s="314"/>
      <c r="D29" s="314"/>
      <c r="E29" s="662"/>
      <c r="F29" s="309"/>
      <c r="G29" s="497"/>
      <c r="H29" s="1056"/>
      <c r="I29" s="985"/>
      <c r="J29" s="985"/>
      <c r="K29" s="499"/>
      <c r="L29" s="1016"/>
      <c r="M29" s="499"/>
      <c r="N29" s="458"/>
    </row>
    <row r="30" spans="1:15" s="455" customFormat="1" ht="13.5">
      <c r="A30" s="471"/>
      <c r="B30" s="454"/>
      <c r="C30" s="314"/>
      <c r="D30" s="314"/>
      <c r="E30" s="662"/>
      <c r="F30" s="309"/>
      <c r="G30" s="497"/>
      <c r="H30" s="1056"/>
      <c r="I30" s="985"/>
      <c r="J30" s="985"/>
      <c r="K30" s="499"/>
      <c r="L30" s="1016"/>
      <c r="M30" s="499"/>
      <c r="N30" s="458"/>
    </row>
    <row r="31" spans="1:15" s="455" customFormat="1" ht="13.5">
      <c r="A31" s="471"/>
      <c r="B31" s="454"/>
      <c r="C31" s="2591"/>
      <c r="D31" s="314"/>
      <c r="E31" s="662"/>
      <c r="F31" s="309"/>
      <c r="G31" s="497"/>
      <c r="H31" s="1056"/>
      <c r="I31" s="985"/>
      <c r="J31" s="985"/>
      <c r="K31" s="499"/>
      <c r="L31" s="1016"/>
      <c r="M31" s="499"/>
    </row>
    <row r="32" spans="1:15" s="455" customFormat="1" ht="13.5">
      <c r="A32" s="471"/>
      <c r="B32" s="454"/>
      <c r="C32" s="2593"/>
      <c r="D32" s="314"/>
      <c r="E32" s="662"/>
      <c r="F32" s="309"/>
      <c r="G32" s="497"/>
      <c r="H32" s="1056"/>
      <c r="I32" s="985"/>
      <c r="J32" s="985"/>
      <c r="K32" s="499"/>
      <c r="L32" s="1016"/>
      <c r="M32" s="499"/>
      <c r="N32" s="454"/>
    </row>
    <row r="33" spans="1:15" s="455" customFormat="1" ht="13.5">
      <c r="A33" s="471"/>
      <c r="B33" s="454"/>
      <c r="C33" s="2591"/>
      <c r="D33" s="314"/>
      <c r="E33" s="662"/>
      <c r="F33" s="309"/>
      <c r="G33" s="497"/>
      <c r="H33" s="1056"/>
      <c r="I33" s="985"/>
      <c r="J33" s="985"/>
      <c r="K33" s="499"/>
      <c r="L33" s="1016"/>
      <c r="M33" s="499"/>
      <c r="N33" s="458"/>
    </row>
    <row r="34" spans="1:15" s="455" customFormat="1" ht="13.5">
      <c r="A34" s="471"/>
      <c r="B34" s="454"/>
      <c r="C34" s="2592"/>
      <c r="D34" s="314"/>
      <c r="E34" s="662"/>
      <c r="F34" s="309"/>
      <c r="G34" s="497"/>
      <c r="H34" s="1056"/>
      <c r="I34" s="985"/>
      <c r="J34" s="985"/>
      <c r="K34" s="499"/>
      <c r="L34" s="1016"/>
      <c r="M34" s="499"/>
      <c r="N34" s="458"/>
    </row>
    <row r="35" spans="1:15" s="455" customFormat="1" ht="13.5">
      <c r="A35" s="471"/>
      <c r="B35" s="454"/>
      <c r="C35" s="2593"/>
      <c r="D35" s="314"/>
      <c r="E35" s="662"/>
      <c r="F35" s="309"/>
      <c r="G35" s="497"/>
      <c r="H35" s="1056"/>
      <c r="I35" s="985"/>
      <c r="J35" s="985"/>
      <c r="K35" s="499"/>
      <c r="L35" s="1016"/>
      <c r="M35" s="499"/>
      <c r="N35" s="458"/>
    </row>
    <row r="36" spans="1:15" s="455" customFormat="1" ht="13.5">
      <c r="A36" s="471"/>
      <c r="B36" s="454"/>
      <c r="C36" s="314"/>
      <c r="D36" s="314"/>
      <c r="E36" s="662"/>
      <c r="F36" s="309"/>
      <c r="G36" s="497"/>
      <c r="H36" s="985"/>
      <c r="I36" s="985"/>
      <c r="J36" s="985"/>
      <c r="K36" s="499"/>
      <c r="L36" s="1016"/>
      <c r="M36" s="499"/>
      <c r="N36" s="458"/>
    </row>
    <row r="37" spans="1:15" s="455" customFormat="1" ht="13.5">
      <c r="A37" s="471"/>
      <c r="B37" s="454"/>
      <c r="C37" s="314"/>
      <c r="D37" s="314"/>
      <c r="E37" s="662"/>
      <c r="F37" s="309"/>
      <c r="G37" s="497"/>
      <c r="H37" s="985"/>
      <c r="I37" s="985"/>
      <c r="J37" s="985"/>
      <c r="K37" s="499"/>
      <c r="L37" s="1016"/>
      <c r="M37" s="499"/>
      <c r="N37" s="460"/>
    </row>
    <row r="38" spans="1:15" s="455" customFormat="1" ht="13.5">
      <c r="C38" s="314"/>
      <c r="D38" s="314"/>
      <c r="E38" s="662"/>
      <c r="F38" s="662"/>
      <c r="G38" s="309"/>
      <c r="H38" s="497"/>
      <c r="I38" s="1056"/>
      <c r="J38" s="985"/>
      <c r="K38" s="985"/>
      <c r="L38" s="499"/>
      <c r="M38" s="1025"/>
      <c r="N38" s="499"/>
    </row>
    <row r="39" spans="1:15" s="455" customFormat="1" ht="13.5">
      <c r="C39" s="902"/>
      <c r="D39" s="309"/>
      <c r="E39" s="662"/>
      <c r="F39" s="662"/>
      <c r="G39" s="309"/>
      <c r="H39" s="497"/>
      <c r="I39" s="653"/>
      <c r="J39" s="985"/>
      <c r="K39" s="1469"/>
      <c r="L39" s="499"/>
      <c r="M39" s="1025"/>
      <c r="N39" s="499"/>
    </row>
    <row r="40" spans="1:15" s="455" customFormat="1" ht="13.5">
      <c r="A40" s="566"/>
      <c r="B40" s="467"/>
      <c r="C40" s="499"/>
      <c r="D40" s="309"/>
      <c r="E40" s="391"/>
      <c r="F40" s="499"/>
      <c r="G40" s="497"/>
      <c r="H40" s="498"/>
      <c r="I40" s="498"/>
      <c r="J40" s="498"/>
      <c r="K40" s="499"/>
      <c r="L40" s="1470"/>
      <c r="M40" s="309"/>
      <c r="N40" s="499"/>
    </row>
    <row r="41" spans="1:15" s="455" customFormat="1" ht="13.5">
      <c r="A41" s="566"/>
      <c r="B41" s="467"/>
      <c r="C41" s="497"/>
      <c r="D41" s="691"/>
      <c r="E41" s="675"/>
      <c r="F41" s="675"/>
      <c r="G41" s="654"/>
      <c r="H41" s="502"/>
      <c r="I41" s="652"/>
      <c r="J41" s="497"/>
      <c r="K41" s="653"/>
      <c r="L41" s="502"/>
      <c r="M41" s="538"/>
      <c r="N41" s="392"/>
      <c r="O41" s="502"/>
    </row>
    <row r="42" spans="1:15" s="455" customFormat="1" ht="13.5">
      <c r="A42" s="566"/>
      <c r="B42" s="467"/>
      <c r="C42" s="497"/>
      <c r="D42" s="691"/>
      <c r="E42" s="675"/>
      <c r="F42" s="675"/>
      <c r="G42" s="654"/>
      <c r="H42" s="502"/>
      <c r="I42" s="652"/>
      <c r="J42" s="497"/>
      <c r="K42" s="653"/>
      <c r="L42" s="502"/>
      <c r="M42" s="538"/>
      <c r="N42" s="392"/>
      <c r="O42" s="502"/>
    </row>
    <row r="43" spans="1:15" s="455" customFormat="1" ht="13.5">
      <c r="A43" s="566"/>
      <c r="B43" s="467"/>
      <c r="C43" s="497"/>
      <c r="D43" s="691"/>
      <c r="E43" s="675"/>
      <c r="F43" s="675"/>
      <c r="G43" s="654"/>
      <c r="H43" s="502"/>
      <c r="I43" s="652"/>
      <c r="J43" s="497"/>
      <c r="K43" s="653"/>
      <c r="L43" s="502"/>
      <c r="M43" s="538"/>
      <c r="N43" s="392"/>
      <c r="O43" s="502"/>
    </row>
    <row r="44" spans="1:15" s="455" customFormat="1" ht="13.5">
      <c r="A44" s="566"/>
      <c r="B44" s="467"/>
      <c r="C44" s="497"/>
      <c r="D44" s="691"/>
      <c r="E44" s="675"/>
      <c r="F44" s="675"/>
      <c r="G44" s="654"/>
      <c r="H44" s="502"/>
      <c r="I44" s="652"/>
      <c r="J44" s="497"/>
      <c r="K44" s="653"/>
      <c r="L44" s="502"/>
      <c r="M44" s="538"/>
      <c r="N44" s="392"/>
      <c r="O44" s="502"/>
    </row>
    <row r="45" spans="1:15" s="455" customFormat="1" ht="13.5">
      <c r="C45" s="1384"/>
      <c r="D45" s="314"/>
      <c r="E45" s="662"/>
      <c r="F45" s="662"/>
      <c r="G45" s="309"/>
      <c r="H45" s="497"/>
      <c r="I45" s="653"/>
      <c r="J45" s="985"/>
      <c r="K45" s="1469"/>
      <c r="L45" s="499"/>
      <c r="M45" s="1025"/>
      <c r="N45" s="499"/>
    </row>
    <row r="46" spans="1:15" s="455" customFormat="1" ht="13.5">
      <c r="C46" s="1384"/>
      <c r="D46" s="314"/>
      <c r="E46" s="662"/>
      <c r="F46" s="662"/>
      <c r="G46" s="309"/>
      <c r="H46" s="497"/>
      <c r="I46" s="653"/>
      <c r="J46" s="985"/>
      <c r="K46" s="1469"/>
      <c r="L46" s="499"/>
      <c r="M46" s="1025"/>
      <c r="N46" s="499"/>
    </row>
    <row r="47" spans="1:15" s="455" customFormat="1" ht="13.5">
      <c r="A47" s="566"/>
      <c r="B47" s="467"/>
      <c r="C47" s="499"/>
      <c r="D47" s="309"/>
      <c r="E47" s="391"/>
      <c r="F47" s="499"/>
      <c r="G47" s="497"/>
      <c r="H47" s="498"/>
      <c r="I47" s="498"/>
      <c r="J47" s="498"/>
      <c r="K47" s="499"/>
      <c r="L47" s="1470"/>
      <c r="M47" s="309"/>
      <c r="N47" s="499"/>
    </row>
    <row r="48" spans="1:15" s="455" customFormat="1" ht="13.5">
      <c r="A48" s="566"/>
      <c r="B48" s="467"/>
      <c r="C48" s="497"/>
      <c r="D48" s="691"/>
      <c r="E48" s="675"/>
      <c r="F48" s="675"/>
      <c r="G48" s="654"/>
      <c r="H48" s="502"/>
      <c r="I48" s="652"/>
      <c r="J48" s="497"/>
      <c r="K48" s="653"/>
      <c r="L48" s="502"/>
      <c r="M48" s="538"/>
      <c r="N48" s="392"/>
      <c r="O48" s="502"/>
    </row>
    <row r="49" spans="1:15" s="455" customFormat="1" ht="13.5">
      <c r="A49" s="566"/>
      <c r="B49" s="467"/>
      <c r="C49" s="497"/>
      <c r="D49" s="691"/>
      <c r="E49" s="675"/>
      <c r="F49" s="675"/>
      <c r="G49" s="654"/>
      <c r="H49" s="502"/>
      <c r="I49" s="652"/>
      <c r="J49" s="497"/>
      <c r="K49" s="653"/>
      <c r="L49" s="502"/>
      <c r="M49" s="538"/>
      <c r="N49" s="392"/>
      <c r="O49" s="502"/>
    </row>
    <row r="50" spans="1:15" s="455" customFormat="1" ht="13.5">
      <c r="A50" s="566"/>
      <c r="B50" s="467"/>
      <c r="C50" s="497"/>
      <c r="D50" s="691"/>
      <c r="E50" s="675"/>
      <c r="F50" s="675"/>
      <c r="G50" s="654"/>
      <c r="H50" s="502"/>
      <c r="I50" s="652"/>
      <c r="J50" s="497"/>
      <c r="K50" s="653"/>
      <c r="L50" s="502"/>
      <c r="M50" s="538"/>
      <c r="N50" s="392"/>
      <c r="O50" s="502"/>
    </row>
    <row r="51" spans="1:15" s="455" customFormat="1" ht="13.5">
      <c r="A51" s="566"/>
      <c r="B51" s="467"/>
      <c r="C51" s="497"/>
      <c r="D51" s="691"/>
      <c r="E51" s="675"/>
      <c r="F51" s="675"/>
      <c r="G51" s="654"/>
      <c r="H51" s="502"/>
      <c r="I51" s="652"/>
      <c r="J51" s="497"/>
      <c r="K51" s="653"/>
      <c r="L51" s="502"/>
      <c r="M51" s="538"/>
      <c r="N51" s="392"/>
      <c r="O51" s="502"/>
    </row>
    <row r="52" spans="1:15" s="455" customFormat="1" ht="13.5">
      <c r="C52" s="1385"/>
      <c r="D52" s="314"/>
      <c r="E52" s="991"/>
      <c r="F52" s="662"/>
      <c r="G52" s="309"/>
      <c r="H52" s="497"/>
      <c r="I52" s="774"/>
      <c r="J52" s="774"/>
      <c r="K52" s="774"/>
      <c r="L52" s="499"/>
      <c r="M52" s="1028"/>
      <c r="N52" s="499"/>
    </row>
    <row r="53" spans="1:15" s="455" customFormat="1" ht="13.5">
      <c r="C53" s="314"/>
      <c r="D53" s="314"/>
      <c r="E53" s="991"/>
      <c r="F53" s="662"/>
      <c r="G53" s="309"/>
      <c r="H53" s="497"/>
      <c r="I53" s="774"/>
      <c r="J53" s="774"/>
      <c r="K53" s="1471"/>
      <c r="L53" s="499"/>
      <c r="M53" s="1028"/>
      <c r="N53" s="499"/>
    </row>
    <row r="54" spans="1:15" s="455" customFormat="1" ht="13.5">
      <c r="C54" s="1027"/>
      <c r="D54" s="314"/>
      <c r="E54" s="991"/>
      <c r="F54" s="662"/>
      <c r="G54" s="309"/>
      <c r="H54" s="497"/>
      <c r="I54" s="1056"/>
      <c r="J54" s="985"/>
      <c r="K54" s="985"/>
      <c r="L54" s="499"/>
      <c r="M54" s="1028"/>
      <c r="N54" s="499"/>
    </row>
    <row r="55" spans="1:15" s="455" customFormat="1" ht="13.5">
      <c r="C55" s="499"/>
      <c r="D55" s="309"/>
      <c r="E55" s="391"/>
      <c r="F55" s="499"/>
      <c r="G55" s="497"/>
      <c r="H55" s="498"/>
      <c r="I55" s="498"/>
      <c r="J55" s="498"/>
      <c r="K55" s="499"/>
      <c r="L55" s="1472"/>
      <c r="M55" s="309"/>
      <c r="N55" s="499"/>
    </row>
    <row r="56" spans="1:15" s="455" customFormat="1" ht="13.5">
      <c r="C56" s="497"/>
      <c r="D56" s="691"/>
      <c r="E56" s="675"/>
      <c r="F56" s="675"/>
      <c r="G56" s="654"/>
      <c r="H56" s="502"/>
      <c r="I56" s="652"/>
      <c r="J56" s="497"/>
      <c r="K56" s="653"/>
      <c r="L56" s="502"/>
      <c r="M56" s="538"/>
      <c r="N56" s="392"/>
      <c r="O56" s="502"/>
    </row>
    <row r="57" spans="1:15" s="455" customFormat="1" ht="13.5">
      <c r="C57" s="497"/>
      <c r="D57" s="691"/>
      <c r="E57" s="675"/>
      <c r="F57" s="675"/>
      <c r="G57" s="654"/>
      <c r="H57" s="502"/>
      <c r="I57" s="652"/>
      <c r="J57" s="497"/>
      <c r="K57" s="653"/>
      <c r="L57" s="502"/>
      <c r="M57" s="538"/>
      <c r="N57" s="392"/>
      <c r="O57" s="502"/>
    </row>
    <row r="58" spans="1:15" s="455" customFormat="1" ht="13.5">
      <c r="C58" s="497"/>
      <c r="D58" s="691"/>
      <c r="E58" s="675"/>
      <c r="F58" s="675"/>
      <c r="G58" s="654"/>
      <c r="H58" s="502"/>
      <c r="I58" s="652"/>
      <c r="J58" s="497"/>
      <c r="K58" s="653"/>
      <c r="L58" s="502"/>
      <c r="M58" s="538"/>
      <c r="N58" s="392"/>
      <c r="O58" s="502"/>
    </row>
    <row r="59" spans="1:15" s="455" customFormat="1" ht="13.5">
      <c r="C59" s="497"/>
      <c r="D59" s="691"/>
      <c r="E59" s="675"/>
      <c r="F59" s="675"/>
      <c r="G59" s="654"/>
      <c r="H59" s="502"/>
      <c r="I59" s="652"/>
      <c r="J59" s="497"/>
      <c r="K59" s="653"/>
      <c r="L59" s="502"/>
      <c r="M59" s="538"/>
      <c r="N59" s="392"/>
      <c r="O59" s="502"/>
    </row>
    <row r="60" spans="1:15" s="455" customFormat="1" ht="13.5">
      <c r="C60" s="497"/>
      <c r="D60" s="691"/>
      <c r="E60" s="675"/>
      <c r="F60" s="675"/>
      <c r="G60" s="654"/>
      <c r="H60" s="502"/>
      <c r="I60" s="652"/>
      <c r="J60" s="497"/>
      <c r="K60" s="653"/>
      <c r="L60" s="502"/>
      <c r="M60" s="538"/>
      <c r="N60" s="392"/>
      <c r="O60" s="502"/>
    </row>
    <row r="61" spans="1:15" s="455" customFormat="1" ht="13.5">
      <c r="C61" s="497"/>
      <c r="D61" s="691"/>
      <c r="E61" s="675"/>
      <c r="F61" s="675"/>
      <c r="G61" s="654"/>
      <c r="H61" s="502"/>
      <c r="I61" s="652"/>
      <c r="J61" s="497"/>
      <c r="K61" s="653"/>
      <c r="L61" s="502"/>
      <c r="M61" s="538"/>
      <c r="N61" s="392"/>
      <c r="O61" s="502"/>
    </row>
    <row r="62" spans="1:15" s="455" customFormat="1" ht="13.5">
      <c r="C62" s="497"/>
      <c r="D62" s="691"/>
      <c r="E62" s="675"/>
      <c r="F62" s="1473"/>
      <c r="G62" s="654"/>
      <c r="H62" s="502"/>
      <c r="I62" s="652"/>
      <c r="J62" s="497"/>
      <c r="K62" s="653"/>
      <c r="L62" s="502"/>
      <c r="M62" s="538"/>
      <c r="N62" s="392"/>
      <c r="O62" s="502"/>
    </row>
    <row r="63" spans="1:15" s="355" customFormat="1" ht="13.5">
      <c r="C63" s="400"/>
      <c r="D63" s="400"/>
      <c r="E63" s="401"/>
      <c r="F63" s="402"/>
      <c r="G63" s="402"/>
      <c r="H63" s="403"/>
      <c r="I63" s="403"/>
      <c r="J63" s="403"/>
      <c r="K63" s="402"/>
      <c r="L63" s="404"/>
      <c r="M63" s="402"/>
      <c r="N63" s="405"/>
    </row>
    <row r="64" spans="1:15" s="355" customFormat="1" ht="13.5">
      <c r="C64" s="400"/>
      <c r="D64" s="400"/>
      <c r="E64" s="401"/>
      <c r="F64" s="402"/>
      <c r="G64" s="402"/>
      <c r="H64" s="403"/>
      <c r="I64" s="403"/>
      <c r="J64" s="403"/>
      <c r="K64" s="402"/>
      <c r="L64" s="404"/>
      <c r="M64" s="402"/>
      <c r="N64" s="405"/>
    </row>
    <row r="65" spans="3:14" s="355" customFormat="1" ht="13.5">
      <c r="C65" s="400"/>
      <c r="D65" s="400"/>
      <c r="E65" s="401"/>
      <c r="F65" s="402"/>
      <c r="G65" s="402"/>
      <c r="H65" s="403"/>
      <c r="I65" s="403"/>
      <c r="J65" s="403"/>
      <c r="K65" s="402"/>
      <c r="L65" s="404"/>
      <c r="M65" s="402"/>
      <c r="N65" s="405"/>
    </row>
    <row r="66" spans="3:14" s="355" customFormat="1" ht="13.5">
      <c r="C66" s="400"/>
      <c r="D66" s="400"/>
      <c r="E66" s="401"/>
      <c r="F66" s="402"/>
      <c r="G66" s="402"/>
      <c r="H66" s="403"/>
      <c r="I66" s="403"/>
      <c r="J66" s="403"/>
      <c r="K66" s="402"/>
      <c r="L66" s="404"/>
      <c r="M66" s="402"/>
      <c r="N66" s="405"/>
    </row>
    <row r="67" spans="3:14" s="355" customFormat="1" ht="13.5">
      <c r="C67" s="400"/>
      <c r="D67" s="400"/>
      <c r="E67" s="401"/>
      <c r="F67" s="402"/>
      <c r="G67" s="402"/>
      <c r="H67" s="403"/>
      <c r="I67" s="403"/>
      <c r="J67" s="403"/>
      <c r="K67" s="402"/>
      <c r="L67" s="404"/>
      <c r="M67" s="402"/>
      <c r="N67" s="405"/>
    </row>
    <row r="68" spans="3:14" s="355" customFormat="1" ht="13.5">
      <c r="C68" s="400"/>
      <c r="D68" s="400"/>
      <c r="E68" s="401"/>
      <c r="F68" s="402"/>
      <c r="G68" s="402"/>
      <c r="H68" s="403"/>
      <c r="I68" s="403"/>
      <c r="J68" s="403"/>
      <c r="K68" s="402"/>
      <c r="L68" s="404"/>
      <c r="M68" s="402"/>
      <c r="N68" s="405"/>
    </row>
    <row r="69" spans="3:14" s="355" customFormat="1" ht="13.5">
      <c r="C69" s="400"/>
      <c r="D69" s="400"/>
      <c r="E69" s="401"/>
      <c r="F69" s="402"/>
      <c r="G69" s="402"/>
      <c r="H69" s="403"/>
      <c r="I69" s="403"/>
      <c r="J69" s="403"/>
      <c r="K69" s="402"/>
      <c r="L69" s="404"/>
      <c r="M69" s="402"/>
      <c r="N69" s="405"/>
    </row>
    <row r="70" spans="3:14" s="355" customFormat="1" ht="13.5">
      <c r="C70" s="400"/>
      <c r="D70" s="400"/>
      <c r="E70" s="401"/>
      <c r="F70" s="402"/>
      <c r="G70" s="402"/>
      <c r="H70" s="403"/>
      <c r="I70" s="403"/>
      <c r="J70" s="403"/>
      <c r="K70" s="402"/>
      <c r="L70" s="404"/>
      <c r="M70" s="402"/>
      <c r="N70" s="405"/>
    </row>
    <row r="71" spans="3:14" s="355" customFormat="1" ht="13.5">
      <c r="C71" s="400"/>
      <c r="D71" s="400"/>
      <c r="E71" s="401"/>
      <c r="F71" s="402"/>
      <c r="G71" s="402"/>
      <c r="H71" s="403"/>
      <c r="I71" s="403"/>
      <c r="J71" s="403"/>
      <c r="K71" s="402"/>
      <c r="L71" s="404"/>
      <c r="M71" s="402"/>
      <c r="N71" s="405"/>
    </row>
    <row r="72" spans="3:14" s="355" customFormat="1" ht="13.5">
      <c r="C72" s="400"/>
      <c r="D72" s="400"/>
      <c r="E72" s="401"/>
      <c r="F72" s="402"/>
      <c r="G72" s="402"/>
      <c r="H72" s="403"/>
      <c r="I72" s="403"/>
      <c r="J72" s="403"/>
      <c r="K72" s="402"/>
      <c r="L72" s="404"/>
      <c r="M72" s="402"/>
      <c r="N72" s="405"/>
    </row>
    <row r="73" spans="3:14" s="355" customFormat="1" ht="13.5">
      <c r="C73" s="400"/>
      <c r="D73" s="400"/>
      <c r="E73" s="401"/>
      <c r="F73" s="402"/>
      <c r="G73" s="402"/>
      <c r="H73" s="403"/>
      <c r="I73" s="403"/>
      <c r="J73" s="403"/>
      <c r="K73" s="402"/>
      <c r="L73" s="404"/>
      <c r="M73" s="402"/>
      <c r="N73" s="405"/>
    </row>
    <row r="74" spans="3:14" s="355" customFormat="1" ht="13.5">
      <c r="C74" s="400"/>
      <c r="D74" s="400"/>
      <c r="E74" s="401"/>
      <c r="F74" s="402"/>
      <c r="G74" s="402"/>
      <c r="H74" s="403"/>
      <c r="I74" s="403"/>
      <c r="J74" s="403"/>
      <c r="K74" s="402"/>
      <c r="L74" s="404"/>
      <c r="M74" s="402"/>
      <c r="N74" s="405"/>
    </row>
    <row r="75" spans="3:14" s="355" customFormat="1" ht="13.5">
      <c r="C75" s="400"/>
      <c r="D75" s="400"/>
      <c r="E75" s="401"/>
      <c r="F75" s="402"/>
      <c r="G75" s="402"/>
      <c r="H75" s="403"/>
      <c r="I75" s="403"/>
      <c r="J75" s="403"/>
      <c r="K75" s="402"/>
      <c r="L75" s="404"/>
      <c r="M75" s="407"/>
      <c r="N75" s="405"/>
    </row>
    <row r="76" spans="3:14" s="355" customFormat="1" ht="13.5">
      <c r="C76" s="400"/>
      <c r="D76" s="400"/>
      <c r="E76" s="401"/>
      <c r="F76" s="402"/>
      <c r="G76" s="403"/>
      <c r="H76" s="403"/>
      <c r="I76" s="403"/>
      <c r="J76" s="403"/>
      <c r="K76" s="408"/>
      <c r="L76" s="404"/>
      <c r="M76" s="407"/>
      <c r="N76" s="405"/>
    </row>
    <row r="77" spans="3:14" s="355" customFormat="1" ht="13.5">
      <c r="C77" s="352"/>
      <c r="D77" s="352"/>
      <c r="E77" s="352"/>
      <c r="F77" s="352"/>
      <c r="G77" s="352"/>
      <c r="H77" s="352"/>
      <c r="I77" s="352"/>
      <c r="J77" s="352"/>
      <c r="K77" s="352"/>
      <c r="L77" s="1403">
        <f>SUM(L6:L75)</f>
        <v>2694800</v>
      </c>
      <c r="M77" s="352"/>
      <c r="N77" s="352"/>
    </row>
    <row r="78" spans="3:14" ht="14.25" customHeight="1">
      <c r="C78" s="31"/>
      <c r="D78" s="27"/>
      <c r="E78" s="20"/>
      <c r="F78" s="28"/>
      <c r="G78" s="28"/>
      <c r="H78" s="26"/>
      <c r="I78" s="26"/>
      <c r="J78" s="26"/>
      <c r="K78" s="28"/>
      <c r="L78" s="179"/>
      <c r="M78" s="28"/>
      <c r="N78" s="27"/>
    </row>
    <row r="79" spans="3:14" s="1" customFormat="1" ht="14.25" customHeight="1">
      <c r="C79" s="31"/>
      <c r="D79" s="27"/>
      <c r="E79" s="21"/>
      <c r="F79" s="28"/>
      <c r="G79" s="28"/>
      <c r="H79" s="26"/>
      <c r="I79" s="26"/>
      <c r="J79" s="26"/>
      <c r="K79" s="28"/>
      <c r="L79" s="179"/>
      <c r="M79" s="28"/>
      <c r="N79" s="27"/>
    </row>
    <row r="80" spans="3:14" s="1" customFormat="1" ht="14.25" customHeight="1">
      <c r="C80" s="30"/>
      <c r="D80" s="25"/>
      <c r="E80" s="21"/>
      <c r="F80" s="22"/>
      <c r="G80" s="22"/>
      <c r="H80" s="23"/>
      <c r="I80" s="23"/>
      <c r="J80" s="23"/>
      <c r="K80" s="22"/>
      <c r="L80" s="180"/>
      <c r="M80" s="22"/>
      <c r="N80" s="25"/>
    </row>
  </sheetData>
  <mergeCells count="10">
    <mergeCell ref="M6:M9"/>
    <mergeCell ref="C10:D10"/>
    <mergeCell ref="M2:M3"/>
    <mergeCell ref="N2:N3"/>
    <mergeCell ref="C31:C32"/>
    <mergeCell ref="C33:C35"/>
    <mergeCell ref="C2:G2"/>
    <mergeCell ref="H2:J2"/>
    <mergeCell ref="K2:L2"/>
    <mergeCell ref="C6:C9"/>
  </mergeCell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B8577-FD4F-45AA-9C0D-55865DCD9E48}">
  <sheetPr>
    <tabColor rgb="FF00B0F0"/>
  </sheetPr>
  <dimension ref="A1:O93"/>
  <sheetViews>
    <sheetView topLeftCell="D1" zoomScale="85" zoomScaleNormal="85" workbookViewId="0">
      <pane ySplit="4" topLeftCell="A20" activePane="bottomLeft" state="frozen"/>
      <selection pane="bottomLeft" activeCell="L37" sqref="L37"/>
    </sheetView>
  </sheetViews>
  <sheetFormatPr defaultRowHeight="15"/>
  <cols>
    <col min="3" max="3" width="21.42578125" customWidth="1"/>
    <col min="4" max="4" width="49.7109375" bestFit="1"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style="99" customWidth="1"/>
    <col min="13" max="13" width="16.28515625" customWidth="1"/>
    <col min="14" max="14" width="12.85546875" customWidth="1"/>
    <col min="17" max="17" width="73.7109375" bestFit="1" customWidth="1"/>
  </cols>
  <sheetData>
    <row r="1" spans="1:15" s="355" customFormat="1" ht="13.5">
      <c r="L1" s="32"/>
    </row>
    <row r="2" spans="1:15" s="355" customFormat="1" ht="13.5">
      <c r="C2" s="2601" t="s">
        <v>30</v>
      </c>
      <c r="D2" s="2602"/>
      <c r="E2" s="2602"/>
      <c r="F2" s="2602"/>
      <c r="G2" s="2603"/>
      <c r="H2" s="2604" t="s">
        <v>29</v>
      </c>
      <c r="I2" s="2605"/>
      <c r="J2" s="2606"/>
      <c r="K2" s="2601" t="s">
        <v>28</v>
      </c>
      <c r="L2" s="2603"/>
      <c r="M2" s="2594" t="s">
        <v>27</v>
      </c>
      <c r="N2" s="2594" t="s">
        <v>26</v>
      </c>
    </row>
    <row r="3" spans="1:15" s="355" customFormat="1" ht="94.5">
      <c r="C3" s="618" t="s">
        <v>25</v>
      </c>
      <c r="D3" s="852" t="s">
        <v>24</v>
      </c>
      <c r="E3" s="991" t="s">
        <v>23</v>
      </c>
      <c r="F3" s="618" t="s">
        <v>22</v>
      </c>
      <c r="G3" s="532" t="s">
        <v>1303</v>
      </c>
      <c r="H3" s="532" t="s">
        <v>20</v>
      </c>
      <c r="I3" s="532" t="s">
        <v>19</v>
      </c>
      <c r="J3" s="532" t="s">
        <v>18</v>
      </c>
      <c r="K3" s="618" t="s">
        <v>17</v>
      </c>
      <c r="L3" s="605" t="s">
        <v>16</v>
      </c>
      <c r="M3" s="2594"/>
      <c r="N3" s="2594"/>
    </row>
    <row r="4" spans="1:15" s="355" customFormat="1" ht="27">
      <c r="C4" s="1076" t="s">
        <v>15</v>
      </c>
      <c r="D4" s="1076" t="s">
        <v>14</v>
      </c>
      <c r="E4" s="1076" t="s">
        <v>13</v>
      </c>
      <c r="F4" s="1076" t="s">
        <v>12</v>
      </c>
      <c r="G4" s="1076" t="s">
        <v>11</v>
      </c>
      <c r="H4" s="1076" t="s">
        <v>10</v>
      </c>
      <c r="I4" s="1076" t="s">
        <v>9</v>
      </c>
      <c r="J4" s="1076" t="s">
        <v>8</v>
      </c>
      <c r="K4" s="1076" t="s">
        <v>7</v>
      </c>
      <c r="L4" s="1077" t="s">
        <v>6</v>
      </c>
      <c r="M4" s="1076" t="s">
        <v>5</v>
      </c>
      <c r="N4" s="1076" t="s">
        <v>4</v>
      </c>
    </row>
    <row r="5" spans="1:15" s="455" customFormat="1" ht="25.5" customHeight="1">
      <c r="A5" s="471"/>
      <c r="B5" s="454"/>
      <c r="C5" s="1497" t="s">
        <v>3902</v>
      </c>
      <c r="D5" s="2298" t="s">
        <v>3903</v>
      </c>
      <c r="E5" s="2289"/>
      <c r="F5" s="221"/>
      <c r="G5" s="19"/>
      <c r="H5" s="1494"/>
      <c r="I5" s="2290"/>
      <c r="J5" s="2291"/>
      <c r="K5" s="221"/>
      <c r="L5" s="2292"/>
      <c r="M5" s="1345"/>
      <c r="N5" s="1345"/>
    </row>
    <row r="6" spans="1:15" s="455" customFormat="1">
      <c r="A6" s="471"/>
      <c r="B6" s="454"/>
      <c r="C6" s="2293"/>
      <c r="D6" s="2294"/>
      <c r="E6" s="2289"/>
      <c r="F6" s="2295"/>
      <c r="G6" s="221"/>
      <c r="H6" s="19"/>
      <c r="I6" s="1494"/>
      <c r="J6" s="2290"/>
      <c r="K6" s="2291"/>
      <c r="L6" s="221"/>
      <c r="M6" s="1496"/>
      <c r="N6" s="1345"/>
      <c r="O6" s="1345"/>
    </row>
    <row r="7" spans="1:15" s="455" customFormat="1" ht="27">
      <c r="A7" s="471"/>
      <c r="B7" s="454" t="s">
        <v>3584</v>
      </c>
      <c r="C7" s="902"/>
      <c r="D7" s="902" t="s">
        <v>3904</v>
      </c>
      <c r="E7" s="902" t="s">
        <v>3836</v>
      </c>
      <c r="F7" s="2250" t="s">
        <v>1104</v>
      </c>
      <c r="G7" s="2177" t="s">
        <v>828</v>
      </c>
      <c r="H7" s="2251" t="s">
        <v>3879</v>
      </c>
      <c r="I7" s="2251" t="s">
        <v>3588</v>
      </c>
      <c r="J7" s="2251" t="s">
        <v>3881</v>
      </c>
      <c r="K7" s="2179" t="s">
        <v>3589</v>
      </c>
      <c r="L7" s="2252">
        <v>50000</v>
      </c>
      <c r="M7" s="2253" t="s">
        <v>99</v>
      </c>
      <c r="N7" s="460"/>
      <c r="O7" s="1526"/>
    </row>
    <row r="8" spans="1:15" s="455" customFormat="1" ht="13.5">
      <c r="A8" s="471"/>
      <c r="B8" s="454"/>
      <c r="C8" s="902"/>
      <c r="D8" s="902"/>
      <c r="E8" s="902"/>
      <c r="F8" s="1380"/>
      <c r="G8" s="636"/>
      <c r="H8" s="1462"/>
      <c r="I8" s="1462"/>
      <c r="J8" s="1462"/>
      <c r="K8" s="1380"/>
      <c r="L8" s="1463"/>
      <c r="M8" s="1172"/>
      <c r="N8" s="460"/>
      <c r="O8" s="1527"/>
    </row>
    <row r="9" spans="1:15" s="455" customFormat="1" ht="13.5">
      <c r="A9" s="471"/>
      <c r="B9" s="454"/>
      <c r="C9" s="902"/>
      <c r="D9" s="1153"/>
      <c r="E9" s="902"/>
      <c r="F9" s="1380"/>
      <c r="G9" s="636"/>
      <c r="H9" s="1462"/>
      <c r="I9" s="1462"/>
      <c r="J9" s="1462"/>
      <c r="K9" s="1380"/>
      <c r="L9" s="1463"/>
      <c r="M9" s="1172"/>
      <c r="N9" s="460"/>
      <c r="O9" s="1527"/>
    </row>
    <row r="10" spans="1:15" s="455" customFormat="1" ht="13.5">
      <c r="A10" s="471"/>
      <c r="B10" s="454"/>
      <c r="C10" s="902"/>
      <c r="D10" s="1153"/>
      <c r="E10" s="902"/>
      <c r="F10" s="1380"/>
      <c r="G10" s="636"/>
      <c r="H10" s="1462"/>
      <c r="I10" s="1462"/>
      <c r="J10" s="1462"/>
      <c r="K10" s="1380"/>
      <c r="L10" s="1463"/>
      <c r="M10" s="1172"/>
      <c r="N10" s="460"/>
      <c r="O10" s="1527"/>
    </row>
    <row r="11" spans="1:15" s="455" customFormat="1" ht="13.5">
      <c r="A11" s="471"/>
      <c r="B11" s="454"/>
      <c r="C11" s="902"/>
      <c r="D11" s="1712" t="s">
        <v>5217</v>
      </c>
      <c r="E11" s="902"/>
      <c r="F11" s="1380"/>
      <c r="G11" s="636"/>
      <c r="H11" s="1462"/>
      <c r="I11" s="1462"/>
      <c r="J11" s="1462"/>
      <c r="K11" s="1380"/>
      <c r="L11" s="1463"/>
      <c r="M11" s="1172"/>
      <c r="N11" s="460"/>
      <c r="O11" s="1527"/>
    </row>
    <row r="12" spans="1:15" s="455" customFormat="1" ht="27">
      <c r="A12" s="471"/>
      <c r="B12" s="454" t="s">
        <v>4006</v>
      </c>
      <c r="C12" s="2989" t="s">
        <v>5216</v>
      </c>
      <c r="D12" s="1826" t="s">
        <v>5218</v>
      </c>
      <c r="E12" s="3057" t="s">
        <v>3836</v>
      </c>
      <c r="F12" s="2922" t="s">
        <v>3</v>
      </c>
      <c r="G12" s="3058" t="s">
        <v>828</v>
      </c>
      <c r="H12" s="2922" t="s">
        <v>4603</v>
      </c>
      <c r="I12" s="1713" t="s">
        <v>4719</v>
      </c>
      <c r="J12" s="3059" t="s">
        <v>4719</v>
      </c>
      <c r="K12" s="3060" t="s">
        <v>2216</v>
      </c>
      <c r="L12" s="3061">
        <v>95000</v>
      </c>
      <c r="M12" s="2789" t="s">
        <v>4604</v>
      </c>
      <c r="N12" s="3062"/>
    </row>
    <row r="13" spans="1:15" s="455" customFormat="1" ht="27">
      <c r="A13" s="471"/>
      <c r="B13" s="454" t="s">
        <v>4006</v>
      </c>
      <c r="C13" s="2993"/>
      <c r="D13" s="3063" t="s">
        <v>5219</v>
      </c>
      <c r="E13" s="3057" t="s">
        <v>3761</v>
      </c>
      <c r="F13" s="2926" t="s">
        <v>2757</v>
      </c>
      <c r="G13" s="3064"/>
      <c r="H13" s="2926" t="s">
        <v>5220</v>
      </c>
      <c r="I13" s="1835" t="s">
        <v>4603</v>
      </c>
      <c r="J13" s="2099" t="s">
        <v>4603</v>
      </c>
      <c r="K13" s="3065"/>
      <c r="L13" s="3061">
        <v>405110</v>
      </c>
      <c r="M13" s="2790"/>
      <c r="N13" s="3066"/>
    </row>
    <row r="14" spans="1:15" s="455" customFormat="1" ht="27">
      <c r="A14" s="471"/>
      <c r="B14" s="454" t="s">
        <v>4006</v>
      </c>
      <c r="C14" s="2993"/>
      <c r="D14" s="2875" t="s">
        <v>5221</v>
      </c>
      <c r="E14" s="3067" t="s">
        <v>3895</v>
      </c>
      <c r="F14" s="2926" t="s">
        <v>2757</v>
      </c>
      <c r="G14" s="3064"/>
      <c r="H14" s="2926" t="s">
        <v>5220</v>
      </c>
      <c r="I14" s="1835" t="s">
        <v>4603</v>
      </c>
      <c r="J14" s="2099" t="s">
        <v>4603</v>
      </c>
      <c r="K14" s="3065"/>
      <c r="L14" s="3061">
        <v>300417</v>
      </c>
      <c r="M14" s="1840"/>
      <c r="N14" s="3066"/>
    </row>
    <row r="15" spans="1:15" s="455" customFormat="1" ht="27">
      <c r="A15" s="471"/>
      <c r="B15" s="454" t="s">
        <v>4006</v>
      </c>
      <c r="C15" s="2993"/>
      <c r="D15" s="2875" t="s">
        <v>5222</v>
      </c>
      <c r="E15" s="3067" t="s">
        <v>3836</v>
      </c>
      <c r="F15" s="2926" t="s">
        <v>422</v>
      </c>
      <c r="G15" s="3064" t="s">
        <v>828</v>
      </c>
      <c r="H15" s="2926" t="s">
        <v>4717</v>
      </c>
      <c r="I15" s="1835" t="s">
        <v>5223</v>
      </c>
      <c r="J15" s="2099" t="s">
        <v>4717</v>
      </c>
      <c r="K15" s="3065"/>
      <c r="L15" s="3068">
        <v>63000</v>
      </c>
      <c r="M15" s="1840"/>
      <c r="N15" s="3066"/>
    </row>
    <row r="16" spans="1:15" s="455" customFormat="1" ht="27">
      <c r="A16" s="471"/>
      <c r="B16" s="454" t="s">
        <v>4006</v>
      </c>
      <c r="C16" s="2993"/>
      <c r="D16" s="3063" t="s">
        <v>5224</v>
      </c>
      <c r="E16" s="3067" t="s">
        <v>3836</v>
      </c>
      <c r="F16" s="2926" t="s">
        <v>2757</v>
      </c>
      <c r="G16" s="3064"/>
      <c r="H16" s="2926" t="s">
        <v>4414</v>
      </c>
      <c r="I16" s="1835" t="s">
        <v>4414</v>
      </c>
      <c r="J16" s="2122" t="s">
        <v>4414</v>
      </c>
      <c r="K16" s="1955"/>
      <c r="L16" s="3068">
        <v>100000</v>
      </c>
      <c r="M16" s="1840"/>
      <c r="N16" s="3066"/>
    </row>
    <row r="17" spans="1:15" s="455" customFormat="1" ht="13.5">
      <c r="A17" s="471"/>
      <c r="B17" s="454"/>
      <c r="C17" s="902"/>
      <c r="D17" s="902"/>
      <c r="E17" s="902"/>
      <c r="F17" s="1380"/>
      <c r="G17" s="636"/>
      <c r="H17" s="1462"/>
      <c r="I17" s="1462"/>
      <c r="J17" s="1462"/>
      <c r="K17" s="1380"/>
      <c r="L17" s="1463"/>
      <c r="M17" s="1172"/>
      <c r="N17" s="460"/>
      <c r="O17" s="1527"/>
    </row>
    <row r="18" spans="1:15" s="455" customFormat="1" ht="13.5">
      <c r="A18" s="471"/>
      <c r="B18" s="454"/>
      <c r="C18" s="902"/>
      <c r="D18" s="902"/>
      <c r="E18" s="902"/>
      <c r="F18" s="1380"/>
      <c r="G18" s="636"/>
      <c r="H18" s="1462"/>
      <c r="I18" s="1462"/>
      <c r="J18" s="1462"/>
      <c r="K18" s="1380"/>
      <c r="L18" s="1463"/>
      <c r="M18" s="1172"/>
      <c r="N18" s="460"/>
      <c r="O18" s="1527"/>
    </row>
    <row r="19" spans="1:15" s="455" customFormat="1" ht="13.5">
      <c r="A19" s="471"/>
      <c r="B19" s="454"/>
      <c r="C19" s="902"/>
      <c r="D19" s="902"/>
      <c r="E19" s="902"/>
      <c r="F19" s="1380"/>
      <c r="G19" s="636"/>
      <c r="H19" s="1462"/>
      <c r="I19" s="1462"/>
      <c r="J19" s="1462"/>
      <c r="K19" s="1380"/>
      <c r="L19" s="1463"/>
      <c r="M19" s="1172"/>
      <c r="N19" s="460"/>
      <c r="O19" s="1527"/>
    </row>
    <row r="20" spans="1:15" s="455" customFormat="1" ht="13.5">
      <c r="A20" s="471"/>
      <c r="B20" s="454"/>
      <c r="C20" s="902"/>
      <c r="D20" s="902"/>
      <c r="E20" s="902"/>
      <c r="F20" s="1380"/>
      <c r="G20" s="636"/>
      <c r="H20" s="1462"/>
      <c r="I20" s="1462"/>
      <c r="J20" s="1462"/>
      <c r="K20" s="1380"/>
      <c r="L20" s="1463"/>
      <c r="M20" s="1172"/>
      <c r="N20" s="460"/>
      <c r="O20" s="1527"/>
    </row>
    <row r="21" spans="1:15" s="455" customFormat="1" ht="13.5">
      <c r="A21" s="471"/>
      <c r="B21" s="454"/>
      <c r="C21" s="902"/>
      <c r="D21" s="902"/>
      <c r="E21" s="902"/>
      <c r="F21" s="1380"/>
      <c r="G21" s="636"/>
      <c r="H21" s="1462"/>
      <c r="I21" s="1462"/>
      <c r="J21" s="1462"/>
      <c r="K21" s="1380"/>
      <c r="L21" s="1463"/>
      <c r="M21" s="1172"/>
      <c r="N21" s="460"/>
      <c r="O21" s="1527"/>
    </row>
    <row r="22" spans="1:15" s="455" customFormat="1" ht="13.5">
      <c r="A22" s="471"/>
      <c r="B22" s="454"/>
      <c r="C22" s="902"/>
      <c r="D22" s="902"/>
      <c r="E22" s="902"/>
      <c r="F22" s="1380"/>
      <c r="G22" s="636"/>
      <c r="H22" s="1462"/>
      <c r="I22" s="1462"/>
      <c r="J22" s="1462"/>
      <c r="K22" s="1380"/>
      <c r="L22" s="1463"/>
      <c r="M22" s="1172"/>
      <c r="N22" s="460"/>
      <c r="O22" s="1527"/>
    </row>
    <row r="23" spans="1:15" s="455" customFormat="1" ht="13.5">
      <c r="A23" s="471"/>
      <c r="B23" s="454"/>
      <c r="C23" s="1559"/>
      <c r="D23" s="1560"/>
      <c r="E23" s="280"/>
      <c r="F23" s="280"/>
      <c r="G23" s="1561"/>
      <c r="H23" s="1561"/>
      <c r="I23" s="1562"/>
      <c r="J23" s="1562"/>
      <c r="K23" s="1562"/>
      <c r="L23" s="1561"/>
      <c r="M23" s="1563"/>
      <c r="N23" s="1561"/>
      <c r="O23" s="1561"/>
    </row>
    <row r="24" spans="1:15" s="455" customFormat="1" ht="13.5">
      <c r="A24" s="471"/>
      <c r="B24" s="454"/>
      <c r="C24" s="1564"/>
      <c r="D24" s="1533"/>
      <c r="E24" s="280"/>
      <c r="F24" s="1565"/>
      <c r="G24" s="1561"/>
      <c r="H24" s="1566"/>
      <c r="I24" s="1566"/>
      <c r="J24" s="1566"/>
      <c r="K24" s="1565"/>
      <c r="L24" s="1567"/>
      <c r="M24" s="1533"/>
      <c r="N24" s="1561"/>
    </row>
    <row r="25" spans="1:15" s="455" customFormat="1" ht="13.5">
      <c r="A25" s="471"/>
      <c r="B25" s="454"/>
      <c r="C25" s="1568"/>
      <c r="D25" s="1569"/>
      <c r="E25" s="280"/>
      <c r="F25" s="1570"/>
      <c r="G25" s="1571"/>
      <c r="H25" s="1571"/>
      <c r="I25" s="1566"/>
      <c r="J25" s="1566"/>
      <c r="K25" s="1566"/>
      <c r="L25" s="1565"/>
      <c r="M25" s="1572"/>
      <c r="N25" s="1533"/>
      <c r="O25" s="1565"/>
    </row>
    <row r="26" spans="1:15" s="455" customFormat="1" ht="13.5">
      <c r="A26" s="471"/>
      <c r="B26" s="454"/>
      <c r="C26" s="1568"/>
      <c r="D26" s="1573"/>
      <c r="E26" s="280"/>
      <c r="F26" s="1570"/>
      <c r="G26" s="1571"/>
      <c r="H26" s="1571"/>
      <c r="I26" s="1566"/>
      <c r="J26" s="1566"/>
      <c r="K26" s="1566"/>
      <c r="L26" s="1565"/>
      <c r="M26" s="1572"/>
      <c r="N26" s="1533"/>
      <c r="O26" s="1565"/>
    </row>
    <row r="27" spans="1:15" s="455" customFormat="1" ht="13.5">
      <c r="A27" s="471"/>
      <c r="B27" s="454"/>
      <c r="C27" s="1574"/>
      <c r="D27" s="1575"/>
      <c r="E27" s="280"/>
      <c r="F27" s="1576"/>
      <c r="G27" s="1561"/>
      <c r="H27" s="1577"/>
      <c r="I27" s="1578"/>
      <c r="J27" s="1571"/>
      <c r="K27" s="1579"/>
      <c r="L27" s="1577"/>
      <c r="M27" s="1563"/>
      <c r="N27" s="1580"/>
      <c r="O27" s="1577"/>
    </row>
    <row r="28" spans="1:15" s="455" customFormat="1" ht="13.5">
      <c r="A28" s="471"/>
      <c r="B28" s="454"/>
      <c r="C28" s="1577"/>
      <c r="D28" s="1575"/>
      <c r="E28" s="280"/>
      <c r="F28" s="1576"/>
      <c r="G28" s="1561"/>
      <c r="H28" s="1577"/>
      <c r="I28" s="1578"/>
      <c r="J28" s="1571"/>
      <c r="K28" s="1579"/>
      <c r="L28" s="1577"/>
      <c r="M28" s="1563"/>
      <c r="N28" s="1580"/>
      <c r="O28" s="1577"/>
    </row>
    <row r="29" spans="1:15" s="455" customFormat="1" ht="13.5">
      <c r="A29" s="471"/>
      <c r="B29" s="454"/>
      <c r="C29" s="1561"/>
      <c r="D29" s="1581"/>
      <c r="E29" s="280"/>
      <c r="F29" s="280"/>
      <c r="G29" s="1561"/>
      <c r="H29" s="1561"/>
      <c r="I29" s="1562"/>
      <c r="J29" s="1562"/>
      <c r="K29" s="1582"/>
      <c r="L29" s="1561"/>
      <c r="M29" s="1563"/>
      <c r="N29" s="1561"/>
      <c r="O29" s="1561"/>
    </row>
    <row r="30" spans="1:15" s="455" customFormat="1" ht="13.5">
      <c r="A30" s="471"/>
      <c r="B30" s="454"/>
      <c r="C30" s="471"/>
      <c r="D30" s="456"/>
      <c r="E30" s="459"/>
      <c r="F30" s="466"/>
      <c r="G30" s="471"/>
      <c r="H30" s="477"/>
      <c r="I30" s="526"/>
      <c r="J30" s="526"/>
      <c r="K30" s="526"/>
      <c r="L30" s="473"/>
      <c r="M30" s="529"/>
      <c r="N30" s="471"/>
      <c r="O30" s="458"/>
    </row>
    <row r="31" spans="1:15" s="455" customFormat="1" ht="13.5">
      <c r="A31" s="471"/>
      <c r="B31" s="454"/>
      <c r="C31" s="314"/>
      <c r="D31" s="309"/>
      <c r="E31" s="309"/>
      <c r="F31" s="309"/>
      <c r="G31" s="309"/>
      <c r="H31" s="309"/>
      <c r="I31" s="309"/>
      <c r="J31" s="309"/>
      <c r="K31" s="309"/>
      <c r="L31" s="309"/>
      <c r="M31" s="309"/>
      <c r="N31" s="309"/>
    </row>
    <row r="32" spans="1:15" s="455" customFormat="1" ht="13.5">
      <c r="A32" s="471"/>
      <c r="B32" s="454"/>
      <c r="C32" s="314"/>
      <c r="D32" s="314"/>
      <c r="E32" s="309"/>
      <c r="F32" s="309"/>
      <c r="G32" s="497"/>
      <c r="H32" s="1056"/>
      <c r="I32" s="309"/>
      <c r="J32" s="309"/>
      <c r="K32" s="499"/>
      <c r="L32" s="1069"/>
      <c r="M32" s="309"/>
      <c r="N32" s="454"/>
    </row>
    <row r="33" spans="1:14" s="455" customFormat="1" ht="13.5">
      <c r="A33" s="471"/>
      <c r="B33" s="454"/>
      <c r="C33" s="314"/>
      <c r="D33" s="314"/>
      <c r="E33" s="309"/>
      <c r="F33" s="309"/>
      <c r="G33" s="497"/>
      <c r="H33" s="1056"/>
      <c r="I33" s="309"/>
      <c r="J33" s="309"/>
      <c r="K33" s="499"/>
      <c r="L33" s="1069"/>
      <c r="M33" s="499"/>
      <c r="N33" s="458"/>
    </row>
    <row r="34" spans="1:14" s="455" customFormat="1" ht="13.5">
      <c r="A34" s="471"/>
      <c r="B34" s="454"/>
      <c r="C34" s="314"/>
      <c r="D34" s="314"/>
      <c r="E34" s="309"/>
      <c r="F34" s="309"/>
      <c r="G34" s="497"/>
      <c r="H34" s="1056"/>
      <c r="I34" s="309"/>
      <c r="J34" s="309"/>
      <c r="K34" s="499"/>
      <c r="L34" s="1069"/>
      <c r="M34" s="499"/>
      <c r="N34" s="458"/>
    </row>
    <row r="35" spans="1:14" s="455" customFormat="1" ht="13.5">
      <c r="A35" s="471"/>
      <c r="B35" s="454"/>
      <c r="C35" s="314"/>
      <c r="D35" s="314"/>
      <c r="E35" s="662"/>
      <c r="F35" s="309"/>
      <c r="G35" s="497"/>
      <c r="H35" s="1056"/>
      <c r="I35" s="985"/>
      <c r="J35" s="985"/>
      <c r="K35" s="499"/>
      <c r="L35" s="1016"/>
      <c r="M35" s="499"/>
      <c r="N35" s="458"/>
    </row>
    <row r="36" spans="1:14" s="455" customFormat="1" ht="13.5">
      <c r="A36" s="471"/>
      <c r="B36" s="454"/>
      <c r="C36" s="314"/>
      <c r="D36" s="314"/>
      <c r="E36" s="662"/>
      <c r="F36" s="309"/>
      <c r="G36" s="497"/>
      <c r="H36" s="1056"/>
      <c r="I36" s="985"/>
      <c r="J36" s="985"/>
      <c r="K36" s="499"/>
      <c r="L36" s="1016"/>
      <c r="M36" s="499"/>
      <c r="N36" s="458"/>
    </row>
    <row r="37" spans="1:14" s="455" customFormat="1" ht="13.5">
      <c r="A37" s="471"/>
      <c r="B37" s="454"/>
      <c r="C37" s="314"/>
      <c r="D37" s="314"/>
      <c r="E37" s="662"/>
      <c r="F37" s="309"/>
      <c r="G37" s="497"/>
      <c r="H37" s="1056"/>
      <c r="I37" s="985"/>
      <c r="J37" s="985"/>
      <c r="K37" s="499"/>
      <c r="L37" s="1984">
        <f>SUM(L5:L35)</f>
        <v>1013527</v>
      </c>
      <c r="M37" s="499"/>
    </row>
    <row r="38" spans="1:14" s="455" customFormat="1" ht="13.5">
      <c r="A38" s="471"/>
      <c r="B38" s="454"/>
      <c r="C38" s="314"/>
      <c r="D38" s="314"/>
      <c r="E38" s="662"/>
      <c r="F38" s="309"/>
      <c r="G38" s="497"/>
      <c r="H38" s="1056"/>
      <c r="I38" s="985"/>
      <c r="J38" s="985"/>
      <c r="K38" s="499"/>
      <c r="L38" s="1071"/>
      <c r="M38" s="499"/>
    </row>
    <row r="39" spans="1:14" s="455" customFormat="1" ht="13.5">
      <c r="A39" s="471"/>
      <c r="B39" s="454"/>
      <c r="C39" s="314"/>
      <c r="D39" s="314"/>
      <c r="E39" s="662"/>
      <c r="F39" s="309"/>
      <c r="G39" s="497"/>
      <c r="H39" s="1056"/>
      <c r="I39" s="985"/>
      <c r="J39" s="985"/>
      <c r="K39" s="499"/>
      <c r="L39" s="1016"/>
      <c r="M39" s="499"/>
    </row>
    <row r="40" spans="1:14" s="455" customFormat="1" ht="13.5">
      <c r="A40" s="471"/>
      <c r="B40" s="454"/>
      <c r="C40" s="314"/>
      <c r="D40" s="314"/>
      <c r="E40" s="662"/>
      <c r="F40" s="309"/>
      <c r="G40" s="497"/>
      <c r="H40" s="1056"/>
      <c r="I40" s="985"/>
      <c r="J40" s="985"/>
      <c r="K40" s="499"/>
      <c r="L40" s="1016"/>
      <c r="M40" s="499"/>
    </row>
    <row r="41" spans="1:14" s="455" customFormat="1" ht="13.5">
      <c r="A41" s="471"/>
      <c r="B41" s="454"/>
      <c r="C41" s="314"/>
      <c r="D41" s="314"/>
      <c r="E41" s="662"/>
      <c r="F41" s="309"/>
      <c r="G41" s="497"/>
      <c r="H41" s="1056"/>
      <c r="I41" s="985"/>
      <c r="J41" s="985"/>
      <c r="K41" s="499"/>
      <c r="L41" s="1016"/>
      <c r="M41" s="499"/>
      <c r="N41" s="458"/>
    </row>
    <row r="42" spans="1:14" s="455" customFormat="1" ht="13.5">
      <c r="A42" s="471"/>
      <c r="B42" s="454"/>
      <c r="C42" s="314"/>
      <c r="D42" s="314"/>
      <c r="E42" s="662"/>
      <c r="F42" s="309"/>
      <c r="G42" s="497"/>
      <c r="H42" s="1056"/>
      <c r="I42" s="985"/>
      <c r="J42" s="985"/>
      <c r="K42" s="499"/>
      <c r="L42" s="1016"/>
      <c r="M42" s="499"/>
      <c r="N42" s="458"/>
    </row>
    <row r="43" spans="1:14" s="455" customFormat="1" ht="13.5">
      <c r="A43" s="471"/>
      <c r="B43" s="454"/>
      <c r="C43" s="314"/>
      <c r="D43" s="314"/>
      <c r="E43" s="662"/>
      <c r="F43" s="309"/>
      <c r="G43" s="497"/>
      <c r="H43" s="1056"/>
      <c r="I43" s="985"/>
      <c r="J43" s="985"/>
      <c r="K43" s="499"/>
      <c r="L43" s="1016"/>
      <c r="M43" s="499"/>
      <c r="N43" s="458"/>
    </row>
    <row r="44" spans="1:14" s="455" customFormat="1" ht="13.5">
      <c r="A44" s="471"/>
      <c r="B44" s="454"/>
      <c r="C44" s="2591"/>
      <c r="D44" s="314"/>
      <c r="E44" s="662"/>
      <c r="F44" s="309"/>
      <c r="G44" s="497"/>
      <c r="H44" s="1056"/>
      <c r="I44" s="985"/>
      <c r="J44" s="985"/>
      <c r="K44" s="499"/>
      <c r="L44" s="1016"/>
      <c r="M44" s="499"/>
    </row>
    <row r="45" spans="1:14" s="455" customFormat="1" ht="13.5">
      <c r="A45" s="471"/>
      <c r="B45" s="454"/>
      <c r="C45" s="2593"/>
      <c r="D45" s="314"/>
      <c r="E45" s="662"/>
      <c r="F45" s="309"/>
      <c r="G45" s="497"/>
      <c r="H45" s="1056"/>
      <c r="I45" s="985"/>
      <c r="J45" s="985"/>
      <c r="K45" s="499"/>
      <c r="L45" s="1016"/>
      <c r="M45" s="499"/>
      <c r="N45" s="454"/>
    </row>
    <row r="46" spans="1:14" s="455" customFormat="1" ht="13.5">
      <c r="A46" s="471"/>
      <c r="B46" s="454"/>
      <c r="C46" s="2591"/>
      <c r="D46" s="314"/>
      <c r="E46" s="662"/>
      <c r="F46" s="309"/>
      <c r="G46" s="497"/>
      <c r="H46" s="1056"/>
      <c r="I46" s="985"/>
      <c r="J46" s="985"/>
      <c r="K46" s="499"/>
      <c r="L46" s="1016"/>
      <c r="M46" s="499"/>
      <c r="N46" s="458"/>
    </row>
    <row r="47" spans="1:14" s="455" customFormat="1" ht="13.5">
      <c r="A47" s="471"/>
      <c r="B47" s="454"/>
      <c r="C47" s="2592"/>
      <c r="D47" s="314"/>
      <c r="E47" s="662"/>
      <c r="F47" s="309"/>
      <c r="G47" s="497"/>
      <c r="H47" s="1056"/>
      <c r="I47" s="985"/>
      <c r="J47" s="985"/>
      <c r="K47" s="499"/>
      <c r="L47" s="1016"/>
      <c r="M47" s="499"/>
      <c r="N47" s="458"/>
    </row>
    <row r="48" spans="1:14" s="455" customFormat="1" ht="13.5">
      <c r="A48" s="471"/>
      <c r="B48" s="454"/>
      <c r="C48" s="2593"/>
      <c r="D48" s="314"/>
      <c r="E48" s="662"/>
      <c r="F48" s="309"/>
      <c r="G48" s="497"/>
      <c r="H48" s="1056"/>
      <c r="I48" s="985"/>
      <c r="J48" s="985"/>
      <c r="K48" s="499"/>
      <c r="L48" s="1016"/>
      <c r="M48" s="499"/>
      <c r="N48" s="458"/>
    </row>
    <row r="49" spans="1:15" s="455" customFormat="1" ht="13.5">
      <c r="A49" s="471"/>
      <c r="B49" s="454"/>
      <c r="C49" s="314"/>
      <c r="D49" s="314"/>
      <c r="E49" s="662"/>
      <c r="F49" s="309"/>
      <c r="G49" s="497"/>
      <c r="H49" s="985"/>
      <c r="I49" s="985"/>
      <c r="J49" s="985"/>
      <c r="K49" s="499"/>
      <c r="L49" s="1016"/>
      <c r="M49" s="499"/>
      <c r="N49" s="458"/>
    </row>
    <row r="50" spans="1:15" s="455" customFormat="1" ht="13.5">
      <c r="A50" s="471"/>
      <c r="B50" s="454"/>
      <c r="C50" s="314"/>
      <c r="D50" s="314"/>
      <c r="E50" s="662"/>
      <c r="F50" s="309"/>
      <c r="G50" s="497"/>
      <c r="H50" s="985"/>
      <c r="I50" s="985"/>
      <c r="J50" s="985"/>
      <c r="K50" s="499"/>
      <c r="L50" s="1016"/>
      <c r="M50" s="499"/>
      <c r="N50" s="460"/>
    </row>
    <row r="51" spans="1:15" s="455" customFormat="1" ht="13.5">
      <c r="C51" s="314"/>
      <c r="D51" s="314"/>
      <c r="E51" s="662"/>
      <c r="F51" s="662"/>
      <c r="G51" s="309"/>
      <c r="H51" s="497"/>
      <c r="I51" s="1056"/>
      <c r="J51" s="985"/>
      <c r="K51" s="985"/>
      <c r="L51" s="499"/>
      <c r="M51" s="1025"/>
      <c r="N51" s="499"/>
    </row>
    <row r="52" spans="1:15" s="455" customFormat="1" ht="13.5">
      <c r="C52" s="902"/>
      <c r="D52" s="309"/>
      <c r="E52" s="662"/>
      <c r="F52" s="662"/>
      <c r="G52" s="309"/>
      <c r="H52" s="497"/>
      <c r="I52" s="653"/>
      <c r="J52" s="985"/>
      <c r="K52" s="1469"/>
      <c r="L52" s="499"/>
      <c r="M52" s="1025"/>
      <c r="N52" s="499"/>
    </row>
    <row r="53" spans="1:15" s="455" customFormat="1" ht="13.5">
      <c r="A53" s="566"/>
      <c r="B53" s="467"/>
      <c r="C53" s="499"/>
      <c r="D53" s="309"/>
      <c r="E53" s="391"/>
      <c r="F53" s="499"/>
      <c r="G53" s="497"/>
      <c r="H53" s="498"/>
      <c r="I53" s="498"/>
      <c r="J53" s="498"/>
      <c r="K53" s="499"/>
      <c r="L53" s="1470"/>
      <c r="M53" s="309"/>
      <c r="N53" s="499"/>
    </row>
    <row r="54" spans="1:15" s="455" customFormat="1" ht="13.5">
      <c r="A54" s="566"/>
      <c r="B54" s="467"/>
      <c r="C54" s="497"/>
      <c r="D54" s="691"/>
      <c r="E54" s="675"/>
      <c r="F54" s="675"/>
      <c r="G54" s="654"/>
      <c r="H54" s="502"/>
      <c r="I54" s="652"/>
      <c r="J54" s="497"/>
      <c r="K54" s="653"/>
      <c r="L54" s="502"/>
      <c r="M54" s="538"/>
      <c r="N54" s="392"/>
      <c r="O54" s="502"/>
    </row>
    <row r="55" spans="1:15" s="455" customFormat="1" ht="13.5">
      <c r="A55" s="566"/>
      <c r="B55" s="467"/>
      <c r="C55" s="497"/>
      <c r="D55" s="691"/>
      <c r="E55" s="675"/>
      <c r="F55" s="675"/>
      <c r="G55" s="654"/>
      <c r="H55" s="502"/>
      <c r="I55" s="652"/>
      <c r="J55" s="497"/>
      <c r="K55" s="653"/>
      <c r="L55" s="502"/>
      <c r="M55" s="538"/>
      <c r="N55" s="392"/>
      <c r="O55" s="502"/>
    </row>
    <row r="56" spans="1:15" s="455" customFormat="1" ht="13.5">
      <c r="A56" s="566"/>
      <c r="B56" s="467"/>
      <c r="C56" s="497"/>
      <c r="D56" s="691"/>
      <c r="E56" s="675"/>
      <c r="F56" s="675"/>
      <c r="G56" s="654"/>
      <c r="H56" s="502"/>
      <c r="I56" s="652"/>
      <c r="J56" s="497"/>
      <c r="K56" s="653"/>
      <c r="L56" s="502"/>
      <c r="M56" s="538"/>
      <c r="N56" s="392"/>
      <c r="O56" s="502"/>
    </row>
    <row r="57" spans="1:15" s="455" customFormat="1" ht="13.5">
      <c r="A57" s="566"/>
      <c r="B57" s="467"/>
      <c r="C57" s="497"/>
      <c r="D57" s="691"/>
      <c r="E57" s="675"/>
      <c r="F57" s="675"/>
      <c r="G57" s="654"/>
      <c r="H57" s="502"/>
      <c r="I57" s="652"/>
      <c r="J57" s="497"/>
      <c r="K57" s="653"/>
      <c r="L57" s="502"/>
      <c r="M57" s="538"/>
      <c r="N57" s="392"/>
      <c r="O57" s="502"/>
    </row>
    <row r="58" spans="1:15" s="455" customFormat="1" ht="13.5">
      <c r="C58" s="1384"/>
      <c r="D58" s="314"/>
      <c r="E58" s="662"/>
      <c r="F58" s="662"/>
      <c r="G58" s="309"/>
      <c r="H58" s="497"/>
      <c r="I58" s="653"/>
      <c r="J58" s="985"/>
      <c r="K58" s="1469"/>
      <c r="L58" s="499"/>
      <c r="M58" s="1025"/>
      <c r="N58" s="499"/>
    </row>
    <row r="59" spans="1:15" s="455" customFormat="1" ht="13.5">
      <c r="C59" s="1384"/>
      <c r="D59" s="314"/>
      <c r="E59" s="662"/>
      <c r="F59" s="662"/>
      <c r="G59" s="309"/>
      <c r="H59" s="497"/>
      <c r="I59" s="653"/>
      <c r="J59" s="985"/>
      <c r="K59" s="1469"/>
      <c r="L59" s="499"/>
      <c r="M59" s="1025"/>
      <c r="N59" s="499"/>
    </row>
    <row r="60" spans="1:15" s="455" customFormat="1" ht="13.5">
      <c r="A60" s="566"/>
      <c r="B60" s="467"/>
      <c r="C60" s="499"/>
      <c r="D60" s="309"/>
      <c r="E60" s="391"/>
      <c r="F60" s="499"/>
      <c r="G60" s="497"/>
      <c r="H60" s="498"/>
      <c r="I60" s="498"/>
      <c r="J60" s="498"/>
      <c r="K60" s="499"/>
      <c r="L60" s="1470"/>
      <c r="M60" s="309"/>
      <c r="N60" s="499"/>
    </row>
    <row r="61" spans="1:15" s="455" customFormat="1" ht="13.5">
      <c r="A61" s="566"/>
      <c r="B61" s="467"/>
      <c r="C61" s="497"/>
      <c r="D61" s="691"/>
      <c r="E61" s="675"/>
      <c r="F61" s="675"/>
      <c r="G61" s="654"/>
      <c r="H61" s="502"/>
      <c r="I61" s="652"/>
      <c r="J61" s="497"/>
      <c r="K61" s="653"/>
      <c r="L61" s="502"/>
      <c r="M61" s="538"/>
      <c r="N61" s="392"/>
      <c r="O61" s="502"/>
    </row>
    <row r="62" spans="1:15" s="455" customFormat="1" ht="13.5">
      <c r="A62" s="566"/>
      <c r="B62" s="467"/>
      <c r="C62" s="497"/>
      <c r="D62" s="691"/>
      <c r="E62" s="675"/>
      <c r="F62" s="675"/>
      <c r="G62" s="654"/>
      <c r="H62" s="502"/>
      <c r="I62" s="652"/>
      <c r="J62" s="497"/>
      <c r="K62" s="653"/>
      <c r="L62" s="502"/>
      <c r="M62" s="538"/>
      <c r="N62" s="392"/>
      <c r="O62" s="502"/>
    </row>
    <row r="63" spans="1:15" s="455" customFormat="1" ht="13.5">
      <c r="A63" s="566"/>
      <c r="B63" s="467"/>
      <c r="C63" s="497"/>
      <c r="D63" s="691"/>
      <c r="E63" s="675"/>
      <c r="F63" s="675"/>
      <c r="G63" s="654"/>
      <c r="H63" s="502"/>
      <c r="I63" s="652"/>
      <c r="J63" s="497"/>
      <c r="K63" s="653"/>
      <c r="L63" s="502"/>
      <c r="M63" s="538"/>
      <c r="N63" s="392"/>
      <c r="O63" s="502"/>
    </row>
    <row r="64" spans="1:15" s="455" customFormat="1" ht="13.5">
      <c r="A64" s="566"/>
      <c r="B64" s="467"/>
      <c r="C64" s="497"/>
      <c r="D64" s="691"/>
      <c r="E64" s="675"/>
      <c r="F64" s="675"/>
      <c r="G64" s="654"/>
      <c r="H64" s="502"/>
      <c r="I64" s="652"/>
      <c r="J64" s="497"/>
      <c r="K64" s="653"/>
      <c r="L64" s="502"/>
      <c r="M64" s="538"/>
      <c r="N64" s="392"/>
      <c r="O64" s="502"/>
    </row>
    <row r="65" spans="3:15" s="455" customFormat="1" ht="13.5">
      <c r="C65" s="1385"/>
      <c r="D65" s="314"/>
      <c r="E65" s="991"/>
      <c r="F65" s="662"/>
      <c r="G65" s="309"/>
      <c r="H65" s="497"/>
      <c r="I65" s="774"/>
      <c r="J65" s="774"/>
      <c r="K65" s="774"/>
      <c r="L65" s="499"/>
      <c r="M65" s="1028"/>
      <c r="N65" s="499"/>
    </row>
    <row r="66" spans="3:15" s="455" customFormat="1" ht="13.5">
      <c r="C66" s="314"/>
      <c r="D66" s="314"/>
      <c r="E66" s="991"/>
      <c r="F66" s="662"/>
      <c r="G66" s="309"/>
      <c r="H66" s="497"/>
      <c r="I66" s="774"/>
      <c r="J66" s="774"/>
      <c r="K66" s="1471"/>
      <c r="L66" s="499"/>
      <c r="M66" s="1028"/>
      <c r="N66" s="499"/>
    </row>
    <row r="67" spans="3:15" s="455" customFormat="1" ht="13.5">
      <c r="C67" s="1027"/>
      <c r="D67" s="314"/>
      <c r="E67" s="991"/>
      <c r="F67" s="662"/>
      <c r="G67" s="309"/>
      <c r="H67" s="497"/>
      <c r="I67" s="1056"/>
      <c r="J67" s="985"/>
      <c r="K67" s="985"/>
      <c r="L67" s="499"/>
      <c r="M67" s="1028"/>
      <c r="N67" s="499"/>
    </row>
    <row r="68" spans="3:15" s="455" customFormat="1" ht="13.5">
      <c r="C68" s="499"/>
      <c r="D68" s="309"/>
      <c r="E68" s="391"/>
      <c r="F68" s="499"/>
      <c r="G68" s="497"/>
      <c r="H68" s="498"/>
      <c r="I68" s="498"/>
      <c r="J68" s="498"/>
      <c r="K68" s="499"/>
      <c r="L68" s="1472"/>
      <c r="M68" s="309"/>
      <c r="N68" s="499"/>
    </row>
    <row r="69" spans="3:15" s="455" customFormat="1" ht="13.5">
      <c r="C69" s="497"/>
      <c r="D69" s="691"/>
      <c r="E69" s="675"/>
      <c r="F69" s="675"/>
      <c r="G69" s="654"/>
      <c r="H69" s="502"/>
      <c r="I69" s="652"/>
      <c r="J69" s="497"/>
      <c r="K69" s="653"/>
      <c r="L69" s="502"/>
      <c r="M69" s="538"/>
      <c r="N69" s="392"/>
      <c r="O69" s="502"/>
    </row>
    <row r="70" spans="3:15" s="455" customFormat="1" ht="13.5">
      <c r="C70" s="497"/>
      <c r="D70" s="691"/>
      <c r="E70" s="675"/>
      <c r="F70" s="675"/>
      <c r="G70" s="654"/>
      <c r="H70" s="502"/>
      <c r="I70" s="652"/>
      <c r="J70" s="497"/>
      <c r="K70" s="653"/>
      <c r="L70" s="502"/>
      <c r="M70" s="538"/>
      <c r="N70" s="392"/>
      <c r="O70" s="502"/>
    </row>
    <row r="71" spans="3:15" s="455" customFormat="1" ht="13.5">
      <c r="C71" s="497"/>
      <c r="D71" s="691"/>
      <c r="E71" s="675"/>
      <c r="F71" s="675"/>
      <c r="G71" s="654"/>
      <c r="H71" s="502"/>
      <c r="I71" s="652"/>
      <c r="J71" s="497"/>
      <c r="K71" s="653"/>
      <c r="L71" s="502"/>
      <c r="M71" s="538"/>
      <c r="N71" s="392"/>
      <c r="O71" s="502"/>
    </row>
    <row r="72" spans="3:15" s="455" customFormat="1" ht="13.5">
      <c r="C72" s="497"/>
      <c r="D72" s="691"/>
      <c r="E72" s="675"/>
      <c r="F72" s="675"/>
      <c r="G72" s="654"/>
      <c r="H72" s="502"/>
      <c r="I72" s="652"/>
      <c r="J72" s="497"/>
      <c r="K72" s="653"/>
      <c r="L72" s="502"/>
      <c r="M72" s="538"/>
      <c r="N72" s="392"/>
      <c r="O72" s="502"/>
    </row>
    <row r="73" spans="3:15" s="455" customFormat="1" ht="13.5">
      <c r="C73" s="497"/>
      <c r="D73" s="691"/>
      <c r="E73" s="675"/>
      <c r="F73" s="675"/>
      <c r="G73" s="654"/>
      <c r="H73" s="502"/>
      <c r="I73" s="652"/>
      <c r="J73" s="497"/>
      <c r="K73" s="653"/>
      <c r="L73" s="502"/>
      <c r="M73" s="538"/>
      <c r="N73" s="392"/>
      <c r="O73" s="502"/>
    </row>
    <row r="74" spans="3:15" s="455" customFormat="1" ht="13.5">
      <c r="C74" s="497"/>
      <c r="D74" s="691"/>
      <c r="E74" s="675"/>
      <c r="F74" s="675"/>
      <c r="G74" s="654"/>
      <c r="H74" s="502"/>
      <c r="I74" s="652"/>
      <c r="J74" s="497"/>
      <c r="K74" s="653"/>
      <c r="L74" s="502"/>
      <c r="M74" s="538"/>
      <c r="N74" s="392"/>
      <c r="O74" s="502"/>
    </row>
    <row r="75" spans="3:15" s="455" customFormat="1" ht="13.5">
      <c r="C75" s="497"/>
      <c r="D75" s="691"/>
      <c r="E75" s="675"/>
      <c r="F75" s="1473"/>
      <c r="G75" s="654"/>
      <c r="H75" s="502"/>
      <c r="I75" s="652"/>
      <c r="J75" s="497"/>
      <c r="K75" s="653"/>
      <c r="L75" s="502"/>
      <c r="M75" s="538"/>
      <c r="N75" s="392"/>
      <c r="O75" s="502"/>
    </row>
    <row r="76" spans="3:15" s="355" customFormat="1" ht="13.5">
      <c r="C76" s="400"/>
      <c r="D76" s="400"/>
      <c r="E76" s="401"/>
      <c r="F76" s="402"/>
      <c r="G76" s="402"/>
      <c r="H76" s="403"/>
      <c r="I76" s="403"/>
      <c r="J76" s="403"/>
      <c r="K76" s="402"/>
      <c r="L76" s="404"/>
      <c r="M76" s="402"/>
      <c r="N76" s="405"/>
    </row>
    <row r="77" spans="3:15" s="355" customFormat="1" ht="13.5">
      <c r="C77" s="400"/>
      <c r="D77" s="400"/>
      <c r="E77" s="401"/>
      <c r="F77" s="402"/>
      <c r="G77" s="402"/>
      <c r="H77" s="403"/>
      <c r="I77" s="403"/>
      <c r="J77" s="403"/>
      <c r="K77" s="402"/>
      <c r="L77" s="404"/>
      <c r="M77" s="402"/>
      <c r="N77" s="405"/>
    </row>
    <row r="78" spans="3:15" s="355" customFormat="1" ht="13.5">
      <c r="C78" s="400"/>
      <c r="D78" s="400"/>
      <c r="E78" s="401"/>
      <c r="F78" s="402"/>
      <c r="G78" s="402"/>
      <c r="H78" s="403"/>
      <c r="I78" s="403"/>
      <c r="J78" s="403"/>
      <c r="K78" s="402"/>
      <c r="L78" s="404"/>
      <c r="M78" s="402"/>
      <c r="N78" s="405"/>
    </row>
    <row r="79" spans="3:15" s="355" customFormat="1" ht="13.5">
      <c r="C79" s="400"/>
      <c r="D79" s="400"/>
      <c r="E79" s="401"/>
      <c r="F79" s="402"/>
      <c r="G79" s="402"/>
      <c r="H79" s="403"/>
      <c r="I79" s="403"/>
      <c r="J79" s="403"/>
      <c r="K79" s="402"/>
      <c r="L79" s="404"/>
      <c r="M79" s="402"/>
      <c r="N79" s="405"/>
    </row>
    <row r="80" spans="3:15" s="355" customFormat="1" ht="13.5">
      <c r="C80" s="400"/>
      <c r="D80" s="400"/>
      <c r="E80" s="401"/>
      <c r="F80" s="402"/>
      <c r="G80" s="402"/>
      <c r="H80" s="403"/>
      <c r="I80" s="403"/>
      <c r="J80" s="403"/>
      <c r="K80" s="402"/>
      <c r="L80" s="404"/>
      <c r="M80" s="402"/>
      <c r="N80" s="405"/>
    </row>
    <row r="81" spans="3:14" s="355" customFormat="1" ht="13.5">
      <c r="C81" s="400"/>
      <c r="D81" s="400"/>
      <c r="E81" s="401"/>
      <c r="F81" s="402"/>
      <c r="G81" s="402"/>
      <c r="H81" s="403"/>
      <c r="I81" s="403"/>
      <c r="J81" s="403"/>
      <c r="K81" s="402"/>
      <c r="L81" s="404"/>
      <c r="M81" s="402"/>
      <c r="N81" s="405"/>
    </row>
    <row r="82" spans="3:14" s="355" customFormat="1" ht="13.5">
      <c r="C82" s="400"/>
      <c r="D82" s="400"/>
      <c r="E82" s="401"/>
      <c r="F82" s="402"/>
      <c r="G82" s="402"/>
      <c r="H82" s="403"/>
      <c r="I82" s="403"/>
      <c r="J82" s="403"/>
      <c r="K82" s="402"/>
      <c r="L82" s="404"/>
      <c r="M82" s="402"/>
      <c r="N82" s="405"/>
    </row>
    <row r="83" spans="3:14" s="355" customFormat="1" ht="13.5">
      <c r="C83" s="400"/>
      <c r="D83" s="400"/>
      <c r="E83" s="401"/>
      <c r="F83" s="402"/>
      <c r="G83" s="402"/>
      <c r="H83" s="403"/>
      <c r="I83" s="403"/>
      <c r="J83" s="403"/>
      <c r="K83" s="402"/>
      <c r="L83" s="404"/>
      <c r="M83" s="402"/>
      <c r="N83" s="405"/>
    </row>
    <row r="84" spans="3:14" s="355" customFormat="1" ht="13.5">
      <c r="C84" s="400"/>
      <c r="D84" s="400"/>
      <c r="E84" s="401"/>
      <c r="F84" s="402"/>
      <c r="G84" s="402"/>
      <c r="H84" s="403"/>
      <c r="I84" s="403"/>
      <c r="J84" s="403"/>
      <c r="K84" s="402"/>
      <c r="L84" s="404"/>
      <c r="M84" s="402"/>
      <c r="N84" s="405"/>
    </row>
    <row r="85" spans="3:14" s="355" customFormat="1" ht="13.5">
      <c r="C85" s="400"/>
      <c r="D85" s="400"/>
      <c r="E85" s="401"/>
      <c r="F85" s="402"/>
      <c r="G85" s="402"/>
      <c r="H85" s="403"/>
      <c r="I85" s="403"/>
      <c r="J85" s="403"/>
      <c r="K85" s="402"/>
      <c r="L85" s="404"/>
      <c r="M85" s="402"/>
      <c r="N85" s="405"/>
    </row>
    <row r="86" spans="3:14" s="355" customFormat="1" ht="13.5">
      <c r="C86" s="400"/>
      <c r="D86" s="400"/>
      <c r="E86" s="401"/>
      <c r="F86" s="402"/>
      <c r="G86" s="402"/>
      <c r="H86" s="403"/>
      <c r="I86" s="403"/>
      <c r="J86" s="403"/>
      <c r="K86" s="402"/>
      <c r="L86" s="404"/>
      <c r="M86" s="402"/>
      <c r="N86" s="405"/>
    </row>
    <row r="87" spans="3:14" s="355" customFormat="1" ht="13.5">
      <c r="C87" s="400"/>
      <c r="D87" s="400"/>
      <c r="E87" s="401"/>
      <c r="F87" s="402"/>
      <c r="G87" s="402"/>
      <c r="H87" s="403"/>
      <c r="I87" s="403"/>
      <c r="J87" s="403"/>
      <c r="K87" s="402"/>
      <c r="L87" s="404"/>
      <c r="M87" s="402"/>
      <c r="N87" s="405"/>
    </row>
    <row r="88" spans="3:14" s="355" customFormat="1" ht="13.5">
      <c r="C88" s="400"/>
      <c r="D88" s="400"/>
      <c r="E88" s="401"/>
      <c r="F88" s="402"/>
      <c r="G88" s="402"/>
      <c r="H88" s="403"/>
      <c r="I88" s="403"/>
      <c r="J88" s="403"/>
      <c r="K88" s="402"/>
      <c r="L88" s="404"/>
      <c r="M88" s="407"/>
      <c r="N88" s="405"/>
    </row>
    <row r="89" spans="3:14" s="355" customFormat="1" ht="13.5">
      <c r="C89" s="400"/>
      <c r="D89" s="400"/>
      <c r="E89" s="401"/>
      <c r="F89" s="402"/>
      <c r="G89" s="403"/>
      <c r="H89" s="403"/>
      <c r="I89" s="403"/>
      <c r="J89" s="403"/>
      <c r="K89" s="408"/>
      <c r="L89" s="404"/>
      <c r="M89" s="407"/>
      <c r="N89" s="405"/>
    </row>
    <row r="90" spans="3:14" s="355" customFormat="1" ht="13.5">
      <c r="C90" s="352"/>
      <c r="D90" s="352"/>
      <c r="E90" s="352"/>
      <c r="F90" s="352"/>
      <c r="G90" s="352"/>
      <c r="H90" s="352"/>
      <c r="I90" s="352"/>
      <c r="J90" s="352"/>
      <c r="K90" s="352"/>
      <c r="L90" s="1403">
        <f>SUM(L5:L88)</f>
        <v>2027054</v>
      </c>
      <c r="M90" s="352"/>
      <c r="N90" s="352"/>
    </row>
    <row r="91" spans="3:14" ht="14.25" customHeight="1">
      <c r="C91" s="31"/>
      <c r="D91" s="27"/>
      <c r="E91" s="20"/>
      <c r="F91" s="28"/>
      <c r="G91" s="28"/>
      <c r="H91" s="26"/>
      <c r="I91" s="26"/>
      <c r="J91" s="26"/>
      <c r="K91" s="28"/>
      <c r="L91" s="179"/>
      <c r="M91" s="28"/>
      <c r="N91" s="27"/>
    </row>
    <row r="92" spans="3:14" s="1" customFormat="1" ht="14.25" customHeight="1">
      <c r="C92" s="31"/>
      <c r="D92" s="27"/>
      <c r="E92" s="21"/>
      <c r="F92" s="28"/>
      <c r="G92" s="28"/>
      <c r="H92" s="26"/>
      <c r="I92" s="26"/>
      <c r="J92" s="26"/>
      <c r="K92" s="28"/>
      <c r="L92" s="179"/>
      <c r="M92" s="28"/>
      <c r="N92" s="27"/>
    </row>
    <row r="93" spans="3:14" s="1" customFormat="1" ht="14.25" customHeight="1">
      <c r="C93" s="30"/>
      <c r="D93" s="25"/>
      <c r="E93" s="21"/>
      <c r="F93" s="22"/>
      <c r="G93" s="22"/>
      <c r="H93" s="23"/>
      <c r="I93" s="23"/>
      <c r="J93" s="23"/>
      <c r="K93" s="22"/>
      <c r="L93" s="180"/>
      <c r="M93" s="22"/>
      <c r="N93" s="25"/>
    </row>
  </sheetData>
  <mergeCells count="9">
    <mergeCell ref="C46:C48"/>
    <mergeCell ref="C12:C16"/>
    <mergeCell ref="M12:M13"/>
    <mergeCell ref="C2:G2"/>
    <mergeCell ref="H2:J2"/>
    <mergeCell ref="K2:L2"/>
    <mergeCell ref="M2:M3"/>
    <mergeCell ref="N2:N3"/>
    <mergeCell ref="C44:C45"/>
  </mergeCell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D3190-E8FA-4D4D-AE30-C0C52DF4A5E8}">
  <sheetPr>
    <tabColor rgb="FF00B0F0"/>
  </sheetPr>
  <dimension ref="A1:O112"/>
  <sheetViews>
    <sheetView zoomScale="85" zoomScaleNormal="85" workbookViewId="0">
      <pane ySplit="4" topLeftCell="A36" activePane="bottomLeft" state="frozen"/>
      <selection pane="bottomLeft" activeCell="A45" sqref="A45"/>
    </sheetView>
  </sheetViews>
  <sheetFormatPr defaultRowHeight="15"/>
  <cols>
    <col min="3" max="3" width="21.42578125" customWidth="1"/>
    <col min="4" max="4" width="49.7109375" bestFit="1"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style="99" customWidth="1"/>
    <col min="13" max="13" width="16.28515625" customWidth="1"/>
    <col min="14" max="14" width="12.85546875" customWidth="1"/>
    <col min="17" max="17" width="73.7109375" bestFit="1" customWidth="1"/>
  </cols>
  <sheetData>
    <row r="1" spans="1:15" s="355" customFormat="1" ht="13.5">
      <c r="L1" s="32"/>
    </row>
    <row r="2" spans="1:15" s="355" customFormat="1" ht="13.5">
      <c r="C2" s="2601" t="s">
        <v>30</v>
      </c>
      <c r="D2" s="2602"/>
      <c r="E2" s="2602"/>
      <c r="F2" s="2602"/>
      <c r="G2" s="2603"/>
      <c r="H2" s="2604" t="s">
        <v>29</v>
      </c>
      <c r="I2" s="2605"/>
      <c r="J2" s="2606"/>
      <c r="K2" s="2601" t="s">
        <v>28</v>
      </c>
      <c r="L2" s="2603"/>
      <c r="M2" s="2594" t="s">
        <v>27</v>
      </c>
      <c r="N2" s="2594" t="s">
        <v>26</v>
      </c>
    </row>
    <row r="3" spans="1:15" s="355" customFormat="1" ht="94.5">
      <c r="C3" s="618" t="s">
        <v>25</v>
      </c>
      <c r="D3" s="852" t="s">
        <v>24</v>
      </c>
      <c r="E3" s="991" t="s">
        <v>23</v>
      </c>
      <c r="F3" s="618" t="s">
        <v>22</v>
      </c>
      <c r="G3" s="532" t="s">
        <v>1303</v>
      </c>
      <c r="H3" s="532" t="s">
        <v>20</v>
      </c>
      <c r="I3" s="532" t="s">
        <v>19</v>
      </c>
      <c r="J3" s="532" t="s">
        <v>18</v>
      </c>
      <c r="K3" s="618" t="s">
        <v>17</v>
      </c>
      <c r="L3" s="605" t="s">
        <v>16</v>
      </c>
      <c r="M3" s="2594"/>
      <c r="N3" s="2594"/>
    </row>
    <row r="4" spans="1:15" s="355" customFormat="1" ht="27">
      <c r="C4" s="1076" t="s">
        <v>15</v>
      </c>
      <c r="D4" s="1076" t="s">
        <v>14</v>
      </c>
      <c r="E4" s="1076" t="s">
        <v>13</v>
      </c>
      <c r="F4" s="1076" t="s">
        <v>12</v>
      </c>
      <c r="G4" s="1076" t="s">
        <v>11</v>
      </c>
      <c r="H4" s="1076" t="s">
        <v>10</v>
      </c>
      <c r="I4" s="1076" t="s">
        <v>9</v>
      </c>
      <c r="J4" s="1076" t="s">
        <v>8</v>
      </c>
      <c r="K4" s="1076" t="s">
        <v>7</v>
      </c>
      <c r="L4" s="1077" t="s">
        <v>6</v>
      </c>
      <c r="M4" s="1076" t="s">
        <v>5</v>
      </c>
      <c r="N4" s="1076" t="s">
        <v>4</v>
      </c>
    </row>
    <row r="5" spans="1:15" s="455" customFormat="1" ht="25.5" customHeight="1">
      <c r="A5" s="471"/>
      <c r="B5" s="483" t="s">
        <v>1561</v>
      </c>
      <c r="C5" s="1474" t="s">
        <v>739</v>
      </c>
      <c r="D5" s="1475" t="s">
        <v>2</v>
      </c>
      <c r="E5" s="2761" t="s">
        <v>251</v>
      </c>
      <c r="F5" s="1483" t="s">
        <v>674</v>
      </c>
      <c r="G5" s="1500"/>
      <c r="H5" s="1484" t="s">
        <v>652</v>
      </c>
      <c r="I5" s="1485" t="s">
        <v>653</v>
      </c>
      <c r="J5" s="1486" t="s">
        <v>1558</v>
      </c>
      <c r="K5" s="1483" t="s">
        <v>748</v>
      </c>
      <c r="L5" s="1978">
        <v>40000</v>
      </c>
      <c r="M5" s="1345"/>
      <c r="N5" s="1345"/>
    </row>
    <row r="6" spans="1:15" s="455" customFormat="1" ht="38.25">
      <c r="A6" s="471"/>
      <c r="B6" s="483" t="s">
        <v>1561</v>
      </c>
      <c r="C6" s="1501" t="s">
        <v>1573</v>
      </c>
      <c r="D6" s="1502" t="s">
        <v>1574</v>
      </c>
      <c r="E6" s="2762"/>
      <c r="F6" s="1635"/>
      <c r="G6" s="1633"/>
      <c r="H6" s="251"/>
      <c r="I6" s="1636"/>
      <c r="J6" s="1631"/>
      <c r="K6" s="1632"/>
      <c r="L6" s="1633"/>
      <c r="M6" s="1634"/>
      <c r="N6" s="1345"/>
      <c r="O6" s="1345"/>
    </row>
    <row r="7" spans="1:15" s="455" customFormat="1" ht="13.5">
      <c r="A7" s="471"/>
      <c r="B7" s="454"/>
      <c r="C7" s="902"/>
      <c r="D7" s="902"/>
      <c r="E7" s="902"/>
      <c r="F7" s="1380"/>
      <c r="G7" s="636"/>
      <c r="H7" s="1462"/>
      <c r="I7" s="1462"/>
      <c r="J7" s="1462"/>
      <c r="K7" s="1380"/>
      <c r="L7" s="1463"/>
      <c r="M7" s="1172"/>
      <c r="N7" s="460"/>
      <c r="O7" s="1526"/>
    </row>
    <row r="8" spans="1:15" s="455" customFormat="1" ht="13.5">
      <c r="A8" s="471"/>
      <c r="B8" s="454"/>
      <c r="C8" s="902"/>
      <c r="D8" s="902"/>
      <c r="E8" s="902"/>
      <c r="F8" s="1380"/>
      <c r="G8" s="636"/>
      <c r="H8" s="1462"/>
      <c r="I8" s="1462"/>
      <c r="J8" s="1462"/>
      <c r="K8" s="1380"/>
      <c r="L8" s="1463"/>
      <c r="M8" s="1172"/>
      <c r="N8" s="460"/>
      <c r="O8" s="1527"/>
    </row>
    <row r="9" spans="1:15" s="455" customFormat="1" ht="13.5">
      <c r="A9" s="471"/>
      <c r="B9" s="454" t="s">
        <v>1675</v>
      </c>
      <c r="C9" s="1559" t="s">
        <v>1659</v>
      </c>
      <c r="D9" s="1560"/>
      <c r="E9" s="280"/>
      <c r="F9" s="280"/>
      <c r="G9" s="1561"/>
      <c r="H9" s="1561"/>
      <c r="I9" s="1562"/>
      <c r="J9" s="1562"/>
      <c r="K9" s="1562"/>
      <c r="L9" s="1561"/>
      <c r="M9" s="1563"/>
      <c r="N9" s="1561"/>
      <c r="O9" s="1561"/>
    </row>
    <row r="10" spans="1:15" s="455" customFormat="1" ht="64.5">
      <c r="A10" s="471"/>
      <c r="B10" s="454" t="s">
        <v>1675</v>
      </c>
      <c r="C10" s="1564" t="s">
        <v>1660</v>
      </c>
      <c r="D10" s="1533" t="s">
        <v>2</v>
      </c>
      <c r="E10" s="280"/>
      <c r="F10" s="1565" t="s">
        <v>674</v>
      </c>
      <c r="G10" s="1561"/>
      <c r="H10" s="1566">
        <v>46113</v>
      </c>
      <c r="I10" s="1566">
        <v>46143</v>
      </c>
      <c r="J10" s="1566">
        <v>46143</v>
      </c>
      <c r="K10" s="1565" t="s">
        <v>748</v>
      </c>
      <c r="L10" s="1567">
        <v>100000</v>
      </c>
      <c r="M10" s="1533" t="s">
        <v>659</v>
      </c>
      <c r="N10" s="1561"/>
    </row>
    <row r="11" spans="1:15" s="455" customFormat="1" ht="13.5">
      <c r="A11" s="471"/>
      <c r="B11" s="454" t="s">
        <v>1675</v>
      </c>
      <c r="C11" s="1568"/>
      <c r="D11" s="1569" t="s">
        <v>677</v>
      </c>
      <c r="E11" s="280">
        <v>1</v>
      </c>
      <c r="F11" s="1570" t="s">
        <v>1051</v>
      </c>
      <c r="G11" s="1571"/>
      <c r="H11" s="1571"/>
      <c r="I11" s="1566"/>
      <c r="J11" s="1566"/>
      <c r="K11" s="1566"/>
      <c r="L11" s="1565"/>
      <c r="M11" s="1572"/>
      <c r="N11" s="1533"/>
      <c r="O11" s="1565"/>
    </row>
    <row r="12" spans="1:15" s="455" customFormat="1" ht="38.25">
      <c r="A12" s="471"/>
      <c r="B12" s="454" t="s">
        <v>1675</v>
      </c>
      <c r="C12" s="1568"/>
      <c r="D12" s="1573" t="s">
        <v>1661</v>
      </c>
      <c r="E12" s="280"/>
      <c r="F12" s="1570"/>
      <c r="G12" s="1571"/>
      <c r="H12" s="1571"/>
      <c r="I12" s="1566"/>
      <c r="J12" s="1566"/>
      <c r="K12" s="1566"/>
      <c r="L12" s="1565"/>
      <c r="M12" s="1572"/>
      <c r="N12" s="1533"/>
      <c r="O12" s="1565"/>
    </row>
    <row r="13" spans="1:15" s="455" customFormat="1" ht="13.5">
      <c r="A13" s="471"/>
      <c r="B13" s="454" t="s">
        <v>1675</v>
      </c>
      <c r="C13" s="1574"/>
      <c r="D13" s="1575" t="s">
        <v>1662</v>
      </c>
      <c r="E13" s="280">
        <v>2</v>
      </c>
      <c r="F13" s="1576" t="s">
        <v>1051</v>
      </c>
      <c r="G13" s="1561"/>
      <c r="H13" s="1577"/>
      <c r="I13" s="1578"/>
      <c r="J13" s="1571"/>
      <c r="K13" s="1579"/>
      <c r="L13" s="1577"/>
      <c r="M13" s="1563"/>
      <c r="N13" s="1580"/>
      <c r="O13" s="1577"/>
    </row>
    <row r="14" spans="1:15" s="455" customFormat="1" ht="13.5">
      <c r="A14" s="471"/>
      <c r="B14" s="454" t="s">
        <v>1675</v>
      </c>
      <c r="C14" s="1577"/>
      <c r="D14" s="1575" t="s">
        <v>1663</v>
      </c>
      <c r="E14" s="280">
        <v>2</v>
      </c>
      <c r="F14" s="1576" t="s">
        <v>1051</v>
      </c>
      <c r="G14" s="1561"/>
      <c r="H14" s="1577"/>
      <c r="I14" s="1578"/>
      <c r="J14" s="1571"/>
      <c r="K14" s="1579"/>
      <c r="L14" s="1577"/>
      <c r="M14" s="1563"/>
      <c r="N14" s="1580"/>
      <c r="O14" s="1577"/>
    </row>
    <row r="15" spans="1:15" s="455" customFormat="1" ht="13.5">
      <c r="A15" s="471"/>
      <c r="B15" s="454" t="s">
        <v>1675</v>
      </c>
      <c r="C15" s="1561"/>
      <c r="D15" s="1581" t="s">
        <v>1664</v>
      </c>
      <c r="E15" s="280">
        <v>1</v>
      </c>
      <c r="F15" s="280" t="s">
        <v>1051</v>
      </c>
      <c r="G15" s="1561"/>
      <c r="H15" s="1561"/>
      <c r="I15" s="1562"/>
      <c r="J15" s="1562"/>
      <c r="K15" s="1582"/>
      <c r="L15" s="1561"/>
      <c r="M15" s="1563"/>
      <c r="N15" s="1561"/>
      <c r="O15" s="1561"/>
    </row>
    <row r="16" spans="1:15" s="455" customFormat="1" ht="13.5">
      <c r="A16" s="471"/>
      <c r="B16" s="454" t="s">
        <v>1675</v>
      </c>
      <c r="C16" s="1561"/>
      <c r="D16" s="1581" t="s">
        <v>1665</v>
      </c>
      <c r="E16" s="280">
        <v>2</v>
      </c>
      <c r="F16" s="1570" t="s">
        <v>761</v>
      </c>
      <c r="G16" s="1561"/>
      <c r="H16" s="1561"/>
      <c r="I16" s="1562"/>
      <c r="J16" s="1562"/>
      <c r="K16" s="1582"/>
      <c r="L16" s="1561"/>
      <c r="M16" s="1563"/>
      <c r="N16" s="1561"/>
      <c r="O16" s="1561"/>
    </row>
    <row r="17" spans="1:15" s="455" customFormat="1" ht="13.5">
      <c r="A17" s="471"/>
      <c r="B17" s="454" t="s">
        <v>650</v>
      </c>
      <c r="C17" s="1561"/>
      <c r="D17" s="1560" t="s">
        <v>1666</v>
      </c>
      <c r="E17" s="280">
        <v>1</v>
      </c>
      <c r="F17" s="1570" t="s">
        <v>1667</v>
      </c>
      <c r="G17" s="1561"/>
      <c r="H17" s="1561"/>
      <c r="I17" s="1583"/>
      <c r="J17" s="1562"/>
      <c r="K17" s="1582"/>
      <c r="L17" s="1561"/>
      <c r="M17" s="1563"/>
      <c r="N17" s="1561"/>
      <c r="O17" s="1561"/>
    </row>
    <row r="18" spans="1:15" s="455" customFormat="1" ht="13.5">
      <c r="A18" s="471"/>
      <c r="B18" s="454"/>
      <c r="C18" s="1970"/>
      <c r="D18" s="1971"/>
      <c r="E18" s="1972"/>
      <c r="F18" s="1973"/>
      <c r="G18" s="1970"/>
      <c r="H18" s="1970"/>
      <c r="I18" s="1974"/>
      <c r="J18" s="1975"/>
      <c r="K18" s="1976"/>
      <c r="L18" s="1970"/>
      <c r="M18" s="1977"/>
      <c r="N18" s="1970"/>
      <c r="O18" s="1970"/>
    </row>
    <row r="19" spans="1:15" s="455" customFormat="1" ht="13.5">
      <c r="A19" s="471"/>
      <c r="B19" s="454"/>
      <c r="C19" s="1970"/>
      <c r="D19" s="1971"/>
      <c r="E19" s="1972"/>
      <c r="F19" s="1973"/>
      <c r="G19" s="1970"/>
      <c r="H19" s="1970"/>
      <c r="I19" s="1974"/>
      <c r="J19" s="1975"/>
      <c r="K19" s="1976"/>
      <c r="L19" s="1970"/>
      <c r="M19" s="1977"/>
      <c r="N19" s="1970"/>
      <c r="O19" s="1970"/>
    </row>
    <row r="20" spans="1:15" s="455" customFormat="1" ht="27">
      <c r="A20" s="471"/>
      <c r="B20" s="454" t="s">
        <v>2699</v>
      </c>
      <c r="C20" s="1909"/>
      <c r="D20" s="1712" t="s">
        <v>739</v>
      </c>
      <c r="E20" s="1922"/>
      <c r="F20" s="1713" t="s">
        <v>1764</v>
      </c>
      <c r="G20" s="1712" t="s">
        <v>1</v>
      </c>
      <c r="H20" s="1790">
        <v>46023</v>
      </c>
      <c r="I20" s="1790">
        <v>46082</v>
      </c>
      <c r="J20" s="1790">
        <v>46082</v>
      </c>
      <c r="K20" s="1712" t="s">
        <v>2216</v>
      </c>
      <c r="L20" s="1920"/>
      <c r="M20" s="1715" t="s">
        <v>2446</v>
      </c>
      <c r="N20" s="1716"/>
    </row>
    <row r="21" spans="1:15" s="455" customFormat="1" ht="25.9" customHeight="1">
      <c r="A21" s="471"/>
      <c r="B21" s="454" t="s">
        <v>2699</v>
      </c>
      <c r="C21" s="2756" t="s">
        <v>2918</v>
      </c>
      <c r="D21" s="1966" t="s">
        <v>2919</v>
      </c>
      <c r="E21" s="1874" t="s">
        <v>2921</v>
      </c>
      <c r="F21" s="1713" t="s">
        <v>2757</v>
      </c>
      <c r="G21" s="1712"/>
      <c r="H21" s="1712"/>
      <c r="I21" s="1712"/>
      <c r="J21" s="1712"/>
      <c r="K21" s="1836"/>
      <c r="L21" s="1967">
        <v>650000</v>
      </c>
      <c r="M21" s="1821"/>
      <c r="N21" s="1716"/>
    </row>
    <row r="22" spans="1:15" s="455" customFormat="1">
      <c r="A22" s="471"/>
      <c r="B22" s="454" t="s">
        <v>2699</v>
      </c>
      <c r="C22" s="2757"/>
      <c r="D22" s="1968" t="s">
        <v>2920</v>
      </c>
      <c r="E22" s="1881"/>
      <c r="F22" s="1809"/>
      <c r="G22" s="1789" t="s">
        <v>2757</v>
      </c>
      <c r="H22" s="1842"/>
      <c r="I22" s="1842"/>
      <c r="J22" s="1842"/>
      <c r="K22" s="1843"/>
      <c r="L22" s="1837"/>
      <c r="M22" s="1969"/>
      <c r="N22" s="1845"/>
      <c r="O22" s="1846"/>
    </row>
    <row r="23" spans="1:15" s="455" customFormat="1">
      <c r="A23" s="471"/>
      <c r="B23" s="454" t="s">
        <v>2699</v>
      </c>
      <c r="C23" s="2757"/>
      <c r="D23" s="1726"/>
      <c r="E23" s="1885"/>
      <c r="F23" s="1724"/>
      <c r="G23" s="1725" t="s">
        <v>2757</v>
      </c>
      <c r="H23" s="1801"/>
      <c r="I23" s="1801"/>
      <c r="J23" s="1801"/>
      <c r="K23" s="1802"/>
      <c r="L23" s="1801"/>
      <c r="M23" s="1943"/>
      <c r="N23" s="1721"/>
      <c r="O23" s="1720"/>
    </row>
    <row r="24" spans="1:15" s="455" customFormat="1">
      <c r="A24" s="471"/>
      <c r="B24" s="454" t="s">
        <v>2699</v>
      </c>
      <c r="C24" s="2757"/>
      <c r="D24" s="1726"/>
      <c r="E24" s="1885"/>
      <c r="F24" s="1724"/>
      <c r="G24" s="1725" t="s">
        <v>2757</v>
      </c>
      <c r="H24" s="1801"/>
      <c r="I24" s="1801"/>
      <c r="J24" s="1801"/>
      <c r="K24" s="1802"/>
      <c r="L24" s="1801"/>
      <c r="M24" s="1943"/>
      <c r="N24" s="1721"/>
      <c r="O24" s="1720"/>
    </row>
    <row r="25" spans="1:15" s="455" customFormat="1">
      <c r="A25" s="471"/>
      <c r="B25" s="454" t="s">
        <v>2699</v>
      </c>
      <c r="C25" s="2757"/>
      <c r="D25" s="1726"/>
      <c r="E25" s="1881"/>
      <c r="F25" s="1724"/>
      <c r="G25" s="1725" t="s">
        <v>2757</v>
      </c>
      <c r="H25" s="1801"/>
      <c r="I25" s="1801"/>
      <c r="J25" s="1801"/>
      <c r="K25" s="1802"/>
      <c r="L25" s="1801"/>
      <c r="M25" s="1943"/>
      <c r="N25" s="1721"/>
      <c r="O25" s="1720"/>
    </row>
    <row r="26" spans="1:15" s="455" customFormat="1">
      <c r="A26" s="471"/>
      <c r="B26" s="454"/>
      <c r="C26" s="2758"/>
      <c r="D26" s="1726"/>
      <c r="E26" s="1885"/>
      <c r="F26" s="1724"/>
      <c r="G26" s="1725" t="s">
        <v>2757</v>
      </c>
      <c r="H26" s="1801"/>
      <c r="I26" s="1801"/>
      <c r="J26" s="1801"/>
      <c r="K26" s="1802"/>
      <c r="L26" s="1801"/>
      <c r="M26" s="1943"/>
      <c r="N26" s="1721"/>
      <c r="O26" s="1720"/>
    </row>
    <row r="27" spans="1:15" s="455" customFormat="1" ht="38.25">
      <c r="A27" s="471"/>
      <c r="B27" s="454" t="s">
        <v>2929</v>
      </c>
      <c r="C27" s="2004" t="s">
        <v>739</v>
      </c>
      <c r="D27" s="2000" t="s">
        <v>637</v>
      </c>
      <c r="E27" s="2015"/>
      <c r="F27" s="2001" t="s">
        <v>609</v>
      </c>
      <c r="G27" s="2001" t="s">
        <v>1</v>
      </c>
      <c r="H27" s="2002"/>
      <c r="I27" s="2002"/>
      <c r="J27" s="2002"/>
      <c r="K27" s="2003" t="s">
        <v>748</v>
      </c>
      <c r="L27" s="1673"/>
      <c r="M27" s="2002" t="s">
        <v>2924</v>
      </c>
      <c r="N27" s="2003" t="s">
        <v>703</v>
      </c>
    </row>
    <row r="28" spans="1:15" s="455" customFormat="1">
      <c r="A28" s="471"/>
      <c r="B28" s="454" t="s">
        <v>2929</v>
      </c>
      <c r="C28" s="2004"/>
      <c r="D28" s="2005" t="s">
        <v>2965</v>
      </c>
      <c r="E28" s="588" t="s">
        <v>362</v>
      </c>
      <c r="F28" s="2006"/>
      <c r="G28" s="2006"/>
      <c r="H28" s="2008" t="s">
        <v>2213</v>
      </c>
      <c r="I28" s="2009">
        <v>46174</v>
      </c>
      <c r="J28" s="2010" t="s">
        <v>2215</v>
      </c>
      <c r="K28" s="2011"/>
      <c r="L28" s="2012">
        <v>65000</v>
      </c>
      <c r="M28" s="2013"/>
      <c r="N28" s="2011"/>
    </row>
    <row r="29" spans="1:15" s="455" customFormat="1">
      <c r="A29" s="471"/>
      <c r="B29" s="454" t="s">
        <v>2929</v>
      </c>
      <c r="C29" s="2004"/>
      <c r="D29" s="2005" t="s">
        <v>2966</v>
      </c>
      <c r="E29" s="588" t="s">
        <v>362</v>
      </c>
      <c r="F29" s="2006"/>
      <c r="G29" s="2006"/>
      <c r="H29" s="2008"/>
      <c r="I29" s="2008"/>
      <c r="J29" s="1588" t="s">
        <v>2927</v>
      </c>
      <c r="K29" s="2011"/>
      <c r="L29" s="2012">
        <v>55000</v>
      </c>
      <c r="M29" s="2013"/>
      <c r="N29" s="2011"/>
    </row>
    <row r="30" spans="1:15" s="455" customFormat="1" ht="13.5">
      <c r="A30" s="471"/>
      <c r="B30" s="454"/>
      <c r="C30" s="987"/>
      <c r="D30" s="314"/>
      <c r="E30" s="662"/>
      <c r="F30" s="309"/>
      <c r="G30" s="497"/>
      <c r="H30" s="985"/>
      <c r="I30" s="985"/>
      <c r="J30" s="985"/>
      <c r="K30" s="499"/>
      <c r="M30" s="499"/>
      <c r="N30" s="458"/>
    </row>
    <row r="31" spans="1:15" s="455" customFormat="1" ht="13.5">
      <c r="A31" s="471"/>
      <c r="B31" s="454"/>
      <c r="C31" s="987"/>
      <c r="D31" s="314"/>
      <c r="E31" s="662"/>
      <c r="F31" s="309"/>
      <c r="G31" s="497"/>
      <c r="H31" s="985"/>
      <c r="I31" s="985"/>
      <c r="J31" s="985"/>
      <c r="K31" s="499"/>
      <c r="L31" s="1065"/>
      <c r="M31" s="499"/>
      <c r="N31" s="458"/>
    </row>
    <row r="32" spans="1:15" s="455" customFormat="1" ht="54">
      <c r="A32" s="471"/>
      <c r="B32" s="454" t="s">
        <v>3584</v>
      </c>
      <c r="C32" s="987" t="s">
        <v>3905</v>
      </c>
      <c r="D32" s="309" t="s">
        <v>3906</v>
      </c>
      <c r="E32" s="662" t="s">
        <v>3836</v>
      </c>
      <c r="F32" s="2250" t="s">
        <v>1104</v>
      </c>
      <c r="G32" s="2177" t="s">
        <v>828</v>
      </c>
      <c r="H32" s="2251" t="s">
        <v>3879</v>
      </c>
      <c r="I32" s="2251" t="s">
        <v>3588</v>
      </c>
      <c r="J32" s="2251" t="s">
        <v>3881</v>
      </c>
      <c r="K32" s="2179" t="s">
        <v>3589</v>
      </c>
      <c r="L32" s="2252">
        <v>50000</v>
      </c>
      <c r="M32" s="2253" t="s">
        <v>99</v>
      </c>
      <c r="N32" s="460"/>
    </row>
    <row r="33" spans="1:15" s="455" customFormat="1" ht="13.5">
      <c r="A33" s="471"/>
      <c r="B33" s="454"/>
      <c r="C33" s="314"/>
      <c r="D33" s="314"/>
      <c r="E33" s="309"/>
      <c r="F33" s="309"/>
      <c r="G33" s="497"/>
      <c r="H33" s="985"/>
      <c r="I33" s="985"/>
      <c r="J33" s="985"/>
      <c r="K33" s="309"/>
      <c r="L33" s="1015"/>
      <c r="M33" s="499"/>
      <c r="N33" s="458"/>
    </row>
    <row r="34" spans="1:15" s="455" customFormat="1" ht="13.5">
      <c r="A34" s="471"/>
      <c r="B34" s="454"/>
      <c r="C34" s="314"/>
      <c r="D34" s="314"/>
      <c r="E34" s="309"/>
      <c r="F34" s="309"/>
      <c r="G34" s="497"/>
      <c r="H34" s="985"/>
      <c r="I34" s="985"/>
      <c r="J34" s="985"/>
      <c r="K34" s="309"/>
      <c r="L34" s="1015"/>
      <c r="M34" s="499"/>
      <c r="N34" s="458"/>
    </row>
    <row r="35" spans="1:15" s="455" customFormat="1" ht="14.25" thickBot="1">
      <c r="A35" s="471"/>
      <c r="B35" s="454"/>
      <c r="C35" s="314"/>
      <c r="D35" s="2980" t="s">
        <v>4818</v>
      </c>
      <c r="E35" s="949"/>
      <c r="F35" s="949"/>
      <c r="G35" s="2982"/>
      <c r="H35" s="2983"/>
      <c r="I35" s="2983"/>
      <c r="J35" s="2983"/>
      <c r="K35" s="949"/>
      <c r="L35" s="2984"/>
      <c r="M35" s="2985"/>
      <c r="N35" s="2986"/>
    </row>
    <row r="36" spans="1:15" s="455" customFormat="1" ht="39.75" customHeight="1" thickBot="1">
      <c r="A36" s="471"/>
      <c r="B36" s="454" t="s">
        <v>4006</v>
      </c>
      <c r="C36" s="2989" t="s">
        <v>4817</v>
      </c>
      <c r="D36" s="2990" t="s">
        <v>4819</v>
      </c>
      <c r="E36" s="2991" t="s">
        <v>4831</v>
      </c>
      <c r="F36" s="2992" t="s">
        <v>3</v>
      </c>
      <c r="G36" s="2992" t="s">
        <v>828</v>
      </c>
      <c r="H36" s="2992" t="s">
        <v>4716</v>
      </c>
      <c r="I36" s="2992" t="s">
        <v>4603</v>
      </c>
      <c r="J36" s="2992" t="s">
        <v>4820</v>
      </c>
      <c r="K36" s="2845" t="s">
        <v>4404</v>
      </c>
      <c r="L36" s="3010">
        <v>1579120</v>
      </c>
      <c r="M36" s="2992" t="s">
        <v>4604</v>
      </c>
      <c r="O36" s="2908"/>
    </row>
    <row r="37" spans="1:15" s="455" customFormat="1" ht="15.75" customHeight="1">
      <c r="A37" s="471"/>
      <c r="B37" s="454" t="s">
        <v>4006</v>
      </c>
      <c r="C37" s="2993"/>
      <c r="D37" s="2994" t="s">
        <v>4821</v>
      </c>
      <c r="E37" s="2995" t="s">
        <v>4831</v>
      </c>
      <c r="F37" s="2826"/>
      <c r="G37" s="2826"/>
      <c r="H37" s="2826"/>
      <c r="I37" s="2826"/>
      <c r="J37" s="2826"/>
      <c r="K37" s="2806" t="s">
        <v>4405</v>
      </c>
      <c r="L37" s="3013">
        <v>643313.19999999995</v>
      </c>
      <c r="M37" s="2826"/>
      <c r="O37" s="2812"/>
    </row>
    <row r="38" spans="1:15" s="455" customFormat="1">
      <c r="A38" s="471"/>
      <c r="B38" s="454" t="s">
        <v>4006</v>
      </c>
      <c r="C38" s="2993"/>
      <c r="D38" s="2996" t="s">
        <v>4822</v>
      </c>
      <c r="E38" s="2977"/>
      <c r="F38" s="2813" t="s">
        <v>3</v>
      </c>
      <c r="G38" s="2997"/>
      <c r="H38" s="2811"/>
      <c r="I38" s="2997"/>
      <c r="J38" s="2813" t="s">
        <v>4603</v>
      </c>
      <c r="K38" s="2997"/>
      <c r="L38" s="3014"/>
      <c r="M38" s="2809"/>
      <c r="O38" s="2981"/>
    </row>
    <row r="39" spans="1:15" s="455" customFormat="1" ht="25.5">
      <c r="A39" s="471"/>
      <c r="B39" s="454" t="s">
        <v>4006</v>
      </c>
      <c r="C39" s="2993"/>
      <c r="D39" s="2996" t="s">
        <v>4823</v>
      </c>
      <c r="E39" s="2977"/>
      <c r="F39" s="2813"/>
      <c r="G39" s="2997"/>
      <c r="H39" s="2811"/>
      <c r="I39" s="2997"/>
      <c r="J39" s="2813"/>
      <c r="K39" s="2997"/>
      <c r="L39" s="3014"/>
      <c r="M39" s="2809"/>
      <c r="O39" s="2981"/>
    </row>
    <row r="40" spans="1:15" s="455" customFormat="1" ht="27.75" thickBot="1">
      <c r="A40" s="471"/>
      <c r="B40" s="454" t="s">
        <v>4006</v>
      </c>
      <c r="C40" s="2993"/>
      <c r="D40" s="2998" t="s">
        <v>4824</v>
      </c>
      <c r="E40" s="2999"/>
      <c r="F40" s="2848"/>
      <c r="G40" s="2847"/>
      <c r="H40" s="2848" t="s">
        <v>4716</v>
      </c>
      <c r="I40" s="2847" t="s">
        <v>4603</v>
      </c>
      <c r="J40" s="2848"/>
      <c r="K40" s="2847"/>
      <c r="L40" s="3015"/>
      <c r="M40" s="2854"/>
      <c r="O40" s="2981"/>
    </row>
    <row r="41" spans="1:15" s="455" customFormat="1">
      <c r="A41" s="471"/>
      <c r="B41" s="454" t="s">
        <v>4006</v>
      </c>
      <c r="C41" s="2993"/>
      <c r="D41" s="3004" t="s">
        <v>4825</v>
      </c>
      <c r="E41" s="2995" t="s">
        <v>4831</v>
      </c>
      <c r="F41" s="2826"/>
      <c r="G41" s="3005"/>
      <c r="H41" s="2827"/>
      <c r="I41" s="3005"/>
      <c r="J41" s="2826"/>
      <c r="K41" s="3005"/>
      <c r="L41" s="3013">
        <v>1960000</v>
      </c>
      <c r="M41" s="2806"/>
      <c r="O41" s="2981"/>
    </row>
    <row r="42" spans="1:15" s="455" customFormat="1">
      <c r="A42" s="471"/>
      <c r="B42" s="454" t="s">
        <v>4006</v>
      </c>
      <c r="C42" s="2993"/>
      <c r="D42" s="2996" t="s">
        <v>4826</v>
      </c>
      <c r="E42" s="2977"/>
      <c r="F42" s="2811"/>
      <c r="G42" s="2997"/>
      <c r="H42" s="2811"/>
      <c r="I42" s="2997"/>
      <c r="J42" s="2811"/>
      <c r="K42" s="2997"/>
      <c r="L42" s="3014"/>
      <c r="M42" s="2809"/>
      <c r="O42" s="2981"/>
    </row>
    <row r="43" spans="1:15" s="455" customFormat="1">
      <c r="A43" s="471"/>
      <c r="B43" s="454" t="s">
        <v>4006</v>
      </c>
      <c r="C43" s="2993"/>
      <c r="D43" s="2996" t="s">
        <v>4827</v>
      </c>
      <c r="E43" s="2977"/>
      <c r="F43" s="2811"/>
      <c r="G43" s="2997"/>
      <c r="H43" s="2811"/>
      <c r="I43" s="2997"/>
      <c r="J43" s="2811"/>
      <c r="K43" s="2997"/>
      <c r="L43" s="3014"/>
      <c r="M43" s="2809"/>
      <c r="O43" s="2981"/>
    </row>
    <row r="44" spans="1:15" s="455" customFormat="1">
      <c r="A44" s="471"/>
      <c r="B44" s="454" t="s">
        <v>4006</v>
      </c>
      <c r="C44" s="2993"/>
      <c r="D44" s="3006" t="s">
        <v>4828</v>
      </c>
      <c r="E44" s="2977"/>
      <c r="F44" s="2813"/>
      <c r="G44" s="2997"/>
      <c r="H44" s="2811"/>
      <c r="I44" s="2997"/>
      <c r="J44" s="2811"/>
      <c r="K44" s="2997"/>
      <c r="L44" s="3014"/>
      <c r="M44" s="2809"/>
      <c r="O44" s="2981"/>
    </row>
    <row r="45" spans="1:15" s="455" customFormat="1" ht="25.5">
      <c r="A45" s="471"/>
      <c r="B45" s="454" t="s">
        <v>4006</v>
      </c>
      <c r="C45" s="2993"/>
      <c r="D45" s="2996" t="s">
        <v>4829</v>
      </c>
      <c r="E45" s="2977"/>
      <c r="F45" s="2813" t="s">
        <v>3</v>
      </c>
      <c r="G45" s="2997"/>
      <c r="H45" s="2811"/>
      <c r="I45" s="2997"/>
      <c r="J45" s="2811"/>
      <c r="K45" s="2997"/>
      <c r="L45" s="3014"/>
      <c r="M45" s="2809"/>
      <c r="O45" s="2981"/>
    </row>
    <row r="46" spans="1:15" s="455" customFormat="1">
      <c r="A46" s="471"/>
      <c r="B46" s="454" t="s">
        <v>4006</v>
      </c>
      <c r="C46" s="3000"/>
      <c r="D46" s="3007" t="s">
        <v>4830</v>
      </c>
      <c r="E46" s="2979"/>
      <c r="F46" s="2813"/>
      <c r="G46" s="2997"/>
      <c r="H46" s="2813" t="s">
        <v>4717</v>
      </c>
      <c r="I46" s="2997" t="s">
        <v>4719</v>
      </c>
      <c r="J46" s="2813" t="s">
        <v>4714</v>
      </c>
      <c r="K46" s="2997"/>
      <c r="L46" s="3014"/>
      <c r="M46" s="2809"/>
      <c r="O46" s="2981"/>
    </row>
    <row r="47" spans="1:15" s="455" customFormat="1" ht="15.75" thickBot="1">
      <c r="A47" s="471"/>
      <c r="B47" s="454"/>
      <c r="C47" s="391"/>
      <c r="D47" s="3008"/>
      <c r="E47" s="3009"/>
      <c r="F47" s="2853"/>
      <c r="G47" s="2847"/>
      <c r="H47" s="2853"/>
      <c r="I47" s="2847"/>
      <c r="J47" s="2853"/>
      <c r="K47" s="2847"/>
      <c r="L47" s="3015"/>
      <c r="M47" s="2854"/>
      <c r="O47" s="2981"/>
    </row>
    <row r="48" spans="1:15" s="455" customFormat="1" ht="13.5">
      <c r="A48" s="471"/>
      <c r="B48" s="454"/>
      <c r="C48" s="471"/>
      <c r="D48" s="3001"/>
      <c r="E48" s="3002"/>
      <c r="F48" s="3003"/>
      <c r="G48" s="626"/>
      <c r="H48" s="627"/>
      <c r="I48" s="628"/>
      <c r="J48" s="628"/>
      <c r="K48" s="628"/>
      <c r="L48" s="2987"/>
      <c r="M48" s="2988"/>
      <c r="N48" s="626"/>
      <c r="O48" s="458"/>
    </row>
    <row r="49" spans="1:15" s="455" customFormat="1" ht="13.5">
      <c r="A49" s="471"/>
      <c r="B49" s="454"/>
      <c r="C49" s="471"/>
      <c r="D49" s="456"/>
      <c r="E49" s="459"/>
      <c r="F49" s="466"/>
      <c r="G49" s="471"/>
      <c r="H49" s="477"/>
      <c r="I49" s="526"/>
      <c r="J49" s="526"/>
      <c r="K49" s="526"/>
      <c r="L49" s="473"/>
      <c r="M49" s="529"/>
      <c r="N49" s="471"/>
      <c r="O49" s="458"/>
    </row>
    <row r="50" spans="1:15" s="455" customFormat="1" ht="13.5">
      <c r="A50" s="471"/>
      <c r="B50" s="454"/>
      <c r="C50" s="314"/>
      <c r="D50" s="309"/>
      <c r="E50" s="309"/>
      <c r="F50" s="309"/>
      <c r="G50" s="309"/>
      <c r="H50" s="309"/>
      <c r="I50" s="309"/>
      <c r="J50" s="309"/>
      <c r="K50" s="309"/>
      <c r="L50" s="309"/>
      <c r="M50" s="309"/>
      <c r="N50" s="309"/>
    </row>
    <row r="51" spans="1:15" s="455" customFormat="1" ht="13.5">
      <c r="A51" s="471"/>
      <c r="B51" s="454"/>
      <c r="C51" s="314"/>
      <c r="D51" s="314"/>
      <c r="E51" s="309"/>
      <c r="F51" s="309"/>
      <c r="G51" s="497"/>
      <c r="H51" s="1056"/>
      <c r="I51" s="309"/>
      <c r="J51" s="309"/>
      <c r="K51" s="499"/>
      <c r="L51" s="1069"/>
      <c r="M51" s="309"/>
      <c r="N51" s="454"/>
    </row>
    <row r="52" spans="1:15" s="455" customFormat="1" ht="13.5">
      <c r="A52" s="471"/>
      <c r="B52" s="454"/>
      <c r="C52" s="314"/>
      <c r="D52" s="314"/>
      <c r="E52" s="309"/>
      <c r="F52" s="309"/>
      <c r="G52" s="497"/>
      <c r="H52" s="1056"/>
      <c r="I52" s="309"/>
      <c r="J52" s="309"/>
      <c r="K52" s="499"/>
      <c r="L52" s="1069"/>
      <c r="M52" s="499"/>
      <c r="N52" s="458"/>
    </row>
    <row r="53" spans="1:15" s="455" customFormat="1" ht="13.5">
      <c r="A53" s="471"/>
      <c r="B53" s="454"/>
      <c r="C53" s="314"/>
      <c r="D53" s="314"/>
      <c r="E53" s="309"/>
      <c r="F53" s="309"/>
      <c r="G53" s="497"/>
      <c r="H53" s="1056"/>
      <c r="I53" s="309"/>
      <c r="J53" s="309"/>
      <c r="K53" s="499"/>
      <c r="L53" s="1069"/>
      <c r="M53" s="499"/>
      <c r="N53" s="458"/>
    </row>
    <row r="54" spans="1:15" s="455" customFormat="1" ht="13.5">
      <c r="A54" s="471"/>
      <c r="B54" s="454"/>
      <c r="C54" s="314"/>
      <c r="D54" s="314"/>
      <c r="E54" s="662"/>
      <c r="F54" s="309"/>
      <c r="G54" s="497"/>
      <c r="H54" s="1056"/>
      <c r="I54" s="985"/>
      <c r="J54" s="985"/>
      <c r="K54" s="499"/>
      <c r="L54" s="1016"/>
      <c r="M54" s="499"/>
      <c r="N54" s="458"/>
    </row>
    <row r="55" spans="1:15" s="455" customFormat="1" ht="13.5">
      <c r="A55" s="471"/>
      <c r="B55" s="454"/>
      <c r="C55" s="314"/>
      <c r="D55" s="314"/>
      <c r="E55" s="662"/>
      <c r="F55" s="309"/>
      <c r="G55" s="497"/>
      <c r="H55" s="1056"/>
      <c r="I55" s="985"/>
      <c r="J55" s="985"/>
      <c r="K55" s="499"/>
      <c r="L55" s="1016"/>
      <c r="M55" s="499"/>
      <c r="N55" s="458"/>
    </row>
    <row r="56" spans="1:15" s="455" customFormat="1" ht="13.5">
      <c r="A56" s="471"/>
      <c r="B56" s="454"/>
      <c r="C56" s="314"/>
      <c r="D56" s="314"/>
      <c r="E56" s="662"/>
      <c r="F56" s="309"/>
      <c r="G56" s="497"/>
      <c r="H56" s="1056"/>
      <c r="I56" s="985"/>
      <c r="J56" s="985"/>
      <c r="K56" s="499"/>
      <c r="L56" s="1984">
        <f>SUM(L5:L54)</f>
        <v>5142433.2</v>
      </c>
      <c r="M56" s="499"/>
    </row>
    <row r="57" spans="1:15" s="455" customFormat="1" ht="13.5">
      <c r="A57" s="471"/>
      <c r="B57" s="454"/>
      <c r="C57" s="314"/>
      <c r="D57" s="314"/>
      <c r="E57" s="662"/>
      <c r="F57" s="309"/>
      <c r="G57" s="497"/>
      <c r="H57" s="1056"/>
      <c r="I57" s="985"/>
      <c r="J57" s="985"/>
      <c r="K57" s="499"/>
      <c r="L57" s="1071"/>
      <c r="M57" s="499"/>
    </row>
    <row r="58" spans="1:15" s="455" customFormat="1" ht="13.5">
      <c r="A58" s="471"/>
      <c r="B58" s="454"/>
      <c r="C58" s="314"/>
      <c r="D58" s="314"/>
      <c r="E58" s="662"/>
      <c r="F58" s="309"/>
      <c r="G58" s="497"/>
      <c r="H58" s="1056"/>
      <c r="I58" s="985"/>
      <c r="J58" s="985"/>
      <c r="K58" s="499"/>
      <c r="L58" s="1016"/>
      <c r="M58" s="499"/>
    </row>
    <row r="59" spans="1:15" s="455" customFormat="1" ht="13.5">
      <c r="A59" s="471"/>
      <c r="B59" s="454"/>
      <c r="C59" s="314"/>
      <c r="D59" s="314"/>
      <c r="E59" s="662"/>
      <c r="F59" s="309"/>
      <c r="G59" s="497"/>
      <c r="H59" s="1056"/>
      <c r="I59" s="985"/>
      <c r="J59" s="985"/>
      <c r="K59" s="499"/>
      <c r="L59" s="1016"/>
      <c r="M59" s="499"/>
    </row>
    <row r="60" spans="1:15" s="455" customFormat="1" ht="13.5">
      <c r="A60" s="471"/>
      <c r="B60" s="454"/>
      <c r="C60" s="314"/>
      <c r="D60" s="314"/>
      <c r="E60" s="662"/>
      <c r="F60" s="309"/>
      <c r="G60" s="497"/>
      <c r="H60" s="1056"/>
      <c r="I60" s="985"/>
      <c r="J60" s="985"/>
      <c r="K60" s="499"/>
      <c r="L60" s="1016"/>
      <c r="M60" s="499"/>
      <c r="N60" s="458"/>
    </row>
    <row r="61" spans="1:15" s="455" customFormat="1" ht="13.5">
      <c r="A61" s="471"/>
      <c r="B61" s="454"/>
      <c r="C61" s="314"/>
      <c r="D61" s="314"/>
      <c r="E61" s="662"/>
      <c r="F61" s="309"/>
      <c r="G61" s="497"/>
      <c r="H61" s="1056"/>
      <c r="I61" s="985"/>
      <c r="J61" s="985"/>
      <c r="K61" s="499"/>
      <c r="L61" s="1016"/>
      <c r="M61" s="499"/>
      <c r="N61" s="458"/>
    </row>
    <row r="62" spans="1:15" s="455" customFormat="1" ht="13.5">
      <c r="A62" s="471"/>
      <c r="B62" s="454"/>
      <c r="C62" s="314"/>
      <c r="D62" s="314"/>
      <c r="E62" s="662"/>
      <c r="F62" s="309"/>
      <c r="G62" s="497"/>
      <c r="H62" s="1056"/>
      <c r="I62" s="985"/>
      <c r="J62" s="985"/>
      <c r="K62" s="499"/>
      <c r="L62" s="1016"/>
      <c r="M62" s="499"/>
      <c r="N62" s="458"/>
    </row>
    <row r="63" spans="1:15" s="455" customFormat="1" ht="13.5">
      <c r="A63" s="471"/>
      <c r="B63" s="454"/>
      <c r="C63" s="2591"/>
      <c r="D63" s="314"/>
      <c r="E63" s="662"/>
      <c r="F63" s="309"/>
      <c r="G63" s="497"/>
      <c r="H63" s="1056"/>
      <c r="I63" s="985"/>
      <c r="J63" s="985"/>
      <c r="K63" s="499"/>
      <c r="L63" s="1016"/>
      <c r="M63" s="499"/>
    </row>
    <row r="64" spans="1:15" s="455" customFormat="1" ht="13.5">
      <c r="A64" s="471"/>
      <c r="B64" s="454"/>
      <c r="C64" s="2593"/>
      <c r="D64" s="314"/>
      <c r="E64" s="662"/>
      <c r="F64" s="309"/>
      <c r="G64" s="497"/>
      <c r="H64" s="1056"/>
      <c r="I64" s="985"/>
      <c r="J64" s="985"/>
      <c r="K64" s="499"/>
      <c r="L64" s="1016"/>
      <c r="M64" s="499"/>
      <c r="N64" s="454"/>
    </row>
    <row r="65" spans="1:15" s="455" customFormat="1" ht="13.5">
      <c r="A65" s="471"/>
      <c r="B65" s="454"/>
      <c r="C65" s="2591"/>
      <c r="D65" s="314"/>
      <c r="E65" s="662"/>
      <c r="F65" s="309"/>
      <c r="G65" s="497"/>
      <c r="H65" s="1056"/>
      <c r="I65" s="985"/>
      <c r="J65" s="985"/>
      <c r="K65" s="499"/>
      <c r="L65" s="1016"/>
      <c r="M65" s="499"/>
      <c r="N65" s="458"/>
    </row>
    <row r="66" spans="1:15" s="455" customFormat="1" ht="13.5">
      <c r="A66" s="471"/>
      <c r="B66" s="454"/>
      <c r="C66" s="2592"/>
      <c r="D66" s="314"/>
      <c r="E66" s="662"/>
      <c r="F66" s="309"/>
      <c r="G66" s="497"/>
      <c r="H66" s="1056"/>
      <c r="I66" s="985"/>
      <c r="J66" s="985"/>
      <c r="K66" s="499"/>
      <c r="L66" s="1016"/>
      <c r="M66" s="499"/>
      <c r="N66" s="458"/>
    </row>
    <row r="67" spans="1:15" s="455" customFormat="1" ht="13.5">
      <c r="A67" s="471"/>
      <c r="B67" s="454"/>
      <c r="C67" s="2593"/>
      <c r="D67" s="314"/>
      <c r="E67" s="662"/>
      <c r="F67" s="309"/>
      <c r="G67" s="497"/>
      <c r="H67" s="1056"/>
      <c r="I67" s="985"/>
      <c r="J67" s="985"/>
      <c r="K67" s="499"/>
      <c r="L67" s="1016"/>
      <c r="M67" s="499"/>
      <c r="N67" s="458"/>
    </row>
    <row r="68" spans="1:15" s="455" customFormat="1" ht="13.5">
      <c r="A68" s="471"/>
      <c r="B68" s="454"/>
      <c r="C68" s="314"/>
      <c r="D68" s="314"/>
      <c r="E68" s="662"/>
      <c r="F68" s="309"/>
      <c r="G68" s="497"/>
      <c r="H68" s="985"/>
      <c r="I68" s="985"/>
      <c r="J68" s="985"/>
      <c r="K68" s="499"/>
      <c r="L68" s="1016"/>
      <c r="M68" s="499"/>
      <c r="N68" s="458"/>
    </row>
    <row r="69" spans="1:15" s="455" customFormat="1" ht="13.5">
      <c r="A69" s="471"/>
      <c r="B69" s="454"/>
      <c r="C69" s="314"/>
      <c r="D69" s="314"/>
      <c r="E69" s="662"/>
      <c r="F69" s="309"/>
      <c r="G69" s="497"/>
      <c r="H69" s="985"/>
      <c r="I69" s="985"/>
      <c r="J69" s="985"/>
      <c r="K69" s="499"/>
      <c r="L69" s="1016"/>
      <c r="M69" s="499"/>
      <c r="N69" s="460"/>
    </row>
    <row r="70" spans="1:15" s="455" customFormat="1" ht="13.5">
      <c r="C70" s="314"/>
      <c r="D70" s="314"/>
      <c r="E70" s="662"/>
      <c r="F70" s="662"/>
      <c r="G70" s="309"/>
      <c r="H70" s="497"/>
      <c r="I70" s="1056"/>
      <c r="J70" s="985"/>
      <c r="K70" s="985"/>
      <c r="L70" s="499"/>
      <c r="M70" s="1025"/>
      <c r="N70" s="499"/>
    </row>
    <row r="71" spans="1:15" s="455" customFormat="1" ht="13.5">
      <c r="C71" s="902"/>
      <c r="D71" s="309"/>
      <c r="E71" s="662"/>
      <c r="F71" s="662"/>
      <c r="G71" s="309"/>
      <c r="H71" s="497"/>
      <c r="I71" s="653"/>
      <c r="J71" s="985"/>
      <c r="K71" s="1469"/>
      <c r="L71" s="499"/>
      <c r="M71" s="1025"/>
      <c r="N71" s="499"/>
    </row>
    <row r="72" spans="1:15" s="455" customFormat="1" ht="13.5">
      <c r="A72" s="566"/>
      <c r="B72" s="467"/>
      <c r="C72" s="499"/>
      <c r="D72" s="309"/>
      <c r="E72" s="391"/>
      <c r="F72" s="499"/>
      <c r="G72" s="497"/>
      <c r="H72" s="498"/>
      <c r="I72" s="498"/>
      <c r="J72" s="498"/>
      <c r="K72" s="499"/>
      <c r="L72" s="1470"/>
      <c r="M72" s="309"/>
      <c r="N72" s="499"/>
    </row>
    <row r="73" spans="1:15" s="455" customFormat="1" ht="13.5">
      <c r="A73" s="566"/>
      <c r="B73" s="467"/>
      <c r="C73" s="497"/>
      <c r="D73" s="691"/>
      <c r="E73" s="675"/>
      <c r="F73" s="675"/>
      <c r="G73" s="654"/>
      <c r="H73" s="502"/>
      <c r="I73" s="652"/>
      <c r="J73" s="497"/>
      <c r="K73" s="653"/>
      <c r="L73" s="502"/>
      <c r="M73" s="538"/>
      <c r="N73" s="392"/>
      <c r="O73" s="502"/>
    </row>
    <row r="74" spans="1:15" s="455" customFormat="1" ht="13.5">
      <c r="A74" s="566"/>
      <c r="B74" s="467"/>
      <c r="C74" s="497"/>
      <c r="D74" s="691"/>
      <c r="E74" s="675"/>
      <c r="F74" s="675"/>
      <c r="G74" s="654"/>
      <c r="H74" s="502"/>
      <c r="I74" s="652"/>
      <c r="J74" s="497"/>
      <c r="K74" s="653"/>
      <c r="L74" s="502"/>
      <c r="M74" s="538"/>
      <c r="N74" s="392"/>
      <c r="O74" s="502"/>
    </row>
    <row r="75" spans="1:15" s="455" customFormat="1" ht="13.5">
      <c r="A75" s="566"/>
      <c r="B75" s="467"/>
      <c r="C75" s="497"/>
      <c r="D75" s="691"/>
      <c r="E75" s="675"/>
      <c r="F75" s="675"/>
      <c r="G75" s="654"/>
      <c r="H75" s="502"/>
      <c r="I75" s="652"/>
      <c r="J75" s="497"/>
      <c r="K75" s="653"/>
      <c r="L75" s="502"/>
      <c r="M75" s="538"/>
      <c r="N75" s="392"/>
      <c r="O75" s="502"/>
    </row>
    <row r="76" spans="1:15" s="455" customFormat="1" ht="13.5">
      <c r="A76" s="566"/>
      <c r="B76" s="467"/>
      <c r="C76" s="497"/>
      <c r="D76" s="691"/>
      <c r="E76" s="675"/>
      <c r="F76" s="675"/>
      <c r="G76" s="654"/>
      <c r="H76" s="502"/>
      <c r="I76" s="652"/>
      <c r="J76" s="497"/>
      <c r="K76" s="653"/>
      <c r="L76" s="502"/>
      <c r="M76" s="538"/>
      <c r="N76" s="392"/>
      <c r="O76" s="502"/>
    </row>
    <row r="77" spans="1:15" s="455" customFormat="1" ht="13.5">
      <c r="C77" s="1384"/>
      <c r="D77" s="314"/>
      <c r="E77" s="662"/>
      <c r="F77" s="662"/>
      <c r="G77" s="309"/>
      <c r="H77" s="497"/>
      <c r="I77" s="653"/>
      <c r="J77" s="985"/>
      <c r="K77" s="1469"/>
      <c r="L77" s="499"/>
      <c r="M77" s="1025"/>
      <c r="N77" s="499"/>
    </row>
    <row r="78" spans="1:15" s="455" customFormat="1" ht="13.5">
      <c r="C78" s="1384"/>
      <c r="D78" s="314"/>
      <c r="E78" s="662"/>
      <c r="F78" s="662"/>
      <c r="G78" s="309"/>
      <c r="H78" s="497"/>
      <c r="I78" s="653"/>
      <c r="J78" s="985"/>
      <c r="K78" s="1469"/>
      <c r="L78" s="499"/>
      <c r="M78" s="1025"/>
      <c r="N78" s="499"/>
    </row>
    <row r="79" spans="1:15" s="455" customFormat="1" ht="13.5">
      <c r="A79" s="566"/>
      <c r="B79" s="467"/>
      <c r="C79" s="499"/>
      <c r="D79" s="309"/>
      <c r="E79" s="391"/>
      <c r="F79" s="499"/>
      <c r="G79" s="497"/>
      <c r="H79" s="498"/>
      <c r="I79" s="498"/>
      <c r="J79" s="498"/>
      <c r="K79" s="499"/>
      <c r="L79" s="1470"/>
      <c r="M79" s="309"/>
      <c r="N79" s="499"/>
    </row>
    <row r="80" spans="1:15" s="455" customFormat="1" ht="13.5">
      <c r="A80" s="566"/>
      <c r="B80" s="467"/>
      <c r="C80" s="497"/>
      <c r="D80" s="691"/>
      <c r="E80" s="675"/>
      <c r="F80" s="675"/>
      <c r="G80" s="654"/>
      <c r="H80" s="502"/>
      <c r="I80" s="652"/>
      <c r="J80" s="497"/>
      <c r="K80" s="653"/>
      <c r="L80" s="502"/>
      <c r="M80" s="538"/>
      <c r="N80" s="392"/>
      <c r="O80" s="502"/>
    </row>
    <row r="81" spans="1:15" s="455" customFormat="1" ht="13.5">
      <c r="A81" s="566"/>
      <c r="B81" s="467"/>
      <c r="C81" s="497"/>
      <c r="D81" s="691"/>
      <c r="E81" s="675"/>
      <c r="F81" s="675"/>
      <c r="G81" s="654"/>
      <c r="H81" s="502"/>
      <c r="I81" s="652"/>
      <c r="J81" s="497"/>
      <c r="K81" s="653"/>
      <c r="L81" s="502"/>
      <c r="M81" s="538"/>
      <c r="N81" s="392"/>
      <c r="O81" s="502"/>
    </row>
    <row r="82" spans="1:15" s="455" customFormat="1" ht="13.5">
      <c r="A82" s="566"/>
      <c r="B82" s="467"/>
      <c r="C82" s="497"/>
      <c r="D82" s="691"/>
      <c r="E82" s="675"/>
      <c r="F82" s="675"/>
      <c r="G82" s="654"/>
      <c r="H82" s="502"/>
      <c r="I82" s="652"/>
      <c r="J82" s="497"/>
      <c r="K82" s="653"/>
      <c r="L82" s="502"/>
      <c r="M82" s="538"/>
      <c r="N82" s="392"/>
      <c r="O82" s="502"/>
    </row>
    <row r="83" spans="1:15" s="455" customFormat="1" ht="13.5">
      <c r="A83" s="566"/>
      <c r="B83" s="467"/>
      <c r="C83" s="497"/>
      <c r="D83" s="691"/>
      <c r="E83" s="675"/>
      <c r="F83" s="675"/>
      <c r="G83" s="654"/>
      <c r="H83" s="502"/>
      <c r="I83" s="652"/>
      <c r="J83" s="497"/>
      <c r="K83" s="653"/>
      <c r="L83" s="502"/>
      <c r="M83" s="538"/>
      <c r="N83" s="392"/>
      <c r="O83" s="502"/>
    </row>
    <row r="84" spans="1:15" s="455" customFormat="1" ht="13.5">
      <c r="C84" s="1385"/>
      <c r="D84" s="314"/>
      <c r="E84" s="991"/>
      <c r="F84" s="662"/>
      <c r="G84" s="309"/>
      <c r="H84" s="497"/>
      <c r="I84" s="774"/>
      <c r="J84" s="774"/>
      <c r="K84" s="774"/>
      <c r="L84" s="499"/>
      <c r="M84" s="1028"/>
      <c r="N84" s="499"/>
    </row>
    <row r="85" spans="1:15" s="455" customFormat="1" ht="13.5">
      <c r="C85" s="314"/>
      <c r="D85" s="314"/>
      <c r="E85" s="991"/>
      <c r="F85" s="662"/>
      <c r="G85" s="309"/>
      <c r="H85" s="497"/>
      <c r="I85" s="774"/>
      <c r="J85" s="774"/>
      <c r="K85" s="1471"/>
      <c r="L85" s="499"/>
      <c r="M85" s="1028"/>
      <c r="N85" s="499"/>
    </row>
    <row r="86" spans="1:15" s="455" customFormat="1" ht="13.5">
      <c r="C86" s="1027"/>
      <c r="D86" s="314"/>
      <c r="E86" s="991"/>
      <c r="F86" s="662"/>
      <c r="G86" s="309"/>
      <c r="H86" s="497"/>
      <c r="I86" s="1056"/>
      <c r="J86" s="985"/>
      <c r="K86" s="985"/>
      <c r="L86" s="499"/>
      <c r="M86" s="1028"/>
      <c r="N86" s="499"/>
    </row>
    <row r="87" spans="1:15" s="455" customFormat="1" ht="13.5">
      <c r="C87" s="499"/>
      <c r="D87" s="309"/>
      <c r="E87" s="391"/>
      <c r="F87" s="499"/>
      <c r="G87" s="497"/>
      <c r="H87" s="498"/>
      <c r="I87" s="498"/>
      <c r="J87" s="498"/>
      <c r="K87" s="499"/>
      <c r="L87" s="1472"/>
      <c r="M87" s="309"/>
      <c r="N87" s="499"/>
    </row>
    <row r="88" spans="1:15" s="455" customFormat="1" ht="13.5">
      <c r="C88" s="497"/>
      <c r="D88" s="691"/>
      <c r="E88" s="675"/>
      <c r="F88" s="675"/>
      <c r="G88" s="654"/>
      <c r="H88" s="502"/>
      <c r="I88" s="652"/>
      <c r="J88" s="497"/>
      <c r="K88" s="653"/>
      <c r="L88" s="502"/>
      <c r="M88" s="538"/>
      <c r="N88" s="392"/>
      <c r="O88" s="502"/>
    </row>
    <row r="89" spans="1:15" s="455" customFormat="1" ht="13.5">
      <c r="C89" s="497"/>
      <c r="D89" s="691"/>
      <c r="E89" s="675"/>
      <c r="F89" s="675"/>
      <c r="G89" s="654"/>
      <c r="H89" s="502"/>
      <c r="I89" s="652"/>
      <c r="J89" s="497"/>
      <c r="K89" s="653"/>
      <c r="L89" s="502"/>
      <c r="M89" s="538"/>
      <c r="N89" s="392"/>
      <c r="O89" s="502"/>
    </row>
    <row r="90" spans="1:15" s="455" customFormat="1" ht="13.5">
      <c r="C90" s="497"/>
      <c r="D90" s="691"/>
      <c r="E90" s="675"/>
      <c r="F90" s="675"/>
      <c r="G90" s="654"/>
      <c r="H90" s="502"/>
      <c r="I90" s="652"/>
      <c r="J90" s="497"/>
      <c r="K90" s="653"/>
      <c r="L90" s="502"/>
      <c r="M90" s="538"/>
      <c r="N90" s="392"/>
      <c r="O90" s="502"/>
    </row>
    <row r="91" spans="1:15" s="455" customFormat="1" ht="13.5">
      <c r="C91" s="497"/>
      <c r="D91" s="691"/>
      <c r="E91" s="675"/>
      <c r="F91" s="675"/>
      <c r="G91" s="654"/>
      <c r="H91" s="502"/>
      <c r="I91" s="652"/>
      <c r="J91" s="497"/>
      <c r="K91" s="653"/>
      <c r="L91" s="502"/>
      <c r="M91" s="538"/>
      <c r="N91" s="392"/>
      <c r="O91" s="502"/>
    </row>
    <row r="92" spans="1:15" s="455" customFormat="1" ht="13.5">
      <c r="C92" s="497"/>
      <c r="D92" s="691"/>
      <c r="E92" s="675"/>
      <c r="F92" s="675"/>
      <c r="G92" s="654"/>
      <c r="H92" s="502"/>
      <c r="I92" s="652"/>
      <c r="J92" s="497"/>
      <c r="K92" s="653"/>
      <c r="L92" s="502"/>
      <c r="M92" s="538"/>
      <c r="N92" s="392"/>
      <c r="O92" s="502"/>
    </row>
    <row r="93" spans="1:15" s="455" customFormat="1" ht="13.5">
      <c r="C93" s="497"/>
      <c r="D93" s="691"/>
      <c r="E93" s="675"/>
      <c r="F93" s="675"/>
      <c r="G93" s="654"/>
      <c r="H93" s="502"/>
      <c r="I93" s="652"/>
      <c r="J93" s="497"/>
      <c r="K93" s="653"/>
      <c r="L93" s="502"/>
      <c r="M93" s="538"/>
      <c r="N93" s="392"/>
      <c r="O93" s="502"/>
    </row>
    <row r="94" spans="1:15" s="455" customFormat="1" ht="13.5">
      <c r="C94" s="497"/>
      <c r="D94" s="691"/>
      <c r="E94" s="675"/>
      <c r="F94" s="1473"/>
      <c r="G94" s="654"/>
      <c r="H94" s="502"/>
      <c r="I94" s="652"/>
      <c r="J94" s="497"/>
      <c r="K94" s="653"/>
      <c r="L94" s="502"/>
      <c r="M94" s="538"/>
      <c r="N94" s="392"/>
      <c r="O94" s="502"/>
    </row>
    <row r="95" spans="1:15" s="355" customFormat="1" ht="13.5">
      <c r="C95" s="400"/>
      <c r="D95" s="400"/>
      <c r="E95" s="401"/>
      <c r="F95" s="402"/>
      <c r="G95" s="402"/>
      <c r="H95" s="403"/>
      <c r="I95" s="403"/>
      <c r="J95" s="403"/>
      <c r="K95" s="402"/>
      <c r="L95" s="404"/>
      <c r="M95" s="402"/>
      <c r="N95" s="405"/>
    </row>
    <row r="96" spans="1:15" s="355" customFormat="1" ht="13.5">
      <c r="C96" s="400"/>
      <c r="D96" s="400"/>
      <c r="E96" s="401"/>
      <c r="F96" s="402"/>
      <c r="G96" s="402"/>
      <c r="H96" s="403"/>
      <c r="I96" s="403"/>
      <c r="J96" s="403"/>
      <c r="K96" s="402"/>
      <c r="L96" s="404"/>
      <c r="M96" s="402"/>
      <c r="N96" s="405"/>
    </row>
    <row r="97" spans="3:14" s="355" customFormat="1" ht="13.5">
      <c r="C97" s="400"/>
      <c r="D97" s="400"/>
      <c r="E97" s="401"/>
      <c r="F97" s="402"/>
      <c r="G97" s="402"/>
      <c r="H97" s="403"/>
      <c r="I97" s="403"/>
      <c r="J97" s="403"/>
      <c r="K97" s="402"/>
      <c r="L97" s="404"/>
      <c r="M97" s="402"/>
      <c r="N97" s="405"/>
    </row>
    <row r="98" spans="3:14" s="355" customFormat="1" ht="13.5">
      <c r="C98" s="400"/>
      <c r="D98" s="400"/>
      <c r="E98" s="401"/>
      <c r="F98" s="402"/>
      <c r="G98" s="402"/>
      <c r="H98" s="403"/>
      <c r="I98" s="403"/>
      <c r="J98" s="403"/>
      <c r="K98" s="402"/>
      <c r="L98" s="404"/>
      <c r="M98" s="402"/>
      <c r="N98" s="405"/>
    </row>
    <row r="99" spans="3:14" s="355" customFormat="1" ht="13.5">
      <c r="C99" s="400"/>
      <c r="D99" s="400"/>
      <c r="E99" s="401"/>
      <c r="F99" s="402"/>
      <c r="G99" s="402"/>
      <c r="H99" s="403"/>
      <c r="I99" s="403"/>
      <c r="J99" s="403"/>
      <c r="K99" s="402"/>
      <c r="L99" s="404"/>
      <c r="M99" s="402"/>
      <c r="N99" s="405"/>
    </row>
    <row r="100" spans="3:14" s="355" customFormat="1" ht="13.5">
      <c r="C100" s="400"/>
      <c r="D100" s="400"/>
      <c r="E100" s="401"/>
      <c r="F100" s="402"/>
      <c r="G100" s="402"/>
      <c r="H100" s="403"/>
      <c r="I100" s="403"/>
      <c r="J100" s="403"/>
      <c r="K100" s="402"/>
      <c r="L100" s="404"/>
      <c r="M100" s="402"/>
      <c r="N100" s="405"/>
    </row>
    <row r="101" spans="3:14" s="355" customFormat="1" ht="13.5">
      <c r="C101" s="400"/>
      <c r="D101" s="400"/>
      <c r="E101" s="401"/>
      <c r="F101" s="402"/>
      <c r="G101" s="402"/>
      <c r="H101" s="403"/>
      <c r="I101" s="403"/>
      <c r="J101" s="403"/>
      <c r="K101" s="402"/>
      <c r="L101" s="404"/>
      <c r="M101" s="402"/>
      <c r="N101" s="405"/>
    </row>
    <row r="102" spans="3:14" s="355" customFormat="1" ht="13.5">
      <c r="C102" s="400"/>
      <c r="D102" s="400"/>
      <c r="E102" s="401"/>
      <c r="F102" s="402"/>
      <c r="G102" s="402"/>
      <c r="H102" s="403"/>
      <c r="I102" s="403"/>
      <c r="J102" s="403"/>
      <c r="K102" s="402"/>
      <c r="L102" s="404"/>
      <c r="M102" s="402"/>
      <c r="N102" s="405"/>
    </row>
    <row r="103" spans="3:14" s="355" customFormat="1" ht="13.5">
      <c r="C103" s="400"/>
      <c r="D103" s="400"/>
      <c r="E103" s="401"/>
      <c r="F103" s="402"/>
      <c r="G103" s="402"/>
      <c r="H103" s="403"/>
      <c r="I103" s="403"/>
      <c r="J103" s="403"/>
      <c r="K103" s="402"/>
      <c r="L103" s="404"/>
      <c r="M103" s="402"/>
      <c r="N103" s="405"/>
    </row>
    <row r="104" spans="3:14" s="355" customFormat="1" ht="13.5">
      <c r="C104" s="400"/>
      <c r="D104" s="400"/>
      <c r="E104" s="401"/>
      <c r="F104" s="402"/>
      <c r="G104" s="402"/>
      <c r="H104" s="403"/>
      <c r="I104" s="403"/>
      <c r="J104" s="403"/>
      <c r="K104" s="402"/>
      <c r="L104" s="404"/>
      <c r="M104" s="402"/>
      <c r="N104" s="405"/>
    </row>
    <row r="105" spans="3:14" s="355" customFormat="1" ht="13.5">
      <c r="C105" s="400"/>
      <c r="D105" s="400"/>
      <c r="E105" s="401"/>
      <c r="F105" s="402"/>
      <c r="G105" s="402"/>
      <c r="H105" s="403"/>
      <c r="I105" s="403"/>
      <c r="J105" s="403"/>
      <c r="K105" s="402"/>
      <c r="L105" s="404"/>
      <c r="M105" s="402"/>
      <c r="N105" s="405"/>
    </row>
    <row r="106" spans="3:14" s="355" customFormat="1" ht="13.5">
      <c r="C106" s="400"/>
      <c r="D106" s="400"/>
      <c r="E106" s="401"/>
      <c r="F106" s="402"/>
      <c r="G106" s="402"/>
      <c r="H106" s="403"/>
      <c r="I106" s="403"/>
      <c r="J106" s="403"/>
      <c r="K106" s="402"/>
      <c r="L106" s="404"/>
      <c r="M106" s="402"/>
      <c r="N106" s="405"/>
    </row>
    <row r="107" spans="3:14" s="355" customFormat="1" ht="13.5">
      <c r="C107" s="400"/>
      <c r="D107" s="400"/>
      <c r="E107" s="401"/>
      <c r="F107" s="402"/>
      <c r="G107" s="402"/>
      <c r="H107" s="403"/>
      <c r="I107" s="403"/>
      <c r="J107" s="403"/>
      <c r="K107" s="402"/>
      <c r="L107" s="404"/>
      <c r="M107" s="407"/>
      <c r="N107" s="405"/>
    </row>
    <row r="108" spans="3:14" s="355" customFormat="1" ht="13.5">
      <c r="C108" s="400"/>
      <c r="D108" s="400"/>
      <c r="E108" s="401"/>
      <c r="F108" s="402"/>
      <c r="G108" s="403"/>
      <c r="H108" s="403"/>
      <c r="I108" s="403"/>
      <c r="J108" s="403"/>
      <c r="K108" s="408"/>
      <c r="L108" s="404"/>
      <c r="M108" s="407"/>
      <c r="N108" s="405"/>
    </row>
    <row r="109" spans="3:14" s="355" customFormat="1" ht="13.5">
      <c r="C109" s="352"/>
      <c r="D109" s="352"/>
      <c r="E109" s="352"/>
      <c r="F109" s="352"/>
      <c r="G109" s="352"/>
      <c r="H109" s="352"/>
      <c r="I109" s="352"/>
      <c r="J109" s="352"/>
      <c r="K109" s="352"/>
      <c r="L109" s="1403">
        <f>SUM(L5:L107)</f>
        <v>10284866.4</v>
      </c>
      <c r="M109" s="352"/>
      <c r="N109" s="352"/>
    </row>
    <row r="110" spans="3:14" ht="14.25" customHeight="1">
      <c r="C110" s="31"/>
      <c r="D110" s="27"/>
      <c r="E110" s="20"/>
      <c r="F110" s="28"/>
      <c r="G110" s="28"/>
      <c r="H110" s="26"/>
      <c r="I110" s="26"/>
      <c r="J110" s="26"/>
      <c r="K110" s="28"/>
      <c r="L110" s="179"/>
      <c r="M110" s="28"/>
      <c r="N110" s="27"/>
    </row>
    <row r="111" spans="3:14" s="1" customFormat="1" ht="14.25" customHeight="1">
      <c r="C111" s="31"/>
      <c r="D111" s="27"/>
      <c r="E111" s="21"/>
      <c r="F111" s="28"/>
      <c r="G111" s="28"/>
      <c r="H111" s="26"/>
      <c r="I111" s="26"/>
      <c r="J111" s="26"/>
      <c r="K111" s="28"/>
      <c r="L111" s="179"/>
      <c r="M111" s="28"/>
      <c r="N111" s="27"/>
    </row>
    <row r="112" spans="3:14" s="1" customFormat="1" ht="14.25" customHeight="1">
      <c r="C112" s="30"/>
      <c r="D112" s="25"/>
      <c r="E112" s="21"/>
      <c r="F112" s="22"/>
      <c r="G112" s="22"/>
      <c r="H112" s="23"/>
      <c r="I112" s="23"/>
      <c r="J112" s="23"/>
      <c r="K112" s="22"/>
      <c r="L112" s="180"/>
      <c r="M112" s="22"/>
      <c r="N112" s="25"/>
    </row>
  </sheetData>
  <mergeCells count="13">
    <mergeCell ref="O36:O37"/>
    <mergeCell ref="E41:E46"/>
    <mergeCell ref="C65:C67"/>
    <mergeCell ref="N2:N3"/>
    <mergeCell ref="C63:C64"/>
    <mergeCell ref="E5:E6"/>
    <mergeCell ref="C2:G2"/>
    <mergeCell ref="H2:J2"/>
    <mergeCell ref="K2:L2"/>
    <mergeCell ref="M2:M3"/>
    <mergeCell ref="C21:C26"/>
    <mergeCell ref="C36:C45"/>
    <mergeCell ref="E37:E40"/>
  </mergeCell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9FEB9-9A36-4D9C-80BF-1489C3D81307}">
  <sheetPr>
    <tabColor rgb="FF00B0F0"/>
  </sheetPr>
  <dimension ref="A2:P242"/>
  <sheetViews>
    <sheetView zoomScale="55" zoomScaleNormal="55" workbookViewId="0">
      <pane ySplit="4" topLeftCell="A204" activePane="bottomLeft" state="frozen"/>
      <selection pane="bottomLeft" activeCell="L242" sqref="L242"/>
    </sheetView>
  </sheetViews>
  <sheetFormatPr defaultColWidth="9.140625" defaultRowHeight="13.5"/>
  <cols>
    <col min="1" max="1" width="9.140625" style="355"/>
    <col min="2" max="2" width="17.5703125" style="355" customWidth="1"/>
    <col min="3" max="3" width="25.42578125" style="355" customWidth="1"/>
    <col min="4" max="4" width="49.7109375" style="355" bestFit="1" customWidth="1"/>
    <col min="5" max="5" width="26" style="355" customWidth="1"/>
    <col min="6" max="6" width="16.7109375" style="355" customWidth="1"/>
    <col min="7" max="7" width="11.7109375" style="355" customWidth="1"/>
    <col min="8" max="8" width="13.7109375" style="355" customWidth="1"/>
    <col min="9" max="9" width="9.140625" style="355"/>
    <col min="10" max="10" width="12.5703125" style="355" customWidth="1"/>
    <col min="11" max="11" width="18.5703125" style="355" customWidth="1"/>
    <col min="12" max="12" width="22.85546875" style="32" customWidth="1"/>
    <col min="13" max="13" width="16.28515625" style="355" customWidth="1"/>
    <col min="14" max="14" width="12.85546875" style="355" customWidth="1"/>
    <col min="15" max="16" width="9.140625" style="355"/>
    <col min="17" max="17" width="73.7109375" style="355" bestFit="1" customWidth="1"/>
    <col min="18" max="16384" width="9.140625" style="355"/>
  </cols>
  <sheetData>
    <row r="2" spans="1:15">
      <c r="C2" s="2601" t="s">
        <v>30</v>
      </c>
      <c r="D2" s="2602"/>
      <c r="E2" s="2602"/>
      <c r="F2" s="2602"/>
      <c r="G2" s="2603"/>
      <c r="H2" s="2604" t="s">
        <v>29</v>
      </c>
      <c r="I2" s="2605"/>
      <c r="J2" s="2606"/>
      <c r="K2" s="2601" t="s">
        <v>28</v>
      </c>
      <c r="L2" s="2603"/>
      <c r="M2" s="2594" t="s">
        <v>27</v>
      </c>
      <c r="N2" s="2594" t="s">
        <v>26</v>
      </c>
    </row>
    <row r="3" spans="1:15" s="1458" customFormat="1" ht="89.25">
      <c r="C3" s="369" t="s">
        <v>25</v>
      </c>
      <c r="D3" s="379" t="s">
        <v>24</v>
      </c>
      <c r="E3" s="380" t="s">
        <v>23</v>
      </c>
      <c r="F3" s="369" t="s">
        <v>22</v>
      </c>
      <c r="G3" s="336" t="s">
        <v>1157</v>
      </c>
      <c r="H3" s="336" t="s">
        <v>20</v>
      </c>
      <c r="I3" s="336" t="s">
        <v>19</v>
      </c>
      <c r="J3" s="336" t="s">
        <v>18</v>
      </c>
      <c r="K3" s="369" t="s">
        <v>17</v>
      </c>
      <c r="L3" s="381" t="s">
        <v>16</v>
      </c>
      <c r="M3" s="2594"/>
      <c r="N3" s="2594"/>
    </row>
    <row r="4" spans="1:15" ht="27">
      <c r="C4" s="1076" t="s">
        <v>15</v>
      </c>
      <c r="D4" s="1076" t="s">
        <v>14</v>
      </c>
      <c r="E4" s="1076" t="s">
        <v>13</v>
      </c>
      <c r="F4" s="1076" t="s">
        <v>12</v>
      </c>
      <c r="G4" s="1076" t="s">
        <v>11</v>
      </c>
      <c r="H4" s="1076" t="s">
        <v>10</v>
      </c>
      <c r="I4" s="1076" t="s">
        <v>9</v>
      </c>
      <c r="J4" s="1076" t="s">
        <v>8</v>
      </c>
      <c r="K4" s="1076" t="s">
        <v>7</v>
      </c>
      <c r="L4" s="1077" t="s">
        <v>6</v>
      </c>
      <c r="M4" s="1076" t="s">
        <v>5</v>
      </c>
      <c r="N4" s="1076" t="s">
        <v>4</v>
      </c>
    </row>
    <row r="5" spans="1:15" s="455" customFormat="1" ht="25.5" customHeight="1">
      <c r="A5" s="471"/>
      <c r="B5" s="483" t="s">
        <v>1561</v>
      </c>
      <c r="C5" s="2763" t="s">
        <v>1570</v>
      </c>
      <c r="D5" s="1618" t="s">
        <v>2</v>
      </c>
      <c r="E5" s="2765">
        <v>16</v>
      </c>
      <c r="F5" s="2767" t="s">
        <v>1571</v>
      </c>
      <c r="G5" s="2763" t="s">
        <v>674</v>
      </c>
      <c r="H5" s="1652" t="s">
        <v>652</v>
      </c>
      <c r="I5" s="1652" t="s">
        <v>653</v>
      </c>
      <c r="J5" s="1653" t="s">
        <v>1558</v>
      </c>
      <c r="K5" s="1654" t="s">
        <v>748</v>
      </c>
      <c r="L5" s="1655">
        <v>2000</v>
      </c>
      <c r="M5" s="741"/>
      <c r="N5" s="741"/>
    </row>
    <row r="6" spans="1:15" s="455" customFormat="1">
      <c r="A6" s="471"/>
      <c r="B6" s="483" t="s">
        <v>1561</v>
      </c>
      <c r="C6" s="2764"/>
      <c r="D6" s="1650" t="s">
        <v>1572</v>
      </c>
      <c r="E6" s="2766"/>
      <c r="F6" s="2768"/>
      <c r="G6" s="2764"/>
      <c r="H6" s="1656"/>
      <c r="I6" s="1656"/>
      <c r="J6" s="1657"/>
      <c r="K6" s="1658"/>
      <c r="L6" s="1659"/>
      <c r="M6" s="741"/>
      <c r="N6" s="741"/>
    </row>
    <row r="7" spans="1:15" s="455" customFormat="1">
      <c r="A7" s="471"/>
      <c r="B7" s="454"/>
      <c r="C7" s="902"/>
      <c r="D7" s="902"/>
      <c r="E7" s="902"/>
      <c r="F7" s="1380"/>
      <c r="G7" s="636"/>
      <c r="H7" s="1462"/>
      <c r="I7" s="1462"/>
      <c r="J7" s="1462"/>
      <c r="K7" s="1380"/>
      <c r="L7" s="1463"/>
      <c r="M7" s="1172"/>
      <c r="N7" s="460"/>
      <c r="O7" s="2676"/>
    </row>
    <row r="8" spans="1:15" s="455" customFormat="1">
      <c r="A8" s="471"/>
      <c r="B8" s="454"/>
      <c r="C8" s="902"/>
      <c r="D8" s="902"/>
      <c r="E8" s="902"/>
      <c r="F8" s="1380"/>
      <c r="G8" s="636"/>
      <c r="H8" s="1462"/>
      <c r="I8" s="1462"/>
      <c r="J8" s="1462"/>
      <c r="K8" s="1380"/>
      <c r="L8" s="1463"/>
      <c r="M8" s="1172"/>
      <c r="N8" s="460"/>
      <c r="O8" s="2677"/>
    </row>
    <row r="9" spans="1:15" s="455" customFormat="1">
      <c r="A9" s="471"/>
      <c r="B9" s="454" t="s">
        <v>589</v>
      </c>
      <c r="C9" s="393" t="s">
        <v>645</v>
      </c>
      <c r="D9" s="1639" t="s">
        <v>2</v>
      </c>
      <c r="E9" s="394" t="s">
        <v>631</v>
      </c>
      <c r="F9" s="1640" t="s">
        <v>609</v>
      </c>
      <c r="G9" s="395" t="s">
        <v>1</v>
      </c>
      <c r="H9" s="397" t="s">
        <v>599</v>
      </c>
      <c r="I9" s="397" t="s">
        <v>599</v>
      </c>
      <c r="J9" s="487" t="s">
        <v>577</v>
      </c>
      <c r="K9" s="395" t="s">
        <v>1608</v>
      </c>
      <c r="L9" s="399">
        <v>96000</v>
      </c>
      <c r="M9" s="393" t="s">
        <v>632</v>
      </c>
      <c r="N9" s="393"/>
      <c r="O9" s="2678"/>
    </row>
    <row r="10" spans="1:15" s="455" customFormat="1">
      <c r="A10" s="471"/>
      <c r="B10" s="454" t="s">
        <v>589</v>
      </c>
      <c r="C10" s="1641" t="s">
        <v>1609</v>
      </c>
      <c r="D10" s="1642"/>
      <c r="E10" s="1643"/>
      <c r="F10" s="1644" t="s">
        <v>612</v>
      </c>
      <c r="G10" s="1645"/>
      <c r="H10" s="899"/>
      <c r="I10" s="1646"/>
      <c r="J10" s="1647"/>
      <c r="K10" s="1648" t="s">
        <v>1610</v>
      </c>
      <c r="L10" s="1649"/>
      <c r="M10" s="1644"/>
      <c r="N10" s="1642"/>
      <c r="O10" s="625"/>
    </row>
    <row r="11" spans="1:15" s="455" customFormat="1">
      <c r="A11" s="471"/>
      <c r="B11" s="454"/>
      <c r="C11" s="314"/>
      <c r="D11" s="309"/>
      <c r="E11" s="309"/>
      <c r="F11" s="309"/>
      <c r="G11" s="497"/>
      <c r="H11" s="985"/>
      <c r="I11" s="985"/>
      <c r="J11" s="985"/>
      <c r="K11" s="499"/>
      <c r="L11" s="1025"/>
      <c r="M11" s="499"/>
      <c r="N11" s="625"/>
    </row>
    <row r="12" spans="1:15" s="455" customFormat="1">
      <c r="A12" s="471"/>
      <c r="B12" s="454"/>
      <c r="C12" s="314"/>
      <c r="D12" s="309"/>
      <c r="E12" s="309"/>
      <c r="F12" s="309"/>
      <c r="G12" s="497"/>
      <c r="H12" s="985"/>
      <c r="I12" s="985"/>
      <c r="J12" s="985"/>
      <c r="K12" s="499"/>
      <c r="L12" s="1025"/>
      <c r="M12" s="499"/>
      <c r="N12" s="1464"/>
    </row>
    <row r="13" spans="1:15" s="455" customFormat="1">
      <c r="A13" s="471"/>
      <c r="B13" s="454"/>
      <c r="C13" s="966"/>
      <c r="D13" s="309"/>
      <c r="E13" s="309"/>
      <c r="F13" s="309"/>
      <c r="G13" s="497"/>
      <c r="H13" s="985"/>
      <c r="I13" s="985"/>
      <c r="J13" s="985"/>
      <c r="K13" s="499"/>
      <c r="L13" s="1025"/>
      <c r="M13" s="499"/>
      <c r="N13" s="1468"/>
    </row>
    <row r="14" spans="1:15" s="455" customFormat="1" ht="27">
      <c r="A14" s="471"/>
      <c r="B14" s="454"/>
      <c r="C14" s="537" t="s">
        <v>660</v>
      </c>
      <c r="D14" s="495"/>
      <c r="E14" s="662"/>
      <c r="F14" s="662"/>
      <c r="G14" s="497"/>
      <c r="H14" s="497"/>
      <c r="I14" s="498"/>
      <c r="J14" s="498"/>
      <c r="K14" s="498"/>
      <c r="L14" s="499"/>
      <c r="M14" s="538"/>
      <c r="N14" s="309"/>
      <c r="O14" s="499"/>
    </row>
    <row r="15" spans="1:15" s="455" customFormat="1" ht="94.5">
      <c r="A15" s="471"/>
      <c r="B15" s="454" t="s">
        <v>1675</v>
      </c>
      <c r="C15" s="1651" t="s">
        <v>1657</v>
      </c>
      <c r="D15" s="309" t="s">
        <v>1658</v>
      </c>
      <c r="E15" s="662"/>
      <c r="F15" s="499" t="s">
        <v>674</v>
      </c>
      <c r="G15" s="502"/>
      <c r="H15" s="498" t="s">
        <v>652</v>
      </c>
      <c r="I15" s="498" t="s">
        <v>1654</v>
      </c>
      <c r="J15" s="498" t="s">
        <v>1655</v>
      </c>
      <c r="K15" s="499" t="s">
        <v>748</v>
      </c>
      <c r="L15" s="538">
        <v>56400</v>
      </c>
      <c r="M15" s="392"/>
      <c r="N15" s="502"/>
    </row>
    <row r="16" spans="1:15" s="455" customFormat="1">
      <c r="A16" s="471"/>
      <c r="B16" s="454"/>
      <c r="C16" s="987"/>
      <c r="D16" s="314"/>
      <c r="E16" s="662"/>
      <c r="F16" s="309"/>
      <c r="G16" s="497"/>
      <c r="H16" s="985"/>
      <c r="I16" s="985"/>
      <c r="J16" s="985"/>
      <c r="K16" s="499"/>
      <c r="L16" s="1025"/>
      <c r="M16" s="499"/>
      <c r="N16" s="454"/>
    </row>
    <row r="17" spans="1:15" s="455" customFormat="1">
      <c r="A17" s="471"/>
      <c r="B17" s="454"/>
      <c r="C17" s="987"/>
      <c r="D17" s="314"/>
      <c r="E17" s="662"/>
      <c r="F17" s="309"/>
      <c r="G17" s="497"/>
      <c r="H17" s="985"/>
      <c r="I17" s="985"/>
      <c r="J17" s="985"/>
      <c r="K17" s="499"/>
      <c r="L17" s="1025"/>
      <c r="M17" s="499"/>
      <c r="N17" s="458"/>
    </row>
    <row r="18" spans="1:15" s="455" customFormat="1" ht="27">
      <c r="A18" s="471"/>
      <c r="B18" s="454" t="s">
        <v>1677</v>
      </c>
      <c r="C18" s="537" t="s">
        <v>660</v>
      </c>
      <c r="D18" s="495"/>
      <c r="E18" s="662"/>
      <c r="F18" s="662"/>
      <c r="G18" s="497"/>
      <c r="H18" s="497"/>
      <c r="I18" s="498"/>
      <c r="J18" s="498"/>
      <c r="K18" s="498"/>
      <c r="L18" s="499"/>
      <c r="M18" s="538"/>
      <c r="N18" s="309"/>
      <c r="O18" s="499"/>
    </row>
    <row r="19" spans="1:15" s="455" customFormat="1" ht="94.5">
      <c r="A19" s="471"/>
      <c r="B19" s="454" t="s">
        <v>1677</v>
      </c>
      <c r="C19" s="1651" t="s">
        <v>1657</v>
      </c>
      <c r="D19" s="309" t="s">
        <v>1658</v>
      </c>
      <c r="E19" s="662"/>
      <c r="F19" s="499" t="s">
        <v>674</v>
      </c>
      <c r="G19" s="502"/>
      <c r="H19" s="498" t="s">
        <v>652</v>
      </c>
      <c r="I19" s="498" t="s">
        <v>1654</v>
      </c>
      <c r="J19" s="498" t="s">
        <v>1655</v>
      </c>
      <c r="K19" s="499" t="s">
        <v>748</v>
      </c>
      <c r="L19" s="538">
        <v>100000</v>
      </c>
      <c r="M19" s="392"/>
      <c r="N19" s="502"/>
    </row>
    <row r="20" spans="1:15" s="455" customFormat="1">
      <c r="A20" s="471"/>
      <c r="B20" s="454"/>
      <c r="C20" s="314"/>
      <c r="D20" s="314"/>
      <c r="E20" s="309"/>
      <c r="F20" s="309"/>
      <c r="G20" s="497"/>
      <c r="H20" s="985"/>
      <c r="I20" s="985"/>
      <c r="J20" s="985"/>
      <c r="K20" s="309"/>
      <c r="L20" s="1015"/>
      <c r="M20" s="499"/>
      <c r="N20" s="458"/>
    </row>
    <row r="21" spans="1:15" s="455" customFormat="1">
      <c r="A21" s="471"/>
      <c r="B21" s="454"/>
      <c r="C21" s="314"/>
      <c r="D21" s="314"/>
      <c r="E21" s="309"/>
      <c r="F21" s="309"/>
      <c r="G21" s="497"/>
      <c r="H21" s="985"/>
      <c r="I21" s="985"/>
      <c r="J21" s="985"/>
      <c r="K21" s="309"/>
      <c r="L21" s="1015"/>
      <c r="M21" s="499"/>
      <c r="N21" s="460"/>
    </row>
    <row r="22" spans="1:15" s="455" customFormat="1" ht="40.5">
      <c r="A22" s="471"/>
      <c r="B22" s="454" t="s">
        <v>1724</v>
      </c>
      <c r="C22" s="410" t="s">
        <v>1736</v>
      </c>
      <c r="D22" s="309" t="s">
        <v>2</v>
      </c>
      <c r="E22" s="852"/>
      <c r="F22" s="304" t="s">
        <v>674</v>
      </c>
      <c r="G22" s="306"/>
      <c r="H22" s="307" t="s">
        <v>675</v>
      </c>
      <c r="I22" s="307" t="s">
        <v>653</v>
      </c>
      <c r="J22" s="307" t="s">
        <v>1686</v>
      </c>
      <c r="K22" s="308" t="s">
        <v>748</v>
      </c>
      <c r="L22" s="321">
        <f>71374+49212.8</f>
        <v>120586.8</v>
      </c>
      <c r="M22" s="306"/>
      <c r="N22" s="306"/>
    </row>
    <row r="23" spans="1:15" s="455" customFormat="1">
      <c r="A23" s="471"/>
      <c r="B23" s="454" t="s">
        <v>1724</v>
      </c>
      <c r="C23" s="410"/>
      <c r="D23" s="309" t="s">
        <v>1737</v>
      </c>
      <c r="E23" s="852">
        <v>1</v>
      </c>
      <c r="F23" s="304" t="s">
        <v>1667</v>
      </c>
      <c r="G23" s="304"/>
      <c r="H23" s="306"/>
      <c r="I23" s="307"/>
      <c r="J23" s="307"/>
      <c r="K23" s="990"/>
      <c r="L23" s="1622"/>
      <c r="M23" s="321"/>
      <c r="N23" s="306"/>
      <c r="O23" s="306"/>
    </row>
    <row r="24" spans="1:15" s="455" customFormat="1">
      <c r="A24" s="471"/>
      <c r="B24" s="454" t="s">
        <v>1724</v>
      </c>
      <c r="C24" s="410"/>
      <c r="D24" s="309" t="s">
        <v>1738</v>
      </c>
      <c r="E24" s="852">
        <v>1</v>
      </c>
      <c r="F24" s="304" t="s">
        <v>1667</v>
      </c>
      <c r="G24" s="304"/>
      <c r="H24" s="306"/>
      <c r="I24" s="307"/>
      <c r="J24" s="307"/>
      <c r="K24" s="990"/>
      <c r="L24" s="1622"/>
      <c r="M24" s="321"/>
      <c r="N24" s="306"/>
      <c r="O24" s="306"/>
    </row>
    <row r="25" spans="1:15" s="455" customFormat="1">
      <c r="A25" s="471"/>
      <c r="B25" s="454" t="s">
        <v>1724</v>
      </c>
      <c r="C25" s="410"/>
      <c r="D25" s="309" t="s">
        <v>1739</v>
      </c>
      <c r="E25" s="852">
        <v>2</v>
      </c>
      <c r="F25" s="304" t="s">
        <v>1700</v>
      </c>
      <c r="G25" s="304"/>
      <c r="H25" s="306"/>
      <c r="I25" s="307"/>
      <c r="J25" s="307"/>
      <c r="K25" s="990"/>
      <c r="L25" s="1622"/>
      <c r="M25" s="321"/>
      <c r="N25" s="306"/>
      <c r="O25" s="306"/>
    </row>
    <row r="26" spans="1:15" s="455" customFormat="1">
      <c r="A26" s="471"/>
      <c r="B26" s="454" t="s">
        <v>1724</v>
      </c>
      <c r="C26" s="410"/>
      <c r="D26" s="309" t="s">
        <v>1740</v>
      </c>
      <c r="E26" s="852">
        <v>2</v>
      </c>
      <c r="F26" s="304" t="s">
        <v>1700</v>
      </c>
      <c r="G26" s="304"/>
      <c r="H26" s="306"/>
      <c r="I26" s="307"/>
      <c r="J26" s="307"/>
      <c r="K26" s="990"/>
      <c r="L26" s="1622"/>
      <c r="M26" s="321"/>
      <c r="N26" s="306"/>
      <c r="O26" s="306"/>
    </row>
    <row r="27" spans="1:15" s="455" customFormat="1">
      <c r="A27" s="471"/>
      <c r="B27" s="454" t="s">
        <v>1724</v>
      </c>
      <c r="C27" s="410"/>
      <c r="D27" s="309" t="s">
        <v>1741</v>
      </c>
      <c r="E27" s="852">
        <v>2</v>
      </c>
      <c r="F27" s="304" t="s">
        <v>1700</v>
      </c>
      <c r="G27" s="304"/>
      <c r="H27" s="306"/>
      <c r="I27" s="307"/>
      <c r="J27" s="307"/>
      <c r="K27" s="990"/>
      <c r="L27" s="1622"/>
      <c r="M27" s="321"/>
      <c r="N27" s="306"/>
      <c r="O27" s="306"/>
    </row>
    <row r="28" spans="1:15" s="455" customFormat="1" ht="135">
      <c r="A28" s="471"/>
      <c r="B28" s="454" t="s">
        <v>1724</v>
      </c>
      <c r="C28" s="410"/>
      <c r="D28" s="309" t="s">
        <v>1742</v>
      </c>
      <c r="E28" s="852">
        <v>1</v>
      </c>
      <c r="F28" s="304" t="s">
        <v>1051</v>
      </c>
      <c r="G28" s="304"/>
      <c r="H28" s="306"/>
      <c r="I28" s="307"/>
      <c r="J28" s="307"/>
      <c r="K28" s="990"/>
      <c r="L28" s="1622"/>
      <c r="M28" s="321"/>
      <c r="N28" s="306"/>
      <c r="O28" s="306"/>
    </row>
    <row r="29" spans="1:15" s="455" customFormat="1" ht="189">
      <c r="A29" s="471"/>
      <c r="B29" s="454" t="s">
        <v>1724</v>
      </c>
      <c r="C29" s="410"/>
      <c r="D29" s="309" t="s">
        <v>1743</v>
      </c>
      <c r="E29" s="852">
        <v>1</v>
      </c>
      <c r="F29" s="304" t="s">
        <v>1051</v>
      </c>
      <c r="G29" s="304"/>
      <c r="H29" s="306"/>
      <c r="I29" s="307"/>
      <c r="J29" s="307"/>
      <c r="K29" s="990"/>
      <c r="L29" s="1622"/>
      <c r="M29" s="321"/>
      <c r="N29" s="306"/>
      <c r="O29" s="306"/>
    </row>
    <row r="30" spans="1:15" s="455" customFormat="1" ht="189">
      <c r="A30" s="471"/>
      <c r="B30" s="454" t="s">
        <v>1724</v>
      </c>
      <c r="C30" s="410"/>
      <c r="D30" s="309" t="s">
        <v>1744</v>
      </c>
      <c r="E30" s="852">
        <v>1</v>
      </c>
      <c r="F30" s="304" t="s">
        <v>1051</v>
      </c>
      <c r="G30" s="304"/>
      <c r="H30" s="306"/>
      <c r="I30" s="307"/>
      <c r="J30" s="307"/>
      <c r="K30" s="990"/>
      <c r="L30" s="1622"/>
      <c r="M30" s="321"/>
      <c r="N30" s="306"/>
      <c r="O30" s="306"/>
    </row>
    <row r="31" spans="1:15" s="455" customFormat="1" ht="135">
      <c r="A31" s="471"/>
      <c r="B31" s="454" t="s">
        <v>1724</v>
      </c>
      <c r="C31" s="410"/>
      <c r="D31" s="309" t="s">
        <v>1745</v>
      </c>
      <c r="E31" s="852">
        <v>1</v>
      </c>
      <c r="F31" s="304" t="s">
        <v>1051</v>
      </c>
      <c r="G31" s="304"/>
      <c r="H31" s="306"/>
      <c r="I31" s="307"/>
      <c r="J31" s="307"/>
      <c r="K31" s="990"/>
      <c r="L31" s="1622"/>
      <c r="M31" s="321"/>
      <c r="N31" s="306"/>
      <c r="O31" s="306"/>
    </row>
    <row r="32" spans="1:15" s="455" customFormat="1" ht="175.5">
      <c r="A32" s="471"/>
      <c r="B32" s="454" t="s">
        <v>1724</v>
      </c>
      <c r="C32" s="410"/>
      <c r="D32" s="309" t="s">
        <v>1746</v>
      </c>
      <c r="E32" s="852">
        <v>1</v>
      </c>
      <c r="F32" s="304" t="s">
        <v>1747</v>
      </c>
      <c r="G32" s="304"/>
      <c r="H32" s="306"/>
      <c r="I32" s="307"/>
      <c r="J32" s="307"/>
      <c r="K32" s="990"/>
      <c r="L32" s="1622"/>
      <c r="M32" s="321"/>
      <c r="N32" s="306"/>
      <c r="O32" s="306"/>
    </row>
    <row r="33" spans="1:15" s="455" customFormat="1">
      <c r="A33" s="471"/>
      <c r="B33" s="454"/>
      <c r="C33" s="410"/>
      <c r="D33" s="309"/>
      <c r="E33" s="852"/>
      <c r="F33" s="304"/>
      <c r="G33" s="304"/>
      <c r="H33" s="306"/>
      <c r="I33" s="307"/>
      <c r="J33" s="307"/>
      <c r="K33" s="990"/>
      <c r="L33" s="1622"/>
      <c r="M33" s="321"/>
      <c r="N33" s="1914"/>
      <c r="O33" s="1914"/>
    </row>
    <row r="34" spans="1:15" s="455" customFormat="1">
      <c r="A34" s="471"/>
      <c r="B34" s="454"/>
      <c r="C34" s="410"/>
      <c r="D34" s="309"/>
      <c r="E34" s="852"/>
      <c r="F34" s="304"/>
      <c r="G34" s="304"/>
      <c r="H34" s="306"/>
      <c r="I34" s="307"/>
      <c r="J34" s="307"/>
      <c r="K34" s="990"/>
      <c r="L34" s="1622"/>
      <c r="M34" s="321"/>
      <c r="N34" s="1914"/>
      <c r="O34" s="1914"/>
    </row>
    <row r="35" spans="1:15" s="455" customFormat="1" ht="27">
      <c r="A35" s="471"/>
      <c r="B35" s="454" t="s">
        <v>2574</v>
      </c>
      <c r="C35" s="995"/>
      <c r="D35" s="991" t="s">
        <v>2</v>
      </c>
      <c r="E35" s="2168"/>
      <c r="F35" s="2169" t="s">
        <v>422</v>
      </c>
      <c r="G35" s="2170" t="s">
        <v>1</v>
      </c>
      <c r="H35" s="2170">
        <v>46054</v>
      </c>
      <c r="I35" s="2171">
        <v>46082</v>
      </c>
      <c r="J35" s="2171">
        <v>46082</v>
      </c>
      <c r="K35" s="2172" t="s">
        <v>2216</v>
      </c>
      <c r="L35" s="2194"/>
      <c r="M35" s="2174" t="s">
        <v>2446</v>
      </c>
      <c r="N35" s="2234"/>
    </row>
    <row r="36" spans="1:15" s="455" customFormat="1">
      <c r="A36" s="471"/>
      <c r="B36" s="454" t="s">
        <v>2574</v>
      </c>
      <c r="C36" s="2598" t="s">
        <v>3897</v>
      </c>
      <c r="D36" s="2182" t="s">
        <v>2759</v>
      </c>
      <c r="E36" s="2183">
        <v>5</v>
      </c>
      <c r="F36" s="2187" t="s">
        <v>795</v>
      </c>
      <c r="G36" s="2177"/>
      <c r="H36" s="2178"/>
      <c r="I36" s="2178"/>
      <c r="J36" s="2178"/>
      <c r="K36" s="2179"/>
      <c r="L36" s="2184">
        <v>1075</v>
      </c>
      <c r="N36" s="2181"/>
      <c r="O36" s="405"/>
    </row>
    <row r="37" spans="1:15" s="455" customFormat="1">
      <c r="A37" s="471"/>
      <c r="B37" s="454" t="s">
        <v>2574</v>
      </c>
      <c r="C37" s="2599"/>
      <c r="D37" s="2182" t="s">
        <v>2760</v>
      </c>
      <c r="E37" s="2183">
        <v>2</v>
      </c>
      <c r="F37" s="2187" t="s">
        <v>2630</v>
      </c>
      <c r="G37" s="2177"/>
      <c r="H37" s="2178"/>
      <c r="I37" s="2178"/>
      <c r="J37" s="2178"/>
      <c r="K37" s="2179"/>
      <c r="L37" s="2180">
        <v>200</v>
      </c>
      <c r="N37" s="2181"/>
      <c r="O37" s="405"/>
    </row>
    <row r="38" spans="1:15" s="455" customFormat="1">
      <c r="A38" s="471"/>
      <c r="B38" s="454" t="s">
        <v>2574</v>
      </c>
      <c r="C38" s="2599"/>
      <c r="D38" s="2182" t="s">
        <v>2761</v>
      </c>
      <c r="E38" s="2183">
        <v>10</v>
      </c>
      <c r="F38" s="2187" t="s">
        <v>2630</v>
      </c>
      <c r="G38" s="2177"/>
      <c r="H38" s="2178"/>
      <c r="I38" s="2178"/>
      <c r="J38" s="2178"/>
      <c r="K38" s="2179"/>
      <c r="L38" s="2180">
        <v>1030</v>
      </c>
      <c r="N38" s="2181"/>
      <c r="O38" s="405"/>
    </row>
    <row r="39" spans="1:15" s="455" customFormat="1">
      <c r="A39" s="471"/>
      <c r="B39" s="454" t="s">
        <v>2574</v>
      </c>
      <c r="C39" s="2599"/>
      <c r="D39" s="2188" t="s">
        <v>2762</v>
      </c>
      <c r="E39" s="2183">
        <v>5</v>
      </c>
      <c r="F39" s="2187" t="s">
        <v>1571</v>
      </c>
      <c r="G39" s="2177"/>
      <c r="H39" s="2178"/>
      <c r="I39" s="2178"/>
      <c r="J39" s="2178"/>
      <c r="K39" s="2179"/>
      <c r="L39" s="2180">
        <v>1375</v>
      </c>
      <c r="N39" s="2181"/>
      <c r="O39" s="405"/>
    </row>
    <row r="40" spans="1:15" s="455" customFormat="1">
      <c r="A40" s="471"/>
      <c r="B40" s="454" t="s">
        <v>2574</v>
      </c>
      <c r="C40" s="513"/>
      <c r="D40" s="2188" t="s">
        <v>2763</v>
      </c>
      <c r="E40" s="2183">
        <v>5</v>
      </c>
      <c r="F40" s="2187" t="s">
        <v>1571</v>
      </c>
      <c r="G40" s="2177"/>
      <c r="H40" s="2178"/>
      <c r="I40" s="2178"/>
      <c r="J40" s="2178"/>
      <c r="K40" s="2179"/>
      <c r="L40" s="2180">
        <v>1000</v>
      </c>
      <c r="N40" s="2181"/>
      <c r="O40" s="405"/>
    </row>
    <row r="41" spans="1:15" s="455" customFormat="1">
      <c r="A41" s="471"/>
      <c r="B41" s="454" t="s">
        <v>2574</v>
      </c>
      <c r="C41" s="508" t="s">
        <v>735</v>
      </c>
      <c r="D41" s="2182" t="s">
        <v>2764</v>
      </c>
      <c r="E41" s="2183">
        <v>3</v>
      </c>
      <c r="F41" s="2187" t="s">
        <v>2654</v>
      </c>
      <c r="G41" s="2177"/>
      <c r="H41" s="2178"/>
      <c r="I41" s="2178"/>
      <c r="J41" s="2178"/>
      <c r="K41" s="2179"/>
      <c r="L41" s="2189">
        <v>600</v>
      </c>
      <c r="N41" s="2181"/>
      <c r="O41" s="405"/>
    </row>
    <row r="42" spans="1:15" s="455" customFormat="1">
      <c r="A42" s="471"/>
      <c r="B42" s="454" t="s">
        <v>2574</v>
      </c>
      <c r="C42" s="513"/>
      <c r="D42" s="2182" t="s">
        <v>2765</v>
      </c>
      <c r="E42" s="2183">
        <v>10</v>
      </c>
      <c r="F42" s="2187" t="s">
        <v>778</v>
      </c>
      <c r="G42" s="2177"/>
      <c r="H42" s="2178"/>
      <c r="I42" s="2178"/>
      <c r="J42" s="2178"/>
      <c r="K42" s="2179"/>
      <c r="L42" s="2189">
        <v>300</v>
      </c>
      <c r="N42" s="2181"/>
      <c r="O42" s="405"/>
    </row>
    <row r="43" spans="1:15" s="455" customFormat="1">
      <c r="A43" s="471"/>
      <c r="B43" s="454" t="s">
        <v>2574</v>
      </c>
      <c r="C43" s="513"/>
      <c r="D43" s="2182" t="s">
        <v>2766</v>
      </c>
      <c r="E43" s="2183">
        <v>50</v>
      </c>
      <c r="F43" s="2187" t="s">
        <v>1571</v>
      </c>
      <c r="G43" s="2177"/>
      <c r="H43" s="2178"/>
      <c r="I43" s="2178"/>
      <c r="J43" s="2178"/>
      <c r="K43" s="2179"/>
      <c r="L43" s="2189">
        <v>750</v>
      </c>
      <c r="N43" s="2181"/>
      <c r="O43" s="405"/>
    </row>
    <row r="44" spans="1:15" s="455" customFormat="1">
      <c r="A44" s="471"/>
      <c r="B44" s="454" t="s">
        <v>2574</v>
      </c>
      <c r="C44" s="513"/>
      <c r="D44" s="2182" t="s">
        <v>2767</v>
      </c>
      <c r="E44" s="2183">
        <v>2</v>
      </c>
      <c r="F44" s="2187" t="s">
        <v>2768</v>
      </c>
      <c r="G44" s="2177"/>
      <c r="H44" s="2178"/>
      <c r="I44" s="2178"/>
      <c r="J44" s="2178"/>
      <c r="K44" s="2179"/>
      <c r="L44" s="2189">
        <v>960</v>
      </c>
      <c r="N44" s="2181"/>
      <c r="O44" s="405"/>
    </row>
    <row r="45" spans="1:15" s="455" customFormat="1">
      <c r="A45" s="471"/>
      <c r="B45" s="454" t="s">
        <v>2574</v>
      </c>
      <c r="C45" s="513"/>
      <c r="D45" s="2188" t="s">
        <v>2769</v>
      </c>
      <c r="E45" s="2183">
        <v>1</v>
      </c>
      <c r="F45" s="2176"/>
      <c r="G45" s="2177"/>
      <c r="H45" s="2178"/>
      <c r="I45" s="2178"/>
      <c r="J45" s="2178"/>
      <c r="K45" s="2179"/>
      <c r="L45" s="2189">
        <v>50000</v>
      </c>
      <c r="N45" s="2181"/>
      <c r="O45" s="405"/>
    </row>
    <row r="46" spans="1:15" s="455" customFormat="1">
      <c r="A46" s="471"/>
      <c r="B46" s="454" t="s">
        <v>2574</v>
      </c>
      <c r="C46" s="513"/>
      <c r="D46" s="2182" t="s">
        <v>2770</v>
      </c>
      <c r="E46" s="2272">
        <v>5</v>
      </c>
      <c r="F46" s="2187" t="s">
        <v>1571</v>
      </c>
      <c r="G46" s="2177"/>
      <c r="H46" s="2178"/>
      <c r="I46" s="2178"/>
      <c r="J46" s="2178"/>
      <c r="K46" s="2179"/>
      <c r="L46" s="2189">
        <v>1500</v>
      </c>
      <c r="N46" s="2181"/>
      <c r="O46" s="405"/>
    </row>
    <row r="47" spans="1:15" s="455" customFormat="1">
      <c r="A47" s="471"/>
      <c r="B47" s="454" t="s">
        <v>2574</v>
      </c>
      <c r="C47" s="513"/>
      <c r="D47" s="2182" t="s">
        <v>2771</v>
      </c>
      <c r="E47" s="2183">
        <v>10</v>
      </c>
      <c r="F47" s="2187" t="s">
        <v>1571</v>
      </c>
      <c r="G47" s="2177"/>
      <c r="H47" s="2178"/>
      <c r="I47" s="2178"/>
      <c r="J47" s="2178"/>
      <c r="K47" s="2179"/>
      <c r="L47" s="2189">
        <v>2000</v>
      </c>
      <c r="N47" s="2181"/>
      <c r="O47" s="405"/>
    </row>
    <row r="48" spans="1:15" s="455" customFormat="1">
      <c r="A48" s="471"/>
      <c r="B48" s="454" t="s">
        <v>2574</v>
      </c>
      <c r="C48" s="513"/>
      <c r="D48" s="2182" t="s">
        <v>2772</v>
      </c>
      <c r="E48" s="2183">
        <v>10</v>
      </c>
      <c r="F48" s="2187" t="s">
        <v>1571</v>
      </c>
      <c r="G48" s="2177"/>
      <c r="H48" s="2178"/>
      <c r="I48" s="2178"/>
      <c r="J48" s="2178"/>
      <c r="K48" s="2179"/>
      <c r="L48" s="2189">
        <v>2000</v>
      </c>
      <c r="N48" s="2181"/>
      <c r="O48" s="405"/>
    </row>
    <row r="49" spans="1:15" s="455" customFormat="1">
      <c r="A49" s="471"/>
      <c r="B49" s="454" t="s">
        <v>2574</v>
      </c>
      <c r="C49" s="513"/>
      <c r="D49" s="2182" t="s">
        <v>2773</v>
      </c>
      <c r="E49" s="2183">
        <v>5</v>
      </c>
      <c r="F49" s="2187" t="s">
        <v>1571</v>
      </c>
      <c r="G49" s="2177"/>
      <c r="H49" s="2178"/>
      <c r="I49" s="2178"/>
      <c r="J49" s="2178"/>
      <c r="K49" s="2179"/>
      <c r="L49" s="2189">
        <v>1000</v>
      </c>
      <c r="N49" s="2181"/>
      <c r="O49" s="405"/>
    </row>
    <row r="50" spans="1:15" s="455" customFormat="1">
      <c r="A50" s="471"/>
      <c r="B50" s="454" t="s">
        <v>2574</v>
      </c>
      <c r="C50" s="513"/>
      <c r="D50" s="2182" t="s">
        <v>2774</v>
      </c>
      <c r="E50" s="2183">
        <v>8</v>
      </c>
      <c r="F50" s="2187" t="s">
        <v>1571</v>
      </c>
      <c r="G50" s="2177"/>
      <c r="H50" s="2178"/>
      <c r="I50" s="2178"/>
      <c r="J50" s="2178"/>
      <c r="K50" s="2179"/>
      <c r="L50" s="2189">
        <v>360</v>
      </c>
      <c r="N50" s="2181"/>
      <c r="O50" s="405"/>
    </row>
    <row r="51" spans="1:15" s="455" customFormat="1">
      <c r="A51" s="471"/>
      <c r="B51" s="454" t="s">
        <v>2574</v>
      </c>
      <c r="C51" s="513"/>
      <c r="D51" s="2182" t="s">
        <v>2775</v>
      </c>
      <c r="E51" s="2272">
        <v>10</v>
      </c>
      <c r="F51" s="2187" t="s">
        <v>2776</v>
      </c>
      <c r="G51" s="2177"/>
      <c r="H51" s="2178"/>
      <c r="I51" s="2178"/>
      <c r="J51" s="2178"/>
      <c r="K51" s="2179"/>
      <c r="L51" s="2189">
        <v>110000</v>
      </c>
      <c r="N51" s="2181"/>
      <c r="O51" s="405"/>
    </row>
    <row r="52" spans="1:15" s="455" customFormat="1">
      <c r="A52" s="471"/>
      <c r="B52" s="454" t="s">
        <v>2574</v>
      </c>
      <c r="C52" s="513"/>
      <c r="D52" s="2182" t="s">
        <v>2777</v>
      </c>
      <c r="E52" s="2183">
        <v>4</v>
      </c>
      <c r="F52" s="2187" t="s">
        <v>1571</v>
      </c>
      <c r="G52" s="2177"/>
      <c r="H52" s="2178"/>
      <c r="I52" s="2178"/>
      <c r="J52" s="2178"/>
      <c r="K52" s="2179"/>
      <c r="L52" s="2189">
        <v>400</v>
      </c>
      <c r="N52" s="2181"/>
      <c r="O52" s="405"/>
    </row>
    <row r="53" spans="1:15" s="455" customFormat="1">
      <c r="A53" s="471"/>
      <c r="B53" s="454" t="s">
        <v>2574</v>
      </c>
      <c r="C53" s="513"/>
      <c r="D53" s="2182" t="s">
        <v>2778</v>
      </c>
      <c r="E53" s="2272">
        <v>10</v>
      </c>
      <c r="F53" s="2187" t="s">
        <v>1571</v>
      </c>
      <c r="G53" s="2177"/>
      <c r="H53" s="2178"/>
      <c r="I53" s="2178"/>
      <c r="J53" s="2178"/>
      <c r="K53" s="2179"/>
      <c r="L53" s="2189">
        <v>70000</v>
      </c>
      <c r="N53" s="2181"/>
      <c r="O53" s="405"/>
    </row>
    <row r="54" spans="1:15" s="455" customFormat="1">
      <c r="A54" s="471"/>
      <c r="B54" s="454" t="s">
        <v>2574</v>
      </c>
      <c r="C54" s="513"/>
      <c r="D54" s="2273" t="s">
        <v>2779</v>
      </c>
      <c r="E54" s="2183">
        <v>10</v>
      </c>
      <c r="F54" s="2187" t="s">
        <v>1571</v>
      </c>
      <c r="G54" s="2177"/>
      <c r="H54" s="2178"/>
      <c r="I54" s="2178"/>
      <c r="J54" s="2178"/>
      <c r="K54" s="2179"/>
      <c r="L54" s="2189">
        <v>4500</v>
      </c>
      <c r="N54" s="2181"/>
      <c r="O54" s="405"/>
    </row>
    <row r="55" spans="1:15" s="455" customFormat="1">
      <c r="A55" s="471"/>
      <c r="B55" s="454" t="s">
        <v>2574</v>
      </c>
      <c r="C55" s="513"/>
      <c r="D55" s="2182" t="s">
        <v>2780</v>
      </c>
      <c r="E55" s="2183">
        <v>10</v>
      </c>
      <c r="F55" s="2187" t="s">
        <v>1571</v>
      </c>
      <c r="G55" s="2177"/>
      <c r="H55" s="2178"/>
      <c r="I55" s="2178"/>
      <c r="J55" s="2178"/>
      <c r="K55" s="2179"/>
      <c r="L55" s="2189">
        <v>700</v>
      </c>
      <c r="N55" s="2181"/>
      <c r="O55" s="405"/>
    </row>
    <row r="56" spans="1:15" s="455" customFormat="1">
      <c r="A56" s="471"/>
      <c r="B56" s="454" t="s">
        <v>2574</v>
      </c>
      <c r="C56" s="513"/>
      <c r="D56" s="2182" t="s">
        <v>2781</v>
      </c>
      <c r="E56" s="2183">
        <v>2</v>
      </c>
      <c r="F56" s="2187" t="s">
        <v>1571</v>
      </c>
      <c r="G56" s="2177"/>
      <c r="H56" s="2178"/>
      <c r="I56" s="2178"/>
      <c r="J56" s="2178"/>
      <c r="K56" s="2179"/>
      <c r="L56" s="2189">
        <v>130</v>
      </c>
      <c r="N56" s="2181"/>
      <c r="O56" s="405"/>
    </row>
    <row r="57" spans="1:15" s="455" customFormat="1">
      <c r="A57" s="471"/>
      <c r="B57" s="454" t="s">
        <v>2574</v>
      </c>
      <c r="C57" s="513"/>
      <c r="D57" s="2182" t="s">
        <v>2782</v>
      </c>
      <c r="E57" s="2183">
        <v>2</v>
      </c>
      <c r="F57" s="2187" t="s">
        <v>1571</v>
      </c>
      <c r="G57" s="2177"/>
      <c r="H57" s="2178"/>
      <c r="I57" s="2178"/>
      <c r="J57" s="2178"/>
      <c r="K57" s="2179"/>
      <c r="L57" s="2189">
        <v>5000</v>
      </c>
      <c r="N57" s="2181"/>
      <c r="O57" s="405"/>
    </row>
    <row r="58" spans="1:15" s="455" customFormat="1">
      <c r="A58" s="471"/>
      <c r="B58" s="454" t="s">
        <v>2574</v>
      </c>
      <c r="C58" s="513"/>
      <c r="D58" s="2182" t="s">
        <v>2783</v>
      </c>
      <c r="E58" s="2183">
        <v>10</v>
      </c>
      <c r="F58" s="2187" t="s">
        <v>1571</v>
      </c>
      <c r="G58" s="2177"/>
      <c r="H58" s="2178"/>
      <c r="I58" s="2178"/>
      <c r="J58" s="2178"/>
      <c r="K58" s="2179"/>
      <c r="L58" s="2189">
        <v>2000</v>
      </c>
      <c r="N58" s="2181"/>
      <c r="O58" s="405"/>
    </row>
    <row r="59" spans="1:15" s="455" customFormat="1">
      <c r="A59" s="471"/>
      <c r="B59" s="454" t="s">
        <v>2574</v>
      </c>
      <c r="C59" s="513"/>
      <c r="D59" s="2273" t="s">
        <v>2784</v>
      </c>
      <c r="E59" s="2183">
        <v>5</v>
      </c>
      <c r="F59" s="2274" t="s">
        <v>1571</v>
      </c>
      <c r="G59" s="2177"/>
      <c r="H59" s="2178"/>
      <c r="I59" s="2178"/>
      <c r="J59" s="2178"/>
      <c r="K59" s="2179"/>
      <c r="L59" s="2189">
        <v>2500</v>
      </c>
      <c r="N59" s="2181"/>
      <c r="O59" s="405"/>
    </row>
    <row r="60" spans="1:15" s="455" customFormat="1">
      <c r="A60" s="471"/>
      <c r="B60" s="454" t="s">
        <v>2574</v>
      </c>
      <c r="C60" s="513"/>
      <c r="D60" s="2275" t="s">
        <v>2785</v>
      </c>
      <c r="E60" s="2183">
        <v>6</v>
      </c>
      <c r="F60" s="2274" t="s">
        <v>778</v>
      </c>
      <c r="G60" s="2177"/>
      <c r="H60" s="2178"/>
      <c r="I60" s="2178"/>
      <c r="J60" s="2178"/>
      <c r="K60" s="2179"/>
      <c r="L60" s="2189">
        <v>120</v>
      </c>
      <c r="N60" s="2181"/>
      <c r="O60" s="405"/>
    </row>
    <row r="61" spans="1:15" s="455" customFormat="1">
      <c r="A61" s="471"/>
      <c r="B61" s="454" t="s">
        <v>2574</v>
      </c>
      <c r="C61" s="513"/>
      <c r="D61" s="2275" t="s">
        <v>2786</v>
      </c>
      <c r="E61" s="2183">
        <v>2</v>
      </c>
      <c r="F61" s="2274" t="s">
        <v>2654</v>
      </c>
      <c r="G61" s="2177"/>
      <c r="H61" s="2178"/>
      <c r="I61" s="2178"/>
      <c r="J61" s="2178"/>
      <c r="K61" s="2179"/>
      <c r="L61" s="2189">
        <v>400</v>
      </c>
      <c r="N61" s="2181"/>
      <c r="O61" s="405"/>
    </row>
    <row r="62" spans="1:15" s="455" customFormat="1">
      <c r="A62" s="471"/>
      <c r="B62" s="454" t="s">
        <v>2574</v>
      </c>
      <c r="C62" s="513"/>
      <c r="D62" s="2275" t="s">
        <v>2787</v>
      </c>
      <c r="E62" s="2276">
        <v>2</v>
      </c>
      <c r="F62" s="2274" t="s">
        <v>2630</v>
      </c>
      <c r="G62" s="2177"/>
      <c r="H62" s="2178"/>
      <c r="I62" s="2178"/>
      <c r="J62" s="2178"/>
      <c r="K62" s="2179"/>
      <c r="L62" s="2189">
        <v>1600</v>
      </c>
      <c r="N62" s="2181"/>
      <c r="O62" s="405"/>
    </row>
    <row r="63" spans="1:15" s="455" customFormat="1">
      <c r="A63" s="471"/>
      <c r="B63" s="454" t="s">
        <v>2574</v>
      </c>
      <c r="C63" s="513"/>
      <c r="D63" s="2275" t="s">
        <v>2788</v>
      </c>
      <c r="E63" s="2272">
        <v>25</v>
      </c>
      <c r="F63" s="2274" t="s">
        <v>1571</v>
      </c>
      <c r="G63" s="2177"/>
      <c r="H63" s="2178"/>
      <c r="I63" s="2178"/>
      <c r="J63" s="2178"/>
      <c r="K63" s="2179"/>
      <c r="L63" s="2189">
        <v>2500</v>
      </c>
      <c r="N63" s="2181"/>
      <c r="O63" s="405"/>
    </row>
    <row r="64" spans="1:15" s="455" customFormat="1">
      <c r="A64" s="471"/>
      <c r="B64" s="454" t="s">
        <v>2574</v>
      </c>
      <c r="C64" s="513"/>
      <c r="D64" s="2182" t="s">
        <v>2789</v>
      </c>
      <c r="E64" s="2183">
        <v>2</v>
      </c>
      <c r="F64" s="2277" t="s">
        <v>1571</v>
      </c>
      <c r="G64" s="2177"/>
      <c r="H64" s="2178"/>
      <c r="I64" s="2178"/>
      <c r="J64" s="2178"/>
      <c r="K64" s="2179"/>
      <c r="L64" s="2189">
        <v>8000</v>
      </c>
      <c r="N64" s="2181"/>
      <c r="O64" s="405"/>
    </row>
    <row r="65" spans="1:15" s="455" customFormat="1">
      <c r="A65" s="471"/>
      <c r="B65" s="454" t="s">
        <v>2574</v>
      </c>
      <c r="C65" s="513"/>
      <c r="D65" s="2182" t="s">
        <v>2790</v>
      </c>
      <c r="E65" s="2183">
        <v>3</v>
      </c>
      <c r="F65" s="2277" t="s">
        <v>1571</v>
      </c>
      <c r="G65" s="2177"/>
      <c r="H65" s="2178"/>
      <c r="I65" s="2178"/>
      <c r="J65" s="2178"/>
      <c r="K65" s="2179"/>
      <c r="L65" s="2189">
        <v>3000</v>
      </c>
      <c r="N65" s="2181"/>
      <c r="O65" s="405"/>
    </row>
    <row r="66" spans="1:15" s="455" customFormat="1">
      <c r="A66" s="471"/>
      <c r="B66" s="454" t="s">
        <v>2574</v>
      </c>
      <c r="C66" s="513"/>
      <c r="D66" s="2182" t="s">
        <v>2076</v>
      </c>
      <c r="E66" s="2183">
        <v>1</v>
      </c>
      <c r="F66" s="2187" t="s">
        <v>1051</v>
      </c>
      <c r="G66" s="2177"/>
      <c r="H66" s="2178"/>
      <c r="I66" s="2178"/>
      <c r="J66" s="2178"/>
      <c r="K66" s="2179"/>
      <c r="L66" s="2189">
        <v>25000</v>
      </c>
      <c r="N66" s="2181"/>
      <c r="O66" s="405"/>
    </row>
    <row r="67" spans="1:15" s="455" customFormat="1">
      <c r="A67" s="471"/>
      <c r="B67" s="454"/>
      <c r="C67" s="513"/>
      <c r="D67" s="2267"/>
      <c r="E67" s="2242"/>
      <c r="F67" s="2187"/>
      <c r="G67" s="2177"/>
      <c r="H67" s="2178"/>
      <c r="I67" s="2178"/>
      <c r="J67" s="2178"/>
      <c r="K67" s="2179"/>
      <c r="L67" s="2178"/>
      <c r="M67" s="2189"/>
      <c r="N67" s="2181"/>
      <c r="O67" s="405"/>
    </row>
    <row r="68" spans="1:15" s="455" customFormat="1">
      <c r="A68" s="471"/>
      <c r="B68" s="454"/>
      <c r="C68" s="410"/>
      <c r="D68" s="309"/>
      <c r="E68" s="852"/>
      <c r="F68" s="304"/>
      <c r="G68" s="304"/>
      <c r="H68" s="306"/>
      <c r="I68" s="307"/>
      <c r="J68" s="307"/>
      <c r="K68" s="990"/>
      <c r="L68" s="1622"/>
      <c r="M68" s="321"/>
      <c r="N68" s="1914"/>
      <c r="O68" s="1914"/>
    </row>
    <row r="69" spans="1:15" s="455" customFormat="1" ht="27">
      <c r="A69" s="471"/>
      <c r="B69" s="454"/>
      <c r="C69" s="2167"/>
      <c r="D69" s="991" t="s">
        <v>2</v>
      </c>
      <c r="E69" s="2168"/>
      <c r="F69" s="2169" t="s">
        <v>422</v>
      </c>
      <c r="G69" s="2170" t="s">
        <v>1</v>
      </c>
      <c r="H69" s="2170">
        <v>46113</v>
      </c>
      <c r="I69" s="2171">
        <v>46143</v>
      </c>
      <c r="J69" s="2171">
        <v>46143</v>
      </c>
      <c r="K69" s="2172" t="s">
        <v>2216</v>
      </c>
      <c r="L69" s="2194"/>
      <c r="M69" s="2174" t="s">
        <v>2446</v>
      </c>
      <c r="N69" s="2234"/>
    </row>
    <row r="70" spans="1:15" s="455" customFormat="1">
      <c r="A70" s="471"/>
      <c r="B70" s="454"/>
      <c r="C70" s="513"/>
      <c r="D70" s="2182" t="s">
        <v>2791</v>
      </c>
      <c r="E70" s="2187">
        <v>16</v>
      </c>
      <c r="F70" s="2187" t="s">
        <v>2792</v>
      </c>
      <c r="G70" s="2177"/>
      <c r="H70" s="852"/>
      <c r="I70" s="852"/>
      <c r="J70" s="852"/>
      <c r="K70" s="852"/>
      <c r="L70" s="2180">
        <v>1920</v>
      </c>
      <c r="N70" s="2181"/>
      <c r="O70" s="405"/>
    </row>
    <row r="71" spans="1:15" s="455" customFormat="1">
      <c r="A71" s="471"/>
      <c r="B71" s="454"/>
      <c r="C71" s="2598" t="s">
        <v>3897</v>
      </c>
      <c r="D71" s="2182" t="s">
        <v>2793</v>
      </c>
      <c r="E71" s="2187">
        <v>6</v>
      </c>
      <c r="F71" s="2187" t="s">
        <v>2792</v>
      </c>
      <c r="G71" s="2177"/>
      <c r="H71" s="2178"/>
      <c r="I71" s="2178"/>
      <c r="J71" s="2178"/>
      <c r="K71" s="2179"/>
      <c r="L71" s="2180">
        <v>6600</v>
      </c>
      <c r="N71" s="2181"/>
      <c r="O71" s="405"/>
    </row>
    <row r="72" spans="1:15" s="455" customFormat="1">
      <c r="A72" s="471"/>
      <c r="B72" s="454"/>
      <c r="C72" s="2599"/>
      <c r="D72" s="2182" t="s">
        <v>2794</v>
      </c>
      <c r="E72" s="2187">
        <v>3</v>
      </c>
      <c r="F72" s="2176" t="s">
        <v>1571</v>
      </c>
      <c r="G72" s="2177"/>
      <c r="H72" s="2178"/>
      <c r="I72" s="2178"/>
      <c r="J72" s="2178"/>
      <c r="K72" s="2179"/>
      <c r="L72" s="2180">
        <v>1500</v>
      </c>
      <c r="N72" s="2181"/>
      <c r="O72" s="405"/>
    </row>
    <row r="73" spans="1:15" s="455" customFormat="1">
      <c r="A73" s="471"/>
      <c r="B73" s="454"/>
      <c r="C73" s="2599"/>
      <c r="D73" s="2182" t="s">
        <v>2795</v>
      </c>
      <c r="E73" s="2195">
        <v>3</v>
      </c>
      <c r="F73" s="2187" t="s">
        <v>2039</v>
      </c>
      <c r="G73" s="2177"/>
      <c r="H73" s="2178"/>
      <c r="I73" s="2178"/>
      <c r="J73" s="2178"/>
      <c r="K73" s="2179"/>
      <c r="L73" s="2180">
        <v>900</v>
      </c>
      <c r="N73" s="2181"/>
      <c r="O73" s="405"/>
    </row>
    <row r="74" spans="1:15" s="455" customFormat="1">
      <c r="A74" s="471"/>
      <c r="B74" s="454"/>
      <c r="C74" s="2599"/>
      <c r="D74" s="2182" t="s">
        <v>2759</v>
      </c>
      <c r="E74" s="2195">
        <v>10</v>
      </c>
      <c r="F74" s="2187" t="s">
        <v>795</v>
      </c>
      <c r="G74" s="2177"/>
      <c r="H74" s="2178"/>
      <c r="I74" s="2178"/>
      <c r="J74" s="2178"/>
      <c r="K74" s="2179"/>
      <c r="L74" s="2184">
        <v>2150</v>
      </c>
      <c r="N74" s="2181"/>
      <c r="O74" s="405"/>
    </row>
    <row r="75" spans="1:15" s="455" customFormat="1">
      <c r="A75" s="471"/>
      <c r="B75" s="454"/>
      <c r="C75" s="2600"/>
      <c r="D75" s="2182" t="s">
        <v>2760</v>
      </c>
      <c r="E75" s="2195">
        <v>2</v>
      </c>
      <c r="F75" s="2187" t="s">
        <v>2630</v>
      </c>
      <c r="G75" s="2177"/>
      <c r="H75" s="2178"/>
      <c r="I75" s="2178"/>
      <c r="J75" s="2178"/>
      <c r="K75" s="2179"/>
      <c r="L75" s="2180">
        <v>200</v>
      </c>
      <c r="N75" s="2181"/>
      <c r="O75" s="405"/>
    </row>
    <row r="76" spans="1:15" s="455" customFormat="1">
      <c r="A76" s="471"/>
      <c r="B76" s="454"/>
      <c r="C76" s="513"/>
      <c r="D76" s="2182" t="s">
        <v>2761</v>
      </c>
      <c r="E76" s="2195">
        <v>20</v>
      </c>
      <c r="F76" s="2187" t="s">
        <v>2630</v>
      </c>
      <c r="G76" s="2177"/>
      <c r="H76" s="2178"/>
      <c r="I76" s="2178"/>
      <c r="J76" s="2178"/>
      <c r="K76" s="2179"/>
      <c r="L76" s="2180">
        <v>2060</v>
      </c>
      <c r="N76" s="2181"/>
      <c r="O76" s="405"/>
    </row>
    <row r="77" spans="1:15" s="455" customFormat="1">
      <c r="A77" s="471"/>
      <c r="B77" s="454"/>
      <c r="C77" s="2186" t="s">
        <v>704</v>
      </c>
      <c r="D77" s="2188" t="s">
        <v>2762</v>
      </c>
      <c r="E77" s="2195">
        <v>10</v>
      </c>
      <c r="F77" s="2187" t="s">
        <v>1571</v>
      </c>
      <c r="G77" s="2177"/>
      <c r="H77" s="2178"/>
      <c r="I77" s="2178"/>
      <c r="J77" s="2178"/>
      <c r="K77" s="2179"/>
      <c r="L77" s="2180">
        <v>2750</v>
      </c>
      <c r="N77" s="2181"/>
      <c r="O77" s="405"/>
    </row>
    <row r="78" spans="1:15" s="455" customFormat="1">
      <c r="A78" s="471"/>
      <c r="B78" s="454"/>
      <c r="C78" s="513"/>
      <c r="D78" s="2182" t="s">
        <v>2796</v>
      </c>
      <c r="E78" s="2195">
        <v>5</v>
      </c>
      <c r="F78" s="2187" t="s">
        <v>1571</v>
      </c>
      <c r="G78" s="2177"/>
      <c r="H78" s="2178"/>
      <c r="I78" s="2178"/>
      <c r="J78" s="2178"/>
      <c r="K78" s="2179"/>
      <c r="L78" s="2180">
        <v>1000</v>
      </c>
      <c r="N78" s="2181"/>
      <c r="O78" s="405"/>
    </row>
    <row r="79" spans="1:15" s="455" customFormat="1">
      <c r="A79" s="471"/>
      <c r="B79" s="454"/>
      <c r="C79" s="513"/>
      <c r="D79" s="2182" t="s">
        <v>2797</v>
      </c>
      <c r="E79" s="2195">
        <v>5</v>
      </c>
      <c r="F79" s="2187" t="s">
        <v>1571</v>
      </c>
      <c r="G79" s="2177"/>
      <c r="H79" s="2178"/>
      <c r="I79" s="2178"/>
      <c r="J79" s="2178"/>
      <c r="K79" s="2179"/>
      <c r="L79" s="2189">
        <v>1000</v>
      </c>
      <c r="N79" s="2181"/>
      <c r="O79" s="405"/>
    </row>
    <row r="80" spans="1:15" s="455" customFormat="1">
      <c r="A80" s="471"/>
      <c r="B80" s="454"/>
      <c r="C80" s="513"/>
      <c r="D80" s="2182" t="s">
        <v>2764</v>
      </c>
      <c r="E80" s="2195">
        <v>3</v>
      </c>
      <c r="F80" s="2187" t="s">
        <v>2654</v>
      </c>
      <c r="G80" s="2177"/>
      <c r="H80" s="2178"/>
      <c r="I80" s="2178"/>
      <c r="J80" s="2178"/>
      <c r="K80" s="2179"/>
      <c r="L80" s="2189">
        <v>600</v>
      </c>
      <c r="N80" s="2181"/>
      <c r="O80" s="405"/>
    </row>
    <row r="81" spans="1:15" s="455" customFormat="1">
      <c r="A81" s="471"/>
      <c r="B81" s="454"/>
      <c r="C81" s="513"/>
      <c r="D81" s="2182" t="s">
        <v>2798</v>
      </c>
      <c r="E81" s="2195">
        <v>3</v>
      </c>
      <c r="F81" s="2187" t="s">
        <v>2768</v>
      </c>
      <c r="G81" s="2177"/>
      <c r="H81" s="2178"/>
      <c r="I81" s="2178"/>
      <c r="J81" s="2178"/>
      <c r="K81" s="2179"/>
      <c r="L81" s="2189">
        <v>5910</v>
      </c>
      <c r="N81" s="2181"/>
      <c r="O81" s="405"/>
    </row>
    <row r="82" spans="1:15" s="455" customFormat="1">
      <c r="A82" s="471"/>
      <c r="B82" s="454"/>
      <c r="C82" s="513"/>
      <c r="D82" s="2182" t="s">
        <v>2765</v>
      </c>
      <c r="E82" s="2195">
        <v>19</v>
      </c>
      <c r="F82" s="2187" t="s">
        <v>778</v>
      </c>
      <c r="G82" s="2177"/>
      <c r="H82" s="2178"/>
      <c r="I82" s="2178"/>
      <c r="J82" s="2178"/>
      <c r="K82" s="2179"/>
      <c r="L82" s="2189">
        <v>570</v>
      </c>
      <c r="N82" s="2181"/>
      <c r="O82" s="405"/>
    </row>
    <row r="83" spans="1:15" s="455" customFormat="1">
      <c r="A83" s="471"/>
      <c r="B83" s="454"/>
      <c r="C83" s="513"/>
      <c r="D83" s="2182" t="s">
        <v>2799</v>
      </c>
      <c r="E83" s="2195">
        <v>20</v>
      </c>
      <c r="F83" s="2187" t="s">
        <v>1571</v>
      </c>
      <c r="G83" s="2177"/>
      <c r="H83" s="2178"/>
      <c r="I83" s="2178"/>
      <c r="J83" s="2178"/>
      <c r="K83" s="2179"/>
      <c r="L83" s="2189">
        <v>4000</v>
      </c>
      <c r="N83" s="2181"/>
      <c r="O83" s="405"/>
    </row>
    <row r="84" spans="1:15" s="455" customFormat="1">
      <c r="A84" s="471"/>
      <c r="B84" s="454"/>
      <c r="C84" s="513"/>
      <c r="D84" s="2182" t="s">
        <v>2800</v>
      </c>
      <c r="E84" s="2195">
        <v>4</v>
      </c>
      <c r="F84" s="2187" t="s">
        <v>1571</v>
      </c>
      <c r="G84" s="2177"/>
      <c r="H84" s="2178"/>
      <c r="I84" s="2178"/>
      <c r="J84" s="2178"/>
      <c r="K84" s="2179"/>
      <c r="L84" s="2189">
        <v>1600</v>
      </c>
      <c r="N84" s="2181"/>
      <c r="O84" s="405"/>
    </row>
    <row r="85" spans="1:15" s="455" customFormat="1">
      <c r="A85" s="471"/>
      <c r="B85" s="454"/>
      <c r="C85" s="513"/>
      <c r="D85" s="2182" t="s">
        <v>2801</v>
      </c>
      <c r="E85" s="2195">
        <v>2</v>
      </c>
      <c r="F85" s="2278" t="s">
        <v>1571</v>
      </c>
      <c r="G85" s="2177"/>
      <c r="H85" s="2178"/>
      <c r="I85" s="2178"/>
      <c r="J85" s="2178"/>
      <c r="K85" s="2179"/>
      <c r="L85" s="2189">
        <v>2000</v>
      </c>
      <c r="N85" s="2181"/>
      <c r="O85" s="405"/>
    </row>
    <row r="86" spans="1:15" s="455" customFormat="1">
      <c r="A86" s="471"/>
      <c r="B86" s="454"/>
      <c r="C86" s="513"/>
      <c r="D86" s="2182" t="s">
        <v>2802</v>
      </c>
      <c r="E86" s="2195">
        <v>30</v>
      </c>
      <c r="F86" s="2187" t="s">
        <v>1571</v>
      </c>
      <c r="G86" s="2177"/>
      <c r="H86" s="2178"/>
      <c r="I86" s="2178"/>
      <c r="J86" s="2178"/>
      <c r="K86" s="2179"/>
      <c r="L86" s="2189">
        <v>45000</v>
      </c>
      <c r="N86" s="2181"/>
      <c r="O86" s="405"/>
    </row>
    <row r="87" spans="1:15" s="455" customFormat="1">
      <c r="A87" s="471"/>
      <c r="B87" s="454"/>
      <c r="C87" s="513"/>
      <c r="D87" s="2182" t="s">
        <v>2803</v>
      </c>
      <c r="E87" s="2195">
        <v>10</v>
      </c>
      <c r="F87" s="2187" t="s">
        <v>1571</v>
      </c>
      <c r="G87" s="2177"/>
      <c r="H87" s="2178"/>
      <c r="I87" s="2178"/>
      <c r="J87" s="2178"/>
      <c r="K87" s="2179"/>
      <c r="L87" s="2189">
        <v>500</v>
      </c>
      <c r="N87" s="2181"/>
      <c r="O87" s="405"/>
    </row>
    <row r="88" spans="1:15" s="455" customFormat="1">
      <c r="A88" s="471"/>
      <c r="B88" s="454"/>
      <c r="C88" s="513"/>
      <c r="D88" s="2188" t="s">
        <v>2804</v>
      </c>
      <c r="E88" s="2195">
        <v>4</v>
      </c>
      <c r="F88" s="2187" t="s">
        <v>1571</v>
      </c>
      <c r="G88" s="2177"/>
      <c r="H88" s="2178"/>
      <c r="I88" s="2178"/>
      <c r="J88" s="2178"/>
      <c r="K88" s="2179"/>
      <c r="L88" s="2189">
        <v>2000</v>
      </c>
      <c r="N88" s="2181"/>
      <c r="O88" s="405"/>
    </row>
    <row r="89" spans="1:15" s="455" customFormat="1">
      <c r="A89" s="471"/>
      <c r="B89" s="454"/>
      <c r="C89" s="513"/>
      <c r="D89" s="2182" t="s">
        <v>2766</v>
      </c>
      <c r="E89" s="2183">
        <v>50</v>
      </c>
      <c r="F89" s="2187" t="s">
        <v>1571</v>
      </c>
      <c r="G89" s="2177"/>
      <c r="H89" s="2178"/>
      <c r="I89" s="2178"/>
      <c r="J89" s="2178"/>
      <c r="K89" s="2179"/>
      <c r="L89" s="2189">
        <v>750</v>
      </c>
      <c r="N89" s="2181"/>
      <c r="O89" s="405"/>
    </row>
    <row r="90" spans="1:15" s="455" customFormat="1">
      <c r="A90" s="471"/>
      <c r="B90" s="454"/>
      <c r="C90" s="513"/>
      <c r="D90" s="2182" t="s">
        <v>2805</v>
      </c>
      <c r="E90" s="2183">
        <v>2</v>
      </c>
      <c r="F90" s="2187" t="s">
        <v>1571</v>
      </c>
      <c r="G90" s="2177"/>
      <c r="H90" s="2178"/>
      <c r="I90" s="2178"/>
      <c r="J90" s="2178"/>
      <c r="K90" s="2179"/>
      <c r="L90" s="2189">
        <v>800</v>
      </c>
      <c r="N90" s="2181"/>
      <c r="O90" s="405"/>
    </row>
    <row r="91" spans="1:15" s="455" customFormat="1">
      <c r="A91" s="471"/>
      <c r="B91" s="454"/>
      <c r="C91" s="513"/>
      <c r="D91" s="2188" t="s">
        <v>2769</v>
      </c>
      <c r="E91" s="2195">
        <v>1</v>
      </c>
      <c r="F91" s="2176"/>
      <c r="G91" s="2177"/>
      <c r="H91" s="2178"/>
      <c r="I91" s="2178"/>
      <c r="J91" s="2178"/>
      <c r="K91" s="2179"/>
      <c r="L91" s="2189">
        <v>50000</v>
      </c>
      <c r="N91" s="2181"/>
      <c r="O91" s="405"/>
    </row>
    <row r="92" spans="1:15" s="455" customFormat="1">
      <c r="A92" s="471"/>
      <c r="B92" s="454"/>
      <c r="C92" s="513"/>
      <c r="D92" s="2182" t="s">
        <v>2806</v>
      </c>
      <c r="E92" s="2195">
        <v>1</v>
      </c>
      <c r="F92" s="2176" t="s">
        <v>1051</v>
      </c>
      <c r="G92" s="2177"/>
      <c r="H92" s="2178"/>
      <c r="I92" s="2178"/>
      <c r="J92" s="2178"/>
      <c r="K92" s="2179"/>
      <c r="L92" s="2189">
        <v>3000</v>
      </c>
      <c r="N92" s="2181"/>
      <c r="O92" s="405"/>
    </row>
    <row r="93" spans="1:15" s="455" customFormat="1">
      <c r="C93" s="513"/>
      <c r="D93" s="2182" t="s">
        <v>2807</v>
      </c>
      <c r="E93" s="2195">
        <v>5</v>
      </c>
      <c r="F93" s="2176" t="s">
        <v>1571</v>
      </c>
      <c r="G93" s="2177"/>
      <c r="H93" s="2178"/>
      <c r="I93" s="2178"/>
      <c r="J93" s="2178"/>
      <c r="K93" s="2179"/>
      <c r="L93" s="2189">
        <v>1500</v>
      </c>
      <c r="N93" s="2181"/>
      <c r="O93" s="405"/>
    </row>
    <row r="94" spans="1:15" s="455" customFormat="1">
      <c r="C94" s="513"/>
      <c r="D94" s="2182" t="s">
        <v>2808</v>
      </c>
      <c r="E94" s="2195">
        <v>30</v>
      </c>
      <c r="F94" s="2176" t="s">
        <v>1051</v>
      </c>
      <c r="G94" s="2177"/>
      <c r="H94" s="2178"/>
      <c r="I94" s="2178"/>
      <c r="J94" s="2178"/>
      <c r="K94" s="2179"/>
      <c r="L94" s="2189">
        <v>60000</v>
      </c>
      <c r="N94" s="2181"/>
      <c r="O94" s="405"/>
    </row>
    <row r="95" spans="1:15" s="455" customFormat="1">
      <c r="A95" s="566"/>
      <c r="B95" s="467"/>
      <c r="C95" s="513"/>
      <c r="D95" s="2182" t="s">
        <v>2809</v>
      </c>
      <c r="E95" s="2195">
        <v>10</v>
      </c>
      <c r="F95" s="2187" t="s">
        <v>1571</v>
      </c>
      <c r="G95" s="2177"/>
      <c r="H95" s="2178"/>
      <c r="I95" s="2178"/>
      <c r="J95" s="2178"/>
      <c r="K95" s="2179"/>
      <c r="L95" s="2189">
        <v>2000</v>
      </c>
      <c r="N95" s="2181"/>
      <c r="O95" s="405"/>
    </row>
    <row r="96" spans="1:15" s="455" customFormat="1">
      <c r="A96" s="566"/>
      <c r="B96" s="467"/>
      <c r="C96" s="513"/>
      <c r="D96" s="2182" t="s">
        <v>2770</v>
      </c>
      <c r="E96" s="2195">
        <v>5</v>
      </c>
      <c r="F96" s="2187" t="s">
        <v>1571</v>
      </c>
      <c r="G96" s="2177"/>
      <c r="H96" s="2178"/>
      <c r="I96" s="2178"/>
      <c r="J96" s="2178"/>
      <c r="K96" s="2179"/>
      <c r="L96" s="2189">
        <v>1500</v>
      </c>
      <c r="N96" s="2181"/>
      <c r="O96" s="405"/>
    </row>
    <row r="97" spans="1:15" s="455" customFormat="1">
      <c r="A97" s="566"/>
      <c r="B97" s="467"/>
      <c r="C97" s="513"/>
      <c r="D97" s="2182" t="s">
        <v>2810</v>
      </c>
      <c r="E97" s="2195">
        <v>10</v>
      </c>
      <c r="F97" s="2187" t="s">
        <v>1571</v>
      </c>
      <c r="G97" s="2177"/>
      <c r="H97" s="2178"/>
      <c r="I97" s="2178"/>
      <c r="J97" s="2178"/>
      <c r="K97" s="2179"/>
      <c r="L97" s="2189">
        <v>2000</v>
      </c>
      <c r="N97" s="2181"/>
      <c r="O97" s="405"/>
    </row>
    <row r="98" spans="1:15" s="455" customFormat="1">
      <c r="A98" s="566"/>
      <c r="B98" s="467"/>
      <c r="C98" s="513"/>
      <c r="D98" s="2182" t="s">
        <v>2811</v>
      </c>
      <c r="E98" s="2195">
        <v>10</v>
      </c>
      <c r="F98" s="2187" t="s">
        <v>1571</v>
      </c>
      <c r="G98" s="2177"/>
      <c r="H98" s="2178"/>
      <c r="I98" s="2178"/>
      <c r="J98" s="2178"/>
      <c r="K98" s="2179"/>
      <c r="L98" s="2189">
        <v>1500</v>
      </c>
      <c r="N98" s="2181"/>
      <c r="O98" s="405"/>
    </row>
    <row r="99" spans="1:15" s="455" customFormat="1">
      <c r="A99" s="566"/>
      <c r="B99" s="467"/>
      <c r="C99" s="513"/>
      <c r="D99" s="2182" t="s">
        <v>2812</v>
      </c>
      <c r="E99" s="2239">
        <v>10</v>
      </c>
      <c r="F99" s="2187" t="s">
        <v>1571</v>
      </c>
      <c r="G99" s="2177"/>
      <c r="H99" s="2178"/>
      <c r="I99" s="2178"/>
      <c r="J99" s="2178"/>
      <c r="K99" s="2179"/>
      <c r="L99" s="2189">
        <v>2000</v>
      </c>
      <c r="N99" s="2181"/>
      <c r="O99" s="405"/>
    </row>
    <row r="100" spans="1:15" s="455" customFormat="1">
      <c r="C100" s="513"/>
      <c r="D100" s="2182" t="s">
        <v>2813</v>
      </c>
      <c r="E100" s="2239">
        <v>10</v>
      </c>
      <c r="F100" s="2187" t="s">
        <v>1571</v>
      </c>
      <c r="G100" s="2177"/>
      <c r="H100" s="2178"/>
      <c r="I100" s="2178"/>
      <c r="J100" s="2178"/>
      <c r="K100" s="2179"/>
      <c r="L100" s="2189">
        <v>3000</v>
      </c>
      <c r="N100" s="2181"/>
      <c r="O100" s="405"/>
    </row>
    <row r="101" spans="1:15" s="455" customFormat="1">
      <c r="C101" s="513"/>
      <c r="D101" s="2182" t="s">
        <v>2814</v>
      </c>
      <c r="E101" s="2239">
        <v>45</v>
      </c>
      <c r="F101" s="2187" t="s">
        <v>2654</v>
      </c>
      <c r="G101" s="2177"/>
      <c r="H101" s="2178"/>
      <c r="I101" s="2178"/>
      <c r="J101" s="2178"/>
      <c r="K101" s="2179"/>
      <c r="L101" s="2189">
        <v>2250</v>
      </c>
      <c r="N101" s="2181"/>
      <c r="O101" s="405"/>
    </row>
    <row r="102" spans="1:15" s="455" customFormat="1">
      <c r="A102" s="566"/>
      <c r="B102" s="467"/>
      <c r="C102" s="513"/>
      <c r="D102" s="2182" t="s">
        <v>2774</v>
      </c>
      <c r="E102" s="2195">
        <v>12</v>
      </c>
      <c r="F102" s="2187" t="s">
        <v>1571</v>
      </c>
      <c r="G102" s="2177"/>
      <c r="H102" s="2178"/>
      <c r="I102" s="2178"/>
      <c r="J102" s="2178"/>
      <c r="K102" s="2179"/>
      <c r="L102" s="2189">
        <v>540</v>
      </c>
      <c r="N102" s="2181"/>
      <c r="O102" s="405"/>
    </row>
    <row r="103" spans="1:15" s="455" customFormat="1">
      <c r="A103" s="566"/>
      <c r="B103" s="467"/>
      <c r="C103" s="513"/>
      <c r="D103" s="2182" t="s">
        <v>2815</v>
      </c>
      <c r="E103" s="2195">
        <v>10</v>
      </c>
      <c r="F103" s="2187" t="s">
        <v>1571</v>
      </c>
      <c r="G103" s="2177"/>
      <c r="H103" s="2178"/>
      <c r="I103" s="2178"/>
      <c r="J103" s="2178"/>
      <c r="K103" s="2179"/>
      <c r="L103" s="2189">
        <v>8000</v>
      </c>
      <c r="N103" s="2181"/>
      <c r="O103" s="405"/>
    </row>
    <row r="104" spans="1:15" s="455" customFormat="1">
      <c r="A104" s="566"/>
      <c r="B104" s="467"/>
      <c r="C104" s="513"/>
      <c r="D104" s="2182" t="s">
        <v>2816</v>
      </c>
      <c r="E104" s="2279">
        <v>20</v>
      </c>
      <c r="F104" s="2187" t="s">
        <v>1571</v>
      </c>
      <c r="G104" s="2177"/>
      <c r="H104" s="2178"/>
      <c r="I104" s="2178"/>
      <c r="J104" s="2178"/>
      <c r="K104" s="2179"/>
      <c r="L104" s="2189">
        <v>1585</v>
      </c>
      <c r="N104" s="2181"/>
      <c r="O104" s="405"/>
    </row>
    <row r="105" spans="1:15" s="455" customFormat="1">
      <c r="A105" s="566"/>
      <c r="B105" s="467"/>
      <c r="C105" s="513"/>
      <c r="D105" s="2182" t="s">
        <v>2817</v>
      </c>
      <c r="E105" s="2195">
        <v>10</v>
      </c>
      <c r="F105" s="2187" t="s">
        <v>1571</v>
      </c>
      <c r="G105" s="2177"/>
      <c r="H105" s="2178"/>
      <c r="I105" s="2178"/>
      <c r="J105" s="2178"/>
      <c r="K105" s="2179"/>
      <c r="L105" s="2189">
        <v>750</v>
      </c>
      <c r="N105" s="2181"/>
      <c r="O105" s="405"/>
    </row>
    <row r="106" spans="1:15" s="455" customFormat="1">
      <c r="A106" s="566"/>
      <c r="B106" s="467"/>
      <c r="C106" s="513"/>
      <c r="D106" s="2182" t="s">
        <v>2777</v>
      </c>
      <c r="E106" s="2195">
        <v>6</v>
      </c>
      <c r="F106" s="2187" t="s">
        <v>1571</v>
      </c>
      <c r="G106" s="2177"/>
      <c r="H106" s="2178"/>
      <c r="I106" s="2178"/>
      <c r="J106" s="2178"/>
      <c r="K106" s="2179"/>
      <c r="L106" s="2189">
        <v>600</v>
      </c>
      <c r="N106" s="2181"/>
      <c r="O106" s="405"/>
    </row>
    <row r="107" spans="1:15" s="455" customFormat="1">
      <c r="C107" s="513"/>
      <c r="D107" s="2182" t="s">
        <v>2818</v>
      </c>
      <c r="E107" s="2195">
        <v>2</v>
      </c>
      <c r="F107" s="2187" t="s">
        <v>1571</v>
      </c>
      <c r="G107" s="2177"/>
      <c r="H107" s="2178"/>
      <c r="I107" s="2178"/>
      <c r="J107" s="2178"/>
      <c r="K107" s="2179"/>
      <c r="L107" s="2189">
        <v>800</v>
      </c>
      <c r="N107" s="2181"/>
      <c r="O107" s="405"/>
    </row>
    <row r="108" spans="1:15" s="455" customFormat="1">
      <c r="C108" s="513"/>
      <c r="D108" s="2182" t="s">
        <v>2781</v>
      </c>
      <c r="E108" s="2195">
        <v>5</v>
      </c>
      <c r="F108" s="2187" t="s">
        <v>1571</v>
      </c>
      <c r="G108" s="2177"/>
      <c r="H108" s="2178"/>
      <c r="I108" s="2178"/>
      <c r="J108" s="2178"/>
      <c r="K108" s="2179"/>
      <c r="L108" s="2189">
        <v>325</v>
      </c>
      <c r="N108" s="2181"/>
      <c r="O108" s="405"/>
    </row>
    <row r="109" spans="1:15" s="455" customFormat="1">
      <c r="C109" s="513"/>
      <c r="D109" s="2182" t="s">
        <v>2819</v>
      </c>
      <c r="E109" s="2195">
        <v>5</v>
      </c>
      <c r="F109" s="2187" t="s">
        <v>1571</v>
      </c>
      <c r="G109" s="2177"/>
      <c r="H109" s="2178"/>
      <c r="I109" s="2178"/>
      <c r="J109" s="2178"/>
      <c r="K109" s="2179"/>
      <c r="L109" s="2189">
        <v>2500</v>
      </c>
      <c r="N109" s="2181"/>
      <c r="O109" s="405"/>
    </row>
    <row r="110" spans="1:15" s="455" customFormat="1">
      <c r="C110" s="513"/>
      <c r="D110" s="2182" t="s">
        <v>2820</v>
      </c>
      <c r="E110" s="2195">
        <v>1</v>
      </c>
      <c r="F110" s="2187" t="s">
        <v>2039</v>
      </c>
      <c r="G110" s="2177"/>
      <c r="H110" s="2178"/>
      <c r="I110" s="2178"/>
      <c r="J110" s="2178"/>
      <c r="K110" s="2179"/>
      <c r="L110" s="2189">
        <v>800</v>
      </c>
      <c r="N110" s="2181"/>
      <c r="O110" s="405"/>
    </row>
    <row r="111" spans="1:15" s="455" customFormat="1">
      <c r="C111" s="513"/>
      <c r="D111" s="2182" t="s">
        <v>2821</v>
      </c>
      <c r="E111" s="2195">
        <v>5</v>
      </c>
      <c r="F111" s="2187" t="s">
        <v>1571</v>
      </c>
      <c r="G111" s="2177"/>
      <c r="H111" s="2178"/>
      <c r="I111" s="2178"/>
      <c r="J111" s="2178"/>
      <c r="K111" s="2179"/>
      <c r="L111" s="2189">
        <v>550</v>
      </c>
      <c r="N111" s="2181"/>
      <c r="O111" s="405"/>
    </row>
    <row r="112" spans="1:15" s="455" customFormat="1">
      <c r="C112" s="513"/>
      <c r="D112" s="2182" t="s">
        <v>2822</v>
      </c>
      <c r="E112" s="2195">
        <v>5</v>
      </c>
      <c r="F112" s="2187" t="s">
        <v>1571</v>
      </c>
      <c r="G112" s="2177"/>
      <c r="H112" s="2178"/>
      <c r="I112" s="2178"/>
      <c r="J112" s="2178"/>
      <c r="K112" s="2179"/>
      <c r="L112" s="2189">
        <v>2500</v>
      </c>
      <c r="N112" s="2181"/>
      <c r="O112" s="405"/>
    </row>
    <row r="113" spans="2:15" s="455" customFormat="1">
      <c r="C113" s="513"/>
      <c r="D113" s="2182" t="s">
        <v>2823</v>
      </c>
      <c r="E113" s="2195">
        <v>3</v>
      </c>
      <c r="F113" s="2195" t="s">
        <v>2039</v>
      </c>
      <c r="G113" s="2177"/>
      <c r="H113" s="2178"/>
      <c r="I113" s="2178"/>
      <c r="J113" s="2178"/>
      <c r="K113" s="2179"/>
      <c r="L113" s="2189">
        <v>10590</v>
      </c>
      <c r="N113" s="2181"/>
      <c r="O113" s="405"/>
    </row>
    <row r="114" spans="2:15" s="455" customFormat="1">
      <c r="C114" s="513"/>
      <c r="D114" s="2273" t="s">
        <v>2824</v>
      </c>
      <c r="E114" s="2195">
        <v>150</v>
      </c>
      <c r="F114" s="2274" t="s">
        <v>1571</v>
      </c>
      <c r="G114" s="2177"/>
      <c r="H114" s="2178"/>
      <c r="I114" s="2178"/>
      <c r="J114" s="2178"/>
      <c r="K114" s="2179"/>
      <c r="L114" s="2189">
        <v>30000</v>
      </c>
      <c r="N114" s="2181"/>
      <c r="O114" s="405"/>
    </row>
    <row r="115" spans="2:15" s="455" customFormat="1">
      <c r="C115" s="513"/>
      <c r="D115" s="2275" t="s">
        <v>2825</v>
      </c>
      <c r="E115" s="2195">
        <v>2</v>
      </c>
      <c r="F115" s="2274" t="s">
        <v>1571</v>
      </c>
      <c r="G115" s="2177"/>
      <c r="H115" s="2178"/>
      <c r="I115" s="2178"/>
      <c r="J115" s="2178"/>
      <c r="K115" s="2179"/>
      <c r="L115" s="2189">
        <v>400</v>
      </c>
      <c r="N115" s="2181"/>
      <c r="O115" s="405"/>
    </row>
    <row r="116" spans="2:15" s="455" customFormat="1">
      <c r="C116" s="513"/>
      <c r="D116" s="2182" t="s">
        <v>2826</v>
      </c>
      <c r="E116" s="2279">
        <v>2</v>
      </c>
      <c r="F116" s="2274" t="s">
        <v>1571</v>
      </c>
      <c r="G116" s="2177"/>
      <c r="H116" s="2178"/>
      <c r="I116" s="2178"/>
      <c r="J116" s="2178"/>
      <c r="K116" s="2179"/>
      <c r="L116" s="2189">
        <v>1400</v>
      </c>
      <c r="N116" s="2181"/>
      <c r="O116" s="405"/>
    </row>
    <row r="117" spans="2:15" s="455" customFormat="1">
      <c r="C117" s="513"/>
      <c r="D117" s="2275" t="s">
        <v>2827</v>
      </c>
      <c r="E117" s="2195">
        <v>3</v>
      </c>
      <c r="F117" s="2274" t="s">
        <v>1571</v>
      </c>
      <c r="G117" s="2177"/>
      <c r="H117" s="2178"/>
      <c r="I117" s="2178"/>
      <c r="J117" s="2178"/>
      <c r="K117" s="2179"/>
      <c r="L117" s="2189">
        <v>2100</v>
      </c>
      <c r="N117" s="2181"/>
      <c r="O117" s="405"/>
    </row>
    <row r="118" spans="2:15">
      <c r="C118" s="513"/>
      <c r="D118" s="2275" t="s">
        <v>2828</v>
      </c>
      <c r="E118" s="2195">
        <v>1</v>
      </c>
      <c r="F118" s="2274" t="s">
        <v>2776</v>
      </c>
      <c r="G118" s="2177"/>
      <c r="H118" s="2178"/>
      <c r="I118" s="2178"/>
      <c r="J118" s="2178"/>
      <c r="K118" s="2179"/>
      <c r="L118" s="2189">
        <v>6000</v>
      </c>
      <c r="N118" s="2181"/>
      <c r="O118" s="405"/>
    </row>
    <row r="119" spans="2:15">
      <c r="C119" s="513"/>
      <c r="D119" s="2182" t="s">
        <v>2829</v>
      </c>
      <c r="E119" s="2195">
        <v>1</v>
      </c>
      <c r="F119" s="2274" t="s">
        <v>2776</v>
      </c>
      <c r="G119" s="2177"/>
      <c r="H119" s="2178"/>
      <c r="I119" s="2178"/>
      <c r="J119" s="2178"/>
      <c r="K119" s="2179"/>
      <c r="L119" s="2189">
        <v>10000</v>
      </c>
      <c r="N119" s="2181"/>
      <c r="O119" s="405"/>
    </row>
    <row r="120" spans="2:15">
      <c r="C120" s="513"/>
      <c r="D120" s="2182" t="s">
        <v>2830</v>
      </c>
      <c r="E120" s="2195">
        <v>10</v>
      </c>
      <c r="F120" s="2274" t="s">
        <v>1571</v>
      </c>
      <c r="G120" s="2177"/>
      <c r="H120" s="2178"/>
      <c r="I120" s="2178"/>
      <c r="J120" s="2178"/>
      <c r="K120" s="2179"/>
      <c r="L120" s="2189">
        <v>8000</v>
      </c>
      <c r="N120" s="2181"/>
      <c r="O120" s="405"/>
    </row>
    <row r="121" spans="2:15">
      <c r="C121" s="400"/>
      <c r="D121" s="400"/>
      <c r="E121" s="401"/>
      <c r="F121" s="402"/>
      <c r="G121" s="402"/>
      <c r="H121" s="403"/>
      <c r="I121" s="403"/>
      <c r="J121" s="403"/>
      <c r="K121" s="402"/>
      <c r="L121" s="404"/>
      <c r="M121" s="402"/>
      <c r="N121" s="405"/>
    </row>
    <row r="122" spans="2:15">
      <c r="C122" s="400"/>
      <c r="D122" s="400"/>
      <c r="E122" s="401"/>
      <c r="F122" s="402"/>
      <c r="G122" s="402"/>
      <c r="H122" s="403"/>
      <c r="I122" s="403"/>
      <c r="J122" s="403"/>
      <c r="K122" s="402"/>
      <c r="L122" s="404"/>
      <c r="M122" s="402"/>
      <c r="N122" s="405"/>
    </row>
    <row r="123" spans="2:15">
      <c r="C123" s="400"/>
      <c r="D123" s="400"/>
      <c r="E123" s="401"/>
      <c r="F123" s="402"/>
      <c r="G123" s="402"/>
      <c r="H123" s="403"/>
      <c r="I123" s="403"/>
      <c r="J123" s="403"/>
      <c r="K123" s="402"/>
      <c r="L123" s="404"/>
      <c r="M123" s="402"/>
      <c r="N123" s="405"/>
    </row>
    <row r="124" spans="2:15" ht="40.5">
      <c r="B124" s="355" t="s">
        <v>2929</v>
      </c>
      <c r="C124" s="2196" t="s">
        <v>3418</v>
      </c>
      <c r="D124" s="2168" t="s">
        <v>637</v>
      </c>
      <c r="E124" s="2197"/>
      <c r="F124" s="533" t="s">
        <v>1764</v>
      </c>
      <c r="G124" s="533" t="s">
        <v>1</v>
      </c>
      <c r="H124" s="677"/>
      <c r="I124" s="677"/>
      <c r="J124" s="677"/>
      <c r="K124" s="532" t="s">
        <v>748</v>
      </c>
      <c r="L124" s="2198"/>
      <c r="M124" s="677" t="s">
        <v>2924</v>
      </c>
      <c r="N124" s="532" t="s">
        <v>703</v>
      </c>
    </row>
    <row r="125" spans="2:15">
      <c r="B125" s="355" t="s">
        <v>2929</v>
      </c>
      <c r="C125" s="2196"/>
      <c r="D125" s="531" t="s">
        <v>3419</v>
      </c>
      <c r="E125" s="533">
        <v>78</v>
      </c>
      <c r="F125" s="533" t="s">
        <v>3420</v>
      </c>
      <c r="G125" s="533"/>
      <c r="H125" s="2177" t="s">
        <v>2213</v>
      </c>
      <c r="I125" s="2201">
        <v>46174</v>
      </c>
      <c r="J125" s="2202" t="s">
        <v>2215</v>
      </c>
      <c r="K125" s="2283"/>
      <c r="L125" s="2284">
        <v>19500</v>
      </c>
      <c r="M125" s="2285"/>
      <c r="N125" s="532"/>
    </row>
    <row r="126" spans="2:15">
      <c r="B126" s="355" t="s">
        <v>2929</v>
      </c>
      <c r="C126" s="2196"/>
      <c r="D126" s="531" t="s">
        <v>3421</v>
      </c>
      <c r="E126" s="533">
        <v>60</v>
      </c>
      <c r="F126" s="533" t="s">
        <v>2990</v>
      </c>
      <c r="G126" s="533"/>
      <c r="H126" s="2177"/>
      <c r="I126" s="2177"/>
      <c r="J126" s="852" t="s">
        <v>2927</v>
      </c>
      <c r="K126" s="2283"/>
      <c r="L126" s="2284">
        <v>9000</v>
      </c>
      <c r="M126" s="2285"/>
      <c r="N126" s="532"/>
    </row>
    <row r="127" spans="2:15">
      <c r="B127" s="355" t="s">
        <v>2929</v>
      </c>
      <c r="C127" s="2196"/>
      <c r="D127" s="531" t="s">
        <v>3422</v>
      </c>
      <c r="E127" s="533">
        <v>30</v>
      </c>
      <c r="F127" s="533" t="s">
        <v>2990</v>
      </c>
      <c r="G127" s="402"/>
      <c r="H127" s="403"/>
      <c r="I127" s="403"/>
      <c r="J127" s="403"/>
      <c r="K127" s="2117"/>
      <c r="L127" s="2284">
        <v>1500</v>
      </c>
      <c r="M127" s="2118"/>
      <c r="N127" s="405"/>
    </row>
    <row r="128" spans="2:15">
      <c r="B128" s="355" t="s">
        <v>2929</v>
      </c>
      <c r="C128" s="2196"/>
      <c r="D128" s="531" t="s">
        <v>3423</v>
      </c>
      <c r="E128" s="533">
        <v>29</v>
      </c>
      <c r="F128" s="533" t="s">
        <v>2990</v>
      </c>
      <c r="G128" s="402"/>
      <c r="H128" s="403"/>
      <c r="I128" s="403"/>
      <c r="J128" s="403"/>
      <c r="K128" s="2117"/>
      <c r="L128" s="2284">
        <v>4299.66</v>
      </c>
      <c r="M128" s="2118"/>
      <c r="N128" s="405"/>
    </row>
    <row r="129" spans="2:14">
      <c r="B129" s="355" t="s">
        <v>2929</v>
      </c>
      <c r="C129" s="2196"/>
      <c r="D129" s="531" t="s">
        <v>3424</v>
      </c>
      <c r="E129" s="533">
        <v>30</v>
      </c>
      <c r="F129" s="533" t="s">
        <v>2990</v>
      </c>
      <c r="G129" s="402"/>
      <c r="H129" s="403"/>
      <c r="I129" s="403"/>
      <c r="J129" s="403"/>
      <c r="K129" s="2117"/>
      <c r="L129" s="2284">
        <v>2100</v>
      </c>
      <c r="M129" s="2118"/>
      <c r="N129" s="405"/>
    </row>
    <row r="130" spans="2:14">
      <c r="B130" s="355" t="s">
        <v>2929</v>
      </c>
      <c r="C130" s="2196"/>
      <c r="D130" s="531" t="s">
        <v>3425</v>
      </c>
      <c r="E130" s="533">
        <v>20</v>
      </c>
      <c r="F130" s="533" t="s">
        <v>3426</v>
      </c>
      <c r="G130" s="402"/>
      <c r="H130" s="403"/>
      <c r="I130" s="403"/>
      <c r="J130" s="403"/>
      <c r="K130" s="2117"/>
      <c r="L130" s="2284">
        <v>7000</v>
      </c>
      <c r="M130" s="2118"/>
      <c r="N130" s="405"/>
    </row>
    <row r="131" spans="2:14">
      <c r="B131" s="355" t="s">
        <v>2929</v>
      </c>
      <c r="C131" s="2196"/>
      <c r="D131" s="531" t="s">
        <v>3427</v>
      </c>
      <c r="E131" s="533">
        <v>20</v>
      </c>
      <c r="F131" s="533" t="s">
        <v>3426</v>
      </c>
      <c r="G131" s="402"/>
      <c r="H131" s="403"/>
      <c r="I131" s="403"/>
      <c r="J131" s="403"/>
      <c r="K131" s="2117"/>
      <c r="L131" s="2284">
        <v>13000</v>
      </c>
      <c r="M131" s="2118"/>
      <c r="N131" s="405"/>
    </row>
    <row r="132" spans="2:14">
      <c r="B132" s="355" t="s">
        <v>2929</v>
      </c>
      <c r="C132" s="2196"/>
      <c r="D132" s="531" t="s">
        <v>3428</v>
      </c>
      <c r="E132" s="533">
        <v>30</v>
      </c>
      <c r="F132" s="533" t="s">
        <v>2990</v>
      </c>
      <c r="G132" s="402"/>
      <c r="H132" s="403"/>
      <c r="I132" s="403"/>
      <c r="J132" s="403"/>
      <c r="K132" s="2117"/>
      <c r="L132" s="2284">
        <v>750</v>
      </c>
      <c r="M132" s="2118"/>
      <c r="N132" s="405"/>
    </row>
    <row r="133" spans="2:14">
      <c r="B133" s="355" t="s">
        <v>2929</v>
      </c>
      <c r="C133" s="2196"/>
      <c r="D133" s="531" t="s">
        <v>3429</v>
      </c>
      <c r="E133" s="533">
        <v>30</v>
      </c>
      <c r="F133" s="533" t="s">
        <v>3373</v>
      </c>
      <c r="G133" s="402"/>
      <c r="H133" s="403"/>
      <c r="I133" s="403"/>
      <c r="J133" s="403"/>
      <c r="K133" s="2117"/>
      <c r="L133" s="2284">
        <v>1800</v>
      </c>
      <c r="M133" s="2118"/>
      <c r="N133" s="405"/>
    </row>
    <row r="134" spans="2:14">
      <c r="B134" s="355" t="s">
        <v>2929</v>
      </c>
      <c r="C134" s="2196"/>
      <c r="D134" s="531" t="s">
        <v>3430</v>
      </c>
      <c r="E134" s="533">
        <v>20</v>
      </c>
      <c r="F134" s="533" t="s">
        <v>3373</v>
      </c>
      <c r="G134" s="402"/>
      <c r="H134" s="403"/>
      <c r="I134" s="403"/>
      <c r="J134" s="403"/>
      <c r="K134" s="2117"/>
      <c r="L134" s="2284">
        <v>8000</v>
      </c>
      <c r="M134" s="2118"/>
      <c r="N134" s="405"/>
    </row>
    <row r="135" spans="2:14">
      <c r="B135" s="355" t="s">
        <v>2929</v>
      </c>
      <c r="C135" s="2196"/>
      <c r="D135" s="531" t="s">
        <v>3431</v>
      </c>
      <c r="E135" s="533">
        <v>50</v>
      </c>
      <c r="F135" s="533" t="s">
        <v>3432</v>
      </c>
      <c r="G135" s="402"/>
      <c r="H135" s="403"/>
      <c r="I135" s="403"/>
      <c r="J135" s="403"/>
      <c r="K135" s="2117"/>
      <c r="L135" s="2284">
        <v>9750</v>
      </c>
      <c r="M135" s="2118"/>
      <c r="N135" s="405"/>
    </row>
    <row r="136" spans="2:14">
      <c r="B136" s="355" t="s">
        <v>2929</v>
      </c>
      <c r="C136" s="2196"/>
      <c r="D136" s="531" t="s">
        <v>3433</v>
      </c>
      <c r="E136" s="533">
        <v>50</v>
      </c>
      <c r="F136" s="533" t="s">
        <v>2990</v>
      </c>
      <c r="G136" s="402"/>
      <c r="H136" s="403"/>
      <c r="I136" s="403"/>
      <c r="J136" s="403"/>
      <c r="K136" s="2117"/>
      <c r="L136" s="2284">
        <v>15000</v>
      </c>
      <c r="M136" s="2118"/>
      <c r="N136" s="405"/>
    </row>
    <row r="137" spans="2:14">
      <c r="B137" s="355" t="s">
        <v>2929</v>
      </c>
      <c r="C137" s="2196"/>
      <c r="D137" s="531" t="s">
        <v>3434</v>
      </c>
      <c r="E137" s="533">
        <v>20</v>
      </c>
      <c r="F137" s="533" t="s">
        <v>2990</v>
      </c>
      <c r="G137" s="402"/>
      <c r="H137" s="403"/>
      <c r="I137" s="403"/>
      <c r="J137" s="403"/>
      <c r="K137" s="2117"/>
      <c r="L137" s="2284">
        <v>140000</v>
      </c>
      <c r="M137" s="2118"/>
      <c r="N137" s="405"/>
    </row>
    <row r="138" spans="2:14">
      <c r="B138" s="355" t="s">
        <v>2929</v>
      </c>
      <c r="C138" s="2196"/>
      <c r="D138" s="531" t="s">
        <v>3435</v>
      </c>
      <c r="E138" s="533">
        <v>10</v>
      </c>
      <c r="F138" s="533" t="s">
        <v>2990</v>
      </c>
      <c r="G138" s="402"/>
      <c r="H138" s="403"/>
      <c r="I138" s="403"/>
      <c r="J138" s="403"/>
      <c r="K138" s="2117"/>
      <c r="L138" s="2284">
        <v>5000</v>
      </c>
      <c r="M138" s="2118"/>
      <c r="N138" s="405"/>
    </row>
    <row r="139" spans="2:14">
      <c r="B139" s="355" t="s">
        <v>2929</v>
      </c>
      <c r="C139" s="2196"/>
      <c r="D139" s="531" t="s">
        <v>3436</v>
      </c>
      <c r="E139" s="533">
        <v>10</v>
      </c>
      <c r="F139" s="533" t="s">
        <v>2990</v>
      </c>
      <c r="G139" s="402"/>
      <c r="H139" s="403"/>
      <c r="I139" s="403"/>
      <c r="J139" s="403"/>
      <c r="K139" s="2117"/>
      <c r="L139" s="2284">
        <v>7000</v>
      </c>
      <c r="M139" s="2118"/>
      <c r="N139" s="405"/>
    </row>
    <row r="140" spans="2:14">
      <c r="B140" s="355" t="s">
        <v>2929</v>
      </c>
      <c r="C140" s="2196"/>
      <c r="D140" s="531" t="s">
        <v>3437</v>
      </c>
      <c r="E140" s="533">
        <v>15</v>
      </c>
      <c r="F140" s="533" t="s">
        <v>2990</v>
      </c>
      <c r="G140" s="402"/>
      <c r="H140" s="403"/>
      <c r="I140" s="403"/>
      <c r="J140" s="403"/>
      <c r="K140" s="2117"/>
      <c r="L140" s="2284">
        <v>12750</v>
      </c>
      <c r="M140" s="2118"/>
      <c r="N140" s="405"/>
    </row>
    <row r="141" spans="2:14">
      <c r="B141" s="355" t="s">
        <v>2929</v>
      </c>
      <c r="C141" s="2196"/>
      <c r="D141" s="531" t="s">
        <v>3438</v>
      </c>
      <c r="E141" s="533">
        <v>30</v>
      </c>
      <c r="F141" s="533" t="s">
        <v>2990</v>
      </c>
      <c r="G141" s="402"/>
      <c r="H141" s="403"/>
      <c r="I141" s="403"/>
      <c r="J141" s="403"/>
      <c r="K141" s="2117"/>
      <c r="L141" s="2284">
        <v>21000</v>
      </c>
      <c r="M141" s="2118"/>
      <c r="N141" s="405"/>
    </row>
    <row r="142" spans="2:14">
      <c r="B142" s="355" t="s">
        <v>2929</v>
      </c>
      <c r="C142" s="2196"/>
      <c r="D142" s="531" t="s">
        <v>3439</v>
      </c>
      <c r="E142" s="533">
        <v>30</v>
      </c>
      <c r="F142" s="533" t="s">
        <v>2990</v>
      </c>
      <c r="G142" s="402"/>
      <c r="H142" s="403"/>
      <c r="I142" s="403"/>
      <c r="J142" s="403"/>
      <c r="K142" s="2117"/>
      <c r="L142" s="2284">
        <v>3600</v>
      </c>
      <c r="M142" s="2118"/>
      <c r="N142" s="405"/>
    </row>
    <row r="143" spans="2:14">
      <c r="B143" s="355" t="s">
        <v>2929</v>
      </c>
      <c r="C143" s="2196"/>
      <c r="D143" s="531" t="s">
        <v>3440</v>
      </c>
      <c r="E143" s="533">
        <v>25</v>
      </c>
      <c r="F143" s="533" t="s">
        <v>2990</v>
      </c>
      <c r="G143" s="402"/>
      <c r="H143" s="403"/>
      <c r="I143" s="403"/>
      <c r="J143" s="403"/>
      <c r="K143" s="2117"/>
      <c r="L143" s="2284">
        <v>20000</v>
      </c>
      <c r="M143" s="2118"/>
      <c r="N143" s="405"/>
    </row>
    <row r="144" spans="2:14">
      <c r="B144" s="355" t="s">
        <v>2929</v>
      </c>
      <c r="C144" s="2196"/>
      <c r="D144" s="531" t="s">
        <v>3441</v>
      </c>
      <c r="E144" s="533">
        <v>25</v>
      </c>
      <c r="F144" s="533" t="s">
        <v>2990</v>
      </c>
      <c r="G144" s="402"/>
      <c r="H144" s="403"/>
      <c r="I144" s="403"/>
      <c r="J144" s="403"/>
      <c r="K144" s="2117"/>
      <c r="L144" s="2284">
        <v>11250</v>
      </c>
      <c r="M144" s="2118"/>
      <c r="N144" s="405"/>
    </row>
    <row r="145" spans="2:14">
      <c r="B145" s="355" t="s">
        <v>2929</v>
      </c>
      <c r="C145" s="2196"/>
      <c r="D145" s="531" t="s">
        <v>2886</v>
      </c>
      <c r="E145" s="533">
        <v>40</v>
      </c>
      <c r="F145" s="533" t="s">
        <v>2990</v>
      </c>
      <c r="G145" s="402"/>
      <c r="H145" s="403"/>
      <c r="I145" s="403"/>
      <c r="J145" s="403"/>
      <c r="K145" s="2117"/>
      <c r="L145" s="2284">
        <v>16000</v>
      </c>
      <c r="M145" s="2118"/>
      <c r="N145" s="405"/>
    </row>
    <row r="146" spans="2:14">
      <c r="B146" s="355" t="s">
        <v>2929</v>
      </c>
      <c r="C146" s="2196"/>
      <c r="D146" s="531" t="s">
        <v>3442</v>
      </c>
      <c r="E146" s="533">
        <v>35</v>
      </c>
      <c r="F146" s="533" t="s">
        <v>3443</v>
      </c>
      <c r="G146" s="402"/>
      <c r="H146" s="403"/>
      <c r="I146" s="403"/>
      <c r="J146" s="403"/>
      <c r="K146" s="2117"/>
      <c r="L146" s="2284">
        <v>6300</v>
      </c>
      <c r="M146" s="2118"/>
      <c r="N146" s="405"/>
    </row>
    <row r="147" spans="2:14">
      <c r="B147" s="355" t="s">
        <v>2929</v>
      </c>
      <c r="C147" s="2196"/>
      <c r="D147" s="531" t="s">
        <v>3444</v>
      </c>
      <c r="E147" s="533">
        <v>2998</v>
      </c>
      <c r="F147" s="533" t="s">
        <v>1885</v>
      </c>
      <c r="G147" s="402"/>
      <c r="H147" s="403"/>
      <c r="I147" s="403"/>
      <c r="J147" s="403"/>
      <c r="K147" s="2117"/>
      <c r="L147" s="2284">
        <v>17988</v>
      </c>
      <c r="M147" s="2118"/>
      <c r="N147" s="405"/>
    </row>
    <row r="148" spans="2:14">
      <c r="B148" s="355" t="s">
        <v>2929</v>
      </c>
      <c r="C148" s="2196"/>
      <c r="D148" s="531" t="s">
        <v>3445</v>
      </c>
      <c r="E148" s="533">
        <v>2000</v>
      </c>
      <c r="F148" s="533" t="s">
        <v>1885</v>
      </c>
      <c r="G148" s="402"/>
      <c r="H148" s="403"/>
      <c r="I148" s="403"/>
      <c r="J148" s="403"/>
      <c r="K148" s="2117"/>
      <c r="L148" s="2284">
        <v>16000</v>
      </c>
      <c r="M148" s="2118"/>
      <c r="N148" s="405"/>
    </row>
    <row r="149" spans="2:14">
      <c r="B149" s="355" t="s">
        <v>2929</v>
      </c>
      <c r="C149" s="2196"/>
      <c r="D149" s="531" t="s">
        <v>3446</v>
      </c>
      <c r="E149" s="533">
        <v>52</v>
      </c>
      <c r="F149" s="533" t="s">
        <v>1885</v>
      </c>
      <c r="G149" s="402"/>
      <c r="H149" s="403"/>
      <c r="I149" s="403"/>
      <c r="J149" s="403"/>
      <c r="K149" s="2117"/>
      <c r="L149" s="2284">
        <v>2600</v>
      </c>
      <c r="M149" s="2118"/>
      <c r="N149" s="405"/>
    </row>
    <row r="150" spans="2:14">
      <c r="B150" s="355" t="s">
        <v>2929</v>
      </c>
      <c r="C150" s="2196"/>
      <c r="D150" s="531" t="s">
        <v>3447</v>
      </c>
      <c r="E150" s="533">
        <v>50</v>
      </c>
      <c r="F150" s="533" t="s">
        <v>377</v>
      </c>
      <c r="G150" s="402"/>
      <c r="H150" s="403"/>
      <c r="I150" s="403"/>
      <c r="J150" s="403"/>
      <c r="K150" s="2117"/>
      <c r="L150" s="2284">
        <v>42500</v>
      </c>
      <c r="M150" s="2118"/>
      <c r="N150" s="405"/>
    </row>
    <row r="151" spans="2:14">
      <c r="B151" s="355" t="s">
        <v>2929</v>
      </c>
      <c r="C151" s="2196"/>
      <c r="D151" s="531" t="s">
        <v>3448</v>
      </c>
      <c r="E151" s="533">
        <v>15</v>
      </c>
      <c r="F151" s="533" t="s">
        <v>2990</v>
      </c>
      <c r="G151" s="402"/>
      <c r="H151" s="403"/>
      <c r="I151" s="403"/>
      <c r="J151" s="403"/>
      <c r="K151" s="2117"/>
      <c r="L151" s="2284">
        <v>12000</v>
      </c>
      <c r="M151" s="2118"/>
      <c r="N151" s="405"/>
    </row>
    <row r="152" spans="2:14">
      <c r="B152" s="355" t="s">
        <v>2929</v>
      </c>
      <c r="C152" s="2196"/>
      <c r="D152" s="531" t="s">
        <v>3449</v>
      </c>
      <c r="E152" s="533">
        <v>10</v>
      </c>
      <c r="F152" s="533" t="s">
        <v>1885</v>
      </c>
      <c r="G152" s="402"/>
      <c r="H152" s="403"/>
      <c r="I152" s="403"/>
      <c r="J152" s="403"/>
      <c r="K152" s="2117"/>
      <c r="L152" s="2284">
        <v>3000</v>
      </c>
      <c r="M152" s="2118"/>
      <c r="N152" s="405"/>
    </row>
    <row r="153" spans="2:14">
      <c r="B153" s="355" t="s">
        <v>2929</v>
      </c>
      <c r="C153" s="2196"/>
      <c r="D153" s="531" t="s">
        <v>3450</v>
      </c>
      <c r="E153" s="533">
        <v>10</v>
      </c>
      <c r="F153" s="533" t="s">
        <v>1885</v>
      </c>
      <c r="G153" s="402"/>
      <c r="H153" s="403"/>
      <c r="I153" s="403"/>
      <c r="J153" s="403"/>
      <c r="K153" s="2117"/>
      <c r="L153" s="2284">
        <v>1500</v>
      </c>
      <c r="M153" s="2118"/>
      <c r="N153" s="405"/>
    </row>
    <row r="154" spans="2:14">
      <c r="B154" s="355" t="s">
        <v>2929</v>
      </c>
      <c r="C154" s="2196"/>
      <c r="D154" s="531" t="s">
        <v>3451</v>
      </c>
      <c r="E154" s="533">
        <v>15</v>
      </c>
      <c r="F154" s="533" t="s">
        <v>2990</v>
      </c>
      <c r="G154" s="402"/>
      <c r="H154" s="403"/>
      <c r="I154" s="403"/>
      <c r="J154" s="403"/>
      <c r="K154" s="2117"/>
      <c r="L154" s="2284">
        <v>4500</v>
      </c>
      <c r="M154" s="2118"/>
      <c r="N154" s="405"/>
    </row>
    <row r="155" spans="2:14">
      <c r="B155" s="355" t="s">
        <v>2929</v>
      </c>
      <c r="C155" s="2196"/>
      <c r="D155" s="531" t="s">
        <v>3452</v>
      </c>
      <c r="E155" s="533">
        <v>20</v>
      </c>
      <c r="F155" s="533" t="s">
        <v>1885</v>
      </c>
      <c r="G155" s="402"/>
      <c r="H155" s="403"/>
      <c r="I155" s="403"/>
      <c r="J155" s="403"/>
      <c r="K155" s="2117"/>
      <c r="L155" s="2284">
        <v>3000</v>
      </c>
      <c r="M155" s="2118"/>
      <c r="N155" s="405"/>
    </row>
    <row r="156" spans="2:14">
      <c r="B156" s="355" t="s">
        <v>2929</v>
      </c>
      <c r="C156" s="2196"/>
      <c r="D156" s="531" t="s">
        <v>3453</v>
      </c>
      <c r="E156" s="533">
        <v>50</v>
      </c>
      <c r="F156" s="533" t="s">
        <v>1885</v>
      </c>
      <c r="G156" s="402"/>
      <c r="H156" s="403"/>
      <c r="I156" s="403"/>
      <c r="J156" s="403"/>
      <c r="K156" s="2117"/>
      <c r="L156" s="2284">
        <v>3000</v>
      </c>
      <c r="M156" s="2118"/>
      <c r="N156" s="405"/>
    </row>
    <row r="157" spans="2:14">
      <c r="B157" s="355" t="s">
        <v>2929</v>
      </c>
      <c r="C157" s="2196"/>
      <c r="D157" s="531" t="s">
        <v>3454</v>
      </c>
      <c r="E157" s="533">
        <v>60</v>
      </c>
      <c r="F157" s="533" t="s">
        <v>1885</v>
      </c>
      <c r="G157" s="402"/>
      <c r="H157" s="403"/>
      <c r="I157" s="403"/>
      <c r="J157" s="403"/>
      <c r="K157" s="2117"/>
      <c r="L157" s="2284">
        <v>3000</v>
      </c>
      <c r="M157" s="2118"/>
      <c r="N157" s="405"/>
    </row>
    <row r="158" spans="2:14">
      <c r="B158" s="355" t="s">
        <v>2929</v>
      </c>
      <c r="C158" s="2196"/>
      <c r="D158" s="531" t="s">
        <v>3455</v>
      </c>
      <c r="E158" s="533">
        <v>50</v>
      </c>
      <c r="F158" s="533" t="s">
        <v>1885</v>
      </c>
      <c r="G158" s="402"/>
      <c r="H158" s="403"/>
      <c r="I158" s="403"/>
      <c r="J158" s="403"/>
      <c r="K158" s="2117"/>
      <c r="L158" s="2284">
        <v>7350</v>
      </c>
      <c r="M158" s="2118"/>
      <c r="N158" s="405"/>
    </row>
    <row r="159" spans="2:14">
      <c r="B159" s="355" t="s">
        <v>2929</v>
      </c>
      <c r="C159" s="2196"/>
      <c r="D159" s="531" t="s">
        <v>3456</v>
      </c>
      <c r="E159" s="533">
        <v>80</v>
      </c>
      <c r="F159" s="533" t="s">
        <v>1885</v>
      </c>
      <c r="G159" s="402"/>
      <c r="H159" s="403"/>
      <c r="I159" s="403"/>
      <c r="J159" s="403"/>
      <c r="K159" s="2117"/>
      <c r="L159" s="2284">
        <v>440000</v>
      </c>
      <c r="M159" s="2118"/>
      <c r="N159" s="405"/>
    </row>
    <row r="160" spans="2:14">
      <c r="B160" s="355" t="s">
        <v>2929</v>
      </c>
      <c r="C160" s="2196"/>
      <c r="D160" s="531" t="s">
        <v>3457</v>
      </c>
      <c r="E160" s="533">
        <v>88</v>
      </c>
      <c r="F160" s="533" t="s">
        <v>1885</v>
      </c>
      <c r="G160" s="402"/>
      <c r="H160" s="403"/>
      <c r="I160" s="403"/>
      <c r="J160" s="403"/>
      <c r="K160" s="2117"/>
      <c r="L160" s="2284">
        <v>88000</v>
      </c>
      <c r="M160" s="2118"/>
      <c r="N160" s="405"/>
    </row>
    <row r="161" spans="1:14">
      <c r="B161" s="355" t="s">
        <v>2929</v>
      </c>
      <c r="C161" s="2196"/>
      <c r="D161" s="531" t="s">
        <v>3458</v>
      </c>
      <c r="E161" s="533">
        <v>30</v>
      </c>
      <c r="F161" s="533" t="s">
        <v>1885</v>
      </c>
      <c r="G161" s="402"/>
      <c r="H161" s="403"/>
      <c r="I161" s="403"/>
      <c r="J161" s="403"/>
      <c r="K161" s="2117"/>
      <c r="L161" s="2284">
        <v>12000</v>
      </c>
      <c r="M161" s="2118"/>
      <c r="N161" s="405"/>
    </row>
    <row r="162" spans="1:14">
      <c r="B162" s="355" t="s">
        <v>2929</v>
      </c>
      <c r="C162" s="2196"/>
      <c r="D162" s="531" t="s">
        <v>3459</v>
      </c>
      <c r="E162" s="533">
        <v>35</v>
      </c>
      <c r="F162" s="533" t="s">
        <v>1885</v>
      </c>
      <c r="G162" s="402"/>
      <c r="H162" s="403"/>
      <c r="I162" s="403"/>
      <c r="J162" s="403"/>
      <c r="K162" s="2117"/>
      <c r="L162" s="2284">
        <v>5950</v>
      </c>
      <c r="M162" s="2118"/>
      <c r="N162" s="405"/>
    </row>
    <row r="163" spans="1:14">
      <c r="B163" s="355" t="s">
        <v>2929</v>
      </c>
      <c r="C163" s="2196"/>
      <c r="D163" s="531" t="s">
        <v>3460</v>
      </c>
      <c r="E163" s="533">
        <v>15</v>
      </c>
      <c r="F163" s="533" t="s">
        <v>1885</v>
      </c>
      <c r="G163" s="402"/>
      <c r="H163" s="403"/>
      <c r="I163" s="403"/>
      <c r="J163" s="403"/>
      <c r="K163" s="2117"/>
      <c r="L163" s="2284">
        <v>1770</v>
      </c>
      <c r="M163" s="2118"/>
      <c r="N163" s="405"/>
    </row>
    <row r="164" spans="1:14">
      <c r="B164" s="355" t="s">
        <v>2929</v>
      </c>
      <c r="C164" s="2196"/>
      <c r="D164" s="531" t="s">
        <v>3461</v>
      </c>
      <c r="E164" s="533">
        <v>30</v>
      </c>
      <c r="F164" s="533" t="s">
        <v>1885</v>
      </c>
      <c r="G164" s="402"/>
      <c r="H164" s="403"/>
      <c r="I164" s="403"/>
      <c r="J164" s="403"/>
      <c r="K164" s="2117"/>
      <c r="L164" s="2284">
        <v>4500</v>
      </c>
      <c r="M164" s="2118"/>
      <c r="N164" s="405"/>
    </row>
    <row r="165" spans="1:14" ht="27">
      <c r="B165" s="355" t="s">
        <v>2929</v>
      </c>
      <c r="C165" s="336"/>
      <c r="D165" s="531" t="s">
        <v>3462</v>
      </c>
      <c r="E165" s="533"/>
      <c r="F165" s="533"/>
      <c r="G165" s="402"/>
      <c r="H165" s="403"/>
      <c r="I165" s="403"/>
      <c r="J165" s="403"/>
      <c r="K165" s="2117"/>
      <c r="L165" s="2286" t="s">
        <v>3465</v>
      </c>
      <c r="M165" s="2118"/>
      <c r="N165" s="405"/>
    </row>
    <row r="166" spans="1:14">
      <c r="B166" s="355" t="s">
        <v>2929</v>
      </c>
      <c r="C166" s="2196"/>
      <c r="D166" s="335" t="s">
        <v>3463</v>
      </c>
      <c r="E166" s="2280"/>
      <c r="F166" s="2281"/>
      <c r="G166" s="402"/>
      <c r="H166" s="403"/>
      <c r="I166" s="403"/>
      <c r="J166" s="403"/>
      <c r="K166" s="2117"/>
      <c r="L166" s="2286" t="s">
        <v>3465</v>
      </c>
      <c r="M166" s="2118"/>
      <c r="N166" s="405"/>
    </row>
    <row r="167" spans="1:14" ht="63" customHeight="1">
      <c r="B167" s="355" t="s">
        <v>2929</v>
      </c>
      <c r="C167" s="2196"/>
      <c r="D167" s="2282" t="s">
        <v>3464</v>
      </c>
      <c r="E167" s="2280"/>
      <c r="F167" s="2281"/>
      <c r="G167" s="402"/>
      <c r="H167" s="403"/>
      <c r="I167" s="403"/>
      <c r="J167" s="403"/>
      <c r="K167" s="2117"/>
      <c r="L167" s="2286" t="s">
        <v>3465</v>
      </c>
      <c r="M167" s="2118"/>
      <c r="N167" s="405"/>
    </row>
    <row r="168" spans="1:14">
      <c r="C168" s="2196"/>
      <c r="D168" s="896"/>
      <c r="E168" s="2280"/>
      <c r="F168" s="2281"/>
      <c r="G168" s="402"/>
      <c r="H168" s="403"/>
      <c r="I168" s="403"/>
      <c r="J168" s="403"/>
      <c r="K168" s="2117"/>
      <c r="L168" s="2286" t="s">
        <v>3465</v>
      </c>
      <c r="M168" s="2118"/>
      <c r="N168" s="405"/>
    </row>
    <row r="169" spans="1:14">
      <c r="C169" s="400"/>
      <c r="D169" s="400"/>
      <c r="E169" s="401"/>
      <c r="F169" s="402"/>
      <c r="G169" s="402"/>
      <c r="H169" s="403"/>
      <c r="I169" s="403"/>
      <c r="J169" s="403"/>
      <c r="K169" s="2117"/>
      <c r="L169" s="2286" t="s">
        <v>3465</v>
      </c>
      <c r="M169" s="2118"/>
      <c r="N169" s="405"/>
    </row>
    <row r="170" spans="1:14">
      <c r="C170" s="400"/>
      <c r="D170" s="400"/>
      <c r="E170" s="401"/>
      <c r="F170" s="402"/>
      <c r="G170" s="402"/>
      <c r="H170" s="403"/>
      <c r="I170" s="403"/>
      <c r="J170" s="403"/>
      <c r="K170" s="2117"/>
      <c r="L170" s="2286" t="s">
        <v>3465</v>
      </c>
      <c r="M170" s="2118"/>
      <c r="N170" s="405"/>
    </row>
    <row r="171" spans="1:14" ht="27">
      <c r="B171" s="355" t="s">
        <v>3584</v>
      </c>
      <c r="C171" s="400"/>
      <c r="D171" s="2267" t="s">
        <v>3896</v>
      </c>
      <c r="E171" s="2287" t="s">
        <v>3898</v>
      </c>
      <c r="F171" s="2250" t="s">
        <v>1104</v>
      </c>
      <c r="G171" s="2177" t="s">
        <v>828</v>
      </c>
      <c r="H171" s="2251" t="s">
        <v>3879</v>
      </c>
      <c r="I171" s="2251" t="s">
        <v>3588</v>
      </c>
      <c r="J171" s="2251" t="s">
        <v>3881</v>
      </c>
      <c r="K171" s="2179" t="s">
        <v>3589</v>
      </c>
      <c r="L171" s="2252">
        <v>21000</v>
      </c>
      <c r="M171" s="2253" t="s">
        <v>99</v>
      </c>
      <c r="N171" s="405"/>
    </row>
    <row r="172" spans="1:14" ht="27">
      <c r="B172" s="355" t="s">
        <v>3584</v>
      </c>
      <c r="C172" s="400"/>
      <c r="D172" s="2267" t="s">
        <v>3900</v>
      </c>
      <c r="E172" s="2287" t="s">
        <v>3899</v>
      </c>
      <c r="F172" s="2250" t="s">
        <v>1104</v>
      </c>
      <c r="G172" s="2177" t="s">
        <v>828</v>
      </c>
      <c r="H172" s="2251" t="s">
        <v>3879</v>
      </c>
      <c r="I172" s="2251" t="s">
        <v>3588</v>
      </c>
      <c r="J172" s="2251" t="s">
        <v>3881</v>
      </c>
      <c r="K172" s="2179" t="s">
        <v>3589</v>
      </c>
      <c r="L172" s="2252">
        <v>12000</v>
      </c>
      <c r="M172" s="2253" t="s">
        <v>99</v>
      </c>
      <c r="N172" s="405"/>
    </row>
    <row r="173" spans="1:14" ht="27">
      <c r="B173" s="355" t="s">
        <v>3584</v>
      </c>
      <c r="C173" s="400"/>
      <c r="D173" s="2267" t="s">
        <v>3901</v>
      </c>
      <c r="E173" s="2287" t="s">
        <v>3899</v>
      </c>
      <c r="F173" s="2250" t="s">
        <v>1104</v>
      </c>
      <c r="G173" s="2177" t="s">
        <v>828</v>
      </c>
      <c r="H173" s="2251" t="s">
        <v>3879</v>
      </c>
      <c r="I173" s="2251" t="s">
        <v>3588</v>
      </c>
      <c r="J173" s="2251" t="s">
        <v>3881</v>
      </c>
      <c r="K173" s="2179" t="s">
        <v>3589</v>
      </c>
      <c r="L173" s="2252">
        <v>12000</v>
      </c>
      <c r="M173" s="2253" t="s">
        <v>99</v>
      </c>
      <c r="N173" s="405"/>
    </row>
    <row r="174" spans="1:14">
      <c r="C174" s="400"/>
      <c r="D174" s="2267"/>
      <c r="E174" s="401"/>
      <c r="F174" s="402"/>
      <c r="G174" s="402"/>
      <c r="H174" s="403"/>
      <c r="I174" s="403"/>
      <c r="J174" s="403"/>
      <c r="K174" s="402"/>
      <c r="L174" s="404"/>
      <c r="M174" s="402"/>
      <c r="N174" s="405"/>
    </row>
    <row r="175" spans="1:14">
      <c r="C175" s="400"/>
      <c r="D175" s="2267"/>
      <c r="E175" s="401"/>
      <c r="F175" s="402"/>
      <c r="G175" s="402"/>
      <c r="H175" s="403"/>
      <c r="I175" s="403"/>
      <c r="J175" s="403"/>
      <c r="K175" s="402"/>
      <c r="L175" s="404"/>
      <c r="M175" s="402"/>
      <c r="N175" s="405"/>
    </row>
    <row r="176" spans="1:14" ht="63.75">
      <c r="A176" s="302">
        <v>1021</v>
      </c>
      <c r="B176" s="302" t="s">
        <v>3955</v>
      </c>
      <c r="C176" s="400" t="s">
        <v>3978</v>
      </c>
      <c r="D176" s="2267" t="s">
        <v>3976</v>
      </c>
      <c r="F176" s="401" t="s">
        <v>3</v>
      </c>
      <c r="H176" s="2367" t="s">
        <v>3949</v>
      </c>
      <c r="I176" s="2368" t="s">
        <v>3968</v>
      </c>
      <c r="J176" s="2369" t="s">
        <v>3977</v>
      </c>
      <c r="K176" s="402" t="s">
        <v>3962</v>
      </c>
      <c r="L176" s="404">
        <v>100000</v>
      </c>
      <c r="M176" s="402"/>
      <c r="N176" s="405"/>
    </row>
    <row r="177" spans="1:16">
      <c r="A177" s="302"/>
      <c r="B177" s="302"/>
      <c r="C177" s="400"/>
      <c r="D177" s="2267"/>
      <c r="E177" s="401"/>
      <c r="F177" s="402"/>
      <c r="G177" s="402"/>
      <c r="H177" s="403"/>
      <c r="I177" s="403"/>
      <c r="J177" s="403"/>
      <c r="K177" s="402"/>
      <c r="L177" s="404"/>
      <c r="M177" s="402"/>
      <c r="N177" s="405"/>
    </row>
    <row r="178" spans="1:16">
      <c r="A178" s="302"/>
      <c r="B178" s="302"/>
      <c r="C178" s="400"/>
      <c r="D178" s="2267"/>
      <c r="E178" s="401"/>
      <c r="F178" s="402"/>
      <c r="G178" s="402"/>
      <c r="H178" s="403"/>
      <c r="I178" s="403"/>
      <c r="J178" s="403"/>
      <c r="K178" s="402"/>
      <c r="L178" s="404"/>
      <c r="M178" s="402"/>
      <c r="N178" s="405"/>
    </row>
    <row r="179" spans="1:16" ht="51">
      <c r="A179" s="302">
        <v>1016</v>
      </c>
      <c r="B179" s="302" t="s">
        <v>3955</v>
      </c>
      <c r="C179" s="400" t="s">
        <v>3993</v>
      </c>
      <c r="D179" s="2267" t="s">
        <v>3976</v>
      </c>
      <c r="E179" s="401"/>
      <c r="F179" s="402" t="s">
        <v>3</v>
      </c>
      <c r="G179" s="402"/>
      <c r="H179" s="2369" t="s">
        <v>599</v>
      </c>
      <c r="I179" s="2369" t="s">
        <v>3994</v>
      </c>
      <c r="J179" s="2369" t="s">
        <v>3995</v>
      </c>
      <c r="K179" s="402" t="s">
        <v>3962</v>
      </c>
      <c r="L179" s="404">
        <v>100000</v>
      </c>
      <c r="M179" s="402"/>
      <c r="N179" s="405"/>
    </row>
    <row r="180" spans="1:16">
      <c r="C180" s="400"/>
      <c r="D180" s="2267"/>
      <c r="E180" s="401"/>
      <c r="F180" s="402"/>
      <c r="G180" s="402"/>
      <c r="H180" s="403"/>
      <c r="I180" s="403"/>
      <c r="J180" s="403"/>
      <c r="K180" s="402"/>
      <c r="L180" s="404"/>
      <c r="M180" s="402"/>
      <c r="N180" s="405"/>
    </row>
    <row r="181" spans="1:16">
      <c r="C181" s="400"/>
      <c r="D181" s="2267"/>
      <c r="E181" s="401"/>
      <c r="F181" s="402"/>
      <c r="G181" s="402"/>
      <c r="H181" s="403"/>
      <c r="I181" s="403"/>
      <c r="J181" s="403"/>
      <c r="K181" s="402"/>
      <c r="L181" s="404"/>
      <c r="M181" s="402"/>
      <c r="N181" s="405"/>
    </row>
    <row r="182" spans="1:16" ht="27">
      <c r="B182" s="355" t="s">
        <v>4006</v>
      </c>
      <c r="C182" s="3070"/>
      <c r="D182" s="1912" t="s">
        <v>3418</v>
      </c>
      <c r="E182" s="3071"/>
      <c r="F182" s="2829" t="s">
        <v>422</v>
      </c>
      <c r="G182" s="2829" t="s">
        <v>828</v>
      </c>
      <c r="H182" s="2830">
        <v>46023</v>
      </c>
      <c r="I182" s="2830">
        <v>46174</v>
      </c>
      <c r="J182" s="2829" t="s">
        <v>4608</v>
      </c>
      <c r="K182" s="2829" t="s">
        <v>4404</v>
      </c>
      <c r="L182" s="3072"/>
      <c r="M182" s="2837" t="s">
        <v>4604</v>
      </c>
      <c r="N182" s="2234"/>
    </row>
    <row r="183" spans="1:16" ht="15">
      <c r="B183" s="355" t="s">
        <v>4006</v>
      </c>
      <c r="C183" s="2859" t="s">
        <v>5225</v>
      </c>
      <c r="D183" s="2969" t="s">
        <v>2916</v>
      </c>
      <c r="E183" s="2969">
        <v>5</v>
      </c>
      <c r="F183" s="2862" t="s">
        <v>5278</v>
      </c>
      <c r="J183" s="2829" t="s">
        <v>4733</v>
      </c>
      <c r="K183" s="2829" t="s">
        <v>4405</v>
      </c>
      <c r="L183" s="3079">
        <v>3000</v>
      </c>
      <c r="M183" s="2837"/>
      <c r="P183" s="2872"/>
    </row>
    <row r="184" spans="1:16" ht="15">
      <c r="B184" s="355" t="s">
        <v>4006</v>
      </c>
      <c r="C184" s="2859"/>
      <c r="D184" s="3078" t="s">
        <v>5226</v>
      </c>
      <c r="E184" s="2969">
        <v>6</v>
      </c>
      <c r="F184" s="2862" t="s">
        <v>5279</v>
      </c>
      <c r="H184" s="2829" t="s">
        <v>2757</v>
      </c>
      <c r="I184" s="2829"/>
      <c r="J184" s="2829"/>
      <c r="K184" s="2829"/>
      <c r="L184" s="3079">
        <v>60000</v>
      </c>
      <c r="P184" s="2872"/>
    </row>
    <row r="185" spans="1:16" ht="15">
      <c r="B185" s="355" t="s">
        <v>4006</v>
      </c>
      <c r="C185" s="2859"/>
      <c r="D185" s="2915" t="s">
        <v>5227</v>
      </c>
      <c r="E185" s="2969">
        <v>7</v>
      </c>
      <c r="F185" s="2862" t="s">
        <v>5279</v>
      </c>
      <c r="H185" s="2829" t="s">
        <v>2757</v>
      </c>
      <c r="I185" s="2829"/>
      <c r="J185" s="2829"/>
      <c r="K185" s="2829"/>
      <c r="L185" s="3079">
        <v>60300</v>
      </c>
      <c r="M185" s="2829"/>
      <c r="O185" s="2829"/>
      <c r="P185" s="2872"/>
    </row>
    <row r="186" spans="1:16" ht="15">
      <c r="B186" s="355" t="s">
        <v>4006</v>
      </c>
      <c r="C186" s="2859"/>
      <c r="D186" s="2915" t="s">
        <v>5228</v>
      </c>
      <c r="E186" s="2969">
        <v>1</v>
      </c>
      <c r="F186" s="2862" t="s">
        <v>5279</v>
      </c>
      <c r="H186" s="2829" t="s">
        <v>2757</v>
      </c>
      <c r="I186" s="2829"/>
      <c r="J186" s="2829"/>
      <c r="K186" s="2829"/>
      <c r="L186" s="3079">
        <v>4900</v>
      </c>
      <c r="M186" s="2829"/>
      <c r="O186" s="2829"/>
      <c r="P186" s="2872"/>
    </row>
    <row r="187" spans="1:16" ht="15">
      <c r="B187" s="355" t="s">
        <v>4006</v>
      </c>
      <c r="C187" s="2859"/>
      <c r="D187" s="2915" t="s">
        <v>5229</v>
      </c>
      <c r="E187" s="2969">
        <v>2</v>
      </c>
      <c r="F187" s="2862" t="s">
        <v>5279</v>
      </c>
      <c r="H187" s="2829" t="s">
        <v>2757</v>
      </c>
      <c r="I187" s="2829"/>
      <c r="J187" s="2829"/>
      <c r="K187" s="2829"/>
      <c r="L187" s="3079">
        <v>10500</v>
      </c>
      <c r="M187" s="2829"/>
      <c r="O187" s="2829"/>
      <c r="P187" s="2872"/>
    </row>
    <row r="188" spans="1:16" ht="15">
      <c r="B188" s="355" t="s">
        <v>4006</v>
      </c>
      <c r="C188" s="2873"/>
      <c r="D188" s="2969" t="s">
        <v>5230</v>
      </c>
      <c r="E188" s="2969">
        <v>1</v>
      </c>
      <c r="F188" s="2862" t="s">
        <v>5280</v>
      </c>
      <c r="H188" s="2829" t="s">
        <v>2757</v>
      </c>
      <c r="I188" s="2829"/>
      <c r="J188" s="2829"/>
      <c r="K188" s="2829"/>
      <c r="L188" s="3079">
        <v>1570</v>
      </c>
      <c r="M188" s="2829"/>
      <c r="O188" s="2829"/>
      <c r="P188" s="2872"/>
    </row>
    <row r="189" spans="1:16" ht="15">
      <c r="B189" s="355" t="s">
        <v>4006</v>
      </c>
      <c r="C189" s="2873"/>
      <c r="D189" s="2969" t="s">
        <v>5231</v>
      </c>
      <c r="E189" s="2969">
        <v>4</v>
      </c>
      <c r="F189" s="2862" t="s">
        <v>4632</v>
      </c>
      <c r="H189" s="2829" t="s">
        <v>2757</v>
      </c>
      <c r="I189" s="2829"/>
      <c r="J189" s="2829"/>
      <c r="K189" s="2829"/>
      <c r="L189" s="3079">
        <v>260</v>
      </c>
      <c r="M189" s="2829"/>
      <c r="O189" s="2829"/>
      <c r="P189" s="2872"/>
    </row>
    <row r="190" spans="1:16" ht="15">
      <c r="B190" s="355" t="s">
        <v>4006</v>
      </c>
      <c r="C190" s="2873"/>
      <c r="D190" s="2969" t="s">
        <v>5232</v>
      </c>
      <c r="E190" s="2969">
        <v>1</v>
      </c>
      <c r="F190" s="2862" t="s">
        <v>5280</v>
      </c>
      <c r="H190" s="2829" t="s">
        <v>2757</v>
      </c>
      <c r="I190" s="2829"/>
      <c r="J190" s="2829"/>
      <c r="K190" s="2829"/>
      <c r="L190" s="3079">
        <v>300</v>
      </c>
      <c r="M190" s="2829"/>
      <c r="O190" s="2829"/>
      <c r="P190" s="2872"/>
    </row>
    <row r="191" spans="1:16" ht="15">
      <c r="B191" s="355" t="s">
        <v>4006</v>
      </c>
      <c r="C191" s="2873"/>
      <c r="D191" s="2969" t="s">
        <v>202</v>
      </c>
      <c r="E191" s="2969">
        <v>49</v>
      </c>
      <c r="F191" s="2862" t="s">
        <v>5280</v>
      </c>
      <c r="H191" s="2829" t="s">
        <v>2757</v>
      </c>
      <c r="I191" s="2829"/>
      <c r="J191" s="2829"/>
      <c r="K191" s="2829"/>
      <c r="L191" s="3079">
        <v>19400</v>
      </c>
      <c r="M191" s="2829"/>
      <c r="O191" s="2829"/>
      <c r="P191" s="2872"/>
    </row>
    <row r="192" spans="1:16" ht="15">
      <c r="B192" s="355" t="s">
        <v>4006</v>
      </c>
      <c r="C192" s="2873"/>
      <c r="D192" s="2973" t="s">
        <v>5233</v>
      </c>
      <c r="E192" s="2969">
        <v>4</v>
      </c>
      <c r="F192" s="2862" t="s">
        <v>5280</v>
      </c>
      <c r="H192" s="2829" t="s">
        <v>2757</v>
      </c>
      <c r="I192" s="2829"/>
      <c r="J192" s="2829"/>
      <c r="K192" s="2829"/>
      <c r="L192" s="3079">
        <v>46670</v>
      </c>
      <c r="M192" s="2829"/>
      <c r="O192" s="2829"/>
      <c r="P192" s="2872"/>
    </row>
    <row r="193" spans="2:16" ht="15">
      <c r="B193" s="355" t="s">
        <v>4006</v>
      </c>
      <c r="C193" s="2873"/>
      <c r="D193" s="2973" t="s">
        <v>5234</v>
      </c>
      <c r="E193" s="2969">
        <v>5</v>
      </c>
      <c r="F193" s="2862" t="s">
        <v>5281</v>
      </c>
      <c r="H193" s="2829" t="s">
        <v>2757</v>
      </c>
      <c r="I193" s="2829"/>
      <c r="J193" s="2829"/>
      <c r="K193" s="2829"/>
      <c r="L193" s="3079">
        <v>1900</v>
      </c>
      <c r="M193" s="2829"/>
      <c r="O193" s="2829"/>
      <c r="P193" s="2872"/>
    </row>
    <row r="194" spans="2:16" ht="15">
      <c r="B194" s="355" t="s">
        <v>4006</v>
      </c>
      <c r="C194" s="2873"/>
      <c r="D194" s="2969" t="s">
        <v>5235</v>
      </c>
      <c r="E194" s="2969">
        <v>6</v>
      </c>
      <c r="F194" s="2862" t="s">
        <v>5282</v>
      </c>
      <c r="H194" s="2829" t="s">
        <v>2757</v>
      </c>
      <c r="I194" s="2829"/>
      <c r="J194" s="2829"/>
      <c r="K194" s="2829"/>
      <c r="L194" s="3079">
        <v>210</v>
      </c>
      <c r="M194" s="2829"/>
      <c r="O194" s="2829"/>
      <c r="P194" s="2872"/>
    </row>
    <row r="195" spans="2:16" ht="15">
      <c r="B195" s="355" t="s">
        <v>4006</v>
      </c>
      <c r="C195" s="2873"/>
      <c r="D195" s="2969" t="s">
        <v>5236</v>
      </c>
      <c r="E195" s="2969">
        <v>6</v>
      </c>
      <c r="F195" s="2862" t="s">
        <v>5282</v>
      </c>
      <c r="H195" s="2829" t="s">
        <v>2757</v>
      </c>
      <c r="I195" s="2829"/>
      <c r="J195" s="2829"/>
      <c r="K195" s="2829"/>
      <c r="L195" s="3079">
        <v>210</v>
      </c>
      <c r="M195" s="2829"/>
      <c r="O195" s="2829"/>
      <c r="P195" s="2872"/>
    </row>
    <row r="196" spans="2:16" ht="15">
      <c r="B196" s="355" t="s">
        <v>4006</v>
      </c>
      <c r="C196" s="2873"/>
      <c r="D196" s="2969" t="s">
        <v>5237</v>
      </c>
      <c r="E196" s="2969">
        <v>2</v>
      </c>
      <c r="F196" s="2862" t="s">
        <v>5280</v>
      </c>
      <c r="H196" s="2829" t="s">
        <v>2757</v>
      </c>
      <c r="I196" s="2829"/>
      <c r="J196" s="2829"/>
      <c r="K196" s="2829"/>
      <c r="L196" s="3079">
        <v>152900</v>
      </c>
      <c r="M196" s="2829"/>
      <c r="O196" s="2829"/>
      <c r="P196" s="2872"/>
    </row>
    <row r="197" spans="2:16" ht="15">
      <c r="B197" s="355" t="s">
        <v>4006</v>
      </c>
      <c r="C197" s="2873"/>
      <c r="D197" s="2969" t="s">
        <v>5238</v>
      </c>
      <c r="E197" s="2969">
        <v>1</v>
      </c>
      <c r="F197" s="2862" t="s">
        <v>5280</v>
      </c>
      <c r="H197" s="2829" t="s">
        <v>2757</v>
      </c>
      <c r="I197" s="2829"/>
      <c r="J197" s="2829"/>
      <c r="K197" s="2829"/>
      <c r="L197" s="3079">
        <v>6000</v>
      </c>
      <c r="M197" s="2829"/>
      <c r="O197" s="2829"/>
      <c r="P197" s="2872"/>
    </row>
    <row r="198" spans="2:16" ht="15">
      <c r="B198" s="355" t="s">
        <v>4006</v>
      </c>
      <c r="C198" s="2873"/>
      <c r="D198" s="2969" t="s">
        <v>5239</v>
      </c>
      <c r="E198" s="2969">
        <v>4</v>
      </c>
      <c r="F198" s="2862" t="s">
        <v>5283</v>
      </c>
      <c r="H198" s="2829" t="s">
        <v>2757</v>
      </c>
      <c r="I198" s="2829"/>
      <c r="J198" s="2829"/>
      <c r="K198" s="2829"/>
      <c r="L198" s="3079">
        <v>1200</v>
      </c>
      <c r="M198" s="2829"/>
      <c r="O198" s="2829"/>
      <c r="P198" s="2872"/>
    </row>
    <row r="199" spans="2:16" ht="15">
      <c r="B199" s="355" t="s">
        <v>4006</v>
      </c>
      <c r="C199" s="1912"/>
      <c r="D199" s="2969" t="s">
        <v>5240</v>
      </c>
      <c r="E199" s="2969">
        <v>20</v>
      </c>
      <c r="F199" s="2862" t="s">
        <v>4632</v>
      </c>
      <c r="H199" s="2829" t="s">
        <v>2757</v>
      </c>
      <c r="I199" s="2829"/>
      <c r="J199" s="2829"/>
      <c r="K199" s="2829"/>
      <c r="L199" s="3079">
        <v>2400</v>
      </c>
      <c r="M199" s="2829"/>
      <c r="O199" s="2829"/>
      <c r="P199" s="2872"/>
    </row>
    <row r="200" spans="2:16" ht="15">
      <c r="B200" s="355" t="s">
        <v>4006</v>
      </c>
      <c r="C200" s="1912"/>
      <c r="D200" s="2969" t="s">
        <v>5241</v>
      </c>
      <c r="E200" s="2969">
        <v>8</v>
      </c>
      <c r="F200" s="2862" t="s">
        <v>4632</v>
      </c>
      <c r="H200" s="2829" t="s">
        <v>2757</v>
      </c>
      <c r="I200" s="2829"/>
      <c r="J200" s="2829"/>
      <c r="K200" s="2829"/>
      <c r="L200" s="3079">
        <v>13600</v>
      </c>
      <c r="M200" s="2829"/>
      <c r="O200" s="2829"/>
      <c r="P200" s="2872"/>
    </row>
    <row r="201" spans="2:16" ht="15">
      <c r="B201" s="355" t="s">
        <v>4006</v>
      </c>
      <c r="C201" s="1912"/>
      <c r="D201" s="2969" t="s">
        <v>5242</v>
      </c>
      <c r="E201" s="2969">
        <v>6</v>
      </c>
      <c r="F201" s="2862" t="s">
        <v>5284</v>
      </c>
      <c r="H201" s="2829" t="s">
        <v>2757</v>
      </c>
      <c r="I201" s="2829"/>
      <c r="J201" s="2829"/>
      <c r="K201" s="2829"/>
      <c r="L201" s="3079">
        <v>13560</v>
      </c>
      <c r="M201" s="2829"/>
      <c r="O201" s="2829"/>
      <c r="P201" s="2872"/>
    </row>
    <row r="202" spans="2:16" ht="15">
      <c r="B202" s="355" t="s">
        <v>4006</v>
      </c>
      <c r="C202" s="1912"/>
      <c r="D202" s="2969" t="s">
        <v>5243</v>
      </c>
      <c r="E202" s="2969">
        <v>5</v>
      </c>
      <c r="F202" s="2862" t="s">
        <v>4632</v>
      </c>
      <c r="H202" s="2829" t="s">
        <v>2757</v>
      </c>
      <c r="I202" s="2829"/>
      <c r="J202" s="2829"/>
      <c r="K202" s="2829"/>
      <c r="L202" s="3079">
        <v>980</v>
      </c>
      <c r="M202" s="2829"/>
      <c r="O202" s="2829"/>
      <c r="P202" s="2872"/>
    </row>
    <row r="203" spans="2:16" ht="15">
      <c r="B203" s="355" t="s">
        <v>4006</v>
      </c>
      <c r="C203" s="1912"/>
      <c r="D203" s="2969" t="s">
        <v>5244</v>
      </c>
      <c r="E203" s="2969">
        <v>5</v>
      </c>
      <c r="F203" s="2862" t="s">
        <v>4632</v>
      </c>
      <c r="H203" s="2829" t="s">
        <v>2757</v>
      </c>
      <c r="I203" s="2829"/>
      <c r="J203" s="2829"/>
      <c r="K203" s="2829"/>
      <c r="L203" s="3079">
        <v>85</v>
      </c>
      <c r="M203" s="2829"/>
      <c r="O203" s="2829"/>
      <c r="P203" s="2872"/>
    </row>
    <row r="204" spans="2:16" ht="15">
      <c r="B204" s="355" t="s">
        <v>4006</v>
      </c>
      <c r="C204" s="1912"/>
      <c r="D204" s="2969" t="s">
        <v>5245</v>
      </c>
      <c r="E204" s="2969">
        <v>1</v>
      </c>
      <c r="F204" s="2862" t="s">
        <v>4632</v>
      </c>
      <c r="H204" s="2829" t="s">
        <v>2757</v>
      </c>
      <c r="I204" s="2829"/>
      <c r="J204" s="2829"/>
      <c r="K204" s="2829"/>
      <c r="L204" s="3079">
        <v>440</v>
      </c>
      <c r="M204" s="2829"/>
      <c r="O204" s="2829"/>
      <c r="P204" s="2872"/>
    </row>
    <row r="205" spans="2:16" ht="15">
      <c r="B205" s="355" t="s">
        <v>4006</v>
      </c>
      <c r="C205" s="1912"/>
      <c r="D205" s="2969" t="s">
        <v>5246</v>
      </c>
      <c r="E205" s="2969">
        <v>1</v>
      </c>
      <c r="F205" s="2862" t="s">
        <v>4632</v>
      </c>
      <c r="H205" s="2829" t="s">
        <v>2757</v>
      </c>
      <c r="I205" s="2829"/>
      <c r="J205" s="2829"/>
      <c r="K205" s="2829"/>
      <c r="L205" s="3079">
        <v>60</v>
      </c>
      <c r="M205" s="2829"/>
      <c r="O205" s="2829"/>
      <c r="P205" s="2872"/>
    </row>
    <row r="206" spans="2:16" ht="15">
      <c r="B206" s="355" t="s">
        <v>4006</v>
      </c>
      <c r="C206" s="1912"/>
      <c r="D206" s="2969" t="s">
        <v>5247</v>
      </c>
      <c r="E206" s="2969">
        <v>3</v>
      </c>
      <c r="F206" s="2862" t="s">
        <v>4632</v>
      </c>
      <c r="H206" s="2829" t="s">
        <v>2757</v>
      </c>
      <c r="I206" s="2829"/>
      <c r="J206" s="2829"/>
      <c r="K206" s="2829"/>
      <c r="L206" s="3079">
        <v>850</v>
      </c>
      <c r="M206" s="2829"/>
      <c r="O206" s="2829"/>
      <c r="P206" s="2872"/>
    </row>
    <row r="207" spans="2:16" ht="15">
      <c r="B207" s="355" t="s">
        <v>4006</v>
      </c>
      <c r="C207" s="1912"/>
      <c r="D207" s="2969" t="s">
        <v>5248</v>
      </c>
      <c r="E207" s="2969">
        <v>50</v>
      </c>
      <c r="F207" s="2862" t="s">
        <v>4632</v>
      </c>
      <c r="H207" s="2829" t="s">
        <v>3</v>
      </c>
      <c r="I207" s="2829"/>
      <c r="J207" s="2829"/>
      <c r="K207" s="2829"/>
      <c r="L207" s="3079">
        <v>225000</v>
      </c>
      <c r="M207" s="2829"/>
      <c r="O207" s="2829"/>
      <c r="P207" s="2872"/>
    </row>
    <row r="208" spans="2:16" ht="15">
      <c r="B208" s="355" t="s">
        <v>4006</v>
      </c>
      <c r="C208" s="1912"/>
      <c r="D208" s="2969" t="s">
        <v>5249</v>
      </c>
      <c r="E208" s="2969">
        <v>16</v>
      </c>
      <c r="F208" s="2862" t="s">
        <v>4632</v>
      </c>
      <c r="H208" s="2829" t="s">
        <v>2757</v>
      </c>
      <c r="I208" s="2829"/>
      <c r="J208" s="2829"/>
      <c r="K208" s="2829"/>
      <c r="L208" s="3079">
        <v>12000</v>
      </c>
      <c r="M208" s="2829"/>
      <c r="O208" s="2829"/>
      <c r="P208" s="2872"/>
    </row>
    <row r="209" spans="2:16" ht="15">
      <c r="B209" s="355" t="s">
        <v>4006</v>
      </c>
      <c r="C209" s="1912"/>
      <c r="D209" s="2969" t="s">
        <v>5250</v>
      </c>
      <c r="E209" s="2969">
        <v>1</v>
      </c>
      <c r="F209" s="2862" t="s">
        <v>4632</v>
      </c>
      <c r="H209" s="2829" t="s">
        <v>2757</v>
      </c>
      <c r="I209" s="2829"/>
      <c r="J209" s="2829"/>
      <c r="K209" s="2829"/>
      <c r="L209" s="3079">
        <v>1800</v>
      </c>
      <c r="M209" s="2829"/>
      <c r="O209" s="2829"/>
      <c r="P209" s="2872"/>
    </row>
    <row r="210" spans="2:16" ht="15">
      <c r="B210" s="355" t="s">
        <v>4006</v>
      </c>
      <c r="C210" s="1912"/>
      <c r="D210" s="2969" t="s">
        <v>1050</v>
      </c>
      <c r="E210" s="2969">
        <v>2</v>
      </c>
      <c r="F210" s="2862" t="s">
        <v>4632</v>
      </c>
      <c r="H210" s="2829" t="s">
        <v>2757</v>
      </c>
      <c r="I210" s="2829"/>
      <c r="J210" s="2829"/>
      <c r="K210" s="2829"/>
      <c r="L210" s="3079">
        <v>20000</v>
      </c>
      <c r="M210" s="2829"/>
      <c r="O210" s="2829"/>
      <c r="P210" s="2872"/>
    </row>
    <row r="211" spans="2:16" ht="15">
      <c r="B211" s="355" t="s">
        <v>4006</v>
      </c>
      <c r="C211" s="1912"/>
      <c r="D211" s="2969" t="s">
        <v>5251</v>
      </c>
      <c r="E211" s="2969">
        <v>3</v>
      </c>
      <c r="F211" s="2862" t="s">
        <v>4632</v>
      </c>
      <c r="H211" s="2829" t="s">
        <v>2757</v>
      </c>
      <c r="I211" s="2829"/>
      <c r="J211" s="2829"/>
      <c r="K211" s="2829"/>
      <c r="L211" s="3079">
        <v>15000</v>
      </c>
      <c r="M211" s="2829"/>
      <c r="O211" s="2829"/>
      <c r="P211" s="2872"/>
    </row>
    <row r="212" spans="2:16" ht="15">
      <c r="B212" s="355" t="s">
        <v>4006</v>
      </c>
      <c r="C212" s="1912"/>
      <c r="D212" s="2969" t="s">
        <v>5252</v>
      </c>
      <c r="E212" s="2969">
        <v>4</v>
      </c>
      <c r="F212" s="2862" t="s">
        <v>4632</v>
      </c>
      <c r="H212" s="2829" t="s">
        <v>2757</v>
      </c>
      <c r="I212" s="2829"/>
      <c r="J212" s="2829"/>
      <c r="K212" s="2829"/>
      <c r="L212" s="3079">
        <v>60000</v>
      </c>
      <c r="M212" s="2829"/>
      <c r="O212" s="2829"/>
      <c r="P212" s="2872"/>
    </row>
    <row r="213" spans="2:16" ht="15">
      <c r="B213" s="355" t="s">
        <v>4006</v>
      </c>
      <c r="C213" s="1912"/>
      <c r="D213" s="2969" t="s">
        <v>5253</v>
      </c>
      <c r="E213" s="2969">
        <v>1</v>
      </c>
      <c r="F213" s="2862" t="s">
        <v>5284</v>
      </c>
      <c r="H213" s="2829" t="s">
        <v>2757</v>
      </c>
      <c r="I213" s="2829"/>
      <c r="J213" s="2829"/>
      <c r="K213" s="2829"/>
      <c r="L213" s="3079">
        <v>4000</v>
      </c>
      <c r="M213" s="2829"/>
      <c r="O213" s="2829"/>
      <c r="P213" s="2872"/>
    </row>
    <row r="214" spans="2:16" ht="15">
      <c r="B214" s="355" t="s">
        <v>4006</v>
      </c>
      <c r="C214" s="1912"/>
      <c r="D214" s="2969" t="s">
        <v>5254</v>
      </c>
      <c r="E214" s="2969">
        <v>6</v>
      </c>
      <c r="F214" s="2862" t="s">
        <v>4632</v>
      </c>
      <c r="H214" s="2829" t="s">
        <v>2757</v>
      </c>
      <c r="I214" s="2829"/>
      <c r="J214" s="2829"/>
      <c r="K214" s="2829"/>
      <c r="L214" s="3079">
        <v>12000</v>
      </c>
      <c r="M214" s="2829"/>
      <c r="O214" s="2829"/>
      <c r="P214" s="2872"/>
    </row>
    <row r="215" spans="2:16" ht="15">
      <c r="B215" s="355" t="s">
        <v>4006</v>
      </c>
      <c r="C215" s="1912"/>
      <c r="D215" s="2969" t="s">
        <v>5255</v>
      </c>
      <c r="E215" s="2969">
        <v>2</v>
      </c>
      <c r="F215" s="2862" t="s">
        <v>5285</v>
      </c>
      <c r="H215" s="2829" t="s">
        <v>2757</v>
      </c>
      <c r="I215" s="2829"/>
      <c r="J215" s="2829"/>
      <c r="K215" s="2829"/>
      <c r="L215" s="3079">
        <v>30000</v>
      </c>
      <c r="M215" s="2829"/>
      <c r="O215" s="2829"/>
      <c r="P215" s="2872"/>
    </row>
    <row r="216" spans="2:16" ht="15">
      <c r="B216" s="355" t="s">
        <v>4006</v>
      </c>
      <c r="C216" s="1912"/>
      <c r="D216" s="2969" t="s">
        <v>5256</v>
      </c>
      <c r="E216" s="2969">
        <v>2</v>
      </c>
      <c r="F216" s="2862" t="s">
        <v>5285</v>
      </c>
      <c r="H216" s="2829" t="s">
        <v>2757</v>
      </c>
      <c r="I216" s="2829"/>
      <c r="J216" s="2829"/>
      <c r="K216" s="2829"/>
      <c r="L216" s="3079">
        <v>12000</v>
      </c>
      <c r="M216" s="2829"/>
      <c r="O216" s="2829"/>
      <c r="P216" s="2872"/>
    </row>
    <row r="217" spans="2:16" ht="15">
      <c r="B217" s="355" t="s">
        <v>4006</v>
      </c>
      <c r="C217" s="1912"/>
      <c r="D217" s="2969" t="s">
        <v>5257</v>
      </c>
      <c r="E217" s="2969">
        <v>1</v>
      </c>
      <c r="F217" s="2862" t="s">
        <v>5285</v>
      </c>
      <c r="H217" s="2829" t="s">
        <v>2757</v>
      </c>
      <c r="I217" s="2829"/>
      <c r="J217" s="2829"/>
      <c r="K217" s="2829"/>
      <c r="L217" s="3079">
        <v>35000</v>
      </c>
      <c r="M217" s="2829"/>
      <c r="O217" s="2829"/>
      <c r="P217" s="2872"/>
    </row>
    <row r="218" spans="2:16" ht="15">
      <c r="B218" s="355" t="s">
        <v>4006</v>
      </c>
      <c r="C218" s="1912"/>
      <c r="D218" s="2969" t="s">
        <v>5258</v>
      </c>
      <c r="E218" s="2969">
        <v>1</v>
      </c>
      <c r="F218" s="2862" t="s">
        <v>5285</v>
      </c>
      <c r="H218" s="2829" t="s">
        <v>2757</v>
      </c>
      <c r="I218" s="2829"/>
      <c r="J218" s="2829"/>
      <c r="K218" s="2829"/>
      <c r="L218" s="3079">
        <v>11000</v>
      </c>
      <c r="M218" s="2829"/>
      <c r="O218" s="2829"/>
      <c r="P218" s="2872"/>
    </row>
    <row r="219" spans="2:16" ht="15">
      <c r="B219" s="355" t="s">
        <v>4006</v>
      </c>
      <c r="C219" s="1912"/>
      <c r="D219" s="2969" t="s">
        <v>5259</v>
      </c>
      <c r="E219" s="2969">
        <v>1</v>
      </c>
      <c r="F219" s="2862" t="s">
        <v>5285</v>
      </c>
      <c r="H219" s="2829" t="s">
        <v>2757</v>
      </c>
      <c r="I219" s="2829"/>
      <c r="J219" s="2829"/>
      <c r="K219" s="2829"/>
      <c r="L219" s="3079">
        <v>5000</v>
      </c>
      <c r="M219" s="2829"/>
      <c r="O219" s="2829"/>
      <c r="P219" s="2872"/>
    </row>
    <row r="220" spans="2:16" ht="15">
      <c r="B220" s="355" t="s">
        <v>4006</v>
      </c>
      <c r="C220" s="1912"/>
      <c r="D220" s="2969" t="s">
        <v>5260</v>
      </c>
      <c r="E220" s="2969">
        <v>2</v>
      </c>
      <c r="F220" s="2862" t="s">
        <v>5285</v>
      </c>
      <c r="H220" s="2829" t="s">
        <v>2757</v>
      </c>
      <c r="I220" s="2829"/>
      <c r="J220" s="2829"/>
      <c r="K220" s="2829"/>
      <c r="L220" s="3079">
        <v>3000</v>
      </c>
      <c r="M220" s="2829"/>
      <c r="O220" s="2829"/>
      <c r="P220" s="2872"/>
    </row>
    <row r="221" spans="2:16" ht="27">
      <c r="B221" s="355" t="s">
        <v>4006</v>
      </c>
      <c r="C221" s="1912"/>
      <c r="D221" s="2969" t="s">
        <v>5261</v>
      </c>
      <c r="E221" s="2969">
        <v>1</v>
      </c>
      <c r="F221" s="2862" t="s">
        <v>5283</v>
      </c>
      <c r="H221" s="2829" t="s">
        <v>422</v>
      </c>
      <c r="I221" s="2829"/>
      <c r="J221" s="2829"/>
      <c r="K221" s="2829"/>
      <c r="L221" s="3079">
        <v>3575</v>
      </c>
      <c r="M221" s="2829"/>
      <c r="O221" s="2829"/>
      <c r="P221" s="2872"/>
    </row>
    <row r="222" spans="2:16" ht="15">
      <c r="B222" s="355" t="s">
        <v>4006</v>
      </c>
      <c r="C222" s="1912"/>
      <c r="D222" s="2969" t="s">
        <v>5262</v>
      </c>
      <c r="E222" s="2969">
        <v>1</v>
      </c>
      <c r="F222" s="2862" t="s">
        <v>5283</v>
      </c>
      <c r="H222" s="2829" t="s">
        <v>2757</v>
      </c>
      <c r="I222" s="2829"/>
      <c r="J222" s="2829"/>
      <c r="K222" s="2829"/>
      <c r="L222" s="3079">
        <v>1100</v>
      </c>
      <c r="M222" s="2829"/>
      <c r="O222" s="2829"/>
      <c r="P222" s="2872"/>
    </row>
    <row r="223" spans="2:16" ht="15">
      <c r="B223" s="355" t="s">
        <v>4006</v>
      </c>
      <c r="C223" s="1912"/>
      <c r="D223" s="2969" t="s">
        <v>5263</v>
      </c>
      <c r="E223" s="2969">
        <v>1</v>
      </c>
      <c r="F223" s="2862" t="s">
        <v>4632</v>
      </c>
      <c r="H223" s="2829" t="s">
        <v>2757</v>
      </c>
      <c r="I223" s="2829"/>
      <c r="J223" s="2829"/>
      <c r="K223" s="2829"/>
      <c r="L223" s="3079">
        <v>7999</v>
      </c>
      <c r="M223" s="2829"/>
      <c r="O223" s="2829"/>
      <c r="P223" s="2872"/>
    </row>
    <row r="224" spans="2:16" ht="15">
      <c r="B224" s="355" t="s">
        <v>4006</v>
      </c>
      <c r="C224" s="1912"/>
      <c r="D224" s="2969" t="s">
        <v>5264</v>
      </c>
      <c r="E224" s="2969">
        <v>1</v>
      </c>
      <c r="F224" s="2862" t="s">
        <v>2193</v>
      </c>
      <c r="H224" s="2829" t="s">
        <v>2757</v>
      </c>
      <c r="I224" s="2829"/>
      <c r="J224" s="2829"/>
      <c r="K224" s="2829"/>
      <c r="L224" s="3079">
        <v>20350</v>
      </c>
      <c r="M224" s="2829"/>
      <c r="O224" s="2829"/>
      <c r="P224" s="2872"/>
    </row>
    <row r="225" spans="2:16" ht="15">
      <c r="B225" s="355" t="s">
        <v>4006</v>
      </c>
      <c r="C225" s="1912"/>
      <c r="D225" s="2969" t="s">
        <v>5265</v>
      </c>
      <c r="E225" s="2969">
        <v>1</v>
      </c>
      <c r="F225" s="2862" t="s">
        <v>2193</v>
      </c>
      <c r="H225" s="2829" t="s">
        <v>2757</v>
      </c>
      <c r="I225" s="2829"/>
      <c r="J225" s="2829"/>
      <c r="K225" s="2829"/>
      <c r="L225" s="3079">
        <v>50000</v>
      </c>
      <c r="M225" s="2829"/>
      <c r="O225" s="2829"/>
      <c r="P225" s="2872"/>
    </row>
    <row r="226" spans="2:16" ht="15">
      <c r="B226" s="355" t="s">
        <v>4006</v>
      </c>
      <c r="C226" s="1912"/>
      <c r="D226" s="2969" t="s">
        <v>5267</v>
      </c>
      <c r="E226" s="2969">
        <v>4</v>
      </c>
      <c r="F226" s="2862" t="s">
        <v>5266</v>
      </c>
      <c r="H226" s="2829" t="s">
        <v>2757</v>
      </c>
      <c r="I226" s="2829"/>
      <c r="J226" s="2829"/>
      <c r="K226" s="2829"/>
      <c r="L226" s="3079">
        <v>40000</v>
      </c>
      <c r="M226" s="2829"/>
      <c r="O226" s="2829"/>
      <c r="P226" s="2872"/>
    </row>
    <row r="227" spans="2:16" ht="15">
      <c r="B227" s="355" t="s">
        <v>4006</v>
      </c>
      <c r="C227" s="1912"/>
      <c r="D227" s="2969" t="s">
        <v>5268</v>
      </c>
      <c r="E227" s="2969">
        <v>1</v>
      </c>
      <c r="F227" s="2862" t="s">
        <v>2193</v>
      </c>
      <c r="H227" s="2829" t="s">
        <v>2757</v>
      </c>
      <c r="I227" s="2829"/>
      <c r="J227" s="2829"/>
      <c r="K227" s="2829"/>
      <c r="L227" s="3079">
        <v>18000</v>
      </c>
      <c r="M227" s="2829"/>
      <c r="O227" s="2829"/>
      <c r="P227" s="2872"/>
    </row>
    <row r="228" spans="2:16" ht="15">
      <c r="B228" s="355" t="s">
        <v>4006</v>
      </c>
      <c r="C228" s="1912"/>
      <c r="D228" s="2969" t="s">
        <v>5269</v>
      </c>
      <c r="E228" s="2969">
        <v>3</v>
      </c>
      <c r="F228" s="2862" t="s">
        <v>2193</v>
      </c>
      <c r="H228" s="2829" t="s">
        <v>2757</v>
      </c>
      <c r="I228" s="2829"/>
      <c r="J228" s="2829"/>
      <c r="K228" s="2829"/>
      <c r="L228" s="3079">
        <v>16290</v>
      </c>
      <c r="M228" s="2829"/>
      <c r="O228" s="2829"/>
      <c r="P228" s="2872"/>
    </row>
    <row r="229" spans="2:16" ht="15">
      <c r="B229" s="355" t="s">
        <v>4006</v>
      </c>
      <c r="C229" s="1912"/>
      <c r="D229" s="2873" t="s">
        <v>5270</v>
      </c>
      <c r="E229" s="2969">
        <v>1</v>
      </c>
      <c r="F229" s="2862" t="s">
        <v>2193</v>
      </c>
      <c r="H229" s="2829" t="s">
        <v>2757</v>
      </c>
      <c r="I229" s="2829"/>
      <c r="J229" s="2829"/>
      <c r="K229" s="2829"/>
      <c r="L229" s="3079">
        <v>10719</v>
      </c>
      <c r="M229" s="2829"/>
      <c r="O229" s="2829"/>
      <c r="P229" s="2872"/>
    </row>
    <row r="230" spans="2:16" ht="15">
      <c r="B230" s="355" t="s">
        <v>4006</v>
      </c>
      <c r="C230" s="1912"/>
      <c r="D230" s="2873" t="s">
        <v>5271</v>
      </c>
      <c r="E230" s="2969">
        <v>2</v>
      </c>
      <c r="F230" s="2862" t="s">
        <v>2193</v>
      </c>
      <c r="H230" s="2829" t="s">
        <v>2757</v>
      </c>
      <c r="I230" s="2829"/>
      <c r="J230" s="2829"/>
      <c r="K230" s="2829"/>
      <c r="L230" s="3079">
        <v>170000</v>
      </c>
      <c r="M230" s="2829"/>
      <c r="O230" s="2829"/>
      <c r="P230" s="2872"/>
    </row>
    <row r="231" spans="2:16" ht="15">
      <c r="B231" s="355" t="s">
        <v>4006</v>
      </c>
      <c r="C231" s="1912"/>
      <c r="D231" s="2969" t="s">
        <v>5272</v>
      </c>
      <c r="E231" s="2969">
        <v>20</v>
      </c>
      <c r="F231" s="2862" t="s">
        <v>5284</v>
      </c>
      <c r="H231" s="2829" t="s">
        <v>3</v>
      </c>
      <c r="I231" s="2829"/>
      <c r="J231" s="2829"/>
      <c r="K231" s="2829"/>
      <c r="L231" s="3079">
        <v>200000</v>
      </c>
      <c r="M231" s="2829"/>
      <c r="O231" s="2829"/>
      <c r="P231" s="2872"/>
    </row>
    <row r="232" spans="2:16" ht="15">
      <c r="B232" s="355" t="s">
        <v>4006</v>
      </c>
      <c r="C232" s="1912"/>
      <c r="D232" s="2969" t="s">
        <v>5273</v>
      </c>
      <c r="E232" s="2969">
        <v>1</v>
      </c>
      <c r="F232" s="2862" t="s">
        <v>2193</v>
      </c>
      <c r="H232" s="2829" t="s">
        <v>2757</v>
      </c>
      <c r="I232" s="2829"/>
      <c r="J232" s="2829"/>
      <c r="K232" s="2829"/>
      <c r="L232" s="3079">
        <v>20000</v>
      </c>
      <c r="M232" s="2829"/>
      <c r="O232" s="2829"/>
      <c r="P232" s="2872"/>
    </row>
    <row r="233" spans="2:16" ht="15">
      <c r="B233" s="355" t="s">
        <v>4006</v>
      </c>
      <c r="C233" s="1912"/>
      <c r="D233" s="2969" t="s">
        <v>5274</v>
      </c>
      <c r="E233" s="2969">
        <v>19</v>
      </c>
      <c r="F233" s="2862" t="s">
        <v>1733</v>
      </c>
      <c r="H233" s="2829" t="s">
        <v>3</v>
      </c>
      <c r="I233" s="2829"/>
      <c r="J233" s="2829"/>
      <c r="K233" s="2829"/>
      <c r="L233" s="3079">
        <v>22800</v>
      </c>
      <c r="M233" s="2829"/>
      <c r="O233" s="2829"/>
      <c r="P233" s="2872"/>
    </row>
    <row r="234" spans="2:16" ht="15">
      <c r="B234" s="355" t="s">
        <v>4006</v>
      </c>
      <c r="C234" s="1912"/>
      <c r="D234" s="2969" t="s">
        <v>5275</v>
      </c>
      <c r="E234" s="2969">
        <v>4</v>
      </c>
      <c r="F234" s="2862" t="s">
        <v>1733</v>
      </c>
      <c r="H234" s="2829" t="s">
        <v>2757</v>
      </c>
      <c r="I234" s="2829"/>
      <c r="J234" s="2829"/>
      <c r="K234" s="2829"/>
      <c r="L234" s="3079">
        <v>23200</v>
      </c>
      <c r="M234" s="2829"/>
      <c r="O234" s="2829"/>
      <c r="P234" s="2872"/>
    </row>
    <row r="235" spans="2:16" ht="15">
      <c r="B235" s="355" t="s">
        <v>4006</v>
      </c>
      <c r="C235" s="1912"/>
      <c r="D235" s="2969" t="s">
        <v>5276</v>
      </c>
      <c r="E235" s="2969">
        <v>700</v>
      </c>
      <c r="F235" s="2862" t="s">
        <v>2876</v>
      </c>
      <c r="H235" s="2829" t="s">
        <v>3</v>
      </c>
      <c r="I235" s="2829"/>
      <c r="J235" s="2829"/>
      <c r="K235" s="2829"/>
      <c r="L235" s="3079">
        <v>196000</v>
      </c>
      <c r="M235" s="2829"/>
      <c r="O235" s="2829"/>
      <c r="P235" s="2872"/>
    </row>
    <row r="236" spans="2:16" ht="27">
      <c r="B236" s="355" t="s">
        <v>4006</v>
      </c>
      <c r="C236" s="1912"/>
      <c r="D236" s="2969" t="s">
        <v>5277</v>
      </c>
      <c r="E236" s="2969">
        <v>5</v>
      </c>
      <c r="F236" s="2862" t="s">
        <v>2193</v>
      </c>
      <c r="H236" s="2829" t="s">
        <v>422</v>
      </c>
      <c r="I236" s="2829"/>
      <c r="J236" s="2829"/>
      <c r="K236" s="2829"/>
      <c r="L236" s="3079">
        <v>185937.42</v>
      </c>
      <c r="M236" s="2829"/>
      <c r="O236" s="2829"/>
      <c r="P236" s="2872"/>
    </row>
    <row r="237" spans="2:16" ht="14.25" customHeight="1">
      <c r="C237" s="3073"/>
      <c r="D237" s="3074"/>
      <c r="E237" s="3075"/>
      <c r="F237" s="3076"/>
      <c r="G237" s="3076"/>
      <c r="H237" s="3077"/>
      <c r="I237" s="3077"/>
      <c r="J237" s="3077"/>
      <c r="K237" s="3076"/>
      <c r="L237" s="3074"/>
      <c r="M237" s="3076"/>
    </row>
    <row r="238" spans="2:16" s="302" customFormat="1" ht="14.25" customHeight="1">
      <c r="C238" s="367"/>
      <c r="D238" s="368"/>
      <c r="E238" s="373"/>
      <c r="F238" s="370"/>
      <c r="G238" s="370"/>
      <c r="H238" s="371"/>
      <c r="I238" s="371"/>
      <c r="J238" s="371"/>
      <c r="K238" s="370"/>
      <c r="L238" s="372"/>
      <c r="M238" s="370"/>
      <c r="N238" s="368"/>
    </row>
    <row r="239" spans="2:16" s="302" customFormat="1" ht="14.25" customHeight="1">
      <c r="C239" s="374"/>
      <c r="D239" s="375"/>
      <c r="E239" s="373"/>
      <c r="F239" s="376"/>
      <c r="G239" s="376"/>
      <c r="H239" s="377"/>
      <c r="I239" s="377"/>
      <c r="J239" s="377"/>
      <c r="K239" s="376"/>
      <c r="L239" s="378"/>
      <c r="M239" s="376"/>
      <c r="N239" s="375"/>
    </row>
    <row r="242" spans="12:12" ht="15.75">
      <c r="L242" s="2387">
        <f>SUM(L5:L241)</f>
        <v>4056309.88</v>
      </c>
    </row>
  </sheetData>
  <mergeCells count="14">
    <mergeCell ref="C183:C187"/>
    <mergeCell ref="M182:M183"/>
    <mergeCell ref="C71:C75"/>
    <mergeCell ref="O7:O9"/>
    <mergeCell ref="C2:G2"/>
    <mergeCell ref="H2:J2"/>
    <mergeCell ref="K2:L2"/>
    <mergeCell ref="M2:M3"/>
    <mergeCell ref="N2:N3"/>
    <mergeCell ref="C5:C6"/>
    <mergeCell ref="E5:E6"/>
    <mergeCell ref="F5:F6"/>
    <mergeCell ref="G5:G6"/>
    <mergeCell ref="C36:C39"/>
  </mergeCell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D5849-BA48-4AA4-B254-4ECDD789BA30}">
  <sheetPr>
    <tabColor rgb="FF00B0F0"/>
  </sheetPr>
  <dimension ref="A1:P264"/>
  <sheetViews>
    <sheetView zoomScale="70" zoomScaleNormal="70" workbookViewId="0">
      <pane ySplit="4" topLeftCell="A120" activePane="bottomLeft" state="frozen"/>
      <selection pane="bottomLeft" activeCell="L58" sqref="L58:L145"/>
    </sheetView>
  </sheetViews>
  <sheetFormatPr defaultRowHeight="16.5"/>
  <cols>
    <col min="1" max="2" width="9.140625" style="299"/>
    <col min="3" max="3" width="21.42578125" style="299" customWidth="1"/>
    <col min="4" max="4" width="49.7109375" style="299" bestFit="1" customWidth="1"/>
    <col min="5" max="5" width="26" style="299" customWidth="1"/>
    <col min="6" max="6" width="16.7109375" style="299" customWidth="1"/>
    <col min="7" max="7" width="11.7109375" style="299" customWidth="1"/>
    <col min="8" max="8" width="13.7109375" style="299" customWidth="1"/>
    <col min="9" max="9" width="9.140625" style="299"/>
    <col min="10" max="10" width="12.5703125" style="299" customWidth="1"/>
    <col min="11" max="11" width="18.5703125" style="299" customWidth="1"/>
    <col min="12" max="12" width="15.5703125" style="2256" customWidth="1"/>
    <col min="13" max="13" width="16.28515625" style="299" customWidth="1"/>
    <col min="14" max="14" width="12.85546875" style="299" customWidth="1"/>
    <col min="15" max="16" width="9.140625" style="299"/>
    <col min="17" max="17" width="73.7109375" style="299" bestFit="1" customWidth="1"/>
    <col min="18" max="16384" width="9.140625" style="299"/>
  </cols>
  <sheetData>
    <row r="1" spans="1:15" s="355" customFormat="1" ht="13.5">
      <c r="L1" s="32"/>
    </row>
    <row r="2" spans="1:15" s="355" customFormat="1" ht="13.5">
      <c r="C2" s="2601" t="s">
        <v>30</v>
      </c>
      <c r="D2" s="2602"/>
      <c r="E2" s="2602"/>
      <c r="F2" s="2602"/>
      <c r="G2" s="2603"/>
      <c r="H2" s="2604" t="s">
        <v>29</v>
      </c>
      <c r="I2" s="2605"/>
      <c r="J2" s="2606"/>
      <c r="K2" s="2601" t="s">
        <v>28</v>
      </c>
      <c r="L2" s="2603"/>
      <c r="M2" s="2594" t="s">
        <v>27</v>
      </c>
      <c r="N2" s="2594" t="s">
        <v>26</v>
      </c>
    </row>
    <row r="3" spans="1:15" s="355" customFormat="1" ht="94.5">
      <c r="C3" s="618" t="s">
        <v>25</v>
      </c>
      <c r="D3" s="852" t="s">
        <v>24</v>
      </c>
      <c r="E3" s="991" t="s">
        <v>23</v>
      </c>
      <c r="F3" s="618" t="s">
        <v>22</v>
      </c>
      <c r="G3" s="532" t="s">
        <v>1303</v>
      </c>
      <c r="H3" s="532" t="s">
        <v>20</v>
      </c>
      <c r="I3" s="532" t="s">
        <v>19</v>
      </c>
      <c r="J3" s="532" t="s">
        <v>18</v>
      </c>
      <c r="K3" s="618" t="s">
        <v>17</v>
      </c>
      <c r="L3" s="605" t="s">
        <v>16</v>
      </c>
      <c r="M3" s="2594"/>
      <c r="N3" s="2594"/>
    </row>
    <row r="4" spans="1:15" s="355" customFormat="1" ht="27">
      <c r="C4" s="1076" t="s">
        <v>15</v>
      </c>
      <c r="D4" s="1076" t="s">
        <v>14</v>
      </c>
      <c r="E4" s="1076" t="s">
        <v>13</v>
      </c>
      <c r="F4" s="1076" t="s">
        <v>12</v>
      </c>
      <c r="G4" s="1076" t="s">
        <v>11</v>
      </c>
      <c r="H4" s="1076" t="s">
        <v>10</v>
      </c>
      <c r="I4" s="1076" t="s">
        <v>9</v>
      </c>
      <c r="J4" s="1076" t="s">
        <v>8</v>
      </c>
      <c r="K4" s="1076" t="s">
        <v>7</v>
      </c>
      <c r="L4" s="1077" t="s">
        <v>6</v>
      </c>
      <c r="M4" s="1076" t="s">
        <v>5</v>
      </c>
      <c r="N4" s="1076" t="s">
        <v>4</v>
      </c>
    </row>
    <row r="5" spans="1:15" s="455" customFormat="1" ht="25.5" customHeight="1">
      <c r="A5" s="471"/>
      <c r="B5" s="483" t="s">
        <v>589</v>
      </c>
      <c r="C5" s="2220" t="s">
        <v>1600</v>
      </c>
      <c r="D5" s="2221" t="s">
        <v>2</v>
      </c>
      <c r="E5" s="2220" t="s">
        <v>1601</v>
      </c>
      <c r="F5" s="2222" t="s">
        <v>593</v>
      </c>
      <c r="G5" s="2221" t="s">
        <v>1</v>
      </c>
      <c r="H5" s="2223" t="s">
        <v>675</v>
      </c>
      <c r="I5" s="2223" t="s">
        <v>972</v>
      </c>
      <c r="J5" s="2224" t="s">
        <v>594</v>
      </c>
      <c r="K5" s="2225" t="s">
        <v>1602</v>
      </c>
      <c r="L5" s="2226">
        <v>20000</v>
      </c>
      <c r="M5" s="2227" t="s">
        <v>632</v>
      </c>
      <c r="N5" s="2220"/>
      <c r="O5" s="741"/>
    </row>
    <row r="6" spans="1:15" s="455" customFormat="1" ht="14.25">
      <c r="A6" s="471"/>
      <c r="B6" s="483" t="s">
        <v>589</v>
      </c>
      <c r="C6" s="2220" t="s">
        <v>1603</v>
      </c>
      <c r="D6" s="2228"/>
      <c r="E6" s="2229" t="s">
        <v>1604</v>
      </c>
      <c r="F6" s="2228"/>
      <c r="G6" s="2230"/>
      <c r="H6" s="2231"/>
      <c r="I6" s="2231"/>
      <c r="J6" s="2220"/>
      <c r="K6" s="2232"/>
      <c r="L6" s="2233"/>
      <c r="M6" s="2220"/>
      <c r="N6" s="2228"/>
      <c r="O6" s="741"/>
    </row>
    <row r="7" spans="1:15" s="455" customFormat="1" ht="13.5">
      <c r="A7" s="471"/>
      <c r="B7" s="454"/>
      <c r="C7" s="902"/>
      <c r="D7" s="902"/>
      <c r="E7" s="902"/>
      <c r="F7" s="1380"/>
      <c r="G7" s="636"/>
      <c r="H7" s="1462"/>
      <c r="I7" s="1462"/>
      <c r="J7" s="1462"/>
      <c r="K7" s="1380"/>
      <c r="L7" s="1463"/>
      <c r="M7" s="1172"/>
      <c r="N7" s="460"/>
      <c r="O7" s="1526"/>
    </row>
    <row r="8" spans="1:15" s="455" customFormat="1" ht="13.5">
      <c r="A8" s="471"/>
      <c r="B8" s="454"/>
      <c r="C8" s="902"/>
      <c r="D8" s="902"/>
      <c r="E8" s="902"/>
      <c r="F8" s="1380"/>
      <c r="G8" s="636"/>
      <c r="H8" s="1462"/>
      <c r="I8" s="1462"/>
      <c r="J8" s="1462"/>
      <c r="K8" s="1380"/>
      <c r="L8" s="1463"/>
      <c r="M8" s="1172"/>
      <c r="N8" s="460"/>
      <c r="O8" s="1527"/>
    </row>
    <row r="9" spans="1:15" s="455" customFormat="1" ht="79.5">
      <c r="A9" s="471"/>
      <c r="B9" s="454" t="s">
        <v>1724</v>
      </c>
      <c r="C9" s="410" t="s">
        <v>3885</v>
      </c>
      <c r="D9" s="309" t="s">
        <v>2</v>
      </c>
      <c r="E9" s="852" t="s">
        <v>1730</v>
      </c>
      <c r="F9" s="304" t="s">
        <v>674</v>
      </c>
      <c r="G9" s="306"/>
      <c r="H9" s="307" t="s">
        <v>675</v>
      </c>
      <c r="I9" s="307" t="s">
        <v>653</v>
      </c>
      <c r="J9" s="307" t="s">
        <v>1686</v>
      </c>
      <c r="K9" s="308" t="s">
        <v>748</v>
      </c>
      <c r="L9" s="1617">
        <v>217000</v>
      </c>
      <c r="M9" s="306"/>
      <c r="N9" s="306"/>
    </row>
    <row r="10" spans="1:15" s="455" customFormat="1" ht="13.5">
      <c r="A10" s="471"/>
      <c r="B10" s="454"/>
      <c r="C10" s="410"/>
      <c r="D10" s="309"/>
      <c r="E10" s="852"/>
      <c r="F10" s="304"/>
      <c r="G10" s="306"/>
      <c r="H10" s="307"/>
      <c r="I10" s="307"/>
      <c r="J10" s="307"/>
      <c r="K10" s="308"/>
      <c r="L10" s="1617"/>
      <c r="M10" s="306"/>
      <c r="N10" s="306"/>
    </row>
    <row r="11" spans="1:15" s="455" customFormat="1" ht="27">
      <c r="A11" s="471"/>
      <c r="B11" s="454" t="s">
        <v>2574</v>
      </c>
      <c r="C11" s="2167"/>
      <c r="D11" s="991" t="s">
        <v>2</v>
      </c>
      <c r="E11" s="2168"/>
      <c r="F11" s="2169" t="s">
        <v>422</v>
      </c>
      <c r="G11" s="2170" t="s">
        <v>1</v>
      </c>
      <c r="H11" s="2170">
        <v>46054</v>
      </c>
      <c r="I11" s="2171">
        <v>46082</v>
      </c>
      <c r="J11" s="2171">
        <v>46082</v>
      </c>
      <c r="K11" s="2172" t="s">
        <v>2216</v>
      </c>
      <c r="L11" s="2194"/>
      <c r="M11" s="2174" t="s">
        <v>2446</v>
      </c>
      <c r="N11" s="2234"/>
    </row>
    <row r="12" spans="1:15" s="455" customFormat="1" ht="13.5">
      <c r="A12" s="471"/>
      <c r="B12" s="454" t="s">
        <v>2574</v>
      </c>
      <c r="C12" s="2598" t="s">
        <v>3886</v>
      </c>
      <c r="D12" s="2235" t="s">
        <v>2837</v>
      </c>
      <c r="E12" s="2236">
        <v>10</v>
      </c>
      <c r="F12" s="2237" t="s">
        <v>2838</v>
      </c>
      <c r="G12" s="2177"/>
      <c r="H12" s="2178"/>
      <c r="I12" s="2178"/>
      <c r="J12" s="2178"/>
      <c r="K12" s="2179"/>
      <c r="L12" s="2238">
        <v>10000</v>
      </c>
      <c r="M12" s="460"/>
      <c r="N12" s="2181"/>
      <c r="O12" s="405"/>
    </row>
    <row r="13" spans="1:15" s="455" customFormat="1" ht="13.5">
      <c r="A13" s="471"/>
      <c r="B13" s="454" t="s">
        <v>2574</v>
      </c>
      <c r="C13" s="2599"/>
      <c r="D13" s="2182" t="s">
        <v>2839</v>
      </c>
      <c r="E13" s="2191">
        <v>5</v>
      </c>
      <c r="F13" s="2239" t="s">
        <v>2838</v>
      </c>
      <c r="G13" s="2177"/>
      <c r="H13" s="2178"/>
      <c r="I13" s="2178"/>
      <c r="J13" s="2178"/>
      <c r="K13" s="2179"/>
      <c r="L13" s="2238">
        <v>4500</v>
      </c>
      <c r="M13" s="460"/>
      <c r="N13" s="2181"/>
      <c r="O13" s="405"/>
    </row>
    <row r="14" spans="1:15" s="455" customFormat="1" ht="13.5">
      <c r="A14" s="471"/>
      <c r="B14" s="454" t="s">
        <v>2574</v>
      </c>
      <c r="C14" s="2599"/>
      <c r="D14" s="2182" t="s">
        <v>2840</v>
      </c>
      <c r="E14" s="2176">
        <v>40</v>
      </c>
      <c r="F14" s="2187" t="s">
        <v>2654</v>
      </c>
      <c r="G14" s="2177"/>
      <c r="H14" s="2178"/>
      <c r="I14" s="2178"/>
      <c r="J14" s="2178"/>
      <c r="K14" s="2179"/>
      <c r="L14" s="2240">
        <v>2000</v>
      </c>
      <c r="M14" s="460"/>
      <c r="N14" s="2181"/>
      <c r="O14" s="405"/>
    </row>
    <row r="15" spans="1:15" s="455" customFormat="1" ht="13.5">
      <c r="A15" s="471"/>
      <c r="B15" s="454" t="s">
        <v>2574</v>
      </c>
      <c r="C15" s="2599"/>
      <c r="D15" s="2182" t="s">
        <v>2841</v>
      </c>
      <c r="E15" s="2191">
        <v>50</v>
      </c>
      <c r="F15" s="2187" t="s">
        <v>2842</v>
      </c>
      <c r="G15" s="2177"/>
      <c r="H15" s="2178"/>
      <c r="I15" s="2178"/>
      <c r="J15" s="2178"/>
      <c r="K15" s="2179"/>
      <c r="L15" s="2241">
        <v>10000</v>
      </c>
      <c r="M15" s="460"/>
      <c r="N15" s="2181"/>
      <c r="O15" s="405"/>
    </row>
    <row r="16" spans="1:15" s="455" customFormat="1" ht="13.5">
      <c r="A16" s="471"/>
      <c r="B16" s="454" t="s">
        <v>2574</v>
      </c>
      <c r="C16" s="2599"/>
      <c r="D16" s="2182" t="s">
        <v>2843</v>
      </c>
      <c r="E16" s="2176">
        <v>50</v>
      </c>
      <c r="F16" s="2187" t="s">
        <v>2842</v>
      </c>
      <c r="G16" s="2177"/>
      <c r="H16" s="2178"/>
      <c r="I16" s="2178"/>
      <c r="J16" s="2178"/>
      <c r="K16" s="2179"/>
      <c r="L16" s="2241">
        <v>12500</v>
      </c>
      <c r="M16" s="460"/>
      <c r="N16" s="2181"/>
      <c r="O16" s="405"/>
    </row>
    <row r="17" spans="1:15" s="455" customFormat="1" ht="13.5">
      <c r="A17" s="471"/>
      <c r="B17" s="454" t="s">
        <v>2574</v>
      </c>
      <c r="C17" s="2599"/>
      <c r="D17" s="2182" t="s">
        <v>2844</v>
      </c>
      <c r="E17" s="2191">
        <v>5</v>
      </c>
      <c r="F17" s="2187" t="s">
        <v>2838</v>
      </c>
      <c r="G17" s="2177"/>
      <c r="H17" s="2178"/>
      <c r="I17" s="2178"/>
      <c r="J17" s="2178"/>
      <c r="K17" s="2179"/>
      <c r="L17" s="2241">
        <v>4500</v>
      </c>
      <c r="M17" s="460"/>
      <c r="N17" s="2181"/>
      <c r="O17" s="405"/>
    </row>
    <row r="18" spans="1:15" s="455" customFormat="1" ht="13.5">
      <c r="A18" s="471"/>
      <c r="B18" s="454" t="s">
        <v>2574</v>
      </c>
      <c r="C18" s="2600"/>
      <c r="D18" s="2182" t="s">
        <v>2845</v>
      </c>
      <c r="E18" s="2191">
        <v>10</v>
      </c>
      <c r="F18" s="2187" t="s">
        <v>2838</v>
      </c>
      <c r="G18" s="2177"/>
      <c r="H18" s="2178"/>
      <c r="I18" s="2178"/>
      <c r="J18" s="2178"/>
      <c r="K18" s="2179"/>
      <c r="L18" s="2241">
        <v>5000</v>
      </c>
      <c r="M18" s="460"/>
      <c r="N18" s="2181"/>
      <c r="O18" s="405"/>
    </row>
    <row r="19" spans="1:15" s="455" customFormat="1" ht="13.5">
      <c r="A19" s="471"/>
      <c r="B19" s="454" t="s">
        <v>2574</v>
      </c>
      <c r="C19" s="513"/>
      <c r="D19" s="2182" t="s">
        <v>2846</v>
      </c>
      <c r="E19" s="2242">
        <v>7</v>
      </c>
      <c r="F19" s="2187" t="s">
        <v>2039</v>
      </c>
      <c r="G19" s="2177"/>
      <c r="H19" s="2178"/>
      <c r="I19" s="2178"/>
      <c r="J19" s="2178"/>
      <c r="K19" s="2179"/>
      <c r="L19" s="2241">
        <v>7000</v>
      </c>
      <c r="M19" s="460"/>
      <c r="N19" s="2181"/>
      <c r="O19" s="405"/>
    </row>
    <row r="20" spans="1:15" s="455" customFormat="1" ht="13.5">
      <c r="A20" s="471"/>
      <c r="B20" s="454" t="s">
        <v>2574</v>
      </c>
      <c r="C20" s="513"/>
      <c r="D20" s="2182" t="s">
        <v>2759</v>
      </c>
      <c r="E20" s="2242">
        <v>25</v>
      </c>
      <c r="F20" s="2187" t="s">
        <v>795</v>
      </c>
      <c r="G20" s="2177"/>
      <c r="H20" s="2178"/>
      <c r="I20" s="2178"/>
      <c r="J20" s="2178"/>
      <c r="K20" s="2179"/>
      <c r="L20" s="2243">
        <v>7500</v>
      </c>
      <c r="M20" s="460"/>
      <c r="N20" s="2181"/>
      <c r="O20" s="405"/>
    </row>
    <row r="21" spans="1:15" s="455" customFormat="1" ht="13.5">
      <c r="A21" s="471"/>
      <c r="B21" s="454" t="s">
        <v>2574</v>
      </c>
      <c r="C21" s="323" t="s">
        <v>735</v>
      </c>
      <c r="D21" s="2182" t="s">
        <v>2847</v>
      </c>
      <c r="E21" s="2176">
        <v>50</v>
      </c>
      <c r="F21" s="2187" t="s">
        <v>761</v>
      </c>
      <c r="G21" s="2177"/>
      <c r="H21" s="2178"/>
      <c r="I21" s="2178"/>
      <c r="J21" s="2178"/>
      <c r="K21" s="2179"/>
      <c r="L21" s="2243">
        <v>5000</v>
      </c>
      <c r="M21" s="460"/>
      <c r="N21" s="2181"/>
      <c r="O21" s="405"/>
    </row>
    <row r="22" spans="1:15" s="455" customFormat="1" ht="13.5">
      <c r="A22" s="471"/>
      <c r="B22" s="454" t="s">
        <v>2574</v>
      </c>
      <c r="C22" s="513"/>
      <c r="D22" s="2182" t="s">
        <v>2848</v>
      </c>
      <c r="E22" s="2176">
        <v>10</v>
      </c>
      <c r="F22" s="2187" t="s">
        <v>761</v>
      </c>
      <c r="G22" s="2177"/>
      <c r="H22" s="2178"/>
      <c r="I22" s="2178"/>
      <c r="J22" s="2178"/>
      <c r="K22" s="2179"/>
      <c r="L22" s="2243">
        <v>2000</v>
      </c>
      <c r="M22" s="460"/>
      <c r="N22" s="2181"/>
      <c r="O22" s="405"/>
    </row>
    <row r="23" spans="1:15" s="455" customFormat="1" ht="13.5">
      <c r="A23" s="471"/>
      <c r="B23" s="454" t="s">
        <v>2574</v>
      </c>
      <c r="C23" s="513"/>
      <c r="D23" s="2182" t="s">
        <v>2849</v>
      </c>
      <c r="E23" s="2176"/>
      <c r="F23" s="2187"/>
      <c r="G23" s="2177"/>
      <c r="H23" s="2178"/>
      <c r="I23" s="2178"/>
      <c r="J23" s="2178"/>
      <c r="K23" s="2179"/>
      <c r="L23" s="2243">
        <v>30000</v>
      </c>
      <c r="M23" s="460"/>
      <c r="N23" s="2181"/>
      <c r="O23" s="405"/>
    </row>
    <row r="24" spans="1:15" s="455" customFormat="1" ht="13.5">
      <c r="A24" s="471"/>
      <c r="B24" s="454"/>
      <c r="C24" s="410"/>
      <c r="D24" s="309"/>
      <c r="E24" s="852"/>
      <c r="F24" s="304"/>
      <c r="G24" s="306"/>
      <c r="H24" s="307"/>
      <c r="I24" s="307"/>
      <c r="J24" s="307"/>
      <c r="K24" s="308"/>
      <c r="L24" s="1617"/>
      <c r="M24" s="306"/>
      <c r="N24" s="306"/>
    </row>
    <row r="25" spans="1:15" s="455" customFormat="1" ht="27">
      <c r="A25" s="471"/>
      <c r="B25" s="454" t="s">
        <v>2574</v>
      </c>
      <c r="C25" s="2167"/>
      <c r="D25" s="991" t="s">
        <v>2</v>
      </c>
      <c r="E25" s="2168"/>
      <c r="F25" s="2169" t="s">
        <v>422</v>
      </c>
      <c r="G25" s="2170" t="s">
        <v>1</v>
      </c>
      <c r="H25" s="2170">
        <v>46113</v>
      </c>
      <c r="I25" s="2171">
        <v>46143</v>
      </c>
      <c r="J25" s="2171">
        <v>46143</v>
      </c>
      <c r="K25" s="2172" t="s">
        <v>2216</v>
      </c>
      <c r="L25" s="2194"/>
      <c r="M25" s="2174" t="s">
        <v>2446</v>
      </c>
      <c r="N25" s="2234"/>
    </row>
    <row r="26" spans="1:15" s="455" customFormat="1" ht="13.5">
      <c r="A26" s="471"/>
      <c r="B26" s="454" t="s">
        <v>2574</v>
      </c>
      <c r="C26" s="2598" t="s">
        <v>3886</v>
      </c>
      <c r="D26" s="2235" t="s">
        <v>2837</v>
      </c>
      <c r="E26" s="2236">
        <v>5</v>
      </c>
      <c r="F26" s="2237" t="s">
        <v>2838</v>
      </c>
      <c r="G26" s="2177"/>
      <c r="H26" s="2178"/>
      <c r="I26" s="2178"/>
      <c r="J26" s="2178"/>
      <c r="K26" s="2179"/>
      <c r="L26" s="2238">
        <v>5000</v>
      </c>
      <c r="N26" s="2181"/>
      <c r="O26" s="405"/>
    </row>
    <row r="27" spans="1:15" s="455" customFormat="1" ht="13.5">
      <c r="A27" s="471"/>
      <c r="B27" s="454" t="s">
        <v>2574</v>
      </c>
      <c r="C27" s="2599"/>
      <c r="D27" s="2182" t="s">
        <v>2839</v>
      </c>
      <c r="E27" s="2191">
        <v>10</v>
      </c>
      <c r="F27" s="2239" t="s">
        <v>2838</v>
      </c>
      <c r="G27" s="2177"/>
      <c r="H27" s="2178"/>
      <c r="I27" s="2178"/>
      <c r="J27" s="2178"/>
      <c r="K27" s="2179"/>
      <c r="L27" s="2238">
        <v>9000</v>
      </c>
      <c r="N27" s="2181"/>
      <c r="O27" s="405"/>
    </row>
    <row r="28" spans="1:15" s="455" customFormat="1" ht="13.5">
      <c r="A28" s="471"/>
      <c r="B28" s="454" t="s">
        <v>2574</v>
      </c>
      <c r="C28" s="2599"/>
      <c r="D28" s="2182" t="s">
        <v>2840</v>
      </c>
      <c r="E28" s="2176">
        <v>60</v>
      </c>
      <c r="F28" s="2187" t="s">
        <v>2654</v>
      </c>
      <c r="G28" s="2177"/>
      <c r="H28" s="2178"/>
      <c r="I28" s="2178"/>
      <c r="J28" s="2178"/>
      <c r="K28" s="2179"/>
      <c r="L28" s="2184">
        <v>3000</v>
      </c>
      <c r="N28" s="2181"/>
      <c r="O28" s="405"/>
    </row>
    <row r="29" spans="1:15" s="455" customFormat="1" ht="13.5">
      <c r="A29" s="471"/>
      <c r="B29" s="454" t="s">
        <v>2574</v>
      </c>
      <c r="C29" s="2599"/>
      <c r="D29" s="2182" t="s">
        <v>2841</v>
      </c>
      <c r="E29" s="2191">
        <v>50</v>
      </c>
      <c r="F29" s="2187" t="s">
        <v>2842</v>
      </c>
      <c r="G29" s="2177"/>
      <c r="H29" s="2178"/>
      <c r="I29" s="2178"/>
      <c r="J29" s="2178"/>
      <c r="K29" s="2179"/>
      <c r="L29" s="2180">
        <v>10000</v>
      </c>
      <c r="N29" s="2181"/>
      <c r="O29" s="405"/>
    </row>
    <row r="30" spans="1:15" s="455" customFormat="1" ht="13.5">
      <c r="A30" s="471"/>
      <c r="B30" s="454" t="s">
        <v>2574</v>
      </c>
      <c r="C30" s="2599"/>
      <c r="D30" s="2182" t="s">
        <v>2843</v>
      </c>
      <c r="E30" s="2176">
        <v>46</v>
      </c>
      <c r="F30" s="2187" t="s">
        <v>2842</v>
      </c>
      <c r="G30" s="2177"/>
      <c r="H30" s="2178"/>
      <c r="I30" s="2178"/>
      <c r="J30" s="2178"/>
      <c r="K30" s="2179"/>
      <c r="L30" s="2180">
        <v>11500</v>
      </c>
      <c r="N30" s="2181"/>
      <c r="O30" s="405"/>
    </row>
    <row r="31" spans="1:15" s="455" customFormat="1" ht="13.5">
      <c r="A31" s="471"/>
      <c r="B31" s="454" t="s">
        <v>2574</v>
      </c>
      <c r="C31" s="2599"/>
      <c r="D31" s="2182" t="s">
        <v>2850</v>
      </c>
      <c r="E31" s="2191">
        <v>10</v>
      </c>
      <c r="F31" s="2187" t="s">
        <v>2838</v>
      </c>
      <c r="G31" s="2177"/>
      <c r="H31" s="2178"/>
      <c r="I31" s="2178"/>
      <c r="J31" s="2178"/>
      <c r="K31" s="2179"/>
      <c r="L31" s="2180">
        <v>9000</v>
      </c>
      <c r="N31" s="2181"/>
      <c r="O31" s="405"/>
    </row>
    <row r="32" spans="1:15" s="455" customFormat="1" ht="13.5">
      <c r="A32" s="471"/>
      <c r="B32" s="454" t="s">
        <v>2574</v>
      </c>
      <c r="C32" s="2600"/>
      <c r="D32" s="2182" t="s">
        <v>2844</v>
      </c>
      <c r="E32" s="2191">
        <v>5</v>
      </c>
      <c r="F32" s="2187" t="s">
        <v>2838</v>
      </c>
      <c r="G32" s="2177"/>
      <c r="H32" s="2178"/>
      <c r="I32" s="2178"/>
      <c r="J32" s="2178"/>
      <c r="K32" s="2179"/>
      <c r="L32" s="2180">
        <v>4500</v>
      </c>
      <c r="N32" s="2181"/>
      <c r="O32" s="405"/>
    </row>
    <row r="33" spans="1:15" s="455" customFormat="1" ht="13.5">
      <c r="A33" s="471"/>
      <c r="B33" s="454" t="s">
        <v>2574</v>
      </c>
      <c r="C33" s="513"/>
      <c r="D33" s="2182" t="s">
        <v>2845</v>
      </c>
      <c r="E33" s="2191">
        <v>10</v>
      </c>
      <c r="F33" s="2187" t="s">
        <v>2838</v>
      </c>
      <c r="G33" s="2177"/>
      <c r="H33" s="2178"/>
      <c r="I33" s="2178"/>
      <c r="J33" s="2178"/>
      <c r="K33" s="2179"/>
      <c r="L33" s="2180">
        <v>5000</v>
      </c>
      <c r="N33" s="2181"/>
      <c r="O33" s="405"/>
    </row>
    <row r="34" spans="1:15" s="455" customFormat="1" ht="13.5">
      <c r="A34" s="471"/>
      <c r="B34" s="454" t="s">
        <v>2574</v>
      </c>
      <c r="C34" s="513" t="s">
        <v>704</v>
      </c>
      <c r="D34" s="2182" t="s">
        <v>2846</v>
      </c>
      <c r="E34" s="2242">
        <v>3</v>
      </c>
      <c r="F34" s="2187" t="s">
        <v>2039</v>
      </c>
      <c r="G34" s="2177"/>
      <c r="H34" s="2178"/>
      <c r="I34" s="2178"/>
      <c r="J34" s="2178"/>
      <c r="K34" s="2179"/>
      <c r="L34" s="2180">
        <v>3000</v>
      </c>
      <c r="N34" s="2181"/>
      <c r="O34" s="405"/>
    </row>
    <row r="35" spans="1:15" s="455" customFormat="1" ht="13.5">
      <c r="A35" s="471"/>
      <c r="B35" s="454" t="s">
        <v>2574</v>
      </c>
      <c r="C35" s="513"/>
      <c r="D35" s="2182" t="s">
        <v>2759</v>
      </c>
      <c r="E35" s="2242">
        <v>10</v>
      </c>
      <c r="F35" s="2187" t="s">
        <v>795</v>
      </c>
      <c r="G35" s="2177"/>
      <c r="H35" s="2178"/>
      <c r="I35" s="2178"/>
      <c r="J35" s="2178"/>
      <c r="K35" s="2179"/>
      <c r="L35" s="2189">
        <v>3000</v>
      </c>
      <c r="N35" s="2181"/>
      <c r="O35" s="405"/>
    </row>
    <row r="36" spans="1:15" s="455" customFormat="1" ht="13.5">
      <c r="A36" s="471"/>
      <c r="B36" s="454" t="s">
        <v>2574</v>
      </c>
      <c r="C36" s="513"/>
      <c r="D36" s="2182" t="s">
        <v>2851</v>
      </c>
      <c r="E36" s="2244">
        <v>20</v>
      </c>
      <c r="F36" s="2187" t="s">
        <v>1670</v>
      </c>
      <c r="G36" s="2177"/>
      <c r="H36" s="2178"/>
      <c r="I36" s="2178"/>
      <c r="J36" s="2178"/>
      <c r="K36" s="2179"/>
      <c r="L36" s="2189">
        <v>2000</v>
      </c>
      <c r="N36" s="2181"/>
      <c r="O36" s="405"/>
    </row>
    <row r="37" spans="1:15" s="455" customFormat="1" ht="13.5">
      <c r="A37" s="471"/>
      <c r="B37" s="454" t="s">
        <v>2574</v>
      </c>
      <c r="C37" s="513"/>
      <c r="D37" s="2182" t="s">
        <v>2852</v>
      </c>
      <c r="E37" s="2176">
        <v>10</v>
      </c>
      <c r="F37" s="2187" t="s">
        <v>2853</v>
      </c>
      <c r="G37" s="2177"/>
      <c r="H37" s="2178"/>
      <c r="I37" s="2178"/>
      <c r="J37" s="2178"/>
      <c r="K37" s="2179"/>
      <c r="L37" s="2189">
        <v>12000</v>
      </c>
      <c r="N37" s="2181"/>
      <c r="O37" s="405"/>
    </row>
    <row r="38" spans="1:15" s="455" customFormat="1" ht="13.5">
      <c r="A38" s="471"/>
      <c r="B38" s="454" t="s">
        <v>2574</v>
      </c>
      <c r="C38" s="513"/>
      <c r="D38" s="2182" t="s">
        <v>2848</v>
      </c>
      <c r="E38" s="2176">
        <v>15</v>
      </c>
      <c r="F38" s="2187" t="s">
        <v>761</v>
      </c>
      <c r="G38" s="2177"/>
      <c r="H38" s="2178"/>
      <c r="I38" s="2178"/>
      <c r="J38" s="2178"/>
      <c r="K38" s="2179"/>
      <c r="L38" s="2189">
        <v>3000</v>
      </c>
      <c r="N38" s="2181"/>
      <c r="O38" s="405"/>
    </row>
    <row r="39" spans="1:15" s="455" customFormat="1" ht="13.5">
      <c r="A39" s="471"/>
      <c r="B39" s="454" t="s">
        <v>2574</v>
      </c>
      <c r="C39" s="513"/>
      <c r="D39" s="2182" t="s">
        <v>2849</v>
      </c>
      <c r="E39" s="2176"/>
      <c r="F39" s="2187"/>
      <c r="G39" s="2177"/>
      <c r="H39" s="2178"/>
      <c r="I39" s="2178"/>
      <c r="J39" s="2178"/>
      <c r="K39" s="2179"/>
      <c r="L39" s="2189">
        <v>20000</v>
      </c>
      <c r="N39" s="2181"/>
      <c r="O39" s="405"/>
    </row>
    <row r="40" spans="1:15" s="455" customFormat="1" ht="13.5">
      <c r="A40" s="471"/>
      <c r="B40" s="454"/>
      <c r="C40" s="410"/>
      <c r="D40" s="309"/>
      <c r="E40" s="852"/>
      <c r="F40" s="304"/>
      <c r="G40" s="306"/>
      <c r="H40" s="307"/>
      <c r="I40" s="307"/>
      <c r="J40" s="307"/>
      <c r="K40" s="308"/>
      <c r="L40" s="306"/>
      <c r="N40" s="306"/>
    </row>
    <row r="41" spans="1:15" s="455" customFormat="1" ht="40.5">
      <c r="A41" s="471"/>
      <c r="B41" s="454" t="s">
        <v>2929</v>
      </c>
      <c r="C41" s="2196" t="s">
        <v>2950</v>
      </c>
      <c r="D41" s="2168" t="s">
        <v>637</v>
      </c>
      <c r="E41" s="2197"/>
      <c r="F41" s="533" t="s">
        <v>609</v>
      </c>
      <c r="G41" s="533" t="s">
        <v>1</v>
      </c>
      <c r="H41" s="677"/>
      <c r="I41" s="677"/>
      <c r="J41" s="677"/>
      <c r="K41" s="532" t="s">
        <v>748</v>
      </c>
      <c r="L41" s="2198"/>
      <c r="M41" s="677" t="s">
        <v>2924</v>
      </c>
      <c r="N41" s="532" t="s">
        <v>703</v>
      </c>
    </row>
    <row r="42" spans="1:15" s="455" customFormat="1">
      <c r="A42" s="471"/>
      <c r="B42" s="454" t="s">
        <v>2929</v>
      </c>
      <c r="C42" s="2245"/>
      <c r="D42" s="342" t="s">
        <v>2951</v>
      </c>
      <c r="E42" s="2246" t="s">
        <v>2942</v>
      </c>
      <c r="F42" s="2200"/>
      <c r="G42" s="2200"/>
      <c r="H42" s="2177" t="s">
        <v>2213</v>
      </c>
      <c r="I42" s="2201">
        <v>46174</v>
      </c>
      <c r="J42" s="2202" t="s">
        <v>2215</v>
      </c>
      <c r="K42" s="2203"/>
      <c r="L42" s="2204">
        <v>2900</v>
      </c>
      <c r="M42" s="2205"/>
      <c r="N42" s="2206"/>
    </row>
    <row r="43" spans="1:15" s="455" customFormat="1">
      <c r="A43" s="471"/>
      <c r="B43" s="454" t="s">
        <v>2929</v>
      </c>
      <c r="C43" s="2245"/>
      <c r="D43" s="342" t="s">
        <v>2952</v>
      </c>
      <c r="E43" s="2246" t="s">
        <v>2942</v>
      </c>
      <c r="F43" s="2200"/>
      <c r="G43" s="2200"/>
      <c r="H43" s="2177"/>
      <c r="I43" s="2177"/>
      <c r="J43" s="852" t="s">
        <v>2927</v>
      </c>
      <c r="K43" s="2203"/>
      <c r="L43" s="2204">
        <v>5000</v>
      </c>
      <c r="M43" s="2205"/>
      <c r="N43" s="2206"/>
    </row>
    <row r="44" spans="1:15" s="455" customFormat="1">
      <c r="A44" s="471"/>
      <c r="B44" s="454" t="s">
        <v>2929</v>
      </c>
      <c r="C44" s="2245"/>
      <c r="D44" s="342" t="s">
        <v>2953</v>
      </c>
      <c r="E44" s="2246" t="s">
        <v>2942</v>
      </c>
      <c r="F44" s="2200"/>
      <c r="G44" s="2200"/>
      <c r="H44" s="852"/>
      <c r="I44" s="852"/>
      <c r="J44" s="852"/>
      <c r="K44" s="2203"/>
      <c r="L44" s="2204">
        <v>15000</v>
      </c>
      <c r="M44" s="2205"/>
      <c r="N44" s="2206"/>
    </row>
    <row r="45" spans="1:15" s="455" customFormat="1">
      <c r="A45" s="471"/>
      <c r="B45" s="454" t="s">
        <v>2929</v>
      </c>
      <c r="C45" s="2245"/>
      <c r="D45" s="342" t="s">
        <v>2954</v>
      </c>
      <c r="E45" s="2246" t="s">
        <v>2942</v>
      </c>
      <c r="F45" s="2200"/>
      <c r="G45" s="2200"/>
      <c r="H45" s="852"/>
      <c r="I45" s="852"/>
      <c r="J45" s="852"/>
      <c r="K45" s="2203"/>
      <c r="L45" s="2204">
        <v>7000</v>
      </c>
      <c r="M45" s="2205"/>
      <c r="N45" s="2206"/>
    </row>
    <row r="46" spans="1:15" s="455" customFormat="1">
      <c r="A46" s="471"/>
      <c r="B46" s="454" t="s">
        <v>2929</v>
      </c>
      <c r="C46" s="2245"/>
      <c r="D46" s="342" t="s">
        <v>2955</v>
      </c>
      <c r="E46" s="2246" t="s">
        <v>2942</v>
      </c>
      <c r="F46" s="2200"/>
      <c r="G46" s="2200"/>
      <c r="H46" s="852"/>
      <c r="I46" s="852"/>
      <c r="J46" s="852"/>
      <c r="K46" s="2203"/>
      <c r="L46" s="2204">
        <v>17500</v>
      </c>
      <c r="M46" s="2205"/>
      <c r="N46" s="2206"/>
    </row>
    <row r="47" spans="1:15" s="455" customFormat="1">
      <c r="A47" s="471"/>
      <c r="B47" s="454" t="s">
        <v>2929</v>
      </c>
      <c r="C47" s="2245"/>
      <c r="D47" s="342" t="s">
        <v>2956</v>
      </c>
      <c r="E47" s="2246" t="s">
        <v>2942</v>
      </c>
      <c r="F47" s="2200"/>
      <c r="G47" s="2200"/>
      <c r="H47" s="852"/>
      <c r="I47" s="852"/>
      <c r="J47" s="852"/>
      <c r="K47" s="2203"/>
      <c r="L47" s="2204">
        <v>13000</v>
      </c>
      <c r="M47" s="2205"/>
      <c r="N47" s="2206"/>
    </row>
    <row r="48" spans="1:15" s="455" customFormat="1">
      <c r="A48" s="471"/>
      <c r="B48" s="454" t="s">
        <v>2929</v>
      </c>
      <c r="C48" s="2245"/>
      <c r="D48" s="342" t="s">
        <v>2957</v>
      </c>
      <c r="E48" s="2246" t="s">
        <v>2942</v>
      </c>
      <c r="F48" s="2200"/>
      <c r="G48" s="2200"/>
      <c r="H48" s="852"/>
      <c r="I48" s="852"/>
      <c r="J48" s="2247"/>
      <c r="K48" s="2248"/>
      <c r="L48" s="2204">
        <v>9600</v>
      </c>
      <c r="M48" s="2205"/>
      <c r="N48" s="2206"/>
    </row>
    <row r="49" spans="1:16" s="455" customFormat="1" ht="13.5">
      <c r="A49" s="471"/>
      <c r="B49" s="454"/>
      <c r="C49" s="410"/>
      <c r="D49" s="309"/>
      <c r="E49" s="852"/>
      <c r="F49" s="304"/>
      <c r="G49" s="306"/>
      <c r="H49" s="307"/>
      <c r="I49" s="307"/>
      <c r="J49" s="307"/>
      <c r="K49" s="308"/>
      <c r="L49" s="2249"/>
      <c r="N49" s="306"/>
    </row>
    <row r="50" spans="1:16" s="455" customFormat="1" ht="13.5">
      <c r="A50" s="471"/>
      <c r="B50" s="454"/>
      <c r="C50" s="410"/>
      <c r="D50" s="309"/>
      <c r="E50" s="852"/>
      <c r="F50" s="304"/>
      <c r="G50" s="306"/>
      <c r="H50" s="307"/>
      <c r="I50" s="307"/>
      <c r="J50" s="307"/>
      <c r="K50" s="308"/>
      <c r="L50" s="306"/>
      <c r="N50" s="306"/>
    </row>
    <row r="51" spans="1:16" s="455" customFormat="1" ht="13.5">
      <c r="A51" s="471"/>
      <c r="B51" s="454"/>
      <c r="C51" s="410"/>
      <c r="D51" s="309"/>
      <c r="E51" s="852"/>
      <c r="F51" s="304"/>
      <c r="G51" s="306"/>
      <c r="H51" s="307"/>
      <c r="I51" s="307"/>
      <c r="J51" s="307"/>
      <c r="K51" s="308"/>
      <c r="L51" s="306"/>
      <c r="N51" s="306"/>
    </row>
    <row r="52" spans="1:16" s="455" customFormat="1" ht="27">
      <c r="A52" s="471"/>
      <c r="B52" s="454" t="s">
        <v>3584</v>
      </c>
      <c r="C52" s="410"/>
      <c r="D52" s="309" t="s">
        <v>3887</v>
      </c>
      <c r="E52" s="852" t="s">
        <v>3761</v>
      </c>
      <c r="F52" s="2250" t="s">
        <v>1104</v>
      </c>
      <c r="G52" s="2177" t="s">
        <v>828</v>
      </c>
      <c r="H52" s="2251" t="s">
        <v>3879</v>
      </c>
      <c r="I52" s="2251" t="s">
        <v>3588</v>
      </c>
      <c r="J52" s="2251" t="s">
        <v>3881</v>
      </c>
      <c r="K52" s="2179" t="s">
        <v>3589</v>
      </c>
      <c r="L52" s="2252">
        <v>30000</v>
      </c>
      <c r="M52" s="2253" t="s">
        <v>99</v>
      </c>
      <c r="N52" s="306"/>
    </row>
    <row r="53" spans="1:16" s="455" customFormat="1" ht="27">
      <c r="A53" s="471"/>
      <c r="B53" s="454" t="s">
        <v>3584</v>
      </c>
      <c r="C53" s="410"/>
      <c r="D53" s="309" t="s">
        <v>3888</v>
      </c>
      <c r="E53" s="852" t="s">
        <v>3889</v>
      </c>
      <c r="F53" s="2250" t="s">
        <v>1104</v>
      </c>
      <c r="G53" s="2177" t="s">
        <v>828</v>
      </c>
      <c r="H53" s="2251" t="s">
        <v>3879</v>
      </c>
      <c r="I53" s="2251" t="s">
        <v>3588</v>
      </c>
      <c r="J53" s="2251" t="s">
        <v>3881</v>
      </c>
      <c r="K53" s="2179" t="s">
        <v>3589</v>
      </c>
      <c r="L53" s="2252">
        <v>8000</v>
      </c>
      <c r="M53" s="2253" t="s">
        <v>99</v>
      </c>
      <c r="N53" s="306"/>
    </row>
    <row r="54" spans="1:16" s="455" customFormat="1" ht="13.5">
      <c r="A54" s="471"/>
      <c r="B54" s="454"/>
      <c r="C54" s="410"/>
      <c r="D54" s="309"/>
      <c r="E54" s="852"/>
      <c r="F54" s="304"/>
      <c r="G54" s="306"/>
      <c r="H54" s="307"/>
      <c r="I54" s="307"/>
      <c r="J54" s="307"/>
      <c r="K54" s="308"/>
      <c r="L54" s="306"/>
      <c r="N54" s="306"/>
    </row>
    <row r="55" spans="1:16" s="455" customFormat="1" ht="14.25" thickBot="1">
      <c r="A55" s="471"/>
      <c r="B55" s="454"/>
      <c r="C55" s="410"/>
      <c r="D55" s="309"/>
      <c r="E55" s="852"/>
      <c r="F55" s="304"/>
      <c r="G55" s="306"/>
      <c r="H55" s="307"/>
      <c r="I55" s="307"/>
      <c r="J55" s="307"/>
      <c r="K55" s="308"/>
      <c r="L55" s="306"/>
      <c r="N55" s="306"/>
    </row>
    <row r="56" spans="1:16" s="455" customFormat="1" ht="14.25" thickBot="1">
      <c r="A56" s="471"/>
      <c r="B56" s="454"/>
      <c r="C56" s="410"/>
      <c r="D56" s="2827" t="s">
        <v>5310</v>
      </c>
      <c r="E56" s="852"/>
      <c r="F56" s="2808" t="s">
        <v>422</v>
      </c>
      <c r="G56" s="2808" t="s">
        <v>828</v>
      </c>
      <c r="H56" s="2907">
        <v>46023</v>
      </c>
      <c r="I56" s="2808" t="s">
        <v>4414</v>
      </c>
      <c r="J56" s="2808" t="s">
        <v>5313</v>
      </c>
      <c r="K56" s="2809" t="s">
        <v>4404</v>
      </c>
      <c r="L56" s="306"/>
      <c r="N56" s="306"/>
    </row>
    <row r="57" spans="1:16" s="455" customFormat="1" ht="15.75" thickBot="1">
      <c r="A57" s="471"/>
      <c r="B57" s="454" t="s">
        <v>4006</v>
      </c>
      <c r="C57" s="2849" t="s">
        <v>5309</v>
      </c>
      <c r="D57" s="3125" t="s">
        <v>5311</v>
      </c>
      <c r="E57" s="2903"/>
      <c r="F57" s="2808"/>
      <c r="G57" s="2808"/>
      <c r="H57" s="2907"/>
      <c r="I57" s="2808"/>
      <c r="J57" s="2808"/>
      <c r="K57" s="2809" t="s">
        <v>4405</v>
      </c>
      <c r="L57" s="2806"/>
      <c r="M57" s="2806"/>
      <c r="N57" s="2903"/>
      <c r="O57" s="3126"/>
      <c r="P57" s="2807"/>
    </row>
    <row r="58" spans="1:16" s="455" customFormat="1" ht="24" customHeight="1">
      <c r="A58" s="471"/>
      <c r="B58" s="454" t="s">
        <v>4006</v>
      </c>
      <c r="C58" s="2850"/>
      <c r="D58" s="3134" t="s">
        <v>5312</v>
      </c>
      <c r="E58" s="2905">
        <v>1</v>
      </c>
      <c r="F58" s="2905" t="s">
        <v>1747</v>
      </c>
      <c r="L58" s="3011">
        <v>2500</v>
      </c>
      <c r="M58" s="2808" t="s">
        <v>4604</v>
      </c>
      <c r="P58" s="2812"/>
    </row>
    <row r="59" spans="1:16" s="455" customFormat="1" ht="14.25" thickBot="1">
      <c r="A59" s="471"/>
      <c r="B59" s="454" t="s">
        <v>4006</v>
      </c>
      <c r="C59" s="2850"/>
      <c r="D59" s="3135"/>
      <c r="E59" s="2906"/>
      <c r="F59" s="2906"/>
      <c r="L59" s="3012"/>
      <c r="M59" s="2808"/>
      <c r="P59" s="2812"/>
    </row>
    <row r="60" spans="1:16" s="455" customFormat="1" ht="15.75" thickBot="1">
      <c r="A60" s="471"/>
      <c r="B60" s="454" t="s">
        <v>4006</v>
      </c>
      <c r="C60" s="2850"/>
      <c r="D60" s="3069" t="s">
        <v>5314</v>
      </c>
      <c r="E60" s="2851">
        <v>1</v>
      </c>
      <c r="F60" s="2851" t="s">
        <v>1057</v>
      </c>
      <c r="H60" s="2809" t="s">
        <v>2757</v>
      </c>
      <c r="I60" s="2846"/>
      <c r="J60" s="2846"/>
      <c r="K60" s="2846"/>
      <c r="L60" s="3136">
        <v>104</v>
      </c>
      <c r="M60" s="2808"/>
      <c r="P60" s="2810"/>
    </row>
    <row r="61" spans="1:16" s="455" customFormat="1" ht="15.75" thickBot="1">
      <c r="A61" s="471"/>
      <c r="B61" s="454" t="s">
        <v>4006</v>
      </c>
      <c r="C61" s="2850"/>
      <c r="D61" s="2901" t="s">
        <v>5316</v>
      </c>
      <c r="E61" s="2851">
        <v>1</v>
      </c>
      <c r="F61" s="2851" t="s">
        <v>5315</v>
      </c>
      <c r="H61" s="2809" t="s">
        <v>2757</v>
      </c>
      <c r="I61" s="2846"/>
      <c r="J61" s="2846"/>
      <c r="K61" s="2846"/>
      <c r="L61" s="3136">
        <v>350</v>
      </c>
      <c r="M61" s="2846"/>
      <c r="O61" s="2809"/>
      <c r="P61" s="2810"/>
    </row>
    <row r="62" spans="1:16" s="455" customFormat="1" ht="15.75" thickBot="1">
      <c r="A62" s="471"/>
      <c r="B62" s="454" t="s">
        <v>4006</v>
      </c>
      <c r="C62" s="2850"/>
      <c r="D62" s="2900" t="s">
        <v>5317</v>
      </c>
      <c r="E62" s="2851">
        <v>1</v>
      </c>
      <c r="F62" s="2851" t="s">
        <v>5315</v>
      </c>
      <c r="H62" s="2809" t="s">
        <v>2757</v>
      </c>
      <c r="I62" s="2846"/>
      <c r="J62" s="2846"/>
      <c r="K62" s="2846"/>
      <c r="L62" s="3136">
        <v>9500</v>
      </c>
      <c r="M62" s="2846"/>
      <c r="O62" s="2809"/>
      <c r="P62" s="2810"/>
    </row>
    <row r="63" spans="1:16" s="455" customFormat="1" ht="15.75" thickBot="1">
      <c r="A63" s="471"/>
      <c r="B63" s="454" t="s">
        <v>4006</v>
      </c>
      <c r="C63" s="2850"/>
      <c r="D63" s="2901" t="s">
        <v>5318</v>
      </c>
      <c r="E63" s="2851">
        <v>20</v>
      </c>
      <c r="F63" s="2851" t="s">
        <v>2876</v>
      </c>
      <c r="H63" s="2809" t="s">
        <v>2757</v>
      </c>
      <c r="I63" s="2846"/>
      <c r="J63" s="2846"/>
      <c r="K63" s="2846"/>
      <c r="L63" s="3136">
        <v>560</v>
      </c>
      <c r="M63" s="2846"/>
      <c r="O63" s="2809"/>
      <c r="P63" s="2810"/>
    </row>
    <row r="64" spans="1:16" s="455" customFormat="1" ht="15.75" thickBot="1">
      <c r="A64" s="471"/>
      <c r="B64" s="454" t="s">
        <v>4006</v>
      </c>
      <c r="C64" s="2811"/>
      <c r="D64" s="3019" t="s">
        <v>5319</v>
      </c>
      <c r="E64" s="2851"/>
      <c r="F64" s="2851"/>
      <c r="H64" s="2809" t="s">
        <v>2757</v>
      </c>
      <c r="I64" s="2846"/>
      <c r="J64" s="2846"/>
      <c r="K64" s="2846"/>
      <c r="L64" s="3137"/>
      <c r="M64" s="2846"/>
      <c r="O64" s="2813"/>
      <c r="P64" s="2810"/>
    </row>
    <row r="65" spans="1:16" s="455" customFormat="1" ht="15.75" thickBot="1">
      <c r="A65" s="471"/>
      <c r="B65" s="454" t="s">
        <v>4006</v>
      </c>
      <c r="C65" s="2811"/>
      <c r="D65" s="2900" t="s">
        <v>5321</v>
      </c>
      <c r="E65" s="2851">
        <v>321.39999999999998</v>
      </c>
      <c r="F65" s="2851" t="s">
        <v>5320</v>
      </c>
      <c r="H65" s="2809" t="s">
        <v>2757</v>
      </c>
      <c r="I65" s="2846"/>
      <c r="J65" s="2846"/>
      <c r="K65" s="2846"/>
      <c r="L65" s="3136">
        <v>385110</v>
      </c>
      <c r="M65" s="2846"/>
      <c r="O65" s="2809"/>
      <c r="P65" s="2810"/>
    </row>
    <row r="66" spans="1:16" s="455" customFormat="1" ht="15.75" thickBot="1">
      <c r="A66" s="471"/>
      <c r="B66" s="454" t="s">
        <v>4006</v>
      </c>
      <c r="C66" s="2811"/>
      <c r="D66" s="3069" t="s">
        <v>5322</v>
      </c>
      <c r="E66" s="2851">
        <v>12</v>
      </c>
      <c r="F66" s="2851" t="s">
        <v>2876</v>
      </c>
      <c r="H66" s="2809" t="s">
        <v>2757</v>
      </c>
      <c r="I66" s="2846"/>
      <c r="J66" s="2846"/>
      <c r="K66" s="2846"/>
      <c r="L66" s="3136">
        <v>3040</v>
      </c>
      <c r="M66" s="2846"/>
      <c r="O66" s="2809"/>
      <c r="P66" s="2810"/>
    </row>
    <row r="67" spans="1:16" s="455" customFormat="1" ht="15.75" thickBot="1">
      <c r="A67" s="471"/>
      <c r="B67" s="454" t="s">
        <v>4006</v>
      </c>
      <c r="C67" s="2811"/>
      <c r="D67" s="3069" t="s">
        <v>5323</v>
      </c>
      <c r="E67" s="2851">
        <v>4</v>
      </c>
      <c r="F67" s="2851" t="s">
        <v>2876</v>
      </c>
      <c r="H67" s="2809" t="s">
        <v>2757</v>
      </c>
      <c r="I67" s="2846"/>
      <c r="J67" s="2846"/>
      <c r="K67" s="2846"/>
      <c r="L67" s="3136">
        <v>2340</v>
      </c>
      <c r="M67" s="2846"/>
      <c r="O67" s="2809"/>
      <c r="P67" s="2810"/>
    </row>
    <row r="68" spans="1:16" s="455" customFormat="1" ht="15.75" thickBot="1">
      <c r="A68" s="471"/>
      <c r="B68" s="454" t="s">
        <v>4006</v>
      </c>
      <c r="C68" s="2811"/>
      <c r="D68" s="3069" t="s">
        <v>5324</v>
      </c>
      <c r="E68" s="2851">
        <v>7</v>
      </c>
      <c r="F68" s="2851" t="s">
        <v>2876</v>
      </c>
      <c r="H68" s="2809" t="s">
        <v>2757</v>
      </c>
      <c r="I68" s="2846"/>
      <c r="J68" s="2846"/>
      <c r="K68" s="2846"/>
      <c r="L68" s="3136">
        <v>1035</v>
      </c>
      <c r="M68" s="2846"/>
      <c r="O68" s="2809"/>
      <c r="P68" s="2810"/>
    </row>
    <row r="69" spans="1:16" s="455" customFormat="1" ht="15.75" thickBot="1">
      <c r="A69" s="471"/>
      <c r="B69" s="454" t="s">
        <v>4006</v>
      </c>
      <c r="C69" s="2811"/>
      <c r="D69" s="3069" t="s">
        <v>5326</v>
      </c>
      <c r="E69" s="2851">
        <v>10</v>
      </c>
      <c r="F69" s="2851" t="s">
        <v>5325</v>
      </c>
      <c r="H69" s="2809" t="s">
        <v>2757</v>
      </c>
      <c r="I69" s="2846"/>
      <c r="J69" s="2846"/>
      <c r="K69" s="2846"/>
      <c r="L69" s="3136">
        <v>150</v>
      </c>
      <c r="M69" s="2846"/>
      <c r="O69" s="2809"/>
      <c r="P69" s="2810"/>
    </row>
    <row r="70" spans="1:16" s="455" customFormat="1" ht="15.75" thickBot="1">
      <c r="A70" s="471"/>
      <c r="B70" s="454" t="s">
        <v>4006</v>
      </c>
      <c r="C70" s="2811"/>
      <c r="D70" s="3069" t="s">
        <v>5327</v>
      </c>
      <c r="E70" s="2851">
        <v>50</v>
      </c>
      <c r="F70" s="2851" t="s">
        <v>5325</v>
      </c>
      <c r="H70" s="2809" t="s">
        <v>2757</v>
      </c>
      <c r="I70" s="2846"/>
      <c r="J70" s="2846"/>
      <c r="K70" s="2846"/>
      <c r="L70" s="3136">
        <v>750</v>
      </c>
      <c r="M70" s="2846"/>
      <c r="O70" s="2809"/>
      <c r="P70" s="2810"/>
    </row>
    <row r="71" spans="1:16" s="455" customFormat="1" ht="15.75" thickBot="1">
      <c r="A71" s="471"/>
      <c r="B71" s="454" t="s">
        <v>4006</v>
      </c>
      <c r="C71" s="2811"/>
      <c r="D71" s="3129" t="s">
        <v>5328</v>
      </c>
      <c r="E71" s="2851">
        <v>2</v>
      </c>
      <c r="F71" s="2898" t="s">
        <v>776</v>
      </c>
      <c r="H71" s="2809" t="s">
        <v>2757</v>
      </c>
      <c r="I71" s="2846"/>
      <c r="J71" s="2846"/>
      <c r="K71" s="2846"/>
      <c r="L71" s="3136">
        <v>5095</v>
      </c>
      <c r="M71" s="2846"/>
      <c r="O71" s="2809"/>
      <c r="P71" s="2810"/>
    </row>
    <row r="72" spans="1:16" s="455" customFormat="1" ht="15.75" thickBot="1">
      <c r="A72" s="471"/>
      <c r="B72" s="454" t="s">
        <v>4006</v>
      </c>
      <c r="C72" s="2811"/>
      <c r="D72" s="3069" t="s">
        <v>5329</v>
      </c>
      <c r="E72" s="2851">
        <v>7</v>
      </c>
      <c r="F72" s="2903" t="s">
        <v>2876</v>
      </c>
      <c r="H72" s="2809" t="s">
        <v>2757</v>
      </c>
      <c r="I72" s="2846"/>
      <c r="J72" s="2846"/>
      <c r="K72" s="2846"/>
      <c r="L72" s="3136">
        <v>545</v>
      </c>
      <c r="M72" s="2846"/>
      <c r="O72" s="2809"/>
      <c r="P72" s="2810"/>
    </row>
    <row r="73" spans="1:16" s="455" customFormat="1" ht="15.75" thickBot="1">
      <c r="A73" s="471"/>
      <c r="B73" s="454" t="s">
        <v>4006</v>
      </c>
      <c r="C73" s="2811"/>
      <c r="D73" s="2957" t="s">
        <v>5330</v>
      </c>
      <c r="E73" s="2851">
        <v>10</v>
      </c>
      <c r="F73" s="2851" t="s">
        <v>2876</v>
      </c>
      <c r="H73" s="2809" t="s">
        <v>2757</v>
      </c>
      <c r="I73" s="2846"/>
      <c r="J73" s="2846"/>
      <c r="K73" s="2846"/>
      <c r="L73" s="3136">
        <v>350</v>
      </c>
      <c r="M73" s="2846"/>
      <c r="O73" s="2809"/>
      <c r="P73" s="2810"/>
    </row>
    <row r="74" spans="1:16" s="455" customFormat="1" ht="15.75" thickBot="1">
      <c r="A74" s="471"/>
      <c r="B74" s="454" t="s">
        <v>4006</v>
      </c>
      <c r="C74" s="2811"/>
      <c r="D74" s="3069" t="s">
        <v>5331</v>
      </c>
      <c r="E74" s="2851">
        <v>8</v>
      </c>
      <c r="F74" s="3130" t="s">
        <v>2876</v>
      </c>
      <c r="H74" s="2809" t="s">
        <v>2757</v>
      </c>
      <c r="I74" s="2846"/>
      <c r="J74" s="2846"/>
      <c r="K74" s="2846"/>
      <c r="L74" s="3136">
        <v>2000</v>
      </c>
      <c r="M74" s="2846"/>
      <c r="O74" s="2809"/>
      <c r="P74" s="2810"/>
    </row>
    <row r="75" spans="1:16" s="455" customFormat="1" ht="15.75" thickBot="1">
      <c r="A75" s="471"/>
      <c r="B75" s="454" t="s">
        <v>4006</v>
      </c>
      <c r="C75" s="2811"/>
      <c r="D75" s="2900" t="s">
        <v>5332</v>
      </c>
      <c r="E75" s="2851">
        <v>4</v>
      </c>
      <c r="F75" s="2851" t="s">
        <v>2876</v>
      </c>
      <c r="H75" s="2809" t="s">
        <v>2757</v>
      </c>
      <c r="I75" s="2846"/>
      <c r="J75" s="2846"/>
      <c r="K75" s="2846"/>
      <c r="L75" s="3136">
        <v>180</v>
      </c>
      <c r="M75" s="2846"/>
      <c r="O75" s="2809"/>
      <c r="P75" s="2810"/>
    </row>
    <row r="76" spans="1:16" s="455" customFormat="1" ht="15.75" thickBot="1">
      <c r="A76" s="471"/>
      <c r="B76" s="454" t="s">
        <v>4006</v>
      </c>
      <c r="C76" s="2811"/>
      <c r="D76" s="3069" t="s">
        <v>5333</v>
      </c>
      <c r="E76" s="2851">
        <v>2</v>
      </c>
      <c r="F76" s="2851" t="s">
        <v>2876</v>
      </c>
      <c r="H76" s="2809" t="s">
        <v>2757</v>
      </c>
      <c r="I76" s="2846"/>
      <c r="J76" s="2846"/>
      <c r="K76" s="2846"/>
      <c r="L76" s="3136">
        <v>90</v>
      </c>
      <c r="M76" s="2846"/>
      <c r="O76" s="2809"/>
      <c r="P76" s="2810"/>
    </row>
    <row r="77" spans="1:16" s="455" customFormat="1" ht="15.75" thickBot="1">
      <c r="A77" s="471"/>
      <c r="B77" s="454" t="s">
        <v>4006</v>
      </c>
      <c r="C77" s="2811"/>
      <c r="D77" s="2900" t="s">
        <v>5334</v>
      </c>
      <c r="E77" s="2851">
        <v>3</v>
      </c>
      <c r="F77" s="2851" t="s">
        <v>2792</v>
      </c>
      <c r="H77" s="2809" t="s">
        <v>2757</v>
      </c>
      <c r="I77" s="2846"/>
      <c r="J77" s="2846"/>
      <c r="K77" s="2846"/>
      <c r="L77" s="3136">
        <v>300</v>
      </c>
      <c r="M77" s="2846"/>
      <c r="O77" s="2809"/>
      <c r="P77" s="2810"/>
    </row>
    <row r="78" spans="1:16" s="455" customFormat="1" ht="15.75" thickBot="1">
      <c r="A78" s="471"/>
      <c r="B78" s="454" t="s">
        <v>4006</v>
      </c>
      <c r="C78" s="2811"/>
      <c r="D78" s="3069" t="s">
        <v>5335</v>
      </c>
      <c r="E78" s="2851">
        <v>3</v>
      </c>
      <c r="F78" s="2851" t="s">
        <v>2792</v>
      </c>
      <c r="H78" s="2809" t="s">
        <v>2757</v>
      </c>
      <c r="I78" s="2846"/>
      <c r="J78" s="2846"/>
      <c r="K78" s="2846"/>
      <c r="L78" s="3136">
        <v>720</v>
      </c>
      <c r="M78" s="2846"/>
      <c r="O78" s="2809"/>
      <c r="P78" s="2810"/>
    </row>
    <row r="79" spans="1:16" s="455" customFormat="1" ht="15.75" thickBot="1">
      <c r="A79" s="471"/>
      <c r="B79" s="454" t="s">
        <v>4006</v>
      </c>
      <c r="C79" s="2811"/>
      <c r="D79" s="3069" t="s">
        <v>5336</v>
      </c>
      <c r="E79" s="2851">
        <v>4</v>
      </c>
      <c r="F79" s="2851" t="s">
        <v>1747</v>
      </c>
      <c r="H79" s="2809" t="s">
        <v>2757</v>
      </c>
      <c r="I79" s="2846"/>
      <c r="J79" s="2846"/>
      <c r="K79" s="2846"/>
      <c r="L79" s="3136">
        <v>165</v>
      </c>
      <c r="M79" s="2846"/>
      <c r="O79" s="2809"/>
      <c r="P79" s="2810"/>
    </row>
    <row r="80" spans="1:16" s="455" customFormat="1" ht="15.75" thickBot="1">
      <c r="A80" s="471"/>
      <c r="B80" s="454" t="s">
        <v>4006</v>
      </c>
      <c r="C80" s="2811"/>
      <c r="D80" s="2900" t="s">
        <v>5337</v>
      </c>
      <c r="E80" s="2851">
        <v>1</v>
      </c>
      <c r="F80" s="2851" t="s">
        <v>2876</v>
      </c>
      <c r="H80" s="2809" t="s">
        <v>2757</v>
      </c>
      <c r="I80" s="2846"/>
      <c r="J80" s="2846"/>
      <c r="K80" s="2846"/>
      <c r="L80" s="3136">
        <v>480</v>
      </c>
      <c r="M80" s="2846"/>
      <c r="O80" s="2809"/>
      <c r="P80" s="2810"/>
    </row>
    <row r="81" spans="1:16" s="455" customFormat="1" ht="15.75" thickBot="1">
      <c r="A81" s="471"/>
      <c r="B81" s="454" t="s">
        <v>4006</v>
      </c>
      <c r="C81" s="2811"/>
      <c r="D81" s="2900" t="s">
        <v>5338</v>
      </c>
      <c r="E81" s="2851">
        <v>1</v>
      </c>
      <c r="F81" s="2851" t="s">
        <v>2876</v>
      </c>
      <c r="H81" s="2809" t="s">
        <v>2757</v>
      </c>
      <c r="I81" s="2846"/>
      <c r="J81" s="2846"/>
      <c r="K81" s="2846"/>
      <c r="L81" s="3136">
        <v>650</v>
      </c>
      <c r="M81" s="2846"/>
      <c r="O81" s="2809"/>
      <c r="P81" s="2810"/>
    </row>
    <row r="82" spans="1:16" s="455" customFormat="1" ht="15.75" thickBot="1">
      <c r="A82" s="471"/>
      <c r="B82" s="454" t="s">
        <v>4006</v>
      </c>
      <c r="C82" s="2811"/>
      <c r="D82" s="2900" t="s">
        <v>5339</v>
      </c>
      <c r="E82" s="2851">
        <v>1</v>
      </c>
      <c r="F82" s="2851" t="s">
        <v>2876</v>
      </c>
      <c r="H82" s="2809" t="s">
        <v>2757</v>
      </c>
      <c r="I82" s="2846"/>
      <c r="J82" s="2846"/>
      <c r="K82" s="2846"/>
      <c r="L82" s="3136">
        <v>750</v>
      </c>
      <c r="M82" s="2846"/>
      <c r="O82" s="2809"/>
      <c r="P82" s="2810"/>
    </row>
    <row r="83" spans="1:16" s="455" customFormat="1" ht="15.75" thickBot="1">
      <c r="A83" s="471"/>
      <c r="B83" s="454" t="s">
        <v>4006</v>
      </c>
      <c r="C83" s="2811"/>
      <c r="D83" s="2900" t="s">
        <v>5340</v>
      </c>
      <c r="E83" s="2851">
        <v>1</v>
      </c>
      <c r="F83" s="2851" t="s">
        <v>2876</v>
      </c>
      <c r="H83" s="2809" t="s">
        <v>2757</v>
      </c>
      <c r="I83" s="2846"/>
      <c r="J83" s="2846"/>
      <c r="K83" s="2846"/>
      <c r="L83" s="3136">
        <v>1100</v>
      </c>
      <c r="M83" s="2846"/>
      <c r="O83" s="2809"/>
      <c r="P83" s="2810"/>
    </row>
    <row r="84" spans="1:16" s="455" customFormat="1" ht="15.75" thickBot="1">
      <c r="A84" s="471"/>
      <c r="B84" s="454" t="s">
        <v>4006</v>
      </c>
      <c r="C84" s="2811"/>
      <c r="D84" s="2900" t="s">
        <v>5341</v>
      </c>
      <c r="E84" s="2851">
        <v>1</v>
      </c>
      <c r="F84" s="2851" t="s">
        <v>2876</v>
      </c>
      <c r="H84" s="2809" t="s">
        <v>2757</v>
      </c>
      <c r="I84" s="2846"/>
      <c r="J84" s="2846"/>
      <c r="K84" s="2846"/>
      <c r="L84" s="3136">
        <v>700</v>
      </c>
      <c r="M84" s="2846"/>
      <c r="O84" s="2809"/>
      <c r="P84" s="2810"/>
    </row>
    <row r="85" spans="1:16" s="455" customFormat="1" ht="15.75" thickBot="1">
      <c r="A85" s="471"/>
      <c r="B85" s="454" t="s">
        <v>4006</v>
      </c>
      <c r="C85" s="2811"/>
      <c r="D85" s="2900" t="s">
        <v>5342</v>
      </c>
      <c r="E85" s="2851">
        <v>15</v>
      </c>
      <c r="F85" s="2851" t="s">
        <v>2876</v>
      </c>
      <c r="H85" s="2809" t="s">
        <v>2757</v>
      </c>
      <c r="I85" s="2846"/>
      <c r="J85" s="2846"/>
      <c r="K85" s="2846"/>
      <c r="L85" s="3136">
        <v>1500</v>
      </c>
      <c r="M85" s="2846"/>
      <c r="O85" s="2809"/>
      <c r="P85" s="2810"/>
    </row>
    <row r="86" spans="1:16" s="455" customFormat="1" ht="15.75" thickBot="1">
      <c r="A86" s="471"/>
      <c r="B86" s="454" t="s">
        <v>4006</v>
      </c>
      <c r="C86" s="2811"/>
      <c r="D86" s="2900" t="s">
        <v>5343</v>
      </c>
      <c r="E86" s="2851">
        <v>13</v>
      </c>
      <c r="F86" s="2851" t="s">
        <v>2876</v>
      </c>
      <c r="H86" s="2809" t="s">
        <v>2757</v>
      </c>
      <c r="I86" s="2846"/>
      <c r="J86" s="2846"/>
      <c r="K86" s="2846"/>
      <c r="L86" s="3136">
        <v>3710</v>
      </c>
      <c r="M86" s="2846"/>
      <c r="O86" s="2809"/>
      <c r="P86" s="2810"/>
    </row>
    <row r="87" spans="1:16" s="455" customFormat="1" ht="15.75" thickBot="1">
      <c r="A87" s="471"/>
      <c r="B87" s="454" t="s">
        <v>4006</v>
      </c>
      <c r="C87" s="2811"/>
      <c r="D87" s="2900" t="s">
        <v>5344</v>
      </c>
      <c r="E87" s="2851">
        <v>6</v>
      </c>
      <c r="F87" s="2851" t="s">
        <v>2876</v>
      </c>
      <c r="H87" s="2809" t="s">
        <v>2757</v>
      </c>
      <c r="I87" s="2846"/>
      <c r="J87" s="2846"/>
      <c r="K87" s="2846"/>
      <c r="L87" s="3136">
        <v>660</v>
      </c>
      <c r="M87" s="2846"/>
      <c r="O87" s="2809"/>
      <c r="P87" s="2810"/>
    </row>
    <row r="88" spans="1:16" s="455" customFormat="1" ht="15.75" thickBot="1">
      <c r="A88" s="471"/>
      <c r="B88" s="454" t="s">
        <v>4006</v>
      </c>
      <c r="C88" s="2902"/>
      <c r="D88" s="2900" t="s">
        <v>5345</v>
      </c>
      <c r="E88" s="2851">
        <v>8</v>
      </c>
      <c r="F88" s="2851" t="s">
        <v>2876</v>
      </c>
      <c r="H88" s="2809" t="s">
        <v>2757</v>
      </c>
      <c r="I88" s="2846"/>
      <c r="J88" s="2846"/>
      <c r="K88" s="2846"/>
      <c r="L88" s="3136">
        <v>1040</v>
      </c>
      <c r="M88" s="2846"/>
      <c r="O88" s="2809"/>
      <c r="P88" s="2810"/>
    </row>
    <row r="89" spans="1:16" s="455" customFormat="1" ht="15.75" thickBot="1">
      <c r="A89" s="471"/>
      <c r="B89" s="454" t="s">
        <v>4006</v>
      </c>
      <c r="C89" s="2902"/>
      <c r="D89" s="3019" t="s">
        <v>5346</v>
      </c>
      <c r="E89" s="2851"/>
      <c r="F89" s="2851"/>
      <c r="H89" s="2809" t="s">
        <v>2757</v>
      </c>
      <c r="I89" s="2846"/>
      <c r="J89" s="2846"/>
      <c r="K89" s="2846"/>
      <c r="L89" s="3137"/>
      <c r="M89" s="2846"/>
      <c r="O89" s="2813"/>
      <c r="P89" s="2810"/>
    </row>
    <row r="90" spans="1:16" s="455" customFormat="1" ht="15.75" thickBot="1">
      <c r="A90" s="471"/>
      <c r="B90" s="454" t="s">
        <v>4006</v>
      </c>
      <c r="C90" s="2902"/>
      <c r="D90" s="3069" t="s">
        <v>5347</v>
      </c>
      <c r="E90" s="2851">
        <v>4</v>
      </c>
      <c r="F90" s="2851" t="s">
        <v>2876</v>
      </c>
      <c r="H90" s="2809" t="s">
        <v>2757</v>
      </c>
      <c r="I90" s="2846"/>
      <c r="J90" s="2846"/>
      <c r="K90" s="2846"/>
      <c r="L90" s="3136">
        <v>30800</v>
      </c>
      <c r="M90" s="2846"/>
      <c r="O90" s="2809"/>
      <c r="P90" s="2810"/>
    </row>
    <row r="91" spans="1:16" s="455" customFormat="1" ht="15.75" thickBot="1">
      <c r="A91" s="471"/>
      <c r="B91" s="454" t="s">
        <v>4006</v>
      </c>
      <c r="C91" s="2902"/>
      <c r="D91" s="3069" t="s">
        <v>5348</v>
      </c>
      <c r="E91" s="2851">
        <v>2</v>
      </c>
      <c r="F91" s="2851" t="s">
        <v>2876</v>
      </c>
      <c r="H91" s="2809" t="s">
        <v>2757</v>
      </c>
      <c r="I91" s="2846"/>
      <c r="J91" s="2846"/>
      <c r="K91" s="2846"/>
      <c r="L91" s="3136">
        <v>1040</v>
      </c>
      <c r="M91" s="2846"/>
      <c r="O91" s="2809"/>
      <c r="P91" s="2810"/>
    </row>
    <row r="92" spans="1:16" s="455" customFormat="1" ht="15.75" thickBot="1">
      <c r="A92" s="471"/>
      <c r="B92" s="454" t="s">
        <v>4006</v>
      </c>
      <c r="C92" s="2902"/>
      <c r="D92" s="3069" t="s">
        <v>5349</v>
      </c>
      <c r="E92" s="2851">
        <v>1</v>
      </c>
      <c r="F92" s="2851" t="s">
        <v>2876</v>
      </c>
      <c r="H92" s="2809" t="s">
        <v>2757</v>
      </c>
      <c r="I92" s="2846"/>
      <c r="J92" s="2846"/>
      <c r="K92" s="2846"/>
      <c r="L92" s="3136">
        <v>1500</v>
      </c>
      <c r="M92" s="2846"/>
      <c r="O92" s="2809"/>
      <c r="P92" s="2810"/>
    </row>
    <row r="93" spans="1:16" s="455" customFormat="1" ht="15.75" thickBot="1">
      <c r="A93" s="471"/>
      <c r="B93" s="454" t="s">
        <v>4006</v>
      </c>
      <c r="C93" s="2902"/>
      <c r="D93" s="3069" t="s">
        <v>5350</v>
      </c>
      <c r="E93" s="2851">
        <v>15</v>
      </c>
      <c r="F93" s="2851" t="s">
        <v>2876</v>
      </c>
      <c r="H93" s="2809" t="s">
        <v>2757</v>
      </c>
      <c r="I93" s="2846"/>
      <c r="J93" s="2846"/>
      <c r="K93" s="2846"/>
      <c r="L93" s="3136">
        <v>1458</v>
      </c>
      <c r="M93" s="2846"/>
      <c r="O93" s="2809"/>
      <c r="P93" s="2810"/>
    </row>
    <row r="94" spans="1:16" s="455" customFormat="1" ht="15.75" thickBot="1">
      <c r="A94" s="471"/>
      <c r="B94" s="454" t="s">
        <v>4006</v>
      </c>
      <c r="C94" s="2902"/>
      <c r="D94" s="3069" t="s">
        <v>5351</v>
      </c>
      <c r="E94" s="2851">
        <v>24</v>
      </c>
      <c r="F94" s="2851" t="s">
        <v>2876</v>
      </c>
      <c r="H94" s="2809" t="s">
        <v>2757</v>
      </c>
      <c r="I94" s="2846"/>
      <c r="J94" s="2846"/>
      <c r="K94" s="2846"/>
      <c r="L94" s="3136">
        <v>5095</v>
      </c>
      <c r="M94" s="2846"/>
      <c r="O94" s="2809"/>
      <c r="P94" s="2810"/>
    </row>
    <row r="95" spans="1:16" s="455" customFormat="1" ht="15.75" thickBot="1">
      <c r="A95" s="471"/>
      <c r="B95" s="454" t="s">
        <v>4006</v>
      </c>
      <c r="C95" s="2902"/>
      <c r="D95" s="3069" t="s">
        <v>5352</v>
      </c>
      <c r="E95" s="2851">
        <v>1.2</v>
      </c>
      <c r="F95" s="2851" t="s">
        <v>1747</v>
      </c>
      <c r="H95" s="2809" t="s">
        <v>2757</v>
      </c>
      <c r="I95" s="2846"/>
      <c r="J95" s="2846"/>
      <c r="K95" s="2846"/>
      <c r="L95" s="3136">
        <v>28634</v>
      </c>
      <c r="M95" s="2846"/>
      <c r="O95" s="2809"/>
      <c r="P95" s="2810"/>
    </row>
    <row r="96" spans="1:16" s="455" customFormat="1" ht="15.75" thickBot="1">
      <c r="A96" s="471"/>
      <c r="B96" s="454" t="s">
        <v>4006</v>
      </c>
      <c r="C96" s="2902"/>
      <c r="D96" s="2957" t="s">
        <v>5353</v>
      </c>
      <c r="E96" s="2851">
        <v>20</v>
      </c>
      <c r="F96" s="3130" t="s">
        <v>2876</v>
      </c>
      <c r="H96" s="2809" t="s">
        <v>2757</v>
      </c>
      <c r="I96" s="2846"/>
      <c r="J96" s="2846"/>
      <c r="K96" s="2846"/>
      <c r="L96" s="3136">
        <v>1600</v>
      </c>
      <c r="M96" s="2846"/>
      <c r="O96" s="2809"/>
      <c r="P96" s="2810"/>
    </row>
    <row r="97" spans="1:16" s="455" customFormat="1" ht="15.75" thickBot="1">
      <c r="A97" s="471"/>
      <c r="B97" s="454" t="s">
        <v>4006</v>
      </c>
      <c r="C97" s="2902"/>
      <c r="D97" s="3069" t="s">
        <v>5354</v>
      </c>
      <c r="E97" s="2851">
        <v>1</v>
      </c>
      <c r="F97" s="3130" t="s">
        <v>2876</v>
      </c>
      <c r="H97" s="2809" t="s">
        <v>2757</v>
      </c>
      <c r="I97" s="2846"/>
      <c r="J97" s="2846"/>
      <c r="K97" s="2846"/>
      <c r="L97" s="3136">
        <v>900</v>
      </c>
      <c r="M97" s="2846"/>
      <c r="O97" s="2809"/>
      <c r="P97" s="2810"/>
    </row>
    <row r="98" spans="1:16" s="455" customFormat="1" ht="15.75" thickBot="1">
      <c r="A98" s="471"/>
      <c r="B98" s="454" t="s">
        <v>4006</v>
      </c>
      <c r="C98" s="2902"/>
      <c r="D98" s="2900" t="s">
        <v>5355</v>
      </c>
      <c r="E98" s="2851">
        <v>30</v>
      </c>
      <c r="F98" s="2851" t="s">
        <v>2876</v>
      </c>
      <c r="H98" s="2809" t="s">
        <v>2757</v>
      </c>
      <c r="I98" s="2846"/>
      <c r="J98" s="2846"/>
      <c r="K98" s="2846"/>
      <c r="L98" s="3136">
        <v>1669</v>
      </c>
      <c r="M98" s="2846"/>
      <c r="O98" s="2809"/>
      <c r="P98" s="2810"/>
    </row>
    <row r="99" spans="1:16" s="455" customFormat="1" ht="15.75" thickBot="1">
      <c r="A99" s="471"/>
      <c r="B99" s="454" t="s">
        <v>4006</v>
      </c>
      <c r="C99" s="2902"/>
      <c r="D99" s="2957" t="s">
        <v>5356</v>
      </c>
      <c r="E99" s="2851">
        <v>31</v>
      </c>
      <c r="F99" s="2851" t="s">
        <v>2876</v>
      </c>
      <c r="H99" s="2809" t="s">
        <v>2757</v>
      </c>
      <c r="I99" s="2846"/>
      <c r="J99" s="2846"/>
      <c r="K99" s="2846"/>
      <c r="L99" s="3136">
        <v>3345</v>
      </c>
      <c r="M99" s="2846"/>
      <c r="O99" s="2809"/>
      <c r="P99" s="2810"/>
    </row>
    <row r="100" spans="1:16" s="455" customFormat="1" ht="15.75" thickBot="1">
      <c r="A100" s="471"/>
      <c r="B100" s="454" t="s">
        <v>4006</v>
      </c>
      <c r="C100" s="2902"/>
      <c r="D100" s="2957" t="s">
        <v>5357</v>
      </c>
      <c r="E100" s="2851">
        <v>1</v>
      </c>
      <c r="F100" s="2851" t="s">
        <v>1700</v>
      </c>
      <c r="H100" s="2809" t="s">
        <v>2757</v>
      </c>
      <c r="I100" s="2846"/>
      <c r="J100" s="2846"/>
      <c r="K100" s="2846"/>
      <c r="L100" s="3136">
        <v>6125</v>
      </c>
      <c r="M100" s="2846"/>
      <c r="O100" s="2809"/>
      <c r="P100" s="2810"/>
    </row>
    <row r="101" spans="1:16" s="455" customFormat="1" ht="15.75" thickBot="1">
      <c r="A101" s="471"/>
      <c r="B101" s="454" t="s">
        <v>4006</v>
      </c>
      <c r="C101" s="2902"/>
      <c r="D101" s="2957" t="s">
        <v>5359</v>
      </c>
      <c r="E101" s="2851" t="s">
        <v>5358</v>
      </c>
      <c r="F101" s="2851" t="s">
        <v>5325</v>
      </c>
      <c r="H101" s="2809" t="s">
        <v>2757</v>
      </c>
      <c r="I101" s="2846"/>
      <c r="J101" s="2846"/>
      <c r="K101" s="2846"/>
      <c r="L101" s="3136">
        <v>310</v>
      </c>
      <c r="M101" s="2846"/>
      <c r="O101" s="2809"/>
      <c r="P101" s="2810"/>
    </row>
    <row r="102" spans="1:16" s="455" customFormat="1" ht="15.75" thickBot="1">
      <c r="A102" s="471"/>
      <c r="B102" s="454" t="s">
        <v>4006</v>
      </c>
      <c r="C102" s="2902"/>
      <c r="D102" s="2901" t="s">
        <v>5360</v>
      </c>
      <c r="E102" s="2851">
        <v>1</v>
      </c>
      <c r="F102" s="2851" t="s">
        <v>2876</v>
      </c>
      <c r="H102" s="2809" t="s">
        <v>2757</v>
      </c>
      <c r="I102" s="2846"/>
      <c r="J102" s="2846"/>
      <c r="K102" s="2846"/>
      <c r="L102" s="3136">
        <v>90</v>
      </c>
      <c r="M102" s="2846"/>
      <c r="O102" s="2809"/>
      <c r="P102" s="2810"/>
    </row>
    <row r="103" spans="1:16" s="455" customFormat="1" ht="15.75" thickBot="1">
      <c r="A103" s="471"/>
      <c r="B103" s="454" t="s">
        <v>4006</v>
      </c>
      <c r="C103" s="2902"/>
      <c r="D103" s="3069" t="s">
        <v>5361</v>
      </c>
      <c r="E103" s="2851">
        <v>1</v>
      </c>
      <c r="F103" s="2851" t="s">
        <v>1700</v>
      </c>
      <c r="H103" s="2809" t="s">
        <v>2757</v>
      </c>
      <c r="I103" s="2846"/>
      <c r="J103" s="2846"/>
      <c r="K103" s="2846"/>
      <c r="L103" s="3136">
        <v>7336</v>
      </c>
      <c r="M103" s="2846"/>
      <c r="O103" s="2809"/>
      <c r="P103" s="2810"/>
    </row>
    <row r="104" spans="1:16" s="455" customFormat="1" ht="15.75" thickBot="1">
      <c r="A104" s="471"/>
      <c r="B104" s="454" t="s">
        <v>4006</v>
      </c>
      <c r="C104" s="2902"/>
      <c r="D104" s="3069" t="s">
        <v>5362</v>
      </c>
      <c r="E104" s="2851">
        <v>1</v>
      </c>
      <c r="F104" s="2851" t="s">
        <v>1747</v>
      </c>
      <c r="H104" s="2809" t="s">
        <v>2757</v>
      </c>
      <c r="I104" s="2846"/>
      <c r="J104" s="2846"/>
      <c r="K104" s="2846"/>
      <c r="L104" s="3136">
        <v>4100</v>
      </c>
      <c r="M104" s="2846"/>
      <c r="O104" s="2809"/>
      <c r="P104" s="2810"/>
    </row>
    <row r="105" spans="1:16" s="455" customFormat="1" ht="15.75" thickBot="1">
      <c r="A105" s="471"/>
      <c r="B105" s="454" t="s">
        <v>4006</v>
      </c>
      <c r="C105" s="2902"/>
      <c r="D105" s="2956" t="s">
        <v>5363</v>
      </c>
      <c r="E105" s="2851">
        <v>50</v>
      </c>
      <c r="F105" s="2851" t="s">
        <v>2876</v>
      </c>
      <c r="H105" s="2809" t="s">
        <v>2757</v>
      </c>
      <c r="I105" s="2846"/>
      <c r="J105" s="2846"/>
      <c r="K105" s="2846"/>
      <c r="L105" s="3136">
        <v>2500</v>
      </c>
      <c r="M105" s="2846"/>
      <c r="O105" s="2809"/>
      <c r="P105" s="2810"/>
    </row>
    <row r="106" spans="1:16" s="455" customFormat="1" ht="15.75" thickBot="1">
      <c r="A106" s="471"/>
      <c r="B106" s="454" t="s">
        <v>4006</v>
      </c>
      <c r="C106" s="2902"/>
      <c r="D106" s="3069" t="s">
        <v>5364</v>
      </c>
      <c r="E106" s="2851">
        <v>400</v>
      </c>
      <c r="F106" s="2851" t="s">
        <v>2876</v>
      </c>
      <c r="H106" s="2809" t="s">
        <v>3</v>
      </c>
      <c r="I106" s="2846"/>
      <c r="J106" s="2846"/>
      <c r="K106" s="2846"/>
      <c r="L106" s="3137">
        <v>150000</v>
      </c>
      <c r="M106" s="2846"/>
      <c r="O106" s="2813"/>
      <c r="P106" s="2810"/>
    </row>
    <row r="107" spans="1:16" s="455" customFormat="1" ht="15.75" thickBot="1">
      <c r="A107" s="471"/>
      <c r="B107" s="454" t="s">
        <v>4006</v>
      </c>
      <c r="C107" s="2902"/>
      <c r="D107" s="3069" t="s">
        <v>5365</v>
      </c>
      <c r="E107" s="2851">
        <v>200</v>
      </c>
      <c r="F107" s="2851" t="s">
        <v>2876</v>
      </c>
      <c r="H107" s="2809" t="s">
        <v>3</v>
      </c>
      <c r="I107" s="2846"/>
      <c r="J107" s="2846"/>
      <c r="K107" s="2846"/>
      <c r="L107" s="3137">
        <v>63000</v>
      </c>
      <c r="M107" s="2846"/>
      <c r="O107" s="2813"/>
      <c r="P107" s="2810"/>
    </row>
    <row r="108" spans="1:16" s="455" customFormat="1" ht="15.75" thickBot="1">
      <c r="A108" s="471"/>
      <c r="B108" s="454" t="s">
        <v>4006</v>
      </c>
      <c r="C108" s="2902"/>
      <c r="D108" s="3018" t="s">
        <v>5366</v>
      </c>
      <c r="E108" s="2851"/>
      <c r="F108" s="2851"/>
      <c r="H108" s="2813"/>
      <c r="I108" s="2846"/>
      <c r="J108" s="2846"/>
      <c r="K108" s="2846"/>
      <c r="L108" s="3137"/>
      <c r="M108" s="2846"/>
      <c r="O108" s="2813"/>
      <c r="P108" s="2810"/>
    </row>
    <row r="109" spans="1:16" s="455" customFormat="1" ht="27.75" thickBot="1">
      <c r="A109" s="471"/>
      <c r="B109" s="454" t="s">
        <v>4006</v>
      </c>
      <c r="C109" s="2902"/>
      <c r="D109" s="3069" t="s">
        <v>5367</v>
      </c>
      <c r="E109" s="2851">
        <v>4</v>
      </c>
      <c r="F109" s="2851" t="s">
        <v>2876</v>
      </c>
      <c r="H109" s="2809" t="s">
        <v>422</v>
      </c>
      <c r="I109" s="2846"/>
      <c r="J109" s="2846"/>
      <c r="K109" s="2846"/>
      <c r="L109" s="3136">
        <v>1100</v>
      </c>
      <c r="M109" s="2846"/>
      <c r="O109" s="2809"/>
      <c r="P109" s="2810"/>
    </row>
    <row r="110" spans="1:16" s="455" customFormat="1" ht="15.75" thickBot="1">
      <c r="A110" s="471"/>
      <c r="B110" s="454" t="s">
        <v>4006</v>
      </c>
      <c r="C110" s="2902"/>
      <c r="D110" s="3069" t="s">
        <v>5369</v>
      </c>
      <c r="E110" s="2851">
        <v>3</v>
      </c>
      <c r="F110" s="2851" t="s">
        <v>5368</v>
      </c>
      <c r="H110" s="2809" t="s">
        <v>2757</v>
      </c>
      <c r="I110" s="2846"/>
      <c r="J110" s="2846"/>
      <c r="K110" s="2846"/>
      <c r="L110" s="3136">
        <v>5550</v>
      </c>
      <c r="M110" s="2846"/>
      <c r="O110" s="2809"/>
      <c r="P110" s="2810"/>
    </row>
    <row r="111" spans="1:16" s="455" customFormat="1" ht="15.75" thickBot="1">
      <c r="A111" s="471"/>
      <c r="B111" s="454" t="s">
        <v>4006</v>
      </c>
      <c r="C111" s="2902"/>
      <c r="D111" s="3069" t="s">
        <v>5371</v>
      </c>
      <c r="E111" s="2851">
        <v>7</v>
      </c>
      <c r="F111" s="2851" t="s">
        <v>5370</v>
      </c>
      <c r="H111" s="2809" t="s">
        <v>2757</v>
      </c>
      <c r="I111" s="2846"/>
      <c r="J111" s="2846"/>
      <c r="K111" s="2846"/>
      <c r="L111" s="3136">
        <v>1596</v>
      </c>
      <c r="M111" s="2846"/>
      <c r="O111" s="2809"/>
      <c r="P111" s="2810"/>
    </row>
    <row r="112" spans="1:16" s="455" customFormat="1" ht="15.75" thickBot="1">
      <c r="A112" s="471"/>
      <c r="B112" s="454" t="s">
        <v>4006</v>
      </c>
      <c r="C112" s="2902"/>
      <c r="D112" s="2900" t="s">
        <v>5372</v>
      </c>
      <c r="E112" s="2851">
        <v>20</v>
      </c>
      <c r="F112" s="2851" t="s">
        <v>2876</v>
      </c>
      <c r="H112" s="2809" t="s">
        <v>2757</v>
      </c>
      <c r="I112" s="2846"/>
      <c r="J112" s="2846"/>
      <c r="K112" s="2846"/>
      <c r="L112" s="3136">
        <v>300</v>
      </c>
      <c r="M112" s="2846"/>
      <c r="O112" s="2809"/>
      <c r="P112" s="2810"/>
    </row>
    <row r="113" spans="1:16" s="455" customFormat="1" ht="15.75" thickBot="1">
      <c r="A113" s="471"/>
      <c r="B113" s="454" t="s">
        <v>4006</v>
      </c>
      <c r="C113" s="2902"/>
      <c r="D113" s="3069" t="s">
        <v>5373</v>
      </c>
      <c r="E113" s="2851">
        <v>15</v>
      </c>
      <c r="F113" s="2851" t="s">
        <v>2876</v>
      </c>
      <c r="H113" s="2809" t="s">
        <v>2757</v>
      </c>
      <c r="I113" s="2846"/>
      <c r="J113" s="2846"/>
      <c r="K113" s="2846"/>
      <c r="L113" s="3136">
        <v>10410</v>
      </c>
      <c r="M113" s="2846"/>
      <c r="O113" s="2809"/>
      <c r="P113" s="2810"/>
    </row>
    <row r="114" spans="1:16" s="455" customFormat="1" ht="15.75" thickBot="1">
      <c r="A114" s="471"/>
      <c r="B114" s="454" t="s">
        <v>4006</v>
      </c>
      <c r="C114" s="2902"/>
      <c r="D114" s="3069" t="s">
        <v>5374</v>
      </c>
      <c r="E114" s="2851">
        <v>30</v>
      </c>
      <c r="F114" s="2851" t="s">
        <v>2792</v>
      </c>
      <c r="H114" s="2809" t="s">
        <v>2757</v>
      </c>
      <c r="I114" s="2846"/>
      <c r="J114" s="2846"/>
      <c r="K114" s="2846"/>
      <c r="L114" s="3136">
        <v>11400</v>
      </c>
      <c r="M114" s="2846"/>
      <c r="O114" s="2809"/>
      <c r="P114" s="2810"/>
    </row>
    <row r="115" spans="1:16" s="455" customFormat="1" ht="15.75" thickBot="1">
      <c r="A115" s="471"/>
      <c r="B115" s="454" t="s">
        <v>4006</v>
      </c>
      <c r="C115" s="2902"/>
      <c r="D115" s="2901" t="s">
        <v>5375</v>
      </c>
      <c r="E115" s="2851">
        <v>1</v>
      </c>
      <c r="F115" s="2851" t="s">
        <v>776</v>
      </c>
      <c r="H115" s="2809" t="s">
        <v>2757</v>
      </c>
      <c r="I115" s="2846"/>
      <c r="J115" s="2846"/>
      <c r="K115" s="2846"/>
      <c r="L115" s="3136">
        <v>205</v>
      </c>
      <c r="M115" s="2846"/>
      <c r="O115" s="2809"/>
      <c r="P115" s="2810"/>
    </row>
    <row r="116" spans="1:16" s="455" customFormat="1" ht="15.75" thickBot="1">
      <c r="A116" s="471"/>
      <c r="B116" s="454" t="s">
        <v>4006</v>
      </c>
      <c r="C116" s="2902"/>
      <c r="D116" s="3069" t="s">
        <v>5377</v>
      </c>
      <c r="E116" s="2851">
        <v>1</v>
      </c>
      <c r="F116" s="2851" t="s">
        <v>5376</v>
      </c>
      <c r="H116" s="2809" t="s">
        <v>2757</v>
      </c>
      <c r="I116" s="2846"/>
      <c r="J116" s="2846"/>
      <c r="K116" s="2846"/>
      <c r="L116" s="3136">
        <v>95</v>
      </c>
      <c r="M116" s="2846"/>
      <c r="O116" s="2809"/>
      <c r="P116" s="2810"/>
    </row>
    <row r="117" spans="1:16" s="455" customFormat="1" ht="15.75" thickBot="1">
      <c r="A117" s="471"/>
      <c r="B117" s="454" t="s">
        <v>4006</v>
      </c>
      <c r="C117" s="2902"/>
      <c r="D117" s="3069" t="s">
        <v>5379</v>
      </c>
      <c r="E117" s="2851">
        <v>4</v>
      </c>
      <c r="F117" s="2851" t="s">
        <v>5378</v>
      </c>
      <c r="H117" s="2809" t="s">
        <v>2757</v>
      </c>
      <c r="I117" s="2846"/>
      <c r="J117" s="2846"/>
      <c r="K117" s="2846"/>
      <c r="L117" s="3136">
        <v>378</v>
      </c>
      <c r="M117" s="2846"/>
      <c r="O117" s="2809"/>
      <c r="P117" s="2810"/>
    </row>
    <row r="118" spans="1:16" s="455" customFormat="1" ht="15.75" thickBot="1">
      <c r="A118" s="471"/>
      <c r="B118" s="454" t="s">
        <v>4006</v>
      </c>
      <c r="C118" s="2902"/>
      <c r="D118" s="3069" t="s">
        <v>5380</v>
      </c>
      <c r="E118" s="2851">
        <v>3</v>
      </c>
      <c r="F118" s="2851" t="s">
        <v>2876</v>
      </c>
      <c r="H118" s="2809" t="s">
        <v>2757</v>
      </c>
      <c r="I118" s="2846"/>
      <c r="J118" s="2846"/>
      <c r="K118" s="2846"/>
      <c r="L118" s="3136">
        <v>330</v>
      </c>
      <c r="M118" s="2846"/>
      <c r="O118" s="2809"/>
      <c r="P118" s="2810"/>
    </row>
    <row r="119" spans="1:16" s="455" customFormat="1" ht="15.75" thickBot="1">
      <c r="A119" s="471"/>
      <c r="B119" s="454" t="s">
        <v>4006</v>
      </c>
      <c r="C119" s="2902"/>
      <c r="D119" s="2957" t="s">
        <v>5381</v>
      </c>
      <c r="E119" s="2851">
        <v>3</v>
      </c>
      <c r="F119" s="3130" t="s">
        <v>2876</v>
      </c>
      <c r="H119" s="2809" t="s">
        <v>2757</v>
      </c>
      <c r="I119" s="2846"/>
      <c r="J119" s="2846"/>
      <c r="K119" s="2846"/>
      <c r="L119" s="3136">
        <v>225</v>
      </c>
      <c r="M119" s="2846"/>
      <c r="O119" s="2809"/>
      <c r="P119" s="2810"/>
    </row>
    <row r="120" spans="1:16" s="455" customFormat="1" ht="15.75" thickBot="1">
      <c r="A120" s="471"/>
      <c r="B120" s="454" t="s">
        <v>4006</v>
      </c>
      <c r="C120" s="2902"/>
      <c r="D120" s="3069" t="s">
        <v>5383</v>
      </c>
      <c r="E120" s="2851">
        <v>20</v>
      </c>
      <c r="F120" s="2851" t="s">
        <v>5382</v>
      </c>
      <c r="H120" s="2809" t="s">
        <v>2757</v>
      </c>
      <c r="I120" s="2846"/>
      <c r="J120" s="2846"/>
      <c r="K120" s="2846"/>
      <c r="L120" s="3136">
        <v>8100</v>
      </c>
      <c r="M120" s="2846"/>
      <c r="O120" s="2809"/>
      <c r="P120" s="2810"/>
    </row>
    <row r="121" spans="1:16" s="455" customFormat="1" ht="15.75" thickBot="1">
      <c r="A121" s="471"/>
      <c r="B121" s="454" t="s">
        <v>4006</v>
      </c>
      <c r="C121" s="2902"/>
      <c r="D121" s="3069" t="s">
        <v>5384</v>
      </c>
      <c r="E121" s="2851">
        <v>2</v>
      </c>
      <c r="F121" s="2851" t="s">
        <v>5382</v>
      </c>
      <c r="H121" s="2809" t="s">
        <v>2757</v>
      </c>
      <c r="I121" s="2846"/>
      <c r="J121" s="2846"/>
      <c r="K121" s="2846"/>
      <c r="L121" s="3136">
        <v>880</v>
      </c>
      <c r="M121" s="2846"/>
      <c r="O121" s="2809"/>
      <c r="P121" s="2810"/>
    </row>
    <row r="122" spans="1:16" s="455" customFormat="1" ht="15.75" thickBot="1">
      <c r="A122" s="471"/>
      <c r="B122" s="454" t="s">
        <v>4006</v>
      </c>
      <c r="C122" s="2902"/>
      <c r="D122" s="3069" t="s">
        <v>5385</v>
      </c>
      <c r="E122" s="2851">
        <v>3</v>
      </c>
      <c r="F122" s="2851" t="s">
        <v>2876</v>
      </c>
      <c r="H122" s="2809" t="s">
        <v>2757</v>
      </c>
      <c r="I122" s="2846"/>
      <c r="J122" s="2846"/>
      <c r="K122" s="2846"/>
      <c r="L122" s="3136">
        <v>285</v>
      </c>
      <c r="M122" s="2846"/>
      <c r="O122" s="2809"/>
      <c r="P122" s="2810"/>
    </row>
    <row r="123" spans="1:16" s="455" customFormat="1" ht="15.75" thickBot="1">
      <c r="A123" s="471"/>
      <c r="B123" s="454" t="s">
        <v>4006</v>
      </c>
      <c r="C123" s="2902"/>
      <c r="D123" s="2957" t="s">
        <v>5386</v>
      </c>
      <c r="E123" s="2851">
        <v>3</v>
      </c>
      <c r="F123" s="3130" t="s">
        <v>2014</v>
      </c>
      <c r="H123" s="2809" t="s">
        <v>2757</v>
      </c>
      <c r="I123" s="2846"/>
      <c r="J123" s="2846"/>
      <c r="K123" s="2846"/>
      <c r="L123" s="3136">
        <v>180</v>
      </c>
      <c r="M123" s="2846"/>
      <c r="O123" s="2809"/>
      <c r="P123" s="2810"/>
    </row>
    <row r="124" spans="1:16" s="455" customFormat="1" ht="15.75" thickBot="1">
      <c r="A124" s="471"/>
      <c r="B124" s="454" t="s">
        <v>4006</v>
      </c>
      <c r="C124" s="2902"/>
      <c r="D124" s="2957" t="s">
        <v>5387</v>
      </c>
      <c r="E124" s="2851">
        <v>1</v>
      </c>
      <c r="F124" s="3130" t="s">
        <v>1057</v>
      </c>
      <c r="H124" s="2809" t="s">
        <v>2757</v>
      </c>
      <c r="I124" s="2846"/>
      <c r="J124" s="2846"/>
      <c r="K124" s="2846"/>
      <c r="L124" s="3136">
        <v>30</v>
      </c>
      <c r="M124" s="2846"/>
      <c r="O124" s="2809"/>
      <c r="P124" s="2810"/>
    </row>
    <row r="125" spans="1:16" s="455" customFormat="1" ht="15.75" thickBot="1">
      <c r="A125" s="471"/>
      <c r="B125" s="454" t="s">
        <v>4006</v>
      </c>
      <c r="C125" s="2902"/>
      <c r="D125" s="2901" t="s">
        <v>5388</v>
      </c>
      <c r="E125" s="2851">
        <v>30</v>
      </c>
      <c r="F125" s="2851" t="s">
        <v>3007</v>
      </c>
      <c r="H125" s="2809" t="s">
        <v>2757</v>
      </c>
      <c r="I125" s="2846"/>
      <c r="J125" s="2846"/>
      <c r="K125" s="2846"/>
      <c r="L125" s="3136">
        <v>4700</v>
      </c>
      <c r="M125" s="2846"/>
      <c r="O125" s="2809"/>
      <c r="P125" s="2810"/>
    </row>
    <row r="126" spans="1:16" s="455" customFormat="1" ht="15.75" thickBot="1">
      <c r="A126" s="471"/>
      <c r="B126" s="454" t="s">
        <v>4006</v>
      </c>
      <c r="C126" s="2902"/>
      <c r="D126" s="3069" t="s">
        <v>5389</v>
      </c>
      <c r="E126" s="2851">
        <v>700</v>
      </c>
      <c r="F126" s="2851" t="s">
        <v>2876</v>
      </c>
      <c r="H126" s="2809" t="s">
        <v>2757</v>
      </c>
      <c r="I126" s="2846"/>
      <c r="J126" s="2846"/>
      <c r="K126" s="2846"/>
      <c r="L126" s="3136">
        <v>3500</v>
      </c>
      <c r="M126" s="2846"/>
      <c r="O126" s="2809"/>
      <c r="P126" s="2810"/>
    </row>
    <row r="127" spans="1:16" s="455" customFormat="1" ht="15.75" thickBot="1">
      <c r="A127" s="471"/>
      <c r="B127" s="454" t="s">
        <v>4006</v>
      </c>
      <c r="C127" s="2902"/>
      <c r="D127" s="3069" t="s">
        <v>2788</v>
      </c>
      <c r="E127" s="2851">
        <v>7</v>
      </c>
      <c r="F127" s="2851" t="s">
        <v>5376</v>
      </c>
      <c r="H127" s="2809" t="s">
        <v>2757</v>
      </c>
      <c r="I127" s="2846"/>
      <c r="J127" s="2846"/>
      <c r="K127" s="2846"/>
      <c r="L127" s="3136">
        <v>1060</v>
      </c>
      <c r="M127" s="2846"/>
      <c r="O127" s="2809"/>
      <c r="P127" s="2810"/>
    </row>
    <row r="128" spans="1:16" s="455" customFormat="1" ht="15.75" thickBot="1">
      <c r="A128" s="471"/>
      <c r="B128" s="454" t="s">
        <v>4006</v>
      </c>
      <c r="C128" s="2902"/>
      <c r="D128" s="3128" t="s">
        <v>5390</v>
      </c>
      <c r="E128" s="2851">
        <v>1</v>
      </c>
      <c r="F128" s="3127" t="s">
        <v>2876</v>
      </c>
      <c r="H128" s="2813" t="s">
        <v>2757</v>
      </c>
      <c r="I128" s="2846"/>
      <c r="J128" s="2846"/>
      <c r="K128" s="2846"/>
      <c r="L128" s="3136">
        <v>6600</v>
      </c>
      <c r="M128" s="2846"/>
      <c r="O128" s="2809"/>
      <c r="P128" s="2810"/>
    </row>
    <row r="129" spans="1:16" s="455" customFormat="1" ht="15.75" thickBot="1">
      <c r="A129" s="471"/>
      <c r="B129" s="454" t="s">
        <v>4006</v>
      </c>
      <c r="C129" s="2902"/>
      <c r="D129" s="3131" t="s">
        <v>5391</v>
      </c>
      <c r="E129" s="2851">
        <v>1</v>
      </c>
      <c r="F129" s="2899" t="s">
        <v>2876</v>
      </c>
      <c r="H129" s="2813" t="s">
        <v>2757</v>
      </c>
      <c r="I129" s="2846"/>
      <c r="J129" s="2846"/>
      <c r="K129" s="2846"/>
      <c r="L129" s="3136">
        <v>7200</v>
      </c>
      <c r="M129" s="2846"/>
      <c r="O129" s="2809"/>
      <c r="P129" s="2810"/>
    </row>
    <row r="130" spans="1:16" s="455" customFormat="1" ht="15.75" thickBot="1">
      <c r="A130" s="471"/>
      <c r="B130" s="454" t="s">
        <v>4006</v>
      </c>
      <c r="C130" s="2902"/>
      <c r="D130" s="3131" t="s">
        <v>5392</v>
      </c>
      <c r="E130" s="2851">
        <v>1</v>
      </c>
      <c r="F130" s="2899" t="s">
        <v>2876</v>
      </c>
      <c r="H130" s="2813" t="s">
        <v>2757</v>
      </c>
      <c r="I130" s="2846"/>
      <c r="J130" s="2846"/>
      <c r="K130" s="2846"/>
      <c r="L130" s="3136">
        <v>720</v>
      </c>
      <c r="M130" s="2846"/>
      <c r="O130" s="2809"/>
      <c r="P130" s="2810"/>
    </row>
    <row r="131" spans="1:16" s="455" customFormat="1" ht="15.75" thickBot="1">
      <c r="A131" s="471"/>
      <c r="B131" s="454" t="s">
        <v>4006</v>
      </c>
      <c r="C131" s="2902"/>
      <c r="D131" s="3131" t="s">
        <v>5393</v>
      </c>
      <c r="E131" s="2851">
        <v>3</v>
      </c>
      <c r="F131" s="2899" t="s">
        <v>1057</v>
      </c>
      <c r="H131" s="2813" t="s">
        <v>2757</v>
      </c>
      <c r="I131" s="2846"/>
      <c r="J131" s="2846"/>
      <c r="K131" s="2846"/>
      <c r="L131" s="3138">
        <v>1890</v>
      </c>
      <c r="M131" s="2846"/>
      <c r="O131" s="2813"/>
      <c r="P131" s="2810"/>
    </row>
    <row r="132" spans="1:16" s="455" customFormat="1" ht="15.75" thickBot="1">
      <c r="A132" s="471"/>
      <c r="B132" s="454" t="s">
        <v>4006</v>
      </c>
      <c r="C132" s="2902"/>
      <c r="D132" s="3131" t="s">
        <v>5394</v>
      </c>
      <c r="E132" s="2851">
        <v>25</v>
      </c>
      <c r="F132" s="2899" t="s">
        <v>2876</v>
      </c>
      <c r="H132" s="2813" t="s">
        <v>2757</v>
      </c>
      <c r="I132" s="2846"/>
      <c r="J132" s="2846"/>
      <c r="K132" s="2846"/>
      <c r="L132" s="3139">
        <v>1225</v>
      </c>
      <c r="M132" s="2846"/>
      <c r="O132" s="2813"/>
      <c r="P132" s="2810"/>
    </row>
    <row r="133" spans="1:16" s="455" customFormat="1" ht="15.75" thickBot="1">
      <c r="A133" s="471"/>
      <c r="B133" s="454" t="s">
        <v>4006</v>
      </c>
      <c r="C133" s="2902"/>
      <c r="D133" s="3131" t="s">
        <v>3421</v>
      </c>
      <c r="E133" s="2851">
        <v>1</v>
      </c>
      <c r="F133" s="2899" t="s">
        <v>2876</v>
      </c>
      <c r="H133" s="2813" t="s">
        <v>2757</v>
      </c>
      <c r="I133" s="2846"/>
      <c r="J133" s="2846"/>
      <c r="K133" s="2846"/>
      <c r="L133" s="3139">
        <v>90</v>
      </c>
      <c r="M133" s="2846"/>
      <c r="O133" s="2813"/>
      <c r="P133" s="2810"/>
    </row>
    <row r="134" spans="1:16" s="455" customFormat="1" ht="15.75" thickBot="1">
      <c r="A134" s="471"/>
      <c r="B134" s="454" t="s">
        <v>4006</v>
      </c>
      <c r="C134" s="2902"/>
      <c r="D134" s="3131" t="s">
        <v>5395</v>
      </c>
      <c r="E134" s="2851">
        <v>1</v>
      </c>
      <c r="F134" s="2899" t="s">
        <v>2193</v>
      </c>
      <c r="H134" s="2813" t="s">
        <v>2757</v>
      </c>
      <c r="I134" s="2846"/>
      <c r="J134" s="2846"/>
      <c r="K134" s="2846"/>
      <c r="L134" s="3139">
        <v>19800</v>
      </c>
      <c r="M134" s="3132"/>
      <c r="O134" s="2813"/>
      <c r="P134" s="2810"/>
    </row>
    <row r="135" spans="1:16" s="455" customFormat="1" ht="15.75" thickBot="1">
      <c r="A135" s="471"/>
      <c r="B135" s="454" t="s">
        <v>4006</v>
      </c>
      <c r="C135" s="2902"/>
      <c r="D135" s="3131" t="s">
        <v>3411</v>
      </c>
      <c r="E135" s="2851">
        <v>1</v>
      </c>
      <c r="F135" s="2899" t="s">
        <v>2193</v>
      </c>
      <c r="H135" s="2813" t="s">
        <v>2757</v>
      </c>
      <c r="I135" s="2846"/>
      <c r="J135" s="2846"/>
      <c r="K135" s="2846"/>
      <c r="L135" s="3139">
        <v>39800</v>
      </c>
      <c r="M135" s="3132"/>
      <c r="O135" s="2813"/>
      <c r="P135" s="2810"/>
    </row>
    <row r="136" spans="1:16" s="455" customFormat="1" ht="15.75" thickBot="1">
      <c r="A136" s="471"/>
      <c r="B136" s="454" t="s">
        <v>4006</v>
      </c>
      <c r="C136" s="2902"/>
      <c r="D136" s="3131" t="s">
        <v>5396</v>
      </c>
      <c r="E136" s="2851">
        <v>1</v>
      </c>
      <c r="F136" s="2899" t="s">
        <v>2876</v>
      </c>
      <c r="H136" s="2813" t="s">
        <v>2757</v>
      </c>
      <c r="I136" s="2846"/>
      <c r="J136" s="2846"/>
      <c r="K136" s="2846"/>
      <c r="L136" s="3139">
        <v>3926.5</v>
      </c>
      <c r="M136" s="3132"/>
      <c r="O136" s="2813"/>
      <c r="P136" s="2810"/>
    </row>
    <row r="137" spans="1:16" s="455" customFormat="1" ht="15.75" thickBot="1">
      <c r="A137" s="471"/>
      <c r="B137" s="454" t="s">
        <v>4006</v>
      </c>
      <c r="C137" s="2902"/>
      <c r="D137" s="3131" t="s">
        <v>5397</v>
      </c>
      <c r="E137" s="2851">
        <v>12</v>
      </c>
      <c r="F137" s="2899" t="s">
        <v>2876</v>
      </c>
      <c r="H137" s="2813" t="s">
        <v>2757</v>
      </c>
      <c r="I137" s="2846"/>
      <c r="J137" s="2846"/>
      <c r="K137" s="2846"/>
      <c r="L137" s="3139">
        <v>9360</v>
      </c>
      <c r="M137" s="3132"/>
      <c r="O137" s="2813"/>
      <c r="P137" s="2810"/>
    </row>
    <row r="138" spans="1:16" s="455" customFormat="1" ht="15.75" thickBot="1">
      <c r="A138" s="471"/>
      <c r="B138" s="454" t="s">
        <v>4006</v>
      </c>
      <c r="C138" s="2902"/>
      <c r="D138" s="3131" t="s">
        <v>5398</v>
      </c>
      <c r="E138" s="2851">
        <v>10</v>
      </c>
      <c r="F138" s="2899" t="s">
        <v>2792</v>
      </c>
      <c r="H138" s="2813" t="s">
        <v>2757</v>
      </c>
      <c r="I138" s="2846"/>
      <c r="J138" s="2846"/>
      <c r="K138" s="2846"/>
      <c r="L138" s="3139">
        <v>1590</v>
      </c>
      <c r="M138" s="3133"/>
      <c r="O138" s="2813"/>
      <c r="P138" s="2810"/>
    </row>
    <row r="139" spans="1:16" s="455" customFormat="1" ht="15.75" thickBot="1">
      <c r="A139" s="471"/>
      <c r="B139" s="454" t="s">
        <v>4006</v>
      </c>
      <c r="C139" s="2902"/>
      <c r="D139" s="3131" t="s">
        <v>5399</v>
      </c>
      <c r="E139" s="2851">
        <v>1</v>
      </c>
      <c r="F139" s="2899" t="s">
        <v>1051</v>
      </c>
      <c r="H139" s="2813" t="s">
        <v>2757</v>
      </c>
      <c r="I139" s="2846"/>
      <c r="J139" s="2846"/>
      <c r="K139" s="2846"/>
      <c r="L139" s="3139">
        <v>10000</v>
      </c>
      <c r="M139" s="2846"/>
      <c r="O139" s="2813"/>
      <c r="P139" s="2810"/>
    </row>
    <row r="140" spans="1:16" s="455" customFormat="1" ht="15.75" thickBot="1">
      <c r="A140" s="471"/>
      <c r="B140" s="454" t="s">
        <v>4006</v>
      </c>
      <c r="C140" s="2902"/>
      <c r="D140" s="3131" t="s">
        <v>5400</v>
      </c>
      <c r="E140" s="2851">
        <v>5</v>
      </c>
      <c r="F140" s="2899" t="s">
        <v>2876</v>
      </c>
      <c r="H140" s="2813" t="s">
        <v>2757</v>
      </c>
      <c r="I140" s="2846"/>
      <c r="J140" s="2846"/>
      <c r="K140" s="2846"/>
      <c r="L140" s="3139">
        <v>1675</v>
      </c>
      <c r="M140" s="2846"/>
      <c r="O140" s="2813"/>
      <c r="P140" s="2810"/>
    </row>
    <row r="141" spans="1:16" s="455" customFormat="1" ht="15.75" thickBot="1">
      <c r="A141" s="471"/>
      <c r="B141" s="454" t="s">
        <v>4006</v>
      </c>
      <c r="C141" s="2902"/>
      <c r="D141" s="3131" t="s">
        <v>5401</v>
      </c>
      <c r="E141" s="2851">
        <v>1</v>
      </c>
      <c r="F141" s="2899" t="s">
        <v>2876</v>
      </c>
      <c r="H141" s="2813" t="s">
        <v>2757</v>
      </c>
      <c r="I141" s="2846"/>
      <c r="J141" s="2846"/>
      <c r="K141" s="2846"/>
      <c r="L141" s="3139">
        <v>25900</v>
      </c>
      <c r="M141" s="2846"/>
      <c r="O141" s="2813"/>
      <c r="P141" s="2810"/>
    </row>
    <row r="142" spans="1:16" s="455" customFormat="1" ht="15.75" thickBot="1">
      <c r="A142" s="471"/>
      <c r="B142" s="454" t="s">
        <v>4006</v>
      </c>
      <c r="C142" s="2902"/>
      <c r="D142" s="3131" t="s">
        <v>5402</v>
      </c>
      <c r="E142" s="2851">
        <v>18</v>
      </c>
      <c r="F142" s="2899" t="s">
        <v>1636</v>
      </c>
      <c r="H142" s="2813" t="s">
        <v>2757</v>
      </c>
      <c r="I142" s="2846"/>
      <c r="J142" s="2846"/>
      <c r="K142" s="2846"/>
      <c r="L142" s="3139">
        <v>14040</v>
      </c>
      <c r="M142" s="2846"/>
      <c r="O142" s="2813"/>
      <c r="P142" s="2810"/>
    </row>
    <row r="143" spans="1:16" s="455" customFormat="1" ht="15.75" thickBot="1">
      <c r="A143" s="471"/>
      <c r="B143" s="454" t="s">
        <v>4006</v>
      </c>
      <c r="C143" s="2902"/>
      <c r="D143" s="3131" t="s">
        <v>5403</v>
      </c>
      <c r="E143" s="2851">
        <v>2</v>
      </c>
      <c r="F143" s="2899" t="s">
        <v>2876</v>
      </c>
      <c r="H143" s="2813" t="s">
        <v>2757</v>
      </c>
      <c r="I143" s="2846"/>
      <c r="J143" s="2846"/>
      <c r="K143" s="2846"/>
      <c r="L143" s="3139">
        <v>602</v>
      </c>
      <c r="M143" s="2846"/>
      <c r="O143" s="2813"/>
      <c r="P143" s="2810"/>
    </row>
    <row r="144" spans="1:16" s="455" customFormat="1" ht="15.75" thickBot="1">
      <c r="A144" s="471"/>
      <c r="B144" s="454" t="s">
        <v>4006</v>
      </c>
      <c r="C144" s="2902"/>
      <c r="D144" s="3131" t="s">
        <v>5404</v>
      </c>
      <c r="E144" s="2851">
        <v>4</v>
      </c>
      <c r="F144" s="2899" t="s">
        <v>1636</v>
      </c>
      <c r="H144" s="2813" t="s">
        <v>2757</v>
      </c>
      <c r="I144" s="2846"/>
      <c r="J144" s="2846"/>
      <c r="K144" s="2846"/>
      <c r="L144" s="3139">
        <v>15210</v>
      </c>
      <c r="M144" s="2846"/>
      <c r="O144" s="2813"/>
      <c r="P144" s="2810"/>
    </row>
    <row r="145" spans="1:16" s="455" customFormat="1" ht="15.75" thickBot="1">
      <c r="A145" s="471"/>
      <c r="B145" s="454" t="s">
        <v>4006</v>
      </c>
      <c r="C145" s="2902"/>
      <c r="D145" s="3131" t="s">
        <v>5405</v>
      </c>
      <c r="E145" s="2851">
        <v>4</v>
      </c>
      <c r="F145" s="2899" t="s">
        <v>2876</v>
      </c>
      <c r="H145" s="2813" t="s">
        <v>2757</v>
      </c>
      <c r="I145" s="2846"/>
      <c r="J145" s="2846"/>
      <c r="K145" s="2846"/>
      <c r="L145" s="3139">
        <v>208</v>
      </c>
      <c r="M145" s="2852"/>
      <c r="O145" s="2813"/>
      <c r="P145" s="2810"/>
    </row>
    <row r="146" spans="1:16" s="455" customFormat="1" ht="13.5">
      <c r="A146" s="471"/>
      <c r="B146" s="454"/>
      <c r="C146" s="410"/>
      <c r="D146" s="309"/>
      <c r="E146" s="852"/>
      <c r="F146" s="304"/>
      <c r="G146" s="306"/>
      <c r="H146" s="307"/>
      <c r="I146" s="307"/>
      <c r="J146" s="307"/>
      <c r="K146" s="308"/>
      <c r="L146" s="306"/>
      <c r="N146" s="306"/>
    </row>
    <row r="147" spans="1:16" s="455" customFormat="1" ht="13.5">
      <c r="A147" s="471"/>
      <c r="B147" s="454"/>
      <c r="C147" s="410"/>
      <c r="D147" s="309"/>
      <c r="E147" s="852"/>
      <c r="F147" s="304"/>
      <c r="G147" s="306"/>
      <c r="H147" s="307"/>
      <c r="I147" s="307"/>
      <c r="J147" s="307"/>
      <c r="K147" s="308"/>
      <c r="L147" s="306"/>
      <c r="N147" s="306"/>
    </row>
    <row r="148" spans="1:16" s="455" customFormat="1" ht="13.5">
      <c r="A148" s="471"/>
      <c r="B148" s="454"/>
      <c r="C148" s="410"/>
      <c r="D148" s="309"/>
      <c r="E148" s="852"/>
      <c r="F148" s="304"/>
      <c r="G148" s="306"/>
      <c r="H148" s="307"/>
      <c r="I148" s="307"/>
      <c r="J148" s="307"/>
      <c r="K148" s="308"/>
      <c r="L148" s="306"/>
      <c r="N148" s="306"/>
    </row>
    <row r="149" spans="1:16" s="455" customFormat="1" ht="13.5">
      <c r="A149" s="471"/>
      <c r="B149" s="454"/>
      <c r="C149" s="410"/>
      <c r="D149" s="309"/>
      <c r="E149" s="852"/>
      <c r="F149" s="304"/>
      <c r="G149" s="306"/>
      <c r="H149" s="307"/>
      <c r="I149" s="307"/>
      <c r="J149" s="307"/>
      <c r="K149" s="308"/>
      <c r="L149" s="306"/>
      <c r="N149" s="306"/>
    </row>
    <row r="150" spans="1:16" s="455" customFormat="1" ht="13.5">
      <c r="A150" s="471"/>
      <c r="B150" s="454"/>
      <c r="C150" s="410"/>
      <c r="D150" s="309"/>
      <c r="E150" s="852"/>
      <c r="F150" s="304"/>
      <c r="G150" s="306"/>
      <c r="H150" s="307"/>
      <c r="I150" s="307"/>
      <c r="J150" s="307"/>
      <c r="K150" s="308"/>
      <c r="L150" s="306"/>
      <c r="N150" s="306"/>
    </row>
    <row r="151" spans="1:16" s="455" customFormat="1" ht="13.5">
      <c r="A151" s="471"/>
      <c r="B151" s="454"/>
      <c r="C151" s="410"/>
      <c r="D151" s="309"/>
      <c r="E151" s="852"/>
      <c r="F151" s="304"/>
      <c r="G151" s="306"/>
      <c r="H151" s="307"/>
      <c r="I151" s="307"/>
      <c r="J151" s="307"/>
      <c r="K151" s="308"/>
      <c r="L151" s="306"/>
      <c r="N151" s="306"/>
    </row>
    <row r="152" spans="1:16" s="455" customFormat="1" ht="13.5">
      <c r="A152" s="471"/>
      <c r="B152" s="454"/>
      <c r="C152" s="410"/>
      <c r="D152" s="309"/>
      <c r="E152" s="852"/>
      <c r="F152" s="304"/>
      <c r="G152" s="306"/>
      <c r="H152" s="307"/>
      <c r="I152" s="307"/>
      <c r="J152" s="307"/>
      <c r="K152" s="308"/>
      <c r="L152" s="306"/>
      <c r="N152" s="306"/>
    </row>
    <row r="153" spans="1:16" s="455" customFormat="1" ht="13.5">
      <c r="A153" s="471"/>
      <c r="B153" s="454"/>
      <c r="C153" s="410"/>
      <c r="D153" s="309"/>
      <c r="E153" s="852"/>
      <c r="F153" s="304"/>
      <c r="G153" s="306"/>
      <c r="H153" s="307"/>
      <c r="I153" s="307"/>
      <c r="J153" s="307"/>
      <c r="K153" s="308"/>
      <c r="L153" s="306"/>
      <c r="N153" s="306"/>
    </row>
    <row r="154" spans="1:16" s="455" customFormat="1" ht="13.5">
      <c r="A154" s="471"/>
      <c r="B154" s="454"/>
      <c r="C154" s="410"/>
      <c r="D154" s="309"/>
      <c r="E154" s="852"/>
      <c r="F154" s="304"/>
      <c r="G154" s="306"/>
      <c r="H154" s="307"/>
      <c r="I154" s="307"/>
      <c r="J154" s="307"/>
      <c r="K154" s="308"/>
      <c r="L154" s="1617"/>
      <c r="M154" s="306"/>
      <c r="N154" s="306"/>
    </row>
    <row r="155" spans="1:16" s="455" customFormat="1" ht="13.5">
      <c r="A155" s="471"/>
      <c r="B155" s="454"/>
      <c r="C155" s="410"/>
      <c r="D155" s="309"/>
      <c r="E155" s="852"/>
      <c r="F155" s="304"/>
      <c r="G155" s="306"/>
      <c r="H155" s="307"/>
      <c r="I155" s="307"/>
      <c r="J155" s="307"/>
      <c r="K155" s="308"/>
      <c r="L155" s="1617"/>
      <c r="M155" s="306"/>
      <c r="N155" s="306"/>
    </row>
    <row r="156" spans="1:16" s="455" customFormat="1" ht="13.5">
      <c r="A156" s="471"/>
      <c r="B156" s="454"/>
      <c r="C156" s="410"/>
      <c r="D156" s="309"/>
      <c r="E156" s="852"/>
      <c r="F156" s="304"/>
      <c r="G156" s="306"/>
      <c r="H156" s="307"/>
      <c r="I156" s="307"/>
      <c r="J156" s="307"/>
      <c r="K156" s="308"/>
      <c r="L156" s="1617"/>
      <c r="M156" s="306"/>
      <c r="N156" s="306"/>
    </row>
    <row r="157" spans="1:16" s="455" customFormat="1" ht="13.5">
      <c r="A157" s="471"/>
      <c r="B157" s="454"/>
      <c r="C157" s="410"/>
      <c r="D157" s="309"/>
      <c r="E157" s="852"/>
      <c r="F157" s="304"/>
      <c r="G157" s="306"/>
      <c r="H157" s="307"/>
      <c r="I157" s="307"/>
      <c r="J157" s="307"/>
      <c r="K157" s="308"/>
      <c r="L157" s="1617"/>
      <c r="M157" s="306"/>
      <c r="N157" s="306"/>
    </row>
    <row r="158" spans="1:16" s="455" customFormat="1" ht="13.5">
      <c r="A158" s="471"/>
      <c r="B158" s="454"/>
      <c r="C158" s="410"/>
      <c r="D158" s="309"/>
      <c r="E158" s="852"/>
      <c r="F158" s="304"/>
      <c r="G158" s="306"/>
      <c r="H158" s="307"/>
      <c r="I158" s="307"/>
      <c r="J158" s="307"/>
      <c r="K158" s="308"/>
      <c r="L158" s="1617"/>
      <c r="M158" s="306"/>
      <c r="N158" s="306"/>
    </row>
    <row r="159" spans="1:16" s="455" customFormat="1" ht="13.5">
      <c r="A159" s="471"/>
      <c r="B159" s="454"/>
      <c r="C159" s="410"/>
      <c r="D159" s="309"/>
      <c r="E159" s="852"/>
      <c r="F159" s="304"/>
      <c r="G159" s="306"/>
      <c r="H159" s="307"/>
      <c r="I159" s="307"/>
      <c r="J159" s="307"/>
      <c r="K159" s="308"/>
      <c r="L159" s="1617"/>
      <c r="M159" s="306"/>
      <c r="N159" s="306"/>
    </row>
    <row r="160" spans="1:16" s="455" customFormat="1" ht="13.5">
      <c r="A160" s="471"/>
      <c r="B160" s="454"/>
      <c r="C160" s="410"/>
      <c r="D160" s="309"/>
      <c r="E160" s="852"/>
      <c r="F160" s="304"/>
      <c r="G160" s="306"/>
      <c r="H160" s="307"/>
      <c r="I160" s="307"/>
      <c r="J160" s="307"/>
      <c r="K160" s="308"/>
      <c r="L160" s="1617"/>
      <c r="M160" s="306"/>
      <c r="N160" s="306"/>
    </row>
    <row r="161" spans="1:15" s="455" customFormat="1" ht="13.5">
      <c r="A161" s="471"/>
      <c r="B161" s="454"/>
      <c r="C161" s="410"/>
      <c r="D161" s="309"/>
      <c r="E161" s="852"/>
      <c r="F161" s="304"/>
      <c r="G161" s="306"/>
      <c r="H161" s="307"/>
      <c r="I161" s="307"/>
      <c r="J161" s="307"/>
      <c r="K161" s="308"/>
      <c r="L161" s="1617"/>
      <c r="M161" s="306"/>
      <c r="N161" s="306"/>
    </row>
    <row r="162" spans="1:15" s="455" customFormat="1" ht="13.5">
      <c r="A162" s="471"/>
      <c r="B162" s="454"/>
      <c r="C162" s="410"/>
      <c r="D162" s="309"/>
      <c r="E162" s="852"/>
      <c r="F162" s="304"/>
      <c r="G162" s="306"/>
      <c r="H162" s="307"/>
      <c r="I162" s="307"/>
      <c r="J162" s="307"/>
      <c r="K162" s="308"/>
      <c r="L162" s="1617"/>
      <c r="M162" s="306"/>
      <c r="N162" s="306"/>
    </row>
    <row r="163" spans="1:15" s="455" customFormat="1" ht="13.5">
      <c r="A163" s="471"/>
      <c r="B163" s="454"/>
      <c r="C163" s="410"/>
      <c r="D163" s="309"/>
      <c r="E163" s="852"/>
      <c r="F163" s="304"/>
      <c r="G163" s="306"/>
      <c r="H163" s="307"/>
      <c r="I163" s="307"/>
      <c r="J163" s="307"/>
      <c r="K163" s="308"/>
      <c r="L163" s="1617"/>
      <c r="M163" s="306"/>
      <c r="N163" s="306"/>
    </row>
    <row r="164" spans="1:15" s="455" customFormat="1" ht="13.5">
      <c r="A164" s="471"/>
      <c r="B164" s="454"/>
      <c r="C164" s="410"/>
      <c r="D164" s="309"/>
      <c r="E164" s="852"/>
      <c r="F164" s="304"/>
      <c r="G164" s="306"/>
      <c r="H164" s="307"/>
      <c r="I164" s="307"/>
      <c r="J164" s="307"/>
      <c r="K164" s="308"/>
      <c r="L164" s="2254">
        <f>SUM(L5:L162)</f>
        <v>1490136.5</v>
      </c>
      <c r="M164" s="306"/>
      <c r="N164" s="306"/>
    </row>
    <row r="165" spans="1:15" s="455" customFormat="1" ht="13.5">
      <c r="A165" s="471"/>
      <c r="B165" s="454"/>
      <c r="C165" s="410"/>
      <c r="D165" s="309"/>
      <c r="E165" s="852"/>
      <c r="F165" s="304"/>
      <c r="G165" s="306"/>
      <c r="H165" s="307"/>
      <c r="I165" s="307"/>
      <c r="J165" s="307"/>
      <c r="K165" s="308"/>
      <c r="L165" s="1617"/>
      <c r="M165" s="306"/>
      <c r="N165" s="306"/>
    </row>
    <row r="166" spans="1:15" s="455" customFormat="1" ht="13.5">
      <c r="A166" s="471"/>
      <c r="B166" s="454"/>
      <c r="C166" s="410"/>
      <c r="D166" s="309"/>
      <c r="E166" s="852"/>
      <c r="F166" s="304"/>
      <c r="G166" s="306"/>
      <c r="H166" s="307"/>
      <c r="I166" s="307"/>
      <c r="J166" s="307"/>
      <c r="K166" s="308"/>
      <c r="L166" s="1617"/>
      <c r="M166" s="306"/>
      <c r="N166" s="306"/>
    </row>
    <row r="167" spans="1:15" s="455" customFormat="1" ht="13.5">
      <c r="A167" s="471"/>
      <c r="B167" s="454"/>
      <c r="C167" s="410"/>
      <c r="D167" s="309"/>
      <c r="E167" s="852"/>
      <c r="F167" s="304"/>
      <c r="G167" s="306"/>
      <c r="H167" s="307"/>
      <c r="I167" s="307"/>
      <c r="J167" s="307"/>
      <c r="K167" s="308"/>
      <c r="L167" s="1617"/>
      <c r="M167" s="306"/>
      <c r="N167" s="306"/>
    </row>
    <row r="168" spans="1:15" s="455" customFormat="1" ht="13.5">
      <c r="A168" s="471"/>
      <c r="B168" s="454"/>
      <c r="C168" s="410"/>
      <c r="D168" s="309"/>
      <c r="E168" s="852"/>
      <c r="F168" s="304"/>
      <c r="G168" s="306"/>
      <c r="H168" s="307"/>
      <c r="I168" s="307"/>
      <c r="J168" s="307"/>
      <c r="K168" s="308"/>
      <c r="L168" s="1617"/>
      <c r="M168" s="306"/>
      <c r="N168" s="306"/>
    </row>
    <row r="169" spans="1:15" s="455" customFormat="1" ht="13.5">
      <c r="A169" s="471"/>
      <c r="B169" s="454"/>
      <c r="C169" s="410"/>
      <c r="D169" s="309"/>
      <c r="E169" s="852"/>
      <c r="F169" s="304"/>
      <c r="G169" s="306"/>
      <c r="H169" s="307"/>
      <c r="I169" s="307"/>
      <c r="J169" s="307"/>
      <c r="K169" s="308"/>
      <c r="L169" s="1617"/>
      <c r="M169" s="306"/>
      <c r="N169" s="306"/>
    </row>
    <row r="170" spans="1:15" s="455" customFormat="1" ht="13.5">
      <c r="A170" s="471"/>
      <c r="B170" s="454"/>
      <c r="C170" s="410"/>
      <c r="D170" s="309"/>
      <c r="E170" s="852"/>
      <c r="F170" s="304"/>
      <c r="G170" s="306"/>
      <c r="H170" s="307"/>
      <c r="I170" s="307"/>
      <c r="J170" s="307"/>
      <c r="K170" s="308"/>
      <c r="L170" s="1617"/>
      <c r="M170" s="306"/>
      <c r="N170" s="306"/>
    </row>
    <row r="171" spans="1:15" s="455" customFormat="1" ht="13.5">
      <c r="A171" s="471"/>
      <c r="B171" s="454"/>
      <c r="C171" s="410"/>
      <c r="D171" s="309"/>
      <c r="E171" s="852"/>
      <c r="F171" s="304"/>
      <c r="G171" s="306"/>
      <c r="H171" s="307"/>
      <c r="I171" s="307"/>
      <c r="J171" s="307"/>
      <c r="K171" s="308"/>
      <c r="L171" s="1617"/>
      <c r="M171" s="306"/>
      <c r="N171" s="306"/>
    </row>
    <row r="172" spans="1:15" s="455" customFormat="1" ht="13.5">
      <c r="A172" s="471"/>
      <c r="B172" s="454"/>
      <c r="C172" s="410"/>
      <c r="D172" s="309"/>
      <c r="E172" s="852"/>
      <c r="F172" s="304"/>
      <c r="G172" s="306"/>
      <c r="H172" s="307"/>
      <c r="I172" s="307"/>
      <c r="J172" s="307"/>
      <c r="K172" s="308"/>
      <c r="L172" s="1617"/>
      <c r="M172" s="306"/>
      <c r="N172" s="306"/>
    </row>
    <row r="173" spans="1:15" s="455" customFormat="1" ht="13.5">
      <c r="A173" s="471"/>
      <c r="B173" s="454"/>
      <c r="C173" s="410"/>
      <c r="D173" s="309"/>
      <c r="E173" s="852"/>
      <c r="F173" s="304"/>
      <c r="G173" s="306"/>
      <c r="H173" s="307"/>
      <c r="I173" s="307"/>
      <c r="J173" s="307"/>
      <c r="K173" s="308"/>
      <c r="L173" s="1617"/>
      <c r="M173" s="306"/>
      <c r="N173" s="306"/>
    </row>
    <row r="174" spans="1:15" s="455" customFormat="1" ht="13.5">
      <c r="A174" s="471"/>
      <c r="B174" s="454"/>
      <c r="C174" s="314"/>
      <c r="D174" s="309"/>
      <c r="E174" s="309"/>
      <c r="F174" s="309"/>
      <c r="G174" s="309"/>
      <c r="H174" s="309"/>
      <c r="I174" s="309"/>
      <c r="J174" s="309"/>
      <c r="K174" s="309"/>
      <c r="L174" s="309"/>
      <c r="M174" s="309"/>
      <c r="N174" s="309"/>
      <c r="O174" s="625"/>
    </row>
    <row r="175" spans="1:15" s="455" customFormat="1" ht="13.5">
      <c r="A175" s="471"/>
      <c r="B175" s="454"/>
      <c r="C175" s="314"/>
      <c r="D175" s="309"/>
      <c r="E175" s="309"/>
      <c r="F175" s="309"/>
      <c r="G175" s="497"/>
      <c r="H175" s="985"/>
      <c r="I175" s="985"/>
      <c r="J175" s="985"/>
      <c r="K175" s="499"/>
      <c r="L175" s="1025"/>
      <c r="M175" s="499"/>
      <c r="N175" s="625"/>
    </row>
    <row r="176" spans="1:15" s="455" customFormat="1" ht="13.5">
      <c r="A176" s="471"/>
      <c r="B176" s="454"/>
      <c r="C176" s="314"/>
      <c r="D176" s="309"/>
      <c r="E176" s="309"/>
      <c r="F176" s="309"/>
      <c r="G176" s="497"/>
      <c r="H176" s="985"/>
      <c r="I176" s="985"/>
      <c r="J176" s="985"/>
      <c r="K176" s="499"/>
      <c r="L176" s="1600">
        <f>SUM(L5:L9)</f>
        <v>237000</v>
      </c>
      <c r="M176" s="499"/>
      <c r="N176" s="1464"/>
    </row>
    <row r="177" spans="1:14" s="455" customFormat="1" ht="13.5">
      <c r="A177" s="471"/>
      <c r="B177" s="454"/>
      <c r="C177" s="314"/>
      <c r="D177" s="309"/>
      <c r="E177" s="309"/>
      <c r="F177" s="309"/>
      <c r="G177" s="497"/>
      <c r="H177" s="985"/>
      <c r="I177" s="985"/>
      <c r="J177" s="985"/>
      <c r="K177" s="499"/>
      <c r="L177" s="1025"/>
      <c r="M177" s="499"/>
      <c r="N177" s="1465"/>
    </row>
    <row r="178" spans="1:14" s="455" customFormat="1" ht="13.5">
      <c r="A178" s="471"/>
      <c r="B178" s="454"/>
      <c r="C178" s="2591"/>
      <c r="D178" s="309"/>
      <c r="E178" s="309"/>
      <c r="F178" s="309"/>
      <c r="G178" s="497"/>
      <c r="H178" s="1056"/>
      <c r="I178" s="985"/>
      <c r="J178" s="985"/>
      <c r="K178" s="499"/>
      <c r="L178" s="1025"/>
      <c r="M178" s="499"/>
    </row>
    <row r="179" spans="1:14" s="455" customFormat="1" ht="13.5">
      <c r="A179" s="471"/>
      <c r="B179" s="454"/>
      <c r="C179" s="2593"/>
      <c r="D179" s="309"/>
      <c r="E179" s="309"/>
      <c r="F179" s="309"/>
      <c r="G179" s="497"/>
      <c r="H179" s="1056"/>
      <c r="I179" s="985"/>
      <c r="J179" s="985"/>
      <c r="K179" s="499"/>
      <c r="L179" s="1025"/>
      <c r="M179" s="499"/>
    </row>
    <row r="180" spans="1:14" s="455" customFormat="1" ht="13.5">
      <c r="A180" s="471"/>
      <c r="B180" s="454"/>
      <c r="C180" s="2591"/>
      <c r="D180" s="309"/>
      <c r="E180" s="309"/>
      <c r="F180" s="309"/>
      <c r="G180" s="497"/>
      <c r="H180" s="1056"/>
      <c r="I180" s="985"/>
      <c r="J180" s="985"/>
      <c r="K180" s="499"/>
      <c r="L180" s="1025"/>
      <c r="M180" s="499"/>
    </row>
    <row r="181" spans="1:14" s="455" customFormat="1" ht="13.5">
      <c r="A181" s="471"/>
      <c r="B181" s="454"/>
      <c r="C181" s="2593"/>
      <c r="D181" s="309"/>
      <c r="E181" s="309"/>
      <c r="F181" s="309"/>
      <c r="G181" s="497"/>
      <c r="H181" s="1056"/>
      <c r="I181" s="985"/>
      <c r="J181" s="985"/>
      <c r="K181" s="499"/>
      <c r="L181" s="1025"/>
      <c r="M181" s="499"/>
    </row>
    <row r="182" spans="1:14" s="455" customFormat="1" ht="13.5">
      <c r="A182" s="471"/>
      <c r="B182" s="454"/>
      <c r="C182" s="314"/>
      <c r="D182" s="309"/>
      <c r="E182" s="309"/>
      <c r="F182" s="309"/>
      <c r="G182" s="497"/>
      <c r="H182" s="1056"/>
      <c r="I182" s="985"/>
      <c r="J182" s="985"/>
      <c r="K182" s="499"/>
      <c r="L182" s="1025"/>
      <c r="M182" s="499"/>
      <c r="N182" s="1466"/>
    </row>
    <row r="183" spans="1:14" s="455" customFormat="1" ht="13.5">
      <c r="A183" s="471"/>
      <c r="B183" s="454"/>
      <c r="C183" s="2679"/>
      <c r="D183" s="309"/>
      <c r="E183" s="309"/>
      <c r="F183" s="309"/>
      <c r="G183" s="497"/>
      <c r="H183" s="985"/>
      <c r="I183" s="985"/>
      <c r="J183" s="985"/>
      <c r="K183" s="499"/>
      <c r="L183" s="1025"/>
      <c r="M183" s="499"/>
      <c r="N183" s="1466"/>
    </row>
    <row r="184" spans="1:14" s="455" customFormat="1" ht="13.5">
      <c r="A184" s="471"/>
      <c r="B184" s="454"/>
      <c r="C184" s="2679"/>
      <c r="D184" s="309"/>
      <c r="E184" s="309"/>
      <c r="F184" s="309"/>
      <c r="G184" s="497"/>
      <c r="H184" s="985"/>
      <c r="I184" s="985"/>
      <c r="J184" s="985"/>
      <c r="K184" s="499"/>
      <c r="L184" s="1025"/>
      <c r="M184" s="499"/>
      <c r="N184" s="1467"/>
    </row>
    <row r="185" spans="1:14" s="455" customFormat="1" ht="13.5">
      <c r="A185" s="471"/>
      <c r="B185" s="454"/>
      <c r="C185" s="2679"/>
      <c r="D185" s="309"/>
      <c r="E185" s="309"/>
      <c r="F185" s="309"/>
      <c r="G185" s="497"/>
      <c r="H185" s="985"/>
      <c r="I185" s="985"/>
      <c r="J185" s="985"/>
      <c r="K185" s="499"/>
      <c r="L185" s="1025"/>
      <c r="M185" s="499"/>
      <c r="N185" s="1468"/>
    </row>
    <row r="186" spans="1:14" s="455" customFormat="1" ht="13.5">
      <c r="A186" s="471"/>
      <c r="B186" s="454"/>
      <c r="C186" s="2679"/>
      <c r="D186" s="309"/>
      <c r="E186" s="309"/>
      <c r="F186" s="309"/>
      <c r="G186" s="497"/>
      <c r="H186" s="985"/>
      <c r="I186" s="985"/>
      <c r="J186" s="985"/>
      <c r="K186" s="499"/>
      <c r="L186" s="1025"/>
      <c r="M186" s="499"/>
      <c r="N186" s="1468"/>
    </row>
    <row r="187" spans="1:14" s="455" customFormat="1" ht="13.5">
      <c r="A187" s="471"/>
      <c r="B187" s="454"/>
      <c r="C187" s="2591"/>
      <c r="D187" s="309"/>
      <c r="E187" s="309"/>
      <c r="F187" s="309"/>
      <c r="G187" s="497"/>
      <c r="H187" s="985"/>
      <c r="I187" s="985"/>
      <c r="J187" s="985"/>
      <c r="K187" s="499"/>
      <c r="L187" s="1025"/>
      <c r="M187" s="499"/>
      <c r="N187" s="1468"/>
    </row>
    <row r="188" spans="1:14" s="455" customFormat="1" ht="13.5">
      <c r="A188" s="471"/>
      <c r="B188" s="454"/>
      <c r="C188" s="2593"/>
      <c r="D188" s="309"/>
      <c r="E188" s="309"/>
      <c r="F188" s="309"/>
      <c r="G188" s="497"/>
      <c r="H188" s="985"/>
      <c r="I188" s="985"/>
      <c r="J188" s="985"/>
      <c r="K188" s="499"/>
      <c r="L188" s="1025"/>
      <c r="M188" s="499"/>
      <c r="N188" s="1468"/>
    </row>
    <row r="189" spans="1:14" s="455" customFormat="1" ht="13.5">
      <c r="A189" s="471"/>
      <c r="B189" s="454"/>
      <c r="C189" s="392"/>
      <c r="D189" s="309"/>
      <c r="E189" s="309"/>
      <c r="F189" s="309"/>
      <c r="G189" s="497"/>
      <c r="H189" s="1056"/>
      <c r="I189" s="985"/>
      <c r="J189" s="985"/>
      <c r="K189" s="499"/>
      <c r="L189" s="1025"/>
      <c r="M189" s="499"/>
      <c r="N189" s="1465"/>
    </row>
    <row r="190" spans="1:14" s="455" customFormat="1" ht="13.5">
      <c r="A190" s="471"/>
      <c r="B190" s="454"/>
      <c r="C190" s="392"/>
      <c r="D190" s="309"/>
      <c r="E190" s="309"/>
      <c r="F190" s="309"/>
      <c r="G190" s="497"/>
      <c r="H190" s="985"/>
      <c r="I190" s="985"/>
      <c r="J190" s="985"/>
      <c r="K190" s="499"/>
      <c r="L190" s="1025"/>
      <c r="M190" s="499"/>
    </row>
    <row r="191" spans="1:14" s="455" customFormat="1" ht="13.5">
      <c r="A191" s="471"/>
      <c r="B191" s="454"/>
      <c r="C191" s="987"/>
      <c r="D191" s="314"/>
      <c r="E191" s="662"/>
      <c r="F191" s="309"/>
      <c r="G191" s="497"/>
      <c r="H191" s="985"/>
      <c r="I191" s="985"/>
      <c r="J191" s="985"/>
      <c r="K191" s="499"/>
      <c r="L191" s="1025"/>
      <c r="M191" s="499"/>
      <c r="N191" s="454"/>
    </row>
    <row r="192" spans="1:14" s="455" customFormat="1" ht="13.5">
      <c r="A192" s="471"/>
      <c r="B192" s="454"/>
      <c r="C192" s="987"/>
      <c r="D192" s="314"/>
      <c r="E192" s="662"/>
      <c r="F192" s="309"/>
      <c r="G192" s="497"/>
      <c r="H192" s="985"/>
      <c r="I192" s="985"/>
      <c r="J192" s="985"/>
      <c r="K192" s="499"/>
      <c r="L192" s="1025"/>
      <c r="M192" s="499"/>
      <c r="N192" s="458"/>
    </row>
    <row r="193" spans="1:15" s="455" customFormat="1" ht="13.5">
      <c r="A193" s="471"/>
      <c r="B193" s="454"/>
      <c r="C193" s="987"/>
      <c r="D193" s="314"/>
      <c r="E193" s="662"/>
      <c r="F193" s="309"/>
      <c r="G193" s="497"/>
      <c r="H193" s="985"/>
      <c r="I193" s="985"/>
      <c r="J193" s="985"/>
      <c r="K193" s="499"/>
      <c r="L193" s="1065"/>
      <c r="M193" s="499"/>
      <c r="N193" s="458"/>
    </row>
    <row r="194" spans="1:15" s="455" customFormat="1" ht="13.5">
      <c r="A194" s="471"/>
      <c r="B194" s="454"/>
      <c r="C194" s="987"/>
      <c r="D194" s="309"/>
      <c r="E194" s="662"/>
      <c r="F194" s="309"/>
      <c r="G194" s="497"/>
      <c r="H194" s="985"/>
      <c r="I194" s="985"/>
      <c r="J194" s="985"/>
      <c r="K194" s="499"/>
      <c r="L194" s="1065"/>
      <c r="M194" s="499"/>
      <c r="N194" s="458"/>
    </row>
    <row r="195" spans="1:15" s="455" customFormat="1" ht="13.5">
      <c r="A195" s="471"/>
      <c r="B195" s="454"/>
      <c r="C195" s="314"/>
      <c r="D195" s="314"/>
      <c r="E195" s="309"/>
      <c r="F195" s="309"/>
      <c r="G195" s="497"/>
      <c r="H195" s="985"/>
      <c r="I195" s="985"/>
      <c r="J195" s="985"/>
      <c r="K195" s="309"/>
      <c r="L195" s="1015"/>
      <c r="M195" s="499"/>
      <c r="N195" s="458"/>
    </row>
    <row r="196" spans="1:15" s="455" customFormat="1" ht="13.5">
      <c r="A196" s="471"/>
      <c r="B196" s="454"/>
      <c r="C196" s="314"/>
      <c r="D196" s="314"/>
      <c r="E196" s="309"/>
      <c r="F196" s="309"/>
      <c r="G196" s="497"/>
      <c r="H196" s="985"/>
      <c r="I196" s="985"/>
      <c r="J196" s="985"/>
      <c r="K196" s="309"/>
      <c r="L196" s="1015"/>
      <c r="M196" s="499"/>
      <c r="N196" s="460"/>
    </row>
    <row r="197" spans="1:15" s="455" customFormat="1" ht="13.5">
      <c r="A197" s="471"/>
      <c r="B197" s="454"/>
      <c r="C197" s="314"/>
      <c r="D197" s="314"/>
      <c r="E197" s="560"/>
      <c r="F197" s="309"/>
      <c r="G197" s="497"/>
      <c r="H197" s="985"/>
      <c r="I197" s="985"/>
      <c r="J197" s="985"/>
      <c r="K197" s="309"/>
      <c r="L197" s="1015"/>
      <c r="M197" s="499"/>
      <c r="N197" s="454"/>
    </row>
    <row r="198" spans="1:15" s="455" customFormat="1" ht="13.5">
      <c r="A198" s="471"/>
      <c r="B198" s="454"/>
      <c r="C198" s="987"/>
      <c r="D198" s="314"/>
      <c r="E198" s="662"/>
      <c r="F198" s="309"/>
      <c r="G198" s="497"/>
      <c r="H198" s="985"/>
      <c r="I198" s="985"/>
      <c r="J198" s="985"/>
      <c r="K198" s="499"/>
      <c r="L198" s="1065"/>
      <c r="M198" s="499"/>
      <c r="N198" s="458"/>
    </row>
    <row r="199" spans="1:15" s="455" customFormat="1" ht="13.5">
      <c r="A199" s="471"/>
      <c r="B199" s="454"/>
      <c r="C199" s="392"/>
      <c r="D199" s="309"/>
      <c r="E199" s="309"/>
      <c r="F199" s="662"/>
      <c r="G199" s="309"/>
      <c r="H199" s="497"/>
      <c r="I199" s="985"/>
      <c r="J199" s="985"/>
      <c r="K199" s="1066"/>
      <c r="L199" s="1067"/>
      <c r="M199" s="1025"/>
      <c r="N199" s="1068"/>
      <c r="O199" s="458"/>
    </row>
    <row r="200" spans="1:15" s="455" customFormat="1" ht="13.5">
      <c r="A200" s="471"/>
      <c r="B200" s="454"/>
      <c r="C200" s="471"/>
      <c r="D200" s="456"/>
      <c r="E200" s="459"/>
      <c r="F200" s="466"/>
      <c r="G200" s="471"/>
      <c r="H200" s="477"/>
      <c r="I200" s="526"/>
      <c r="J200" s="526"/>
      <c r="K200" s="526"/>
      <c r="L200" s="473"/>
      <c r="M200" s="529"/>
      <c r="N200" s="471"/>
      <c r="O200" s="458"/>
    </row>
    <row r="201" spans="1:15" s="455" customFormat="1" ht="13.5">
      <c r="A201" s="471"/>
      <c r="B201" s="454"/>
      <c r="C201" s="471"/>
      <c r="D201" s="456"/>
      <c r="E201" s="459"/>
      <c r="F201" s="466"/>
      <c r="G201" s="471"/>
      <c r="H201" s="477"/>
      <c r="I201" s="526"/>
      <c r="J201" s="526"/>
      <c r="K201" s="526"/>
      <c r="L201" s="473"/>
      <c r="M201" s="529"/>
      <c r="N201" s="471"/>
      <c r="O201" s="458"/>
    </row>
    <row r="202" spans="1:15" s="455" customFormat="1" ht="13.5">
      <c r="A202" s="471"/>
      <c r="B202" s="454"/>
      <c r="C202" s="314"/>
      <c r="D202" s="309"/>
      <c r="E202" s="309"/>
      <c r="F202" s="309"/>
      <c r="G202" s="309"/>
      <c r="H202" s="309"/>
      <c r="I202" s="309"/>
      <c r="J202" s="309"/>
      <c r="K202" s="309"/>
      <c r="L202" s="309"/>
      <c r="M202" s="309"/>
      <c r="N202" s="309"/>
    </row>
    <row r="203" spans="1:15" s="455" customFormat="1" ht="13.5">
      <c r="A203" s="471"/>
      <c r="B203" s="454"/>
      <c r="C203" s="314"/>
      <c r="D203" s="314"/>
      <c r="E203" s="309"/>
      <c r="F203" s="309"/>
      <c r="G203" s="497"/>
      <c r="H203" s="1056"/>
      <c r="I203" s="309"/>
      <c r="J203" s="309"/>
      <c r="K203" s="499"/>
      <c r="L203" s="1069"/>
      <c r="M203" s="309"/>
      <c r="N203" s="454"/>
    </row>
    <row r="204" spans="1:15" s="455" customFormat="1" ht="13.5">
      <c r="A204" s="471"/>
      <c r="B204" s="454"/>
      <c r="C204" s="314"/>
      <c r="D204" s="314"/>
      <c r="E204" s="309"/>
      <c r="F204" s="309"/>
      <c r="G204" s="497"/>
      <c r="H204" s="1056"/>
      <c r="I204" s="309"/>
      <c r="J204" s="309"/>
      <c r="K204" s="499"/>
      <c r="L204" s="1069"/>
      <c r="M204" s="499"/>
      <c r="N204" s="458"/>
    </row>
    <row r="205" spans="1:15" s="455" customFormat="1" ht="13.5">
      <c r="A205" s="471"/>
      <c r="B205" s="454"/>
      <c r="C205" s="314"/>
      <c r="D205" s="314"/>
      <c r="E205" s="309"/>
      <c r="F205" s="309"/>
      <c r="G205" s="497"/>
      <c r="H205" s="1056"/>
      <c r="I205" s="309"/>
      <c r="J205" s="309"/>
      <c r="K205" s="499"/>
      <c r="L205" s="1069"/>
      <c r="M205" s="499"/>
      <c r="N205" s="458"/>
    </row>
    <row r="206" spans="1:15" s="455" customFormat="1" ht="13.5">
      <c r="A206" s="471"/>
      <c r="B206" s="454"/>
      <c r="C206" s="314"/>
      <c r="D206" s="314"/>
      <c r="E206" s="662"/>
      <c r="F206" s="309"/>
      <c r="G206" s="497"/>
      <c r="H206" s="1056"/>
      <c r="I206" s="985"/>
      <c r="J206" s="985"/>
      <c r="K206" s="499"/>
      <c r="L206" s="1016"/>
      <c r="M206" s="499"/>
      <c r="N206" s="458"/>
    </row>
    <row r="207" spans="1:15" s="455" customFormat="1" ht="13.5">
      <c r="A207" s="471"/>
      <c r="B207" s="454"/>
      <c r="C207" s="314"/>
      <c r="D207" s="314"/>
      <c r="E207" s="662"/>
      <c r="F207" s="309"/>
      <c r="G207" s="497"/>
      <c r="H207" s="1056"/>
      <c r="I207" s="985"/>
      <c r="J207" s="985"/>
      <c r="K207" s="499"/>
      <c r="L207" s="1016"/>
      <c r="M207" s="499"/>
      <c r="N207" s="458"/>
    </row>
    <row r="208" spans="1:15" s="455" customFormat="1" ht="13.5">
      <c r="A208" s="471"/>
      <c r="B208" s="454"/>
      <c r="C208" s="314"/>
      <c r="D208" s="314"/>
      <c r="E208" s="662"/>
      <c r="F208" s="309"/>
      <c r="G208" s="497"/>
      <c r="H208" s="1056"/>
      <c r="I208" s="985"/>
      <c r="J208" s="985"/>
      <c r="K208" s="499"/>
      <c r="L208" s="1071"/>
      <c r="M208" s="499"/>
    </row>
    <row r="209" spans="1:14" s="455" customFormat="1" ht="13.5">
      <c r="A209" s="471"/>
      <c r="B209" s="454"/>
      <c r="C209" s="314"/>
      <c r="D209" s="314"/>
      <c r="E209" s="662"/>
      <c r="F209" s="309"/>
      <c r="G209" s="497"/>
      <c r="H209" s="1056"/>
      <c r="I209" s="985"/>
      <c r="J209" s="985"/>
      <c r="K209" s="499"/>
      <c r="L209" s="1071"/>
      <c r="M209" s="499"/>
    </row>
    <row r="210" spans="1:14" s="455" customFormat="1" ht="13.5">
      <c r="A210" s="471"/>
      <c r="B210" s="454"/>
      <c r="C210" s="314"/>
      <c r="D210" s="314"/>
      <c r="E210" s="662"/>
      <c r="F210" s="309"/>
      <c r="G210" s="497"/>
      <c r="H210" s="1056"/>
      <c r="I210" s="985"/>
      <c r="J210" s="985"/>
      <c r="K210" s="499"/>
      <c r="L210" s="1016"/>
      <c r="M210" s="499"/>
    </row>
    <row r="211" spans="1:14" s="455" customFormat="1" ht="13.5">
      <c r="A211" s="471"/>
      <c r="B211" s="454"/>
      <c r="C211" s="314"/>
      <c r="D211" s="314"/>
      <c r="E211" s="662"/>
      <c r="F211" s="309"/>
      <c r="G211" s="497"/>
      <c r="H211" s="1056"/>
      <c r="I211" s="985"/>
      <c r="J211" s="985"/>
      <c r="K211" s="499"/>
      <c r="L211" s="1016"/>
      <c r="M211" s="499"/>
    </row>
    <row r="212" spans="1:14" s="455" customFormat="1" ht="13.5">
      <c r="A212" s="471"/>
      <c r="B212" s="454"/>
      <c r="C212" s="314"/>
      <c r="D212" s="314"/>
      <c r="E212" s="662"/>
      <c r="F212" s="309"/>
      <c r="G212" s="497"/>
      <c r="H212" s="1056"/>
      <c r="I212" s="985"/>
      <c r="J212" s="985"/>
      <c r="K212" s="499"/>
      <c r="L212" s="1016"/>
      <c r="M212" s="499"/>
      <c r="N212" s="458"/>
    </row>
    <row r="213" spans="1:14" s="455" customFormat="1" ht="13.5">
      <c r="A213" s="471"/>
      <c r="B213" s="454"/>
      <c r="C213" s="314"/>
      <c r="D213" s="314"/>
      <c r="E213" s="662"/>
      <c r="F213" s="309"/>
      <c r="G213" s="497"/>
      <c r="H213" s="1056"/>
      <c r="I213" s="985"/>
      <c r="J213" s="985"/>
      <c r="K213" s="499"/>
      <c r="L213" s="1016"/>
      <c r="M213" s="499"/>
      <c r="N213" s="458"/>
    </row>
    <row r="214" spans="1:14" s="455" customFormat="1" ht="13.5">
      <c r="A214" s="471"/>
      <c r="B214" s="454"/>
      <c r="C214" s="314"/>
      <c r="D214" s="314"/>
      <c r="E214" s="662"/>
      <c r="F214" s="309"/>
      <c r="G214" s="497"/>
      <c r="H214" s="1056"/>
      <c r="I214" s="985"/>
      <c r="J214" s="985"/>
      <c r="K214" s="499"/>
      <c r="L214" s="1016"/>
      <c r="M214" s="499"/>
      <c r="N214" s="458"/>
    </row>
    <row r="215" spans="1:14" s="455" customFormat="1" ht="13.5">
      <c r="A215" s="471"/>
      <c r="B215" s="454"/>
      <c r="C215" s="2591"/>
      <c r="D215" s="314"/>
      <c r="E215" s="662"/>
      <c r="F215" s="309"/>
      <c r="G215" s="497"/>
      <c r="H215" s="1056"/>
      <c r="I215" s="985"/>
      <c r="J215" s="985"/>
      <c r="K215" s="499"/>
      <c r="L215" s="1016"/>
      <c r="M215" s="499"/>
    </row>
    <row r="216" spans="1:14" s="455" customFormat="1" ht="13.5">
      <c r="A216" s="471"/>
      <c r="B216" s="454"/>
      <c r="C216" s="2593"/>
      <c r="D216" s="314"/>
      <c r="E216" s="662"/>
      <c r="F216" s="309"/>
      <c r="G216" s="497"/>
      <c r="H216" s="1056"/>
      <c r="I216" s="985"/>
      <c r="J216" s="985"/>
      <c r="K216" s="499"/>
      <c r="L216" s="1016"/>
      <c r="M216" s="499"/>
      <c r="N216" s="454"/>
    </row>
    <row r="217" spans="1:14" s="455" customFormat="1" ht="13.5">
      <c r="A217" s="471"/>
      <c r="B217" s="454"/>
      <c r="C217" s="2591"/>
      <c r="D217" s="314"/>
      <c r="E217" s="662"/>
      <c r="F217" s="309"/>
      <c r="G217" s="497"/>
      <c r="H217" s="1056"/>
      <c r="I217" s="985"/>
      <c r="J217" s="985"/>
      <c r="K217" s="499"/>
      <c r="L217" s="1016"/>
      <c r="M217" s="499"/>
      <c r="N217" s="458"/>
    </row>
    <row r="218" spans="1:14" s="455" customFormat="1" ht="13.5">
      <c r="A218" s="471"/>
      <c r="B218" s="454"/>
      <c r="C218" s="2592"/>
      <c r="D218" s="314"/>
      <c r="E218" s="662"/>
      <c r="F218" s="309"/>
      <c r="G218" s="497"/>
      <c r="H218" s="1056"/>
      <c r="I218" s="985"/>
      <c r="J218" s="985"/>
      <c r="K218" s="499"/>
      <c r="L218" s="1016"/>
      <c r="M218" s="499"/>
      <c r="N218" s="458"/>
    </row>
    <row r="219" spans="1:14" s="455" customFormat="1" ht="13.5">
      <c r="A219" s="471"/>
      <c r="B219" s="454"/>
      <c r="C219" s="2593"/>
      <c r="D219" s="314"/>
      <c r="E219" s="662"/>
      <c r="F219" s="309"/>
      <c r="G219" s="497"/>
      <c r="H219" s="1056"/>
      <c r="I219" s="985"/>
      <c r="J219" s="985"/>
      <c r="K219" s="499"/>
      <c r="L219" s="1016"/>
      <c r="M219" s="499"/>
      <c r="N219" s="458"/>
    </row>
    <row r="220" spans="1:14" s="455" customFormat="1" ht="13.5">
      <c r="A220" s="471"/>
      <c r="B220" s="454"/>
      <c r="C220" s="314"/>
      <c r="D220" s="314"/>
      <c r="E220" s="662"/>
      <c r="F220" s="309"/>
      <c r="G220" s="497"/>
      <c r="H220" s="985"/>
      <c r="I220" s="985"/>
      <c r="J220" s="985"/>
      <c r="K220" s="499"/>
      <c r="L220" s="1016"/>
      <c r="M220" s="499"/>
      <c r="N220" s="458"/>
    </row>
    <row r="221" spans="1:14" s="455" customFormat="1" ht="13.5">
      <c r="A221" s="471"/>
      <c r="B221" s="454"/>
      <c r="C221" s="314"/>
      <c r="D221" s="314"/>
      <c r="E221" s="662"/>
      <c r="F221" s="309"/>
      <c r="G221" s="497"/>
      <c r="H221" s="985"/>
      <c r="I221" s="985"/>
      <c r="J221" s="985"/>
      <c r="K221" s="499"/>
      <c r="L221" s="1016"/>
      <c r="M221" s="499"/>
      <c r="N221" s="460"/>
    </row>
    <row r="222" spans="1:14" s="455" customFormat="1" ht="13.5">
      <c r="C222" s="314"/>
      <c r="D222" s="314"/>
      <c r="E222" s="662"/>
      <c r="F222" s="662"/>
      <c r="G222" s="309"/>
      <c r="H222" s="497"/>
      <c r="I222" s="1056"/>
      <c r="J222" s="985"/>
      <c r="K222" s="985"/>
      <c r="L222" s="499"/>
      <c r="M222" s="1025"/>
      <c r="N222" s="499"/>
    </row>
    <row r="223" spans="1:14" s="455" customFormat="1" ht="13.5">
      <c r="C223" s="902"/>
      <c r="D223" s="309"/>
      <c r="E223" s="662"/>
      <c r="F223" s="662"/>
      <c r="G223" s="309"/>
      <c r="H223" s="497"/>
      <c r="I223" s="653"/>
      <c r="J223" s="985"/>
      <c r="K223" s="1469"/>
      <c r="L223" s="499"/>
      <c r="M223" s="1025"/>
      <c r="N223" s="499"/>
    </row>
    <row r="224" spans="1:14" s="455" customFormat="1" ht="13.5">
      <c r="A224" s="566"/>
      <c r="B224" s="467"/>
      <c r="C224" s="499"/>
      <c r="D224" s="309"/>
      <c r="E224" s="391"/>
      <c r="F224" s="499"/>
      <c r="G224" s="497"/>
      <c r="H224" s="498"/>
      <c r="I224" s="498"/>
      <c r="J224" s="498"/>
      <c r="K224" s="499"/>
      <c r="L224" s="1470"/>
      <c r="M224" s="309"/>
      <c r="N224" s="499"/>
    </row>
    <row r="225" spans="1:15" s="455" customFormat="1" ht="13.5">
      <c r="A225" s="566"/>
      <c r="B225" s="467"/>
      <c r="C225" s="497"/>
      <c r="D225" s="691"/>
      <c r="E225" s="675"/>
      <c r="F225" s="675"/>
      <c r="G225" s="654"/>
      <c r="H225" s="502"/>
      <c r="I225" s="652"/>
      <c r="J225" s="497"/>
      <c r="K225" s="653"/>
      <c r="L225" s="502"/>
      <c r="M225" s="538"/>
      <c r="N225" s="392"/>
      <c r="O225" s="502"/>
    </row>
    <row r="226" spans="1:15" s="455" customFormat="1" ht="13.5">
      <c r="A226" s="566"/>
      <c r="B226" s="467"/>
      <c r="C226" s="497"/>
      <c r="D226" s="691"/>
      <c r="E226" s="675"/>
      <c r="F226" s="675"/>
      <c r="G226" s="654"/>
      <c r="H226" s="502"/>
      <c r="I226" s="652"/>
      <c r="J226" s="497"/>
      <c r="K226" s="653"/>
      <c r="L226" s="502"/>
      <c r="M226" s="538"/>
      <c r="N226" s="392"/>
      <c r="O226" s="502"/>
    </row>
    <row r="227" spans="1:15" s="455" customFormat="1" ht="13.5">
      <c r="A227" s="566"/>
      <c r="B227" s="467"/>
      <c r="C227" s="497"/>
      <c r="D227" s="691"/>
      <c r="E227" s="675"/>
      <c r="F227" s="675"/>
      <c r="G227" s="654"/>
      <c r="H227" s="502"/>
      <c r="I227" s="652"/>
      <c r="J227" s="497"/>
      <c r="K227" s="653"/>
      <c r="L227" s="502"/>
      <c r="M227" s="538"/>
      <c r="N227" s="392"/>
      <c r="O227" s="502"/>
    </row>
    <row r="228" spans="1:15" s="455" customFormat="1" ht="13.5">
      <c r="A228" s="566"/>
      <c r="B228" s="467"/>
      <c r="C228" s="497"/>
      <c r="D228" s="691"/>
      <c r="E228" s="675"/>
      <c r="F228" s="675"/>
      <c r="G228" s="654"/>
      <c r="H228" s="502"/>
      <c r="I228" s="652"/>
      <c r="J228" s="497"/>
      <c r="K228" s="653"/>
      <c r="L228" s="502"/>
      <c r="M228" s="538"/>
      <c r="N228" s="392"/>
      <c r="O228" s="502"/>
    </row>
    <row r="229" spans="1:15" s="455" customFormat="1" ht="13.5">
      <c r="C229" s="1384"/>
      <c r="D229" s="314"/>
      <c r="E229" s="662"/>
      <c r="F229" s="662"/>
      <c r="G229" s="309"/>
      <c r="H229" s="497"/>
      <c r="I229" s="653"/>
      <c r="J229" s="985"/>
      <c r="K229" s="1469"/>
      <c r="L229" s="499"/>
      <c r="M229" s="1025"/>
      <c r="N229" s="499"/>
    </row>
    <row r="230" spans="1:15" s="455" customFormat="1" ht="13.5">
      <c r="C230" s="1384"/>
      <c r="D230" s="314"/>
      <c r="E230" s="662"/>
      <c r="F230" s="662"/>
      <c r="G230" s="309"/>
      <c r="H230" s="497"/>
      <c r="I230" s="653"/>
      <c r="J230" s="985"/>
      <c r="K230" s="1469"/>
      <c r="L230" s="499"/>
      <c r="M230" s="1025"/>
      <c r="N230" s="499"/>
    </row>
    <row r="231" spans="1:15" s="455" customFormat="1" ht="13.5">
      <c r="A231" s="566"/>
      <c r="B231" s="467"/>
      <c r="C231" s="499"/>
      <c r="D231" s="309"/>
      <c r="E231" s="391"/>
      <c r="F231" s="499"/>
      <c r="G231" s="497"/>
      <c r="H231" s="498"/>
      <c r="I231" s="498"/>
      <c r="J231" s="498"/>
      <c r="K231" s="499"/>
      <c r="L231" s="1470"/>
      <c r="M231" s="309"/>
      <c r="N231" s="499"/>
    </row>
    <row r="232" spans="1:15" s="455" customFormat="1" ht="13.5">
      <c r="A232" s="566"/>
      <c r="B232" s="467"/>
      <c r="C232" s="497"/>
      <c r="D232" s="691"/>
      <c r="E232" s="675"/>
      <c r="F232" s="675"/>
      <c r="G232" s="654"/>
      <c r="H232" s="502"/>
      <c r="I232" s="652"/>
      <c r="J232" s="497"/>
      <c r="K232" s="653"/>
      <c r="L232" s="502"/>
      <c r="M232" s="538"/>
      <c r="N232" s="392"/>
      <c r="O232" s="502"/>
    </row>
    <row r="233" spans="1:15" s="455" customFormat="1" ht="13.5">
      <c r="A233" s="566"/>
      <c r="B233" s="467"/>
      <c r="C233" s="497"/>
      <c r="D233" s="691"/>
      <c r="E233" s="675"/>
      <c r="F233" s="675"/>
      <c r="G233" s="654"/>
      <c r="H233" s="502"/>
      <c r="I233" s="652"/>
      <c r="J233" s="497"/>
      <c r="K233" s="653"/>
      <c r="L233" s="502"/>
      <c r="M233" s="538"/>
      <c r="N233" s="392"/>
      <c r="O233" s="502"/>
    </row>
    <row r="234" spans="1:15" s="455" customFormat="1" ht="13.5">
      <c r="A234" s="566"/>
      <c r="B234" s="467"/>
      <c r="C234" s="497"/>
      <c r="D234" s="691"/>
      <c r="E234" s="675"/>
      <c r="F234" s="675"/>
      <c r="G234" s="654"/>
      <c r="H234" s="502"/>
      <c r="I234" s="652"/>
      <c r="J234" s="497"/>
      <c r="K234" s="653"/>
      <c r="L234" s="502"/>
      <c r="M234" s="538"/>
      <c r="N234" s="392"/>
      <c r="O234" s="502"/>
    </row>
    <row r="235" spans="1:15" s="455" customFormat="1" ht="13.5">
      <c r="A235" s="566"/>
      <c r="B235" s="467"/>
      <c r="C235" s="497"/>
      <c r="D235" s="691"/>
      <c r="E235" s="675"/>
      <c r="F235" s="675"/>
      <c r="G235" s="654"/>
      <c r="H235" s="502"/>
      <c r="I235" s="652"/>
      <c r="J235" s="497"/>
      <c r="K235" s="653"/>
      <c r="L235" s="502"/>
      <c r="M235" s="538"/>
      <c r="N235" s="392"/>
      <c r="O235" s="502"/>
    </row>
    <row r="236" spans="1:15" s="455" customFormat="1" ht="13.5">
      <c r="C236" s="1385"/>
      <c r="D236" s="314"/>
      <c r="E236" s="991"/>
      <c r="F236" s="662"/>
      <c r="G236" s="309"/>
      <c r="H236" s="497"/>
      <c r="I236" s="774"/>
      <c r="J236" s="774"/>
      <c r="K236" s="774"/>
      <c r="L236" s="499"/>
      <c r="M236" s="1028"/>
      <c r="N236" s="499"/>
    </row>
    <row r="237" spans="1:15" s="455" customFormat="1" ht="13.5">
      <c r="C237" s="314"/>
      <c r="D237" s="314"/>
      <c r="E237" s="991"/>
      <c r="F237" s="662"/>
      <c r="G237" s="309"/>
      <c r="H237" s="497"/>
      <c r="I237" s="774"/>
      <c r="J237" s="774"/>
      <c r="K237" s="1471"/>
      <c r="L237" s="499"/>
      <c r="M237" s="1028"/>
      <c r="N237" s="499"/>
    </row>
    <row r="238" spans="1:15" s="455" customFormat="1" ht="13.5">
      <c r="C238" s="1027"/>
      <c r="D238" s="314"/>
      <c r="E238" s="991"/>
      <c r="F238" s="662"/>
      <c r="G238" s="309"/>
      <c r="H238" s="497"/>
      <c r="I238" s="1056"/>
      <c r="J238" s="985"/>
      <c r="K238" s="985"/>
      <c r="L238" s="499"/>
      <c r="M238" s="1028"/>
      <c r="N238" s="499"/>
    </row>
    <row r="239" spans="1:15" s="455" customFormat="1" ht="13.5">
      <c r="C239" s="499"/>
      <c r="D239" s="309"/>
      <c r="E239" s="391"/>
      <c r="F239" s="499"/>
      <c r="G239" s="497"/>
      <c r="H239" s="498"/>
      <c r="I239" s="498"/>
      <c r="J239" s="498"/>
      <c r="K239" s="499"/>
      <c r="L239" s="1472"/>
      <c r="M239" s="309"/>
      <c r="N239" s="499"/>
    </row>
    <row r="240" spans="1:15" s="455" customFormat="1" ht="13.5">
      <c r="C240" s="497"/>
      <c r="D240" s="691"/>
      <c r="E240" s="675"/>
      <c r="F240" s="675"/>
      <c r="G240" s="654"/>
      <c r="H240" s="502"/>
      <c r="I240" s="652"/>
      <c r="J240" s="497"/>
      <c r="K240" s="653"/>
      <c r="L240" s="502"/>
      <c r="M240" s="538"/>
      <c r="N240" s="392"/>
      <c r="O240" s="502"/>
    </row>
    <row r="241" spans="3:15" s="455" customFormat="1" ht="13.5">
      <c r="C241" s="497"/>
      <c r="D241" s="691"/>
      <c r="E241" s="675"/>
      <c r="F241" s="675"/>
      <c r="G241" s="654"/>
      <c r="H241" s="502"/>
      <c r="I241" s="652"/>
      <c r="J241" s="497"/>
      <c r="K241" s="653"/>
      <c r="L241" s="502"/>
      <c r="M241" s="538"/>
      <c r="N241" s="392"/>
      <c r="O241" s="502"/>
    </row>
    <row r="242" spans="3:15" s="455" customFormat="1" ht="13.5">
      <c r="C242" s="497"/>
      <c r="D242" s="691"/>
      <c r="E242" s="675"/>
      <c r="F242" s="675"/>
      <c r="G242" s="654"/>
      <c r="H242" s="502"/>
      <c r="I242" s="652"/>
      <c r="J242" s="497"/>
      <c r="K242" s="653"/>
      <c r="L242" s="502"/>
      <c r="M242" s="538"/>
      <c r="N242" s="392"/>
      <c r="O242" s="502"/>
    </row>
    <row r="243" spans="3:15" s="455" customFormat="1" ht="13.5">
      <c r="C243" s="497"/>
      <c r="D243" s="691"/>
      <c r="E243" s="675"/>
      <c r="F243" s="675"/>
      <c r="G243" s="654"/>
      <c r="H243" s="502"/>
      <c r="I243" s="652"/>
      <c r="J243" s="497"/>
      <c r="K243" s="653"/>
      <c r="L243" s="502"/>
      <c r="M243" s="538"/>
      <c r="N243" s="392"/>
      <c r="O243" s="502"/>
    </row>
    <row r="244" spans="3:15" s="455" customFormat="1" ht="13.5">
      <c r="C244" s="497"/>
      <c r="D244" s="691"/>
      <c r="E244" s="675"/>
      <c r="F244" s="675"/>
      <c r="G244" s="654"/>
      <c r="H244" s="502"/>
      <c r="I244" s="652"/>
      <c r="J244" s="497"/>
      <c r="K244" s="653"/>
      <c r="L244" s="502"/>
      <c r="M244" s="538"/>
      <c r="N244" s="392"/>
      <c r="O244" s="502"/>
    </row>
    <row r="245" spans="3:15" s="455" customFormat="1" ht="13.5">
      <c r="C245" s="497"/>
      <c r="D245" s="691"/>
      <c r="E245" s="675"/>
      <c r="F245" s="675"/>
      <c r="G245" s="654"/>
      <c r="H245" s="502"/>
      <c r="I245" s="652"/>
      <c r="J245" s="497"/>
      <c r="K245" s="653"/>
      <c r="L245" s="502"/>
      <c r="M245" s="538"/>
      <c r="N245" s="392"/>
      <c r="O245" s="502"/>
    </row>
    <row r="246" spans="3:15" s="455" customFormat="1" ht="13.5">
      <c r="C246" s="497"/>
      <c r="D246" s="691"/>
      <c r="E246" s="675"/>
      <c r="F246" s="1473"/>
      <c r="G246" s="654"/>
      <c r="H246" s="502"/>
      <c r="I246" s="652"/>
      <c r="J246" s="497"/>
      <c r="K246" s="653"/>
      <c r="L246" s="502"/>
      <c r="M246" s="538"/>
      <c r="N246" s="392"/>
      <c r="O246" s="502"/>
    </row>
    <row r="247" spans="3:15" s="355" customFormat="1" ht="13.5">
      <c r="C247" s="400"/>
      <c r="D247" s="400"/>
      <c r="E247" s="401"/>
      <c r="F247" s="402"/>
      <c r="G247" s="402"/>
      <c r="H247" s="403"/>
      <c r="I247" s="403"/>
      <c r="J247" s="403"/>
      <c r="K247" s="402"/>
      <c r="L247" s="404"/>
      <c r="M247" s="402"/>
      <c r="N247" s="405"/>
    </row>
    <row r="248" spans="3:15" s="355" customFormat="1" ht="13.5">
      <c r="C248" s="400"/>
      <c r="D248" s="400"/>
      <c r="E248" s="401"/>
      <c r="F248" s="402"/>
      <c r="G248" s="402"/>
      <c r="H248" s="403"/>
      <c r="I248" s="403"/>
      <c r="J248" s="403"/>
      <c r="K248" s="402"/>
      <c r="L248" s="404"/>
      <c r="M248" s="402"/>
      <c r="N248" s="405"/>
    </row>
    <row r="249" spans="3:15" s="355" customFormat="1" ht="13.5">
      <c r="C249" s="400"/>
      <c r="D249" s="400"/>
      <c r="E249" s="401"/>
      <c r="F249" s="402"/>
      <c r="G249" s="402"/>
      <c r="H249" s="403"/>
      <c r="I249" s="403"/>
      <c r="J249" s="403"/>
      <c r="K249" s="402"/>
      <c r="L249" s="404"/>
      <c r="M249" s="402"/>
      <c r="N249" s="405"/>
    </row>
    <row r="250" spans="3:15" s="355" customFormat="1" ht="13.5">
      <c r="C250" s="400"/>
      <c r="D250" s="400"/>
      <c r="E250" s="401"/>
      <c r="F250" s="402"/>
      <c r="G250" s="402"/>
      <c r="H250" s="403"/>
      <c r="I250" s="403"/>
      <c r="J250" s="403"/>
      <c r="K250" s="402"/>
      <c r="L250" s="404"/>
      <c r="M250" s="402"/>
      <c r="N250" s="405"/>
    </row>
    <row r="251" spans="3:15" s="355" customFormat="1" ht="13.5">
      <c r="C251" s="400"/>
      <c r="D251" s="400"/>
      <c r="E251" s="401"/>
      <c r="F251" s="402"/>
      <c r="G251" s="402"/>
      <c r="H251" s="403"/>
      <c r="I251" s="403"/>
      <c r="J251" s="403"/>
      <c r="K251" s="402"/>
      <c r="L251" s="404"/>
      <c r="M251" s="402"/>
      <c r="N251" s="405"/>
    </row>
    <row r="252" spans="3:15" s="355" customFormat="1" ht="13.5">
      <c r="C252" s="400"/>
      <c r="D252" s="400"/>
      <c r="E252" s="401"/>
      <c r="F252" s="402"/>
      <c r="G252" s="402"/>
      <c r="H252" s="403"/>
      <c r="I252" s="403"/>
      <c r="J252" s="403"/>
      <c r="K252" s="402"/>
      <c r="L252" s="404"/>
      <c r="M252" s="402"/>
      <c r="N252" s="405"/>
    </row>
    <row r="253" spans="3:15" s="355" customFormat="1" ht="13.5">
      <c r="C253" s="400"/>
      <c r="D253" s="400"/>
      <c r="E253" s="401"/>
      <c r="F253" s="402"/>
      <c r="G253" s="402"/>
      <c r="H253" s="403"/>
      <c r="I253" s="403"/>
      <c r="J253" s="403"/>
      <c r="K253" s="402"/>
      <c r="L253" s="404"/>
      <c r="M253" s="402"/>
      <c r="N253" s="405"/>
    </row>
    <row r="254" spans="3:15" s="355" customFormat="1" ht="13.5">
      <c r="C254" s="400"/>
      <c r="D254" s="400"/>
      <c r="E254" s="401"/>
      <c r="F254" s="402"/>
      <c r="G254" s="402"/>
      <c r="H254" s="403"/>
      <c r="I254" s="403"/>
      <c r="J254" s="403"/>
      <c r="K254" s="402"/>
      <c r="L254" s="404"/>
      <c r="M254" s="402"/>
      <c r="N254" s="405"/>
    </row>
    <row r="255" spans="3:15" s="355" customFormat="1" ht="13.5">
      <c r="C255" s="400"/>
      <c r="D255" s="400"/>
      <c r="E255" s="401"/>
      <c r="F255" s="402"/>
      <c r="G255" s="402"/>
      <c r="H255" s="403"/>
      <c r="I255" s="403"/>
      <c r="J255" s="403"/>
      <c r="K255" s="402"/>
      <c r="L255" s="404"/>
      <c r="M255" s="402"/>
      <c r="N255" s="405"/>
    </row>
    <row r="256" spans="3:15" s="355" customFormat="1" ht="13.5">
      <c r="C256" s="400"/>
      <c r="D256" s="400"/>
      <c r="E256" s="401"/>
      <c r="F256" s="402"/>
      <c r="G256" s="402"/>
      <c r="H256" s="403"/>
      <c r="I256" s="403"/>
      <c r="J256" s="403"/>
      <c r="K256" s="402"/>
      <c r="L256" s="404"/>
      <c r="M256" s="402"/>
      <c r="N256" s="405"/>
    </row>
    <row r="257" spans="3:14" s="355" customFormat="1" ht="13.5">
      <c r="C257" s="400"/>
      <c r="D257" s="400"/>
      <c r="E257" s="401"/>
      <c r="F257" s="402"/>
      <c r="G257" s="402"/>
      <c r="H257" s="403"/>
      <c r="I257" s="403"/>
      <c r="J257" s="403"/>
      <c r="K257" s="402"/>
      <c r="L257" s="404"/>
      <c r="M257" s="402"/>
      <c r="N257" s="405"/>
    </row>
    <row r="258" spans="3:14" s="355" customFormat="1" ht="13.5">
      <c r="C258" s="400"/>
      <c r="D258" s="400"/>
      <c r="E258" s="401"/>
      <c r="F258" s="402"/>
      <c r="G258" s="402"/>
      <c r="H258" s="403"/>
      <c r="I258" s="403"/>
      <c r="J258" s="403"/>
      <c r="K258" s="402"/>
      <c r="L258" s="404"/>
      <c r="M258" s="402"/>
      <c r="N258" s="405"/>
    </row>
    <row r="259" spans="3:14" s="355" customFormat="1" ht="13.5">
      <c r="C259" s="400"/>
      <c r="D259" s="400"/>
      <c r="E259" s="401"/>
      <c r="F259" s="402"/>
      <c r="G259" s="402"/>
      <c r="H259" s="403"/>
      <c r="I259" s="403"/>
      <c r="J259" s="403"/>
      <c r="K259" s="402"/>
      <c r="L259" s="404"/>
      <c r="M259" s="407"/>
      <c r="N259" s="405"/>
    </row>
    <row r="260" spans="3:14" s="355" customFormat="1" ht="13.5">
      <c r="C260" s="400"/>
      <c r="D260" s="400"/>
      <c r="E260" s="401"/>
      <c r="F260" s="402"/>
      <c r="G260" s="403"/>
      <c r="H260" s="403"/>
      <c r="I260" s="403"/>
      <c r="J260" s="403"/>
      <c r="K260" s="408"/>
      <c r="L260" s="404"/>
      <c r="M260" s="407"/>
      <c r="N260" s="405"/>
    </row>
    <row r="261" spans="3:14" s="355" customFormat="1" ht="13.5">
      <c r="C261" s="352"/>
      <c r="D261" s="352"/>
      <c r="E261" s="352"/>
      <c r="F261" s="352"/>
      <c r="G261" s="352"/>
      <c r="H261" s="352"/>
      <c r="I261" s="352"/>
      <c r="J261" s="352"/>
      <c r="K261" s="352"/>
      <c r="L261" s="1403">
        <f>SUM(L5:L259)</f>
        <v>3217273</v>
      </c>
      <c r="M261" s="352"/>
      <c r="N261" s="352"/>
    </row>
    <row r="262" spans="3:14" ht="14.25" customHeight="1">
      <c r="C262" s="367"/>
      <c r="D262" s="368"/>
      <c r="E262" s="369"/>
      <c r="F262" s="370"/>
      <c r="G262" s="370"/>
      <c r="H262" s="371"/>
      <c r="I262" s="371"/>
      <c r="J262" s="371"/>
      <c r="K262" s="370"/>
      <c r="L262" s="372"/>
      <c r="M262" s="370"/>
      <c r="N262" s="368"/>
    </row>
    <row r="263" spans="3:14" s="2255" customFormat="1" ht="14.25" customHeight="1">
      <c r="C263" s="367"/>
      <c r="D263" s="368"/>
      <c r="E263" s="373"/>
      <c r="F263" s="370"/>
      <c r="G263" s="370"/>
      <c r="H263" s="371"/>
      <c r="I263" s="371"/>
      <c r="J263" s="371"/>
      <c r="K263" s="370"/>
      <c r="L263" s="372"/>
      <c r="M263" s="370"/>
      <c r="N263" s="368"/>
    </row>
    <row r="264" spans="3:14" s="2255" customFormat="1" ht="14.25" customHeight="1">
      <c r="C264" s="374"/>
      <c r="D264" s="375"/>
      <c r="E264" s="373"/>
      <c r="F264" s="376"/>
      <c r="G264" s="376"/>
      <c r="H264" s="377"/>
      <c r="I264" s="377"/>
      <c r="J264" s="377"/>
      <c r="K264" s="376"/>
      <c r="L264" s="378"/>
      <c r="M264" s="376"/>
      <c r="N264" s="375"/>
    </row>
  </sheetData>
  <mergeCells count="26">
    <mergeCell ref="P58:P59"/>
    <mergeCell ref="H56:H57"/>
    <mergeCell ref="I56:I57"/>
    <mergeCell ref="J56:J57"/>
    <mergeCell ref="L58:L59"/>
    <mergeCell ref="M58:M60"/>
    <mergeCell ref="E58:E59"/>
    <mergeCell ref="F58:F59"/>
    <mergeCell ref="D58:D59"/>
    <mergeCell ref="F56:F57"/>
    <mergeCell ref="G56:G57"/>
    <mergeCell ref="M2:M3"/>
    <mergeCell ref="N2:N3"/>
    <mergeCell ref="C217:C219"/>
    <mergeCell ref="C178:C179"/>
    <mergeCell ref="C180:C181"/>
    <mergeCell ref="C183:C184"/>
    <mergeCell ref="C185:C186"/>
    <mergeCell ref="C187:C188"/>
    <mergeCell ref="C215:C216"/>
    <mergeCell ref="C12:C18"/>
    <mergeCell ref="C26:C32"/>
    <mergeCell ref="C2:G2"/>
    <mergeCell ref="H2:J2"/>
    <mergeCell ref="K2:L2"/>
    <mergeCell ref="C57:C63"/>
  </mergeCell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6E1E1-06AB-4F06-BA8E-34D5BDCD7D0E}">
  <sheetPr>
    <tabColor rgb="FF00B0F0"/>
  </sheetPr>
  <dimension ref="A1:P156"/>
  <sheetViews>
    <sheetView topLeftCell="C1" zoomScale="85" zoomScaleNormal="85" workbookViewId="0">
      <pane ySplit="4" topLeftCell="A61" activePane="bottomLeft" state="frozen"/>
      <selection pane="bottomLeft" activeCell="L76" sqref="L76"/>
    </sheetView>
  </sheetViews>
  <sheetFormatPr defaultRowHeight="15"/>
  <cols>
    <col min="2" max="2" width="13.5703125" customWidth="1"/>
    <col min="3" max="3" width="21.42578125" customWidth="1"/>
    <col min="4" max="4" width="49.7109375" bestFit="1" customWidth="1"/>
    <col min="5" max="5" width="26" customWidth="1"/>
    <col min="6" max="6" width="16.7109375" customWidth="1"/>
    <col min="7" max="7" width="11.7109375" customWidth="1"/>
    <col min="8" max="8" width="13.7109375" customWidth="1"/>
    <col min="10" max="10" width="12.5703125" customWidth="1"/>
    <col min="11" max="11" width="21.7109375" customWidth="1"/>
    <col min="12" max="12" width="15.5703125" style="99" customWidth="1"/>
    <col min="13" max="13" width="16.28515625" customWidth="1"/>
    <col min="14" max="14" width="12.85546875" customWidth="1"/>
    <col min="17" max="17" width="73.7109375" bestFit="1" customWidth="1"/>
  </cols>
  <sheetData>
    <row r="1" spans="1:15" s="355" customFormat="1" ht="13.5">
      <c r="L1" s="32"/>
    </row>
    <row r="2" spans="1:15" s="355" customFormat="1" ht="13.5">
      <c r="C2" s="2601" t="s">
        <v>30</v>
      </c>
      <c r="D2" s="2602"/>
      <c r="E2" s="2602"/>
      <c r="F2" s="2602"/>
      <c r="G2" s="2603"/>
      <c r="H2" s="2604" t="s">
        <v>29</v>
      </c>
      <c r="I2" s="2605"/>
      <c r="J2" s="2606"/>
      <c r="K2" s="2601" t="s">
        <v>28</v>
      </c>
      <c r="L2" s="2603"/>
      <c r="M2" s="2594" t="s">
        <v>27</v>
      </c>
      <c r="N2" s="2594" t="s">
        <v>26</v>
      </c>
    </row>
    <row r="3" spans="1:15" s="355" customFormat="1" ht="94.5">
      <c r="C3" s="618" t="s">
        <v>25</v>
      </c>
      <c r="D3" s="852" t="s">
        <v>24</v>
      </c>
      <c r="E3" s="991" t="s">
        <v>23</v>
      </c>
      <c r="F3" s="618" t="s">
        <v>22</v>
      </c>
      <c r="G3" s="532" t="s">
        <v>1303</v>
      </c>
      <c r="H3" s="532" t="s">
        <v>20</v>
      </c>
      <c r="I3" s="532" t="s">
        <v>19</v>
      </c>
      <c r="J3" s="532" t="s">
        <v>18</v>
      </c>
      <c r="K3" s="618" t="s">
        <v>17</v>
      </c>
      <c r="L3" s="605" t="s">
        <v>16</v>
      </c>
      <c r="M3" s="2594"/>
      <c r="N3" s="2594"/>
    </row>
    <row r="4" spans="1:15" s="355" customFormat="1" ht="27">
      <c r="C4" s="1076" t="s">
        <v>15</v>
      </c>
      <c r="D4" s="1076" t="s">
        <v>14</v>
      </c>
      <c r="E4" s="1076" t="s">
        <v>13</v>
      </c>
      <c r="F4" s="1076" t="s">
        <v>12</v>
      </c>
      <c r="G4" s="1076" t="s">
        <v>11</v>
      </c>
      <c r="H4" s="1076" t="s">
        <v>10</v>
      </c>
      <c r="I4" s="1076" t="s">
        <v>9</v>
      </c>
      <c r="J4" s="1076" t="s">
        <v>8</v>
      </c>
      <c r="K4" s="1076" t="s">
        <v>7</v>
      </c>
      <c r="L4" s="1077" t="s">
        <v>6</v>
      </c>
      <c r="M4" s="1076" t="s">
        <v>5</v>
      </c>
      <c r="N4" s="1076" t="s">
        <v>4</v>
      </c>
    </row>
    <row r="5" spans="1:15" s="455" customFormat="1" ht="25.5" customHeight="1">
      <c r="A5" s="471"/>
      <c r="B5" s="483" t="s">
        <v>1561</v>
      </c>
      <c r="C5" s="1497" t="s">
        <v>1569</v>
      </c>
      <c r="D5" s="1490" t="s">
        <v>1568</v>
      </c>
      <c r="E5" s="1491" t="s">
        <v>1755</v>
      </c>
      <c r="F5" s="1498" t="s">
        <v>674</v>
      </c>
      <c r="G5" s="1345"/>
      <c r="H5" s="1494" t="s">
        <v>652</v>
      </c>
      <c r="I5" s="1477" t="s">
        <v>653</v>
      </c>
      <c r="J5" s="1482" t="s">
        <v>1558</v>
      </c>
      <c r="K5" s="1495" t="s">
        <v>748</v>
      </c>
      <c r="L5" s="1499">
        <v>2500</v>
      </c>
      <c r="M5" s="1345"/>
      <c r="O5" s="1345"/>
    </row>
    <row r="6" spans="1:15" s="455" customFormat="1" ht="13.5">
      <c r="A6" s="471"/>
      <c r="B6" s="483"/>
      <c r="C6" s="1489"/>
      <c r="D6" s="1490"/>
      <c r="E6" s="1491"/>
      <c r="F6" s="1492"/>
      <c r="G6" s="1493"/>
      <c r="H6" s="1345"/>
      <c r="I6" s="1494"/>
      <c r="J6" s="1477"/>
      <c r="K6" s="1482"/>
      <c r="L6" s="1495"/>
      <c r="M6" s="1496"/>
      <c r="N6" s="1345"/>
      <c r="O6" s="1345"/>
    </row>
    <row r="7" spans="1:15" s="455" customFormat="1" ht="13.5">
      <c r="A7" s="471"/>
      <c r="B7" s="454"/>
      <c r="C7" s="902"/>
      <c r="D7" s="902"/>
      <c r="E7" s="902"/>
      <c r="F7" s="1380"/>
      <c r="G7" s="636"/>
      <c r="H7" s="1462"/>
      <c r="I7" s="1462"/>
      <c r="J7" s="1462"/>
      <c r="K7" s="1380"/>
      <c r="L7" s="1463"/>
      <c r="M7" s="1172"/>
      <c r="N7" s="460"/>
      <c r="O7" s="2676"/>
    </row>
    <row r="8" spans="1:15" s="455" customFormat="1" ht="13.5">
      <c r="A8" s="471"/>
      <c r="B8" s="454"/>
      <c r="C8" s="902"/>
      <c r="D8" s="902"/>
      <c r="E8" s="902"/>
      <c r="F8" s="1380"/>
      <c r="G8" s="636"/>
      <c r="H8" s="1462"/>
      <c r="I8" s="1462"/>
      <c r="J8" s="1462"/>
      <c r="K8" s="1380"/>
      <c r="L8" s="1463"/>
      <c r="M8" s="1172"/>
      <c r="N8" s="460"/>
      <c r="O8" s="2677"/>
    </row>
    <row r="9" spans="1:15" s="455" customFormat="1" ht="13.5">
      <c r="A9" s="471"/>
      <c r="B9" s="454" t="s">
        <v>589</v>
      </c>
      <c r="C9" s="168" t="s">
        <v>1605</v>
      </c>
      <c r="D9" s="1517" t="s">
        <v>2</v>
      </c>
      <c r="E9" s="1514" t="s">
        <v>631</v>
      </c>
      <c r="F9" s="1503" t="s">
        <v>609</v>
      </c>
      <c r="G9" s="164" t="s">
        <v>1</v>
      </c>
      <c r="H9" s="171" t="s">
        <v>701</v>
      </c>
      <c r="I9" s="171" t="s">
        <v>701</v>
      </c>
      <c r="J9" s="172" t="s">
        <v>594</v>
      </c>
      <c r="K9" s="1506" t="s">
        <v>1606</v>
      </c>
      <c r="L9" s="1504">
        <v>40000</v>
      </c>
      <c r="M9" s="173" t="s">
        <v>632</v>
      </c>
      <c r="N9" s="1505"/>
      <c r="O9" s="2678"/>
    </row>
    <row r="10" spans="1:15" s="455" customFormat="1" ht="13.5">
      <c r="A10" s="471"/>
      <c r="B10" s="454" t="s">
        <v>589</v>
      </c>
      <c r="C10" s="1518" t="s">
        <v>1607</v>
      </c>
      <c r="D10" s="1518"/>
      <c r="E10" s="1519"/>
      <c r="F10" s="1520" t="s">
        <v>612</v>
      </c>
      <c r="G10" s="1521"/>
      <c r="H10" s="1522"/>
      <c r="I10" s="1522"/>
      <c r="J10" s="1518"/>
      <c r="K10" s="1518"/>
      <c r="L10" s="1523"/>
      <c r="M10" s="1520"/>
      <c r="N10" s="1518"/>
      <c r="O10" s="625"/>
    </row>
    <row r="11" spans="1:15" s="455" customFormat="1" ht="13.5">
      <c r="A11" s="471"/>
      <c r="B11" s="454"/>
      <c r="C11" s="314"/>
      <c r="D11" s="309"/>
      <c r="E11" s="309"/>
      <c r="F11" s="309"/>
      <c r="G11" s="497"/>
      <c r="H11" s="985"/>
      <c r="I11" s="985"/>
      <c r="J11" s="985"/>
      <c r="K11" s="499"/>
      <c r="L11" s="1025"/>
      <c r="M11" s="499"/>
      <c r="N11" s="625"/>
    </row>
    <row r="12" spans="1:15" s="455" customFormat="1" ht="27">
      <c r="A12" s="471"/>
      <c r="B12" s="454" t="s">
        <v>2699</v>
      </c>
      <c r="C12" s="1909"/>
      <c r="D12" s="1915" t="s">
        <v>2</v>
      </c>
      <c r="E12" s="1900"/>
      <c r="F12" s="1835" t="s">
        <v>422</v>
      </c>
      <c r="G12" s="1878" t="s">
        <v>1</v>
      </c>
      <c r="H12" s="1878">
        <v>46054</v>
      </c>
      <c r="I12" s="1879">
        <v>46082</v>
      </c>
      <c r="J12" s="1879">
        <v>46082</v>
      </c>
      <c r="K12" s="1712" t="s">
        <v>2216</v>
      </c>
      <c r="L12" s="1916"/>
      <c r="M12" s="1715" t="s">
        <v>2446</v>
      </c>
      <c r="N12" s="1716"/>
    </row>
    <row r="13" spans="1:15" s="455" customFormat="1">
      <c r="A13" s="471"/>
      <c r="B13" s="454" t="s">
        <v>2699</v>
      </c>
      <c r="C13" s="2756" t="s">
        <v>2890</v>
      </c>
      <c r="D13" s="1811" t="s">
        <v>2875</v>
      </c>
      <c r="E13" s="1942">
        <v>2</v>
      </c>
      <c r="F13" s="1724" t="s">
        <v>2876</v>
      </c>
      <c r="G13" s="1725"/>
      <c r="H13" s="1801"/>
      <c r="I13" s="1801"/>
      <c r="J13" s="1801"/>
      <c r="K13" s="1802"/>
      <c r="L13" s="1943">
        <v>3000</v>
      </c>
      <c r="N13" s="1721"/>
      <c r="O13" s="1720"/>
    </row>
    <row r="14" spans="1:15" s="455" customFormat="1">
      <c r="A14" s="471"/>
      <c r="B14" s="454" t="s">
        <v>2699</v>
      </c>
      <c r="C14" s="2757"/>
      <c r="D14" s="1811" t="s">
        <v>2877</v>
      </c>
      <c r="E14" s="1942">
        <v>3</v>
      </c>
      <c r="F14" s="1724" t="s">
        <v>2876</v>
      </c>
      <c r="G14" s="1725"/>
      <c r="H14" s="1801"/>
      <c r="I14" s="1801"/>
      <c r="J14" s="1801"/>
      <c r="K14" s="1802"/>
      <c r="L14" s="1943">
        <v>600</v>
      </c>
      <c r="N14" s="1721"/>
      <c r="O14" s="1720"/>
    </row>
    <row r="15" spans="1:15" s="455" customFormat="1">
      <c r="A15" s="471"/>
      <c r="B15" s="454" t="s">
        <v>2699</v>
      </c>
      <c r="C15" s="2757"/>
      <c r="D15" s="1944" t="s">
        <v>2878</v>
      </c>
      <c r="E15" s="1942">
        <v>2</v>
      </c>
      <c r="F15" s="1724" t="s">
        <v>2876</v>
      </c>
      <c r="G15" s="1725"/>
      <c r="H15" s="1801"/>
      <c r="I15" s="1801"/>
      <c r="J15" s="1801"/>
      <c r="K15" s="1802"/>
      <c r="L15" s="1943">
        <v>14000</v>
      </c>
      <c r="N15" s="1721"/>
      <c r="O15" s="1720"/>
    </row>
    <row r="16" spans="1:15" s="455" customFormat="1">
      <c r="A16" s="471"/>
      <c r="B16" s="454" t="s">
        <v>2699</v>
      </c>
      <c r="C16" s="2757"/>
      <c r="D16" s="1811" t="s">
        <v>2879</v>
      </c>
      <c r="E16" s="1942">
        <v>3</v>
      </c>
      <c r="F16" s="1907" t="s">
        <v>2876</v>
      </c>
      <c r="G16" s="1725"/>
      <c r="H16" s="1801"/>
      <c r="I16" s="1801"/>
      <c r="J16" s="1801"/>
      <c r="K16" s="1802"/>
      <c r="L16" s="1797">
        <v>3000</v>
      </c>
      <c r="N16" s="1721"/>
      <c r="O16" s="1720"/>
    </row>
    <row r="17" spans="1:15" s="455" customFormat="1">
      <c r="A17" s="471"/>
      <c r="B17" s="454" t="s">
        <v>2699</v>
      </c>
      <c r="C17" s="2757"/>
      <c r="D17" s="1945" t="s">
        <v>2880</v>
      </c>
      <c r="E17" s="1942">
        <v>2</v>
      </c>
      <c r="F17" s="1907" t="s">
        <v>2876</v>
      </c>
      <c r="G17" s="1725"/>
      <c r="H17" s="1801"/>
      <c r="I17" s="1801"/>
      <c r="J17" s="1801"/>
      <c r="K17" s="1802"/>
      <c r="L17" s="1797">
        <v>4500</v>
      </c>
      <c r="N17" s="1721"/>
      <c r="O17" s="1720"/>
    </row>
    <row r="18" spans="1:15" s="455" customFormat="1">
      <c r="A18" s="471"/>
      <c r="B18" s="454" t="s">
        <v>2699</v>
      </c>
      <c r="C18" s="2757"/>
      <c r="D18" s="1811" t="s">
        <v>2881</v>
      </c>
      <c r="E18" s="1942">
        <v>2</v>
      </c>
      <c r="F18" s="1724" t="s">
        <v>2876</v>
      </c>
      <c r="G18" s="1725"/>
      <c r="H18" s="1801"/>
      <c r="I18" s="1801"/>
      <c r="J18" s="1801"/>
      <c r="K18" s="1802"/>
      <c r="L18" s="1727">
        <v>4000</v>
      </c>
      <c r="N18" s="1721"/>
      <c r="O18" s="1720"/>
    </row>
    <row r="19" spans="1:15" s="455" customFormat="1">
      <c r="A19" s="471"/>
      <c r="B19" s="454" t="s">
        <v>2699</v>
      </c>
      <c r="C19" s="2757"/>
      <c r="D19" s="1811" t="s">
        <v>2882</v>
      </c>
      <c r="E19" s="1942">
        <v>2</v>
      </c>
      <c r="F19" s="1724" t="s">
        <v>2876</v>
      </c>
      <c r="G19" s="1725"/>
      <c r="H19" s="1801"/>
      <c r="I19" s="1801"/>
      <c r="J19" s="1801"/>
      <c r="K19" s="1802"/>
      <c r="L19" s="1727">
        <v>2600</v>
      </c>
      <c r="N19" s="1721"/>
      <c r="O19" s="1720"/>
    </row>
    <row r="20" spans="1:15" s="455" customFormat="1">
      <c r="A20" s="471"/>
      <c r="B20" s="454" t="s">
        <v>2699</v>
      </c>
      <c r="C20" s="2758"/>
      <c r="D20" s="1811" t="s">
        <v>2883</v>
      </c>
      <c r="E20" s="1942">
        <v>2</v>
      </c>
      <c r="F20" s="1724" t="s">
        <v>2876</v>
      </c>
      <c r="G20" s="1725"/>
      <c r="H20" s="1801"/>
      <c r="I20" s="1801"/>
      <c r="J20" s="1801"/>
      <c r="K20" s="1802"/>
      <c r="L20" s="1727">
        <v>2000</v>
      </c>
      <c r="N20" s="1721"/>
      <c r="O20" s="1720"/>
    </row>
    <row r="21" spans="1:15" s="455" customFormat="1">
      <c r="A21" s="471"/>
      <c r="B21" s="454" t="s">
        <v>2699</v>
      </c>
      <c r="C21" s="1856"/>
      <c r="D21" s="1811" t="s">
        <v>2884</v>
      </c>
      <c r="E21" s="1942">
        <v>2</v>
      </c>
      <c r="F21" s="1724" t="s">
        <v>2876</v>
      </c>
      <c r="G21" s="1725"/>
      <c r="H21" s="1801"/>
      <c r="I21" s="1801"/>
      <c r="J21" s="1801"/>
      <c r="K21" s="1802"/>
      <c r="L21" s="1727">
        <v>4500</v>
      </c>
      <c r="N21" s="1721"/>
      <c r="O21" s="1720"/>
    </row>
    <row r="22" spans="1:15" s="455" customFormat="1">
      <c r="A22" s="471"/>
      <c r="B22" s="454" t="s">
        <v>2699</v>
      </c>
      <c r="C22" s="1856"/>
      <c r="D22" s="1811" t="s">
        <v>2885</v>
      </c>
      <c r="E22" s="1942">
        <v>2</v>
      </c>
      <c r="F22" s="1724" t="s">
        <v>2876</v>
      </c>
      <c r="G22" s="1725"/>
      <c r="H22" s="1801"/>
      <c r="I22" s="1801"/>
      <c r="J22" s="1801"/>
      <c r="K22" s="1802"/>
      <c r="L22" s="1727">
        <v>6000</v>
      </c>
      <c r="N22" s="1721"/>
      <c r="O22" s="1720"/>
    </row>
    <row r="23" spans="1:15" s="455" customFormat="1">
      <c r="A23" s="471"/>
      <c r="B23" s="454" t="s">
        <v>2699</v>
      </c>
      <c r="C23" s="1856"/>
      <c r="D23" s="1811" t="s">
        <v>2886</v>
      </c>
      <c r="E23" s="1942">
        <v>3</v>
      </c>
      <c r="F23" s="1907" t="s">
        <v>2876</v>
      </c>
      <c r="G23" s="1725"/>
      <c r="H23" s="1801"/>
      <c r="I23" s="1801"/>
      <c r="J23" s="1801"/>
      <c r="K23" s="1802"/>
      <c r="L23" s="1727">
        <v>900</v>
      </c>
      <c r="N23" s="1721"/>
      <c r="O23" s="1720"/>
    </row>
    <row r="24" spans="1:15" s="455" customFormat="1">
      <c r="A24" s="471"/>
      <c r="B24" s="454" t="s">
        <v>2699</v>
      </c>
      <c r="C24" s="1924" t="s">
        <v>735</v>
      </c>
      <c r="D24" s="1945" t="s">
        <v>2887</v>
      </c>
      <c r="E24" s="1942">
        <v>1</v>
      </c>
      <c r="F24" s="1907" t="s">
        <v>2876</v>
      </c>
      <c r="G24" s="1725"/>
      <c r="H24" s="1801"/>
      <c r="I24" s="1801"/>
      <c r="J24" s="1801"/>
      <c r="K24" s="1802"/>
      <c r="L24" s="1727">
        <v>1500</v>
      </c>
      <c r="N24" s="1721"/>
      <c r="O24" s="1720"/>
    </row>
    <row r="25" spans="1:15" s="455" customFormat="1">
      <c r="A25" s="471"/>
      <c r="B25" s="454" t="s">
        <v>2699</v>
      </c>
      <c r="C25" s="1856"/>
      <c r="D25" s="1945" t="s">
        <v>2888</v>
      </c>
      <c r="E25" s="1942">
        <v>2</v>
      </c>
      <c r="F25" s="1907" t="s">
        <v>2876</v>
      </c>
      <c r="G25" s="1725"/>
      <c r="H25" s="1801"/>
      <c r="I25" s="1801"/>
      <c r="J25" s="1801"/>
      <c r="K25" s="1802"/>
      <c r="L25" s="1727">
        <v>400</v>
      </c>
      <c r="N25" s="1721"/>
      <c r="O25" s="1720"/>
    </row>
    <row r="26" spans="1:15" s="455" customFormat="1">
      <c r="A26" s="471"/>
      <c r="B26" s="454" t="s">
        <v>2699</v>
      </c>
      <c r="C26" s="1856"/>
      <c r="D26" s="1806" t="s">
        <v>2889</v>
      </c>
      <c r="E26" s="1946">
        <v>2</v>
      </c>
      <c r="F26" s="1907" t="s">
        <v>2876</v>
      </c>
      <c r="G26" s="1725"/>
      <c r="H26" s="1801"/>
      <c r="I26" s="1801"/>
      <c r="J26" s="1801"/>
      <c r="K26" s="1802"/>
      <c r="L26" s="1727">
        <v>3000</v>
      </c>
      <c r="N26" s="1721"/>
      <c r="O26" s="1720"/>
    </row>
    <row r="27" spans="1:15" s="455" customFormat="1" ht="13.5">
      <c r="A27" s="471"/>
      <c r="B27" s="454"/>
      <c r="C27" s="314"/>
      <c r="D27" s="309"/>
      <c r="E27" s="309"/>
      <c r="F27" s="309"/>
      <c r="G27" s="497"/>
      <c r="H27" s="985"/>
      <c r="I27" s="985"/>
      <c r="J27" s="985"/>
      <c r="K27" s="499"/>
      <c r="L27" s="1025"/>
      <c r="M27" s="499"/>
      <c r="N27" s="1941"/>
    </row>
    <row r="28" spans="1:15" s="455" customFormat="1" ht="27">
      <c r="A28" s="471"/>
      <c r="B28" s="454" t="s">
        <v>2699</v>
      </c>
      <c r="C28" s="1909"/>
      <c r="D28" s="1915" t="s">
        <v>2</v>
      </c>
      <c r="E28" s="1900"/>
      <c r="F28" s="1835" t="s">
        <v>422</v>
      </c>
      <c r="G28" s="1878" t="s">
        <v>1</v>
      </c>
      <c r="H28" s="1878">
        <v>46113</v>
      </c>
      <c r="I28" s="1879">
        <v>46143</v>
      </c>
      <c r="J28" s="1879">
        <v>46143</v>
      </c>
      <c r="K28" s="1712" t="s">
        <v>2216</v>
      </c>
      <c r="L28" s="1916"/>
      <c r="M28" s="1715" t="s">
        <v>2446</v>
      </c>
      <c r="N28" s="1716"/>
    </row>
    <row r="29" spans="1:15" s="455" customFormat="1" ht="13.9" customHeight="1">
      <c r="A29" s="471"/>
      <c r="B29" s="454" t="s">
        <v>2699</v>
      </c>
      <c r="C29" s="2756" t="s">
        <v>2890</v>
      </c>
      <c r="D29" s="1806" t="s">
        <v>2878</v>
      </c>
      <c r="E29" s="1947">
        <v>2</v>
      </c>
      <c r="F29" s="1724" t="s">
        <v>2876</v>
      </c>
      <c r="G29" s="1725"/>
      <c r="H29" s="1801"/>
      <c r="I29" s="1801"/>
      <c r="J29" s="1801"/>
      <c r="K29" s="1802"/>
      <c r="L29" s="1943">
        <v>14000</v>
      </c>
      <c r="N29" s="1721"/>
      <c r="O29" s="1720"/>
    </row>
    <row r="30" spans="1:15" s="455" customFormat="1">
      <c r="A30" s="471"/>
      <c r="B30" s="454" t="s">
        <v>2699</v>
      </c>
      <c r="C30" s="2757"/>
      <c r="D30" s="1811" t="s">
        <v>2891</v>
      </c>
      <c r="E30" s="1948">
        <v>2</v>
      </c>
      <c r="F30" s="1907" t="s">
        <v>1057</v>
      </c>
      <c r="G30" s="1725"/>
      <c r="H30" s="1801"/>
      <c r="I30" s="1801"/>
      <c r="J30" s="1801"/>
      <c r="K30" s="1802"/>
      <c r="L30" s="1727">
        <v>2000</v>
      </c>
      <c r="N30" s="1721"/>
      <c r="O30" s="1720"/>
    </row>
    <row r="31" spans="1:15" s="455" customFormat="1">
      <c r="A31" s="471"/>
      <c r="B31" s="454" t="s">
        <v>2699</v>
      </c>
      <c r="C31" s="2757"/>
      <c r="D31" s="1945" t="s">
        <v>2892</v>
      </c>
      <c r="E31" s="1948">
        <v>8</v>
      </c>
      <c r="F31" s="1907" t="s">
        <v>2876</v>
      </c>
      <c r="G31" s="1725"/>
      <c r="H31" s="1801"/>
      <c r="I31" s="1801"/>
      <c r="J31" s="1801"/>
      <c r="K31" s="1802"/>
      <c r="L31" s="1727">
        <v>34000</v>
      </c>
      <c r="N31" s="1721"/>
      <c r="O31" s="1720"/>
    </row>
    <row r="32" spans="1:15" s="455" customFormat="1">
      <c r="A32" s="471"/>
      <c r="C32" s="1951"/>
      <c r="D32" s="1885"/>
      <c r="E32" s="1947"/>
      <c r="F32" s="1724"/>
      <c r="G32" s="1725"/>
      <c r="H32" s="1801"/>
      <c r="I32" s="1801"/>
      <c r="J32" s="1801"/>
      <c r="K32" s="1802"/>
      <c r="L32" s="1801"/>
      <c r="M32" s="1943"/>
      <c r="N32" s="1721"/>
      <c r="O32" s="1720"/>
    </row>
    <row r="33" spans="1:15" s="455" customFormat="1">
      <c r="A33" s="471"/>
      <c r="B33" s="454"/>
      <c r="C33" s="1951"/>
      <c r="D33" s="2055"/>
      <c r="E33" s="1947"/>
      <c r="F33" s="1724"/>
      <c r="G33" s="1725"/>
      <c r="H33" s="1801"/>
      <c r="I33" s="1801"/>
      <c r="J33" s="1801"/>
      <c r="K33" s="1802"/>
      <c r="L33" s="1801"/>
      <c r="M33" s="1943"/>
      <c r="N33" s="1721"/>
      <c r="O33" s="1720"/>
    </row>
    <row r="34" spans="1:15" s="455" customFormat="1" ht="38.25">
      <c r="A34" s="471"/>
      <c r="B34" s="454" t="s">
        <v>2929</v>
      </c>
      <c r="C34" s="1999" t="s">
        <v>2988</v>
      </c>
      <c r="D34" s="2000" t="s">
        <v>637</v>
      </c>
      <c r="E34" s="2769"/>
      <c r="F34" s="2770"/>
      <c r="G34" s="2001" t="s">
        <v>1764</v>
      </c>
      <c r="H34" s="2001" t="s">
        <v>1</v>
      </c>
      <c r="I34" s="2002"/>
      <c r="J34" s="2002"/>
      <c r="K34" s="2003" t="s">
        <v>748</v>
      </c>
      <c r="M34" s="2002" t="s">
        <v>2924</v>
      </c>
      <c r="N34" s="2003" t="s">
        <v>703</v>
      </c>
    </row>
    <row r="35" spans="1:15" s="455" customFormat="1">
      <c r="A35" s="471"/>
      <c r="B35" s="454" t="s">
        <v>2929</v>
      </c>
      <c r="C35" s="2004"/>
      <c r="D35" s="2052" t="s">
        <v>2989</v>
      </c>
      <c r="E35" s="2034">
        <v>4</v>
      </c>
      <c r="F35" s="2035" t="s">
        <v>2990</v>
      </c>
      <c r="G35" s="2006"/>
      <c r="H35" s="2006"/>
      <c r="I35" s="2008" t="s">
        <v>2213</v>
      </c>
      <c r="J35" s="2009">
        <v>46174</v>
      </c>
      <c r="K35" s="2010" t="s">
        <v>2215</v>
      </c>
      <c r="L35" s="2033">
        <v>6800</v>
      </c>
      <c r="N35" s="2031"/>
      <c r="O35" s="2011"/>
    </row>
    <row r="36" spans="1:15" s="455" customFormat="1">
      <c r="A36" s="471"/>
      <c r="B36" s="454" t="s">
        <v>2929</v>
      </c>
      <c r="C36" s="2004"/>
      <c r="D36" s="2052" t="s">
        <v>2991</v>
      </c>
      <c r="E36" s="2034">
        <v>4</v>
      </c>
      <c r="F36" s="2035" t="s">
        <v>2990</v>
      </c>
      <c r="G36" s="2006"/>
      <c r="H36" s="2006"/>
      <c r="I36" s="2008"/>
      <c r="J36" s="2008"/>
      <c r="K36" s="1588" t="s">
        <v>2927</v>
      </c>
      <c r="L36" s="2033">
        <v>8000</v>
      </c>
      <c r="N36" s="2031"/>
      <c r="O36" s="2011"/>
    </row>
    <row r="37" spans="1:15" s="455" customFormat="1">
      <c r="A37" s="471"/>
      <c r="B37" s="454" t="s">
        <v>2929</v>
      </c>
      <c r="C37" s="2004"/>
      <c r="D37" s="2052" t="s">
        <v>2992</v>
      </c>
      <c r="E37" s="2034">
        <v>8</v>
      </c>
      <c r="F37" s="2035" t="s">
        <v>2990</v>
      </c>
      <c r="G37" s="2006"/>
      <c r="H37" s="2006"/>
      <c r="I37" s="2008"/>
      <c r="J37" s="2008"/>
      <c r="K37" s="2010"/>
      <c r="L37" s="2033">
        <v>28000</v>
      </c>
      <c r="N37" s="2031"/>
      <c r="O37" s="2011"/>
    </row>
    <row r="38" spans="1:15" s="455" customFormat="1">
      <c r="A38" s="471"/>
      <c r="B38" s="454" t="s">
        <v>2929</v>
      </c>
      <c r="C38" s="2004"/>
      <c r="D38" s="2052" t="s">
        <v>2993</v>
      </c>
      <c r="E38" s="2034">
        <v>2</v>
      </c>
      <c r="F38" s="2035" t="s">
        <v>2994</v>
      </c>
      <c r="G38" s="2006"/>
      <c r="H38" s="2006"/>
      <c r="I38" s="2008"/>
      <c r="J38" s="2008"/>
      <c r="K38" s="2010"/>
      <c r="L38" s="2033">
        <v>2000</v>
      </c>
      <c r="N38" s="2031"/>
      <c r="O38" s="2011"/>
    </row>
    <row r="39" spans="1:15" s="455" customFormat="1">
      <c r="A39" s="471"/>
      <c r="B39" s="454" t="s">
        <v>2929</v>
      </c>
      <c r="C39" s="2004"/>
      <c r="D39" s="2052" t="s">
        <v>2995</v>
      </c>
      <c r="E39" s="2034">
        <v>2</v>
      </c>
      <c r="F39" s="2035" t="s">
        <v>2994</v>
      </c>
      <c r="G39" s="2006"/>
      <c r="H39" s="2006"/>
      <c r="I39" s="2008"/>
      <c r="J39" s="2008"/>
      <c r="K39" s="1588"/>
      <c r="L39" s="2033">
        <v>690</v>
      </c>
      <c r="N39" s="2031"/>
      <c r="O39" s="2011"/>
    </row>
    <row r="40" spans="1:15" s="455" customFormat="1">
      <c r="A40" s="471"/>
      <c r="B40" s="454" t="s">
        <v>2929</v>
      </c>
      <c r="C40" s="2004"/>
      <c r="D40" s="2052" t="s">
        <v>2996</v>
      </c>
      <c r="E40" s="2034">
        <v>2</v>
      </c>
      <c r="F40" s="2035" t="s">
        <v>2990</v>
      </c>
      <c r="G40" s="2006"/>
      <c r="H40" s="2006"/>
      <c r="I40" s="1588"/>
      <c r="J40" s="1588"/>
      <c r="K40" s="1588"/>
      <c r="L40" s="2033">
        <v>1400</v>
      </c>
      <c r="N40" s="2031"/>
      <c r="O40" s="2011"/>
    </row>
    <row r="41" spans="1:15" s="455" customFormat="1">
      <c r="A41" s="471"/>
      <c r="B41" s="454" t="s">
        <v>2929</v>
      </c>
      <c r="C41" s="2004"/>
      <c r="D41" s="2052" t="s">
        <v>304</v>
      </c>
      <c r="E41" s="2056">
        <v>2</v>
      </c>
      <c r="F41" s="2035" t="s">
        <v>2990</v>
      </c>
      <c r="G41" s="2006"/>
      <c r="H41" s="2006"/>
      <c r="I41" s="1588"/>
      <c r="J41" s="1588"/>
      <c r="K41" s="1588"/>
      <c r="L41" s="2033">
        <v>2600</v>
      </c>
      <c r="N41" s="2031"/>
      <c r="O41" s="2011"/>
    </row>
    <row r="42" spans="1:15" s="455" customFormat="1">
      <c r="A42" s="471"/>
      <c r="B42" s="454" t="s">
        <v>2929</v>
      </c>
      <c r="C42" s="2004"/>
      <c r="D42" s="2052" t="s">
        <v>2997</v>
      </c>
      <c r="E42" s="2034">
        <v>2</v>
      </c>
      <c r="F42" s="2035" t="s">
        <v>2994</v>
      </c>
      <c r="G42" s="2006"/>
      <c r="H42" s="2006"/>
      <c r="I42" s="1588"/>
      <c r="J42" s="1588"/>
      <c r="K42" s="1588"/>
      <c r="L42" s="2033">
        <v>2600</v>
      </c>
      <c r="N42" s="2031"/>
      <c r="O42" s="2011"/>
    </row>
    <row r="43" spans="1:15" s="455" customFormat="1">
      <c r="A43" s="471"/>
      <c r="B43" s="454" t="s">
        <v>2929</v>
      </c>
      <c r="C43" s="2004"/>
      <c r="D43" s="2052" t="s">
        <v>2998</v>
      </c>
      <c r="E43" s="2034">
        <v>2</v>
      </c>
      <c r="F43" s="2035" t="s">
        <v>2990</v>
      </c>
      <c r="G43" s="2006"/>
      <c r="H43" s="2006"/>
      <c r="I43" s="1588"/>
      <c r="J43" s="1588"/>
      <c r="K43" s="1588"/>
      <c r="L43" s="2033">
        <v>8000</v>
      </c>
      <c r="N43" s="2031"/>
      <c r="O43" s="2011"/>
    </row>
    <row r="44" spans="1:15" s="455" customFormat="1">
      <c r="A44" s="471"/>
      <c r="B44" s="454" t="s">
        <v>2929</v>
      </c>
      <c r="C44" s="2004"/>
      <c r="D44" s="2052" t="s">
        <v>2999</v>
      </c>
      <c r="E44" s="2034">
        <v>2</v>
      </c>
      <c r="F44" s="2035" t="s">
        <v>2990</v>
      </c>
      <c r="G44" s="2006"/>
      <c r="H44" s="2006"/>
      <c r="I44" s="1588"/>
      <c r="J44" s="1588"/>
      <c r="K44" s="1588"/>
      <c r="L44" s="2033">
        <v>5000</v>
      </c>
      <c r="N44" s="2031"/>
      <c r="O44" s="2011"/>
    </row>
    <row r="45" spans="1:15" s="455" customFormat="1">
      <c r="A45" s="471"/>
      <c r="B45" s="454" t="s">
        <v>2929</v>
      </c>
      <c r="C45" s="2004"/>
      <c r="D45" s="2052" t="s">
        <v>3000</v>
      </c>
      <c r="E45" s="2034">
        <v>2</v>
      </c>
      <c r="F45" s="2035" t="s">
        <v>2994</v>
      </c>
      <c r="G45" s="2006"/>
      <c r="H45" s="2006"/>
      <c r="I45" s="1588"/>
      <c r="J45" s="1588"/>
      <c r="K45" s="1588"/>
      <c r="L45" s="2033">
        <v>1800</v>
      </c>
      <c r="N45" s="2031"/>
      <c r="O45" s="2011"/>
    </row>
    <row r="46" spans="1:15" s="455" customFormat="1">
      <c r="A46" s="471"/>
      <c r="B46" s="454" t="s">
        <v>2929</v>
      </c>
      <c r="C46" s="2004"/>
      <c r="D46" s="2052" t="s">
        <v>3001</v>
      </c>
      <c r="E46" s="2034">
        <v>2</v>
      </c>
      <c r="F46" s="2035" t="s">
        <v>2994</v>
      </c>
      <c r="G46" s="2006"/>
      <c r="H46" s="2006"/>
      <c r="I46" s="1588"/>
      <c r="J46" s="1588"/>
      <c r="K46" s="1588"/>
      <c r="L46" s="2033">
        <v>3600</v>
      </c>
      <c r="N46" s="2031"/>
      <c r="O46" s="2011"/>
    </row>
    <row r="47" spans="1:15" s="455" customFormat="1">
      <c r="A47" s="471"/>
      <c r="B47" s="454" t="s">
        <v>2929</v>
      </c>
      <c r="C47" s="2004"/>
      <c r="D47" s="2052" t="s">
        <v>2887</v>
      </c>
      <c r="E47" s="2034">
        <v>2</v>
      </c>
      <c r="F47" s="2035" t="s">
        <v>2994</v>
      </c>
      <c r="G47" s="2006"/>
      <c r="H47" s="2006"/>
      <c r="I47" s="1588"/>
      <c r="J47" s="1588"/>
      <c r="K47" s="1588"/>
      <c r="L47" s="2033">
        <v>20000</v>
      </c>
      <c r="N47" s="2031"/>
      <c r="O47" s="2011"/>
    </row>
    <row r="48" spans="1:15" s="455" customFormat="1">
      <c r="A48" s="471"/>
      <c r="B48" s="454" t="s">
        <v>2929</v>
      </c>
      <c r="C48" s="2004"/>
      <c r="D48" s="2052" t="s">
        <v>3002</v>
      </c>
      <c r="E48" s="2034">
        <v>2</v>
      </c>
      <c r="F48" s="2035" t="s">
        <v>2994</v>
      </c>
      <c r="G48" s="2006"/>
      <c r="H48" s="2006"/>
      <c r="I48" s="1588"/>
      <c r="J48" s="1588"/>
      <c r="K48" s="1588"/>
      <c r="L48" s="2033">
        <v>3700</v>
      </c>
      <c r="N48" s="2031"/>
      <c r="O48" s="2011"/>
    </row>
    <row r="49" spans="1:16" s="455" customFormat="1">
      <c r="A49" s="471"/>
      <c r="B49" s="454" t="s">
        <v>2929</v>
      </c>
      <c r="C49" s="2004"/>
      <c r="D49" s="2052" t="s">
        <v>3003</v>
      </c>
      <c r="E49" s="2034">
        <v>5</v>
      </c>
      <c r="F49" s="2035" t="s">
        <v>3004</v>
      </c>
      <c r="G49" s="2006"/>
      <c r="H49" s="2006"/>
      <c r="I49" s="1588"/>
      <c r="J49" s="1588"/>
      <c r="K49" s="1588"/>
      <c r="L49" s="2033">
        <v>15500</v>
      </c>
      <c r="N49" s="2031"/>
      <c r="O49" s="2011"/>
    </row>
    <row r="50" spans="1:16" s="455" customFormat="1">
      <c r="A50" s="471"/>
      <c r="B50" s="454"/>
      <c r="C50" s="1951"/>
      <c r="D50" s="2055"/>
      <c r="E50" s="1947"/>
      <c r="F50" s="1724"/>
      <c r="G50" s="1725"/>
      <c r="H50" s="1801"/>
      <c r="I50" s="1801"/>
      <c r="J50" s="1801"/>
      <c r="K50" s="1802"/>
      <c r="L50" s="1801"/>
      <c r="M50" s="1943"/>
      <c r="N50" s="1721"/>
      <c r="O50" s="1720"/>
    </row>
    <row r="51" spans="1:16" s="455" customFormat="1">
      <c r="A51" s="471"/>
      <c r="B51" s="454"/>
      <c r="C51" s="1951"/>
      <c r="D51" s="2055"/>
      <c r="E51" s="1947"/>
      <c r="F51" s="1724"/>
      <c r="G51" s="1725"/>
      <c r="H51" s="1801"/>
      <c r="I51" s="1801"/>
      <c r="J51" s="1801"/>
      <c r="K51" s="1802"/>
      <c r="L51" s="1801"/>
      <c r="M51" s="1943"/>
      <c r="N51" s="1721"/>
      <c r="O51" s="1720"/>
    </row>
    <row r="52" spans="1:16" s="455" customFormat="1" ht="54">
      <c r="A52" s="471" t="s">
        <v>3564</v>
      </c>
      <c r="B52" s="454" t="s">
        <v>3560</v>
      </c>
      <c r="C52" s="20" t="s">
        <v>3562</v>
      </c>
      <c r="D52" s="1598" t="s">
        <v>2</v>
      </c>
      <c r="E52" s="2130" t="s">
        <v>1730</v>
      </c>
      <c r="F52" s="2131" t="s">
        <v>3</v>
      </c>
      <c r="G52" s="2131" t="s">
        <v>1</v>
      </c>
      <c r="H52" s="2132" t="s">
        <v>3557</v>
      </c>
      <c r="I52" s="2132" t="s">
        <v>3557</v>
      </c>
      <c r="J52" s="2132" t="s">
        <v>972</v>
      </c>
      <c r="K52" s="2133" t="s">
        <v>3563</v>
      </c>
      <c r="L52" s="2134">
        <v>122000</v>
      </c>
      <c r="M52" s="22" t="s">
        <v>3559</v>
      </c>
      <c r="N52" s="25" t="s">
        <v>703</v>
      </c>
      <c r="O52" s="1720"/>
    </row>
    <row r="53" spans="1:16" s="455" customFormat="1">
      <c r="A53" s="471"/>
      <c r="B53" s="454"/>
      <c r="C53" s="1951"/>
      <c r="D53" s="2055"/>
      <c r="E53" s="1947"/>
      <c r="F53" s="1724"/>
      <c r="G53" s="1725"/>
      <c r="H53" s="1801"/>
      <c r="I53" s="1801"/>
      <c r="J53" s="1801"/>
      <c r="K53" s="1802"/>
      <c r="L53" s="1801"/>
      <c r="M53" s="1943"/>
      <c r="N53" s="1721"/>
      <c r="O53" s="1720"/>
    </row>
    <row r="54" spans="1:16" s="455" customFormat="1" ht="54">
      <c r="A54" s="471">
        <v>1021</v>
      </c>
      <c r="B54" s="355" t="s">
        <v>3955</v>
      </c>
      <c r="C54" s="1951" t="s">
        <v>3979</v>
      </c>
      <c r="D54" s="1811" t="s">
        <v>1568</v>
      </c>
      <c r="E54" s="1948"/>
      <c r="F54" s="1907" t="s">
        <v>3</v>
      </c>
      <c r="G54" s="1725"/>
      <c r="H54" s="2214" t="s">
        <v>1110</v>
      </c>
      <c r="I54" s="2214" t="s">
        <v>3980</v>
      </c>
      <c r="J54" s="2214" t="s">
        <v>3981</v>
      </c>
      <c r="K54" s="1802" t="s">
        <v>3962</v>
      </c>
      <c r="L54" s="1866">
        <v>150000</v>
      </c>
      <c r="M54" s="1727"/>
      <c r="N54" s="1721"/>
      <c r="O54" s="1720"/>
    </row>
    <row r="55" spans="1:16" s="455" customFormat="1">
      <c r="A55" s="471"/>
      <c r="B55" s="355"/>
      <c r="C55" s="1951"/>
      <c r="D55" s="1811"/>
      <c r="E55" s="1948"/>
      <c r="F55" s="1907"/>
      <c r="G55" s="1725"/>
      <c r="H55" s="2214"/>
      <c r="I55" s="2214"/>
      <c r="J55" s="2214"/>
      <c r="K55" s="1802"/>
      <c r="L55" s="1866"/>
      <c r="M55" s="1727"/>
      <c r="N55" s="1721"/>
      <c r="O55" s="1720"/>
    </row>
    <row r="56" spans="1:16" s="455" customFormat="1">
      <c r="A56" s="471"/>
      <c r="B56" s="355"/>
      <c r="C56" s="1951"/>
      <c r="D56" s="1811"/>
      <c r="E56" s="1948"/>
      <c r="F56" s="1907"/>
      <c r="G56" s="1725"/>
      <c r="H56" s="2214"/>
      <c r="I56" s="2214"/>
      <c r="J56" s="2214"/>
      <c r="K56" s="1802"/>
      <c r="L56" s="1866"/>
      <c r="M56" s="1727"/>
      <c r="N56" s="1721"/>
      <c r="O56" s="1720"/>
    </row>
    <row r="57" spans="1:16" s="455" customFormat="1">
      <c r="A57" s="471"/>
      <c r="B57" s="355"/>
      <c r="C57" s="3105"/>
      <c r="D57" s="1816"/>
      <c r="E57" s="3106"/>
      <c r="F57" s="3107"/>
      <c r="G57" s="1713"/>
      <c r="H57" s="3108"/>
      <c r="I57" s="3109"/>
      <c r="J57" s="3109"/>
      <c r="K57" s="2126"/>
      <c r="L57" s="1873"/>
      <c r="M57" s="3110"/>
      <c r="N57" s="1821"/>
      <c r="O57" s="3062"/>
    </row>
    <row r="58" spans="1:16" s="455" customFormat="1" ht="27">
      <c r="A58" s="471"/>
      <c r="B58" s="355"/>
      <c r="C58" s="3105"/>
      <c r="D58" s="3104" t="s">
        <v>5287</v>
      </c>
      <c r="E58" s="3106"/>
      <c r="F58" s="3107"/>
      <c r="G58" s="1713"/>
      <c r="H58" s="3108"/>
      <c r="I58" s="3109"/>
      <c r="J58" s="3109"/>
      <c r="K58" s="2126"/>
      <c r="L58" s="1873"/>
      <c r="M58" s="3110"/>
      <c r="N58" s="1821"/>
      <c r="O58" s="3062"/>
    </row>
    <row r="59" spans="1:16" s="455" customFormat="1" ht="15" customHeight="1">
      <c r="A59" s="471"/>
      <c r="B59" s="355" t="s">
        <v>4006</v>
      </c>
      <c r="C59" s="3080" t="s">
        <v>5286</v>
      </c>
      <c r="D59" s="3082" t="s">
        <v>5288</v>
      </c>
      <c r="E59" s="3081"/>
      <c r="F59" s="1713"/>
      <c r="G59" s="3058" t="s">
        <v>828</v>
      </c>
      <c r="H59" s="2922" t="s">
        <v>2213</v>
      </c>
      <c r="I59" s="3083">
        <v>46174</v>
      </c>
      <c r="J59" s="1713" t="s">
        <v>4608</v>
      </c>
      <c r="K59" s="3058" t="s">
        <v>4411</v>
      </c>
      <c r="L59" s="3084"/>
      <c r="M59" s="3085" t="s">
        <v>5289</v>
      </c>
      <c r="P59" s="3086"/>
    </row>
    <row r="60" spans="1:16" s="455" customFormat="1">
      <c r="A60" s="471"/>
      <c r="B60" s="355" t="s">
        <v>4006</v>
      </c>
      <c r="C60" s="3087"/>
      <c r="D60" s="3089" t="s">
        <v>5290</v>
      </c>
      <c r="E60" s="3088"/>
      <c r="F60" s="1835" t="s">
        <v>2757</v>
      </c>
      <c r="G60" s="3064"/>
      <c r="H60" s="3064"/>
      <c r="I60" s="3064"/>
      <c r="J60" s="1836" t="s">
        <v>5291</v>
      </c>
      <c r="K60" s="3064"/>
      <c r="L60" s="3090"/>
      <c r="M60" s="3091"/>
      <c r="P60" s="3092"/>
    </row>
    <row r="61" spans="1:16" s="455" customFormat="1" ht="27">
      <c r="A61" s="471"/>
      <c r="B61" s="355" t="s">
        <v>4006</v>
      </c>
      <c r="C61" s="3087"/>
      <c r="D61" s="3094" t="s">
        <v>5292</v>
      </c>
      <c r="E61" s="3093" t="s">
        <v>4831</v>
      </c>
      <c r="F61" s="1835" t="s">
        <v>661</v>
      </c>
      <c r="G61" s="3095"/>
      <c r="H61" s="3095"/>
      <c r="I61" s="3095"/>
      <c r="J61" s="1838"/>
      <c r="K61" s="2587"/>
      <c r="L61" s="3096">
        <v>6935</v>
      </c>
      <c r="M61" s="2099"/>
      <c r="P61" s="3092"/>
    </row>
    <row r="62" spans="1:16" s="455" customFormat="1">
      <c r="A62" s="471"/>
      <c r="B62" s="355" t="s">
        <v>4006</v>
      </c>
      <c r="C62" s="3087"/>
      <c r="D62" s="3097" t="s">
        <v>5293</v>
      </c>
      <c r="E62" s="3093" t="s">
        <v>4831</v>
      </c>
      <c r="F62" s="1835" t="s">
        <v>422</v>
      </c>
      <c r="G62" s="3095"/>
      <c r="H62" s="3095"/>
      <c r="I62" s="3095"/>
      <c r="J62" s="1838"/>
      <c r="K62" s="2587"/>
      <c r="L62" s="3096">
        <v>700</v>
      </c>
      <c r="M62" s="2099"/>
      <c r="P62" s="3092"/>
    </row>
    <row r="63" spans="1:16" s="455" customFormat="1" ht="34.5" customHeight="1">
      <c r="A63" s="471"/>
      <c r="B63" s="355" t="s">
        <v>4006</v>
      </c>
      <c r="C63" s="3087"/>
      <c r="D63" s="3098"/>
      <c r="E63" s="3081"/>
      <c r="F63" s="2099"/>
      <c r="G63" s="3095"/>
      <c r="H63" s="3095"/>
      <c r="I63" s="3095"/>
      <c r="J63" s="1838"/>
      <c r="K63" s="2587"/>
      <c r="L63" s="3099"/>
      <c r="M63" s="2099" t="s">
        <v>5294</v>
      </c>
      <c r="P63" s="3092"/>
    </row>
    <row r="64" spans="1:16" s="455" customFormat="1">
      <c r="A64" s="471"/>
      <c r="B64" s="355" t="s">
        <v>4006</v>
      </c>
      <c r="C64" s="3087"/>
      <c r="D64" s="3100" t="s">
        <v>5295</v>
      </c>
      <c r="E64" s="3111"/>
      <c r="F64" s="2099"/>
      <c r="G64" s="3095"/>
      <c r="H64" s="3095"/>
      <c r="I64" s="3095"/>
      <c r="J64" s="1838"/>
      <c r="K64" s="2587"/>
      <c r="L64" s="3099"/>
      <c r="M64" s="2099"/>
      <c r="P64" s="3092"/>
    </row>
    <row r="65" spans="1:16" s="455" customFormat="1">
      <c r="A65" s="471"/>
      <c r="B65" s="355" t="s">
        <v>4006</v>
      </c>
      <c r="C65" s="2897"/>
      <c r="D65" s="3101" t="s">
        <v>5296</v>
      </c>
      <c r="E65" s="3088"/>
      <c r="F65" s="2099"/>
      <c r="G65" s="3095"/>
      <c r="H65" s="3095"/>
      <c r="I65" s="3095"/>
      <c r="J65" s="1838"/>
      <c r="K65" s="2587"/>
      <c r="L65" s="3099"/>
      <c r="M65" s="2099"/>
      <c r="P65" s="3092"/>
    </row>
    <row r="66" spans="1:16" s="455" customFormat="1" ht="27">
      <c r="A66" s="471"/>
      <c r="B66" s="355" t="s">
        <v>4006</v>
      </c>
      <c r="C66" s="3102"/>
      <c r="D66" s="3097" t="s">
        <v>5297</v>
      </c>
      <c r="E66" s="3093" t="s">
        <v>4831</v>
      </c>
      <c r="F66" s="1835" t="s">
        <v>661</v>
      </c>
      <c r="G66" s="3095"/>
      <c r="H66" s="3095"/>
      <c r="I66" s="3095"/>
      <c r="J66" s="1838"/>
      <c r="K66" s="3103"/>
      <c r="L66" s="3096">
        <v>343232</v>
      </c>
      <c r="M66" s="2099"/>
      <c r="P66" s="3092"/>
    </row>
    <row r="67" spans="1:16" s="455" customFormat="1">
      <c r="A67" s="471"/>
      <c r="B67" s="355"/>
      <c r="C67" s="1951"/>
      <c r="D67" s="1811"/>
      <c r="E67" s="1948"/>
      <c r="F67" s="1907"/>
      <c r="G67" s="1725"/>
      <c r="H67" s="2214"/>
      <c r="I67" s="2214"/>
      <c r="J67" s="2214"/>
      <c r="K67" s="1802"/>
      <c r="L67" s="1866"/>
      <c r="M67" s="1727"/>
      <c r="N67" s="1721"/>
      <c r="O67" s="1720"/>
    </row>
    <row r="68" spans="1:16" s="455" customFormat="1">
      <c r="A68" s="471"/>
      <c r="B68" s="355"/>
      <c r="C68" s="1951"/>
      <c r="D68" s="1811"/>
      <c r="E68" s="1948"/>
      <c r="F68" s="1907"/>
      <c r="G68" s="1725"/>
      <c r="H68" s="2214"/>
      <c r="I68" s="2214"/>
      <c r="J68" s="2214"/>
      <c r="K68" s="1802"/>
      <c r="L68" s="1866"/>
      <c r="M68" s="1727"/>
      <c r="N68" s="1721"/>
      <c r="O68" s="1720"/>
    </row>
    <row r="69" spans="1:16" s="455" customFormat="1">
      <c r="A69" s="471"/>
      <c r="B69" s="454"/>
      <c r="C69" s="1951"/>
      <c r="D69" s="1945"/>
      <c r="E69" s="1948"/>
      <c r="F69" s="1907"/>
      <c r="G69" s="1725"/>
      <c r="H69" s="1801"/>
      <c r="I69" s="1801"/>
      <c r="J69" s="1801"/>
      <c r="K69" s="1802"/>
      <c r="L69" s="1801"/>
      <c r="M69" s="1727"/>
      <c r="N69" s="1721"/>
      <c r="O69" s="1720"/>
    </row>
    <row r="70" spans="1:16" s="455" customFormat="1">
      <c r="A70" s="471"/>
      <c r="B70" s="454"/>
      <c r="C70" s="1951"/>
      <c r="D70" s="1885"/>
      <c r="E70" s="1948"/>
      <c r="F70" s="1885"/>
      <c r="G70" s="1725"/>
      <c r="H70" s="1801"/>
      <c r="I70" s="1801"/>
      <c r="J70" s="1801"/>
      <c r="K70" s="1802"/>
      <c r="L70" s="1801"/>
      <c r="M70" s="1943"/>
      <c r="N70" s="1721"/>
      <c r="O70" s="1720"/>
    </row>
    <row r="71" spans="1:16" s="455" customFormat="1">
      <c r="A71" s="471"/>
      <c r="B71" s="454"/>
      <c r="C71" s="1913"/>
      <c r="D71" s="1726"/>
      <c r="E71" s="1948"/>
      <c r="F71" s="1724"/>
      <c r="G71" s="1725"/>
      <c r="H71" s="1801"/>
      <c r="I71" s="1801"/>
      <c r="J71" s="1801"/>
      <c r="K71" s="1802"/>
      <c r="L71" s="1801"/>
      <c r="M71" s="1943"/>
      <c r="N71" s="1721"/>
      <c r="O71" s="1720"/>
    </row>
    <row r="72" spans="1:16" s="455" customFormat="1" ht="13.5">
      <c r="A72" s="471"/>
      <c r="B72" s="454"/>
      <c r="C72" s="2591"/>
      <c r="D72" s="309"/>
      <c r="E72" s="309"/>
      <c r="F72" s="309"/>
      <c r="G72" s="497"/>
      <c r="H72" s="1056"/>
      <c r="I72" s="985"/>
      <c r="J72" s="985"/>
      <c r="K72" s="499"/>
      <c r="L72" s="1025"/>
      <c r="M72" s="499"/>
    </row>
    <row r="73" spans="1:16" s="455" customFormat="1" ht="13.5">
      <c r="A73" s="471"/>
      <c r="B73" s="454"/>
      <c r="C73" s="2593"/>
      <c r="D73" s="309"/>
      <c r="E73" s="309"/>
      <c r="F73" s="309"/>
      <c r="G73" s="497"/>
      <c r="H73" s="1056"/>
      <c r="I73" s="985"/>
      <c r="J73" s="985"/>
      <c r="K73" s="499"/>
      <c r="L73" s="1025"/>
      <c r="M73" s="499"/>
    </row>
    <row r="74" spans="1:16" s="455" customFormat="1" ht="13.5">
      <c r="A74" s="471"/>
      <c r="B74" s="454"/>
      <c r="C74" s="314"/>
      <c r="D74" s="309"/>
      <c r="E74" s="309"/>
      <c r="F74" s="309"/>
      <c r="G74" s="497"/>
      <c r="H74" s="1056"/>
      <c r="I74" s="985"/>
      <c r="J74" s="985"/>
      <c r="K74" s="499"/>
      <c r="M74" s="499"/>
      <c r="N74" s="1466"/>
    </row>
    <row r="75" spans="1:16" s="455" customFormat="1" ht="13.5">
      <c r="A75" s="471"/>
      <c r="B75" s="454"/>
      <c r="C75" s="2679"/>
      <c r="D75" s="309"/>
      <c r="E75" s="309"/>
      <c r="F75" s="309"/>
      <c r="G75" s="497"/>
      <c r="H75" s="985"/>
      <c r="I75" s="985"/>
      <c r="J75" s="985"/>
      <c r="K75" s="499"/>
      <c r="L75" s="1025"/>
      <c r="M75" s="499"/>
      <c r="N75" s="1466"/>
    </row>
    <row r="76" spans="1:16" s="455" customFormat="1" ht="13.5">
      <c r="A76" s="471"/>
      <c r="B76" s="454"/>
      <c r="C76" s="2679"/>
      <c r="D76" s="309"/>
      <c r="E76" s="309"/>
      <c r="F76" s="309"/>
      <c r="G76" s="497"/>
      <c r="H76" s="985"/>
      <c r="I76" s="985"/>
      <c r="J76" s="985"/>
      <c r="K76" s="499"/>
      <c r="L76" s="1994">
        <f>SUM(L5:L72)</f>
        <v>875057</v>
      </c>
      <c r="M76" s="499"/>
      <c r="N76" s="1467"/>
    </row>
    <row r="77" spans="1:16" s="455" customFormat="1" ht="13.5">
      <c r="A77" s="471"/>
      <c r="B77" s="454"/>
      <c r="C77" s="2679"/>
      <c r="D77" s="309"/>
      <c r="E77" s="309"/>
      <c r="F77" s="309"/>
      <c r="G77" s="497"/>
      <c r="H77" s="985"/>
      <c r="I77" s="985"/>
      <c r="J77" s="985"/>
      <c r="K77" s="499"/>
      <c r="L77" s="1025"/>
      <c r="M77" s="499"/>
      <c r="N77" s="1468"/>
    </row>
    <row r="78" spans="1:16" s="455" customFormat="1" ht="13.5">
      <c r="A78" s="471"/>
      <c r="B78" s="454"/>
      <c r="C78" s="2679"/>
      <c r="D78" s="309"/>
      <c r="E78" s="309"/>
      <c r="F78" s="309"/>
      <c r="G78" s="497"/>
      <c r="H78" s="985"/>
      <c r="I78" s="985"/>
      <c r="J78" s="985"/>
      <c r="K78" s="499"/>
      <c r="L78" s="1025"/>
      <c r="M78" s="499"/>
      <c r="N78" s="1468"/>
    </row>
    <row r="79" spans="1:16" s="455" customFormat="1" ht="13.5">
      <c r="A79" s="471"/>
      <c r="B79" s="454"/>
      <c r="C79" s="2591"/>
      <c r="D79" s="309"/>
      <c r="E79" s="309"/>
      <c r="F79" s="309"/>
      <c r="G79" s="497"/>
      <c r="H79" s="985"/>
      <c r="I79" s="985"/>
      <c r="J79" s="985"/>
      <c r="K79" s="499"/>
      <c r="L79" s="1025"/>
      <c r="M79" s="499"/>
      <c r="N79" s="1468"/>
    </row>
    <row r="80" spans="1:16" s="455" customFormat="1" ht="13.5">
      <c r="A80" s="471"/>
      <c r="B80" s="454"/>
      <c r="C80" s="2593"/>
      <c r="D80" s="309"/>
      <c r="E80" s="309"/>
      <c r="F80" s="309"/>
      <c r="G80" s="497"/>
      <c r="H80" s="985"/>
      <c r="I80" s="985"/>
      <c r="J80" s="985"/>
      <c r="K80" s="499"/>
      <c r="L80" s="1025"/>
      <c r="M80" s="499"/>
      <c r="N80" s="1468"/>
    </row>
    <row r="81" spans="1:15" s="455" customFormat="1" ht="13.5">
      <c r="A81" s="471"/>
      <c r="B81" s="454"/>
      <c r="C81" s="392"/>
      <c r="D81" s="309"/>
      <c r="E81" s="309"/>
      <c r="F81" s="309"/>
      <c r="G81" s="497"/>
      <c r="H81" s="1056"/>
      <c r="I81" s="985"/>
      <c r="J81" s="985"/>
      <c r="K81" s="499"/>
      <c r="L81" s="1025"/>
      <c r="M81" s="499"/>
      <c r="N81" s="1465"/>
    </row>
    <row r="82" spans="1:15" s="455" customFormat="1" ht="13.5">
      <c r="A82" s="471"/>
      <c r="B82" s="454"/>
      <c r="C82" s="392"/>
      <c r="D82" s="309"/>
      <c r="E82" s="309"/>
      <c r="F82" s="309"/>
      <c r="G82" s="497"/>
      <c r="H82" s="985"/>
      <c r="I82" s="985"/>
      <c r="J82" s="985"/>
      <c r="K82" s="499"/>
      <c r="L82" s="1025"/>
      <c r="M82" s="499"/>
    </row>
    <row r="83" spans="1:15" s="455" customFormat="1" ht="13.5">
      <c r="A83" s="471"/>
      <c r="B83" s="454"/>
      <c r="C83" s="987"/>
      <c r="D83" s="314"/>
      <c r="E83" s="662"/>
      <c r="F83" s="309"/>
      <c r="G83" s="497"/>
      <c r="H83" s="985"/>
      <c r="I83" s="985"/>
      <c r="J83" s="985"/>
      <c r="K83" s="499"/>
      <c r="L83" s="1025"/>
      <c r="M83" s="499"/>
      <c r="N83" s="454"/>
    </row>
    <row r="84" spans="1:15" s="455" customFormat="1" ht="13.5">
      <c r="A84" s="471"/>
      <c r="B84" s="454"/>
      <c r="C84" s="987"/>
      <c r="D84" s="314"/>
      <c r="E84" s="662"/>
      <c r="F84" s="309"/>
      <c r="G84" s="497"/>
      <c r="H84" s="985"/>
      <c r="I84" s="985"/>
      <c r="J84" s="985"/>
      <c r="K84" s="499"/>
      <c r="L84" s="1025"/>
      <c r="M84" s="499"/>
      <c r="N84" s="458"/>
    </row>
    <row r="85" spans="1:15" s="455" customFormat="1" ht="13.5">
      <c r="A85" s="471"/>
      <c r="B85" s="454"/>
      <c r="C85" s="987"/>
      <c r="D85" s="314"/>
      <c r="E85" s="662"/>
      <c r="F85" s="309"/>
      <c r="G85" s="497"/>
      <c r="H85" s="985"/>
      <c r="I85" s="985"/>
      <c r="J85" s="985"/>
      <c r="K85" s="499"/>
      <c r="L85" s="1065"/>
      <c r="M85" s="499"/>
      <c r="N85" s="458"/>
    </row>
    <row r="86" spans="1:15" s="455" customFormat="1" ht="13.5">
      <c r="A86" s="471"/>
      <c r="B86" s="454"/>
      <c r="C86" s="987"/>
      <c r="D86" s="309"/>
      <c r="E86" s="662"/>
      <c r="F86" s="309"/>
      <c r="G86" s="497"/>
      <c r="H86" s="985"/>
      <c r="I86" s="985"/>
      <c r="J86" s="985"/>
      <c r="K86" s="499"/>
      <c r="L86" s="1065"/>
      <c r="M86" s="499"/>
      <c r="N86" s="458"/>
    </row>
    <row r="87" spans="1:15" s="455" customFormat="1" ht="13.5">
      <c r="A87" s="471"/>
      <c r="B87" s="454"/>
      <c r="C87" s="314"/>
      <c r="D87" s="314"/>
      <c r="E87" s="309"/>
      <c r="F87" s="309"/>
      <c r="G87" s="497"/>
      <c r="H87" s="985"/>
      <c r="I87" s="985"/>
      <c r="J87" s="985"/>
      <c r="K87" s="309"/>
      <c r="L87" s="1015"/>
      <c r="M87" s="499"/>
      <c r="N87" s="458"/>
    </row>
    <row r="88" spans="1:15" s="455" customFormat="1" ht="13.5">
      <c r="A88" s="471"/>
      <c r="B88" s="454"/>
      <c r="C88" s="314"/>
      <c r="D88" s="314"/>
      <c r="E88" s="309"/>
      <c r="F88" s="309"/>
      <c r="G88" s="497"/>
      <c r="H88" s="985"/>
      <c r="I88" s="985"/>
      <c r="J88" s="985"/>
      <c r="K88" s="309"/>
      <c r="L88" s="1015"/>
      <c r="M88" s="499"/>
      <c r="N88" s="460"/>
    </row>
    <row r="89" spans="1:15" s="455" customFormat="1" ht="13.5">
      <c r="A89" s="471"/>
      <c r="B89" s="454"/>
      <c r="C89" s="314"/>
      <c r="D89" s="314"/>
      <c r="E89" s="560"/>
      <c r="F89" s="309"/>
      <c r="G89" s="497"/>
      <c r="H89" s="985"/>
      <c r="I89" s="985"/>
      <c r="J89" s="985"/>
      <c r="K89" s="309"/>
      <c r="L89" s="1015"/>
      <c r="M89" s="499"/>
      <c r="N89" s="454"/>
    </row>
    <row r="90" spans="1:15" s="455" customFormat="1" ht="13.5">
      <c r="A90" s="471"/>
      <c r="B90" s="454"/>
      <c r="C90" s="987"/>
      <c r="D90" s="314"/>
      <c r="E90" s="662"/>
      <c r="F90" s="309"/>
      <c r="G90" s="497"/>
      <c r="H90" s="985"/>
      <c r="I90" s="985"/>
      <c r="J90" s="985"/>
      <c r="K90" s="499"/>
      <c r="L90" s="1065"/>
      <c r="M90" s="499"/>
      <c r="N90" s="458"/>
    </row>
    <row r="91" spans="1:15" s="455" customFormat="1" ht="13.5">
      <c r="A91" s="471"/>
      <c r="B91" s="454"/>
      <c r="C91" s="392"/>
      <c r="D91" s="309"/>
      <c r="E91" s="309"/>
      <c r="F91" s="662"/>
      <c r="G91" s="309"/>
      <c r="H91" s="497"/>
      <c r="I91" s="985"/>
      <c r="J91" s="985"/>
      <c r="K91" s="1066"/>
      <c r="L91" s="1067"/>
      <c r="M91" s="1025"/>
      <c r="N91" s="1068"/>
      <c r="O91" s="458"/>
    </row>
    <row r="92" spans="1:15" s="455" customFormat="1" ht="13.5">
      <c r="A92" s="471"/>
      <c r="B92" s="454"/>
      <c r="C92" s="471"/>
      <c r="D92" s="456"/>
      <c r="E92" s="459"/>
      <c r="F92" s="466"/>
      <c r="G92" s="471"/>
      <c r="H92" s="477"/>
      <c r="I92" s="526"/>
      <c r="J92" s="526"/>
      <c r="K92" s="526"/>
      <c r="L92" s="473"/>
      <c r="M92" s="529"/>
      <c r="N92" s="471"/>
      <c r="O92" s="458"/>
    </row>
    <row r="93" spans="1:15" s="455" customFormat="1" ht="13.5">
      <c r="A93" s="471"/>
      <c r="B93" s="454"/>
      <c r="C93" s="471"/>
      <c r="D93" s="456"/>
      <c r="E93" s="459"/>
      <c r="F93" s="466"/>
      <c r="G93" s="471"/>
      <c r="H93" s="477"/>
      <c r="I93" s="526"/>
      <c r="J93" s="526"/>
      <c r="K93" s="526"/>
      <c r="L93" s="473"/>
      <c r="M93" s="529"/>
      <c r="N93" s="471"/>
      <c r="O93" s="458"/>
    </row>
    <row r="94" spans="1:15" s="455" customFormat="1" ht="13.5">
      <c r="A94" s="471"/>
      <c r="B94" s="454"/>
      <c r="C94" s="314"/>
      <c r="D94" s="309"/>
      <c r="E94" s="309"/>
      <c r="F94" s="309"/>
      <c r="G94" s="309"/>
      <c r="H94" s="309"/>
      <c r="I94" s="309"/>
      <c r="J94" s="309"/>
      <c r="K94" s="309"/>
      <c r="L94" s="309"/>
      <c r="M94" s="309"/>
      <c r="N94" s="309"/>
    </row>
    <row r="95" spans="1:15" s="455" customFormat="1" ht="13.5">
      <c r="A95" s="471"/>
      <c r="B95" s="454"/>
      <c r="C95" s="314"/>
      <c r="D95" s="314"/>
      <c r="E95" s="309"/>
      <c r="F95" s="309"/>
      <c r="G95" s="497"/>
      <c r="H95" s="1056"/>
      <c r="I95" s="309"/>
      <c r="J95" s="309"/>
      <c r="K95" s="499"/>
      <c r="L95" s="1069"/>
      <c r="M95" s="309"/>
      <c r="N95" s="454"/>
    </row>
    <row r="96" spans="1:15" s="455" customFormat="1" ht="13.5">
      <c r="A96" s="471"/>
      <c r="B96" s="454"/>
      <c r="C96" s="314"/>
      <c r="D96" s="314"/>
      <c r="E96" s="309"/>
      <c r="F96" s="309"/>
      <c r="G96" s="497"/>
      <c r="H96" s="1056"/>
      <c r="I96" s="309"/>
      <c r="J96" s="309"/>
      <c r="K96" s="499"/>
      <c r="L96" s="1069"/>
      <c r="M96" s="499"/>
      <c r="N96" s="458"/>
    </row>
    <row r="97" spans="1:14" s="455" customFormat="1" ht="13.5">
      <c r="A97" s="471"/>
      <c r="B97" s="454"/>
      <c r="C97" s="314"/>
      <c r="D97" s="314"/>
      <c r="E97" s="309"/>
      <c r="F97" s="309"/>
      <c r="G97" s="497"/>
      <c r="H97" s="1056"/>
      <c r="I97" s="309"/>
      <c r="J97" s="309"/>
      <c r="K97" s="499"/>
      <c r="L97" s="1069"/>
      <c r="M97" s="499"/>
      <c r="N97" s="458"/>
    </row>
    <row r="98" spans="1:14" s="455" customFormat="1" ht="13.5">
      <c r="A98" s="471"/>
      <c r="B98" s="454"/>
      <c r="C98" s="314"/>
      <c r="D98" s="314"/>
      <c r="E98" s="662"/>
      <c r="F98" s="309"/>
      <c r="G98" s="497"/>
      <c r="H98" s="1056"/>
      <c r="I98" s="985"/>
      <c r="J98" s="985"/>
      <c r="K98" s="499"/>
      <c r="L98" s="1016"/>
      <c r="M98" s="499"/>
      <c r="N98" s="458"/>
    </row>
    <row r="99" spans="1:14" s="455" customFormat="1" ht="13.5">
      <c r="A99" s="471"/>
      <c r="B99" s="454"/>
      <c r="C99" s="314"/>
      <c r="D99" s="314"/>
      <c r="E99" s="662"/>
      <c r="F99" s="309"/>
      <c r="G99" s="497"/>
      <c r="H99" s="1056"/>
      <c r="I99" s="985"/>
      <c r="J99" s="985"/>
      <c r="K99" s="499"/>
      <c r="L99" s="1016"/>
      <c r="M99" s="499"/>
      <c r="N99" s="458"/>
    </row>
    <row r="100" spans="1:14" s="455" customFormat="1" ht="13.5">
      <c r="A100" s="471"/>
      <c r="B100" s="454"/>
      <c r="C100" s="314"/>
      <c r="D100" s="314"/>
      <c r="E100" s="662"/>
      <c r="F100" s="309"/>
      <c r="G100" s="497"/>
      <c r="H100" s="1056"/>
      <c r="I100" s="985"/>
      <c r="J100" s="985"/>
      <c r="K100" s="499"/>
      <c r="L100" s="1071"/>
      <c r="M100" s="499"/>
    </row>
    <row r="101" spans="1:14" s="455" customFormat="1" ht="13.5">
      <c r="A101" s="471"/>
      <c r="B101" s="454"/>
      <c r="C101" s="314"/>
      <c r="D101" s="314"/>
      <c r="E101" s="662"/>
      <c r="F101" s="309"/>
      <c r="G101" s="497"/>
      <c r="H101" s="1056"/>
      <c r="I101" s="985"/>
      <c r="J101" s="985"/>
      <c r="K101" s="499"/>
      <c r="L101" s="1071"/>
      <c r="M101" s="499"/>
    </row>
    <row r="102" spans="1:14" s="455" customFormat="1" ht="13.5">
      <c r="A102" s="471"/>
      <c r="B102" s="454"/>
      <c r="C102" s="314"/>
      <c r="D102" s="314"/>
      <c r="E102" s="662"/>
      <c r="F102" s="309"/>
      <c r="G102" s="497"/>
      <c r="H102" s="1056"/>
      <c r="I102" s="985"/>
      <c r="J102" s="985"/>
      <c r="K102" s="499"/>
      <c r="L102" s="1016"/>
      <c r="M102" s="499"/>
    </row>
    <row r="103" spans="1:14" s="455" customFormat="1" ht="13.5">
      <c r="A103" s="471"/>
      <c r="B103" s="454"/>
      <c r="C103" s="314"/>
      <c r="D103" s="314"/>
      <c r="E103" s="662"/>
      <c r="F103" s="309"/>
      <c r="G103" s="497"/>
      <c r="H103" s="1056"/>
      <c r="I103" s="985"/>
      <c r="J103" s="985"/>
      <c r="K103" s="499"/>
      <c r="L103" s="1016"/>
      <c r="M103" s="499"/>
    </row>
    <row r="104" spans="1:14" s="455" customFormat="1" ht="13.5">
      <c r="A104" s="471"/>
      <c r="B104" s="454"/>
      <c r="C104" s="314"/>
      <c r="D104" s="314"/>
      <c r="E104" s="662"/>
      <c r="F104" s="309"/>
      <c r="G104" s="497"/>
      <c r="H104" s="1056"/>
      <c r="I104" s="985"/>
      <c r="J104" s="985"/>
      <c r="K104" s="499"/>
      <c r="L104" s="1016"/>
      <c r="M104" s="499"/>
      <c r="N104" s="458"/>
    </row>
    <row r="105" spans="1:14" s="455" customFormat="1" ht="13.5">
      <c r="A105" s="471"/>
      <c r="B105" s="454"/>
      <c r="C105" s="314"/>
      <c r="D105" s="314"/>
      <c r="E105" s="662"/>
      <c r="F105" s="309"/>
      <c r="G105" s="497"/>
      <c r="H105" s="1056"/>
      <c r="I105" s="985"/>
      <c r="J105" s="985"/>
      <c r="K105" s="499"/>
      <c r="L105" s="1016"/>
      <c r="M105" s="499"/>
      <c r="N105" s="458"/>
    </row>
    <row r="106" spans="1:14" s="455" customFormat="1" ht="13.5">
      <c r="A106" s="471"/>
      <c r="B106" s="454"/>
      <c r="C106" s="314"/>
      <c r="D106" s="314"/>
      <c r="E106" s="662"/>
      <c r="F106" s="309"/>
      <c r="G106" s="497"/>
      <c r="H106" s="1056"/>
      <c r="I106" s="985"/>
      <c r="J106" s="985"/>
      <c r="K106" s="499"/>
      <c r="L106" s="1016"/>
      <c r="M106" s="499"/>
      <c r="N106" s="458"/>
    </row>
    <row r="107" spans="1:14" s="455" customFormat="1" ht="13.5">
      <c r="A107" s="471"/>
      <c r="B107" s="454"/>
      <c r="C107" s="2591"/>
      <c r="D107" s="314"/>
      <c r="E107" s="662"/>
      <c r="F107" s="309"/>
      <c r="G107" s="497"/>
      <c r="H107" s="1056"/>
      <c r="I107" s="985"/>
      <c r="J107" s="985"/>
      <c r="K107" s="499"/>
      <c r="L107" s="1016"/>
      <c r="M107" s="499"/>
    </row>
    <row r="108" spans="1:14" s="455" customFormat="1" ht="13.5">
      <c r="A108" s="471"/>
      <c r="B108" s="454"/>
      <c r="C108" s="2593"/>
      <c r="D108" s="314"/>
      <c r="E108" s="662"/>
      <c r="F108" s="309"/>
      <c r="G108" s="497"/>
      <c r="H108" s="1056"/>
      <c r="I108" s="985"/>
      <c r="J108" s="985"/>
      <c r="K108" s="499"/>
      <c r="L108" s="1016"/>
      <c r="M108" s="499"/>
      <c r="N108" s="454"/>
    </row>
    <row r="109" spans="1:14" s="455" customFormat="1" ht="13.5">
      <c r="A109" s="471"/>
      <c r="B109" s="454"/>
      <c r="C109" s="2591"/>
      <c r="D109" s="314"/>
      <c r="E109" s="662"/>
      <c r="F109" s="309"/>
      <c r="G109" s="497"/>
      <c r="H109" s="1056"/>
      <c r="I109" s="985"/>
      <c r="J109" s="985"/>
      <c r="K109" s="499"/>
      <c r="L109" s="1016"/>
      <c r="M109" s="499"/>
      <c r="N109" s="458"/>
    </row>
    <row r="110" spans="1:14" s="455" customFormat="1" ht="13.5">
      <c r="A110" s="471"/>
      <c r="B110" s="454"/>
      <c r="C110" s="2592"/>
      <c r="D110" s="314"/>
      <c r="E110" s="662"/>
      <c r="F110" s="309"/>
      <c r="G110" s="497"/>
      <c r="H110" s="1056"/>
      <c r="I110" s="985"/>
      <c r="J110" s="985"/>
      <c r="K110" s="499"/>
      <c r="L110" s="1016"/>
      <c r="M110" s="499"/>
      <c r="N110" s="458"/>
    </row>
    <row r="111" spans="1:14" s="455" customFormat="1" ht="13.5">
      <c r="A111" s="471"/>
      <c r="B111" s="454"/>
      <c r="C111" s="2593"/>
      <c r="D111" s="314"/>
      <c r="E111" s="662"/>
      <c r="F111" s="309"/>
      <c r="G111" s="497"/>
      <c r="H111" s="1056"/>
      <c r="I111" s="985"/>
      <c r="J111" s="985"/>
      <c r="K111" s="499"/>
      <c r="L111" s="1016"/>
      <c r="M111" s="499"/>
      <c r="N111" s="458"/>
    </row>
    <row r="112" spans="1:14" s="455" customFormat="1" ht="13.5">
      <c r="A112" s="471"/>
      <c r="B112" s="454"/>
      <c r="C112" s="314"/>
      <c r="D112" s="314"/>
      <c r="E112" s="662"/>
      <c r="F112" s="309"/>
      <c r="G112" s="497"/>
      <c r="H112" s="985"/>
      <c r="I112" s="985"/>
      <c r="J112" s="985"/>
      <c r="K112" s="499"/>
      <c r="L112" s="1016"/>
      <c r="M112" s="499"/>
      <c r="N112" s="458"/>
    </row>
    <row r="113" spans="1:15" s="455" customFormat="1" ht="13.5">
      <c r="A113" s="471"/>
      <c r="B113" s="454"/>
      <c r="C113" s="314"/>
      <c r="D113" s="314"/>
      <c r="E113" s="662"/>
      <c r="F113" s="309"/>
      <c r="G113" s="497"/>
      <c r="H113" s="985"/>
      <c r="I113" s="985"/>
      <c r="J113" s="985"/>
      <c r="K113" s="499"/>
      <c r="L113" s="1016"/>
      <c r="M113" s="499"/>
      <c r="N113" s="460"/>
    </row>
    <row r="114" spans="1:15" s="455" customFormat="1" ht="13.5">
      <c r="C114" s="314"/>
      <c r="D114" s="314"/>
      <c r="E114" s="662"/>
      <c r="F114" s="662"/>
      <c r="G114" s="309"/>
      <c r="H114" s="497"/>
      <c r="I114" s="1056"/>
      <c r="J114" s="985"/>
      <c r="K114" s="985"/>
      <c r="L114" s="499"/>
      <c r="M114" s="1025"/>
      <c r="N114" s="499"/>
    </row>
    <row r="115" spans="1:15" s="455" customFormat="1" ht="13.5">
      <c r="C115" s="902"/>
      <c r="D115" s="309"/>
      <c r="E115" s="662"/>
      <c r="F115" s="662"/>
      <c r="G115" s="309"/>
      <c r="H115" s="497"/>
      <c r="I115" s="653"/>
      <c r="J115" s="985"/>
      <c r="K115" s="1469"/>
      <c r="L115" s="499"/>
      <c r="M115" s="1025"/>
      <c r="N115" s="499"/>
    </row>
    <row r="116" spans="1:15" s="455" customFormat="1" ht="13.5">
      <c r="A116" s="566"/>
      <c r="B116" s="467"/>
      <c r="C116" s="499"/>
      <c r="D116" s="309"/>
      <c r="E116" s="391"/>
      <c r="F116" s="499"/>
      <c r="G116" s="497"/>
      <c r="H116" s="498"/>
      <c r="I116" s="498"/>
      <c r="J116" s="498"/>
      <c r="K116" s="499"/>
      <c r="L116" s="1470"/>
      <c r="M116" s="309"/>
      <c r="N116" s="499"/>
    </row>
    <row r="117" spans="1:15" s="455" customFormat="1" ht="13.5">
      <c r="A117" s="566"/>
      <c r="B117" s="467"/>
      <c r="C117" s="497"/>
      <c r="D117" s="691"/>
      <c r="E117" s="675"/>
      <c r="F117" s="675"/>
      <c r="G117" s="654"/>
      <c r="H117" s="502"/>
      <c r="I117" s="652"/>
      <c r="J117" s="497"/>
      <c r="K117" s="653"/>
      <c r="L117" s="502"/>
      <c r="M117" s="538"/>
      <c r="N117" s="392"/>
      <c r="O117" s="502"/>
    </row>
    <row r="118" spans="1:15" s="455" customFormat="1" ht="13.5">
      <c r="A118" s="566"/>
      <c r="B118" s="467"/>
      <c r="C118" s="497"/>
      <c r="D118" s="691"/>
      <c r="E118" s="675"/>
      <c r="F118" s="675"/>
      <c r="G118" s="654"/>
      <c r="H118" s="502"/>
      <c r="I118" s="652"/>
      <c r="J118" s="497"/>
      <c r="K118" s="653"/>
      <c r="L118" s="502"/>
      <c r="M118" s="538"/>
      <c r="N118" s="392"/>
      <c r="O118" s="502"/>
    </row>
    <row r="119" spans="1:15" s="455" customFormat="1" ht="13.5">
      <c r="A119" s="566"/>
      <c r="B119" s="467"/>
      <c r="C119" s="497"/>
      <c r="D119" s="691"/>
      <c r="E119" s="675"/>
      <c r="F119" s="675"/>
      <c r="G119" s="654"/>
      <c r="H119" s="502"/>
      <c r="I119" s="652"/>
      <c r="J119" s="497"/>
      <c r="K119" s="653"/>
      <c r="L119" s="502"/>
      <c r="M119" s="538"/>
      <c r="N119" s="392"/>
      <c r="O119" s="502"/>
    </row>
    <row r="120" spans="1:15" s="455" customFormat="1" ht="13.5">
      <c r="A120" s="566"/>
      <c r="B120" s="467"/>
      <c r="C120" s="497"/>
      <c r="D120" s="691"/>
      <c r="E120" s="675"/>
      <c r="F120" s="675"/>
      <c r="G120" s="654"/>
      <c r="H120" s="502"/>
      <c r="I120" s="652"/>
      <c r="J120" s="497"/>
      <c r="K120" s="653"/>
      <c r="L120" s="502"/>
      <c r="M120" s="538"/>
      <c r="N120" s="392"/>
      <c r="O120" s="502"/>
    </row>
    <row r="121" spans="1:15" s="455" customFormat="1" ht="13.5">
      <c r="C121" s="1384"/>
      <c r="D121" s="314"/>
      <c r="E121" s="662"/>
      <c r="F121" s="662"/>
      <c r="G121" s="309"/>
      <c r="H121" s="497"/>
      <c r="I121" s="653"/>
      <c r="J121" s="985"/>
      <c r="K121" s="1469"/>
      <c r="L121" s="499"/>
      <c r="M121" s="1025"/>
      <c r="N121" s="499"/>
    </row>
    <row r="122" spans="1:15" s="455" customFormat="1" ht="13.5">
      <c r="C122" s="1384"/>
      <c r="D122" s="314"/>
      <c r="E122" s="662"/>
      <c r="F122" s="662"/>
      <c r="G122" s="309"/>
      <c r="H122" s="497"/>
      <c r="I122" s="653"/>
      <c r="J122" s="985"/>
      <c r="K122" s="1469"/>
      <c r="L122" s="499"/>
      <c r="M122" s="1025"/>
      <c r="N122" s="499"/>
    </row>
    <row r="123" spans="1:15" s="455" customFormat="1" ht="13.5">
      <c r="A123" s="566"/>
      <c r="B123" s="467"/>
      <c r="C123" s="499"/>
      <c r="D123" s="309"/>
      <c r="E123" s="391"/>
      <c r="F123" s="499"/>
      <c r="G123" s="497"/>
      <c r="H123" s="498"/>
      <c r="I123" s="498"/>
      <c r="J123" s="498"/>
      <c r="K123" s="499"/>
      <c r="L123" s="1470"/>
      <c r="M123" s="309"/>
      <c r="N123" s="499"/>
    </row>
    <row r="124" spans="1:15" s="455" customFormat="1" ht="13.5">
      <c r="A124" s="566"/>
      <c r="B124" s="467"/>
      <c r="C124" s="497"/>
      <c r="D124" s="691"/>
      <c r="E124" s="675"/>
      <c r="F124" s="675"/>
      <c r="G124" s="654"/>
      <c r="H124" s="502"/>
      <c r="I124" s="652"/>
      <c r="J124" s="497"/>
      <c r="K124" s="653"/>
      <c r="L124" s="502"/>
      <c r="M124" s="538"/>
      <c r="N124" s="392"/>
      <c r="O124" s="502"/>
    </row>
    <row r="125" spans="1:15" s="455" customFormat="1" ht="13.5">
      <c r="A125" s="566"/>
      <c r="B125" s="467"/>
      <c r="C125" s="497"/>
      <c r="D125" s="691"/>
      <c r="E125" s="675"/>
      <c r="F125" s="675"/>
      <c r="G125" s="654"/>
      <c r="H125" s="502"/>
      <c r="I125" s="652"/>
      <c r="J125" s="497"/>
      <c r="K125" s="653"/>
      <c r="L125" s="502"/>
      <c r="M125" s="538"/>
      <c r="N125" s="392"/>
      <c r="O125" s="502"/>
    </row>
    <row r="126" spans="1:15" s="455" customFormat="1" ht="13.5">
      <c r="A126" s="566"/>
      <c r="B126" s="467"/>
      <c r="C126" s="497"/>
      <c r="D126" s="691"/>
      <c r="E126" s="675"/>
      <c r="F126" s="675"/>
      <c r="G126" s="654"/>
      <c r="H126" s="502"/>
      <c r="I126" s="652"/>
      <c r="J126" s="497"/>
      <c r="K126" s="653"/>
      <c r="L126" s="502"/>
      <c r="M126" s="538"/>
      <c r="N126" s="392"/>
      <c r="O126" s="502"/>
    </row>
    <row r="127" spans="1:15" s="455" customFormat="1" ht="13.5">
      <c r="A127" s="566"/>
      <c r="B127" s="467"/>
      <c r="C127" s="497"/>
      <c r="D127" s="691"/>
      <c r="E127" s="675"/>
      <c r="F127" s="675"/>
      <c r="G127" s="654"/>
      <c r="H127" s="502"/>
      <c r="I127" s="652"/>
      <c r="J127" s="497"/>
      <c r="K127" s="653"/>
      <c r="L127" s="502"/>
      <c r="M127" s="538"/>
      <c r="N127" s="392"/>
      <c r="O127" s="502"/>
    </row>
    <row r="128" spans="1:15" s="455" customFormat="1" ht="13.5">
      <c r="C128" s="1385"/>
      <c r="D128" s="314"/>
      <c r="E128" s="991"/>
      <c r="F128" s="662"/>
      <c r="G128" s="309"/>
      <c r="H128" s="497"/>
      <c r="I128" s="774"/>
      <c r="J128" s="774"/>
      <c r="K128" s="774"/>
      <c r="L128" s="499"/>
      <c r="M128" s="1028"/>
      <c r="N128" s="499"/>
    </row>
    <row r="129" spans="3:15" s="455" customFormat="1" ht="13.5">
      <c r="C129" s="314"/>
      <c r="D129" s="314"/>
      <c r="E129" s="991"/>
      <c r="F129" s="662"/>
      <c r="G129" s="309"/>
      <c r="H129" s="497"/>
      <c r="I129" s="774"/>
      <c r="J129" s="774"/>
      <c r="K129" s="1471"/>
      <c r="L129" s="499"/>
      <c r="M129" s="1028"/>
      <c r="N129" s="499"/>
    </row>
    <row r="130" spans="3:15" s="455" customFormat="1" ht="13.5">
      <c r="C130" s="1027"/>
      <c r="D130" s="314"/>
      <c r="E130" s="991"/>
      <c r="F130" s="662"/>
      <c r="G130" s="309"/>
      <c r="H130" s="497"/>
      <c r="I130" s="1056"/>
      <c r="J130" s="985"/>
      <c r="K130" s="985"/>
      <c r="L130" s="499"/>
      <c r="M130" s="1028"/>
      <c r="N130" s="499"/>
    </row>
    <row r="131" spans="3:15" s="455" customFormat="1" ht="13.5">
      <c r="C131" s="499"/>
      <c r="D131" s="309"/>
      <c r="E131" s="391"/>
      <c r="F131" s="499"/>
      <c r="G131" s="497"/>
      <c r="H131" s="498"/>
      <c r="I131" s="498"/>
      <c r="J131" s="498"/>
      <c r="K131" s="499"/>
      <c r="L131" s="1472"/>
      <c r="M131" s="309"/>
      <c r="N131" s="499"/>
    </row>
    <row r="132" spans="3:15" s="455" customFormat="1" ht="13.5">
      <c r="C132" s="497"/>
      <c r="D132" s="691"/>
      <c r="E132" s="675"/>
      <c r="F132" s="675"/>
      <c r="G132" s="654"/>
      <c r="H132" s="502"/>
      <c r="I132" s="652"/>
      <c r="J132" s="497"/>
      <c r="K132" s="653"/>
      <c r="L132" s="502"/>
      <c r="M132" s="538"/>
      <c r="N132" s="392"/>
      <c r="O132" s="502"/>
    </row>
    <row r="133" spans="3:15" s="455" customFormat="1" ht="13.5">
      <c r="C133" s="497"/>
      <c r="D133" s="691"/>
      <c r="E133" s="675"/>
      <c r="F133" s="675"/>
      <c r="G133" s="654"/>
      <c r="H133" s="502"/>
      <c r="I133" s="652"/>
      <c r="J133" s="497"/>
      <c r="K133" s="653"/>
      <c r="L133" s="502"/>
      <c r="M133" s="538"/>
      <c r="N133" s="392"/>
      <c r="O133" s="502"/>
    </row>
    <row r="134" spans="3:15" s="455" customFormat="1" ht="13.5">
      <c r="C134" s="497"/>
      <c r="D134" s="691"/>
      <c r="E134" s="675"/>
      <c r="F134" s="675"/>
      <c r="G134" s="654"/>
      <c r="H134" s="502"/>
      <c r="I134" s="652"/>
      <c r="J134" s="497"/>
      <c r="K134" s="653"/>
      <c r="L134" s="502"/>
      <c r="M134" s="538"/>
      <c r="N134" s="392"/>
      <c r="O134" s="502"/>
    </row>
    <row r="135" spans="3:15" s="455" customFormat="1" ht="13.5">
      <c r="C135" s="497"/>
      <c r="D135" s="691"/>
      <c r="E135" s="675"/>
      <c r="F135" s="675"/>
      <c r="G135" s="654"/>
      <c r="H135" s="502"/>
      <c r="I135" s="652"/>
      <c r="J135" s="497"/>
      <c r="K135" s="653"/>
      <c r="L135" s="502"/>
      <c r="M135" s="538"/>
      <c r="N135" s="392"/>
      <c r="O135" s="502"/>
    </row>
    <row r="136" spans="3:15" s="455" customFormat="1" ht="13.5">
      <c r="C136" s="497"/>
      <c r="D136" s="691"/>
      <c r="E136" s="675"/>
      <c r="F136" s="675"/>
      <c r="G136" s="654"/>
      <c r="H136" s="502"/>
      <c r="I136" s="652"/>
      <c r="J136" s="497"/>
      <c r="K136" s="653"/>
      <c r="L136" s="502"/>
      <c r="M136" s="538"/>
      <c r="N136" s="392"/>
      <c r="O136" s="502"/>
    </row>
    <row r="137" spans="3:15" s="455" customFormat="1" ht="13.5">
      <c r="C137" s="497"/>
      <c r="D137" s="691"/>
      <c r="E137" s="675"/>
      <c r="F137" s="675"/>
      <c r="G137" s="654"/>
      <c r="H137" s="502"/>
      <c r="I137" s="652"/>
      <c r="J137" s="497"/>
      <c r="K137" s="653"/>
      <c r="L137" s="502"/>
      <c r="M137" s="538"/>
      <c r="N137" s="392"/>
      <c r="O137" s="502"/>
    </row>
    <row r="138" spans="3:15" s="455" customFormat="1" ht="13.5">
      <c r="C138" s="497"/>
      <c r="D138" s="691"/>
      <c r="E138" s="675"/>
      <c r="F138" s="1473"/>
      <c r="G138" s="654"/>
      <c r="H138" s="502"/>
      <c r="I138" s="652"/>
      <c r="J138" s="497"/>
      <c r="K138" s="653"/>
      <c r="L138" s="502"/>
      <c r="M138" s="538"/>
      <c r="N138" s="392"/>
      <c r="O138" s="502"/>
    </row>
    <row r="139" spans="3:15" s="355" customFormat="1" ht="13.5">
      <c r="C139" s="400"/>
      <c r="D139" s="400"/>
      <c r="E139" s="401"/>
      <c r="F139" s="402"/>
      <c r="G139" s="402"/>
      <c r="H139" s="403"/>
      <c r="I139" s="403"/>
      <c r="J139" s="403"/>
      <c r="K139" s="402"/>
      <c r="L139" s="404"/>
      <c r="M139" s="402"/>
      <c r="N139" s="405"/>
    </row>
    <row r="140" spans="3:15" s="355" customFormat="1" ht="13.5">
      <c r="C140" s="400"/>
      <c r="D140" s="400"/>
      <c r="E140" s="401"/>
      <c r="F140" s="402"/>
      <c r="G140" s="402"/>
      <c r="H140" s="403"/>
      <c r="I140" s="403"/>
      <c r="J140" s="403"/>
      <c r="K140" s="402"/>
      <c r="L140" s="404"/>
      <c r="M140" s="402"/>
      <c r="N140" s="405"/>
    </row>
    <row r="141" spans="3:15" s="355" customFormat="1" ht="13.5">
      <c r="C141" s="400"/>
      <c r="D141" s="400"/>
      <c r="E141" s="401"/>
      <c r="F141" s="402"/>
      <c r="G141" s="402"/>
      <c r="H141" s="403"/>
      <c r="I141" s="403"/>
      <c r="J141" s="403"/>
      <c r="K141" s="402"/>
      <c r="L141" s="404"/>
      <c r="M141" s="402"/>
      <c r="N141" s="405"/>
    </row>
    <row r="142" spans="3:15" s="355" customFormat="1" ht="13.5">
      <c r="C142" s="400"/>
      <c r="D142" s="400"/>
      <c r="E142" s="401"/>
      <c r="F142" s="402"/>
      <c r="G142" s="402"/>
      <c r="H142" s="403"/>
      <c r="I142" s="403"/>
      <c r="J142" s="403"/>
      <c r="K142" s="402"/>
      <c r="L142" s="404"/>
      <c r="M142" s="402"/>
      <c r="N142" s="405"/>
    </row>
    <row r="143" spans="3:15" s="355" customFormat="1" ht="13.5">
      <c r="C143" s="400"/>
      <c r="D143" s="400"/>
      <c r="E143" s="401"/>
      <c r="F143" s="402"/>
      <c r="G143" s="402"/>
      <c r="H143" s="403"/>
      <c r="I143" s="403"/>
      <c r="J143" s="403"/>
      <c r="K143" s="402"/>
      <c r="L143" s="404"/>
      <c r="M143" s="402"/>
      <c r="N143" s="405"/>
    </row>
    <row r="144" spans="3:15" s="355" customFormat="1" ht="13.5">
      <c r="C144" s="400"/>
      <c r="D144" s="400"/>
      <c r="E144" s="401"/>
      <c r="F144" s="402"/>
      <c r="G144" s="402"/>
      <c r="H144" s="403"/>
      <c r="I144" s="403"/>
      <c r="J144" s="403"/>
      <c r="K144" s="402"/>
      <c r="L144" s="404"/>
      <c r="M144" s="402"/>
      <c r="N144" s="405"/>
    </row>
    <row r="145" spans="3:14" s="355" customFormat="1" ht="13.5">
      <c r="C145" s="400"/>
      <c r="D145" s="400"/>
      <c r="E145" s="401"/>
      <c r="F145" s="402"/>
      <c r="G145" s="402"/>
      <c r="H145" s="403"/>
      <c r="I145" s="403"/>
      <c r="J145" s="403"/>
      <c r="K145" s="402"/>
      <c r="L145" s="404"/>
      <c r="M145" s="402"/>
      <c r="N145" s="405"/>
    </row>
    <row r="146" spans="3:14" s="355" customFormat="1" ht="13.5">
      <c r="C146" s="400"/>
      <c r="D146" s="400"/>
      <c r="E146" s="401"/>
      <c r="F146" s="402"/>
      <c r="G146" s="402"/>
      <c r="H146" s="403"/>
      <c r="I146" s="403"/>
      <c r="J146" s="403"/>
      <c r="K146" s="402"/>
      <c r="L146" s="404"/>
      <c r="M146" s="402"/>
      <c r="N146" s="405"/>
    </row>
    <row r="147" spans="3:14" s="355" customFormat="1" ht="13.5">
      <c r="C147" s="400"/>
      <c r="D147" s="400"/>
      <c r="E147" s="401"/>
      <c r="F147" s="402"/>
      <c r="G147" s="402"/>
      <c r="H147" s="403"/>
      <c r="I147" s="403"/>
      <c r="J147" s="403"/>
      <c r="K147" s="402"/>
      <c r="L147" s="404"/>
      <c r="M147" s="402"/>
      <c r="N147" s="405"/>
    </row>
    <row r="148" spans="3:14" s="355" customFormat="1" ht="13.5">
      <c r="C148" s="400"/>
      <c r="D148" s="400"/>
      <c r="E148" s="401"/>
      <c r="F148" s="402"/>
      <c r="G148" s="402"/>
      <c r="H148" s="403"/>
      <c r="I148" s="403"/>
      <c r="J148" s="403"/>
      <c r="K148" s="402"/>
      <c r="L148" s="404"/>
      <c r="M148" s="402"/>
      <c r="N148" s="405"/>
    </row>
    <row r="149" spans="3:14" s="355" customFormat="1" ht="13.5">
      <c r="C149" s="400"/>
      <c r="D149" s="400"/>
      <c r="E149" s="401"/>
      <c r="F149" s="402"/>
      <c r="G149" s="402"/>
      <c r="H149" s="403"/>
      <c r="I149" s="403"/>
      <c r="J149" s="403"/>
      <c r="K149" s="402"/>
      <c r="L149" s="404"/>
      <c r="M149" s="402"/>
      <c r="N149" s="405"/>
    </row>
    <row r="150" spans="3:14" s="355" customFormat="1" ht="13.5">
      <c r="C150" s="400"/>
      <c r="D150" s="400"/>
      <c r="E150" s="401"/>
      <c r="F150" s="402"/>
      <c r="G150" s="402"/>
      <c r="H150" s="403"/>
      <c r="I150" s="403"/>
      <c r="J150" s="403"/>
      <c r="K150" s="402"/>
      <c r="L150" s="404"/>
      <c r="M150" s="402"/>
      <c r="N150" s="405"/>
    </row>
    <row r="151" spans="3:14" s="355" customFormat="1" ht="13.5">
      <c r="C151" s="400"/>
      <c r="D151" s="400"/>
      <c r="E151" s="401"/>
      <c r="F151" s="402"/>
      <c r="G151" s="402"/>
      <c r="H151" s="403"/>
      <c r="I151" s="403"/>
      <c r="J151" s="403"/>
      <c r="K151" s="402"/>
      <c r="L151" s="404"/>
      <c r="M151" s="407"/>
      <c r="N151" s="405"/>
    </row>
    <row r="152" spans="3:14" s="355" customFormat="1" ht="13.5">
      <c r="C152" s="400"/>
      <c r="D152" s="400"/>
      <c r="E152" s="401"/>
      <c r="F152" s="402"/>
      <c r="G152" s="403"/>
      <c r="H152" s="403"/>
      <c r="I152" s="403"/>
      <c r="J152" s="403"/>
      <c r="K152" s="408"/>
      <c r="L152" s="404"/>
      <c r="M152" s="407"/>
      <c r="N152" s="405"/>
    </row>
    <row r="153" spans="3:14" s="355" customFormat="1" ht="13.5">
      <c r="C153" s="352"/>
      <c r="D153" s="352"/>
      <c r="E153" s="352"/>
      <c r="F153" s="352"/>
      <c r="G153" s="352"/>
      <c r="H153" s="352"/>
      <c r="I153" s="352"/>
      <c r="J153" s="352"/>
      <c r="K153" s="352"/>
      <c r="L153" s="1403">
        <f>SUM(L5:L151)</f>
        <v>1750114</v>
      </c>
      <c r="M153" s="352"/>
      <c r="N153" s="352"/>
    </row>
    <row r="154" spans="3:14" ht="14.25" customHeight="1">
      <c r="C154" s="31"/>
      <c r="D154" s="27"/>
      <c r="E154" s="20"/>
      <c r="F154" s="28"/>
      <c r="G154" s="28"/>
      <c r="H154" s="26"/>
      <c r="I154" s="26"/>
      <c r="J154" s="26"/>
      <c r="K154" s="28"/>
      <c r="L154" s="179"/>
      <c r="M154" s="28"/>
      <c r="N154" s="27"/>
    </row>
    <row r="155" spans="3:14" s="1" customFormat="1" ht="14.25" customHeight="1">
      <c r="C155" s="31"/>
      <c r="D155" s="27"/>
      <c r="E155" s="21"/>
      <c r="F155" s="28"/>
      <c r="G155" s="28"/>
      <c r="H155" s="26"/>
      <c r="I155" s="26"/>
      <c r="J155" s="26"/>
      <c r="K155" s="28"/>
      <c r="L155" s="179"/>
      <c r="M155" s="28"/>
      <c r="N155" s="27"/>
    </row>
    <row r="156" spans="3:14" s="1" customFormat="1" ht="14.25" customHeight="1">
      <c r="C156" s="30"/>
      <c r="D156" s="25"/>
      <c r="E156" s="21"/>
      <c r="F156" s="22"/>
      <c r="G156" s="22"/>
      <c r="H156" s="23"/>
      <c r="I156" s="23"/>
      <c r="J156" s="23"/>
      <c r="K156" s="22"/>
      <c r="L156" s="180"/>
      <c r="M156" s="22"/>
      <c r="N156" s="25"/>
    </row>
  </sheetData>
  <mergeCells count="17">
    <mergeCell ref="C59:C64"/>
    <mergeCell ref="M59:M60"/>
    <mergeCell ref="E34:F34"/>
    <mergeCell ref="C13:C20"/>
    <mergeCell ref="O7:O9"/>
    <mergeCell ref="C2:G2"/>
    <mergeCell ref="H2:J2"/>
    <mergeCell ref="K2:L2"/>
    <mergeCell ref="M2:M3"/>
    <mergeCell ref="N2:N3"/>
    <mergeCell ref="C29:C31"/>
    <mergeCell ref="C109:C111"/>
    <mergeCell ref="C72:C73"/>
    <mergeCell ref="C75:C76"/>
    <mergeCell ref="C77:C78"/>
    <mergeCell ref="C79:C80"/>
    <mergeCell ref="C107:C108"/>
  </mergeCell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152F2-144D-4D28-8F68-18D07F2B4BB8}">
  <sheetPr>
    <tabColor rgb="FF00B0F0"/>
  </sheetPr>
  <dimension ref="A1:O137"/>
  <sheetViews>
    <sheetView zoomScale="70" zoomScaleNormal="70" workbookViewId="0">
      <pane ySplit="4" topLeftCell="A5" activePane="bottomLeft" state="frozen"/>
      <selection pane="bottomLeft" activeCell="B6" sqref="B6:B13"/>
    </sheetView>
  </sheetViews>
  <sheetFormatPr defaultRowHeight="15"/>
  <cols>
    <col min="3" max="3" width="32.85546875" customWidth="1"/>
    <col min="4" max="4" width="49.7109375" bestFit="1"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21.28515625" style="99" customWidth="1"/>
    <col min="13" max="13" width="16.28515625" customWidth="1"/>
    <col min="14" max="14" width="12.85546875" customWidth="1"/>
    <col min="17" max="17" width="73.7109375" bestFit="1" customWidth="1"/>
  </cols>
  <sheetData>
    <row r="1" spans="1:15" s="355" customFormat="1" ht="13.5">
      <c r="L1" s="32"/>
    </row>
    <row r="2" spans="1:15" s="355" customFormat="1" ht="13.5">
      <c r="C2" s="2601" t="s">
        <v>30</v>
      </c>
      <c r="D2" s="2602"/>
      <c r="E2" s="2602"/>
      <c r="F2" s="2602"/>
      <c r="G2" s="2603"/>
      <c r="H2" s="2604" t="s">
        <v>29</v>
      </c>
      <c r="I2" s="2605"/>
      <c r="J2" s="2606"/>
      <c r="K2" s="2601" t="s">
        <v>28</v>
      </c>
      <c r="L2" s="2603"/>
      <c r="M2" s="2594" t="s">
        <v>27</v>
      </c>
      <c r="N2" s="2594" t="s">
        <v>26</v>
      </c>
    </row>
    <row r="3" spans="1:15" s="355" customFormat="1" ht="94.5">
      <c r="C3" s="618" t="s">
        <v>25</v>
      </c>
      <c r="D3" s="852" t="s">
        <v>24</v>
      </c>
      <c r="E3" s="991" t="s">
        <v>23</v>
      </c>
      <c r="F3" s="618" t="s">
        <v>22</v>
      </c>
      <c r="G3" s="532" t="s">
        <v>1303</v>
      </c>
      <c r="H3" s="532" t="s">
        <v>20</v>
      </c>
      <c r="I3" s="532" t="s">
        <v>19</v>
      </c>
      <c r="J3" s="532" t="s">
        <v>18</v>
      </c>
      <c r="K3" s="618" t="s">
        <v>17</v>
      </c>
      <c r="L3" s="605" t="s">
        <v>16</v>
      </c>
      <c r="M3" s="2594"/>
      <c r="N3" s="2594"/>
    </row>
    <row r="4" spans="1:15" s="355" customFormat="1" ht="27">
      <c r="C4" s="1076" t="s">
        <v>15</v>
      </c>
      <c r="D4" s="1076" t="s">
        <v>14</v>
      </c>
      <c r="E4" s="1076" t="s">
        <v>13</v>
      </c>
      <c r="F4" s="1076" t="s">
        <v>12</v>
      </c>
      <c r="G4" s="1076" t="s">
        <v>11</v>
      </c>
      <c r="H4" s="1076" t="s">
        <v>10</v>
      </c>
      <c r="I4" s="1076" t="s">
        <v>9</v>
      </c>
      <c r="J4" s="1076" t="s">
        <v>8</v>
      </c>
      <c r="K4" s="1076" t="s">
        <v>7</v>
      </c>
      <c r="L4" s="1077" t="s">
        <v>6</v>
      </c>
      <c r="M4" s="1076" t="s">
        <v>5</v>
      </c>
      <c r="N4" s="1076" t="s">
        <v>4</v>
      </c>
    </row>
    <row r="5" spans="1:15" s="455" customFormat="1" ht="14.25" customHeight="1">
      <c r="A5" s="471"/>
      <c r="B5" s="454"/>
      <c r="C5" s="392"/>
      <c r="D5" s="309"/>
      <c r="E5" s="309"/>
      <c r="F5" s="309"/>
      <c r="G5" s="497"/>
      <c r="H5" s="985"/>
      <c r="I5" s="985"/>
      <c r="J5" s="985"/>
      <c r="K5" s="499"/>
      <c r="L5" s="1025"/>
      <c r="M5" s="499"/>
      <c r="N5" s="1466"/>
    </row>
    <row r="6" spans="1:15" s="455" customFormat="1" ht="14.25" customHeight="1">
      <c r="A6" s="471"/>
      <c r="B6" s="454" t="s">
        <v>4006</v>
      </c>
      <c r="C6" s="1909"/>
      <c r="D6" s="3058" t="s">
        <v>5299</v>
      </c>
      <c r="E6" s="1900"/>
      <c r="F6" s="1835"/>
      <c r="G6" s="1878"/>
      <c r="H6" s="1878"/>
      <c r="I6" s="1879"/>
      <c r="J6" s="1879"/>
      <c r="K6" s="1712"/>
      <c r="L6" s="1916"/>
      <c r="M6" s="1715"/>
      <c r="O6" s="1716"/>
    </row>
    <row r="7" spans="1:15" s="455" customFormat="1" ht="31.5" customHeight="1">
      <c r="A7" s="471"/>
      <c r="B7" s="454" t="s">
        <v>4006</v>
      </c>
      <c r="C7" s="3112" t="s">
        <v>5298</v>
      </c>
      <c r="D7" s="2975" t="s">
        <v>5300</v>
      </c>
      <c r="E7" s="3113" t="s">
        <v>5307</v>
      </c>
      <c r="F7" s="1713" t="s">
        <v>422</v>
      </c>
      <c r="G7" s="1712" t="s">
        <v>828</v>
      </c>
      <c r="H7" s="1713" t="s">
        <v>2213</v>
      </c>
      <c r="I7" s="1713" t="s">
        <v>4414</v>
      </c>
      <c r="J7" s="1713" t="s">
        <v>2215</v>
      </c>
      <c r="K7" s="2976" t="s">
        <v>2216</v>
      </c>
      <c r="L7" s="3123">
        <v>360000</v>
      </c>
      <c r="M7" s="3114" t="s">
        <v>4731</v>
      </c>
      <c r="N7" s="3115"/>
    </row>
    <row r="8" spans="1:15" s="455" customFormat="1" ht="31.5" customHeight="1">
      <c r="A8" s="471"/>
      <c r="B8" s="454" t="s">
        <v>4006</v>
      </c>
      <c r="C8" s="3116"/>
      <c r="D8" s="2975" t="s">
        <v>5301</v>
      </c>
      <c r="E8" s="3113" t="s">
        <v>4831</v>
      </c>
      <c r="F8" s="1835" t="s">
        <v>2757</v>
      </c>
      <c r="G8" s="1837"/>
      <c r="H8" s="1837"/>
      <c r="I8" s="1837"/>
      <c r="J8" s="2978">
        <v>46174</v>
      </c>
      <c r="K8" s="3120"/>
      <c r="L8" s="3123">
        <v>195000</v>
      </c>
      <c r="M8" s="3117"/>
      <c r="N8" s="3118"/>
    </row>
    <row r="9" spans="1:15" s="455" customFormat="1" ht="31.5" customHeight="1">
      <c r="A9" s="471"/>
      <c r="B9" s="454" t="s">
        <v>4006</v>
      </c>
      <c r="C9" s="3116"/>
      <c r="D9" s="2975" t="s">
        <v>5302</v>
      </c>
      <c r="E9" s="3113" t="s">
        <v>4831</v>
      </c>
      <c r="F9" s="1835" t="s">
        <v>2757</v>
      </c>
      <c r="G9" s="1837"/>
      <c r="H9" s="1837"/>
      <c r="I9" s="1837"/>
      <c r="J9" s="1838"/>
      <c r="K9" s="3121"/>
      <c r="L9" s="3123">
        <v>67500</v>
      </c>
      <c r="M9" s="3117"/>
      <c r="N9" s="3118"/>
    </row>
    <row r="10" spans="1:15" s="455" customFormat="1" ht="31.5" customHeight="1">
      <c r="A10" s="471"/>
      <c r="B10" s="454" t="s">
        <v>4006</v>
      </c>
      <c r="C10" s="3116"/>
      <c r="D10" s="2975" t="s">
        <v>5303</v>
      </c>
      <c r="E10" s="3113" t="s">
        <v>5307</v>
      </c>
      <c r="F10" s="1835" t="s">
        <v>2757</v>
      </c>
      <c r="G10" s="1837"/>
      <c r="H10" s="1837"/>
      <c r="I10" s="1837"/>
      <c r="J10" s="1838"/>
      <c r="K10" s="3121"/>
      <c r="L10" s="3123">
        <v>414736</v>
      </c>
      <c r="M10" s="3117"/>
      <c r="N10" s="3118"/>
    </row>
    <row r="11" spans="1:15" s="455" customFormat="1" ht="31.5" customHeight="1">
      <c r="A11" s="471"/>
      <c r="B11" s="454" t="s">
        <v>4006</v>
      </c>
      <c r="C11" s="3102"/>
      <c r="D11" s="2975" t="s">
        <v>5304</v>
      </c>
      <c r="E11" s="3119" t="s">
        <v>5308</v>
      </c>
      <c r="F11" s="1835" t="s">
        <v>2757</v>
      </c>
      <c r="G11" s="1837"/>
      <c r="H11" s="1837"/>
      <c r="I11" s="1837"/>
      <c r="J11" s="1838"/>
      <c r="K11" s="3121"/>
      <c r="L11" s="3123">
        <v>376899.2</v>
      </c>
      <c r="M11" s="3117"/>
      <c r="N11" s="3118"/>
    </row>
    <row r="12" spans="1:15" s="455" customFormat="1" ht="31.5" customHeight="1">
      <c r="A12" s="471"/>
      <c r="B12" s="454" t="s">
        <v>4006</v>
      </c>
      <c r="C12" s="3102"/>
      <c r="D12" s="2975" t="s">
        <v>5305</v>
      </c>
      <c r="E12" s="3113" t="s">
        <v>4831</v>
      </c>
      <c r="F12" s="1835" t="s">
        <v>2757</v>
      </c>
      <c r="G12" s="1837"/>
      <c r="H12" s="1837"/>
      <c r="I12" s="1837"/>
      <c r="J12" s="1838"/>
      <c r="K12" s="3121"/>
      <c r="L12" s="3123">
        <v>170000</v>
      </c>
      <c r="M12" s="3117"/>
      <c r="N12" s="3118"/>
    </row>
    <row r="13" spans="1:15" s="455" customFormat="1" ht="31.5" customHeight="1">
      <c r="A13" s="471"/>
      <c r="B13" s="454" t="s">
        <v>4006</v>
      </c>
      <c r="C13" s="3102"/>
      <c r="D13" s="2975" t="s">
        <v>5306</v>
      </c>
      <c r="E13" s="3113" t="s">
        <v>4831</v>
      </c>
      <c r="F13" s="1835" t="s">
        <v>2757</v>
      </c>
      <c r="G13" s="1837"/>
      <c r="H13" s="1837"/>
      <c r="I13" s="1837"/>
      <c r="J13" s="1838"/>
      <c r="K13" s="3121"/>
      <c r="L13" s="3123">
        <v>9500</v>
      </c>
      <c r="M13" s="3117"/>
      <c r="N13" s="3118"/>
    </row>
    <row r="14" spans="1:15" s="455" customFormat="1" ht="14.25" customHeight="1">
      <c r="A14" s="471"/>
      <c r="B14" s="454"/>
      <c r="C14" s="1937"/>
      <c r="D14" s="1936"/>
      <c r="E14" s="1929"/>
      <c r="F14" s="1934"/>
      <c r="G14" s="1930"/>
      <c r="H14" s="1930"/>
      <c r="I14" s="1930"/>
      <c r="J14" s="1930"/>
      <c r="K14" s="1931"/>
      <c r="L14" s="3122"/>
      <c r="M14" s="1935"/>
      <c r="N14" s="1933"/>
      <c r="O14" s="1928"/>
    </row>
    <row r="15" spans="1:15" s="455" customFormat="1" ht="14.25" customHeight="1">
      <c r="A15" s="471"/>
      <c r="B15" s="454"/>
      <c r="C15" s="1909"/>
      <c r="D15" s="1915"/>
      <c r="E15" s="1900"/>
      <c r="F15" s="1835"/>
      <c r="G15" s="1878"/>
      <c r="H15" s="1878"/>
      <c r="I15" s="1879"/>
      <c r="J15" s="1879"/>
      <c r="K15" s="1712"/>
      <c r="L15" s="1916"/>
      <c r="M15" s="1715"/>
      <c r="O15" s="1716"/>
    </row>
    <row r="16" spans="1:15" s="455" customFormat="1" ht="14.25" customHeight="1">
      <c r="A16" s="471"/>
      <c r="B16" s="454"/>
      <c r="C16" s="1909"/>
      <c r="D16" s="1806"/>
      <c r="E16" s="1939"/>
      <c r="F16" s="1921"/>
      <c r="G16" s="1725"/>
      <c r="H16" s="1801"/>
      <c r="I16" s="1801"/>
      <c r="J16" s="1801"/>
      <c r="K16" s="1802"/>
      <c r="L16" s="1927"/>
      <c r="N16" s="1721"/>
      <c r="O16" s="1720"/>
    </row>
    <row r="17" spans="1:15" s="455" customFormat="1" ht="14.25" customHeight="1">
      <c r="A17" s="471"/>
      <c r="B17" s="454"/>
      <c r="C17" s="1951"/>
      <c r="D17" s="1806"/>
      <c r="E17" s="1884"/>
      <c r="F17" s="1921"/>
      <c r="G17" s="1725"/>
      <c r="H17" s="1801"/>
      <c r="I17" s="1801"/>
      <c r="J17" s="1801"/>
      <c r="K17" s="1802"/>
      <c r="L17" s="1927"/>
      <c r="N17" s="1721"/>
      <c r="O17" s="1720"/>
    </row>
    <row r="18" spans="1:15" s="455" customFormat="1" ht="14.25" customHeight="1">
      <c r="A18" s="471"/>
      <c r="B18" s="454"/>
      <c r="C18" s="1951"/>
      <c r="D18" s="1806"/>
      <c r="E18" s="1939"/>
      <c r="F18" s="1921"/>
      <c r="G18" s="1801"/>
      <c r="H18" s="1801"/>
      <c r="I18" s="1801"/>
      <c r="J18" s="1801"/>
      <c r="K18" s="1802"/>
      <c r="L18" s="3124">
        <f>SUM(L7:L17)</f>
        <v>1593635.2</v>
      </c>
      <c r="M18" s="1927"/>
      <c r="N18" s="1721"/>
      <c r="O18" s="1720"/>
    </row>
    <row r="19" spans="1:15" s="455" customFormat="1" ht="14.25" customHeight="1">
      <c r="A19" s="471"/>
      <c r="B19" s="454"/>
      <c r="C19" s="1951"/>
      <c r="D19" s="1940"/>
      <c r="E19" s="1884"/>
      <c r="F19" s="1724"/>
      <c r="G19" s="1801"/>
      <c r="H19" s="1801"/>
      <c r="I19" s="1801"/>
      <c r="J19" s="1837"/>
      <c r="K19" s="1838"/>
      <c r="L19" s="1801"/>
      <c r="M19" s="1927"/>
      <c r="N19" s="1721"/>
      <c r="O19" s="1720"/>
    </row>
    <row r="20" spans="1:15" s="455" customFormat="1" ht="14.25" customHeight="1">
      <c r="A20" s="471"/>
      <c r="B20" s="454"/>
      <c r="C20" s="1951"/>
      <c r="D20" s="1940"/>
      <c r="E20" s="1884"/>
      <c r="F20" s="1724"/>
      <c r="G20" s="1801"/>
      <c r="H20" s="1801"/>
      <c r="I20" s="1801"/>
      <c r="J20" s="1801"/>
      <c r="K20" s="1802"/>
      <c r="L20" s="1801"/>
      <c r="M20" s="1927"/>
      <c r="N20" s="1721"/>
      <c r="O20" s="1720"/>
    </row>
    <row r="21" spans="1:15" s="455" customFormat="1" ht="14.25" customHeight="1">
      <c r="A21" s="471"/>
      <c r="B21" s="454"/>
      <c r="C21" s="1913"/>
      <c r="D21" s="1923"/>
      <c r="E21" s="1884"/>
      <c r="F21" s="1724"/>
      <c r="G21" s="1801"/>
      <c r="H21" s="1801"/>
      <c r="I21" s="1801"/>
      <c r="J21" s="1801"/>
      <c r="K21" s="1802"/>
      <c r="L21" s="1801"/>
      <c r="M21" s="1927"/>
      <c r="N21" s="1721"/>
      <c r="O21" s="1720"/>
    </row>
    <row r="22" spans="1:15" s="455" customFormat="1" ht="14.25" customHeight="1">
      <c r="A22" s="471"/>
      <c r="B22" s="454"/>
      <c r="C22" s="1949"/>
      <c r="D22" s="1923"/>
      <c r="E22" s="1884"/>
      <c r="F22" s="1724"/>
      <c r="G22" s="1801"/>
      <c r="H22" s="1801"/>
      <c r="I22" s="1801"/>
      <c r="J22" s="1801"/>
      <c r="K22" s="1802"/>
      <c r="L22" s="1801"/>
      <c r="M22" s="1927"/>
      <c r="N22" s="1721"/>
      <c r="O22" s="1720"/>
    </row>
    <row r="23" spans="1:15" s="455" customFormat="1" ht="14.25" customHeight="1">
      <c r="A23" s="471"/>
      <c r="B23" s="454"/>
      <c r="C23" s="1949"/>
      <c r="D23" s="1923"/>
      <c r="E23" s="1884"/>
      <c r="F23" s="1724"/>
      <c r="G23" s="1801"/>
      <c r="H23" s="1801"/>
      <c r="I23" s="1801"/>
      <c r="J23" s="1801"/>
      <c r="K23" s="1802"/>
      <c r="L23" s="1801"/>
      <c r="M23" s="1927"/>
      <c r="N23" s="1721"/>
      <c r="O23" s="1720"/>
    </row>
    <row r="24" spans="1:15" s="455" customFormat="1" ht="14.25" customHeight="1">
      <c r="A24" s="471"/>
      <c r="B24" s="454"/>
      <c r="C24" s="1949"/>
      <c r="D24" s="1923"/>
      <c r="E24" s="1884"/>
      <c r="F24" s="1724"/>
      <c r="G24" s="1801"/>
      <c r="H24" s="1801"/>
      <c r="I24" s="1801"/>
      <c r="J24" s="1801"/>
      <c r="K24" s="1802"/>
      <c r="L24" s="1801"/>
      <c r="M24" s="1927"/>
      <c r="N24" s="1721"/>
      <c r="O24" s="1720"/>
    </row>
    <row r="25" spans="1:15" s="455" customFormat="1" ht="29.45" customHeight="1">
      <c r="A25" s="471"/>
      <c r="B25" s="454"/>
      <c r="C25" s="1999"/>
      <c r="D25" s="2000"/>
      <c r="E25" s="2015"/>
      <c r="F25" s="2001"/>
      <c r="G25" s="2001"/>
      <c r="H25" s="2002"/>
      <c r="I25" s="2002"/>
      <c r="J25" s="2002"/>
      <c r="K25" s="2003"/>
      <c r="L25" s="1673"/>
      <c r="M25" s="2002"/>
      <c r="N25" s="2003"/>
      <c r="O25" s="1720"/>
    </row>
    <row r="26" spans="1:15" s="455" customFormat="1" ht="14.25" customHeight="1">
      <c r="A26" s="471"/>
      <c r="B26" s="454"/>
      <c r="C26" s="2004"/>
      <c r="D26" s="2005"/>
      <c r="E26" s="2036"/>
      <c r="F26" s="2006"/>
      <c r="G26" s="2006"/>
      <c r="H26" s="2008"/>
      <c r="I26" s="2009"/>
      <c r="J26" s="2010"/>
      <c r="K26" s="2011"/>
      <c r="L26" s="2012"/>
      <c r="M26" s="2013"/>
      <c r="N26" s="2011"/>
      <c r="O26" s="1720"/>
    </row>
    <row r="27" spans="1:15" s="455" customFormat="1" ht="14.25" customHeight="1">
      <c r="A27" s="471"/>
      <c r="B27" s="454"/>
      <c r="C27" s="2004"/>
      <c r="D27" s="2005"/>
      <c r="E27" s="2036"/>
      <c r="F27" s="2006"/>
      <c r="G27" s="2006"/>
      <c r="H27" s="2008"/>
      <c r="I27" s="2008"/>
      <c r="J27" s="1588"/>
      <c r="K27" s="2011"/>
      <c r="L27" s="2012"/>
      <c r="M27" s="2013"/>
      <c r="N27" s="2011"/>
      <c r="O27" s="1720"/>
    </row>
    <row r="28" spans="1:15" s="455" customFormat="1" ht="14.25" customHeight="1">
      <c r="A28" s="471"/>
      <c r="B28" s="454"/>
      <c r="C28" s="2004"/>
      <c r="D28" s="2005"/>
      <c r="E28" s="2017"/>
      <c r="F28" s="2006"/>
      <c r="G28" s="2006"/>
      <c r="H28" s="1588"/>
      <c r="I28" s="1588"/>
      <c r="J28" s="1588"/>
      <c r="K28" s="2011"/>
      <c r="L28" s="2014"/>
      <c r="M28" s="2013"/>
      <c r="N28" s="2011"/>
      <c r="O28" s="1720"/>
    </row>
    <row r="29" spans="1:15" s="455" customFormat="1" ht="14.25" customHeight="1">
      <c r="A29" s="471"/>
      <c r="B29" s="454"/>
      <c r="C29" s="1949"/>
      <c r="D29" s="1923"/>
      <c r="E29" s="1884"/>
      <c r="F29" s="1724"/>
      <c r="G29" s="1801"/>
      <c r="H29" s="1801"/>
      <c r="I29" s="1801"/>
      <c r="J29" s="1801"/>
      <c r="K29" s="1802"/>
      <c r="L29" s="1801"/>
      <c r="M29" s="1927"/>
      <c r="N29" s="1721"/>
      <c r="O29" s="1720"/>
    </row>
    <row r="30" spans="1:15" s="455" customFormat="1" ht="14.25" customHeight="1">
      <c r="A30" s="471"/>
      <c r="B30" s="454"/>
      <c r="C30" s="1949"/>
      <c r="D30" s="1923"/>
      <c r="E30" s="1884"/>
      <c r="F30" s="1724"/>
      <c r="G30" s="1801"/>
      <c r="H30" s="1801"/>
      <c r="I30" s="1801"/>
      <c r="J30" s="1801"/>
      <c r="K30" s="1802"/>
      <c r="L30" s="1801"/>
      <c r="M30" s="1927"/>
      <c r="N30" s="1721"/>
      <c r="O30" s="1720"/>
    </row>
    <row r="31" spans="1:15" s="455" customFormat="1" ht="14.25" customHeight="1">
      <c r="A31" s="471"/>
      <c r="B31" s="454"/>
      <c r="C31" s="1949"/>
      <c r="D31" s="1923"/>
      <c r="E31" s="1884"/>
      <c r="F31" s="1724"/>
      <c r="G31" s="1801"/>
      <c r="H31" s="1801"/>
      <c r="I31" s="1801"/>
      <c r="J31" s="1801"/>
      <c r="K31" s="1802"/>
      <c r="L31" s="1801"/>
      <c r="M31" s="1927"/>
      <c r="N31" s="1721"/>
      <c r="O31" s="1720"/>
    </row>
    <row r="32" spans="1:15" s="455" customFormat="1" ht="14.25" customHeight="1">
      <c r="A32" s="471"/>
      <c r="B32" s="454"/>
      <c r="C32" s="1949"/>
      <c r="D32" s="1923"/>
      <c r="E32" s="1884"/>
      <c r="F32" s="1724"/>
      <c r="G32" s="1801"/>
      <c r="H32" s="1801"/>
      <c r="I32" s="1801"/>
      <c r="J32" s="1801"/>
      <c r="K32" s="1802"/>
      <c r="L32" s="1801"/>
      <c r="M32" s="1927"/>
      <c r="N32" s="1721"/>
      <c r="O32" s="1720"/>
    </row>
    <row r="33" spans="1:15" s="455" customFormat="1" ht="14.25" customHeight="1">
      <c r="A33" s="471"/>
      <c r="B33" s="454"/>
      <c r="C33" s="1949"/>
      <c r="D33" s="1923"/>
      <c r="E33" s="1884"/>
      <c r="F33" s="1724"/>
      <c r="G33" s="1801"/>
      <c r="H33" s="1801"/>
      <c r="I33" s="1801"/>
      <c r="J33" s="1801"/>
      <c r="K33" s="1802"/>
      <c r="L33" s="1801"/>
      <c r="M33" s="1927"/>
      <c r="N33" s="1721"/>
      <c r="O33" s="1720"/>
    </row>
    <row r="34" spans="1:15" s="455" customFormat="1" ht="14.25" customHeight="1">
      <c r="A34" s="471"/>
      <c r="B34" s="454"/>
      <c r="C34" s="1949"/>
      <c r="D34" s="1923"/>
      <c r="E34" s="1884"/>
      <c r="F34" s="1724"/>
      <c r="G34" s="1801"/>
      <c r="H34" s="1801"/>
      <c r="I34" s="1801"/>
      <c r="J34" s="1801"/>
      <c r="K34" s="1802"/>
      <c r="L34" s="1801"/>
      <c r="M34" s="1927"/>
      <c r="N34" s="1721"/>
      <c r="O34" s="1720"/>
    </row>
    <row r="35" spans="1:15" s="455" customFormat="1" ht="14.25" customHeight="1">
      <c r="A35" s="471"/>
      <c r="B35" s="454"/>
      <c r="C35" s="1949"/>
      <c r="D35" s="1923"/>
      <c r="E35" s="1884"/>
      <c r="F35" s="1724"/>
      <c r="G35" s="1801"/>
      <c r="H35" s="1801"/>
      <c r="I35" s="1801"/>
      <c r="J35" s="1801"/>
      <c r="K35" s="1802"/>
      <c r="L35" s="1801"/>
      <c r="M35" s="1927"/>
      <c r="N35" s="1721"/>
      <c r="O35" s="1720"/>
    </row>
    <row r="36" spans="1:15" s="455" customFormat="1" ht="14.25" customHeight="1">
      <c r="A36" s="471"/>
      <c r="B36" s="454"/>
      <c r="C36" s="1949"/>
      <c r="D36" s="1923"/>
      <c r="E36" s="1884"/>
      <c r="F36" s="1724"/>
      <c r="G36" s="1801"/>
      <c r="H36" s="1801"/>
      <c r="I36" s="1801"/>
      <c r="J36" s="1801"/>
      <c r="K36" s="1802"/>
      <c r="L36" s="1801"/>
      <c r="M36" s="1927"/>
      <c r="N36" s="1721"/>
      <c r="O36" s="1720"/>
    </row>
    <row r="37" spans="1:15" s="455" customFormat="1" ht="14.25" customHeight="1">
      <c r="A37" s="471"/>
      <c r="B37" s="454"/>
      <c r="C37" s="1949"/>
      <c r="D37" s="1923"/>
      <c r="E37" s="1884"/>
      <c r="F37" s="1724"/>
      <c r="G37" s="1801"/>
      <c r="H37" s="1801"/>
      <c r="I37" s="1801"/>
      <c r="J37" s="1801"/>
      <c r="K37" s="1802"/>
      <c r="L37" s="1801"/>
      <c r="M37" s="1927"/>
      <c r="N37" s="1721"/>
      <c r="O37" s="1720"/>
    </row>
    <row r="38" spans="1:15" s="455" customFormat="1" ht="14.25" customHeight="1">
      <c r="A38" s="471"/>
      <c r="B38" s="454"/>
      <c r="C38" s="1856"/>
      <c r="D38" s="1726"/>
      <c r="E38" s="1884"/>
      <c r="F38" s="1724"/>
      <c r="G38" s="1801"/>
      <c r="H38" s="1801"/>
      <c r="I38" s="1801"/>
      <c r="J38" s="1801"/>
      <c r="K38" s="1802"/>
      <c r="L38" s="1801"/>
      <c r="M38" s="1927"/>
      <c r="N38" s="1721"/>
      <c r="O38" s="1720"/>
    </row>
    <row r="39" spans="1:15" s="455" customFormat="1" ht="14.25" customHeight="1">
      <c r="A39" s="471"/>
      <c r="B39" s="454"/>
      <c r="C39" s="392"/>
      <c r="D39" s="309"/>
      <c r="E39" s="309"/>
      <c r="F39" s="309"/>
      <c r="G39" s="497"/>
      <c r="H39" s="985"/>
      <c r="I39" s="985"/>
      <c r="J39" s="985"/>
      <c r="K39" s="499"/>
      <c r="L39" s="1025"/>
      <c r="M39" s="499"/>
      <c r="N39" s="1466"/>
    </row>
    <row r="40" spans="1:15" s="455" customFormat="1" ht="14.25" customHeight="1">
      <c r="A40" s="471"/>
      <c r="B40" s="454"/>
      <c r="C40" s="392"/>
      <c r="D40" s="309"/>
      <c r="E40" s="309"/>
      <c r="F40" s="309"/>
      <c r="G40" s="497"/>
      <c r="H40" s="985"/>
      <c r="I40" s="985"/>
      <c r="J40" s="985"/>
      <c r="K40" s="499"/>
      <c r="L40" s="1025"/>
      <c r="M40" s="499"/>
      <c r="N40" s="1466"/>
    </row>
    <row r="41" spans="1:15" s="455" customFormat="1" ht="14.25" customHeight="1">
      <c r="A41" s="471"/>
      <c r="B41" s="454"/>
      <c r="C41" s="392"/>
      <c r="D41" s="309"/>
      <c r="E41" s="309"/>
      <c r="F41" s="309"/>
      <c r="G41" s="497"/>
      <c r="H41" s="985"/>
      <c r="I41" s="985"/>
      <c r="J41" s="985"/>
      <c r="K41" s="499"/>
      <c r="L41" s="1025"/>
      <c r="M41" s="499"/>
      <c r="N41" s="1466"/>
    </row>
    <row r="42" spans="1:15" s="455" customFormat="1" ht="14.25" customHeight="1">
      <c r="A42" s="471"/>
      <c r="B42" s="454"/>
      <c r="C42" s="392"/>
      <c r="D42" s="309"/>
      <c r="E42" s="309"/>
      <c r="F42" s="309"/>
      <c r="G42" s="497"/>
      <c r="H42" s="985"/>
      <c r="I42" s="985"/>
      <c r="J42" s="985"/>
      <c r="K42" s="499"/>
      <c r="L42" s="1025"/>
      <c r="M42" s="499"/>
      <c r="N42" s="1466"/>
    </row>
    <row r="43" spans="1:15" s="455" customFormat="1" ht="13.5">
      <c r="A43" s="471"/>
      <c r="B43" s="454"/>
      <c r="C43" s="392"/>
      <c r="D43" s="309"/>
      <c r="E43" s="309"/>
      <c r="F43" s="309"/>
      <c r="G43" s="497"/>
      <c r="H43" s="985"/>
      <c r="I43" s="985"/>
      <c r="J43" s="985"/>
      <c r="K43" s="499"/>
      <c r="L43" s="1025"/>
      <c r="M43" s="499"/>
      <c r="N43" s="1466"/>
    </row>
    <row r="44" spans="1:15" s="455" customFormat="1" ht="13.5">
      <c r="A44" s="471"/>
      <c r="B44" s="454"/>
      <c r="C44" s="392"/>
      <c r="D44" s="309"/>
      <c r="E44" s="309"/>
      <c r="F44" s="309"/>
      <c r="G44" s="497"/>
      <c r="H44" s="985"/>
      <c r="I44" s="985"/>
      <c r="J44" s="985"/>
      <c r="K44" s="499"/>
      <c r="L44" s="1025"/>
      <c r="M44" s="499"/>
      <c r="N44" s="1466"/>
    </row>
    <row r="45" spans="1:15" s="455" customFormat="1" ht="13.5">
      <c r="A45" s="471"/>
      <c r="B45" s="454"/>
      <c r="C45" s="392"/>
      <c r="D45" s="309"/>
      <c r="E45" s="309"/>
      <c r="F45" s="309"/>
      <c r="G45" s="497"/>
      <c r="H45" s="985"/>
      <c r="I45" s="985"/>
      <c r="J45" s="985"/>
      <c r="K45" s="499"/>
      <c r="L45" s="1025"/>
      <c r="M45" s="499"/>
      <c r="N45" s="1466"/>
    </row>
    <row r="46" spans="1:15" s="455" customFormat="1" ht="13.5">
      <c r="A46" s="471"/>
      <c r="B46" s="454"/>
      <c r="C46" s="392"/>
      <c r="D46" s="309"/>
      <c r="E46" s="309"/>
      <c r="F46" s="309"/>
      <c r="G46" s="497"/>
      <c r="H46" s="985"/>
      <c r="I46" s="985"/>
      <c r="J46" s="985"/>
      <c r="K46" s="499"/>
      <c r="L46" s="1025"/>
      <c r="M46" s="499"/>
      <c r="N46" s="1466"/>
    </row>
    <row r="47" spans="1:15" s="455" customFormat="1" ht="13.5">
      <c r="A47" s="471"/>
      <c r="B47" s="454"/>
      <c r="C47" s="392"/>
      <c r="D47" s="309"/>
      <c r="E47" s="309"/>
      <c r="F47" s="309"/>
      <c r="G47" s="497"/>
      <c r="H47" s="985"/>
      <c r="I47" s="985"/>
      <c r="J47" s="985"/>
      <c r="K47" s="499"/>
      <c r="L47" s="1025"/>
      <c r="M47" s="499"/>
      <c r="N47" s="1466"/>
    </row>
    <row r="48" spans="1:15" s="455" customFormat="1" ht="14.25">
      <c r="A48" s="471"/>
      <c r="B48" s="454"/>
      <c r="C48" s="392"/>
      <c r="D48" s="309"/>
      <c r="E48" s="309"/>
      <c r="F48" s="309"/>
      <c r="G48" s="497"/>
      <c r="H48" s="985"/>
      <c r="I48" s="985"/>
      <c r="J48" s="985"/>
      <c r="K48" s="499"/>
      <c r="L48" s="1995">
        <f>SUM(L5:L46)</f>
        <v>3187270.4</v>
      </c>
      <c r="M48" s="499"/>
      <c r="N48" s="1466"/>
    </row>
    <row r="49" spans="1:14" s="455" customFormat="1" ht="13.5">
      <c r="A49" s="471"/>
      <c r="B49" s="454"/>
      <c r="C49" s="392"/>
      <c r="D49" s="309"/>
      <c r="E49" s="309"/>
      <c r="F49" s="309"/>
      <c r="G49" s="497"/>
      <c r="H49" s="985"/>
      <c r="I49" s="985"/>
      <c r="J49" s="985"/>
      <c r="K49" s="499"/>
      <c r="L49" s="1025"/>
      <c r="M49" s="499"/>
      <c r="N49" s="1466"/>
    </row>
    <row r="50" spans="1:14" s="455" customFormat="1" ht="13.5">
      <c r="A50" s="471"/>
      <c r="B50" s="454"/>
      <c r="C50" s="392"/>
      <c r="D50" s="309"/>
      <c r="E50" s="309"/>
      <c r="F50" s="309"/>
      <c r="G50" s="497"/>
      <c r="H50" s="985"/>
      <c r="I50" s="985"/>
      <c r="J50" s="985"/>
      <c r="K50" s="499"/>
      <c r="L50" s="1025"/>
      <c r="M50" s="499"/>
      <c r="N50" s="1466"/>
    </row>
    <row r="51" spans="1:14" s="455" customFormat="1" ht="13.5">
      <c r="A51" s="471"/>
      <c r="B51" s="454"/>
      <c r="C51" s="392"/>
      <c r="D51" s="309"/>
      <c r="E51" s="309"/>
      <c r="F51" s="309"/>
      <c r="G51" s="497"/>
      <c r="H51" s="985"/>
      <c r="I51" s="985"/>
      <c r="J51" s="985"/>
      <c r="K51" s="499"/>
      <c r="L51" s="1025"/>
      <c r="M51" s="499"/>
      <c r="N51" s="1466"/>
    </row>
    <row r="52" spans="1:14" s="455" customFormat="1" ht="13.5">
      <c r="A52" s="471"/>
      <c r="B52" s="454"/>
      <c r="C52" s="392"/>
      <c r="D52" s="309"/>
      <c r="E52" s="309"/>
      <c r="F52" s="309"/>
      <c r="G52" s="497"/>
      <c r="H52" s="985"/>
      <c r="I52" s="985"/>
      <c r="J52" s="985"/>
      <c r="K52" s="499"/>
      <c r="L52" s="1025"/>
      <c r="M52" s="499"/>
      <c r="N52" s="1466"/>
    </row>
    <row r="53" spans="1:14" s="455" customFormat="1" ht="13.5">
      <c r="A53" s="471"/>
      <c r="B53" s="454"/>
      <c r="C53" s="392"/>
      <c r="D53" s="309"/>
      <c r="E53" s="309"/>
      <c r="F53" s="309"/>
      <c r="G53" s="497"/>
      <c r="H53" s="985"/>
      <c r="I53" s="985"/>
      <c r="J53" s="985"/>
      <c r="K53" s="499"/>
      <c r="L53" s="1025"/>
      <c r="M53" s="499"/>
      <c r="N53" s="1466"/>
    </row>
    <row r="54" spans="1:14" s="455" customFormat="1" ht="13.5">
      <c r="A54" s="471"/>
      <c r="B54" s="454"/>
      <c r="C54" s="392"/>
      <c r="D54" s="309"/>
      <c r="E54" s="309"/>
      <c r="F54" s="309"/>
      <c r="G54" s="497"/>
      <c r="H54" s="985"/>
      <c r="I54" s="985"/>
      <c r="J54" s="985"/>
      <c r="K54" s="499"/>
      <c r="L54" s="1025"/>
      <c r="M54" s="499"/>
      <c r="N54" s="1466"/>
    </row>
    <row r="55" spans="1:14" s="455" customFormat="1" ht="13.5">
      <c r="A55" s="471"/>
      <c r="B55" s="454"/>
      <c r="C55" s="392"/>
      <c r="D55" s="309"/>
      <c r="E55" s="309"/>
      <c r="F55" s="309"/>
      <c r="G55" s="497"/>
      <c r="H55" s="985"/>
      <c r="I55" s="985"/>
      <c r="J55" s="985"/>
      <c r="K55" s="499"/>
      <c r="L55" s="1025"/>
      <c r="M55" s="499"/>
      <c r="N55" s="1466"/>
    </row>
    <row r="56" spans="1:14" s="455" customFormat="1" ht="13.5">
      <c r="A56" s="471"/>
      <c r="B56" s="454"/>
      <c r="C56" s="392"/>
      <c r="D56" s="309"/>
      <c r="E56" s="309"/>
      <c r="F56" s="309"/>
      <c r="G56" s="497"/>
      <c r="H56" s="985"/>
      <c r="I56" s="985"/>
      <c r="J56" s="985"/>
      <c r="K56" s="499"/>
      <c r="L56" s="1025"/>
      <c r="M56" s="499"/>
      <c r="N56" s="1466"/>
    </row>
    <row r="57" spans="1:14" s="455" customFormat="1" ht="13.5">
      <c r="A57" s="471"/>
      <c r="B57" s="454"/>
      <c r="C57" s="392"/>
      <c r="D57" s="309"/>
      <c r="E57" s="309"/>
      <c r="F57" s="309"/>
      <c r="G57" s="497"/>
      <c r="H57" s="985"/>
      <c r="I57" s="985"/>
      <c r="J57" s="985"/>
      <c r="K57" s="499"/>
      <c r="L57" s="1025"/>
      <c r="M57" s="499"/>
      <c r="N57" s="1467"/>
    </row>
    <row r="58" spans="1:14" s="455" customFormat="1" ht="13.5">
      <c r="A58" s="471"/>
      <c r="B58" s="454"/>
      <c r="C58" s="392"/>
      <c r="D58" s="309"/>
      <c r="E58" s="309"/>
      <c r="F58" s="309"/>
      <c r="G58" s="497"/>
      <c r="H58" s="985"/>
      <c r="I58" s="985"/>
      <c r="J58" s="985"/>
      <c r="K58" s="499"/>
      <c r="L58" s="1025"/>
      <c r="M58" s="499"/>
      <c r="N58" s="1468"/>
    </row>
    <row r="59" spans="1:14" s="455" customFormat="1" ht="13.5">
      <c r="A59" s="471"/>
      <c r="B59" s="454"/>
      <c r="C59" s="392"/>
      <c r="D59" s="309"/>
      <c r="E59" s="309"/>
      <c r="F59" s="309"/>
      <c r="G59" s="497"/>
      <c r="H59" s="985"/>
      <c r="I59" s="985"/>
      <c r="J59" s="985"/>
      <c r="K59" s="499"/>
      <c r="L59" s="1025"/>
      <c r="M59" s="499"/>
      <c r="N59" s="1468"/>
    </row>
    <row r="60" spans="1:14" s="455" customFormat="1" ht="13.5">
      <c r="A60" s="471"/>
      <c r="B60" s="454"/>
      <c r="C60" s="1524"/>
      <c r="D60" s="309"/>
      <c r="E60" s="309"/>
      <c r="F60" s="309"/>
      <c r="G60" s="497"/>
      <c r="H60" s="985"/>
      <c r="I60" s="985"/>
      <c r="J60" s="985"/>
      <c r="K60" s="499"/>
      <c r="L60" s="1025"/>
      <c r="M60" s="499"/>
      <c r="N60" s="1468"/>
    </row>
    <row r="61" spans="1:14" s="455" customFormat="1" ht="13.5">
      <c r="A61" s="471"/>
      <c r="B61" s="454"/>
      <c r="C61" s="1525"/>
      <c r="D61" s="309"/>
      <c r="E61" s="309"/>
      <c r="F61" s="309"/>
      <c r="G61" s="497"/>
      <c r="H61" s="985"/>
      <c r="I61" s="985"/>
      <c r="J61" s="985"/>
      <c r="K61" s="499"/>
      <c r="L61" s="1025"/>
      <c r="M61" s="499"/>
      <c r="N61" s="1468"/>
    </row>
    <row r="62" spans="1:14" s="455" customFormat="1" ht="13.5">
      <c r="A62" s="471"/>
      <c r="B62" s="454"/>
      <c r="C62" s="392"/>
      <c r="D62" s="309"/>
      <c r="E62" s="309"/>
      <c r="F62" s="309"/>
      <c r="G62" s="497"/>
      <c r="H62" s="1056"/>
      <c r="I62" s="985"/>
      <c r="J62" s="985"/>
      <c r="K62" s="499"/>
      <c r="L62" s="1025"/>
      <c r="M62" s="499"/>
      <c r="N62" s="1465"/>
    </row>
    <row r="63" spans="1:14" s="455" customFormat="1" ht="13.5">
      <c r="A63" s="471"/>
      <c r="B63" s="454"/>
      <c r="C63" s="392"/>
      <c r="D63" s="309"/>
      <c r="E63" s="309"/>
      <c r="F63" s="309"/>
      <c r="G63" s="497"/>
      <c r="H63" s="985"/>
      <c r="I63" s="985"/>
      <c r="J63" s="985"/>
      <c r="K63" s="499"/>
      <c r="L63" s="1025"/>
      <c r="M63" s="499"/>
    </row>
    <row r="64" spans="1:14" s="455" customFormat="1" ht="13.5">
      <c r="A64" s="471"/>
      <c r="B64" s="454"/>
      <c r="C64" s="987"/>
      <c r="D64" s="314"/>
      <c r="E64" s="662"/>
      <c r="F64" s="309"/>
      <c r="G64" s="497"/>
      <c r="H64" s="985"/>
      <c r="I64" s="985"/>
      <c r="J64" s="985"/>
      <c r="K64" s="499"/>
      <c r="L64" s="1025"/>
      <c r="M64" s="499"/>
      <c r="N64" s="454"/>
    </row>
    <row r="65" spans="1:15" s="455" customFormat="1" ht="13.5">
      <c r="A65" s="471"/>
      <c r="B65" s="454"/>
      <c r="C65" s="987"/>
      <c r="D65" s="314"/>
      <c r="E65" s="662"/>
      <c r="F65" s="309"/>
      <c r="G65" s="497"/>
      <c r="H65" s="985"/>
      <c r="I65" s="985"/>
      <c r="J65" s="985"/>
      <c r="K65" s="499"/>
      <c r="L65" s="1600">
        <f>SUM(L5:L62)</f>
        <v>6374540.7999999998</v>
      </c>
      <c r="M65" s="499"/>
      <c r="N65" s="458"/>
    </row>
    <row r="66" spans="1:15" s="455" customFormat="1" ht="13.5">
      <c r="A66" s="471"/>
      <c r="B66" s="454"/>
      <c r="C66" s="987"/>
      <c r="D66" s="314"/>
      <c r="E66" s="662"/>
      <c r="F66" s="309"/>
      <c r="G66" s="497"/>
      <c r="H66" s="985"/>
      <c r="I66" s="985"/>
      <c r="J66" s="985"/>
      <c r="K66" s="499"/>
      <c r="L66" s="1065"/>
      <c r="M66" s="499"/>
      <c r="N66" s="458"/>
    </row>
    <row r="67" spans="1:15" s="455" customFormat="1" ht="13.5">
      <c r="A67" s="471"/>
      <c r="B67" s="454"/>
      <c r="C67" s="987"/>
      <c r="D67" s="309"/>
      <c r="E67" s="662"/>
      <c r="F67" s="309"/>
      <c r="G67" s="497"/>
      <c r="H67" s="985"/>
      <c r="I67" s="985"/>
      <c r="J67" s="985"/>
      <c r="K67" s="499"/>
      <c r="L67" s="1065"/>
      <c r="M67" s="499"/>
      <c r="N67" s="458"/>
    </row>
    <row r="68" spans="1:15" s="455" customFormat="1" ht="13.5">
      <c r="A68" s="471"/>
      <c r="B68" s="454"/>
      <c r="C68" s="314"/>
      <c r="D68" s="314"/>
      <c r="E68" s="309"/>
      <c r="F68" s="309"/>
      <c r="G68" s="497"/>
      <c r="H68" s="985"/>
      <c r="I68" s="985"/>
      <c r="J68" s="985"/>
      <c r="K68" s="309"/>
      <c r="L68" s="1015"/>
      <c r="M68" s="499"/>
      <c r="N68" s="458"/>
    </row>
    <row r="69" spans="1:15" s="455" customFormat="1" ht="13.5">
      <c r="A69" s="471"/>
      <c r="B69" s="454"/>
      <c r="C69" s="314"/>
      <c r="D69" s="314"/>
      <c r="E69" s="309"/>
      <c r="F69" s="309"/>
      <c r="G69" s="497"/>
      <c r="H69" s="985"/>
      <c r="I69" s="985"/>
      <c r="J69" s="985"/>
      <c r="K69" s="309"/>
      <c r="L69" s="1015"/>
      <c r="M69" s="499"/>
      <c r="N69" s="460"/>
    </row>
    <row r="70" spans="1:15" s="455" customFormat="1" ht="13.5">
      <c r="A70" s="471"/>
      <c r="B70" s="454"/>
      <c r="C70" s="314"/>
      <c r="D70" s="314"/>
      <c r="E70" s="560"/>
      <c r="F70" s="309"/>
      <c r="G70" s="497"/>
      <c r="H70" s="985"/>
      <c r="I70" s="985"/>
      <c r="J70" s="985"/>
      <c r="K70" s="309"/>
      <c r="L70" s="1015"/>
      <c r="M70" s="499"/>
      <c r="N70" s="454"/>
    </row>
    <row r="71" spans="1:15" s="455" customFormat="1" ht="13.5">
      <c r="A71" s="471"/>
      <c r="B71" s="454"/>
      <c r="C71" s="987"/>
      <c r="D71" s="314"/>
      <c r="E71" s="662"/>
      <c r="F71" s="309"/>
      <c r="G71" s="497"/>
      <c r="H71" s="985"/>
      <c r="I71" s="985"/>
      <c r="J71" s="985"/>
      <c r="K71" s="499"/>
      <c r="L71" s="1065"/>
      <c r="M71" s="499"/>
      <c r="N71" s="458"/>
    </row>
    <row r="72" spans="1:15" s="455" customFormat="1" ht="13.5">
      <c r="A72" s="471"/>
      <c r="B72" s="454"/>
      <c r="C72" s="392"/>
      <c r="D72" s="309"/>
      <c r="E72" s="309"/>
      <c r="F72" s="662"/>
      <c r="G72" s="309"/>
      <c r="H72" s="497"/>
      <c r="I72" s="985"/>
      <c r="J72" s="985"/>
      <c r="K72" s="1066"/>
      <c r="L72" s="1067"/>
      <c r="M72" s="1025"/>
      <c r="N72" s="1068"/>
      <c r="O72" s="458"/>
    </row>
    <row r="73" spans="1:15" s="455" customFormat="1" ht="13.5">
      <c r="A73" s="471"/>
      <c r="B73" s="454"/>
      <c r="C73" s="471"/>
      <c r="D73" s="456"/>
      <c r="E73" s="459"/>
      <c r="F73" s="466"/>
      <c r="G73" s="471"/>
      <c r="H73" s="477"/>
      <c r="I73" s="526"/>
      <c r="J73" s="526"/>
      <c r="K73" s="526"/>
      <c r="L73" s="473"/>
      <c r="M73" s="529"/>
      <c r="N73" s="471"/>
      <c r="O73" s="458"/>
    </row>
    <row r="74" spans="1:15" s="455" customFormat="1" ht="13.5">
      <c r="A74" s="471"/>
      <c r="B74" s="454"/>
      <c r="C74" s="471"/>
      <c r="D74" s="456"/>
      <c r="E74" s="459"/>
      <c r="F74" s="466"/>
      <c r="G74" s="471"/>
      <c r="H74" s="477"/>
      <c r="I74" s="526"/>
      <c r="J74" s="526"/>
      <c r="K74" s="526"/>
      <c r="L74" s="473"/>
      <c r="M74" s="529"/>
      <c r="N74" s="471"/>
      <c r="O74" s="458"/>
    </row>
    <row r="75" spans="1:15" s="455" customFormat="1" ht="13.5">
      <c r="A75" s="471"/>
      <c r="B75" s="454"/>
      <c r="C75" s="314"/>
      <c r="D75" s="309"/>
      <c r="E75" s="309"/>
      <c r="F75" s="309"/>
      <c r="G75" s="309"/>
      <c r="H75" s="309"/>
      <c r="I75" s="309"/>
      <c r="J75" s="309"/>
      <c r="K75" s="309"/>
      <c r="L75" s="309"/>
      <c r="M75" s="309"/>
      <c r="N75" s="309"/>
    </row>
    <row r="76" spans="1:15" s="455" customFormat="1" ht="13.5">
      <c r="A76" s="471"/>
      <c r="B76" s="454"/>
      <c r="C76" s="314"/>
      <c r="D76" s="314"/>
      <c r="E76" s="309"/>
      <c r="F76" s="309"/>
      <c r="G76" s="497"/>
      <c r="H76" s="1056"/>
      <c r="I76" s="309"/>
      <c r="J76" s="309"/>
      <c r="K76" s="499"/>
      <c r="L76" s="1069"/>
      <c r="M76" s="309"/>
      <c r="N76" s="454"/>
    </row>
    <row r="77" spans="1:15" s="455" customFormat="1" ht="13.5">
      <c r="A77" s="471"/>
      <c r="B77" s="454"/>
      <c r="C77" s="314"/>
      <c r="D77" s="314"/>
      <c r="E77" s="309"/>
      <c r="F77" s="309"/>
      <c r="G77" s="497"/>
      <c r="H77" s="1056"/>
      <c r="I77" s="309"/>
      <c r="J77" s="309"/>
      <c r="K77" s="499"/>
      <c r="L77" s="1069"/>
      <c r="M77" s="499"/>
      <c r="N77" s="458"/>
    </row>
    <row r="78" spans="1:15" s="455" customFormat="1" ht="13.5">
      <c r="A78" s="471"/>
      <c r="B78" s="454"/>
      <c r="C78" s="314"/>
      <c r="D78" s="314"/>
      <c r="E78" s="309"/>
      <c r="F78" s="309"/>
      <c r="G78" s="497"/>
      <c r="H78" s="1056"/>
      <c r="I78" s="309"/>
      <c r="J78" s="309"/>
      <c r="K78" s="499"/>
      <c r="L78" s="1069"/>
      <c r="M78" s="499"/>
      <c r="N78" s="458"/>
    </row>
    <row r="79" spans="1:15" s="455" customFormat="1" ht="13.5">
      <c r="A79" s="471"/>
      <c r="B79" s="454"/>
      <c r="C79" s="314"/>
      <c r="D79" s="314"/>
      <c r="E79" s="662"/>
      <c r="F79" s="309"/>
      <c r="G79" s="497"/>
      <c r="H79" s="1056"/>
      <c r="I79" s="985"/>
      <c r="J79" s="985"/>
      <c r="K79" s="499"/>
      <c r="L79" s="1016"/>
      <c r="M79" s="499"/>
      <c r="N79" s="458"/>
    </row>
    <row r="80" spans="1:15" s="455" customFormat="1" ht="13.5">
      <c r="A80" s="471"/>
      <c r="B80" s="454"/>
      <c r="C80" s="314"/>
      <c r="D80" s="314"/>
      <c r="E80" s="662"/>
      <c r="F80" s="309"/>
      <c r="G80" s="497"/>
      <c r="H80" s="1056"/>
      <c r="I80" s="985"/>
      <c r="J80" s="985"/>
      <c r="K80" s="499"/>
      <c r="L80" s="1016"/>
      <c r="M80" s="499"/>
      <c r="N80" s="458"/>
    </row>
    <row r="81" spans="1:14" s="455" customFormat="1" ht="13.5">
      <c r="A81" s="471"/>
      <c r="B81" s="454"/>
      <c r="C81" s="314"/>
      <c r="D81" s="314"/>
      <c r="E81" s="662"/>
      <c r="F81" s="309"/>
      <c r="G81" s="497"/>
      <c r="H81" s="1056"/>
      <c r="I81" s="985"/>
      <c r="J81" s="985"/>
      <c r="K81" s="499"/>
      <c r="L81" s="1071"/>
      <c r="M81" s="499"/>
    </row>
    <row r="82" spans="1:14" s="455" customFormat="1" ht="13.5">
      <c r="A82" s="471"/>
      <c r="B82" s="454"/>
      <c r="C82" s="314"/>
      <c r="D82" s="314"/>
      <c r="E82" s="662"/>
      <c r="F82" s="309"/>
      <c r="G82" s="497"/>
      <c r="H82" s="1056"/>
      <c r="I82" s="985"/>
      <c r="J82" s="985"/>
      <c r="K82" s="499"/>
      <c r="L82" s="1071"/>
      <c r="M82" s="499"/>
    </row>
    <row r="83" spans="1:14" s="455" customFormat="1" ht="13.5">
      <c r="A83" s="471"/>
      <c r="B83" s="454"/>
      <c r="C83" s="314"/>
      <c r="D83" s="314"/>
      <c r="E83" s="662"/>
      <c r="F83" s="309"/>
      <c r="G83" s="497"/>
      <c r="H83" s="1056"/>
      <c r="I83" s="985"/>
      <c r="J83" s="985"/>
      <c r="K83" s="499"/>
      <c r="L83" s="1016"/>
      <c r="M83" s="499"/>
    </row>
    <row r="84" spans="1:14" s="455" customFormat="1" ht="13.5">
      <c r="A84" s="471"/>
      <c r="B84" s="454"/>
      <c r="C84" s="314"/>
      <c r="D84" s="314"/>
      <c r="E84" s="662"/>
      <c r="F84" s="309"/>
      <c r="G84" s="497"/>
      <c r="H84" s="1056"/>
      <c r="I84" s="985"/>
      <c r="J84" s="985"/>
      <c r="K84" s="499"/>
      <c r="L84" s="1016"/>
      <c r="M84" s="499"/>
    </row>
    <row r="85" spans="1:14" s="455" customFormat="1" ht="13.5">
      <c r="A85" s="471"/>
      <c r="B85" s="454"/>
      <c r="C85" s="314"/>
      <c r="D85" s="314"/>
      <c r="E85" s="662"/>
      <c r="F85" s="309"/>
      <c r="G85" s="497"/>
      <c r="H85" s="1056"/>
      <c r="I85" s="985"/>
      <c r="J85" s="985"/>
      <c r="K85" s="499"/>
      <c r="L85" s="1016"/>
      <c r="M85" s="499"/>
      <c r="N85" s="458"/>
    </row>
    <row r="86" spans="1:14" s="455" customFormat="1" ht="13.5">
      <c r="A86" s="471"/>
      <c r="B86" s="454"/>
      <c r="C86" s="314"/>
      <c r="D86" s="314"/>
      <c r="E86" s="662"/>
      <c r="F86" s="309"/>
      <c r="G86" s="497"/>
      <c r="H86" s="1056"/>
      <c r="I86" s="985"/>
      <c r="J86" s="985"/>
      <c r="K86" s="499"/>
      <c r="L86" s="1016"/>
      <c r="M86" s="499"/>
      <c r="N86" s="458"/>
    </row>
    <row r="87" spans="1:14" s="455" customFormat="1" ht="13.5">
      <c r="A87" s="471"/>
      <c r="B87" s="454"/>
      <c r="C87" s="314"/>
      <c r="D87" s="314"/>
      <c r="E87" s="662"/>
      <c r="F87" s="309"/>
      <c r="G87" s="497"/>
      <c r="H87" s="1056"/>
      <c r="I87" s="985"/>
      <c r="J87" s="985"/>
      <c r="K87" s="499"/>
      <c r="L87" s="1016"/>
      <c r="M87" s="499"/>
      <c r="N87" s="458"/>
    </row>
    <row r="88" spans="1:14" s="455" customFormat="1" ht="13.5">
      <c r="A88" s="471"/>
      <c r="B88" s="454"/>
      <c r="C88" s="2591"/>
      <c r="D88" s="314"/>
      <c r="E88" s="662"/>
      <c r="F88" s="309"/>
      <c r="G88" s="497"/>
      <c r="H88" s="1056"/>
      <c r="I88" s="985"/>
      <c r="J88" s="985"/>
      <c r="K88" s="499"/>
      <c r="L88" s="1016"/>
      <c r="M88" s="499"/>
    </row>
    <row r="89" spans="1:14" s="455" customFormat="1" ht="13.5">
      <c r="A89" s="471"/>
      <c r="B89" s="454"/>
      <c r="C89" s="2593"/>
      <c r="D89" s="314"/>
      <c r="E89" s="662"/>
      <c r="F89" s="309"/>
      <c r="G89" s="497"/>
      <c r="H89" s="1056"/>
      <c r="I89" s="985"/>
      <c r="J89" s="985"/>
      <c r="K89" s="499"/>
      <c r="L89" s="1016"/>
      <c r="M89" s="499"/>
      <c r="N89" s="454"/>
    </row>
    <row r="90" spans="1:14" s="455" customFormat="1" ht="13.5">
      <c r="A90" s="471"/>
      <c r="B90" s="454"/>
      <c r="C90" s="2591"/>
      <c r="D90" s="314"/>
      <c r="E90" s="662"/>
      <c r="F90" s="309"/>
      <c r="G90" s="497"/>
      <c r="H90" s="1056"/>
      <c r="I90" s="985"/>
      <c r="J90" s="985"/>
      <c r="K90" s="499"/>
      <c r="L90" s="1016"/>
      <c r="M90" s="499"/>
      <c r="N90" s="458"/>
    </row>
    <row r="91" spans="1:14" s="455" customFormat="1" ht="13.5">
      <c r="A91" s="471"/>
      <c r="B91" s="454"/>
      <c r="C91" s="2592"/>
      <c r="D91" s="314"/>
      <c r="E91" s="662"/>
      <c r="F91" s="309"/>
      <c r="G91" s="497"/>
      <c r="H91" s="1056"/>
      <c r="I91" s="985"/>
      <c r="J91" s="985"/>
      <c r="K91" s="499"/>
      <c r="L91" s="1016"/>
      <c r="M91" s="499"/>
      <c r="N91" s="458"/>
    </row>
    <row r="92" spans="1:14" s="455" customFormat="1" ht="13.5">
      <c r="A92" s="471"/>
      <c r="B92" s="454"/>
      <c r="C92" s="2593"/>
      <c r="D92" s="314"/>
      <c r="E92" s="662"/>
      <c r="F92" s="309"/>
      <c r="G92" s="497"/>
      <c r="H92" s="1056"/>
      <c r="I92" s="985"/>
      <c r="J92" s="985"/>
      <c r="K92" s="499"/>
      <c r="L92" s="1016"/>
      <c r="M92" s="499"/>
      <c r="N92" s="458"/>
    </row>
    <row r="93" spans="1:14" s="455" customFormat="1" ht="13.5">
      <c r="A93" s="471"/>
      <c r="B93" s="454"/>
      <c r="C93" s="314"/>
      <c r="D93" s="314"/>
      <c r="E93" s="662"/>
      <c r="F93" s="309"/>
      <c r="G93" s="497"/>
      <c r="H93" s="985"/>
      <c r="I93" s="985"/>
      <c r="J93" s="985"/>
      <c r="K93" s="499"/>
      <c r="L93" s="1016"/>
      <c r="M93" s="499"/>
      <c r="N93" s="458"/>
    </row>
    <row r="94" spans="1:14" s="455" customFormat="1" ht="13.5">
      <c r="A94" s="471"/>
      <c r="B94" s="454"/>
      <c r="C94" s="314"/>
      <c r="D94" s="314"/>
      <c r="E94" s="662"/>
      <c r="F94" s="309"/>
      <c r="G94" s="497"/>
      <c r="H94" s="985"/>
      <c r="I94" s="985"/>
      <c r="J94" s="985"/>
      <c r="K94" s="499"/>
      <c r="L94" s="1016"/>
      <c r="M94" s="499"/>
      <c r="N94" s="460"/>
    </row>
    <row r="95" spans="1:14" s="455" customFormat="1" ht="13.5">
      <c r="C95" s="314"/>
      <c r="D95" s="314"/>
      <c r="E95" s="662"/>
      <c r="F95" s="662"/>
      <c r="G95" s="309"/>
      <c r="H95" s="497"/>
      <c r="I95" s="1056"/>
      <c r="J95" s="985"/>
      <c r="K95" s="985"/>
      <c r="L95" s="499"/>
      <c r="M95" s="1025"/>
      <c r="N95" s="499"/>
    </row>
    <row r="96" spans="1:14" s="455" customFormat="1" ht="13.5">
      <c r="C96" s="902"/>
      <c r="D96" s="309"/>
      <c r="E96" s="662"/>
      <c r="F96" s="662"/>
      <c r="G96" s="309"/>
      <c r="H96" s="497"/>
      <c r="I96" s="653"/>
      <c r="J96" s="985"/>
      <c r="K96" s="1469"/>
      <c r="L96" s="499"/>
      <c r="M96" s="1025"/>
      <c r="N96" s="499"/>
    </row>
    <row r="97" spans="1:15" s="455" customFormat="1" ht="13.5">
      <c r="A97" s="566"/>
      <c r="B97" s="467"/>
      <c r="C97" s="499"/>
      <c r="D97" s="309"/>
      <c r="E97" s="391"/>
      <c r="F97" s="499"/>
      <c r="G97" s="497"/>
      <c r="H97" s="498"/>
      <c r="I97" s="498"/>
      <c r="J97" s="498"/>
      <c r="K97" s="499"/>
      <c r="L97" s="1470"/>
      <c r="M97" s="309"/>
      <c r="N97" s="499"/>
    </row>
    <row r="98" spans="1:15" s="455" customFormat="1" ht="13.5">
      <c r="A98" s="566"/>
      <c r="B98" s="467"/>
      <c r="C98" s="497"/>
      <c r="D98" s="691"/>
      <c r="E98" s="675"/>
      <c r="F98" s="675"/>
      <c r="G98" s="654"/>
      <c r="H98" s="502"/>
      <c r="I98" s="652"/>
      <c r="J98" s="497"/>
      <c r="K98" s="653"/>
      <c r="L98" s="502"/>
      <c r="M98" s="538"/>
      <c r="N98" s="392"/>
      <c r="O98" s="502"/>
    </row>
    <row r="99" spans="1:15" s="455" customFormat="1" ht="13.5">
      <c r="A99" s="566"/>
      <c r="B99" s="467"/>
      <c r="C99" s="497"/>
      <c r="D99" s="691"/>
      <c r="E99" s="675"/>
      <c r="F99" s="675"/>
      <c r="G99" s="654"/>
      <c r="H99" s="502"/>
      <c r="I99" s="652"/>
      <c r="J99" s="497"/>
      <c r="K99" s="653"/>
      <c r="L99" s="502"/>
      <c r="M99" s="538"/>
      <c r="N99" s="392"/>
      <c r="O99" s="502"/>
    </row>
    <row r="100" spans="1:15" s="455" customFormat="1" ht="13.5">
      <c r="A100" s="566"/>
      <c r="B100" s="467"/>
      <c r="C100" s="497"/>
      <c r="D100" s="691"/>
      <c r="E100" s="675"/>
      <c r="F100" s="675"/>
      <c r="G100" s="654"/>
      <c r="H100" s="502"/>
      <c r="I100" s="652"/>
      <c r="J100" s="497"/>
      <c r="K100" s="653"/>
      <c r="L100" s="502"/>
      <c r="M100" s="538"/>
      <c r="N100" s="392"/>
      <c r="O100" s="502"/>
    </row>
    <row r="101" spans="1:15" s="455" customFormat="1" ht="13.5">
      <c r="A101" s="566"/>
      <c r="B101" s="467"/>
      <c r="C101" s="497"/>
      <c r="D101" s="691"/>
      <c r="E101" s="675"/>
      <c r="F101" s="675"/>
      <c r="G101" s="654"/>
      <c r="H101" s="502"/>
      <c r="I101" s="652"/>
      <c r="J101" s="497"/>
      <c r="K101" s="653"/>
      <c r="L101" s="502"/>
      <c r="M101" s="538"/>
      <c r="N101" s="392"/>
      <c r="O101" s="502"/>
    </row>
    <row r="102" spans="1:15" s="455" customFormat="1" ht="13.5">
      <c r="C102" s="1384"/>
      <c r="D102" s="314"/>
      <c r="E102" s="662"/>
      <c r="F102" s="662"/>
      <c r="G102" s="309"/>
      <c r="H102" s="497"/>
      <c r="I102" s="653"/>
      <c r="J102" s="985"/>
      <c r="K102" s="1469"/>
      <c r="L102" s="499"/>
      <c r="M102" s="1025"/>
      <c r="N102" s="499"/>
    </row>
    <row r="103" spans="1:15" s="455" customFormat="1" ht="13.5">
      <c r="C103" s="1384"/>
      <c r="D103" s="314"/>
      <c r="E103" s="662"/>
      <c r="F103" s="662"/>
      <c r="G103" s="309"/>
      <c r="H103" s="497"/>
      <c r="I103" s="653"/>
      <c r="J103" s="985"/>
      <c r="K103" s="1469"/>
      <c r="L103" s="499"/>
      <c r="M103" s="1025"/>
      <c r="N103" s="499"/>
    </row>
    <row r="104" spans="1:15" s="455" customFormat="1" ht="13.5">
      <c r="A104" s="566"/>
      <c r="B104" s="467"/>
      <c r="C104" s="499"/>
      <c r="D104" s="309"/>
      <c r="E104" s="391"/>
      <c r="F104" s="499"/>
      <c r="G104" s="497"/>
      <c r="H104" s="498"/>
      <c r="I104" s="498"/>
      <c r="J104" s="498"/>
      <c r="K104" s="499"/>
      <c r="L104" s="1470"/>
      <c r="M104" s="309"/>
      <c r="N104" s="499"/>
    </row>
    <row r="105" spans="1:15" s="455" customFormat="1" ht="13.5">
      <c r="A105" s="566"/>
      <c r="B105" s="467"/>
      <c r="C105" s="497"/>
      <c r="D105" s="691"/>
      <c r="E105" s="675"/>
      <c r="F105" s="675"/>
      <c r="G105" s="654"/>
      <c r="H105" s="502"/>
      <c r="I105" s="652"/>
      <c r="J105" s="497"/>
      <c r="K105" s="653"/>
      <c r="L105" s="502"/>
      <c r="M105" s="538"/>
      <c r="N105" s="392"/>
      <c r="O105" s="502"/>
    </row>
    <row r="106" spans="1:15" s="455" customFormat="1" ht="13.5">
      <c r="A106" s="566"/>
      <c r="B106" s="467"/>
      <c r="C106" s="497"/>
      <c r="D106" s="691"/>
      <c r="E106" s="675"/>
      <c r="F106" s="675"/>
      <c r="G106" s="654"/>
      <c r="H106" s="502"/>
      <c r="I106" s="652"/>
      <c r="J106" s="497"/>
      <c r="K106" s="653"/>
      <c r="L106" s="502"/>
      <c r="M106" s="538"/>
      <c r="N106" s="392"/>
      <c r="O106" s="502"/>
    </row>
    <row r="107" spans="1:15" s="455" customFormat="1" ht="13.5">
      <c r="A107" s="566"/>
      <c r="B107" s="467"/>
      <c r="C107" s="497"/>
      <c r="D107" s="691"/>
      <c r="E107" s="675"/>
      <c r="F107" s="675"/>
      <c r="G107" s="654"/>
      <c r="H107" s="502"/>
      <c r="I107" s="652"/>
      <c r="J107" s="497"/>
      <c r="K107" s="653"/>
      <c r="L107" s="502"/>
      <c r="M107" s="538"/>
      <c r="N107" s="392"/>
      <c r="O107" s="502"/>
    </row>
    <row r="108" spans="1:15" s="455" customFormat="1" ht="13.5">
      <c r="A108" s="566"/>
      <c r="B108" s="467"/>
      <c r="C108" s="497"/>
      <c r="D108" s="691"/>
      <c r="E108" s="675"/>
      <c r="F108" s="675"/>
      <c r="G108" s="654"/>
      <c r="H108" s="502"/>
      <c r="I108" s="652"/>
      <c r="J108" s="497"/>
      <c r="K108" s="653"/>
      <c r="L108" s="502"/>
      <c r="M108" s="538"/>
      <c r="N108" s="392"/>
      <c r="O108" s="502"/>
    </row>
    <row r="109" spans="1:15" s="455" customFormat="1" ht="13.5">
      <c r="C109" s="1385"/>
      <c r="D109" s="314"/>
      <c r="E109" s="991"/>
      <c r="F109" s="662"/>
      <c r="G109" s="309"/>
      <c r="H109" s="497"/>
      <c r="I109" s="774"/>
      <c r="J109" s="774"/>
      <c r="K109" s="774"/>
      <c r="L109" s="499"/>
      <c r="M109" s="1028"/>
      <c r="N109" s="499"/>
    </row>
    <row r="110" spans="1:15" s="455" customFormat="1" ht="13.5">
      <c r="C110" s="314"/>
      <c r="D110" s="314"/>
      <c r="E110" s="991"/>
      <c r="F110" s="662"/>
      <c r="G110" s="309"/>
      <c r="H110" s="497"/>
      <c r="I110" s="774"/>
      <c r="J110" s="774"/>
      <c r="K110" s="1471"/>
      <c r="L110" s="499"/>
      <c r="M110" s="1028"/>
      <c r="N110" s="499"/>
    </row>
    <row r="111" spans="1:15" s="455" customFormat="1" ht="13.5">
      <c r="C111" s="1027"/>
      <c r="D111" s="314"/>
      <c r="E111" s="991"/>
      <c r="F111" s="662"/>
      <c r="G111" s="309"/>
      <c r="H111" s="497"/>
      <c r="I111" s="1056"/>
      <c r="J111" s="985"/>
      <c r="K111" s="985"/>
      <c r="L111" s="499"/>
      <c r="M111" s="1028"/>
      <c r="N111" s="499"/>
    </row>
    <row r="112" spans="1:15" s="455" customFormat="1" ht="13.5">
      <c r="C112" s="499"/>
      <c r="D112" s="309"/>
      <c r="E112" s="391"/>
      <c r="F112" s="499"/>
      <c r="G112" s="497"/>
      <c r="H112" s="498"/>
      <c r="I112" s="498"/>
      <c r="J112" s="498"/>
      <c r="K112" s="499"/>
      <c r="L112" s="1472"/>
      <c r="M112" s="309"/>
      <c r="N112" s="499"/>
    </row>
    <row r="113" spans="3:15" s="455" customFormat="1" ht="13.5">
      <c r="C113" s="497"/>
      <c r="D113" s="691"/>
      <c r="E113" s="675"/>
      <c r="F113" s="675"/>
      <c r="G113" s="654"/>
      <c r="H113" s="502"/>
      <c r="I113" s="652"/>
      <c r="J113" s="497"/>
      <c r="K113" s="653"/>
      <c r="L113" s="502"/>
      <c r="M113" s="538"/>
      <c r="N113" s="392"/>
      <c r="O113" s="502"/>
    </row>
    <row r="114" spans="3:15" s="455" customFormat="1" ht="13.5">
      <c r="C114" s="497"/>
      <c r="D114" s="691"/>
      <c r="E114" s="675"/>
      <c r="F114" s="675"/>
      <c r="G114" s="654"/>
      <c r="H114" s="502"/>
      <c r="I114" s="652"/>
      <c r="J114" s="497"/>
      <c r="K114" s="653"/>
      <c r="L114" s="502"/>
      <c r="M114" s="538"/>
      <c r="N114" s="392"/>
      <c r="O114" s="502"/>
    </row>
    <row r="115" spans="3:15" s="455" customFormat="1" ht="13.5">
      <c r="C115" s="497"/>
      <c r="D115" s="691"/>
      <c r="E115" s="675"/>
      <c r="F115" s="675"/>
      <c r="G115" s="654"/>
      <c r="H115" s="502"/>
      <c r="I115" s="652"/>
      <c r="J115" s="497"/>
      <c r="K115" s="653"/>
      <c r="L115" s="502"/>
      <c r="M115" s="538"/>
      <c r="N115" s="392"/>
      <c r="O115" s="502"/>
    </row>
    <row r="116" spans="3:15" s="455" customFormat="1" ht="13.5">
      <c r="C116" s="497"/>
      <c r="D116" s="691"/>
      <c r="E116" s="675"/>
      <c r="F116" s="675"/>
      <c r="G116" s="654"/>
      <c r="H116" s="502"/>
      <c r="I116" s="652"/>
      <c r="J116" s="497"/>
      <c r="K116" s="653"/>
      <c r="L116" s="502"/>
      <c r="M116" s="538"/>
      <c r="N116" s="392"/>
      <c r="O116" s="502"/>
    </row>
    <row r="117" spans="3:15" s="455" customFormat="1" ht="13.5">
      <c r="C117" s="497"/>
      <c r="D117" s="691"/>
      <c r="E117" s="675"/>
      <c r="F117" s="675"/>
      <c r="G117" s="654"/>
      <c r="H117" s="502"/>
      <c r="I117" s="652"/>
      <c r="J117" s="497"/>
      <c r="K117" s="653"/>
      <c r="L117" s="502"/>
      <c r="M117" s="538"/>
      <c r="N117" s="392"/>
      <c r="O117" s="502"/>
    </row>
    <row r="118" spans="3:15" s="455" customFormat="1" ht="13.5">
      <c r="C118" s="497"/>
      <c r="D118" s="691"/>
      <c r="E118" s="675"/>
      <c r="F118" s="675"/>
      <c r="G118" s="654"/>
      <c r="H118" s="502"/>
      <c r="I118" s="652"/>
      <c r="J118" s="497"/>
      <c r="K118" s="653"/>
      <c r="L118" s="502"/>
      <c r="M118" s="538"/>
      <c r="N118" s="392"/>
      <c r="O118" s="502"/>
    </row>
    <row r="119" spans="3:15" s="455" customFormat="1" ht="13.5">
      <c r="C119" s="497"/>
      <c r="D119" s="691"/>
      <c r="E119" s="675"/>
      <c r="F119" s="1473"/>
      <c r="G119" s="654"/>
      <c r="H119" s="502"/>
      <c r="I119" s="652"/>
      <c r="J119" s="497"/>
      <c r="K119" s="653"/>
      <c r="L119" s="502"/>
      <c r="M119" s="538"/>
      <c r="N119" s="392"/>
      <c r="O119" s="502"/>
    </row>
    <row r="120" spans="3:15" s="355" customFormat="1" ht="13.5">
      <c r="C120" s="400"/>
      <c r="D120" s="400"/>
      <c r="E120" s="401"/>
      <c r="F120" s="402"/>
      <c r="G120" s="402"/>
      <c r="H120" s="403"/>
      <c r="I120" s="403"/>
      <c r="J120" s="403"/>
      <c r="K120" s="402"/>
      <c r="L120" s="404"/>
      <c r="M120" s="402"/>
      <c r="N120" s="405"/>
    </row>
    <row r="121" spans="3:15" s="355" customFormat="1" ht="13.5">
      <c r="C121" s="400"/>
      <c r="D121" s="400"/>
      <c r="E121" s="401"/>
      <c r="F121" s="402"/>
      <c r="G121" s="402"/>
      <c r="H121" s="403"/>
      <c r="I121" s="403"/>
      <c r="J121" s="403"/>
      <c r="K121" s="402"/>
      <c r="L121" s="404"/>
      <c r="M121" s="402"/>
      <c r="N121" s="405"/>
    </row>
    <row r="122" spans="3:15" s="355" customFormat="1" ht="13.5">
      <c r="C122" s="400"/>
      <c r="D122" s="400"/>
      <c r="E122" s="401"/>
      <c r="F122" s="402"/>
      <c r="G122" s="402"/>
      <c r="H122" s="403"/>
      <c r="I122" s="403"/>
      <c r="J122" s="403"/>
      <c r="K122" s="402"/>
      <c r="L122" s="404"/>
      <c r="M122" s="402"/>
      <c r="N122" s="405"/>
    </row>
    <row r="123" spans="3:15" s="355" customFormat="1" ht="13.5">
      <c r="C123" s="400"/>
      <c r="D123" s="400"/>
      <c r="E123" s="401"/>
      <c r="F123" s="402"/>
      <c r="G123" s="402"/>
      <c r="H123" s="403"/>
      <c r="I123" s="403"/>
      <c r="J123" s="403"/>
      <c r="K123" s="402"/>
      <c r="L123" s="404"/>
      <c r="M123" s="402"/>
      <c r="N123" s="405"/>
    </row>
    <row r="124" spans="3:15" s="355" customFormat="1" ht="13.5">
      <c r="C124" s="400"/>
      <c r="D124" s="400"/>
      <c r="E124" s="401"/>
      <c r="F124" s="402"/>
      <c r="G124" s="402"/>
      <c r="H124" s="403"/>
      <c r="I124" s="403"/>
      <c r="J124" s="403"/>
      <c r="K124" s="402"/>
      <c r="L124" s="404"/>
      <c r="M124" s="402"/>
      <c r="N124" s="405"/>
    </row>
    <row r="125" spans="3:15" s="355" customFormat="1" ht="13.5">
      <c r="C125" s="400"/>
      <c r="D125" s="400"/>
      <c r="E125" s="401"/>
      <c r="F125" s="402"/>
      <c r="G125" s="402"/>
      <c r="H125" s="403"/>
      <c r="I125" s="403"/>
      <c r="J125" s="403"/>
      <c r="K125" s="402"/>
      <c r="L125" s="404"/>
      <c r="M125" s="402"/>
      <c r="N125" s="405"/>
    </row>
    <row r="126" spans="3:15" s="355" customFormat="1" ht="13.5">
      <c r="C126" s="400"/>
      <c r="D126" s="400"/>
      <c r="E126" s="401"/>
      <c r="F126" s="402"/>
      <c r="G126" s="402"/>
      <c r="H126" s="403"/>
      <c r="I126" s="403"/>
      <c r="J126" s="403"/>
      <c r="K126" s="402"/>
      <c r="L126" s="404"/>
      <c r="M126" s="402"/>
      <c r="N126" s="405"/>
    </row>
    <row r="127" spans="3:15" s="355" customFormat="1" ht="13.5">
      <c r="C127" s="400"/>
      <c r="D127" s="400"/>
      <c r="E127" s="401"/>
      <c r="F127" s="402"/>
      <c r="G127" s="402"/>
      <c r="H127" s="403"/>
      <c r="I127" s="403"/>
      <c r="J127" s="403"/>
      <c r="K127" s="402"/>
      <c r="L127" s="404"/>
      <c r="M127" s="402"/>
      <c r="N127" s="405"/>
    </row>
    <row r="128" spans="3:15" s="355" customFormat="1" ht="13.5">
      <c r="C128" s="400"/>
      <c r="D128" s="400"/>
      <c r="E128" s="401"/>
      <c r="F128" s="402"/>
      <c r="G128" s="402"/>
      <c r="H128" s="403"/>
      <c r="I128" s="403"/>
      <c r="J128" s="403"/>
      <c r="K128" s="402"/>
      <c r="L128" s="404"/>
      <c r="M128" s="402"/>
      <c r="N128" s="405"/>
    </row>
    <row r="129" spans="3:14" s="355" customFormat="1" ht="13.5">
      <c r="C129" s="400"/>
      <c r="D129" s="400"/>
      <c r="E129" s="401"/>
      <c r="F129" s="402"/>
      <c r="G129" s="402"/>
      <c r="H129" s="403"/>
      <c r="I129" s="403"/>
      <c r="J129" s="403"/>
      <c r="K129" s="402"/>
      <c r="L129" s="404"/>
      <c r="M129" s="402"/>
      <c r="N129" s="405"/>
    </row>
    <row r="130" spans="3:14" s="355" customFormat="1" ht="13.5">
      <c r="C130" s="400"/>
      <c r="D130" s="400"/>
      <c r="E130" s="401"/>
      <c r="F130" s="402"/>
      <c r="G130" s="402"/>
      <c r="H130" s="403"/>
      <c r="I130" s="403"/>
      <c r="J130" s="403"/>
      <c r="K130" s="402"/>
      <c r="L130" s="404"/>
      <c r="M130" s="402"/>
      <c r="N130" s="405"/>
    </row>
    <row r="131" spans="3:14" s="355" customFormat="1" ht="13.5">
      <c r="C131" s="400"/>
      <c r="D131" s="400"/>
      <c r="E131" s="401"/>
      <c r="F131" s="402"/>
      <c r="G131" s="402"/>
      <c r="H131" s="403"/>
      <c r="I131" s="403"/>
      <c r="J131" s="403"/>
      <c r="K131" s="402"/>
      <c r="L131" s="404"/>
      <c r="M131" s="402"/>
      <c r="N131" s="405"/>
    </row>
    <row r="132" spans="3:14" s="355" customFormat="1" ht="13.5">
      <c r="C132" s="400"/>
      <c r="D132" s="400"/>
      <c r="E132" s="401"/>
      <c r="F132" s="402"/>
      <c r="G132" s="402"/>
      <c r="H132" s="403"/>
      <c r="I132" s="403"/>
      <c r="J132" s="403"/>
      <c r="K132" s="402"/>
      <c r="L132" s="404"/>
      <c r="M132" s="407"/>
      <c r="N132" s="405"/>
    </row>
    <row r="133" spans="3:14" s="355" customFormat="1" ht="13.5">
      <c r="C133" s="400"/>
      <c r="D133" s="400"/>
      <c r="E133" s="401"/>
      <c r="F133" s="402"/>
      <c r="G133" s="403"/>
      <c r="H133" s="403"/>
      <c r="I133" s="403"/>
      <c r="J133" s="403"/>
      <c r="K133" s="408"/>
      <c r="L133" s="404"/>
      <c r="M133" s="407"/>
      <c r="N133" s="405"/>
    </row>
    <row r="134" spans="3:14" s="355" customFormat="1" ht="13.5">
      <c r="C134" s="352"/>
      <c r="D134" s="352"/>
      <c r="E134" s="352"/>
      <c r="F134" s="352"/>
      <c r="G134" s="352"/>
      <c r="H134" s="352"/>
      <c r="I134" s="352"/>
      <c r="J134" s="352"/>
      <c r="K134" s="352"/>
      <c r="L134" s="1403">
        <f>SUM(L5:L132)</f>
        <v>12749081.6</v>
      </c>
      <c r="M134" s="352"/>
      <c r="N134" s="352"/>
    </row>
    <row r="135" spans="3:14" ht="14.25" customHeight="1">
      <c r="C135" s="31"/>
      <c r="D135" s="27"/>
      <c r="E135" s="20"/>
      <c r="F135" s="28"/>
      <c r="G135" s="28"/>
      <c r="H135" s="26"/>
      <c r="I135" s="26"/>
      <c r="J135" s="26"/>
      <c r="K135" s="28"/>
      <c r="L135" s="179"/>
      <c r="M135" s="28"/>
      <c r="N135" s="27"/>
    </row>
    <row r="136" spans="3:14" s="1" customFormat="1" ht="14.25" customHeight="1">
      <c r="C136" s="31"/>
      <c r="D136" s="27"/>
      <c r="E136" s="21"/>
      <c r="F136" s="28"/>
      <c r="G136" s="28"/>
      <c r="H136" s="26"/>
      <c r="I136" s="26"/>
      <c r="J136" s="26"/>
      <c r="K136" s="28"/>
      <c r="L136" s="179"/>
      <c r="M136" s="28"/>
      <c r="N136" s="27"/>
    </row>
    <row r="137" spans="3:14" s="1" customFormat="1" ht="14.25" customHeight="1">
      <c r="C137" s="30"/>
      <c r="D137" s="25"/>
      <c r="E137" s="21"/>
      <c r="F137" s="22"/>
      <c r="G137" s="22"/>
      <c r="H137" s="23"/>
      <c r="I137" s="23"/>
      <c r="J137" s="23"/>
      <c r="K137" s="22"/>
      <c r="L137" s="180"/>
      <c r="M137" s="22"/>
      <c r="N137" s="25"/>
    </row>
  </sheetData>
  <mergeCells count="8">
    <mergeCell ref="C88:C89"/>
    <mergeCell ref="C90:C92"/>
    <mergeCell ref="C7:C10"/>
    <mergeCell ref="C2:G2"/>
    <mergeCell ref="H2:J2"/>
    <mergeCell ref="K2:L2"/>
    <mergeCell ref="M2:M3"/>
    <mergeCell ref="N2:N3"/>
  </mergeCell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FB561-E8F3-4877-A862-37CE3C30C26D}">
  <sheetPr>
    <tabColor rgb="FF00B0F0"/>
  </sheetPr>
  <dimension ref="A1:O137"/>
  <sheetViews>
    <sheetView zoomScale="70" zoomScaleNormal="70" workbookViewId="0">
      <pane ySplit="4" topLeftCell="A14" activePane="bottomLeft" state="frozen"/>
      <selection pane="bottomLeft" activeCell="B25" sqref="B25:B27"/>
    </sheetView>
  </sheetViews>
  <sheetFormatPr defaultRowHeight="15"/>
  <cols>
    <col min="3" max="3" width="32.85546875" customWidth="1"/>
    <col min="4" max="4" width="49.7109375" bestFit="1"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style="99" customWidth="1"/>
    <col min="13" max="13" width="16.28515625" customWidth="1"/>
    <col min="14" max="14" width="12.85546875" customWidth="1"/>
    <col min="17" max="17" width="73.7109375" bestFit="1" customWidth="1"/>
  </cols>
  <sheetData>
    <row r="1" spans="1:15" s="355" customFormat="1" ht="13.5">
      <c r="L1" s="32"/>
    </row>
    <row r="2" spans="1:15" s="355" customFormat="1" ht="13.5">
      <c r="C2" s="2601" t="s">
        <v>30</v>
      </c>
      <c r="D2" s="2602"/>
      <c r="E2" s="2602"/>
      <c r="F2" s="2602"/>
      <c r="G2" s="2603"/>
      <c r="H2" s="2604" t="s">
        <v>29</v>
      </c>
      <c r="I2" s="2605"/>
      <c r="J2" s="2606"/>
      <c r="K2" s="2601" t="s">
        <v>28</v>
      </c>
      <c r="L2" s="2603"/>
      <c r="M2" s="2594" t="s">
        <v>27</v>
      </c>
      <c r="N2" s="2594" t="s">
        <v>26</v>
      </c>
    </row>
    <row r="3" spans="1:15" s="355" customFormat="1" ht="94.5">
      <c r="C3" s="618" t="s">
        <v>25</v>
      </c>
      <c r="D3" s="852" t="s">
        <v>24</v>
      </c>
      <c r="E3" s="991" t="s">
        <v>23</v>
      </c>
      <c r="F3" s="618" t="s">
        <v>22</v>
      </c>
      <c r="G3" s="532" t="s">
        <v>1303</v>
      </c>
      <c r="H3" s="532" t="s">
        <v>20</v>
      </c>
      <c r="I3" s="532" t="s">
        <v>19</v>
      </c>
      <c r="J3" s="532" t="s">
        <v>18</v>
      </c>
      <c r="K3" s="618" t="s">
        <v>17</v>
      </c>
      <c r="L3" s="605" t="s">
        <v>16</v>
      </c>
      <c r="M3" s="2594"/>
      <c r="N3" s="2594"/>
    </row>
    <row r="4" spans="1:15" s="355" customFormat="1" ht="27">
      <c r="C4" s="1076" t="s">
        <v>15</v>
      </c>
      <c r="D4" s="1076" t="s">
        <v>14</v>
      </c>
      <c r="E4" s="1076" t="s">
        <v>13</v>
      </c>
      <c r="F4" s="1076" t="s">
        <v>12</v>
      </c>
      <c r="G4" s="1076" t="s">
        <v>11</v>
      </c>
      <c r="H4" s="1076" t="s">
        <v>10</v>
      </c>
      <c r="I4" s="1076" t="s">
        <v>9</v>
      </c>
      <c r="J4" s="1076" t="s">
        <v>8</v>
      </c>
      <c r="K4" s="1076" t="s">
        <v>7</v>
      </c>
      <c r="L4" s="1077" t="s">
        <v>6</v>
      </c>
      <c r="M4" s="1076" t="s">
        <v>5</v>
      </c>
      <c r="N4" s="1076" t="s">
        <v>4</v>
      </c>
    </row>
    <row r="5" spans="1:15" s="455" customFormat="1" ht="14.25" customHeight="1">
      <c r="A5" s="471"/>
      <c r="B5" s="454"/>
      <c r="C5" s="392"/>
      <c r="D5" s="309"/>
      <c r="E5" s="309"/>
      <c r="F5" s="309"/>
      <c r="G5" s="497"/>
      <c r="H5" s="985"/>
      <c r="I5" s="985"/>
      <c r="J5" s="985"/>
      <c r="K5" s="499"/>
      <c r="L5" s="1025"/>
      <c r="M5" s="499"/>
      <c r="N5" s="1466"/>
    </row>
    <row r="6" spans="1:15" s="455" customFormat="1" ht="14.25" customHeight="1">
      <c r="A6" s="471"/>
      <c r="B6" s="454" t="s">
        <v>2574</v>
      </c>
      <c r="C6" s="1909"/>
      <c r="D6" s="1915" t="s">
        <v>2</v>
      </c>
      <c r="E6" s="1900"/>
      <c r="F6" s="1835" t="s">
        <v>422</v>
      </c>
      <c r="G6" s="1878" t="s">
        <v>1</v>
      </c>
      <c r="H6" s="1878">
        <v>46054</v>
      </c>
      <c r="I6" s="1879">
        <v>46082</v>
      </c>
      <c r="J6" s="1879">
        <v>46082</v>
      </c>
      <c r="K6" s="1712" t="s">
        <v>2216</v>
      </c>
      <c r="L6" s="1916"/>
      <c r="M6" s="1715" t="s">
        <v>2446</v>
      </c>
      <c r="O6" s="1716"/>
    </row>
    <row r="7" spans="1:15" s="455" customFormat="1" ht="14.25" customHeight="1">
      <c r="A7" s="471"/>
      <c r="B7" s="454" t="s">
        <v>2574</v>
      </c>
      <c r="C7" s="2756" t="s">
        <v>2874</v>
      </c>
      <c r="D7" s="1806" t="s">
        <v>2870</v>
      </c>
      <c r="E7" s="1939"/>
      <c r="F7" s="1921"/>
      <c r="G7" s="1725"/>
      <c r="H7" s="1801"/>
      <c r="I7" s="1801"/>
      <c r="J7" s="1801"/>
      <c r="K7" s="1802"/>
      <c r="L7" s="1927">
        <v>8000</v>
      </c>
      <c r="N7" s="1721"/>
      <c r="O7" s="1720"/>
    </row>
    <row r="8" spans="1:15" s="455" customFormat="1" ht="14.25" customHeight="1">
      <c r="A8" s="471"/>
      <c r="B8" s="454" t="s">
        <v>2574</v>
      </c>
      <c r="C8" s="2757"/>
      <c r="D8" s="1806" t="s">
        <v>2871</v>
      </c>
      <c r="E8" s="1884"/>
      <c r="F8" s="1921"/>
      <c r="G8" s="1725"/>
      <c r="H8" s="1801"/>
      <c r="I8" s="1801"/>
      <c r="J8" s="1801"/>
      <c r="K8" s="1802"/>
      <c r="L8" s="1927">
        <v>7000</v>
      </c>
      <c r="N8" s="1721"/>
      <c r="O8" s="1720"/>
    </row>
    <row r="9" spans="1:15" s="455" customFormat="1" ht="14.25" customHeight="1">
      <c r="A9" s="471"/>
      <c r="B9" s="454" t="s">
        <v>2574</v>
      </c>
      <c r="C9" s="2757"/>
      <c r="D9" s="1806" t="s">
        <v>2872</v>
      </c>
      <c r="E9" s="1939"/>
      <c r="F9" s="1921"/>
      <c r="G9" s="1801"/>
      <c r="H9" s="1801"/>
      <c r="I9" s="1801"/>
      <c r="J9" s="1801"/>
      <c r="K9" s="1802"/>
      <c r="L9" s="1927">
        <v>10000</v>
      </c>
      <c r="N9" s="1721"/>
      <c r="O9" s="1720"/>
    </row>
    <row r="10" spans="1:15" s="455" customFormat="1" ht="14.25" customHeight="1">
      <c r="A10" s="471"/>
      <c r="B10" s="454" t="s">
        <v>2574</v>
      </c>
      <c r="C10" s="2757"/>
      <c r="D10" s="1806" t="s">
        <v>2873</v>
      </c>
      <c r="E10" s="1884"/>
      <c r="F10" s="1724"/>
      <c r="G10" s="1801"/>
      <c r="H10" s="1801"/>
      <c r="I10" s="1801"/>
      <c r="J10" s="1837"/>
      <c r="K10" s="1838"/>
      <c r="L10" s="1801"/>
      <c r="M10" s="1927"/>
      <c r="N10" s="1721"/>
      <c r="O10" s="1720"/>
    </row>
    <row r="11" spans="1:15" s="455" customFormat="1" ht="14.25" customHeight="1">
      <c r="A11" s="471"/>
      <c r="B11" s="454" t="s">
        <v>2574</v>
      </c>
      <c r="C11" s="2757"/>
      <c r="D11" s="1940"/>
      <c r="E11" s="1884"/>
      <c r="F11" s="1724"/>
      <c r="G11" s="1801"/>
      <c r="H11" s="1801"/>
      <c r="I11" s="1801"/>
      <c r="J11" s="1801"/>
      <c r="K11" s="1802"/>
      <c r="L11" s="1801"/>
      <c r="M11" s="1927"/>
      <c r="N11" s="1721"/>
      <c r="O11" s="1720"/>
    </row>
    <row r="12" spans="1:15" s="455" customFormat="1" ht="14.25" customHeight="1">
      <c r="A12" s="471"/>
      <c r="B12" s="454" t="s">
        <v>2574</v>
      </c>
      <c r="C12" s="2758"/>
      <c r="D12" s="1923"/>
      <c r="E12" s="1884"/>
      <c r="F12" s="1724"/>
      <c r="G12" s="1801"/>
      <c r="H12" s="1801"/>
      <c r="I12" s="1801"/>
      <c r="J12" s="1801"/>
      <c r="K12" s="1802"/>
      <c r="L12" s="1801"/>
      <c r="M12" s="1927"/>
      <c r="N12" s="1721"/>
      <c r="O12" s="1720"/>
    </row>
    <row r="13" spans="1:15" s="455" customFormat="1" ht="14.25" customHeight="1">
      <c r="A13" s="471"/>
      <c r="B13" s="454"/>
      <c r="C13" s="1938"/>
      <c r="D13" s="1936"/>
      <c r="E13" s="1929"/>
      <c r="F13" s="1934"/>
      <c r="G13" s="1930"/>
      <c r="H13" s="1930"/>
      <c r="I13" s="1930"/>
      <c r="J13" s="1930"/>
      <c r="K13" s="1931"/>
      <c r="L13" s="1930"/>
      <c r="M13" s="1932"/>
      <c r="N13" s="1933"/>
      <c r="O13" s="1928"/>
    </row>
    <row r="14" spans="1:15" s="455" customFormat="1" ht="14.25" customHeight="1">
      <c r="A14" s="471"/>
      <c r="B14" s="454"/>
      <c r="C14" s="1937"/>
      <c r="D14" s="1936"/>
      <c r="E14" s="1929"/>
      <c r="F14" s="1934"/>
      <c r="G14" s="1930"/>
      <c r="H14" s="1930"/>
      <c r="I14" s="1930"/>
      <c r="J14" s="1930"/>
      <c r="K14" s="1931"/>
      <c r="L14" s="1930"/>
      <c r="M14" s="1935"/>
      <c r="N14" s="1933"/>
      <c r="O14" s="1928"/>
    </row>
    <row r="15" spans="1:15" s="455" customFormat="1" ht="14.25" customHeight="1">
      <c r="A15" s="471"/>
      <c r="B15" s="454" t="s">
        <v>2574</v>
      </c>
      <c r="C15" s="1909"/>
      <c r="D15" s="1915" t="s">
        <v>2</v>
      </c>
      <c r="E15" s="1900"/>
      <c r="F15" s="1835" t="s">
        <v>422</v>
      </c>
      <c r="G15" s="1878" t="s">
        <v>1</v>
      </c>
      <c r="H15" s="1878">
        <v>46113</v>
      </c>
      <c r="I15" s="1879">
        <v>46143</v>
      </c>
      <c r="J15" s="1879">
        <v>46143</v>
      </c>
      <c r="K15" s="1712" t="s">
        <v>2216</v>
      </c>
      <c r="L15" s="1916"/>
      <c r="M15" s="1715" t="s">
        <v>2446</v>
      </c>
      <c r="O15" s="1716"/>
    </row>
    <row r="16" spans="1:15" s="455" customFormat="1" ht="14.25" customHeight="1">
      <c r="A16" s="471"/>
      <c r="B16" s="454" t="s">
        <v>2574</v>
      </c>
      <c r="C16" s="2756" t="s">
        <v>2874</v>
      </c>
      <c r="D16" s="1806" t="s">
        <v>2870</v>
      </c>
      <c r="E16" s="1939">
        <v>12</v>
      </c>
      <c r="F16" s="1921" t="s">
        <v>1051</v>
      </c>
      <c r="G16" s="1725"/>
      <c r="H16" s="1801"/>
      <c r="I16" s="1801"/>
      <c r="J16" s="1801"/>
      <c r="K16" s="1802"/>
      <c r="L16" s="1927">
        <v>4500</v>
      </c>
      <c r="N16" s="1721"/>
      <c r="O16" s="1720"/>
    </row>
    <row r="17" spans="1:15" s="455" customFormat="1" ht="14.25" customHeight="1">
      <c r="A17" s="471"/>
      <c r="B17" s="454" t="s">
        <v>2574</v>
      </c>
      <c r="C17" s="2757"/>
      <c r="D17" s="1806" t="s">
        <v>2871</v>
      </c>
      <c r="E17" s="1884">
        <v>100</v>
      </c>
      <c r="F17" s="1921" t="s">
        <v>2654</v>
      </c>
      <c r="G17" s="1725"/>
      <c r="H17" s="1801"/>
      <c r="I17" s="1801"/>
      <c r="J17" s="1801"/>
      <c r="K17" s="1802"/>
      <c r="L17" s="1927">
        <v>8000</v>
      </c>
      <c r="N17" s="1721"/>
      <c r="O17" s="1720"/>
    </row>
    <row r="18" spans="1:15" s="455" customFormat="1" ht="14.25" customHeight="1">
      <c r="A18" s="471"/>
      <c r="B18" s="454" t="s">
        <v>2574</v>
      </c>
      <c r="C18" s="2757"/>
      <c r="D18" s="1806" t="s">
        <v>2873</v>
      </c>
      <c r="E18" s="1939"/>
      <c r="F18" s="1921"/>
      <c r="G18" s="1801"/>
      <c r="H18" s="1801"/>
      <c r="I18" s="1801"/>
      <c r="J18" s="1801"/>
      <c r="K18" s="1802"/>
      <c r="L18" s="1801"/>
      <c r="M18" s="1927"/>
      <c r="N18" s="1721"/>
      <c r="O18" s="1720"/>
    </row>
    <row r="19" spans="1:15" s="455" customFormat="1" ht="14.25" customHeight="1">
      <c r="A19" s="471"/>
      <c r="B19" s="454" t="s">
        <v>2574</v>
      </c>
      <c r="C19" s="2757"/>
      <c r="D19" s="1940"/>
      <c r="E19" s="1884"/>
      <c r="F19" s="1724"/>
      <c r="G19" s="1801"/>
      <c r="H19" s="1801"/>
      <c r="I19" s="1801"/>
      <c r="J19" s="1837"/>
      <c r="K19" s="1838"/>
      <c r="L19" s="1801"/>
      <c r="M19" s="1927"/>
      <c r="N19" s="1721"/>
      <c r="O19" s="1720"/>
    </row>
    <row r="20" spans="1:15" s="455" customFormat="1" ht="14.25" customHeight="1">
      <c r="A20" s="471"/>
      <c r="B20" s="454" t="s">
        <v>2574</v>
      </c>
      <c r="C20" s="2757"/>
      <c r="D20" s="1940"/>
      <c r="E20" s="1884"/>
      <c r="F20" s="1724"/>
      <c r="G20" s="1801"/>
      <c r="H20" s="1801"/>
      <c r="I20" s="1801"/>
      <c r="J20" s="1801"/>
      <c r="K20" s="1802"/>
      <c r="L20" s="1801"/>
      <c r="M20" s="1927"/>
      <c r="N20" s="1721"/>
      <c r="O20" s="1720"/>
    </row>
    <row r="21" spans="1:15" s="455" customFormat="1" ht="14.25" customHeight="1">
      <c r="A21" s="471"/>
      <c r="B21" s="454" t="s">
        <v>2574</v>
      </c>
      <c r="C21" s="2758"/>
      <c r="D21" s="1923"/>
      <c r="E21" s="1884"/>
      <c r="F21" s="1724"/>
      <c r="G21" s="1801"/>
      <c r="H21" s="1801"/>
      <c r="I21" s="1801"/>
      <c r="J21" s="1801"/>
      <c r="K21" s="1802"/>
      <c r="L21" s="1801"/>
      <c r="M21" s="1927"/>
      <c r="N21" s="1721"/>
      <c r="O21" s="1720"/>
    </row>
    <row r="22" spans="1:15" s="455" customFormat="1" ht="14.25" customHeight="1">
      <c r="A22" s="471"/>
      <c r="B22" s="454"/>
      <c r="C22" s="1949"/>
      <c r="D22" s="1923"/>
      <c r="E22" s="1884"/>
      <c r="F22" s="1724"/>
      <c r="G22" s="1801"/>
      <c r="H22" s="1801"/>
      <c r="I22" s="1801"/>
      <c r="J22" s="1801"/>
      <c r="K22" s="1802"/>
      <c r="L22" s="1801"/>
      <c r="M22" s="1927"/>
      <c r="N22" s="1721"/>
      <c r="O22" s="1720"/>
    </row>
    <row r="23" spans="1:15" s="455" customFormat="1" ht="14.25" customHeight="1">
      <c r="A23" s="471"/>
      <c r="B23" s="454"/>
      <c r="C23" s="1949"/>
      <c r="D23" s="1923"/>
      <c r="E23" s="1884"/>
      <c r="F23" s="1724"/>
      <c r="G23" s="1801"/>
      <c r="H23" s="1801"/>
      <c r="I23" s="1801"/>
      <c r="J23" s="1801"/>
      <c r="K23" s="1802"/>
      <c r="L23" s="1801"/>
      <c r="M23" s="1927"/>
      <c r="N23" s="1721"/>
      <c r="O23" s="1720"/>
    </row>
    <row r="24" spans="1:15" s="455" customFormat="1" ht="14.25" customHeight="1">
      <c r="A24" s="471"/>
      <c r="B24" s="454"/>
      <c r="C24" s="1949"/>
      <c r="D24" s="1923"/>
      <c r="E24" s="1884"/>
      <c r="F24" s="1724"/>
      <c r="G24" s="1801"/>
      <c r="H24" s="1801"/>
      <c r="I24" s="1801"/>
      <c r="J24" s="1801"/>
      <c r="K24" s="1802"/>
      <c r="L24" s="1801"/>
      <c r="M24" s="1927"/>
      <c r="N24" s="1721"/>
      <c r="O24" s="1720"/>
    </row>
    <row r="25" spans="1:15" s="455" customFormat="1" ht="29.45" customHeight="1">
      <c r="A25" s="471"/>
      <c r="B25" s="454" t="s">
        <v>2929</v>
      </c>
      <c r="C25" s="1999" t="s">
        <v>2958</v>
      </c>
      <c r="D25" s="2000" t="s">
        <v>637</v>
      </c>
      <c r="E25" s="2015"/>
      <c r="F25" s="2001" t="s">
        <v>609</v>
      </c>
      <c r="G25" s="2001" t="s">
        <v>1</v>
      </c>
      <c r="H25" s="2002"/>
      <c r="I25" s="2002"/>
      <c r="J25" s="2002"/>
      <c r="K25" s="2003" t="s">
        <v>748</v>
      </c>
      <c r="L25" s="1673"/>
      <c r="M25" s="2002" t="s">
        <v>2924</v>
      </c>
      <c r="N25" s="2003" t="s">
        <v>703</v>
      </c>
      <c r="O25" s="1720"/>
    </row>
    <row r="26" spans="1:15" s="455" customFormat="1" ht="14.25" customHeight="1">
      <c r="A26" s="471"/>
      <c r="B26" s="454" t="s">
        <v>2929</v>
      </c>
      <c r="C26" s="2004"/>
      <c r="D26" s="2005" t="s">
        <v>2959</v>
      </c>
      <c r="E26" s="2036" t="s">
        <v>2960</v>
      </c>
      <c r="F26" s="2006"/>
      <c r="G26" s="2006"/>
      <c r="H26" s="2008" t="s">
        <v>2213</v>
      </c>
      <c r="I26" s="2009">
        <v>46174</v>
      </c>
      <c r="J26" s="2010" t="s">
        <v>2215</v>
      </c>
      <c r="K26" s="2011"/>
      <c r="L26" s="2012">
        <v>15000</v>
      </c>
      <c r="M26" s="2013"/>
      <c r="N26" s="2011"/>
      <c r="O26" s="1720"/>
    </row>
    <row r="27" spans="1:15" s="455" customFormat="1" ht="14.25" customHeight="1">
      <c r="A27" s="471"/>
      <c r="B27" s="454" t="s">
        <v>2929</v>
      </c>
      <c r="C27" s="2004"/>
      <c r="D27" s="2005" t="s">
        <v>2961</v>
      </c>
      <c r="E27" s="2036" t="s">
        <v>2960</v>
      </c>
      <c r="F27" s="2006"/>
      <c r="G27" s="2006"/>
      <c r="H27" s="2008"/>
      <c r="I27" s="2008"/>
      <c r="J27" s="1588" t="s">
        <v>2927</v>
      </c>
      <c r="K27" s="2011"/>
      <c r="L27" s="2012">
        <v>15000</v>
      </c>
      <c r="M27" s="2013"/>
      <c r="N27" s="2011"/>
      <c r="O27" s="1720"/>
    </row>
    <row r="28" spans="1:15" s="455" customFormat="1" ht="14.25" customHeight="1">
      <c r="A28" s="471"/>
      <c r="B28" s="454"/>
      <c r="C28" s="2004"/>
      <c r="D28" s="2005"/>
      <c r="E28" s="2017"/>
      <c r="F28" s="2006"/>
      <c r="G28" s="2006"/>
      <c r="H28" s="1588"/>
      <c r="I28" s="1588"/>
      <c r="J28" s="1588"/>
      <c r="K28" s="2011"/>
      <c r="L28" s="2014"/>
      <c r="M28" s="2013"/>
      <c r="N28" s="2011"/>
      <c r="O28" s="1720"/>
    </row>
    <row r="29" spans="1:15" s="455" customFormat="1" ht="14.25" customHeight="1">
      <c r="A29" s="471"/>
      <c r="B29" s="454"/>
      <c r="C29" s="1949"/>
      <c r="D29" s="1923"/>
      <c r="E29" s="1884"/>
      <c r="F29" s="1724"/>
      <c r="G29" s="1801"/>
      <c r="H29" s="1801"/>
      <c r="I29" s="1801"/>
      <c r="J29" s="1801"/>
      <c r="K29" s="1802"/>
      <c r="L29" s="1801"/>
      <c r="M29" s="1927"/>
      <c r="N29" s="1721"/>
      <c r="O29" s="1720"/>
    </row>
    <row r="30" spans="1:15" s="455" customFormat="1" ht="14.25" customHeight="1">
      <c r="A30" s="471"/>
      <c r="B30" s="454"/>
      <c r="C30" s="1949"/>
      <c r="D30" s="1923"/>
      <c r="E30" s="1884"/>
      <c r="F30" s="1724"/>
      <c r="G30" s="1801"/>
      <c r="H30" s="1801"/>
      <c r="I30" s="1801"/>
      <c r="J30" s="1801"/>
      <c r="K30" s="1802"/>
      <c r="L30" s="1801"/>
      <c r="M30" s="1927"/>
      <c r="N30" s="1721"/>
      <c r="O30" s="1720"/>
    </row>
    <row r="31" spans="1:15" s="455" customFormat="1" ht="14.25" customHeight="1">
      <c r="A31" s="471"/>
      <c r="B31" s="454"/>
      <c r="C31" s="1949"/>
      <c r="D31" s="1923"/>
      <c r="E31" s="1884"/>
      <c r="F31" s="1724"/>
      <c r="G31" s="1801"/>
      <c r="H31" s="1801"/>
      <c r="I31" s="1801"/>
      <c r="J31" s="1801"/>
      <c r="K31" s="1802"/>
      <c r="L31" s="1801"/>
      <c r="M31" s="1927"/>
      <c r="N31" s="1721"/>
      <c r="O31" s="1720"/>
    </row>
    <row r="32" spans="1:15" s="455" customFormat="1" ht="14.25" customHeight="1">
      <c r="A32" s="471"/>
      <c r="B32" s="454"/>
      <c r="C32" s="1949"/>
      <c r="D32" s="1923"/>
      <c r="E32" s="1884"/>
      <c r="F32" s="1724"/>
      <c r="G32" s="1801"/>
      <c r="H32" s="1801"/>
      <c r="I32" s="1801"/>
      <c r="J32" s="1801"/>
      <c r="K32" s="1802"/>
      <c r="L32" s="1801"/>
      <c r="M32" s="1927"/>
      <c r="N32" s="1721"/>
      <c r="O32" s="1720"/>
    </row>
    <row r="33" spans="1:15" s="455" customFormat="1" ht="14.25" customHeight="1">
      <c r="A33" s="471"/>
      <c r="B33" s="454"/>
      <c r="C33" s="1949"/>
      <c r="D33" s="1923"/>
      <c r="E33" s="1884"/>
      <c r="F33" s="1724"/>
      <c r="G33" s="1801"/>
      <c r="H33" s="1801"/>
      <c r="I33" s="1801"/>
      <c r="J33" s="1801"/>
      <c r="K33" s="1802"/>
      <c r="L33" s="1801"/>
      <c r="M33" s="1927"/>
      <c r="N33" s="1721"/>
      <c r="O33" s="1720"/>
    </row>
    <row r="34" spans="1:15" s="455" customFormat="1" ht="14.25" customHeight="1">
      <c r="A34" s="471"/>
      <c r="B34" s="454"/>
      <c r="C34" s="1949"/>
      <c r="D34" s="1923"/>
      <c r="E34" s="1884"/>
      <c r="F34" s="1724"/>
      <c r="G34" s="1801"/>
      <c r="H34" s="1801"/>
      <c r="I34" s="1801"/>
      <c r="J34" s="1801"/>
      <c r="K34" s="1802"/>
      <c r="L34" s="1801"/>
      <c r="M34" s="1927"/>
      <c r="N34" s="1721"/>
      <c r="O34" s="1720"/>
    </row>
    <row r="35" spans="1:15" s="455" customFormat="1" ht="14.25" customHeight="1">
      <c r="A35" s="471"/>
      <c r="B35" s="454"/>
      <c r="C35" s="1949"/>
      <c r="D35" s="1923"/>
      <c r="E35" s="1884"/>
      <c r="F35" s="1724"/>
      <c r="G35" s="1801"/>
      <c r="H35" s="1801"/>
      <c r="I35" s="1801"/>
      <c r="J35" s="1801"/>
      <c r="K35" s="1802"/>
      <c r="L35" s="1801"/>
      <c r="M35" s="1927"/>
      <c r="N35" s="1721"/>
      <c r="O35" s="1720"/>
    </row>
    <row r="36" spans="1:15" s="455" customFormat="1" ht="14.25" customHeight="1">
      <c r="A36" s="471"/>
      <c r="B36" s="454"/>
      <c r="C36" s="1949"/>
      <c r="D36" s="1923"/>
      <c r="E36" s="1884"/>
      <c r="F36" s="1724"/>
      <c r="G36" s="1801"/>
      <c r="H36" s="1801"/>
      <c r="I36" s="1801"/>
      <c r="J36" s="1801"/>
      <c r="K36" s="1802"/>
      <c r="L36" s="1801"/>
      <c r="M36" s="1927"/>
      <c r="N36" s="1721"/>
      <c r="O36" s="1720"/>
    </row>
    <row r="37" spans="1:15" s="455" customFormat="1" ht="14.25" customHeight="1">
      <c r="A37" s="471"/>
      <c r="B37" s="454"/>
      <c r="C37" s="1949"/>
      <c r="D37" s="1923"/>
      <c r="E37" s="1884"/>
      <c r="F37" s="1724"/>
      <c r="G37" s="1801"/>
      <c r="H37" s="1801"/>
      <c r="I37" s="1801"/>
      <c r="J37" s="1801"/>
      <c r="K37" s="1802"/>
      <c r="L37" s="1801"/>
      <c r="M37" s="1927"/>
      <c r="N37" s="1721"/>
      <c r="O37" s="1720"/>
    </row>
    <row r="38" spans="1:15" s="455" customFormat="1" ht="14.25" customHeight="1">
      <c r="A38" s="471"/>
      <c r="B38" s="454"/>
      <c r="C38" s="1856"/>
      <c r="D38" s="1726"/>
      <c r="E38" s="1884"/>
      <c r="F38" s="1724"/>
      <c r="G38" s="1801"/>
      <c r="H38" s="1801"/>
      <c r="I38" s="1801"/>
      <c r="J38" s="1801"/>
      <c r="K38" s="1802"/>
      <c r="L38" s="1801"/>
      <c r="M38" s="1927"/>
      <c r="N38" s="1721"/>
      <c r="O38" s="1720"/>
    </row>
    <row r="39" spans="1:15" s="455" customFormat="1" ht="14.25" customHeight="1">
      <c r="A39" s="471"/>
      <c r="B39" s="454"/>
      <c r="C39" s="392"/>
      <c r="D39" s="309"/>
      <c r="E39" s="309"/>
      <c r="F39" s="309"/>
      <c r="G39" s="497"/>
      <c r="H39" s="985"/>
      <c r="I39" s="985"/>
      <c r="J39" s="985"/>
      <c r="K39" s="499"/>
      <c r="L39" s="1025"/>
      <c r="M39" s="499"/>
      <c r="N39" s="1466"/>
    </row>
    <row r="40" spans="1:15" s="455" customFormat="1" ht="14.25" customHeight="1">
      <c r="A40" s="471"/>
      <c r="B40" s="454"/>
      <c r="C40" s="392"/>
      <c r="D40" s="309"/>
      <c r="E40" s="309"/>
      <c r="F40" s="309"/>
      <c r="G40" s="497"/>
      <c r="H40" s="985"/>
      <c r="I40" s="985"/>
      <c r="J40" s="985"/>
      <c r="K40" s="499"/>
      <c r="L40" s="1025"/>
      <c r="M40" s="499"/>
      <c r="N40" s="1466"/>
    </row>
    <row r="41" spans="1:15" s="455" customFormat="1" ht="14.25" customHeight="1">
      <c r="A41" s="471"/>
      <c r="B41" s="454"/>
      <c r="C41" s="392"/>
      <c r="D41" s="309"/>
      <c r="E41" s="309"/>
      <c r="F41" s="309"/>
      <c r="G41" s="497"/>
      <c r="H41" s="985"/>
      <c r="I41" s="985"/>
      <c r="J41" s="985"/>
      <c r="K41" s="499"/>
      <c r="L41" s="1025"/>
      <c r="M41" s="499"/>
      <c r="N41" s="1466"/>
    </row>
    <row r="42" spans="1:15" s="455" customFormat="1" ht="14.25" customHeight="1">
      <c r="A42" s="471"/>
      <c r="B42" s="454"/>
      <c r="C42" s="392"/>
      <c r="D42" s="309"/>
      <c r="E42" s="309"/>
      <c r="F42" s="309"/>
      <c r="G42" s="497"/>
      <c r="H42" s="985"/>
      <c r="I42" s="985"/>
      <c r="J42" s="985"/>
      <c r="K42" s="499"/>
      <c r="L42" s="1025"/>
      <c r="M42" s="499"/>
      <c r="N42" s="1466"/>
    </row>
    <row r="43" spans="1:15" s="455" customFormat="1" ht="13.5">
      <c r="A43" s="471"/>
      <c r="B43" s="454"/>
      <c r="C43" s="392"/>
      <c r="D43" s="309"/>
      <c r="E43" s="309"/>
      <c r="F43" s="309"/>
      <c r="G43" s="497"/>
      <c r="H43" s="985"/>
      <c r="I43" s="985"/>
      <c r="J43" s="985"/>
      <c r="K43" s="499"/>
      <c r="L43" s="1025"/>
      <c r="M43" s="499"/>
      <c r="N43" s="1466"/>
    </row>
    <row r="44" spans="1:15" s="455" customFormat="1" ht="13.5">
      <c r="A44" s="471"/>
      <c r="B44" s="454"/>
      <c r="C44" s="392"/>
      <c r="D44" s="309"/>
      <c r="E44" s="309"/>
      <c r="F44" s="309"/>
      <c r="G44" s="497"/>
      <c r="H44" s="985"/>
      <c r="I44" s="985"/>
      <c r="J44" s="985"/>
      <c r="K44" s="499"/>
      <c r="L44" s="1025"/>
      <c r="M44" s="499"/>
      <c r="N44" s="1466"/>
    </row>
    <row r="45" spans="1:15" s="455" customFormat="1" ht="13.5">
      <c r="A45" s="471"/>
      <c r="B45" s="454"/>
      <c r="C45" s="392"/>
      <c r="D45" s="309"/>
      <c r="E45" s="309"/>
      <c r="F45" s="309"/>
      <c r="G45" s="497"/>
      <c r="H45" s="985"/>
      <c r="I45" s="985"/>
      <c r="J45" s="985"/>
      <c r="K45" s="499"/>
      <c r="L45" s="1025"/>
      <c r="M45" s="499"/>
      <c r="N45" s="1466"/>
    </row>
    <row r="46" spans="1:15" s="455" customFormat="1" ht="13.5">
      <c r="A46" s="471"/>
      <c r="B46" s="454"/>
      <c r="C46" s="392"/>
      <c r="D46" s="309"/>
      <c r="E46" s="309"/>
      <c r="F46" s="309"/>
      <c r="G46" s="497"/>
      <c r="H46" s="985"/>
      <c r="I46" s="985"/>
      <c r="J46" s="985"/>
      <c r="K46" s="499"/>
      <c r="L46" s="1025"/>
      <c r="M46" s="499"/>
      <c r="N46" s="1466"/>
    </row>
    <row r="47" spans="1:15" s="455" customFormat="1" ht="13.5">
      <c r="A47" s="471"/>
      <c r="B47" s="454"/>
      <c r="C47" s="392"/>
      <c r="D47" s="309"/>
      <c r="E47" s="309"/>
      <c r="F47" s="309"/>
      <c r="G47" s="497"/>
      <c r="H47" s="985"/>
      <c r="I47" s="985"/>
      <c r="J47" s="985"/>
      <c r="K47" s="499"/>
      <c r="L47" s="1025"/>
      <c r="M47" s="499"/>
      <c r="N47" s="1466"/>
    </row>
    <row r="48" spans="1:15" s="455" customFormat="1" ht="14.25">
      <c r="A48" s="471"/>
      <c r="B48" s="454"/>
      <c r="C48" s="392"/>
      <c r="D48" s="309"/>
      <c r="E48" s="309"/>
      <c r="F48" s="309"/>
      <c r="G48" s="497"/>
      <c r="H48" s="985"/>
      <c r="I48" s="985"/>
      <c r="J48" s="985"/>
      <c r="K48" s="499"/>
      <c r="L48" s="1995">
        <f>SUM(L5:L46)</f>
        <v>67500</v>
      </c>
      <c r="M48" s="499"/>
      <c r="N48" s="1466"/>
    </row>
    <row r="49" spans="1:14" s="455" customFormat="1" ht="13.5">
      <c r="A49" s="471"/>
      <c r="B49" s="454"/>
      <c r="C49" s="392"/>
      <c r="D49" s="309"/>
      <c r="E49" s="309"/>
      <c r="F49" s="309"/>
      <c r="G49" s="497"/>
      <c r="H49" s="985"/>
      <c r="I49" s="985"/>
      <c r="J49" s="985"/>
      <c r="K49" s="499"/>
      <c r="L49" s="1025"/>
      <c r="M49" s="499"/>
      <c r="N49" s="1466"/>
    </row>
    <row r="50" spans="1:14" s="455" customFormat="1" ht="13.5">
      <c r="A50" s="471"/>
      <c r="B50" s="454"/>
      <c r="C50" s="392"/>
      <c r="D50" s="309"/>
      <c r="E50" s="309"/>
      <c r="F50" s="309"/>
      <c r="G50" s="497"/>
      <c r="H50" s="985"/>
      <c r="I50" s="985"/>
      <c r="J50" s="985"/>
      <c r="K50" s="499"/>
      <c r="L50" s="1025"/>
      <c r="M50" s="499"/>
      <c r="N50" s="1466"/>
    </row>
    <row r="51" spans="1:14" s="455" customFormat="1" ht="13.5">
      <c r="A51" s="471"/>
      <c r="B51" s="454"/>
      <c r="C51" s="392"/>
      <c r="D51" s="309"/>
      <c r="E51" s="309"/>
      <c r="F51" s="309"/>
      <c r="G51" s="497"/>
      <c r="H51" s="985"/>
      <c r="I51" s="985"/>
      <c r="J51" s="985"/>
      <c r="K51" s="499"/>
      <c r="L51" s="1025"/>
      <c r="M51" s="499"/>
      <c r="N51" s="1466"/>
    </row>
    <row r="52" spans="1:14" s="455" customFormat="1" ht="13.5">
      <c r="A52" s="471"/>
      <c r="B52" s="454"/>
      <c r="C52" s="392"/>
      <c r="D52" s="309"/>
      <c r="E52" s="309"/>
      <c r="F52" s="309"/>
      <c r="G52" s="497"/>
      <c r="H52" s="985"/>
      <c r="I52" s="985"/>
      <c r="J52" s="985"/>
      <c r="K52" s="499"/>
      <c r="L52" s="1025"/>
      <c r="M52" s="499"/>
      <c r="N52" s="1466"/>
    </row>
    <row r="53" spans="1:14" s="455" customFormat="1" ht="13.5">
      <c r="A53" s="471"/>
      <c r="B53" s="454"/>
      <c r="C53" s="392"/>
      <c r="D53" s="309"/>
      <c r="E53" s="309"/>
      <c r="F53" s="309"/>
      <c r="G53" s="497"/>
      <c r="H53" s="985"/>
      <c r="I53" s="985"/>
      <c r="J53" s="985"/>
      <c r="K53" s="499"/>
      <c r="L53" s="1025"/>
      <c r="M53" s="499"/>
      <c r="N53" s="1466"/>
    </row>
    <row r="54" spans="1:14" s="455" customFormat="1" ht="13.5">
      <c r="A54" s="471"/>
      <c r="B54" s="454"/>
      <c r="C54" s="392"/>
      <c r="D54" s="309"/>
      <c r="E54" s="309"/>
      <c r="F54" s="309"/>
      <c r="G54" s="497"/>
      <c r="H54" s="985"/>
      <c r="I54" s="985"/>
      <c r="J54" s="985"/>
      <c r="K54" s="499"/>
      <c r="L54" s="1025"/>
      <c r="M54" s="499"/>
      <c r="N54" s="1466"/>
    </row>
    <row r="55" spans="1:14" s="455" customFormat="1" ht="13.5">
      <c r="A55" s="471"/>
      <c r="B55" s="454"/>
      <c r="C55" s="392"/>
      <c r="D55" s="309"/>
      <c r="E55" s="309"/>
      <c r="F55" s="309"/>
      <c r="G55" s="497"/>
      <c r="H55" s="985"/>
      <c r="I55" s="985"/>
      <c r="J55" s="985"/>
      <c r="K55" s="499"/>
      <c r="L55" s="1025"/>
      <c r="M55" s="499"/>
      <c r="N55" s="1466"/>
    </row>
    <row r="56" spans="1:14" s="455" customFormat="1" ht="13.5">
      <c r="A56" s="471"/>
      <c r="B56" s="454"/>
      <c r="C56" s="392"/>
      <c r="D56" s="309"/>
      <c r="E56" s="309"/>
      <c r="F56" s="309"/>
      <c r="G56" s="497"/>
      <c r="H56" s="985"/>
      <c r="I56" s="985"/>
      <c r="J56" s="985"/>
      <c r="K56" s="499"/>
      <c r="L56" s="1025"/>
      <c r="M56" s="499"/>
      <c r="N56" s="1466"/>
    </row>
    <row r="57" spans="1:14" s="455" customFormat="1" ht="13.5">
      <c r="A57" s="471"/>
      <c r="B57" s="454"/>
      <c r="C57" s="392"/>
      <c r="D57" s="309"/>
      <c r="E57" s="309"/>
      <c r="F57" s="309"/>
      <c r="G57" s="497"/>
      <c r="H57" s="985"/>
      <c r="I57" s="985"/>
      <c r="J57" s="985"/>
      <c r="K57" s="499"/>
      <c r="L57" s="1025"/>
      <c r="M57" s="499"/>
      <c r="N57" s="1467"/>
    </row>
    <row r="58" spans="1:14" s="455" customFormat="1" ht="13.5">
      <c r="A58" s="471"/>
      <c r="B58" s="454"/>
      <c r="C58" s="392"/>
      <c r="D58" s="309"/>
      <c r="E58" s="309"/>
      <c r="F58" s="309"/>
      <c r="G58" s="497"/>
      <c r="H58" s="985"/>
      <c r="I58" s="985"/>
      <c r="J58" s="985"/>
      <c r="K58" s="499"/>
      <c r="L58" s="1025"/>
      <c r="M58" s="499"/>
      <c r="N58" s="1468"/>
    </row>
    <row r="59" spans="1:14" s="455" customFormat="1" ht="13.5">
      <c r="A59" s="471"/>
      <c r="B59" s="454"/>
      <c r="C59" s="392"/>
      <c r="D59" s="309"/>
      <c r="E59" s="309"/>
      <c r="F59" s="309"/>
      <c r="G59" s="497"/>
      <c r="H59" s="985"/>
      <c r="I59" s="985"/>
      <c r="J59" s="985"/>
      <c r="K59" s="499"/>
      <c r="L59" s="1025"/>
      <c r="M59" s="499"/>
      <c r="N59" s="1468"/>
    </row>
    <row r="60" spans="1:14" s="455" customFormat="1" ht="13.5">
      <c r="A60" s="471"/>
      <c r="B60" s="454"/>
      <c r="C60" s="1524"/>
      <c r="D60" s="309"/>
      <c r="E60" s="309"/>
      <c r="F60" s="309"/>
      <c r="G60" s="497"/>
      <c r="H60" s="985"/>
      <c r="I60" s="985"/>
      <c r="J60" s="985"/>
      <c r="K60" s="499"/>
      <c r="L60" s="1025"/>
      <c r="M60" s="499"/>
      <c r="N60" s="1468"/>
    </row>
    <row r="61" spans="1:14" s="455" customFormat="1" ht="13.5">
      <c r="A61" s="471"/>
      <c r="B61" s="454"/>
      <c r="C61" s="1525"/>
      <c r="D61" s="309"/>
      <c r="E61" s="309"/>
      <c r="F61" s="309"/>
      <c r="G61" s="497"/>
      <c r="H61" s="985"/>
      <c r="I61" s="985"/>
      <c r="J61" s="985"/>
      <c r="K61" s="499"/>
      <c r="L61" s="1025"/>
      <c r="M61" s="499"/>
      <c r="N61" s="1468"/>
    </row>
    <row r="62" spans="1:14" s="455" customFormat="1" ht="13.5">
      <c r="A62" s="471"/>
      <c r="B62" s="454"/>
      <c r="C62" s="392"/>
      <c r="D62" s="309"/>
      <c r="E62" s="309"/>
      <c r="F62" s="309"/>
      <c r="G62" s="497"/>
      <c r="H62" s="1056"/>
      <c r="I62" s="985"/>
      <c r="J62" s="985"/>
      <c r="K62" s="499"/>
      <c r="L62" s="1025"/>
      <c r="M62" s="499"/>
      <c r="N62" s="1465"/>
    </row>
    <row r="63" spans="1:14" s="455" customFormat="1" ht="13.5">
      <c r="A63" s="471"/>
      <c r="B63" s="454"/>
      <c r="C63" s="392"/>
      <c r="D63" s="309"/>
      <c r="E63" s="309"/>
      <c r="F63" s="309"/>
      <c r="G63" s="497"/>
      <c r="H63" s="985"/>
      <c r="I63" s="985"/>
      <c r="J63" s="985"/>
      <c r="K63" s="499"/>
      <c r="L63" s="1025"/>
      <c r="M63" s="499"/>
    </row>
    <row r="64" spans="1:14" s="455" customFormat="1" ht="13.5">
      <c r="A64" s="471"/>
      <c r="B64" s="454"/>
      <c r="C64" s="987"/>
      <c r="D64" s="314"/>
      <c r="E64" s="662"/>
      <c r="F64" s="309"/>
      <c r="G64" s="497"/>
      <c r="H64" s="985"/>
      <c r="I64" s="985"/>
      <c r="J64" s="985"/>
      <c r="K64" s="499"/>
      <c r="L64" s="1025"/>
      <c r="M64" s="499"/>
      <c r="N64" s="454"/>
    </row>
    <row r="65" spans="1:15" s="455" customFormat="1" ht="13.5">
      <c r="A65" s="471"/>
      <c r="B65" s="454"/>
      <c r="C65" s="987"/>
      <c r="D65" s="314"/>
      <c r="E65" s="662"/>
      <c r="F65" s="309"/>
      <c r="G65" s="497"/>
      <c r="H65" s="985"/>
      <c r="I65" s="985"/>
      <c r="J65" s="985"/>
      <c r="K65" s="499"/>
      <c r="L65" s="1600">
        <f>SUM(L5:L62)</f>
        <v>135000</v>
      </c>
      <c r="M65" s="499"/>
      <c r="N65" s="458"/>
    </row>
    <row r="66" spans="1:15" s="455" customFormat="1" ht="13.5">
      <c r="A66" s="471"/>
      <c r="B66" s="454"/>
      <c r="C66" s="987"/>
      <c r="D66" s="314"/>
      <c r="E66" s="662"/>
      <c r="F66" s="309"/>
      <c r="G66" s="497"/>
      <c r="H66" s="985"/>
      <c r="I66" s="985"/>
      <c r="J66" s="985"/>
      <c r="K66" s="499"/>
      <c r="L66" s="1065"/>
      <c r="M66" s="499"/>
      <c r="N66" s="458"/>
    </row>
    <row r="67" spans="1:15" s="455" customFormat="1" ht="13.5">
      <c r="A67" s="471"/>
      <c r="B67" s="454"/>
      <c r="C67" s="987"/>
      <c r="D67" s="309"/>
      <c r="E67" s="662"/>
      <c r="F67" s="309"/>
      <c r="G67" s="497"/>
      <c r="H67" s="985"/>
      <c r="I67" s="985"/>
      <c r="J67" s="985"/>
      <c r="K67" s="499"/>
      <c r="L67" s="1065"/>
      <c r="M67" s="499"/>
      <c r="N67" s="458"/>
    </row>
    <row r="68" spans="1:15" s="455" customFormat="1" ht="13.5">
      <c r="A68" s="471"/>
      <c r="B68" s="454"/>
      <c r="C68" s="314"/>
      <c r="D68" s="314"/>
      <c r="E68" s="309"/>
      <c r="F68" s="309"/>
      <c r="G68" s="497"/>
      <c r="H68" s="985"/>
      <c r="I68" s="985"/>
      <c r="J68" s="985"/>
      <c r="K68" s="309"/>
      <c r="L68" s="1015"/>
      <c r="M68" s="499"/>
      <c r="N68" s="458"/>
    </row>
    <row r="69" spans="1:15" s="455" customFormat="1" ht="13.5">
      <c r="A69" s="471"/>
      <c r="B69" s="454"/>
      <c r="C69" s="314"/>
      <c r="D69" s="314"/>
      <c r="E69" s="309"/>
      <c r="F69" s="309"/>
      <c r="G69" s="497"/>
      <c r="H69" s="985"/>
      <c r="I69" s="985"/>
      <c r="J69" s="985"/>
      <c r="K69" s="309"/>
      <c r="L69" s="1015"/>
      <c r="M69" s="499"/>
      <c r="N69" s="460"/>
    </row>
    <row r="70" spans="1:15" s="455" customFormat="1" ht="13.5">
      <c r="A70" s="471"/>
      <c r="B70" s="454"/>
      <c r="C70" s="314"/>
      <c r="D70" s="314"/>
      <c r="E70" s="560"/>
      <c r="F70" s="309"/>
      <c r="G70" s="497"/>
      <c r="H70" s="985"/>
      <c r="I70" s="985"/>
      <c r="J70" s="985"/>
      <c r="K70" s="309"/>
      <c r="L70" s="1015"/>
      <c r="M70" s="499"/>
      <c r="N70" s="454"/>
    </row>
    <row r="71" spans="1:15" s="455" customFormat="1" ht="13.5">
      <c r="A71" s="471"/>
      <c r="B71" s="454"/>
      <c r="C71" s="987"/>
      <c r="D71" s="314"/>
      <c r="E71" s="662"/>
      <c r="F71" s="309"/>
      <c r="G71" s="497"/>
      <c r="H71" s="985"/>
      <c r="I71" s="985"/>
      <c r="J71" s="985"/>
      <c r="K71" s="499"/>
      <c r="L71" s="1065"/>
      <c r="M71" s="499"/>
      <c r="N71" s="458"/>
    </row>
    <row r="72" spans="1:15" s="455" customFormat="1" ht="13.5">
      <c r="A72" s="471"/>
      <c r="B72" s="454"/>
      <c r="C72" s="392"/>
      <c r="D72" s="309"/>
      <c r="E72" s="309"/>
      <c r="F72" s="662"/>
      <c r="G72" s="309"/>
      <c r="H72" s="497"/>
      <c r="I72" s="985"/>
      <c r="J72" s="985"/>
      <c r="K72" s="1066"/>
      <c r="L72" s="1067"/>
      <c r="M72" s="1025"/>
      <c r="N72" s="1068"/>
      <c r="O72" s="458"/>
    </row>
    <row r="73" spans="1:15" s="455" customFormat="1" ht="13.5">
      <c r="A73" s="471"/>
      <c r="B73" s="454"/>
      <c r="C73" s="471"/>
      <c r="D73" s="456"/>
      <c r="E73" s="459"/>
      <c r="F73" s="466"/>
      <c r="G73" s="471"/>
      <c r="H73" s="477"/>
      <c r="I73" s="526"/>
      <c r="J73" s="526"/>
      <c r="K73" s="526"/>
      <c r="L73" s="473"/>
      <c r="M73" s="529"/>
      <c r="N73" s="471"/>
      <c r="O73" s="458"/>
    </row>
    <row r="74" spans="1:15" s="455" customFormat="1" ht="13.5">
      <c r="A74" s="471"/>
      <c r="B74" s="454"/>
      <c r="C74" s="471"/>
      <c r="D74" s="456"/>
      <c r="E74" s="459"/>
      <c r="F74" s="466"/>
      <c r="G74" s="471"/>
      <c r="H74" s="477"/>
      <c r="I74" s="526"/>
      <c r="J74" s="526"/>
      <c r="K74" s="526"/>
      <c r="L74" s="473"/>
      <c r="M74" s="529"/>
      <c r="N74" s="471"/>
      <c r="O74" s="458"/>
    </row>
    <row r="75" spans="1:15" s="455" customFormat="1" ht="13.5">
      <c r="A75" s="471"/>
      <c r="B75" s="454"/>
      <c r="C75" s="314"/>
      <c r="D75" s="309"/>
      <c r="E75" s="309"/>
      <c r="F75" s="309"/>
      <c r="G75" s="309"/>
      <c r="H75" s="309"/>
      <c r="I75" s="309"/>
      <c r="J75" s="309"/>
      <c r="K75" s="309"/>
      <c r="L75" s="309"/>
      <c r="M75" s="309"/>
      <c r="N75" s="309"/>
    </row>
    <row r="76" spans="1:15" s="455" customFormat="1" ht="13.5">
      <c r="A76" s="471"/>
      <c r="B76" s="454"/>
      <c r="C76" s="314"/>
      <c r="D76" s="314"/>
      <c r="E76" s="309"/>
      <c r="F76" s="309"/>
      <c r="G76" s="497"/>
      <c r="H76" s="1056"/>
      <c r="I76" s="309"/>
      <c r="J76" s="309"/>
      <c r="K76" s="499"/>
      <c r="L76" s="1069"/>
      <c r="M76" s="309"/>
      <c r="N76" s="454"/>
    </row>
    <row r="77" spans="1:15" s="455" customFormat="1" ht="13.5">
      <c r="A77" s="471"/>
      <c r="B77" s="454"/>
      <c r="C77" s="314"/>
      <c r="D77" s="314"/>
      <c r="E77" s="309"/>
      <c r="F77" s="309"/>
      <c r="G77" s="497"/>
      <c r="H77" s="1056"/>
      <c r="I77" s="309"/>
      <c r="J77" s="309"/>
      <c r="K77" s="499"/>
      <c r="L77" s="1069"/>
      <c r="M77" s="499"/>
      <c r="N77" s="458"/>
    </row>
    <row r="78" spans="1:15" s="455" customFormat="1" ht="13.5">
      <c r="A78" s="471"/>
      <c r="B78" s="454"/>
      <c r="C78" s="314"/>
      <c r="D78" s="314"/>
      <c r="E78" s="309"/>
      <c r="F78" s="309"/>
      <c r="G78" s="497"/>
      <c r="H78" s="1056"/>
      <c r="I78" s="309"/>
      <c r="J78" s="309"/>
      <c r="K78" s="499"/>
      <c r="L78" s="1069"/>
      <c r="M78" s="499"/>
      <c r="N78" s="458"/>
    </row>
    <row r="79" spans="1:15" s="455" customFormat="1" ht="13.5">
      <c r="A79" s="471"/>
      <c r="B79" s="454"/>
      <c r="C79" s="314"/>
      <c r="D79" s="314"/>
      <c r="E79" s="662"/>
      <c r="F79" s="309"/>
      <c r="G79" s="497"/>
      <c r="H79" s="1056"/>
      <c r="I79" s="985"/>
      <c r="J79" s="985"/>
      <c r="K79" s="499"/>
      <c r="L79" s="1016"/>
      <c r="M79" s="499"/>
      <c r="N79" s="458"/>
    </row>
    <row r="80" spans="1:15" s="455" customFormat="1" ht="13.5">
      <c r="A80" s="471"/>
      <c r="B80" s="454"/>
      <c r="C80" s="314"/>
      <c r="D80" s="314"/>
      <c r="E80" s="662"/>
      <c r="F80" s="309"/>
      <c r="G80" s="497"/>
      <c r="H80" s="1056"/>
      <c r="I80" s="985"/>
      <c r="J80" s="985"/>
      <c r="K80" s="499"/>
      <c r="L80" s="1016"/>
      <c r="M80" s="499"/>
      <c r="N80" s="458"/>
    </row>
    <row r="81" spans="1:14" s="455" customFormat="1" ht="13.5">
      <c r="A81" s="471"/>
      <c r="B81" s="454"/>
      <c r="C81" s="314"/>
      <c r="D81" s="314"/>
      <c r="E81" s="662"/>
      <c r="F81" s="309"/>
      <c r="G81" s="497"/>
      <c r="H81" s="1056"/>
      <c r="I81" s="985"/>
      <c r="J81" s="985"/>
      <c r="K81" s="499"/>
      <c r="L81" s="1071"/>
      <c r="M81" s="499"/>
    </row>
    <row r="82" spans="1:14" s="455" customFormat="1" ht="13.5">
      <c r="A82" s="471"/>
      <c r="B82" s="454"/>
      <c r="C82" s="314"/>
      <c r="D82" s="314"/>
      <c r="E82" s="662"/>
      <c r="F82" s="309"/>
      <c r="G82" s="497"/>
      <c r="H82" s="1056"/>
      <c r="I82" s="985"/>
      <c r="J82" s="985"/>
      <c r="K82" s="499"/>
      <c r="L82" s="1071"/>
      <c r="M82" s="499"/>
    </row>
    <row r="83" spans="1:14" s="455" customFormat="1" ht="13.5">
      <c r="A83" s="471"/>
      <c r="B83" s="454"/>
      <c r="C83" s="314"/>
      <c r="D83" s="314"/>
      <c r="E83" s="662"/>
      <c r="F83" s="309"/>
      <c r="G83" s="497"/>
      <c r="H83" s="1056"/>
      <c r="I83" s="985"/>
      <c r="J83" s="985"/>
      <c r="K83" s="499"/>
      <c r="L83" s="1016"/>
      <c r="M83" s="499"/>
    </row>
    <row r="84" spans="1:14" s="455" customFormat="1" ht="13.5">
      <c r="A84" s="471"/>
      <c r="B84" s="454"/>
      <c r="C84" s="314"/>
      <c r="D84" s="314"/>
      <c r="E84" s="662"/>
      <c r="F84" s="309"/>
      <c r="G84" s="497"/>
      <c r="H84" s="1056"/>
      <c r="I84" s="985"/>
      <c r="J84" s="985"/>
      <c r="K84" s="499"/>
      <c r="L84" s="1016"/>
      <c r="M84" s="499"/>
    </row>
    <row r="85" spans="1:14" s="455" customFormat="1" ht="13.5">
      <c r="A85" s="471"/>
      <c r="B85" s="454"/>
      <c r="C85" s="314"/>
      <c r="D85" s="314"/>
      <c r="E85" s="662"/>
      <c r="F85" s="309"/>
      <c r="G85" s="497"/>
      <c r="H85" s="1056"/>
      <c r="I85" s="985"/>
      <c r="J85" s="985"/>
      <c r="K85" s="499"/>
      <c r="L85" s="1016"/>
      <c r="M85" s="499"/>
      <c r="N85" s="458"/>
    </row>
    <row r="86" spans="1:14" s="455" customFormat="1" ht="13.5">
      <c r="A86" s="471"/>
      <c r="B86" s="454"/>
      <c r="C86" s="314"/>
      <c r="D86" s="314"/>
      <c r="E86" s="662"/>
      <c r="F86" s="309"/>
      <c r="G86" s="497"/>
      <c r="H86" s="1056"/>
      <c r="I86" s="985"/>
      <c r="J86" s="985"/>
      <c r="K86" s="499"/>
      <c r="L86" s="1016"/>
      <c r="M86" s="499"/>
      <c r="N86" s="458"/>
    </row>
    <row r="87" spans="1:14" s="455" customFormat="1" ht="13.5">
      <c r="A87" s="471"/>
      <c r="B87" s="454"/>
      <c r="C87" s="314"/>
      <c r="D87" s="314"/>
      <c r="E87" s="662"/>
      <c r="F87" s="309"/>
      <c r="G87" s="497"/>
      <c r="H87" s="1056"/>
      <c r="I87" s="985"/>
      <c r="J87" s="985"/>
      <c r="K87" s="499"/>
      <c r="L87" s="1016"/>
      <c r="M87" s="499"/>
      <c r="N87" s="458"/>
    </row>
    <row r="88" spans="1:14" s="455" customFormat="1" ht="13.5">
      <c r="A88" s="471"/>
      <c r="B88" s="454"/>
      <c r="C88" s="2591"/>
      <c r="D88" s="314"/>
      <c r="E88" s="662"/>
      <c r="F88" s="309"/>
      <c r="G88" s="497"/>
      <c r="H88" s="1056"/>
      <c r="I88" s="985"/>
      <c r="J88" s="985"/>
      <c r="K88" s="499"/>
      <c r="L88" s="1016"/>
      <c r="M88" s="499"/>
    </row>
    <row r="89" spans="1:14" s="455" customFormat="1" ht="13.5">
      <c r="A89" s="471"/>
      <c r="B89" s="454"/>
      <c r="C89" s="2593"/>
      <c r="D89" s="314"/>
      <c r="E89" s="662"/>
      <c r="F89" s="309"/>
      <c r="G89" s="497"/>
      <c r="H89" s="1056"/>
      <c r="I89" s="985"/>
      <c r="J89" s="985"/>
      <c r="K89" s="499"/>
      <c r="L89" s="1016"/>
      <c r="M89" s="499"/>
      <c r="N89" s="454"/>
    </row>
    <row r="90" spans="1:14" s="455" customFormat="1" ht="13.5">
      <c r="A90" s="471"/>
      <c r="B90" s="454"/>
      <c r="C90" s="2591"/>
      <c r="D90" s="314"/>
      <c r="E90" s="662"/>
      <c r="F90" s="309"/>
      <c r="G90" s="497"/>
      <c r="H90" s="1056"/>
      <c r="I90" s="985"/>
      <c r="J90" s="985"/>
      <c r="K90" s="499"/>
      <c r="L90" s="1016"/>
      <c r="M90" s="499"/>
      <c r="N90" s="458"/>
    </row>
    <row r="91" spans="1:14" s="455" customFormat="1" ht="13.5">
      <c r="A91" s="471"/>
      <c r="B91" s="454"/>
      <c r="C91" s="2592"/>
      <c r="D91" s="314"/>
      <c r="E91" s="662"/>
      <c r="F91" s="309"/>
      <c r="G91" s="497"/>
      <c r="H91" s="1056"/>
      <c r="I91" s="985"/>
      <c r="J91" s="985"/>
      <c r="K91" s="499"/>
      <c r="L91" s="1016"/>
      <c r="M91" s="499"/>
      <c r="N91" s="458"/>
    </row>
    <row r="92" spans="1:14" s="455" customFormat="1" ht="13.5">
      <c r="A92" s="471"/>
      <c r="B92" s="454"/>
      <c r="C92" s="2593"/>
      <c r="D92" s="314"/>
      <c r="E92" s="662"/>
      <c r="F92" s="309"/>
      <c r="G92" s="497"/>
      <c r="H92" s="1056"/>
      <c r="I92" s="985"/>
      <c r="J92" s="985"/>
      <c r="K92" s="499"/>
      <c r="L92" s="1016"/>
      <c r="M92" s="499"/>
      <c r="N92" s="458"/>
    </row>
    <row r="93" spans="1:14" s="455" customFormat="1" ht="13.5">
      <c r="A93" s="471"/>
      <c r="B93" s="454"/>
      <c r="C93" s="314"/>
      <c r="D93" s="314"/>
      <c r="E93" s="662"/>
      <c r="F93" s="309"/>
      <c r="G93" s="497"/>
      <c r="H93" s="985"/>
      <c r="I93" s="985"/>
      <c r="J93" s="985"/>
      <c r="K93" s="499"/>
      <c r="L93" s="1016"/>
      <c r="M93" s="499"/>
      <c r="N93" s="458"/>
    </row>
    <row r="94" spans="1:14" s="455" customFormat="1" ht="13.5">
      <c r="A94" s="471"/>
      <c r="B94" s="454"/>
      <c r="C94" s="314"/>
      <c r="D94" s="314"/>
      <c r="E94" s="662"/>
      <c r="F94" s="309"/>
      <c r="G94" s="497"/>
      <c r="H94" s="985"/>
      <c r="I94" s="985"/>
      <c r="J94" s="985"/>
      <c r="K94" s="499"/>
      <c r="L94" s="1016"/>
      <c r="M94" s="499"/>
      <c r="N94" s="460"/>
    </row>
    <row r="95" spans="1:14" s="455" customFormat="1" ht="13.5">
      <c r="C95" s="314"/>
      <c r="D95" s="314"/>
      <c r="E95" s="662"/>
      <c r="F95" s="662"/>
      <c r="G95" s="309"/>
      <c r="H95" s="497"/>
      <c r="I95" s="1056"/>
      <c r="J95" s="985"/>
      <c r="K95" s="985"/>
      <c r="L95" s="499"/>
      <c r="M95" s="1025"/>
      <c r="N95" s="499"/>
    </row>
    <row r="96" spans="1:14" s="455" customFormat="1" ht="13.5">
      <c r="C96" s="902"/>
      <c r="D96" s="309"/>
      <c r="E96" s="662"/>
      <c r="F96" s="662"/>
      <c r="G96" s="309"/>
      <c r="H96" s="497"/>
      <c r="I96" s="653"/>
      <c r="J96" s="985"/>
      <c r="K96" s="1469"/>
      <c r="L96" s="499"/>
      <c r="M96" s="1025"/>
      <c r="N96" s="499"/>
    </row>
    <row r="97" spans="1:15" s="455" customFormat="1" ht="13.5">
      <c r="A97" s="566"/>
      <c r="B97" s="467"/>
      <c r="C97" s="499"/>
      <c r="D97" s="309"/>
      <c r="E97" s="391"/>
      <c r="F97" s="499"/>
      <c r="G97" s="497"/>
      <c r="H97" s="498"/>
      <c r="I97" s="498"/>
      <c r="J97" s="498"/>
      <c r="K97" s="499"/>
      <c r="L97" s="1470"/>
      <c r="M97" s="309"/>
      <c r="N97" s="499"/>
    </row>
    <row r="98" spans="1:15" s="455" customFormat="1" ht="13.5">
      <c r="A98" s="566"/>
      <c r="B98" s="467"/>
      <c r="C98" s="497"/>
      <c r="D98" s="691"/>
      <c r="E98" s="675"/>
      <c r="F98" s="675"/>
      <c r="G98" s="654"/>
      <c r="H98" s="502"/>
      <c r="I98" s="652"/>
      <c r="J98" s="497"/>
      <c r="K98" s="653"/>
      <c r="L98" s="502"/>
      <c r="M98" s="538"/>
      <c r="N98" s="392"/>
      <c r="O98" s="502"/>
    </row>
    <row r="99" spans="1:15" s="455" customFormat="1" ht="13.5">
      <c r="A99" s="566"/>
      <c r="B99" s="467"/>
      <c r="C99" s="497"/>
      <c r="D99" s="691"/>
      <c r="E99" s="675"/>
      <c r="F99" s="675"/>
      <c r="G99" s="654"/>
      <c r="H99" s="502"/>
      <c r="I99" s="652"/>
      <c r="J99" s="497"/>
      <c r="K99" s="653"/>
      <c r="L99" s="502"/>
      <c r="M99" s="538"/>
      <c r="N99" s="392"/>
      <c r="O99" s="502"/>
    </row>
    <row r="100" spans="1:15" s="455" customFormat="1" ht="13.5">
      <c r="A100" s="566"/>
      <c r="B100" s="467"/>
      <c r="C100" s="497"/>
      <c r="D100" s="691"/>
      <c r="E100" s="675"/>
      <c r="F100" s="675"/>
      <c r="G100" s="654"/>
      <c r="H100" s="502"/>
      <c r="I100" s="652"/>
      <c r="J100" s="497"/>
      <c r="K100" s="653"/>
      <c r="L100" s="502"/>
      <c r="M100" s="538"/>
      <c r="N100" s="392"/>
      <c r="O100" s="502"/>
    </row>
    <row r="101" spans="1:15" s="455" customFormat="1" ht="13.5">
      <c r="A101" s="566"/>
      <c r="B101" s="467"/>
      <c r="C101" s="497"/>
      <c r="D101" s="691"/>
      <c r="E101" s="675"/>
      <c r="F101" s="675"/>
      <c r="G101" s="654"/>
      <c r="H101" s="502"/>
      <c r="I101" s="652"/>
      <c r="J101" s="497"/>
      <c r="K101" s="653"/>
      <c r="L101" s="502"/>
      <c r="M101" s="538"/>
      <c r="N101" s="392"/>
      <c r="O101" s="502"/>
    </row>
    <row r="102" spans="1:15" s="455" customFormat="1" ht="13.5">
      <c r="C102" s="1384"/>
      <c r="D102" s="314"/>
      <c r="E102" s="662"/>
      <c r="F102" s="662"/>
      <c r="G102" s="309"/>
      <c r="H102" s="497"/>
      <c r="I102" s="653"/>
      <c r="J102" s="985"/>
      <c r="K102" s="1469"/>
      <c r="L102" s="499"/>
      <c r="M102" s="1025"/>
      <c r="N102" s="499"/>
    </row>
    <row r="103" spans="1:15" s="455" customFormat="1" ht="13.5">
      <c r="C103" s="1384"/>
      <c r="D103" s="314"/>
      <c r="E103" s="662"/>
      <c r="F103" s="662"/>
      <c r="G103" s="309"/>
      <c r="H103" s="497"/>
      <c r="I103" s="653"/>
      <c r="J103" s="985"/>
      <c r="K103" s="1469"/>
      <c r="L103" s="499"/>
      <c r="M103" s="1025"/>
      <c r="N103" s="499"/>
    </row>
    <row r="104" spans="1:15" s="455" customFormat="1" ht="13.5">
      <c r="A104" s="566"/>
      <c r="B104" s="467"/>
      <c r="C104" s="499"/>
      <c r="D104" s="309"/>
      <c r="E104" s="391"/>
      <c r="F104" s="499"/>
      <c r="G104" s="497"/>
      <c r="H104" s="498"/>
      <c r="I104" s="498"/>
      <c r="J104" s="498"/>
      <c r="K104" s="499"/>
      <c r="L104" s="1470"/>
      <c r="M104" s="309"/>
      <c r="N104" s="499"/>
    </row>
    <row r="105" spans="1:15" s="455" customFormat="1" ht="13.5">
      <c r="A105" s="566"/>
      <c r="B105" s="467"/>
      <c r="C105" s="497"/>
      <c r="D105" s="691"/>
      <c r="E105" s="675"/>
      <c r="F105" s="675"/>
      <c r="G105" s="654"/>
      <c r="H105" s="502"/>
      <c r="I105" s="652"/>
      <c r="J105" s="497"/>
      <c r="K105" s="653"/>
      <c r="L105" s="502"/>
      <c r="M105" s="538"/>
      <c r="N105" s="392"/>
      <c r="O105" s="502"/>
    </row>
    <row r="106" spans="1:15" s="455" customFormat="1" ht="13.5">
      <c r="A106" s="566"/>
      <c r="B106" s="467"/>
      <c r="C106" s="497"/>
      <c r="D106" s="691"/>
      <c r="E106" s="675"/>
      <c r="F106" s="675"/>
      <c r="G106" s="654"/>
      <c r="H106" s="502"/>
      <c r="I106" s="652"/>
      <c r="J106" s="497"/>
      <c r="K106" s="653"/>
      <c r="L106" s="502"/>
      <c r="M106" s="538"/>
      <c r="N106" s="392"/>
      <c r="O106" s="502"/>
    </row>
    <row r="107" spans="1:15" s="455" customFormat="1" ht="13.5">
      <c r="A107" s="566"/>
      <c r="B107" s="467"/>
      <c r="C107" s="497"/>
      <c r="D107" s="691"/>
      <c r="E107" s="675"/>
      <c r="F107" s="675"/>
      <c r="G107" s="654"/>
      <c r="H107" s="502"/>
      <c r="I107" s="652"/>
      <c r="J107" s="497"/>
      <c r="K107" s="653"/>
      <c r="L107" s="502"/>
      <c r="M107" s="538"/>
      <c r="N107" s="392"/>
      <c r="O107" s="502"/>
    </row>
    <row r="108" spans="1:15" s="455" customFormat="1" ht="13.5">
      <c r="A108" s="566"/>
      <c r="B108" s="467"/>
      <c r="C108" s="497"/>
      <c r="D108" s="691"/>
      <c r="E108" s="675"/>
      <c r="F108" s="675"/>
      <c r="G108" s="654"/>
      <c r="H108" s="502"/>
      <c r="I108" s="652"/>
      <c r="J108" s="497"/>
      <c r="K108" s="653"/>
      <c r="L108" s="502"/>
      <c r="M108" s="538"/>
      <c r="N108" s="392"/>
      <c r="O108" s="502"/>
    </row>
    <row r="109" spans="1:15" s="455" customFormat="1" ht="13.5">
      <c r="C109" s="1385"/>
      <c r="D109" s="314"/>
      <c r="E109" s="991"/>
      <c r="F109" s="662"/>
      <c r="G109" s="309"/>
      <c r="H109" s="497"/>
      <c r="I109" s="774"/>
      <c r="J109" s="774"/>
      <c r="K109" s="774"/>
      <c r="L109" s="499"/>
      <c r="M109" s="1028"/>
      <c r="N109" s="499"/>
    </row>
    <row r="110" spans="1:15" s="455" customFormat="1" ht="13.5">
      <c r="C110" s="314"/>
      <c r="D110" s="314"/>
      <c r="E110" s="991"/>
      <c r="F110" s="662"/>
      <c r="G110" s="309"/>
      <c r="H110" s="497"/>
      <c r="I110" s="774"/>
      <c r="J110" s="774"/>
      <c r="K110" s="1471"/>
      <c r="L110" s="499"/>
      <c r="M110" s="1028"/>
      <c r="N110" s="499"/>
    </row>
    <row r="111" spans="1:15" s="455" customFormat="1" ht="13.5">
      <c r="C111" s="1027"/>
      <c r="D111" s="314"/>
      <c r="E111" s="991"/>
      <c r="F111" s="662"/>
      <c r="G111" s="309"/>
      <c r="H111" s="497"/>
      <c r="I111" s="1056"/>
      <c r="J111" s="985"/>
      <c r="K111" s="985"/>
      <c r="L111" s="499"/>
      <c r="M111" s="1028"/>
      <c r="N111" s="499"/>
    </row>
    <row r="112" spans="1:15" s="455" customFormat="1" ht="13.5">
      <c r="C112" s="499"/>
      <c r="D112" s="309"/>
      <c r="E112" s="391"/>
      <c r="F112" s="499"/>
      <c r="G112" s="497"/>
      <c r="H112" s="498"/>
      <c r="I112" s="498"/>
      <c r="J112" s="498"/>
      <c r="K112" s="499"/>
      <c r="L112" s="1472"/>
      <c r="M112" s="309"/>
      <c r="N112" s="499"/>
    </row>
    <row r="113" spans="3:15" s="455" customFormat="1" ht="13.5">
      <c r="C113" s="497"/>
      <c r="D113" s="691"/>
      <c r="E113" s="675"/>
      <c r="F113" s="675"/>
      <c r="G113" s="654"/>
      <c r="H113" s="502"/>
      <c r="I113" s="652"/>
      <c r="J113" s="497"/>
      <c r="K113" s="653"/>
      <c r="L113" s="502"/>
      <c r="M113" s="538"/>
      <c r="N113" s="392"/>
      <c r="O113" s="502"/>
    </row>
    <row r="114" spans="3:15" s="455" customFormat="1" ht="13.5">
      <c r="C114" s="497"/>
      <c r="D114" s="691"/>
      <c r="E114" s="675"/>
      <c r="F114" s="675"/>
      <c r="G114" s="654"/>
      <c r="H114" s="502"/>
      <c r="I114" s="652"/>
      <c r="J114" s="497"/>
      <c r="K114" s="653"/>
      <c r="L114" s="502"/>
      <c r="M114" s="538"/>
      <c r="N114" s="392"/>
      <c r="O114" s="502"/>
    </row>
    <row r="115" spans="3:15" s="455" customFormat="1" ht="13.5">
      <c r="C115" s="497"/>
      <c r="D115" s="691"/>
      <c r="E115" s="675"/>
      <c r="F115" s="675"/>
      <c r="G115" s="654"/>
      <c r="H115" s="502"/>
      <c r="I115" s="652"/>
      <c r="J115" s="497"/>
      <c r="K115" s="653"/>
      <c r="L115" s="502"/>
      <c r="M115" s="538"/>
      <c r="N115" s="392"/>
      <c r="O115" s="502"/>
    </row>
    <row r="116" spans="3:15" s="455" customFormat="1" ht="13.5">
      <c r="C116" s="497"/>
      <c r="D116" s="691"/>
      <c r="E116" s="675"/>
      <c r="F116" s="675"/>
      <c r="G116" s="654"/>
      <c r="H116" s="502"/>
      <c r="I116" s="652"/>
      <c r="J116" s="497"/>
      <c r="K116" s="653"/>
      <c r="L116" s="502"/>
      <c r="M116" s="538"/>
      <c r="N116" s="392"/>
      <c r="O116" s="502"/>
    </row>
    <row r="117" spans="3:15" s="455" customFormat="1" ht="13.5">
      <c r="C117" s="497"/>
      <c r="D117" s="691"/>
      <c r="E117" s="675"/>
      <c r="F117" s="675"/>
      <c r="G117" s="654"/>
      <c r="H117" s="502"/>
      <c r="I117" s="652"/>
      <c r="J117" s="497"/>
      <c r="K117" s="653"/>
      <c r="L117" s="502"/>
      <c r="M117" s="538"/>
      <c r="N117" s="392"/>
      <c r="O117" s="502"/>
    </row>
    <row r="118" spans="3:15" s="455" customFormat="1" ht="13.5">
      <c r="C118" s="497"/>
      <c r="D118" s="691"/>
      <c r="E118" s="675"/>
      <c r="F118" s="675"/>
      <c r="G118" s="654"/>
      <c r="H118" s="502"/>
      <c r="I118" s="652"/>
      <c r="J118" s="497"/>
      <c r="K118" s="653"/>
      <c r="L118" s="502"/>
      <c r="M118" s="538"/>
      <c r="N118" s="392"/>
      <c r="O118" s="502"/>
    </row>
    <row r="119" spans="3:15" s="455" customFormat="1" ht="13.5">
      <c r="C119" s="497"/>
      <c r="D119" s="691"/>
      <c r="E119" s="675"/>
      <c r="F119" s="1473"/>
      <c r="G119" s="654"/>
      <c r="H119" s="502"/>
      <c r="I119" s="652"/>
      <c r="J119" s="497"/>
      <c r="K119" s="653"/>
      <c r="L119" s="502"/>
      <c r="M119" s="538"/>
      <c r="N119" s="392"/>
      <c r="O119" s="502"/>
    </row>
    <row r="120" spans="3:15" s="355" customFormat="1" ht="13.5">
      <c r="C120" s="400"/>
      <c r="D120" s="400"/>
      <c r="E120" s="401"/>
      <c r="F120" s="402"/>
      <c r="G120" s="402"/>
      <c r="H120" s="403"/>
      <c r="I120" s="403"/>
      <c r="J120" s="403"/>
      <c r="K120" s="402"/>
      <c r="L120" s="404"/>
      <c r="M120" s="402"/>
      <c r="N120" s="405"/>
    </row>
    <row r="121" spans="3:15" s="355" customFormat="1" ht="13.5">
      <c r="C121" s="400"/>
      <c r="D121" s="400"/>
      <c r="E121" s="401"/>
      <c r="F121" s="402"/>
      <c r="G121" s="402"/>
      <c r="H121" s="403"/>
      <c r="I121" s="403"/>
      <c r="J121" s="403"/>
      <c r="K121" s="402"/>
      <c r="L121" s="404"/>
      <c r="M121" s="402"/>
      <c r="N121" s="405"/>
    </row>
    <row r="122" spans="3:15" s="355" customFormat="1" ht="13.5">
      <c r="C122" s="400"/>
      <c r="D122" s="400"/>
      <c r="E122" s="401"/>
      <c r="F122" s="402"/>
      <c r="G122" s="402"/>
      <c r="H122" s="403"/>
      <c r="I122" s="403"/>
      <c r="J122" s="403"/>
      <c r="K122" s="402"/>
      <c r="L122" s="404"/>
      <c r="M122" s="402"/>
      <c r="N122" s="405"/>
    </row>
    <row r="123" spans="3:15" s="355" customFormat="1" ht="13.5">
      <c r="C123" s="400"/>
      <c r="D123" s="400"/>
      <c r="E123" s="401"/>
      <c r="F123" s="402"/>
      <c r="G123" s="402"/>
      <c r="H123" s="403"/>
      <c r="I123" s="403"/>
      <c r="J123" s="403"/>
      <c r="K123" s="402"/>
      <c r="L123" s="404"/>
      <c r="M123" s="402"/>
      <c r="N123" s="405"/>
    </row>
    <row r="124" spans="3:15" s="355" customFormat="1" ht="13.5">
      <c r="C124" s="400"/>
      <c r="D124" s="400"/>
      <c r="E124" s="401"/>
      <c r="F124" s="402"/>
      <c r="G124" s="402"/>
      <c r="H124" s="403"/>
      <c r="I124" s="403"/>
      <c r="J124" s="403"/>
      <c r="K124" s="402"/>
      <c r="L124" s="404"/>
      <c r="M124" s="402"/>
      <c r="N124" s="405"/>
    </row>
    <row r="125" spans="3:15" s="355" customFormat="1" ht="13.5">
      <c r="C125" s="400"/>
      <c r="D125" s="400"/>
      <c r="E125" s="401"/>
      <c r="F125" s="402"/>
      <c r="G125" s="402"/>
      <c r="H125" s="403"/>
      <c r="I125" s="403"/>
      <c r="J125" s="403"/>
      <c r="K125" s="402"/>
      <c r="L125" s="404"/>
      <c r="M125" s="402"/>
      <c r="N125" s="405"/>
    </row>
    <row r="126" spans="3:15" s="355" customFormat="1" ht="13.5">
      <c r="C126" s="400"/>
      <c r="D126" s="400"/>
      <c r="E126" s="401"/>
      <c r="F126" s="402"/>
      <c r="G126" s="402"/>
      <c r="H126" s="403"/>
      <c r="I126" s="403"/>
      <c r="J126" s="403"/>
      <c r="K126" s="402"/>
      <c r="L126" s="404"/>
      <c r="M126" s="402"/>
      <c r="N126" s="405"/>
    </row>
    <row r="127" spans="3:15" s="355" customFormat="1" ht="13.5">
      <c r="C127" s="400"/>
      <c r="D127" s="400"/>
      <c r="E127" s="401"/>
      <c r="F127" s="402"/>
      <c r="G127" s="402"/>
      <c r="H127" s="403"/>
      <c r="I127" s="403"/>
      <c r="J127" s="403"/>
      <c r="K127" s="402"/>
      <c r="L127" s="404"/>
      <c r="M127" s="402"/>
      <c r="N127" s="405"/>
    </row>
    <row r="128" spans="3:15" s="355" customFormat="1" ht="13.5">
      <c r="C128" s="400"/>
      <c r="D128" s="400"/>
      <c r="E128" s="401"/>
      <c r="F128" s="402"/>
      <c r="G128" s="402"/>
      <c r="H128" s="403"/>
      <c r="I128" s="403"/>
      <c r="J128" s="403"/>
      <c r="K128" s="402"/>
      <c r="L128" s="404"/>
      <c r="M128" s="402"/>
      <c r="N128" s="405"/>
    </row>
    <row r="129" spans="3:14" s="355" customFormat="1" ht="13.5">
      <c r="C129" s="400"/>
      <c r="D129" s="400"/>
      <c r="E129" s="401"/>
      <c r="F129" s="402"/>
      <c r="G129" s="402"/>
      <c r="H129" s="403"/>
      <c r="I129" s="403"/>
      <c r="J129" s="403"/>
      <c r="K129" s="402"/>
      <c r="L129" s="404"/>
      <c r="M129" s="402"/>
      <c r="N129" s="405"/>
    </row>
    <row r="130" spans="3:14" s="355" customFormat="1" ht="13.5">
      <c r="C130" s="400"/>
      <c r="D130" s="400"/>
      <c r="E130" s="401"/>
      <c r="F130" s="402"/>
      <c r="G130" s="402"/>
      <c r="H130" s="403"/>
      <c r="I130" s="403"/>
      <c r="J130" s="403"/>
      <c r="K130" s="402"/>
      <c r="L130" s="404"/>
      <c r="M130" s="402"/>
      <c r="N130" s="405"/>
    </row>
    <row r="131" spans="3:14" s="355" customFormat="1" ht="13.5">
      <c r="C131" s="400"/>
      <c r="D131" s="400"/>
      <c r="E131" s="401"/>
      <c r="F131" s="402"/>
      <c r="G131" s="402"/>
      <c r="H131" s="403"/>
      <c r="I131" s="403"/>
      <c r="J131" s="403"/>
      <c r="K131" s="402"/>
      <c r="L131" s="404"/>
      <c r="M131" s="402"/>
      <c r="N131" s="405"/>
    </row>
    <row r="132" spans="3:14" s="355" customFormat="1" ht="13.5">
      <c r="C132" s="400"/>
      <c r="D132" s="400"/>
      <c r="E132" s="401"/>
      <c r="F132" s="402"/>
      <c r="G132" s="402"/>
      <c r="H132" s="403"/>
      <c r="I132" s="403"/>
      <c r="J132" s="403"/>
      <c r="K132" s="402"/>
      <c r="L132" s="404"/>
      <c r="M132" s="407"/>
      <c r="N132" s="405"/>
    </row>
    <row r="133" spans="3:14" s="355" customFormat="1" ht="13.5">
      <c r="C133" s="400"/>
      <c r="D133" s="400"/>
      <c r="E133" s="401"/>
      <c r="F133" s="402"/>
      <c r="G133" s="403"/>
      <c r="H133" s="403"/>
      <c r="I133" s="403"/>
      <c r="J133" s="403"/>
      <c r="K133" s="408"/>
      <c r="L133" s="404"/>
      <c r="M133" s="407"/>
      <c r="N133" s="405"/>
    </row>
    <row r="134" spans="3:14" s="355" customFormat="1" ht="13.5">
      <c r="C134" s="352"/>
      <c r="D134" s="352"/>
      <c r="E134" s="352"/>
      <c r="F134" s="352"/>
      <c r="G134" s="352"/>
      <c r="H134" s="352"/>
      <c r="I134" s="352"/>
      <c r="J134" s="352"/>
      <c r="K134" s="352"/>
      <c r="L134" s="1403">
        <f>SUM(L5:L132)</f>
        <v>270000</v>
      </c>
      <c r="M134" s="352"/>
      <c r="N134" s="352"/>
    </row>
    <row r="135" spans="3:14" ht="14.25" customHeight="1">
      <c r="C135" s="31"/>
      <c r="D135" s="27"/>
      <c r="E135" s="20"/>
      <c r="F135" s="28"/>
      <c r="G135" s="28"/>
      <c r="H135" s="26"/>
      <c r="I135" s="26"/>
      <c r="J135" s="26"/>
      <c r="K135" s="28"/>
      <c r="L135" s="179"/>
      <c r="M135" s="28"/>
      <c r="N135" s="27"/>
    </row>
    <row r="136" spans="3:14" s="1" customFormat="1" ht="14.25" customHeight="1">
      <c r="C136" s="31"/>
      <c r="D136" s="27"/>
      <c r="E136" s="21"/>
      <c r="F136" s="28"/>
      <c r="G136" s="28"/>
      <c r="H136" s="26"/>
      <c r="I136" s="26"/>
      <c r="J136" s="26"/>
      <c r="K136" s="28"/>
      <c r="L136" s="179"/>
      <c r="M136" s="28"/>
      <c r="N136" s="27"/>
    </row>
    <row r="137" spans="3:14" s="1" customFormat="1" ht="14.25" customHeight="1">
      <c r="C137" s="30"/>
      <c r="D137" s="25"/>
      <c r="E137" s="21"/>
      <c r="F137" s="22"/>
      <c r="G137" s="22"/>
      <c r="H137" s="23"/>
      <c r="I137" s="23"/>
      <c r="J137" s="23"/>
      <c r="K137" s="22"/>
      <c r="L137" s="180"/>
      <c r="M137" s="22"/>
      <c r="N137" s="25"/>
    </row>
  </sheetData>
  <mergeCells count="9">
    <mergeCell ref="M2:M3"/>
    <mergeCell ref="N2:N3"/>
    <mergeCell ref="C16:C21"/>
    <mergeCell ref="C88:C89"/>
    <mergeCell ref="C90:C92"/>
    <mergeCell ref="C7:C12"/>
    <mergeCell ref="C2:G2"/>
    <mergeCell ref="H2:J2"/>
    <mergeCell ref="K2:L2"/>
  </mergeCell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EC263-7A60-4A1A-AA82-1F03453C1C09}">
  <sheetPr>
    <tabColor rgb="FF00B0F0"/>
  </sheetPr>
  <dimension ref="A2:O127"/>
  <sheetViews>
    <sheetView zoomScale="70" zoomScaleNormal="70" workbookViewId="0">
      <pane ySplit="4" topLeftCell="A20" activePane="bottomLeft" state="frozen"/>
      <selection pane="bottomLeft" activeCell="L41" sqref="L41"/>
    </sheetView>
  </sheetViews>
  <sheetFormatPr defaultRowHeight="13.5"/>
  <cols>
    <col min="1" max="2" width="9.140625" style="355"/>
    <col min="3" max="3" width="32.85546875" style="355" customWidth="1"/>
    <col min="4" max="4" width="49.7109375" style="355" bestFit="1" customWidth="1"/>
    <col min="5" max="5" width="26" style="355" customWidth="1"/>
    <col min="6" max="6" width="16.7109375" style="355" customWidth="1"/>
    <col min="7" max="7" width="11.7109375" style="355" customWidth="1"/>
    <col min="8" max="8" width="13.7109375" style="355" customWidth="1"/>
    <col min="9" max="9" width="9.140625" style="355"/>
    <col min="10" max="10" width="12.5703125" style="355" customWidth="1"/>
    <col min="11" max="11" width="18.5703125" style="355" customWidth="1"/>
    <col min="12" max="12" width="15.5703125" style="32" customWidth="1"/>
    <col min="13" max="13" width="16.28515625" style="355" customWidth="1"/>
    <col min="14" max="14" width="12.85546875" style="355" customWidth="1"/>
    <col min="15" max="16" width="9.140625" style="355"/>
    <col min="17" max="17" width="73.7109375" style="355" bestFit="1" customWidth="1"/>
    <col min="18" max="16384" width="9.140625" style="355"/>
  </cols>
  <sheetData>
    <row r="2" spans="1:15">
      <c r="C2" s="2601" t="s">
        <v>30</v>
      </c>
      <c r="D2" s="2602"/>
      <c r="E2" s="2602"/>
      <c r="F2" s="2602"/>
      <c r="G2" s="2603"/>
      <c r="H2" s="2604" t="s">
        <v>29</v>
      </c>
      <c r="I2" s="2605"/>
      <c r="J2" s="2606"/>
      <c r="K2" s="2601" t="s">
        <v>28</v>
      </c>
      <c r="L2" s="2603"/>
      <c r="M2" s="2594" t="s">
        <v>27</v>
      </c>
      <c r="N2" s="2594" t="s">
        <v>26</v>
      </c>
    </row>
    <row r="3" spans="1:15" ht="94.5">
      <c r="C3" s="618" t="s">
        <v>25</v>
      </c>
      <c r="D3" s="852" t="s">
        <v>24</v>
      </c>
      <c r="E3" s="991" t="s">
        <v>23</v>
      </c>
      <c r="F3" s="618" t="s">
        <v>22</v>
      </c>
      <c r="G3" s="532" t="s">
        <v>1303</v>
      </c>
      <c r="H3" s="532" t="s">
        <v>20</v>
      </c>
      <c r="I3" s="532" t="s">
        <v>19</v>
      </c>
      <c r="J3" s="532" t="s">
        <v>18</v>
      </c>
      <c r="K3" s="618" t="s">
        <v>17</v>
      </c>
      <c r="L3" s="605" t="s">
        <v>16</v>
      </c>
      <c r="M3" s="2594"/>
      <c r="N3" s="2594"/>
    </row>
    <row r="4" spans="1:15" ht="27">
      <c r="C4" s="1076" t="s">
        <v>15</v>
      </c>
      <c r="D4" s="1076" t="s">
        <v>14</v>
      </c>
      <c r="E4" s="1076" t="s">
        <v>13</v>
      </c>
      <c r="F4" s="1076" t="s">
        <v>12</v>
      </c>
      <c r="G4" s="1076" t="s">
        <v>11</v>
      </c>
      <c r="H4" s="1076" t="s">
        <v>10</v>
      </c>
      <c r="I4" s="1076" t="s">
        <v>9</v>
      </c>
      <c r="J4" s="1076" t="s">
        <v>8</v>
      </c>
      <c r="K4" s="1076" t="s">
        <v>7</v>
      </c>
      <c r="L4" s="1077" t="s">
        <v>6</v>
      </c>
      <c r="M4" s="1076" t="s">
        <v>5</v>
      </c>
      <c r="N4" s="1076" t="s">
        <v>4</v>
      </c>
    </row>
    <row r="5" spans="1:15" s="455" customFormat="1" ht="14.25" customHeight="1">
      <c r="A5" s="471"/>
      <c r="B5" s="454"/>
      <c r="C5" s="392"/>
      <c r="D5" s="309"/>
      <c r="E5" s="309"/>
      <c r="F5" s="309"/>
      <c r="G5" s="497"/>
      <c r="H5" s="985"/>
      <c r="I5" s="985"/>
      <c r="J5" s="985"/>
      <c r="K5" s="499"/>
      <c r="L5" s="1025"/>
      <c r="M5" s="499"/>
      <c r="N5" s="1466"/>
    </row>
    <row r="6" spans="1:15" s="455" customFormat="1" ht="14.25" customHeight="1">
      <c r="A6" s="471"/>
      <c r="B6" s="454" t="s">
        <v>2574</v>
      </c>
      <c r="C6" s="914"/>
      <c r="D6" s="991" t="s">
        <v>2</v>
      </c>
      <c r="E6" s="2168"/>
      <c r="F6" s="2444" t="s">
        <v>422</v>
      </c>
      <c r="G6" s="2445" t="s">
        <v>1</v>
      </c>
      <c r="H6" s="2445">
        <v>46054</v>
      </c>
      <c r="I6" s="2446">
        <v>46082</v>
      </c>
      <c r="J6" s="2446">
        <v>46082</v>
      </c>
      <c r="K6" s="2192" t="s">
        <v>2216</v>
      </c>
      <c r="L6" s="2194"/>
      <c r="M6" s="2447" t="s">
        <v>2446</v>
      </c>
      <c r="O6" s="634"/>
    </row>
    <row r="7" spans="1:15" s="455" customFormat="1" ht="14.25" customHeight="1">
      <c r="A7" s="471"/>
      <c r="B7" s="454" t="s">
        <v>2574</v>
      </c>
      <c r="C7" s="2771" t="s">
        <v>4001</v>
      </c>
      <c r="D7" s="2448" t="s">
        <v>2863</v>
      </c>
      <c r="E7" s="2449">
        <v>1</v>
      </c>
      <c r="F7" s="977" t="s">
        <v>1700</v>
      </c>
      <c r="G7" s="1378"/>
      <c r="H7" s="1378"/>
      <c r="I7" s="1378"/>
      <c r="J7" s="2450"/>
      <c r="K7" s="2450"/>
      <c r="L7" s="2451">
        <v>5000</v>
      </c>
      <c r="N7" s="2452"/>
      <c r="O7" s="634"/>
    </row>
    <row r="8" spans="1:15" s="455" customFormat="1" ht="14.25" customHeight="1">
      <c r="A8" s="471"/>
      <c r="B8" s="454" t="s">
        <v>2574</v>
      </c>
      <c r="C8" s="2772"/>
      <c r="D8" s="2453" t="s">
        <v>2864</v>
      </c>
      <c r="E8" s="2449">
        <v>1</v>
      </c>
      <c r="F8" s="977" t="s">
        <v>1700</v>
      </c>
      <c r="G8" s="1378"/>
      <c r="H8" s="1378"/>
      <c r="I8" s="1378"/>
      <c r="J8" s="2450"/>
      <c r="K8" s="2450"/>
      <c r="L8" s="2451">
        <v>5000</v>
      </c>
      <c r="N8" s="2452"/>
      <c r="O8" s="634"/>
    </row>
    <row r="9" spans="1:15" s="455" customFormat="1" ht="14.25" customHeight="1">
      <c r="A9" s="471"/>
      <c r="B9" s="454" t="s">
        <v>2574</v>
      </c>
      <c r="C9" s="2772"/>
      <c r="D9" s="2453" t="s">
        <v>2865</v>
      </c>
      <c r="E9" s="2449">
        <v>1</v>
      </c>
      <c r="F9" s="2183" t="s">
        <v>1051</v>
      </c>
      <c r="G9" s="1378"/>
      <c r="H9" s="1378"/>
      <c r="I9" s="1378"/>
      <c r="J9" s="2450"/>
      <c r="K9" s="2450"/>
      <c r="L9" s="2451">
        <v>5000</v>
      </c>
      <c r="N9" s="2452"/>
      <c r="O9" s="634"/>
    </row>
    <row r="10" spans="1:15" s="455" customFormat="1" ht="14.25" customHeight="1">
      <c r="A10" s="471"/>
      <c r="B10" s="454" t="s">
        <v>2574</v>
      </c>
      <c r="C10" s="2772"/>
      <c r="D10" s="2453" t="s">
        <v>2866</v>
      </c>
      <c r="E10" s="2449">
        <v>25</v>
      </c>
      <c r="F10" s="2183" t="s">
        <v>1571</v>
      </c>
      <c r="G10" s="1378"/>
      <c r="H10" s="1378"/>
      <c r="I10" s="1378"/>
      <c r="J10" s="1378"/>
      <c r="K10" s="2450"/>
      <c r="L10" s="2451">
        <v>2000</v>
      </c>
      <c r="N10" s="2452"/>
      <c r="O10" s="634"/>
    </row>
    <row r="11" spans="1:15" s="455" customFormat="1" ht="14.25" customHeight="1">
      <c r="A11" s="471"/>
      <c r="B11" s="454" t="s">
        <v>2574</v>
      </c>
      <c r="C11" s="2772"/>
      <c r="D11" s="2453" t="s">
        <v>2867</v>
      </c>
      <c r="E11" s="2449"/>
      <c r="F11" s="2453"/>
      <c r="G11" s="1378"/>
      <c r="H11" s="1378"/>
      <c r="I11" s="1378"/>
      <c r="J11" s="1378"/>
      <c r="K11" s="2450"/>
      <c r="L11" s="2454">
        <v>8000</v>
      </c>
      <c r="N11" s="2452"/>
      <c r="O11" s="634"/>
    </row>
    <row r="12" spans="1:15" s="455" customFormat="1" ht="14.25" customHeight="1">
      <c r="A12" s="471"/>
      <c r="B12" s="454" t="s">
        <v>2574</v>
      </c>
      <c r="C12" s="2772"/>
      <c r="D12" s="2455"/>
      <c r="E12" s="2449"/>
      <c r="F12" s="2183"/>
      <c r="G12" s="1378"/>
      <c r="H12" s="1378"/>
      <c r="I12" s="1378"/>
      <c r="J12" s="1378"/>
      <c r="K12" s="2450"/>
      <c r="L12" s="1378"/>
      <c r="M12" s="2451"/>
      <c r="N12" s="2452"/>
      <c r="O12" s="634"/>
    </row>
    <row r="13" spans="1:15" s="455" customFormat="1" ht="14.25" customHeight="1">
      <c r="A13" s="471"/>
      <c r="B13" s="454"/>
      <c r="C13" s="2773"/>
      <c r="D13" s="2455"/>
      <c r="E13" s="2449"/>
      <c r="F13" s="2183"/>
      <c r="G13" s="1378"/>
      <c r="H13" s="1378"/>
      <c r="I13" s="1378"/>
      <c r="J13" s="1378"/>
      <c r="K13" s="2450"/>
      <c r="L13" s="1378"/>
      <c r="M13" s="2451"/>
      <c r="N13" s="2452"/>
      <c r="O13" s="634"/>
    </row>
    <row r="14" spans="1:15" s="455" customFormat="1" ht="14.25" customHeight="1">
      <c r="A14" s="471"/>
      <c r="B14" s="454"/>
      <c r="C14" s="2456"/>
      <c r="D14" s="2455"/>
      <c r="E14" s="2449"/>
      <c r="F14" s="2183"/>
      <c r="G14" s="1378"/>
      <c r="H14" s="1378"/>
      <c r="I14" s="1378"/>
      <c r="J14" s="1378"/>
      <c r="K14" s="2450"/>
      <c r="L14" s="1378"/>
      <c r="M14" s="2454"/>
      <c r="N14" s="2452"/>
      <c r="O14" s="634"/>
    </row>
    <row r="15" spans="1:15" s="455" customFormat="1" ht="14.25" customHeight="1">
      <c r="A15" s="471"/>
      <c r="B15" s="454" t="s">
        <v>2574</v>
      </c>
      <c r="C15" s="2167"/>
      <c r="D15" s="991" t="s">
        <v>2</v>
      </c>
      <c r="E15" s="2168"/>
      <c r="F15" s="2169" t="s">
        <v>422</v>
      </c>
      <c r="G15" s="2170" t="s">
        <v>1</v>
      </c>
      <c r="H15" s="2170">
        <v>46113</v>
      </c>
      <c r="I15" s="2171">
        <v>46143</v>
      </c>
      <c r="J15" s="2171">
        <v>46143</v>
      </c>
      <c r="K15" s="2172" t="s">
        <v>2216</v>
      </c>
      <c r="L15" s="2194"/>
      <c r="M15" s="2174" t="s">
        <v>2446</v>
      </c>
      <c r="O15" s="2234"/>
    </row>
    <row r="16" spans="1:15" s="455" customFormat="1" ht="14.25" customHeight="1">
      <c r="A16" s="471"/>
      <c r="B16" s="454" t="s">
        <v>2574</v>
      </c>
      <c r="C16" s="2598" t="s">
        <v>4001</v>
      </c>
      <c r="D16" s="2457" t="s">
        <v>2868</v>
      </c>
      <c r="E16" s="2279">
        <v>25</v>
      </c>
      <c r="F16" s="2239" t="s">
        <v>2039</v>
      </c>
      <c r="G16" s="2178"/>
      <c r="H16" s="2178"/>
      <c r="I16" s="2178"/>
      <c r="J16" s="2179"/>
      <c r="K16" s="2179"/>
      <c r="L16" s="2180">
        <v>1500</v>
      </c>
      <c r="N16" s="2181"/>
      <c r="O16" s="405"/>
    </row>
    <row r="17" spans="1:15" s="455" customFormat="1" ht="14.25" customHeight="1">
      <c r="A17" s="471"/>
      <c r="B17" s="454" t="s">
        <v>2574</v>
      </c>
      <c r="C17" s="2599"/>
      <c r="D17" s="2182" t="s">
        <v>2869</v>
      </c>
      <c r="E17" s="2191">
        <v>50</v>
      </c>
      <c r="F17" s="2187" t="s">
        <v>2654</v>
      </c>
      <c r="G17" s="2178"/>
      <c r="H17" s="2178"/>
      <c r="I17" s="2178"/>
      <c r="J17" s="2178"/>
      <c r="K17" s="2179"/>
      <c r="L17" s="2264">
        <v>5000</v>
      </c>
      <c r="N17" s="2181"/>
      <c r="O17" s="405"/>
    </row>
    <row r="18" spans="1:15" s="455" customFormat="1" ht="14.25" customHeight="1">
      <c r="A18" s="471"/>
      <c r="B18" s="454" t="s">
        <v>2574</v>
      </c>
      <c r="C18" s="2599"/>
      <c r="D18" s="2182" t="s">
        <v>2867</v>
      </c>
      <c r="E18" s="2191"/>
      <c r="F18" s="2187"/>
      <c r="G18" s="2178"/>
      <c r="H18" s="2178"/>
      <c r="I18" s="2178"/>
      <c r="J18" s="2178"/>
      <c r="K18" s="2179"/>
      <c r="L18" s="2238">
        <v>6000</v>
      </c>
      <c r="N18" s="2181"/>
      <c r="O18" s="405"/>
    </row>
    <row r="19" spans="1:15" s="455" customFormat="1" ht="14.25" customHeight="1">
      <c r="A19" s="471"/>
      <c r="B19" s="454" t="s">
        <v>2574</v>
      </c>
      <c r="C19" s="2599"/>
      <c r="D19" s="2267"/>
      <c r="E19" s="2191"/>
      <c r="F19" s="2187"/>
      <c r="G19" s="2178"/>
      <c r="H19" s="2178"/>
      <c r="I19" s="2178"/>
      <c r="J19" s="2179"/>
      <c r="K19" s="2179"/>
      <c r="L19" s="2458"/>
      <c r="M19" s="2264"/>
      <c r="N19" s="2181"/>
      <c r="O19" s="405"/>
    </row>
    <row r="20" spans="1:15" s="455" customFormat="1" ht="14.25" customHeight="1">
      <c r="A20" s="471"/>
      <c r="B20" s="454" t="s">
        <v>2574</v>
      </c>
      <c r="C20" s="2599"/>
      <c r="D20" s="2267"/>
      <c r="E20" s="2191"/>
      <c r="F20" s="2187"/>
      <c r="G20" s="2178"/>
      <c r="H20" s="2178"/>
      <c r="I20" s="2178"/>
      <c r="J20" s="2179"/>
      <c r="K20" s="2179"/>
      <c r="L20" s="2178"/>
      <c r="M20" s="2264"/>
      <c r="N20" s="2181"/>
      <c r="O20" s="405"/>
    </row>
    <row r="21" spans="1:15" s="455" customFormat="1" ht="14.25" customHeight="1">
      <c r="A21" s="471"/>
      <c r="B21" s="454" t="s">
        <v>2574</v>
      </c>
      <c r="C21" s="2600"/>
      <c r="D21" s="2267"/>
      <c r="E21" s="2191"/>
      <c r="F21" s="2187"/>
      <c r="G21" s="2178"/>
      <c r="H21" s="2178"/>
      <c r="I21" s="2178"/>
      <c r="J21" s="2179"/>
      <c r="K21" s="2179"/>
      <c r="L21" s="2178"/>
      <c r="M21" s="2264"/>
      <c r="N21" s="2181"/>
      <c r="O21" s="405"/>
    </row>
    <row r="22" spans="1:15" s="455" customFormat="1" ht="14.25" customHeight="1">
      <c r="A22" s="471"/>
      <c r="B22" s="454"/>
      <c r="C22" s="513"/>
      <c r="D22" s="2267"/>
      <c r="E22" s="2191"/>
      <c r="F22" s="2187"/>
      <c r="G22" s="2178"/>
      <c r="H22" s="2178"/>
      <c r="I22" s="2178"/>
      <c r="J22" s="2178"/>
      <c r="K22" s="2179"/>
      <c r="L22" s="2178"/>
      <c r="M22" s="2264"/>
      <c r="N22" s="2181"/>
      <c r="O22" s="405"/>
    </row>
    <row r="23" spans="1:15" s="455" customFormat="1" ht="14.25" customHeight="1">
      <c r="A23" s="471"/>
      <c r="B23" s="454"/>
      <c r="C23" s="513"/>
      <c r="D23" s="2267"/>
      <c r="E23" s="2191"/>
      <c r="F23" s="2187"/>
      <c r="G23" s="2178"/>
      <c r="H23" s="2178"/>
      <c r="I23" s="2178"/>
      <c r="J23" s="2178"/>
      <c r="K23" s="2179"/>
      <c r="L23" s="2178"/>
      <c r="M23" s="2264"/>
      <c r="N23" s="2459"/>
      <c r="O23" s="2460"/>
    </row>
    <row r="24" spans="1:15" s="455" customFormat="1" ht="14.25" customHeight="1">
      <c r="A24" s="471"/>
      <c r="B24" s="454"/>
      <c r="C24" s="513"/>
      <c r="D24" s="2267"/>
      <c r="E24" s="2191"/>
      <c r="F24" s="2187"/>
      <c r="G24" s="2178"/>
      <c r="H24" s="2178"/>
      <c r="I24" s="2178"/>
      <c r="J24" s="2178"/>
      <c r="K24" s="2179"/>
      <c r="L24" s="2178"/>
      <c r="M24" s="2264"/>
      <c r="N24" s="2459"/>
      <c r="O24" s="2460"/>
    </row>
    <row r="25" spans="1:15" s="455" customFormat="1" ht="27.6" customHeight="1">
      <c r="A25" s="471"/>
      <c r="B25" s="455" t="s">
        <v>2929</v>
      </c>
      <c r="C25" s="2196" t="s">
        <v>2981</v>
      </c>
      <c r="D25" s="2168" t="s">
        <v>637</v>
      </c>
      <c r="E25" s="2197"/>
      <c r="F25" s="533" t="s">
        <v>1764</v>
      </c>
      <c r="G25" s="533" t="s">
        <v>1</v>
      </c>
      <c r="H25" s="677"/>
      <c r="I25" s="677"/>
      <c r="J25" s="677"/>
      <c r="K25" s="532" t="s">
        <v>748</v>
      </c>
      <c r="L25" s="2198"/>
      <c r="M25" s="677" t="s">
        <v>2924</v>
      </c>
      <c r="N25" s="532" t="s">
        <v>703</v>
      </c>
      <c r="O25" s="2460"/>
    </row>
    <row r="26" spans="1:15" s="455" customFormat="1" ht="14.25" customHeight="1">
      <c r="A26" s="471"/>
      <c r="B26" s="455" t="s">
        <v>2929</v>
      </c>
      <c r="C26" s="2196"/>
      <c r="D26" s="531" t="s">
        <v>2982</v>
      </c>
      <c r="E26" s="2268" t="s">
        <v>2942</v>
      </c>
      <c r="F26" s="533"/>
      <c r="G26" s="533"/>
      <c r="H26" s="2177" t="s">
        <v>2213</v>
      </c>
      <c r="I26" s="2201">
        <v>46174</v>
      </c>
      <c r="J26" s="2202" t="s">
        <v>2215</v>
      </c>
      <c r="K26" s="2283"/>
      <c r="L26" s="2284">
        <v>15000</v>
      </c>
      <c r="M26" s="2285"/>
      <c r="N26" s="532"/>
      <c r="O26" s="2460"/>
    </row>
    <row r="27" spans="1:15" s="455" customFormat="1" ht="14.25" customHeight="1">
      <c r="A27" s="471"/>
      <c r="B27" s="455" t="s">
        <v>2929</v>
      </c>
      <c r="C27" s="2196"/>
      <c r="D27" s="531" t="s">
        <v>2983</v>
      </c>
      <c r="E27" s="2268" t="s">
        <v>2942</v>
      </c>
      <c r="F27" s="533"/>
      <c r="G27" s="533"/>
      <c r="H27" s="2177"/>
      <c r="I27" s="2177"/>
      <c r="J27" s="852" t="s">
        <v>2927</v>
      </c>
      <c r="K27" s="2283"/>
      <c r="L27" s="2284">
        <v>22000</v>
      </c>
      <c r="M27" s="2285"/>
      <c r="N27" s="532"/>
      <c r="O27" s="2460"/>
    </row>
    <row r="28" spans="1:15" s="455" customFormat="1" ht="14.25" customHeight="1">
      <c r="A28" s="471"/>
      <c r="B28" s="455" t="s">
        <v>2929</v>
      </c>
      <c r="C28" s="2196"/>
      <c r="D28" s="531" t="s">
        <v>2984</v>
      </c>
      <c r="E28" s="2268" t="s">
        <v>2942</v>
      </c>
      <c r="F28" s="533"/>
      <c r="G28" s="533"/>
      <c r="H28" s="852"/>
      <c r="I28" s="852"/>
      <c r="J28" s="852"/>
      <c r="K28" s="2283"/>
      <c r="L28" s="2284">
        <v>15000</v>
      </c>
      <c r="M28" s="2285"/>
      <c r="N28" s="532"/>
      <c r="O28" s="2460"/>
    </row>
    <row r="29" spans="1:15" s="455" customFormat="1" ht="14.25" customHeight="1">
      <c r="A29" s="471"/>
      <c r="B29" s="455" t="s">
        <v>2929</v>
      </c>
      <c r="C29" s="2196"/>
      <c r="D29" s="342" t="s">
        <v>2985</v>
      </c>
      <c r="E29" s="2268" t="s">
        <v>2942</v>
      </c>
      <c r="F29" s="533"/>
      <c r="G29" s="533"/>
      <c r="H29" s="852"/>
      <c r="I29" s="852"/>
      <c r="J29" s="852"/>
      <c r="K29" s="2283"/>
      <c r="L29" s="2284">
        <v>13000</v>
      </c>
      <c r="M29" s="2285"/>
      <c r="N29" s="532"/>
    </row>
    <row r="30" spans="1:15" s="455" customFormat="1" ht="14.25" customHeight="1">
      <c r="A30" s="471"/>
      <c r="B30" s="455" t="s">
        <v>2929</v>
      </c>
      <c r="C30" s="2196"/>
      <c r="D30" s="531" t="s">
        <v>2986</v>
      </c>
      <c r="E30" s="2268" t="s">
        <v>2942</v>
      </c>
      <c r="F30" s="533"/>
      <c r="G30" s="533"/>
      <c r="H30" s="852"/>
      <c r="I30" s="852"/>
      <c r="J30" s="852"/>
      <c r="K30" s="2283"/>
      <c r="L30" s="2284">
        <v>12310</v>
      </c>
      <c r="M30" s="2285"/>
      <c r="N30" s="532"/>
    </row>
    <row r="31" spans="1:15" s="455" customFormat="1" ht="14.25" customHeight="1">
      <c r="A31" s="471"/>
      <c r="B31" s="455" t="s">
        <v>2929</v>
      </c>
      <c r="C31" s="2196"/>
      <c r="D31" s="342" t="s">
        <v>2987</v>
      </c>
      <c r="E31" s="2268" t="s">
        <v>2942</v>
      </c>
      <c r="F31" s="533"/>
      <c r="G31" s="533"/>
      <c r="H31" s="852"/>
      <c r="I31" s="852"/>
      <c r="J31" s="852"/>
      <c r="K31" s="2283"/>
      <c r="L31" s="2284">
        <v>24900</v>
      </c>
      <c r="M31" s="2285"/>
      <c r="N31" s="532"/>
    </row>
    <row r="32" spans="1:15" s="455" customFormat="1" ht="14.25" customHeight="1">
      <c r="A32" s="471"/>
      <c r="B32" s="454"/>
      <c r="C32" s="392"/>
      <c r="D32" s="309"/>
      <c r="E32" s="309"/>
      <c r="F32" s="309"/>
      <c r="G32" s="497"/>
      <c r="H32" s="985"/>
      <c r="I32" s="985"/>
      <c r="J32" s="985"/>
      <c r="K32" s="499"/>
      <c r="L32" s="2054"/>
      <c r="M32" s="499"/>
      <c r="N32" s="1466"/>
    </row>
    <row r="33" spans="1:14" s="455" customFormat="1">
      <c r="A33" s="471"/>
      <c r="B33" s="454"/>
      <c r="C33" s="392"/>
      <c r="D33" s="309"/>
      <c r="E33" s="309"/>
      <c r="F33" s="309"/>
      <c r="G33" s="497"/>
      <c r="H33" s="985"/>
      <c r="I33" s="985"/>
      <c r="J33" s="985"/>
      <c r="K33" s="499"/>
      <c r="L33" s="1025"/>
      <c r="M33" s="499"/>
      <c r="N33" s="1466"/>
    </row>
    <row r="34" spans="1:14" s="455" customFormat="1">
      <c r="A34" s="471"/>
      <c r="B34" s="454"/>
      <c r="C34" s="392"/>
      <c r="D34" s="309"/>
      <c r="E34" s="309"/>
      <c r="F34" s="309"/>
      <c r="G34" s="497"/>
      <c r="H34" s="985"/>
      <c r="I34" s="985"/>
      <c r="J34" s="985"/>
      <c r="K34" s="499"/>
      <c r="L34" s="1025"/>
      <c r="M34" s="499"/>
      <c r="N34" s="1466"/>
    </row>
    <row r="35" spans="1:14" s="455" customFormat="1">
      <c r="A35" s="471"/>
      <c r="B35" s="454"/>
      <c r="C35" s="392"/>
      <c r="D35" s="309"/>
      <c r="E35" s="309"/>
      <c r="F35" s="309"/>
      <c r="G35" s="497"/>
      <c r="H35" s="985"/>
      <c r="I35" s="985"/>
      <c r="J35" s="985"/>
      <c r="K35" s="499"/>
      <c r="L35" s="1025"/>
      <c r="M35" s="499"/>
      <c r="N35" s="1466"/>
    </row>
    <row r="36" spans="1:14" s="455" customFormat="1">
      <c r="A36" s="471"/>
      <c r="B36" s="454"/>
      <c r="C36" s="392"/>
      <c r="D36" s="309"/>
      <c r="E36" s="309"/>
      <c r="F36" s="309"/>
      <c r="G36" s="497"/>
      <c r="H36" s="985"/>
      <c r="I36" s="985"/>
      <c r="J36" s="985"/>
      <c r="K36" s="499"/>
      <c r="L36" s="1025"/>
      <c r="M36" s="499"/>
      <c r="N36" s="1466"/>
    </row>
    <row r="37" spans="1:14" s="455" customFormat="1">
      <c r="A37" s="471"/>
      <c r="B37" s="454"/>
      <c r="C37" s="392"/>
      <c r="D37" s="309"/>
      <c r="E37" s="309"/>
      <c r="F37" s="309"/>
      <c r="G37" s="497"/>
      <c r="H37" s="985"/>
      <c r="I37" s="985"/>
      <c r="J37" s="985"/>
      <c r="K37" s="499"/>
      <c r="L37" s="1025"/>
      <c r="M37" s="499"/>
      <c r="N37" s="1466"/>
    </row>
    <row r="38" spans="1:14" s="455" customFormat="1">
      <c r="A38" s="471"/>
      <c r="B38" s="454"/>
      <c r="C38" s="392"/>
      <c r="D38" s="309"/>
      <c r="E38" s="309"/>
      <c r="F38" s="309"/>
      <c r="G38" s="497"/>
      <c r="H38" s="985"/>
      <c r="I38" s="985"/>
      <c r="J38" s="985"/>
      <c r="K38" s="499"/>
      <c r="L38" s="1025"/>
      <c r="M38" s="499"/>
      <c r="N38" s="1466"/>
    </row>
    <row r="39" spans="1:14" s="455" customFormat="1">
      <c r="A39" s="471"/>
      <c r="B39" s="454"/>
      <c r="C39" s="392"/>
      <c r="D39" s="309"/>
      <c r="E39" s="309"/>
      <c r="F39" s="309"/>
      <c r="G39" s="497"/>
      <c r="H39" s="985"/>
      <c r="I39" s="985"/>
      <c r="J39" s="985"/>
      <c r="K39" s="499"/>
      <c r="L39" s="1025"/>
      <c r="M39" s="499"/>
      <c r="N39" s="1466"/>
    </row>
    <row r="40" spans="1:14" s="455" customFormat="1">
      <c r="A40" s="471"/>
      <c r="B40" s="454"/>
      <c r="C40" s="392"/>
      <c r="D40" s="309"/>
      <c r="E40" s="309"/>
      <c r="F40" s="309"/>
      <c r="G40" s="497"/>
      <c r="H40" s="985"/>
      <c r="I40" s="985"/>
      <c r="J40" s="985"/>
      <c r="K40" s="499"/>
      <c r="L40" s="1025"/>
      <c r="M40" s="499"/>
      <c r="N40" s="1466"/>
    </row>
    <row r="41" spans="1:14" s="455" customFormat="1" ht="17.25">
      <c r="A41" s="471"/>
      <c r="B41" s="454"/>
      <c r="C41" s="392"/>
      <c r="D41" s="309"/>
      <c r="E41" s="309"/>
      <c r="F41" s="309"/>
      <c r="G41" s="497"/>
      <c r="H41" s="985"/>
      <c r="I41" s="985"/>
      <c r="J41" s="985"/>
      <c r="K41" s="499"/>
      <c r="L41" s="2443">
        <f>SUM(L5:L39)</f>
        <v>139710</v>
      </c>
      <c r="M41" s="499"/>
      <c r="N41" s="1466"/>
    </row>
    <row r="42" spans="1:14" s="455" customFormat="1">
      <c r="A42" s="471"/>
      <c r="B42" s="454"/>
      <c r="C42" s="392"/>
      <c r="D42" s="309"/>
      <c r="E42" s="309"/>
      <c r="F42" s="309"/>
      <c r="G42" s="497"/>
      <c r="H42" s="985"/>
      <c r="I42" s="985"/>
      <c r="J42" s="985"/>
      <c r="K42" s="499"/>
      <c r="L42" s="1025"/>
      <c r="M42" s="499"/>
      <c r="N42" s="1466"/>
    </row>
    <row r="43" spans="1:14" s="455" customFormat="1">
      <c r="A43" s="471"/>
      <c r="B43" s="454"/>
      <c r="C43" s="392"/>
      <c r="D43" s="309"/>
      <c r="E43" s="309"/>
      <c r="F43" s="309"/>
      <c r="G43" s="497"/>
      <c r="H43" s="985"/>
      <c r="I43" s="985"/>
      <c r="J43" s="985"/>
      <c r="K43" s="499"/>
      <c r="L43" s="1025"/>
      <c r="M43" s="499"/>
      <c r="N43" s="1466"/>
    </row>
    <row r="44" spans="1:14" s="455" customFormat="1">
      <c r="A44" s="471"/>
      <c r="B44" s="454"/>
      <c r="C44" s="392"/>
      <c r="D44" s="309"/>
      <c r="E44" s="309"/>
      <c r="F44" s="309"/>
      <c r="G44" s="497"/>
      <c r="H44" s="985"/>
      <c r="I44" s="985"/>
      <c r="J44" s="985"/>
      <c r="K44" s="499"/>
      <c r="L44" s="1025"/>
      <c r="M44" s="499"/>
      <c r="N44" s="1466"/>
    </row>
    <row r="45" spans="1:14" s="455" customFormat="1">
      <c r="A45" s="471"/>
      <c r="B45" s="454"/>
      <c r="C45" s="392"/>
      <c r="D45" s="309"/>
      <c r="E45" s="309"/>
      <c r="F45" s="309"/>
      <c r="G45" s="497"/>
      <c r="H45" s="985"/>
      <c r="I45" s="985"/>
      <c r="J45" s="985"/>
      <c r="K45" s="499"/>
      <c r="L45" s="1025"/>
      <c r="M45" s="499"/>
      <c r="N45" s="1466"/>
    </row>
    <row r="46" spans="1:14" s="455" customFormat="1">
      <c r="A46" s="471"/>
      <c r="B46" s="454"/>
      <c r="C46" s="392"/>
      <c r="D46" s="309"/>
      <c r="E46" s="309"/>
      <c r="F46" s="309"/>
      <c r="G46" s="497"/>
      <c r="H46" s="985"/>
      <c r="I46" s="985"/>
      <c r="J46" s="985"/>
      <c r="K46" s="499"/>
      <c r="L46" s="1025"/>
      <c r="M46" s="499"/>
      <c r="N46" s="1466"/>
    </row>
    <row r="47" spans="1:14" s="455" customFormat="1">
      <c r="A47" s="471"/>
      <c r="B47" s="454"/>
      <c r="C47" s="392"/>
      <c r="D47" s="309"/>
      <c r="E47" s="309"/>
      <c r="F47" s="309"/>
      <c r="G47" s="497"/>
      <c r="H47" s="985"/>
      <c r="I47" s="985"/>
      <c r="J47" s="985"/>
      <c r="K47" s="499"/>
      <c r="L47" s="1025"/>
      <c r="M47" s="499"/>
      <c r="N47" s="1467"/>
    </row>
    <row r="48" spans="1:14" s="455" customFormat="1">
      <c r="A48" s="471"/>
      <c r="B48" s="454"/>
      <c r="C48" s="392"/>
      <c r="D48" s="309"/>
      <c r="E48" s="309"/>
      <c r="F48" s="309"/>
      <c r="G48" s="497"/>
      <c r="H48" s="985"/>
      <c r="I48" s="985"/>
      <c r="J48" s="985"/>
      <c r="K48" s="499"/>
      <c r="L48" s="1025"/>
      <c r="M48" s="499"/>
      <c r="N48" s="1468"/>
    </row>
    <row r="49" spans="1:15" s="455" customFormat="1">
      <c r="A49" s="471"/>
      <c r="B49" s="454"/>
      <c r="C49" s="392"/>
      <c r="D49" s="309"/>
      <c r="E49" s="309"/>
      <c r="F49" s="309"/>
      <c r="G49" s="497"/>
      <c r="H49" s="985"/>
      <c r="I49" s="985"/>
      <c r="J49" s="985"/>
      <c r="K49" s="499"/>
      <c r="L49" s="1025"/>
      <c r="M49" s="499"/>
      <c r="N49" s="1468"/>
    </row>
    <row r="50" spans="1:15" s="455" customFormat="1">
      <c r="A50" s="471"/>
      <c r="B50" s="454"/>
      <c r="C50" s="1524"/>
      <c r="D50" s="309"/>
      <c r="E50" s="309"/>
      <c r="F50" s="309"/>
      <c r="G50" s="497"/>
      <c r="H50" s="985"/>
      <c r="I50" s="985"/>
      <c r="J50" s="985"/>
      <c r="K50" s="499"/>
      <c r="L50" s="1025"/>
      <c r="M50" s="499"/>
      <c r="N50" s="1468"/>
    </row>
    <row r="51" spans="1:15" s="455" customFormat="1">
      <c r="A51" s="471"/>
      <c r="B51" s="454"/>
      <c r="C51" s="1525"/>
      <c r="D51" s="309"/>
      <c r="E51" s="309"/>
      <c r="F51" s="309"/>
      <c r="G51" s="497"/>
      <c r="H51" s="985"/>
      <c r="I51" s="985"/>
      <c r="J51" s="985"/>
      <c r="K51" s="499"/>
      <c r="L51" s="1025"/>
      <c r="M51" s="499"/>
      <c r="N51" s="1468"/>
    </row>
    <row r="52" spans="1:15" s="455" customFormat="1">
      <c r="A52" s="471"/>
      <c r="B52" s="454"/>
      <c r="C52" s="392"/>
      <c r="D52" s="309"/>
      <c r="E52" s="309"/>
      <c r="F52" s="309"/>
      <c r="G52" s="497"/>
      <c r="H52" s="1056"/>
      <c r="I52" s="985"/>
      <c r="J52" s="985"/>
      <c r="K52" s="499"/>
      <c r="L52" s="1025"/>
      <c r="M52" s="499"/>
      <c r="N52" s="1465"/>
    </row>
    <row r="53" spans="1:15" s="455" customFormat="1">
      <c r="A53" s="471"/>
      <c r="B53" s="454"/>
      <c r="C53" s="392"/>
      <c r="D53" s="309"/>
      <c r="E53" s="309"/>
      <c r="F53" s="309"/>
      <c r="G53" s="497"/>
      <c r="H53" s="985"/>
      <c r="I53" s="985"/>
      <c r="J53" s="985"/>
      <c r="K53" s="499"/>
      <c r="L53" s="1025"/>
      <c r="M53" s="499"/>
    </row>
    <row r="54" spans="1:15" s="455" customFormat="1">
      <c r="A54" s="471"/>
      <c r="B54" s="454"/>
      <c r="C54" s="987"/>
      <c r="D54" s="314"/>
      <c r="E54" s="662"/>
      <c r="F54" s="309"/>
      <c r="G54" s="497"/>
      <c r="H54" s="985"/>
      <c r="I54" s="985"/>
      <c r="J54" s="985"/>
      <c r="K54" s="499"/>
      <c r="L54" s="1025"/>
      <c r="M54" s="499"/>
      <c r="N54" s="454"/>
    </row>
    <row r="55" spans="1:15" s="455" customFormat="1">
      <c r="A55" s="471"/>
      <c r="B55" s="454"/>
      <c r="C55" s="987"/>
      <c r="D55" s="314"/>
      <c r="E55" s="662"/>
      <c r="F55" s="309"/>
      <c r="G55" s="497"/>
      <c r="H55" s="985"/>
      <c r="I55" s="985"/>
      <c r="J55" s="985"/>
      <c r="K55" s="499"/>
      <c r="L55" s="1600">
        <f>SUM(L5:L52)</f>
        <v>279420</v>
      </c>
      <c r="M55" s="499"/>
      <c r="N55" s="458"/>
    </row>
    <row r="56" spans="1:15" s="455" customFormat="1">
      <c r="A56" s="471"/>
      <c r="B56" s="454"/>
      <c r="C56" s="987"/>
      <c r="D56" s="314"/>
      <c r="E56" s="662"/>
      <c r="F56" s="309"/>
      <c r="G56" s="497"/>
      <c r="H56" s="985"/>
      <c r="I56" s="985"/>
      <c r="J56" s="985"/>
      <c r="K56" s="499"/>
      <c r="L56" s="1065"/>
      <c r="M56" s="499"/>
      <c r="N56" s="458"/>
    </row>
    <row r="57" spans="1:15" s="455" customFormat="1">
      <c r="A57" s="471"/>
      <c r="B57" s="454"/>
      <c r="C57" s="987"/>
      <c r="D57" s="309"/>
      <c r="E57" s="662"/>
      <c r="F57" s="309"/>
      <c r="G57" s="497"/>
      <c r="H57" s="985"/>
      <c r="I57" s="985"/>
      <c r="J57" s="985"/>
      <c r="K57" s="499"/>
      <c r="L57" s="1065"/>
      <c r="M57" s="499"/>
      <c r="N57" s="458"/>
    </row>
    <row r="58" spans="1:15" s="455" customFormat="1">
      <c r="A58" s="471"/>
      <c r="B58" s="454"/>
      <c r="C58" s="314"/>
      <c r="D58" s="314"/>
      <c r="E58" s="309"/>
      <c r="F58" s="309"/>
      <c r="G58" s="497"/>
      <c r="H58" s="985"/>
      <c r="I58" s="985"/>
      <c r="J58" s="985"/>
      <c r="K58" s="309"/>
      <c r="L58" s="1015"/>
      <c r="M58" s="499"/>
      <c r="N58" s="458"/>
    </row>
    <row r="59" spans="1:15" s="455" customFormat="1">
      <c r="A59" s="471"/>
      <c r="B59" s="454"/>
      <c r="C59" s="314"/>
      <c r="D59" s="314"/>
      <c r="E59" s="309"/>
      <c r="F59" s="309"/>
      <c r="G59" s="497"/>
      <c r="H59" s="985"/>
      <c r="I59" s="985"/>
      <c r="J59" s="985"/>
      <c r="K59" s="309"/>
      <c r="L59" s="1015"/>
      <c r="M59" s="499"/>
      <c r="N59" s="460"/>
    </row>
    <row r="60" spans="1:15" s="455" customFormat="1">
      <c r="A60" s="471"/>
      <c r="B60" s="454"/>
      <c r="C60" s="314"/>
      <c r="D60" s="314"/>
      <c r="E60" s="560"/>
      <c r="F60" s="309"/>
      <c r="G60" s="497"/>
      <c r="H60" s="985"/>
      <c r="I60" s="985"/>
      <c r="J60" s="985"/>
      <c r="K60" s="309"/>
      <c r="L60" s="1015"/>
      <c r="M60" s="499"/>
      <c r="N60" s="454"/>
    </row>
    <row r="61" spans="1:15" s="455" customFormat="1">
      <c r="A61" s="471"/>
      <c r="B61" s="454"/>
      <c r="C61" s="987"/>
      <c r="D61" s="314"/>
      <c r="E61" s="662"/>
      <c r="F61" s="309"/>
      <c r="G61" s="497"/>
      <c r="H61" s="985"/>
      <c r="I61" s="985"/>
      <c r="J61" s="985"/>
      <c r="K61" s="499"/>
      <c r="L61" s="1065"/>
      <c r="M61" s="499"/>
      <c r="N61" s="458"/>
    </row>
    <row r="62" spans="1:15" s="455" customFormat="1">
      <c r="A62" s="471"/>
      <c r="B62" s="454"/>
      <c r="C62" s="392"/>
      <c r="D62" s="309"/>
      <c r="E62" s="309"/>
      <c r="F62" s="662"/>
      <c r="G62" s="309"/>
      <c r="H62" s="497"/>
      <c r="I62" s="985"/>
      <c r="J62" s="985"/>
      <c r="K62" s="1066"/>
      <c r="L62" s="1067"/>
      <c r="M62" s="1025"/>
      <c r="N62" s="1068"/>
      <c r="O62" s="458"/>
    </row>
    <row r="63" spans="1:15" s="455" customFormat="1">
      <c r="A63" s="471"/>
      <c r="B63" s="454"/>
      <c r="C63" s="471"/>
      <c r="D63" s="456"/>
      <c r="E63" s="459"/>
      <c r="F63" s="466"/>
      <c r="G63" s="471"/>
      <c r="H63" s="477"/>
      <c r="I63" s="526"/>
      <c r="J63" s="526"/>
      <c r="K63" s="526"/>
      <c r="L63" s="473"/>
      <c r="M63" s="529"/>
      <c r="N63" s="471"/>
      <c r="O63" s="458"/>
    </row>
    <row r="64" spans="1:15" s="455" customFormat="1">
      <c r="A64" s="471"/>
      <c r="B64" s="454"/>
      <c r="C64" s="471"/>
      <c r="D64" s="456"/>
      <c r="E64" s="459"/>
      <c r="F64" s="466"/>
      <c r="G64" s="471"/>
      <c r="H64" s="477"/>
      <c r="I64" s="526"/>
      <c r="J64" s="526"/>
      <c r="K64" s="526"/>
      <c r="L64" s="473"/>
      <c r="M64" s="529"/>
      <c r="N64" s="471"/>
      <c r="O64" s="458"/>
    </row>
    <row r="65" spans="1:14" s="455" customFormat="1">
      <c r="A65" s="471"/>
      <c r="B65" s="454"/>
      <c r="C65" s="314"/>
      <c r="D65" s="309"/>
      <c r="E65" s="309"/>
      <c r="F65" s="309"/>
      <c r="G65" s="309"/>
      <c r="H65" s="309"/>
      <c r="I65" s="309"/>
      <c r="J65" s="309"/>
      <c r="K65" s="309"/>
      <c r="L65" s="309"/>
      <c r="M65" s="309"/>
      <c r="N65" s="309"/>
    </row>
    <row r="66" spans="1:14" s="455" customFormat="1">
      <c r="A66" s="471"/>
      <c r="B66" s="454"/>
      <c r="C66" s="314"/>
      <c r="D66" s="314"/>
      <c r="E66" s="309"/>
      <c r="F66" s="309"/>
      <c r="G66" s="497"/>
      <c r="H66" s="1056"/>
      <c r="I66" s="309"/>
      <c r="J66" s="309"/>
      <c r="K66" s="499"/>
      <c r="L66" s="1069"/>
      <c r="M66" s="309"/>
      <c r="N66" s="454"/>
    </row>
    <row r="67" spans="1:14" s="455" customFormat="1">
      <c r="A67" s="471"/>
      <c r="B67" s="454"/>
      <c r="C67" s="314"/>
      <c r="D67" s="314"/>
      <c r="E67" s="309"/>
      <c r="F67" s="309"/>
      <c r="G67" s="497"/>
      <c r="H67" s="1056"/>
      <c r="I67" s="309"/>
      <c r="J67" s="309"/>
      <c r="K67" s="499"/>
      <c r="L67" s="1069"/>
      <c r="M67" s="499"/>
      <c r="N67" s="458"/>
    </row>
    <row r="68" spans="1:14" s="455" customFormat="1">
      <c r="A68" s="471"/>
      <c r="B68" s="454"/>
      <c r="C68" s="314"/>
      <c r="D68" s="314"/>
      <c r="E68" s="309"/>
      <c r="F68" s="309"/>
      <c r="G68" s="497"/>
      <c r="H68" s="1056"/>
      <c r="I68" s="309"/>
      <c r="J68" s="309"/>
      <c r="K68" s="499"/>
      <c r="L68" s="1069"/>
      <c r="M68" s="499"/>
      <c r="N68" s="458"/>
    </row>
    <row r="69" spans="1:14" s="455" customFormat="1">
      <c r="A69" s="471"/>
      <c r="B69" s="454"/>
      <c r="C69" s="314"/>
      <c r="D69" s="314"/>
      <c r="E69" s="662"/>
      <c r="F69" s="309"/>
      <c r="G69" s="497"/>
      <c r="H69" s="1056"/>
      <c r="I69" s="985"/>
      <c r="J69" s="985"/>
      <c r="K69" s="499"/>
      <c r="L69" s="1016"/>
      <c r="M69" s="499"/>
      <c r="N69" s="458"/>
    </row>
    <row r="70" spans="1:14" s="455" customFormat="1">
      <c r="A70" s="471"/>
      <c r="B70" s="454"/>
      <c r="C70" s="314"/>
      <c r="D70" s="314"/>
      <c r="E70" s="662"/>
      <c r="F70" s="309"/>
      <c r="G70" s="497"/>
      <c r="H70" s="1056"/>
      <c r="I70" s="985"/>
      <c r="J70" s="985"/>
      <c r="K70" s="499"/>
      <c r="L70" s="1016"/>
      <c r="M70" s="499"/>
      <c r="N70" s="458"/>
    </row>
    <row r="71" spans="1:14" s="455" customFormat="1">
      <c r="A71" s="471"/>
      <c r="B71" s="454"/>
      <c r="C71" s="314"/>
      <c r="D71" s="314"/>
      <c r="E71" s="662"/>
      <c r="F71" s="309"/>
      <c r="G71" s="497"/>
      <c r="H71" s="1056"/>
      <c r="I71" s="985"/>
      <c r="J71" s="985"/>
      <c r="K71" s="499"/>
      <c r="L71" s="1071"/>
      <c r="M71" s="499"/>
    </row>
    <row r="72" spans="1:14" s="455" customFormat="1">
      <c r="A72" s="471"/>
      <c r="B72" s="454"/>
      <c r="C72" s="314"/>
      <c r="D72" s="314"/>
      <c r="E72" s="662"/>
      <c r="F72" s="309"/>
      <c r="G72" s="497"/>
      <c r="H72" s="1056"/>
      <c r="I72" s="985"/>
      <c r="J72" s="985"/>
      <c r="K72" s="499"/>
      <c r="L72" s="1071"/>
      <c r="M72" s="499"/>
    </row>
    <row r="73" spans="1:14" s="455" customFormat="1">
      <c r="A73" s="471"/>
      <c r="B73" s="454"/>
      <c r="C73" s="314"/>
      <c r="D73" s="314"/>
      <c r="E73" s="662"/>
      <c r="F73" s="309"/>
      <c r="G73" s="497"/>
      <c r="H73" s="1056"/>
      <c r="I73" s="985"/>
      <c r="J73" s="985"/>
      <c r="K73" s="499"/>
      <c r="L73" s="1016"/>
      <c r="M73" s="499"/>
    </row>
    <row r="74" spans="1:14" s="455" customFormat="1">
      <c r="A74" s="471"/>
      <c r="B74" s="454"/>
      <c r="C74" s="314"/>
      <c r="D74" s="314"/>
      <c r="E74" s="662"/>
      <c r="F74" s="309"/>
      <c r="G74" s="497"/>
      <c r="H74" s="1056"/>
      <c r="I74" s="985"/>
      <c r="J74" s="985"/>
      <c r="K74" s="499"/>
      <c r="L74" s="1016"/>
      <c r="M74" s="499"/>
    </row>
    <row r="75" spans="1:14" s="455" customFormat="1">
      <c r="A75" s="471"/>
      <c r="B75" s="454"/>
      <c r="C75" s="314"/>
      <c r="D75" s="314"/>
      <c r="E75" s="662"/>
      <c r="F75" s="309"/>
      <c r="G75" s="497"/>
      <c r="H75" s="1056"/>
      <c r="I75" s="985"/>
      <c r="J75" s="985"/>
      <c r="K75" s="499"/>
      <c r="L75" s="1016"/>
      <c r="M75" s="499"/>
      <c r="N75" s="458"/>
    </row>
    <row r="76" spans="1:14" s="455" customFormat="1">
      <c r="A76" s="471"/>
      <c r="B76" s="454"/>
      <c r="C76" s="314"/>
      <c r="D76" s="314"/>
      <c r="E76" s="662"/>
      <c r="F76" s="309"/>
      <c r="G76" s="497"/>
      <c r="H76" s="1056"/>
      <c r="I76" s="985"/>
      <c r="J76" s="985"/>
      <c r="K76" s="499"/>
      <c r="L76" s="1016"/>
      <c r="M76" s="499"/>
      <c r="N76" s="458"/>
    </row>
    <row r="77" spans="1:14" s="455" customFormat="1">
      <c r="A77" s="471"/>
      <c r="B77" s="454"/>
      <c r="C77" s="314"/>
      <c r="D77" s="314"/>
      <c r="E77" s="662"/>
      <c r="F77" s="309"/>
      <c r="G77" s="497"/>
      <c r="H77" s="1056"/>
      <c r="I77" s="985"/>
      <c r="J77" s="985"/>
      <c r="K77" s="499"/>
      <c r="L77" s="1016"/>
      <c r="M77" s="499"/>
      <c r="N77" s="458"/>
    </row>
    <row r="78" spans="1:14" s="455" customFormat="1">
      <c r="A78" s="471"/>
      <c r="B78" s="454"/>
      <c r="C78" s="2591"/>
      <c r="D78" s="314"/>
      <c r="E78" s="662"/>
      <c r="F78" s="309"/>
      <c r="G78" s="497"/>
      <c r="H78" s="1056"/>
      <c r="I78" s="985"/>
      <c r="J78" s="985"/>
      <c r="K78" s="499"/>
      <c r="L78" s="1016"/>
      <c r="M78" s="499"/>
    </row>
    <row r="79" spans="1:14" s="455" customFormat="1">
      <c r="A79" s="471"/>
      <c r="B79" s="454"/>
      <c r="C79" s="2593"/>
      <c r="D79" s="314"/>
      <c r="E79" s="662"/>
      <c r="F79" s="309"/>
      <c r="G79" s="497"/>
      <c r="H79" s="1056"/>
      <c r="I79" s="985"/>
      <c r="J79" s="985"/>
      <c r="K79" s="499"/>
      <c r="L79" s="1016"/>
      <c r="M79" s="499"/>
      <c r="N79" s="454"/>
    </row>
    <row r="80" spans="1:14" s="455" customFormat="1">
      <c r="A80" s="471"/>
      <c r="B80" s="454"/>
      <c r="C80" s="2591"/>
      <c r="D80" s="314"/>
      <c r="E80" s="662"/>
      <c r="F80" s="309"/>
      <c r="G80" s="497"/>
      <c r="H80" s="1056"/>
      <c r="I80" s="985"/>
      <c r="J80" s="985"/>
      <c r="K80" s="499"/>
      <c r="L80" s="1016"/>
      <c r="M80" s="499"/>
      <c r="N80" s="458"/>
    </row>
    <row r="81" spans="1:15" s="455" customFormat="1">
      <c r="A81" s="471"/>
      <c r="B81" s="454"/>
      <c r="C81" s="2592"/>
      <c r="D81" s="314"/>
      <c r="E81" s="662"/>
      <c r="F81" s="309"/>
      <c r="G81" s="497"/>
      <c r="H81" s="1056"/>
      <c r="I81" s="985"/>
      <c r="J81" s="985"/>
      <c r="K81" s="499"/>
      <c r="L81" s="1016"/>
      <c r="M81" s="499"/>
      <c r="N81" s="458"/>
    </row>
    <row r="82" spans="1:15" s="455" customFormat="1">
      <c r="A82" s="471"/>
      <c r="B82" s="454"/>
      <c r="C82" s="2593"/>
      <c r="D82" s="314"/>
      <c r="E82" s="662"/>
      <c r="F82" s="309"/>
      <c r="G82" s="497"/>
      <c r="H82" s="1056"/>
      <c r="I82" s="985"/>
      <c r="J82" s="985"/>
      <c r="K82" s="499"/>
      <c r="L82" s="1016"/>
      <c r="M82" s="499"/>
      <c r="N82" s="458"/>
    </row>
    <row r="83" spans="1:15" s="455" customFormat="1">
      <c r="A83" s="471"/>
      <c r="B83" s="454"/>
      <c r="C83" s="314"/>
      <c r="D83" s="314"/>
      <c r="E83" s="662"/>
      <c r="F83" s="309"/>
      <c r="G83" s="497"/>
      <c r="H83" s="985"/>
      <c r="I83" s="985"/>
      <c r="J83" s="985"/>
      <c r="K83" s="499"/>
      <c r="L83" s="1016"/>
      <c r="M83" s="499"/>
      <c r="N83" s="458"/>
    </row>
    <row r="84" spans="1:15" s="455" customFormat="1">
      <c r="A84" s="471"/>
      <c r="B84" s="454"/>
      <c r="C84" s="314"/>
      <c r="D84" s="314"/>
      <c r="E84" s="662"/>
      <c r="F84" s="309"/>
      <c r="G84" s="497"/>
      <c r="H84" s="985"/>
      <c r="I84" s="985"/>
      <c r="J84" s="985"/>
      <c r="K84" s="499"/>
      <c r="L84" s="1016"/>
      <c r="M84" s="499"/>
      <c r="N84" s="460"/>
    </row>
    <row r="85" spans="1:15" s="455" customFormat="1">
      <c r="C85" s="314"/>
      <c r="D85" s="314"/>
      <c r="E85" s="662"/>
      <c r="F85" s="662"/>
      <c r="G85" s="309"/>
      <c r="H85" s="497"/>
      <c r="I85" s="1056"/>
      <c r="J85" s="985"/>
      <c r="K85" s="985"/>
      <c r="L85" s="499"/>
      <c r="M85" s="1025"/>
      <c r="N85" s="499"/>
    </row>
    <row r="86" spans="1:15" s="455" customFormat="1">
      <c r="C86" s="902"/>
      <c r="D86" s="309"/>
      <c r="E86" s="662"/>
      <c r="F86" s="662"/>
      <c r="G86" s="309"/>
      <c r="H86" s="497"/>
      <c r="I86" s="653"/>
      <c r="J86" s="985"/>
      <c r="K86" s="1469"/>
      <c r="L86" s="499"/>
      <c r="M86" s="1025"/>
      <c r="N86" s="499"/>
    </row>
    <row r="87" spans="1:15" s="455" customFormat="1">
      <c r="A87" s="566"/>
      <c r="B87" s="467"/>
      <c r="C87" s="499"/>
      <c r="D87" s="309"/>
      <c r="E87" s="391"/>
      <c r="F87" s="499"/>
      <c r="G87" s="497"/>
      <c r="H87" s="498"/>
      <c r="I87" s="498"/>
      <c r="J87" s="498"/>
      <c r="K87" s="499"/>
      <c r="L87" s="1470"/>
      <c r="M87" s="309"/>
      <c r="N87" s="499"/>
    </row>
    <row r="88" spans="1:15" s="455" customFormat="1">
      <c r="A88" s="566"/>
      <c r="B88" s="467"/>
      <c r="C88" s="497"/>
      <c r="D88" s="691"/>
      <c r="E88" s="675"/>
      <c r="F88" s="675"/>
      <c r="G88" s="654"/>
      <c r="H88" s="502"/>
      <c r="I88" s="652"/>
      <c r="J88" s="497"/>
      <c r="K88" s="653"/>
      <c r="L88" s="502"/>
      <c r="M88" s="538"/>
      <c r="N88" s="392"/>
      <c r="O88" s="502"/>
    </row>
    <row r="89" spans="1:15" s="455" customFormat="1">
      <c r="A89" s="566"/>
      <c r="B89" s="467"/>
      <c r="C89" s="497"/>
      <c r="D89" s="691"/>
      <c r="E89" s="675"/>
      <c r="F89" s="675"/>
      <c r="G89" s="654"/>
      <c r="H89" s="502"/>
      <c r="I89" s="652"/>
      <c r="J89" s="497"/>
      <c r="K89" s="653"/>
      <c r="L89" s="502"/>
      <c r="M89" s="538"/>
      <c r="N89" s="392"/>
      <c r="O89" s="502"/>
    </row>
    <row r="90" spans="1:15" s="455" customFormat="1">
      <c r="A90" s="566"/>
      <c r="B90" s="467"/>
      <c r="C90" s="497"/>
      <c r="D90" s="691"/>
      <c r="E90" s="675"/>
      <c r="F90" s="675"/>
      <c r="G90" s="654"/>
      <c r="H90" s="502"/>
      <c r="I90" s="652"/>
      <c r="J90" s="497"/>
      <c r="K90" s="653"/>
      <c r="L90" s="502"/>
      <c r="M90" s="538"/>
      <c r="N90" s="392"/>
      <c r="O90" s="502"/>
    </row>
    <row r="91" spans="1:15" s="455" customFormat="1">
      <c r="A91" s="566"/>
      <c r="B91" s="467"/>
      <c r="C91" s="497"/>
      <c r="D91" s="691"/>
      <c r="E91" s="675"/>
      <c r="F91" s="675"/>
      <c r="G91" s="654"/>
      <c r="H91" s="502"/>
      <c r="I91" s="652"/>
      <c r="J91" s="497"/>
      <c r="K91" s="653"/>
      <c r="L91" s="502"/>
      <c r="M91" s="538"/>
      <c r="N91" s="392"/>
      <c r="O91" s="502"/>
    </row>
    <row r="92" spans="1:15" s="455" customFormat="1">
      <c r="C92" s="1384"/>
      <c r="D92" s="314"/>
      <c r="E92" s="662"/>
      <c r="F92" s="662"/>
      <c r="G92" s="309"/>
      <c r="H92" s="497"/>
      <c r="I92" s="653"/>
      <c r="J92" s="985"/>
      <c r="K92" s="1469"/>
      <c r="L92" s="499"/>
      <c r="M92" s="1025"/>
      <c r="N92" s="499"/>
    </row>
    <row r="93" spans="1:15" s="455" customFormat="1">
      <c r="C93" s="1384"/>
      <c r="D93" s="314"/>
      <c r="E93" s="662"/>
      <c r="F93" s="662"/>
      <c r="G93" s="309"/>
      <c r="H93" s="497"/>
      <c r="I93" s="653"/>
      <c r="J93" s="985"/>
      <c r="K93" s="1469"/>
      <c r="L93" s="499"/>
      <c r="M93" s="1025"/>
      <c r="N93" s="499"/>
    </row>
    <row r="94" spans="1:15" s="455" customFormat="1">
      <c r="A94" s="566"/>
      <c r="B94" s="467"/>
      <c r="C94" s="499"/>
      <c r="D94" s="309"/>
      <c r="E94" s="391"/>
      <c r="F94" s="499"/>
      <c r="G94" s="497"/>
      <c r="H94" s="498"/>
      <c r="I94" s="498"/>
      <c r="J94" s="498"/>
      <c r="K94" s="499"/>
      <c r="L94" s="1470"/>
      <c r="M94" s="309"/>
      <c r="N94" s="499"/>
    </row>
    <row r="95" spans="1:15" s="455" customFormat="1">
      <c r="A95" s="566"/>
      <c r="B95" s="467"/>
      <c r="C95" s="497"/>
      <c r="D95" s="691"/>
      <c r="E95" s="675"/>
      <c r="F95" s="675"/>
      <c r="G95" s="654"/>
      <c r="H95" s="502"/>
      <c r="I95" s="652"/>
      <c r="J95" s="497"/>
      <c r="K95" s="653"/>
      <c r="L95" s="502"/>
      <c r="M95" s="538"/>
      <c r="N95" s="392"/>
      <c r="O95" s="502"/>
    </row>
    <row r="96" spans="1:15" s="455" customFormat="1">
      <c r="A96" s="566"/>
      <c r="B96" s="467"/>
      <c r="C96" s="497"/>
      <c r="D96" s="691"/>
      <c r="E96" s="675"/>
      <c r="F96" s="675"/>
      <c r="G96" s="654"/>
      <c r="H96" s="502"/>
      <c r="I96" s="652"/>
      <c r="J96" s="497"/>
      <c r="K96" s="653"/>
      <c r="L96" s="502"/>
      <c r="M96" s="538"/>
      <c r="N96" s="392"/>
      <c r="O96" s="502"/>
    </row>
    <row r="97" spans="1:15" s="455" customFormat="1">
      <c r="A97" s="566"/>
      <c r="B97" s="467"/>
      <c r="C97" s="497"/>
      <c r="D97" s="691"/>
      <c r="E97" s="675"/>
      <c r="F97" s="675"/>
      <c r="G97" s="654"/>
      <c r="H97" s="502"/>
      <c r="I97" s="652"/>
      <c r="J97" s="497"/>
      <c r="K97" s="653"/>
      <c r="L97" s="502"/>
      <c r="M97" s="538"/>
      <c r="N97" s="392"/>
      <c r="O97" s="502"/>
    </row>
    <row r="98" spans="1:15" s="455" customFormat="1">
      <c r="A98" s="566"/>
      <c r="B98" s="467"/>
      <c r="C98" s="497"/>
      <c r="D98" s="691"/>
      <c r="E98" s="675"/>
      <c r="F98" s="675"/>
      <c r="G98" s="654"/>
      <c r="H98" s="502"/>
      <c r="I98" s="652"/>
      <c r="J98" s="497"/>
      <c r="K98" s="653"/>
      <c r="L98" s="502"/>
      <c r="M98" s="538"/>
      <c r="N98" s="392"/>
      <c r="O98" s="502"/>
    </row>
    <row r="99" spans="1:15" s="455" customFormat="1">
      <c r="C99" s="1385"/>
      <c r="D99" s="314"/>
      <c r="E99" s="991"/>
      <c r="F99" s="662"/>
      <c r="G99" s="309"/>
      <c r="H99" s="497"/>
      <c r="I99" s="774"/>
      <c r="J99" s="774"/>
      <c r="K99" s="774"/>
      <c r="L99" s="499"/>
      <c r="M99" s="1028"/>
      <c r="N99" s="499"/>
    </row>
    <row r="100" spans="1:15" s="455" customFormat="1">
      <c r="C100" s="314"/>
      <c r="D100" s="314"/>
      <c r="E100" s="991"/>
      <c r="F100" s="662"/>
      <c r="G100" s="309"/>
      <c r="H100" s="497"/>
      <c r="I100" s="774"/>
      <c r="J100" s="774"/>
      <c r="K100" s="1471"/>
      <c r="L100" s="499"/>
      <c r="M100" s="1028"/>
      <c r="N100" s="499"/>
    </row>
    <row r="101" spans="1:15" s="455" customFormat="1">
      <c r="C101" s="1027"/>
      <c r="D101" s="314"/>
      <c r="E101" s="991"/>
      <c r="F101" s="662"/>
      <c r="G101" s="309"/>
      <c r="H101" s="497"/>
      <c r="I101" s="1056"/>
      <c r="J101" s="985"/>
      <c r="K101" s="985"/>
      <c r="L101" s="499"/>
      <c r="M101" s="1028"/>
      <c r="N101" s="499"/>
    </row>
    <row r="102" spans="1:15" s="455" customFormat="1">
      <c r="C102" s="499"/>
      <c r="D102" s="309"/>
      <c r="E102" s="391"/>
      <c r="F102" s="499"/>
      <c r="G102" s="497"/>
      <c r="H102" s="498"/>
      <c r="I102" s="498"/>
      <c r="J102" s="498"/>
      <c r="K102" s="499"/>
      <c r="L102" s="1472"/>
      <c r="M102" s="309"/>
      <c r="N102" s="499"/>
    </row>
    <row r="103" spans="1:15" s="455" customFormat="1">
      <c r="C103" s="497"/>
      <c r="D103" s="691"/>
      <c r="E103" s="675"/>
      <c r="F103" s="675"/>
      <c r="G103" s="654"/>
      <c r="H103" s="502"/>
      <c r="I103" s="652"/>
      <c r="J103" s="497"/>
      <c r="K103" s="653"/>
      <c r="L103" s="502"/>
      <c r="M103" s="538"/>
      <c r="N103" s="392"/>
      <c r="O103" s="502"/>
    </row>
    <row r="104" spans="1:15" s="455" customFormat="1">
      <c r="C104" s="497"/>
      <c r="D104" s="691"/>
      <c r="E104" s="675"/>
      <c r="F104" s="675"/>
      <c r="G104" s="654"/>
      <c r="H104" s="502"/>
      <c r="I104" s="652"/>
      <c r="J104" s="497"/>
      <c r="K104" s="653"/>
      <c r="L104" s="502"/>
      <c r="M104" s="538"/>
      <c r="N104" s="392"/>
      <c r="O104" s="502"/>
    </row>
    <row r="105" spans="1:15" s="455" customFormat="1">
      <c r="C105" s="497"/>
      <c r="D105" s="691"/>
      <c r="E105" s="675"/>
      <c r="F105" s="675"/>
      <c r="G105" s="654"/>
      <c r="H105" s="502"/>
      <c r="I105" s="652"/>
      <c r="J105" s="497"/>
      <c r="K105" s="653"/>
      <c r="L105" s="502"/>
      <c r="M105" s="538"/>
      <c r="N105" s="392"/>
      <c r="O105" s="502"/>
    </row>
    <row r="106" spans="1:15" s="455" customFormat="1">
      <c r="C106" s="497"/>
      <c r="D106" s="691"/>
      <c r="E106" s="675"/>
      <c r="F106" s="675"/>
      <c r="G106" s="654"/>
      <c r="H106" s="502"/>
      <c r="I106" s="652"/>
      <c r="J106" s="497"/>
      <c r="K106" s="653"/>
      <c r="L106" s="502"/>
      <c r="M106" s="538"/>
      <c r="N106" s="392"/>
      <c r="O106" s="502"/>
    </row>
    <row r="107" spans="1:15" s="455" customFormat="1">
      <c r="C107" s="497"/>
      <c r="D107" s="691"/>
      <c r="E107" s="675"/>
      <c r="F107" s="675"/>
      <c r="G107" s="654"/>
      <c r="H107" s="502"/>
      <c r="I107" s="652"/>
      <c r="J107" s="497"/>
      <c r="K107" s="653"/>
      <c r="L107" s="502"/>
      <c r="M107" s="538"/>
      <c r="N107" s="392"/>
      <c r="O107" s="502"/>
    </row>
    <row r="108" spans="1:15" s="455" customFormat="1">
      <c r="C108" s="497"/>
      <c r="D108" s="691"/>
      <c r="E108" s="675"/>
      <c r="F108" s="675"/>
      <c r="G108" s="654"/>
      <c r="H108" s="502"/>
      <c r="I108" s="652"/>
      <c r="J108" s="497"/>
      <c r="K108" s="653"/>
      <c r="L108" s="502"/>
      <c r="M108" s="538"/>
      <c r="N108" s="392"/>
      <c r="O108" s="502"/>
    </row>
    <row r="109" spans="1:15" s="455" customFormat="1">
      <c r="C109" s="497"/>
      <c r="D109" s="691"/>
      <c r="E109" s="675"/>
      <c r="F109" s="1473"/>
      <c r="G109" s="654"/>
      <c r="H109" s="502"/>
      <c r="I109" s="652"/>
      <c r="J109" s="497"/>
      <c r="K109" s="653"/>
      <c r="L109" s="502"/>
      <c r="M109" s="538"/>
      <c r="N109" s="392"/>
      <c r="O109" s="502"/>
    </row>
    <row r="110" spans="1:15">
      <c r="C110" s="400"/>
      <c r="D110" s="400"/>
      <c r="E110" s="401"/>
      <c r="F110" s="402"/>
      <c r="G110" s="402"/>
      <c r="H110" s="403"/>
      <c r="I110" s="403"/>
      <c r="J110" s="403"/>
      <c r="K110" s="402"/>
      <c r="L110" s="404"/>
      <c r="M110" s="402"/>
      <c r="N110" s="405"/>
    </row>
    <row r="111" spans="1:15">
      <c r="C111" s="400"/>
      <c r="D111" s="400"/>
      <c r="E111" s="401"/>
      <c r="F111" s="402"/>
      <c r="G111" s="402"/>
      <c r="H111" s="403"/>
      <c r="I111" s="403"/>
      <c r="J111" s="403"/>
      <c r="K111" s="402"/>
      <c r="L111" s="404"/>
      <c r="M111" s="402"/>
      <c r="N111" s="405"/>
    </row>
    <row r="112" spans="1:15">
      <c r="C112" s="400"/>
      <c r="D112" s="400"/>
      <c r="E112" s="401"/>
      <c r="F112" s="402"/>
      <c r="G112" s="402"/>
      <c r="H112" s="403"/>
      <c r="I112" s="403"/>
      <c r="J112" s="403"/>
      <c r="K112" s="402"/>
      <c r="L112" s="404"/>
      <c r="M112" s="402"/>
      <c r="N112" s="405"/>
    </row>
    <row r="113" spans="3:14">
      <c r="C113" s="400"/>
      <c r="D113" s="400"/>
      <c r="E113" s="401"/>
      <c r="F113" s="402"/>
      <c r="G113" s="402"/>
      <c r="H113" s="403"/>
      <c r="I113" s="403"/>
      <c r="J113" s="403"/>
      <c r="K113" s="402"/>
      <c r="L113" s="404"/>
      <c r="M113" s="402"/>
      <c r="N113" s="405"/>
    </row>
    <row r="114" spans="3:14">
      <c r="C114" s="400"/>
      <c r="D114" s="400"/>
      <c r="E114" s="401"/>
      <c r="F114" s="402"/>
      <c r="G114" s="402"/>
      <c r="H114" s="403"/>
      <c r="I114" s="403"/>
      <c r="J114" s="403"/>
      <c r="K114" s="402"/>
      <c r="L114" s="404"/>
      <c r="M114" s="402"/>
      <c r="N114" s="405"/>
    </row>
    <row r="115" spans="3:14">
      <c r="C115" s="400"/>
      <c r="D115" s="400"/>
      <c r="E115" s="401"/>
      <c r="F115" s="402"/>
      <c r="G115" s="402"/>
      <c r="H115" s="403"/>
      <c r="I115" s="403"/>
      <c r="J115" s="403"/>
      <c r="K115" s="402"/>
      <c r="L115" s="404"/>
      <c r="M115" s="402"/>
      <c r="N115" s="405"/>
    </row>
    <row r="116" spans="3:14">
      <c r="C116" s="400"/>
      <c r="D116" s="400"/>
      <c r="E116" s="401"/>
      <c r="F116" s="402"/>
      <c r="G116" s="402"/>
      <c r="H116" s="403"/>
      <c r="I116" s="403"/>
      <c r="J116" s="403"/>
      <c r="K116" s="402"/>
      <c r="L116" s="404"/>
      <c r="M116" s="402"/>
      <c r="N116" s="405"/>
    </row>
    <row r="117" spans="3:14">
      <c r="C117" s="400"/>
      <c r="D117" s="400"/>
      <c r="E117" s="401"/>
      <c r="F117" s="402"/>
      <c r="G117" s="402"/>
      <c r="H117" s="403"/>
      <c r="I117" s="403"/>
      <c r="J117" s="403"/>
      <c r="K117" s="402"/>
      <c r="L117" s="404"/>
      <c r="M117" s="402"/>
      <c r="N117" s="405"/>
    </row>
    <row r="118" spans="3:14">
      <c r="C118" s="400"/>
      <c r="D118" s="400"/>
      <c r="E118" s="401"/>
      <c r="F118" s="402"/>
      <c r="G118" s="402"/>
      <c r="H118" s="403"/>
      <c r="I118" s="403"/>
      <c r="J118" s="403"/>
      <c r="K118" s="402"/>
      <c r="L118" s="404"/>
      <c r="M118" s="402"/>
      <c r="N118" s="405"/>
    </row>
    <row r="119" spans="3:14">
      <c r="C119" s="400"/>
      <c r="D119" s="400"/>
      <c r="E119" s="401"/>
      <c r="F119" s="402"/>
      <c r="G119" s="402"/>
      <c r="H119" s="403"/>
      <c r="I119" s="403"/>
      <c r="J119" s="403"/>
      <c r="K119" s="402"/>
      <c r="L119" s="404"/>
      <c r="M119" s="402"/>
      <c r="N119" s="405"/>
    </row>
    <row r="120" spans="3:14">
      <c r="C120" s="400"/>
      <c r="D120" s="400"/>
      <c r="E120" s="401"/>
      <c r="F120" s="402"/>
      <c r="G120" s="402"/>
      <c r="H120" s="403"/>
      <c r="I120" s="403"/>
      <c r="J120" s="403"/>
      <c r="K120" s="402"/>
      <c r="L120" s="404"/>
      <c r="M120" s="402"/>
      <c r="N120" s="405"/>
    </row>
    <row r="121" spans="3:14">
      <c r="C121" s="400"/>
      <c r="D121" s="400"/>
      <c r="E121" s="401"/>
      <c r="F121" s="402"/>
      <c r="G121" s="402"/>
      <c r="H121" s="403"/>
      <c r="I121" s="403"/>
      <c r="J121" s="403"/>
      <c r="K121" s="402"/>
      <c r="L121" s="404"/>
      <c r="M121" s="402"/>
      <c r="N121" s="405"/>
    </row>
    <row r="122" spans="3:14">
      <c r="C122" s="400"/>
      <c r="D122" s="400"/>
      <c r="E122" s="401"/>
      <c r="F122" s="402"/>
      <c r="G122" s="402"/>
      <c r="H122" s="403"/>
      <c r="I122" s="403"/>
      <c r="J122" s="403"/>
      <c r="K122" s="402"/>
      <c r="L122" s="404"/>
      <c r="M122" s="407"/>
      <c r="N122" s="405"/>
    </row>
    <row r="123" spans="3:14">
      <c r="C123" s="400"/>
      <c r="D123" s="400"/>
      <c r="E123" s="401"/>
      <c r="F123" s="402"/>
      <c r="G123" s="403"/>
      <c r="H123" s="403"/>
      <c r="I123" s="403"/>
      <c r="J123" s="403"/>
      <c r="K123" s="408"/>
      <c r="L123" s="404"/>
      <c r="M123" s="407"/>
      <c r="N123" s="405"/>
    </row>
    <row r="124" spans="3:14">
      <c r="C124" s="352"/>
      <c r="D124" s="352"/>
      <c r="E124" s="352"/>
      <c r="F124" s="352"/>
      <c r="G124" s="352"/>
      <c r="H124" s="352"/>
      <c r="I124" s="352"/>
      <c r="J124" s="352"/>
      <c r="K124" s="352"/>
      <c r="L124" s="1403">
        <f>SUM(L5:L122)</f>
        <v>558840</v>
      </c>
      <c r="M124" s="352"/>
      <c r="N124" s="352"/>
    </row>
    <row r="125" spans="3:14" ht="14.25" customHeight="1">
      <c r="C125" s="367"/>
      <c r="D125" s="368"/>
      <c r="E125" s="369"/>
      <c r="F125" s="370"/>
      <c r="G125" s="370"/>
      <c r="H125" s="371"/>
      <c r="I125" s="371"/>
      <c r="J125" s="371"/>
      <c r="K125" s="370"/>
      <c r="L125" s="372"/>
      <c r="M125" s="370"/>
      <c r="N125" s="368"/>
    </row>
    <row r="126" spans="3:14" s="302" customFormat="1" ht="14.25" customHeight="1">
      <c r="C126" s="367"/>
      <c r="D126" s="368"/>
      <c r="E126" s="373"/>
      <c r="F126" s="370"/>
      <c r="G126" s="370"/>
      <c r="H126" s="371"/>
      <c r="I126" s="371"/>
      <c r="J126" s="371"/>
      <c r="K126" s="370"/>
      <c r="L126" s="372"/>
      <c r="M126" s="370"/>
      <c r="N126" s="368"/>
    </row>
    <row r="127" spans="3:14" s="302" customFormat="1" ht="14.25" customHeight="1">
      <c r="C127" s="374"/>
      <c r="D127" s="375"/>
      <c r="E127" s="373"/>
      <c r="F127" s="376"/>
      <c r="G127" s="376"/>
      <c r="H127" s="377"/>
      <c r="I127" s="377"/>
      <c r="J127" s="377"/>
      <c r="K127" s="376"/>
      <c r="L127" s="378"/>
      <c r="M127" s="376"/>
      <c r="N127" s="375"/>
    </row>
  </sheetData>
  <mergeCells count="9">
    <mergeCell ref="M2:M3"/>
    <mergeCell ref="N2:N3"/>
    <mergeCell ref="C7:C13"/>
    <mergeCell ref="C78:C79"/>
    <mergeCell ref="C80:C82"/>
    <mergeCell ref="C16:C21"/>
    <mergeCell ref="C2:G2"/>
    <mergeCell ref="H2:J2"/>
    <mergeCell ref="K2:L2"/>
  </mergeCells>
  <pageMargins left="0.7" right="0.7" top="0.75" bottom="0.75" header="0.3" footer="0.3"/>
  <pageSetup paperSize="9"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FBDE3-D3B7-4662-B7D3-E6560DD1DE85}">
  <sheetPr>
    <tabColor rgb="FF00B0F0"/>
  </sheetPr>
  <dimension ref="A2:O145"/>
  <sheetViews>
    <sheetView zoomScale="85" zoomScaleNormal="85" workbookViewId="0">
      <pane ySplit="4" topLeftCell="A29" activePane="bottomLeft" state="frozen"/>
      <selection pane="bottomLeft" activeCell="F41" sqref="F41:M41"/>
    </sheetView>
  </sheetViews>
  <sheetFormatPr defaultRowHeight="13.5"/>
  <cols>
    <col min="1" max="2" width="9.140625" style="355"/>
    <col min="3" max="3" width="32.85546875" style="355" customWidth="1"/>
    <col min="4" max="4" width="49.7109375" style="355" bestFit="1" customWidth="1"/>
    <col min="5" max="5" width="26" style="355" customWidth="1"/>
    <col min="6" max="6" width="16.7109375" style="355" customWidth="1"/>
    <col min="7" max="7" width="11.7109375" style="355" customWidth="1"/>
    <col min="8" max="8" width="13.7109375" style="355" customWidth="1"/>
    <col min="9" max="9" width="9.140625" style="355"/>
    <col min="10" max="10" width="12.5703125" style="355" customWidth="1"/>
    <col min="11" max="11" width="18.5703125" style="355" customWidth="1"/>
    <col min="12" max="12" width="15.5703125" style="32" customWidth="1"/>
    <col min="13" max="13" width="16.28515625" style="355" customWidth="1"/>
    <col min="14" max="14" width="12.85546875" style="355" customWidth="1"/>
    <col min="15" max="16" width="9.140625" style="355"/>
    <col min="17" max="17" width="73.7109375" style="355" bestFit="1" customWidth="1"/>
    <col min="18" max="16384" width="9.140625" style="355"/>
  </cols>
  <sheetData>
    <row r="2" spans="1:14">
      <c r="C2" s="2601" t="s">
        <v>30</v>
      </c>
      <c r="D2" s="2602"/>
      <c r="E2" s="2602"/>
      <c r="F2" s="2602"/>
      <c r="G2" s="2603"/>
      <c r="H2" s="2604" t="s">
        <v>29</v>
      </c>
      <c r="I2" s="2605"/>
      <c r="J2" s="2606"/>
      <c r="K2" s="2601" t="s">
        <v>28</v>
      </c>
      <c r="L2" s="2603"/>
      <c r="M2" s="2594" t="s">
        <v>27</v>
      </c>
      <c r="N2" s="2594" t="s">
        <v>26</v>
      </c>
    </row>
    <row r="3" spans="1:14" ht="94.5">
      <c r="C3" s="618" t="s">
        <v>25</v>
      </c>
      <c r="D3" s="852" t="s">
        <v>24</v>
      </c>
      <c r="E3" s="991" t="s">
        <v>23</v>
      </c>
      <c r="F3" s="618" t="s">
        <v>22</v>
      </c>
      <c r="G3" s="532" t="s">
        <v>1303</v>
      </c>
      <c r="H3" s="532" t="s">
        <v>20</v>
      </c>
      <c r="I3" s="532" t="s">
        <v>19</v>
      </c>
      <c r="J3" s="532" t="s">
        <v>18</v>
      </c>
      <c r="K3" s="618" t="s">
        <v>17</v>
      </c>
      <c r="L3" s="605" t="s">
        <v>16</v>
      </c>
      <c r="M3" s="2594"/>
      <c r="N3" s="2594"/>
    </row>
    <row r="4" spans="1:14" ht="27">
      <c r="C4" s="1076" t="s">
        <v>15</v>
      </c>
      <c r="D4" s="1076" t="s">
        <v>14</v>
      </c>
      <c r="E4" s="1076" t="s">
        <v>13</v>
      </c>
      <c r="F4" s="1076" t="s">
        <v>12</v>
      </c>
      <c r="G4" s="1076" t="s">
        <v>11</v>
      </c>
      <c r="H4" s="1076" t="s">
        <v>10</v>
      </c>
      <c r="I4" s="1076" t="s">
        <v>9</v>
      </c>
      <c r="J4" s="1076" t="s">
        <v>8</v>
      </c>
      <c r="K4" s="1076" t="s">
        <v>7</v>
      </c>
      <c r="L4" s="1077" t="s">
        <v>6</v>
      </c>
      <c r="M4" s="1076" t="s">
        <v>5</v>
      </c>
      <c r="N4" s="1076" t="s">
        <v>4</v>
      </c>
    </row>
    <row r="5" spans="1:14" s="455" customFormat="1" ht="25.5" customHeight="1">
      <c r="A5" s="471"/>
      <c r="B5" s="483" t="s">
        <v>1561</v>
      </c>
      <c r="C5" s="2257" t="s">
        <v>1567</v>
      </c>
      <c r="D5" s="609" t="s">
        <v>1568</v>
      </c>
      <c r="E5" s="609" t="s">
        <v>1755</v>
      </c>
      <c r="F5" s="2157" t="s">
        <v>674</v>
      </c>
      <c r="G5" s="741"/>
      <c r="H5" s="2258" t="s">
        <v>652</v>
      </c>
      <c r="I5" s="1652" t="s">
        <v>653</v>
      </c>
      <c r="J5" s="1653" t="s">
        <v>1558</v>
      </c>
      <c r="K5" s="437" t="s">
        <v>748</v>
      </c>
      <c r="L5" s="2260">
        <v>2500</v>
      </c>
      <c r="M5" s="1606"/>
      <c r="N5" s="741"/>
    </row>
    <row r="6" spans="1:14" s="455" customFormat="1">
      <c r="A6" s="471"/>
      <c r="B6" s="483"/>
      <c r="C6" s="2261"/>
      <c r="D6" s="609"/>
      <c r="E6" s="609"/>
      <c r="F6" s="2157"/>
      <c r="G6" s="741"/>
      <c r="H6" s="2258"/>
      <c r="I6" s="1652"/>
      <c r="J6" s="1653"/>
      <c r="K6" s="437"/>
      <c r="L6" s="2260"/>
      <c r="M6" s="741"/>
      <c r="N6" s="741"/>
    </row>
    <row r="7" spans="1:14" s="455" customFormat="1">
      <c r="A7" s="471"/>
      <c r="B7" s="454"/>
      <c r="C7" s="902"/>
      <c r="D7" s="902"/>
      <c r="E7" s="902"/>
      <c r="F7" s="636"/>
      <c r="G7" s="1462"/>
      <c r="H7" s="1462"/>
      <c r="I7" s="1462"/>
      <c r="J7" s="1380"/>
      <c r="K7" s="1463"/>
      <c r="L7" s="1172"/>
      <c r="M7" s="460"/>
      <c r="N7" s="1526"/>
    </row>
    <row r="8" spans="1:14" s="455" customFormat="1">
      <c r="A8" s="471"/>
      <c r="B8" s="454"/>
      <c r="C8" s="902"/>
      <c r="D8" s="902"/>
      <c r="E8" s="902"/>
      <c r="F8" s="636"/>
      <c r="G8" s="1462"/>
      <c r="H8" s="1462"/>
      <c r="I8" s="1462"/>
      <c r="J8" s="1380"/>
      <c r="K8" s="1463"/>
      <c r="L8" s="1172"/>
      <c r="M8" s="460"/>
      <c r="N8" s="1527"/>
    </row>
    <row r="9" spans="1:14" s="455" customFormat="1" ht="54">
      <c r="A9" s="471"/>
      <c r="B9" s="454" t="s">
        <v>1675</v>
      </c>
      <c r="C9" s="959" t="s">
        <v>1656</v>
      </c>
      <c r="D9" s="309" t="s">
        <v>658</v>
      </c>
      <c r="E9" s="662"/>
      <c r="F9" s="662" t="s">
        <v>422</v>
      </c>
      <c r="G9" s="502"/>
      <c r="H9" s="498" t="s">
        <v>652</v>
      </c>
      <c r="I9" s="498" t="s">
        <v>1654</v>
      </c>
      <c r="J9" s="498" t="s">
        <v>1655</v>
      </c>
      <c r="K9" s="499" t="s">
        <v>748</v>
      </c>
      <c r="L9" s="2262">
        <v>43960</v>
      </c>
      <c r="M9" s="392"/>
      <c r="N9" s="502"/>
    </row>
    <row r="10" spans="1:14" s="455" customFormat="1">
      <c r="A10" s="471"/>
      <c r="B10" s="454"/>
      <c r="C10" s="314"/>
      <c r="D10" s="309"/>
      <c r="E10" s="309"/>
      <c r="F10" s="309"/>
      <c r="G10" s="309"/>
      <c r="H10" s="309"/>
      <c r="I10" s="309"/>
      <c r="J10" s="309"/>
      <c r="K10" s="309"/>
      <c r="L10" s="309"/>
      <c r="M10" s="309"/>
      <c r="N10" s="625"/>
    </row>
    <row r="11" spans="1:14" s="455" customFormat="1">
      <c r="A11" s="471"/>
      <c r="B11" s="454"/>
      <c r="C11" s="314"/>
      <c r="D11" s="309"/>
      <c r="E11" s="309"/>
      <c r="F11" s="497"/>
      <c r="G11" s="985"/>
      <c r="H11" s="985"/>
      <c r="I11" s="985"/>
      <c r="J11" s="499"/>
      <c r="K11" s="1025"/>
      <c r="L11" s="499"/>
      <c r="M11" s="625"/>
    </row>
    <row r="12" spans="1:14" s="455" customFormat="1" ht="54">
      <c r="A12" s="471"/>
      <c r="B12" s="454" t="s">
        <v>1677</v>
      </c>
      <c r="C12" s="959" t="s">
        <v>1656</v>
      </c>
      <c r="D12" s="309" t="s">
        <v>658</v>
      </c>
      <c r="E12" s="662"/>
      <c r="F12" s="662" t="s">
        <v>422</v>
      </c>
      <c r="G12" s="502"/>
      <c r="H12" s="498" t="s">
        <v>652</v>
      </c>
      <c r="I12" s="498" t="s">
        <v>1654</v>
      </c>
      <c r="J12" s="498" t="s">
        <v>1655</v>
      </c>
      <c r="K12" s="499" t="s">
        <v>748</v>
      </c>
      <c r="L12" s="2262">
        <v>50000</v>
      </c>
      <c r="M12" s="392"/>
      <c r="N12" s="502"/>
    </row>
    <row r="13" spans="1:14" s="455" customFormat="1">
      <c r="A13" s="471"/>
      <c r="B13" s="454"/>
      <c r="C13" s="314"/>
      <c r="D13" s="309"/>
      <c r="E13" s="309"/>
      <c r="F13" s="497"/>
      <c r="G13" s="985"/>
      <c r="H13" s="985"/>
      <c r="I13" s="985"/>
      <c r="J13" s="499"/>
      <c r="K13" s="1025"/>
      <c r="L13" s="499"/>
      <c r="M13" s="1465"/>
    </row>
    <row r="14" spans="1:14" s="455" customFormat="1">
      <c r="A14" s="471"/>
      <c r="B14" s="454"/>
      <c r="C14" s="1524"/>
      <c r="D14" s="309"/>
      <c r="E14" s="309"/>
      <c r="F14" s="497"/>
      <c r="G14" s="1056"/>
      <c r="H14" s="985"/>
      <c r="I14" s="985"/>
      <c r="J14" s="499"/>
      <c r="K14" s="1025"/>
      <c r="L14" s="499"/>
    </row>
    <row r="15" spans="1:14" s="455" customFormat="1">
      <c r="A15" s="471"/>
      <c r="B15" s="454"/>
      <c r="C15" s="1525"/>
      <c r="D15" s="309"/>
      <c r="E15" s="309"/>
      <c r="F15" s="497"/>
      <c r="G15" s="1056"/>
      <c r="H15" s="985"/>
      <c r="I15" s="985"/>
      <c r="J15" s="499"/>
      <c r="K15" s="1025"/>
      <c r="L15" s="499"/>
    </row>
    <row r="16" spans="1:14" s="455" customFormat="1" ht="40.5">
      <c r="A16" s="471"/>
      <c r="B16" s="454" t="s">
        <v>1724</v>
      </c>
      <c r="C16" s="410" t="s">
        <v>3890</v>
      </c>
      <c r="D16" s="309" t="s">
        <v>2</v>
      </c>
      <c r="E16" s="852" t="s">
        <v>1730</v>
      </c>
      <c r="F16" s="304"/>
      <c r="G16" s="306"/>
      <c r="H16" s="307" t="s">
        <v>675</v>
      </c>
      <c r="I16" s="307" t="s">
        <v>653</v>
      </c>
      <c r="J16" s="307" t="s">
        <v>1686</v>
      </c>
      <c r="K16" s="308" t="s">
        <v>748</v>
      </c>
      <c r="L16" s="1617">
        <v>22500</v>
      </c>
      <c r="M16" s="306"/>
      <c r="N16" s="306"/>
    </row>
    <row r="17" spans="1:15" s="455" customFormat="1">
      <c r="A17" s="471"/>
      <c r="B17" s="454"/>
      <c r="C17" s="392"/>
      <c r="D17" s="309"/>
      <c r="E17" s="309"/>
      <c r="F17" s="309"/>
      <c r="G17" s="497"/>
      <c r="H17" s="985"/>
      <c r="I17" s="985"/>
      <c r="J17" s="985"/>
      <c r="K17" s="499"/>
      <c r="L17" s="1025"/>
      <c r="M17" s="499"/>
      <c r="N17" s="1466"/>
    </row>
    <row r="18" spans="1:15" s="455" customFormat="1" ht="14.25" customHeight="1">
      <c r="A18" s="471"/>
      <c r="B18" s="454" t="s">
        <v>2574</v>
      </c>
      <c r="C18" s="995"/>
      <c r="D18" s="991" t="s">
        <v>2</v>
      </c>
      <c r="E18" s="2168"/>
      <c r="F18" s="2169" t="s">
        <v>422</v>
      </c>
      <c r="G18" s="2170" t="s">
        <v>1</v>
      </c>
      <c r="H18" s="2170">
        <v>46054</v>
      </c>
      <c r="I18" s="2171">
        <v>46082</v>
      </c>
      <c r="J18" s="2171">
        <v>46082</v>
      </c>
      <c r="K18" s="2172" t="s">
        <v>2216</v>
      </c>
      <c r="L18" s="2194"/>
      <c r="M18" s="2174" t="s">
        <v>2446</v>
      </c>
      <c r="N18" s="2234"/>
    </row>
    <row r="19" spans="1:15" s="455" customFormat="1" ht="14.25" customHeight="1">
      <c r="A19" s="471"/>
      <c r="B19" s="454" t="s">
        <v>2574</v>
      </c>
      <c r="C19" s="2598" t="s">
        <v>3891</v>
      </c>
      <c r="D19" s="2235" t="s">
        <v>2857</v>
      </c>
      <c r="E19" s="2191">
        <v>5</v>
      </c>
      <c r="F19" s="2239" t="s">
        <v>761</v>
      </c>
      <c r="G19" s="2177"/>
      <c r="H19" s="852"/>
      <c r="I19" s="852"/>
      <c r="J19" s="852"/>
      <c r="K19" s="852"/>
      <c r="L19" s="2263">
        <v>5000</v>
      </c>
      <c r="N19" s="2181"/>
      <c r="O19" s="405"/>
    </row>
    <row r="20" spans="1:15" s="455" customFormat="1" ht="14.25" customHeight="1">
      <c r="A20" s="471"/>
      <c r="B20" s="454" t="s">
        <v>2574</v>
      </c>
      <c r="C20" s="2599"/>
      <c r="D20" s="2235" t="s">
        <v>2858</v>
      </c>
      <c r="E20" s="2191">
        <v>5</v>
      </c>
      <c r="F20" s="2239" t="s">
        <v>761</v>
      </c>
      <c r="G20" s="2177"/>
      <c r="H20" s="2178"/>
      <c r="I20" s="2178"/>
      <c r="J20" s="2178"/>
      <c r="K20" s="2179"/>
      <c r="L20" s="2263">
        <v>2000</v>
      </c>
      <c r="N20" s="2181"/>
      <c r="O20" s="405"/>
    </row>
    <row r="21" spans="1:15" s="455" customFormat="1" ht="14.25" customHeight="1">
      <c r="A21" s="471"/>
      <c r="B21" s="454" t="s">
        <v>2574</v>
      </c>
      <c r="C21" s="2599"/>
      <c r="D21" s="2182" t="s">
        <v>2859</v>
      </c>
      <c r="E21" s="2191">
        <v>2</v>
      </c>
      <c r="F21" s="2187" t="s">
        <v>1667</v>
      </c>
      <c r="G21" s="2177"/>
      <c r="H21" s="2178"/>
      <c r="I21" s="2178"/>
      <c r="J21" s="2178"/>
      <c r="K21" s="2179"/>
      <c r="L21" s="2263">
        <v>10000</v>
      </c>
      <c r="N21" s="2181"/>
      <c r="O21" s="405"/>
    </row>
    <row r="22" spans="1:15" s="455" customFormat="1" ht="14.25" customHeight="1">
      <c r="A22" s="471"/>
      <c r="B22" s="454" t="s">
        <v>2574</v>
      </c>
      <c r="C22" s="2599"/>
      <c r="D22" s="2182" t="s">
        <v>2860</v>
      </c>
      <c r="E22" s="2191">
        <v>3</v>
      </c>
      <c r="F22" s="2187" t="s">
        <v>761</v>
      </c>
      <c r="G22" s="2177"/>
      <c r="H22" s="2178"/>
      <c r="I22" s="2178"/>
      <c r="J22" s="2178"/>
      <c r="K22" s="2179"/>
      <c r="L22" s="2263">
        <v>1000</v>
      </c>
      <c r="N22" s="2181"/>
      <c r="O22" s="405"/>
    </row>
    <row r="23" spans="1:15" s="455" customFormat="1" ht="14.25" customHeight="1">
      <c r="A23" s="471"/>
      <c r="B23" s="454" t="s">
        <v>2574</v>
      </c>
      <c r="C23" s="2600"/>
      <c r="D23" s="2182" t="s">
        <v>2849</v>
      </c>
      <c r="E23" s="2191"/>
      <c r="F23" s="2187"/>
      <c r="G23" s="2177"/>
      <c r="H23" s="2178"/>
      <c r="I23" s="2178"/>
      <c r="J23" s="2178"/>
      <c r="K23" s="2179"/>
      <c r="L23" s="2264">
        <v>7000</v>
      </c>
      <c r="N23" s="2181"/>
      <c r="O23" s="405"/>
    </row>
    <row r="24" spans="1:15" s="455" customFormat="1" ht="14.25" customHeight="1">
      <c r="A24" s="471"/>
      <c r="B24" s="454"/>
      <c r="C24" s="392"/>
      <c r="D24" s="309"/>
      <c r="E24" s="309"/>
      <c r="F24" s="309"/>
      <c r="G24" s="497"/>
      <c r="H24" s="985"/>
      <c r="I24" s="985"/>
      <c r="J24" s="985"/>
      <c r="K24" s="499"/>
      <c r="L24" s="1025"/>
      <c r="M24" s="499"/>
      <c r="N24" s="1466"/>
    </row>
    <row r="25" spans="1:15" s="455" customFormat="1" ht="14.25" customHeight="1">
      <c r="A25" s="471"/>
      <c r="B25" s="454" t="s">
        <v>2574</v>
      </c>
      <c r="C25" s="995"/>
      <c r="D25" s="991" t="s">
        <v>2</v>
      </c>
      <c r="E25" s="2168"/>
      <c r="F25" s="2169" t="s">
        <v>422</v>
      </c>
      <c r="G25" s="2170" t="s">
        <v>1</v>
      </c>
      <c r="H25" s="2170">
        <v>46113</v>
      </c>
      <c r="I25" s="2171">
        <v>46143</v>
      </c>
      <c r="J25" s="2171">
        <v>46143</v>
      </c>
      <c r="K25" s="2172" t="s">
        <v>2216</v>
      </c>
      <c r="L25" s="2194"/>
      <c r="M25" s="2174" t="s">
        <v>2446</v>
      </c>
      <c r="N25" s="2234"/>
    </row>
    <row r="26" spans="1:15" s="455" customFormat="1" ht="14.25" customHeight="1">
      <c r="A26" s="471"/>
      <c r="B26" s="454" t="s">
        <v>2574</v>
      </c>
      <c r="C26" s="2598" t="s">
        <v>3891</v>
      </c>
      <c r="D26" s="2235" t="s">
        <v>2861</v>
      </c>
      <c r="E26" s="2191">
        <v>4</v>
      </c>
      <c r="F26" s="2239" t="s">
        <v>761</v>
      </c>
      <c r="G26" s="2177"/>
      <c r="H26" s="852"/>
      <c r="I26" s="2177"/>
      <c r="J26" s="2177"/>
      <c r="K26" s="2596" t="s">
        <v>2216</v>
      </c>
      <c r="L26" s="2263">
        <v>4000</v>
      </c>
      <c r="N26" s="2181"/>
      <c r="O26" s="405"/>
    </row>
    <row r="27" spans="1:15" s="455" customFormat="1" ht="14.25" customHeight="1">
      <c r="A27" s="471"/>
      <c r="B27" s="454" t="s">
        <v>2574</v>
      </c>
      <c r="C27" s="2599"/>
      <c r="D27" s="2182" t="s">
        <v>2862</v>
      </c>
      <c r="E27" s="2191">
        <v>5</v>
      </c>
      <c r="F27" s="2239" t="s">
        <v>761</v>
      </c>
      <c r="G27" s="2177"/>
      <c r="H27" s="852"/>
      <c r="I27" s="852"/>
      <c r="J27" s="852"/>
      <c r="K27" s="2597"/>
      <c r="L27" s="2263">
        <v>4000</v>
      </c>
      <c r="N27" s="2181"/>
      <c r="O27" s="405"/>
    </row>
    <row r="28" spans="1:15" s="455" customFormat="1" ht="14.25" customHeight="1">
      <c r="A28" s="471"/>
      <c r="B28" s="454" t="s">
        <v>2574</v>
      </c>
      <c r="C28" s="2599"/>
      <c r="D28" s="2182" t="s">
        <v>2860</v>
      </c>
      <c r="E28" s="2191">
        <v>3</v>
      </c>
      <c r="F28" s="2239" t="s">
        <v>761</v>
      </c>
      <c r="G28" s="2177"/>
      <c r="H28" s="2178"/>
      <c r="I28" s="2178"/>
      <c r="J28" s="2178"/>
      <c r="K28" s="2179"/>
      <c r="L28" s="2263">
        <v>2000</v>
      </c>
      <c r="N28" s="2181"/>
      <c r="O28" s="405"/>
    </row>
    <row r="29" spans="1:15" s="455" customFormat="1" ht="14.25" customHeight="1">
      <c r="A29" s="471"/>
      <c r="B29" s="454" t="s">
        <v>2574</v>
      </c>
      <c r="C29" s="2599"/>
      <c r="D29" s="2182" t="s">
        <v>2849</v>
      </c>
      <c r="E29" s="2191"/>
      <c r="F29" s="2187"/>
      <c r="G29" s="2177"/>
      <c r="H29" s="2178"/>
      <c r="I29" s="2178"/>
      <c r="J29" s="2178"/>
      <c r="K29" s="2179"/>
      <c r="L29" s="2264">
        <v>2500</v>
      </c>
      <c r="N29" s="2181"/>
      <c r="O29" s="405"/>
    </row>
    <row r="30" spans="1:15" s="455" customFormat="1" ht="14.25" customHeight="1">
      <c r="A30" s="471"/>
      <c r="B30" s="454" t="s">
        <v>2574</v>
      </c>
      <c r="C30" s="2599"/>
      <c r="D30" s="2266"/>
      <c r="E30" s="2191"/>
      <c r="F30" s="2187"/>
      <c r="G30" s="2177"/>
      <c r="H30" s="2178"/>
      <c r="I30" s="2178"/>
      <c r="J30" s="2178"/>
      <c r="K30" s="2179"/>
      <c r="L30" s="2178"/>
      <c r="M30" s="2263"/>
      <c r="N30" s="2181"/>
      <c r="O30" s="405"/>
    </row>
    <row r="31" spans="1:15" s="455" customFormat="1" ht="14.25" customHeight="1">
      <c r="A31" s="471"/>
      <c r="B31" s="454" t="s">
        <v>2574</v>
      </c>
      <c r="C31" s="2599"/>
      <c r="D31" s="2267"/>
      <c r="E31" s="2191"/>
      <c r="F31" s="2187"/>
      <c r="G31" s="2177"/>
      <c r="H31" s="2178"/>
      <c r="I31" s="2178"/>
      <c r="J31" s="2178"/>
      <c r="K31" s="2179"/>
      <c r="L31" s="2178"/>
      <c r="M31" s="2264"/>
      <c r="N31" s="2181"/>
      <c r="O31" s="405"/>
    </row>
    <row r="32" spans="1:15" s="455" customFormat="1" ht="14.25" customHeight="1">
      <c r="A32" s="471"/>
      <c r="B32" s="454"/>
      <c r="C32" s="2600"/>
      <c r="D32" s="2267"/>
      <c r="E32" s="2191"/>
      <c r="F32" s="2187"/>
      <c r="G32" s="2177"/>
      <c r="H32" s="2178"/>
      <c r="I32" s="2178"/>
      <c r="J32" s="2178"/>
      <c r="K32" s="2179"/>
      <c r="L32" s="2178"/>
      <c r="M32" s="2264"/>
      <c r="N32" s="2181"/>
      <c r="O32" s="405"/>
    </row>
    <row r="33" spans="1:15" s="455" customFormat="1" ht="14.25" customHeight="1">
      <c r="A33" s="471"/>
      <c r="B33" s="454"/>
      <c r="C33" s="513"/>
      <c r="D33" s="2267"/>
      <c r="E33" s="2191"/>
      <c r="F33" s="2187"/>
      <c r="G33" s="2177"/>
      <c r="H33" s="2178"/>
      <c r="I33" s="2178"/>
      <c r="J33" s="2178"/>
      <c r="K33" s="2179"/>
      <c r="L33" s="2178"/>
      <c r="M33" s="2263"/>
      <c r="N33" s="2181"/>
      <c r="O33" s="405"/>
    </row>
    <row r="34" spans="1:15" s="455" customFormat="1" ht="29.45" customHeight="1">
      <c r="A34" s="471"/>
      <c r="B34" s="454" t="s">
        <v>2929</v>
      </c>
      <c r="C34" s="2196" t="s">
        <v>2940</v>
      </c>
      <c r="D34" s="2168" t="s">
        <v>637</v>
      </c>
      <c r="E34" s="2197"/>
      <c r="F34" s="533" t="s">
        <v>609</v>
      </c>
      <c r="G34" s="533" t="s">
        <v>1</v>
      </c>
      <c r="H34" s="677"/>
      <c r="I34" s="677"/>
      <c r="J34" s="677"/>
      <c r="K34" s="532" t="s">
        <v>748</v>
      </c>
      <c r="L34" s="316"/>
      <c r="M34" s="677" t="s">
        <v>2924</v>
      </c>
      <c r="N34" s="532" t="s">
        <v>703</v>
      </c>
    </row>
    <row r="35" spans="1:15" s="455" customFormat="1" ht="14.25" customHeight="1">
      <c r="A35" s="471"/>
      <c r="B35" s="454" t="s">
        <v>2929</v>
      </c>
      <c r="C35" s="2196"/>
      <c r="D35" s="531" t="s">
        <v>2941</v>
      </c>
      <c r="E35" s="2268" t="s">
        <v>2942</v>
      </c>
      <c r="F35" s="533"/>
      <c r="G35" s="533"/>
      <c r="H35" s="2177" t="s">
        <v>2213</v>
      </c>
      <c r="I35" s="2201">
        <v>46174</v>
      </c>
      <c r="J35" s="2202" t="s">
        <v>2215</v>
      </c>
      <c r="K35" s="532"/>
      <c r="L35" s="411">
        <v>8000</v>
      </c>
      <c r="M35" s="677"/>
      <c r="N35" s="532"/>
    </row>
    <row r="36" spans="1:15" s="455" customFormat="1" ht="14.25" customHeight="1">
      <c r="A36" s="471"/>
      <c r="B36" s="454" t="s">
        <v>2929</v>
      </c>
      <c r="C36" s="2196"/>
      <c r="D36" s="342" t="s">
        <v>2943</v>
      </c>
      <c r="E36" s="2268" t="s">
        <v>2942</v>
      </c>
      <c r="F36" s="533"/>
      <c r="G36" s="533"/>
      <c r="H36" s="2177"/>
      <c r="I36" s="2177"/>
      <c r="J36" s="852" t="s">
        <v>2927</v>
      </c>
      <c r="K36" s="532"/>
      <c r="L36" s="411">
        <v>11000</v>
      </c>
      <c r="M36" s="677"/>
      <c r="N36" s="532"/>
    </row>
    <row r="37" spans="1:15" s="455" customFormat="1" ht="14.25" customHeight="1">
      <c r="A37" s="471"/>
      <c r="B37" s="454" t="s">
        <v>2929</v>
      </c>
      <c r="C37" s="2196"/>
      <c r="D37" s="342" t="s">
        <v>2944</v>
      </c>
      <c r="E37" s="2268" t="s">
        <v>2942</v>
      </c>
      <c r="F37" s="533"/>
      <c r="G37" s="533"/>
      <c r="H37" s="852"/>
      <c r="I37" s="852"/>
      <c r="J37" s="852"/>
      <c r="K37" s="532"/>
      <c r="L37" s="411">
        <v>15000</v>
      </c>
      <c r="M37" s="677"/>
      <c r="N37" s="532"/>
    </row>
    <row r="38" spans="1:15" s="455" customFormat="1" ht="14.25" customHeight="1">
      <c r="A38" s="471"/>
      <c r="B38" s="454"/>
      <c r="C38" s="2196"/>
      <c r="D38" s="342"/>
      <c r="E38" s="2268"/>
      <c r="F38" s="533"/>
      <c r="G38" s="533"/>
      <c r="H38" s="852"/>
      <c r="I38" s="852"/>
      <c r="J38" s="852"/>
      <c r="K38" s="532"/>
      <c r="L38" s="411"/>
      <c r="M38" s="677"/>
      <c r="N38" s="2271"/>
    </row>
    <row r="39" spans="1:15" s="455" customFormat="1" ht="25.5" customHeight="1">
      <c r="A39" s="471"/>
      <c r="B39" s="454" t="s">
        <v>3584</v>
      </c>
      <c r="C39" s="2196"/>
      <c r="D39" s="342" t="s">
        <v>3892</v>
      </c>
      <c r="E39" s="2268" t="s">
        <v>3895</v>
      </c>
      <c r="F39" s="2250" t="s">
        <v>1104</v>
      </c>
      <c r="G39" s="2177" t="s">
        <v>828</v>
      </c>
      <c r="H39" s="2251" t="s">
        <v>3879</v>
      </c>
      <c r="I39" s="2251" t="s">
        <v>3588</v>
      </c>
      <c r="J39" s="2251" t="s">
        <v>3881</v>
      </c>
      <c r="K39" s="2179" t="s">
        <v>3589</v>
      </c>
      <c r="L39" s="2252">
        <v>7500</v>
      </c>
      <c r="M39" s="2253" t="s">
        <v>99</v>
      </c>
      <c r="N39" s="2271"/>
    </row>
    <row r="40" spans="1:15" s="455" customFormat="1" ht="26.25" customHeight="1">
      <c r="A40" s="471"/>
      <c r="B40" s="454" t="s">
        <v>3584</v>
      </c>
      <c r="C40" s="2196"/>
      <c r="D40" s="342" t="s">
        <v>3893</v>
      </c>
      <c r="E40" s="2268" t="s">
        <v>3895</v>
      </c>
      <c r="F40" s="2250" t="s">
        <v>1104</v>
      </c>
      <c r="G40" s="2177" t="s">
        <v>828</v>
      </c>
      <c r="H40" s="2251" t="s">
        <v>3879</v>
      </c>
      <c r="I40" s="2251" t="s">
        <v>3588</v>
      </c>
      <c r="J40" s="2251" t="s">
        <v>3881</v>
      </c>
      <c r="K40" s="2179" t="s">
        <v>3589</v>
      </c>
      <c r="L40" s="2252">
        <v>10500</v>
      </c>
      <c r="M40" s="2253" t="s">
        <v>99</v>
      </c>
      <c r="N40" s="2271"/>
    </row>
    <row r="41" spans="1:15" s="455" customFormat="1" ht="30" customHeight="1">
      <c r="A41" s="471"/>
      <c r="B41" s="454" t="s">
        <v>3584</v>
      </c>
      <c r="C41" s="2196"/>
      <c r="D41" s="342" t="s">
        <v>3894</v>
      </c>
      <c r="E41" s="2268" t="s">
        <v>3833</v>
      </c>
      <c r="F41" s="2250" t="s">
        <v>1104</v>
      </c>
      <c r="G41" s="2177" t="s">
        <v>828</v>
      </c>
      <c r="H41" s="2251" t="s">
        <v>3879</v>
      </c>
      <c r="I41" s="2251" t="s">
        <v>3588</v>
      </c>
      <c r="J41" s="2251" t="s">
        <v>3881</v>
      </c>
      <c r="K41" s="2179" t="s">
        <v>3589</v>
      </c>
      <c r="L41" s="2252">
        <v>32000</v>
      </c>
      <c r="M41" s="2253" t="s">
        <v>99</v>
      </c>
      <c r="N41" s="2271"/>
    </row>
    <row r="42" spans="1:15" s="455" customFormat="1" ht="14.25" customHeight="1">
      <c r="A42" s="471"/>
      <c r="B42" s="454"/>
      <c r="C42" s="2196"/>
      <c r="D42" s="342"/>
      <c r="E42" s="2268"/>
      <c r="F42" s="533"/>
      <c r="G42" s="533"/>
      <c r="H42" s="852"/>
      <c r="I42" s="852"/>
      <c r="J42" s="852"/>
      <c r="K42" s="532"/>
      <c r="L42" s="411"/>
      <c r="M42" s="677"/>
      <c r="N42" s="2271"/>
    </row>
    <row r="43" spans="1:15" s="455" customFormat="1" ht="14.25" customHeight="1">
      <c r="A43" s="471"/>
      <c r="B43" s="454"/>
      <c r="C43" s="392"/>
      <c r="D43" s="309"/>
      <c r="E43" s="309"/>
      <c r="F43" s="309"/>
      <c r="G43" s="497"/>
      <c r="H43" s="985"/>
      <c r="I43" s="985"/>
      <c r="J43" s="985"/>
      <c r="K43" s="499"/>
      <c r="L43" s="1025"/>
      <c r="M43" s="499"/>
      <c r="N43" s="1466"/>
    </row>
    <row r="44" spans="1:15" s="455" customFormat="1" ht="14.25" customHeight="1">
      <c r="A44" s="471"/>
      <c r="B44" s="454"/>
      <c r="C44" s="392"/>
      <c r="D44" s="309"/>
      <c r="E44" s="309"/>
      <c r="F44" s="309"/>
      <c r="G44" s="497"/>
      <c r="H44" s="985"/>
      <c r="I44" s="985"/>
      <c r="J44" s="985"/>
      <c r="K44" s="499"/>
      <c r="L44" s="1025"/>
      <c r="M44" s="499"/>
      <c r="N44" s="1466"/>
    </row>
    <row r="45" spans="1:15" s="455" customFormat="1" ht="14.25" customHeight="1">
      <c r="A45" s="471"/>
      <c r="B45" s="454"/>
      <c r="C45" s="392"/>
      <c r="D45" s="309"/>
      <c r="E45" s="309"/>
      <c r="F45" s="309"/>
      <c r="G45" s="497"/>
      <c r="H45" s="985"/>
      <c r="I45" s="985"/>
      <c r="J45" s="985"/>
      <c r="K45" s="499"/>
      <c r="L45" s="1025"/>
      <c r="M45" s="499"/>
      <c r="N45" s="1466"/>
    </row>
    <row r="46" spans="1:15" s="455" customFormat="1" ht="14.25" customHeight="1">
      <c r="A46" s="471"/>
      <c r="B46" s="454"/>
      <c r="C46" s="392"/>
      <c r="D46" s="309"/>
      <c r="E46" s="309"/>
      <c r="F46" s="309"/>
      <c r="G46" s="497"/>
      <c r="H46" s="985"/>
      <c r="I46" s="985"/>
      <c r="J46" s="985"/>
      <c r="K46" s="499"/>
      <c r="L46" s="1025"/>
      <c r="M46" s="499"/>
      <c r="N46" s="1466"/>
    </row>
    <row r="47" spans="1:15" s="455" customFormat="1" ht="14.25" customHeight="1">
      <c r="A47" s="471"/>
      <c r="B47" s="454"/>
      <c r="C47" s="392"/>
      <c r="D47" s="309"/>
      <c r="E47" s="309"/>
      <c r="F47" s="309"/>
      <c r="G47" s="497"/>
      <c r="H47" s="985"/>
      <c r="I47" s="985"/>
      <c r="J47" s="985"/>
      <c r="K47" s="499"/>
      <c r="L47" s="1025"/>
      <c r="M47" s="499"/>
      <c r="N47" s="1466"/>
    </row>
    <row r="48" spans="1:15" s="455" customFormat="1" ht="14.25" customHeight="1">
      <c r="A48" s="471"/>
      <c r="B48" s="454"/>
      <c r="C48" s="392"/>
      <c r="D48" s="309"/>
      <c r="E48" s="309"/>
      <c r="F48" s="309"/>
      <c r="G48" s="497"/>
      <c r="H48" s="985"/>
      <c r="I48" s="985"/>
      <c r="J48" s="985"/>
      <c r="K48" s="499"/>
      <c r="L48" s="1984">
        <f>SUM(L5:L46)</f>
        <v>240460</v>
      </c>
      <c r="M48" s="499"/>
      <c r="N48" s="1466"/>
    </row>
    <row r="49" spans="1:14" s="455" customFormat="1" ht="14.25" customHeight="1">
      <c r="A49" s="471"/>
      <c r="B49" s="454"/>
      <c r="C49" s="392"/>
      <c r="D49" s="309"/>
      <c r="E49" s="309"/>
      <c r="F49" s="309"/>
      <c r="G49" s="497"/>
      <c r="H49" s="985"/>
      <c r="I49" s="985"/>
      <c r="J49" s="985"/>
      <c r="K49" s="499"/>
      <c r="L49" s="1025"/>
      <c r="M49" s="499"/>
      <c r="N49" s="1466"/>
    </row>
    <row r="50" spans="1:14" s="455" customFormat="1" ht="14.25" customHeight="1">
      <c r="A50" s="471"/>
      <c r="B50" s="454"/>
      <c r="C50" s="392"/>
      <c r="D50" s="309"/>
      <c r="E50" s="309"/>
      <c r="F50" s="309"/>
      <c r="G50" s="497"/>
      <c r="H50" s="985"/>
      <c r="I50" s="985"/>
      <c r="J50" s="985"/>
      <c r="K50" s="499"/>
      <c r="L50" s="1025"/>
      <c r="M50" s="499"/>
      <c r="N50" s="1466"/>
    </row>
    <row r="51" spans="1:14" s="455" customFormat="1">
      <c r="A51" s="471"/>
      <c r="B51" s="454"/>
      <c r="C51" s="392"/>
      <c r="D51" s="309"/>
      <c r="E51" s="309"/>
      <c r="F51" s="309"/>
      <c r="G51" s="497"/>
      <c r="H51" s="985"/>
      <c r="I51" s="985"/>
      <c r="J51" s="985"/>
      <c r="K51" s="499"/>
      <c r="L51" s="1025"/>
      <c r="M51" s="499"/>
      <c r="N51" s="1466"/>
    </row>
    <row r="52" spans="1:14" s="455" customFormat="1">
      <c r="A52" s="471"/>
      <c r="B52" s="454"/>
      <c r="C52" s="392"/>
      <c r="D52" s="309"/>
      <c r="E52" s="309"/>
      <c r="F52" s="309"/>
      <c r="G52" s="497"/>
      <c r="H52" s="985"/>
      <c r="I52" s="985"/>
      <c r="J52" s="985"/>
      <c r="K52" s="499"/>
      <c r="L52" s="1025"/>
      <c r="M52" s="499"/>
      <c r="N52" s="1466"/>
    </row>
    <row r="53" spans="1:14" s="455" customFormat="1">
      <c r="A53" s="471"/>
      <c r="B53" s="454"/>
      <c r="C53" s="392"/>
      <c r="D53" s="309"/>
      <c r="E53" s="309"/>
      <c r="F53" s="309"/>
      <c r="G53" s="497"/>
      <c r="H53" s="985"/>
      <c r="I53" s="985"/>
      <c r="J53" s="985"/>
      <c r="K53" s="499"/>
      <c r="L53" s="1025"/>
      <c r="M53" s="499"/>
      <c r="N53" s="1466"/>
    </row>
    <row r="54" spans="1:14" s="455" customFormat="1">
      <c r="A54" s="471"/>
      <c r="B54" s="454"/>
      <c r="C54" s="392"/>
      <c r="D54" s="309"/>
      <c r="E54" s="309"/>
      <c r="F54" s="309"/>
      <c r="G54" s="497"/>
      <c r="H54" s="985"/>
      <c r="I54" s="985"/>
      <c r="J54" s="985"/>
      <c r="K54" s="499"/>
      <c r="L54" s="1025"/>
      <c r="M54" s="499"/>
      <c r="N54" s="1466"/>
    </row>
    <row r="55" spans="1:14" s="455" customFormat="1">
      <c r="A55" s="471"/>
      <c r="B55" s="454"/>
      <c r="C55" s="392"/>
      <c r="D55" s="309"/>
      <c r="E55" s="309"/>
      <c r="F55" s="309"/>
      <c r="G55" s="497"/>
      <c r="H55" s="985"/>
      <c r="I55" s="985"/>
      <c r="J55" s="985"/>
      <c r="K55" s="499"/>
      <c r="L55" s="1025"/>
      <c r="M55" s="499"/>
      <c r="N55" s="1466"/>
    </row>
    <row r="56" spans="1:14" s="455" customFormat="1">
      <c r="A56" s="471"/>
      <c r="B56" s="454"/>
      <c r="C56" s="392"/>
      <c r="D56" s="309"/>
      <c r="E56" s="309"/>
      <c r="F56" s="309"/>
      <c r="G56" s="497"/>
      <c r="H56" s="985"/>
      <c r="I56" s="985"/>
      <c r="J56" s="985"/>
      <c r="K56" s="499"/>
      <c r="L56" s="1025"/>
      <c r="M56" s="499"/>
      <c r="N56" s="1466"/>
    </row>
    <row r="57" spans="1:14" s="455" customFormat="1">
      <c r="A57" s="471"/>
      <c r="B57" s="454"/>
      <c r="C57" s="392"/>
      <c r="D57" s="309"/>
      <c r="E57" s="309"/>
      <c r="F57" s="309"/>
      <c r="G57" s="497"/>
      <c r="H57" s="985"/>
      <c r="I57" s="985"/>
      <c r="J57" s="985"/>
      <c r="K57" s="499"/>
      <c r="L57" s="1025"/>
      <c r="M57" s="499"/>
      <c r="N57" s="1466"/>
    </row>
    <row r="58" spans="1:14" s="455" customFormat="1">
      <c r="A58" s="471"/>
      <c r="B58" s="454"/>
      <c r="C58" s="392"/>
      <c r="D58" s="309"/>
      <c r="E58" s="309"/>
      <c r="F58" s="309"/>
      <c r="G58" s="497"/>
      <c r="H58" s="985"/>
      <c r="I58" s="985"/>
      <c r="J58" s="985"/>
      <c r="K58" s="499"/>
      <c r="L58" s="1025"/>
      <c r="M58" s="499"/>
      <c r="N58" s="1466"/>
    </row>
    <row r="59" spans="1:14" s="455" customFormat="1">
      <c r="A59" s="471"/>
      <c r="B59" s="454"/>
      <c r="C59" s="392"/>
      <c r="D59" s="309"/>
      <c r="E59" s="309"/>
      <c r="F59" s="309"/>
      <c r="G59" s="497"/>
      <c r="H59" s="985"/>
      <c r="I59" s="985"/>
      <c r="J59" s="985"/>
      <c r="K59" s="499"/>
      <c r="L59" s="1025"/>
      <c r="M59" s="499"/>
      <c r="N59" s="1466"/>
    </row>
    <row r="60" spans="1:14" s="455" customFormat="1">
      <c r="A60" s="471"/>
      <c r="B60" s="454"/>
      <c r="C60" s="392"/>
      <c r="D60" s="309"/>
      <c r="E60" s="309"/>
      <c r="F60" s="309"/>
      <c r="G60" s="497"/>
      <c r="H60" s="985"/>
      <c r="I60" s="985"/>
      <c r="J60" s="985"/>
      <c r="K60" s="499"/>
      <c r="L60" s="1025"/>
      <c r="M60" s="499"/>
      <c r="N60" s="1466"/>
    </row>
    <row r="61" spans="1:14" s="455" customFormat="1">
      <c r="A61" s="471"/>
      <c r="B61" s="454"/>
      <c r="C61" s="392"/>
      <c r="D61" s="309"/>
      <c r="E61" s="309"/>
      <c r="F61" s="309"/>
      <c r="G61" s="497"/>
      <c r="H61" s="985"/>
      <c r="I61" s="985"/>
      <c r="J61" s="985"/>
      <c r="K61" s="499"/>
      <c r="L61" s="1025"/>
      <c r="M61" s="499"/>
      <c r="N61" s="1466"/>
    </row>
    <row r="62" spans="1:14" s="455" customFormat="1">
      <c r="A62" s="471"/>
      <c r="B62" s="454"/>
      <c r="C62" s="392"/>
      <c r="D62" s="309"/>
      <c r="E62" s="309"/>
      <c r="F62" s="309"/>
      <c r="G62" s="497"/>
      <c r="H62" s="985"/>
      <c r="I62" s="985"/>
      <c r="J62" s="985"/>
      <c r="K62" s="499"/>
      <c r="L62" s="1025"/>
      <c r="M62" s="499"/>
      <c r="N62" s="1466"/>
    </row>
    <row r="63" spans="1:14" s="455" customFormat="1">
      <c r="A63" s="471"/>
      <c r="B63" s="454"/>
      <c r="C63" s="392"/>
      <c r="D63" s="309"/>
      <c r="E63" s="309"/>
      <c r="F63" s="309"/>
      <c r="G63" s="497"/>
      <c r="H63" s="985"/>
      <c r="I63" s="985"/>
      <c r="J63" s="985"/>
      <c r="K63" s="499"/>
      <c r="L63" s="1025"/>
      <c r="M63" s="499"/>
      <c r="N63" s="1466"/>
    </row>
    <row r="64" spans="1:14" s="455" customFormat="1">
      <c r="A64" s="471"/>
      <c r="B64" s="454"/>
      <c r="C64" s="392"/>
      <c r="D64" s="309"/>
      <c r="E64" s="309"/>
      <c r="F64" s="309"/>
      <c r="G64" s="497"/>
      <c r="H64" s="985"/>
      <c r="I64" s="985"/>
      <c r="J64" s="985"/>
      <c r="K64" s="499"/>
      <c r="L64" s="1025"/>
      <c r="M64" s="499"/>
      <c r="N64" s="1466"/>
    </row>
    <row r="65" spans="1:15" s="455" customFormat="1">
      <c r="A65" s="471"/>
      <c r="B65" s="454"/>
      <c r="C65" s="392"/>
      <c r="D65" s="309"/>
      <c r="E65" s="309"/>
      <c r="F65" s="309"/>
      <c r="G65" s="497"/>
      <c r="H65" s="985"/>
      <c r="I65" s="985"/>
      <c r="J65" s="985"/>
      <c r="K65" s="499"/>
      <c r="L65" s="1025"/>
      <c r="M65" s="499"/>
      <c r="N65" s="1467"/>
    </row>
    <row r="66" spans="1:15" s="455" customFormat="1">
      <c r="A66" s="471"/>
      <c r="B66" s="454"/>
      <c r="C66" s="392"/>
      <c r="D66" s="309"/>
      <c r="E66" s="309"/>
      <c r="F66" s="309"/>
      <c r="G66" s="497"/>
      <c r="H66" s="985"/>
      <c r="I66" s="985"/>
      <c r="J66" s="985"/>
      <c r="K66" s="499"/>
      <c r="L66" s="1025"/>
      <c r="M66" s="499"/>
      <c r="N66" s="1468"/>
    </row>
    <row r="67" spans="1:15" s="455" customFormat="1">
      <c r="A67" s="471"/>
      <c r="B67" s="454"/>
      <c r="C67" s="392"/>
      <c r="D67" s="309"/>
      <c r="E67" s="309"/>
      <c r="F67" s="309"/>
      <c r="G67" s="497"/>
      <c r="H67" s="985"/>
      <c r="I67" s="985"/>
      <c r="J67" s="985"/>
      <c r="K67" s="499"/>
      <c r="L67" s="1025"/>
      <c r="M67" s="499"/>
      <c r="N67" s="1468"/>
    </row>
    <row r="68" spans="1:15" s="455" customFormat="1">
      <c r="A68" s="471"/>
      <c r="B68" s="454"/>
      <c r="C68" s="1524"/>
      <c r="D68" s="309"/>
      <c r="E68" s="309"/>
      <c r="F68" s="309"/>
      <c r="G68" s="497"/>
      <c r="H68" s="985"/>
      <c r="I68" s="985"/>
      <c r="J68" s="985"/>
      <c r="K68" s="499"/>
      <c r="L68" s="1025"/>
      <c r="M68" s="499"/>
      <c r="N68" s="1468"/>
    </row>
    <row r="69" spans="1:15" s="455" customFormat="1">
      <c r="A69" s="471"/>
      <c r="B69" s="454"/>
      <c r="C69" s="1525"/>
      <c r="D69" s="309"/>
      <c r="E69" s="309"/>
      <c r="F69" s="309"/>
      <c r="G69" s="497"/>
      <c r="H69" s="985"/>
      <c r="I69" s="985"/>
      <c r="J69" s="985"/>
      <c r="K69" s="499"/>
      <c r="L69" s="1025"/>
      <c r="M69" s="499"/>
      <c r="N69" s="1468"/>
    </row>
    <row r="70" spans="1:15" s="455" customFormat="1">
      <c r="A70" s="471"/>
      <c r="B70" s="454"/>
      <c r="C70" s="392"/>
      <c r="D70" s="309"/>
      <c r="E70" s="309"/>
      <c r="F70" s="309"/>
      <c r="G70" s="497"/>
      <c r="H70" s="1056"/>
      <c r="I70" s="985"/>
      <c r="J70" s="985"/>
      <c r="K70" s="499"/>
      <c r="L70" s="1025"/>
      <c r="M70" s="499"/>
      <c r="N70" s="1465"/>
    </row>
    <row r="71" spans="1:15" s="455" customFormat="1">
      <c r="A71" s="471"/>
      <c r="B71" s="454"/>
      <c r="C71" s="392"/>
      <c r="D71" s="309"/>
      <c r="E71" s="309"/>
      <c r="F71" s="309"/>
      <c r="G71" s="497"/>
      <c r="H71" s="985"/>
      <c r="I71" s="985"/>
      <c r="J71" s="985"/>
      <c r="K71" s="499"/>
      <c r="L71" s="1025"/>
      <c r="M71" s="499"/>
    </row>
    <row r="72" spans="1:15" s="455" customFormat="1">
      <c r="A72" s="471"/>
      <c r="B72" s="454"/>
      <c r="C72" s="987"/>
      <c r="D72" s="314"/>
      <c r="E72" s="662"/>
      <c r="F72" s="309"/>
      <c r="G72" s="497"/>
      <c r="H72" s="985"/>
      <c r="I72" s="985"/>
      <c r="J72" s="985"/>
      <c r="K72" s="499"/>
      <c r="L72" s="1025"/>
      <c r="M72" s="499"/>
      <c r="N72" s="454"/>
    </row>
    <row r="73" spans="1:15" s="455" customFormat="1">
      <c r="A73" s="471"/>
      <c r="B73" s="454"/>
      <c r="C73" s="987"/>
      <c r="D73" s="314"/>
      <c r="E73" s="662"/>
      <c r="F73" s="309"/>
      <c r="G73" s="497"/>
      <c r="H73" s="985"/>
      <c r="I73" s="985"/>
      <c r="J73" s="985"/>
      <c r="K73" s="499"/>
      <c r="L73" s="1600"/>
      <c r="M73" s="499"/>
      <c r="N73" s="458"/>
    </row>
    <row r="74" spans="1:15" s="455" customFormat="1">
      <c r="A74" s="471"/>
      <c r="B74" s="454"/>
      <c r="C74" s="987"/>
      <c r="D74" s="314"/>
      <c r="E74" s="662"/>
      <c r="F74" s="309"/>
      <c r="G74" s="497"/>
      <c r="H74" s="985"/>
      <c r="I74" s="985"/>
      <c r="J74" s="985"/>
      <c r="K74" s="499"/>
      <c r="L74" s="1065"/>
      <c r="M74" s="499"/>
      <c r="N74" s="458"/>
    </row>
    <row r="75" spans="1:15" s="455" customFormat="1">
      <c r="A75" s="471"/>
      <c r="B75" s="454"/>
      <c r="C75" s="987"/>
      <c r="D75" s="309"/>
      <c r="E75" s="662"/>
      <c r="F75" s="309"/>
      <c r="G75" s="497"/>
      <c r="H75" s="985"/>
      <c r="I75" s="985"/>
      <c r="J75" s="985"/>
      <c r="K75" s="499"/>
      <c r="L75" s="1065"/>
      <c r="M75" s="499"/>
      <c r="N75" s="458"/>
    </row>
    <row r="76" spans="1:15" s="455" customFormat="1">
      <c r="A76" s="471"/>
      <c r="B76" s="454"/>
      <c r="C76" s="314"/>
      <c r="D76" s="314"/>
      <c r="E76" s="309"/>
      <c r="F76" s="309"/>
      <c r="G76" s="497"/>
      <c r="H76" s="985"/>
      <c r="I76" s="985"/>
      <c r="J76" s="985"/>
      <c r="K76" s="309"/>
      <c r="L76" s="1015"/>
      <c r="M76" s="499"/>
      <c r="N76" s="458"/>
    </row>
    <row r="77" spans="1:15" s="455" customFormat="1">
      <c r="A77" s="471"/>
      <c r="B77" s="454"/>
      <c r="C77" s="314"/>
      <c r="D77" s="314"/>
      <c r="E77" s="309"/>
      <c r="F77" s="309"/>
      <c r="G77" s="497"/>
      <c r="H77" s="985"/>
      <c r="I77" s="985"/>
      <c r="J77" s="985"/>
      <c r="K77" s="309"/>
      <c r="L77" s="1015"/>
      <c r="M77" s="499"/>
      <c r="N77" s="460"/>
    </row>
    <row r="78" spans="1:15" s="455" customFormat="1">
      <c r="A78" s="471"/>
      <c r="B78" s="454"/>
      <c r="C78" s="314"/>
      <c r="D78" s="314"/>
      <c r="E78" s="560"/>
      <c r="F78" s="309"/>
      <c r="G78" s="497"/>
      <c r="H78" s="985"/>
      <c r="I78" s="985"/>
      <c r="J78" s="985"/>
      <c r="K78" s="309"/>
      <c r="L78" s="1015"/>
      <c r="M78" s="499"/>
      <c r="N78" s="454"/>
    </row>
    <row r="79" spans="1:15" s="455" customFormat="1">
      <c r="A79" s="471"/>
      <c r="B79" s="454"/>
      <c r="C79" s="987"/>
      <c r="D79" s="314"/>
      <c r="E79" s="662"/>
      <c r="F79" s="309"/>
      <c r="G79" s="497"/>
      <c r="H79" s="985"/>
      <c r="I79" s="985"/>
      <c r="J79" s="985"/>
      <c r="K79" s="499"/>
      <c r="L79" s="1065"/>
      <c r="M79" s="499"/>
      <c r="N79" s="458"/>
    </row>
    <row r="80" spans="1:15" s="455" customFormat="1">
      <c r="A80" s="471"/>
      <c r="B80" s="454"/>
      <c r="C80" s="392"/>
      <c r="D80" s="309"/>
      <c r="E80" s="309"/>
      <c r="F80" s="662"/>
      <c r="G80" s="309"/>
      <c r="H80" s="497"/>
      <c r="I80" s="985"/>
      <c r="J80" s="985"/>
      <c r="K80" s="1066"/>
      <c r="L80" s="1067"/>
      <c r="M80" s="1025"/>
      <c r="N80" s="1068"/>
      <c r="O80" s="458"/>
    </row>
    <row r="81" spans="1:15" s="455" customFormat="1">
      <c r="A81" s="471"/>
      <c r="B81" s="454"/>
      <c r="C81" s="471"/>
      <c r="D81" s="456"/>
      <c r="E81" s="459"/>
      <c r="F81" s="466"/>
      <c r="G81" s="471"/>
      <c r="H81" s="477"/>
      <c r="I81" s="526"/>
      <c r="J81" s="526"/>
      <c r="K81" s="526"/>
      <c r="L81" s="473"/>
      <c r="M81" s="529"/>
      <c r="N81" s="471"/>
      <c r="O81" s="458"/>
    </row>
    <row r="82" spans="1:15" s="455" customFormat="1">
      <c r="A82" s="471"/>
      <c r="B82" s="454"/>
      <c r="C82" s="471"/>
      <c r="D82" s="456"/>
      <c r="E82" s="459"/>
      <c r="F82" s="466"/>
      <c r="G82" s="471"/>
      <c r="H82" s="477"/>
      <c r="I82" s="526"/>
      <c r="J82" s="526"/>
      <c r="K82" s="526"/>
      <c r="L82" s="473"/>
      <c r="M82" s="529"/>
      <c r="N82" s="471"/>
      <c r="O82" s="458"/>
    </row>
    <row r="83" spans="1:15" s="455" customFormat="1">
      <c r="A83" s="471"/>
      <c r="B83" s="454"/>
      <c r="C83" s="314"/>
      <c r="D83" s="309"/>
      <c r="E83" s="309"/>
      <c r="F83" s="309"/>
      <c r="G83" s="309"/>
      <c r="H83" s="309"/>
      <c r="I83" s="309"/>
      <c r="J83" s="309"/>
      <c r="K83" s="309"/>
      <c r="L83" s="309"/>
      <c r="M83" s="309"/>
      <c r="N83" s="309"/>
    </row>
    <row r="84" spans="1:15" s="455" customFormat="1">
      <c r="A84" s="471"/>
      <c r="B84" s="454"/>
      <c r="C84" s="314"/>
      <c r="D84" s="314"/>
      <c r="E84" s="309"/>
      <c r="F84" s="309"/>
      <c r="G84" s="497"/>
      <c r="H84" s="1056"/>
      <c r="I84" s="309"/>
      <c r="J84" s="309"/>
      <c r="K84" s="499"/>
      <c r="L84" s="1069"/>
      <c r="M84" s="309"/>
      <c r="N84" s="454"/>
    </row>
    <row r="85" spans="1:15" s="455" customFormat="1">
      <c r="A85" s="471"/>
      <c r="B85" s="454"/>
      <c r="C85" s="314"/>
      <c r="D85" s="314"/>
      <c r="E85" s="309"/>
      <c r="F85" s="309"/>
      <c r="G85" s="497"/>
      <c r="H85" s="1056"/>
      <c r="I85" s="309"/>
      <c r="J85" s="309"/>
      <c r="K85" s="499"/>
      <c r="L85" s="1069"/>
      <c r="M85" s="499"/>
      <c r="N85" s="458"/>
    </row>
    <row r="86" spans="1:15" s="455" customFormat="1">
      <c r="A86" s="471"/>
      <c r="B86" s="454"/>
      <c r="C86" s="314"/>
      <c r="D86" s="314"/>
      <c r="E86" s="309"/>
      <c r="F86" s="309"/>
      <c r="G86" s="497"/>
      <c r="H86" s="1056"/>
      <c r="I86" s="309"/>
      <c r="J86" s="309"/>
      <c r="K86" s="499"/>
      <c r="L86" s="1069"/>
      <c r="M86" s="499"/>
      <c r="N86" s="458"/>
    </row>
    <row r="87" spans="1:15" s="455" customFormat="1">
      <c r="A87" s="471"/>
      <c r="B87" s="454"/>
      <c r="C87" s="314"/>
      <c r="D87" s="314"/>
      <c r="E87" s="662"/>
      <c r="F87" s="309"/>
      <c r="G87" s="497"/>
      <c r="H87" s="1056"/>
      <c r="I87" s="985"/>
      <c r="J87" s="985"/>
      <c r="K87" s="499"/>
      <c r="L87" s="1016"/>
      <c r="M87" s="499"/>
      <c r="N87" s="458"/>
    </row>
    <row r="88" spans="1:15" s="455" customFormat="1">
      <c r="A88" s="471"/>
      <c r="B88" s="454"/>
      <c r="C88" s="314"/>
      <c r="D88" s="314"/>
      <c r="E88" s="662"/>
      <c r="F88" s="309"/>
      <c r="G88" s="497"/>
      <c r="H88" s="1056"/>
      <c r="I88" s="985"/>
      <c r="J88" s="985"/>
      <c r="K88" s="499"/>
      <c r="L88" s="1016"/>
      <c r="M88" s="499"/>
      <c r="N88" s="458"/>
    </row>
    <row r="89" spans="1:15" s="455" customFormat="1">
      <c r="A89" s="471"/>
      <c r="B89" s="454"/>
      <c r="C89" s="314"/>
      <c r="D89" s="314"/>
      <c r="E89" s="662"/>
      <c r="F89" s="309"/>
      <c r="G89" s="497"/>
      <c r="H89" s="1056"/>
      <c r="I89" s="985"/>
      <c r="J89" s="985"/>
      <c r="K89" s="499"/>
      <c r="L89" s="1071"/>
      <c r="M89" s="499"/>
    </row>
    <row r="90" spans="1:15" s="455" customFormat="1">
      <c r="A90" s="471"/>
      <c r="B90" s="454"/>
      <c r="C90" s="314"/>
      <c r="D90" s="314"/>
      <c r="E90" s="662"/>
      <c r="F90" s="309"/>
      <c r="G90" s="497"/>
      <c r="H90" s="1056"/>
      <c r="I90" s="985"/>
      <c r="J90" s="985"/>
      <c r="K90" s="499"/>
      <c r="L90" s="1071"/>
      <c r="M90" s="499"/>
    </row>
    <row r="91" spans="1:15" s="455" customFormat="1">
      <c r="A91" s="471"/>
      <c r="B91" s="454"/>
      <c r="C91" s="314"/>
      <c r="D91" s="314"/>
      <c r="E91" s="662"/>
      <c r="F91" s="309"/>
      <c r="G91" s="497"/>
      <c r="H91" s="1056"/>
      <c r="I91" s="985"/>
      <c r="J91" s="985"/>
      <c r="K91" s="499"/>
      <c r="L91" s="1016"/>
      <c r="M91" s="499"/>
    </row>
    <row r="92" spans="1:15" s="455" customFormat="1">
      <c r="A92" s="471"/>
      <c r="B92" s="454"/>
      <c r="C92" s="314"/>
      <c r="D92" s="314"/>
      <c r="E92" s="662"/>
      <c r="F92" s="309"/>
      <c r="G92" s="497"/>
      <c r="H92" s="1056"/>
      <c r="I92" s="985"/>
      <c r="J92" s="985"/>
      <c r="K92" s="499"/>
      <c r="L92" s="1016"/>
      <c r="M92" s="499"/>
    </row>
    <row r="93" spans="1:15" s="455" customFormat="1">
      <c r="A93" s="471"/>
      <c r="B93" s="454"/>
      <c r="C93" s="314"/>
      <c r="D93" s="314"/>
      <c r="E93" s="662"/>
      <c r="F93" s="309"/>
      <c r="G93" s="497"/>
      <c r="H93" s="1056"/>
      <c r="I93" s="985"/>
      <c r="J93" s="985"/>
      <c r="K93" s="499"/>
      <c r="L93" s="1016"/>
      <c r="M93" s="499"/>
      <c r="N93" s="458"/>
    </row>
    <row r="94" spans="1:15" s="455" customFormat="1">
      <c r="A94" s="471"/>
      <c r="B94" s="454"/>
      <c r="C94" s="314"/>
      <c r="D94" s="314"/>
      <c r="E94" s="662"/>
      <c r="F94" s="309"/>
      <c r="G94" s="497"/>
      <c r="H94" s="1056"/>
      <c r="I94" s="985"/>
      <c r="J94" s="985"/>
      <c r="K94" s="499"/>
      <c r="L94" s="1016"/>
      <c r="M94" s="499"/>
      <c r="N94" s="458"/>
    </row>
    <row r="95" spans="1:15" s="455" customFormat="1">
      <c r="A95" s="471"/>
      <c r="B95" s="454"/>
      <c r="C95" s="314"/>
      <c r="D95" s="314"/>
      <c r="E95" s="662"/>
      <c r="F95" s="309"/>
      <c r="G95" s="497"/>
      <c r="H95" s="1056"/>
      <c r="I95" s="985"/>
      <c r="J95" s="985"/>
      <c r="K95" s="499"/>
      <c r="L95" s="1016"/>
      <c r="M95" s="499"/>
      <c r="N95" s="458"/>
    </row>
    <row r="96" spans="1:15" s="455" customFormat="1">
      <c r="A96" s="471"/>
      <c r="B96" s="454"/>
      <c r="C96" s="2591"/>
      <c r="D96" s="314"/>
      <c r="E96" s="662"/>
      <c r="F96" s="309"/>
      <c r="G96" s="497"/>
      <c r="H96" s="1056"/>
      <c r="I96" s="985"/>
      <c r="J96" s="985"/>
      <c r="K96" s="499"/>
      <c r="L96" s="1016"/>
      <c r="M96" s="499"/>
    </row>
    <row r="97" spans="1:15" s="455" customFormat="1">
      <c r="A97" s="471"/>
      <c r="B97" s="454"/>
      <c r="C97" s="2593"/>
      <c r="D97" s="314"/>
      <c r="E97" s="662"/>
      <c r="F97" s="309"/>
      <c r="G97" s="497"/>
      <c r="H97" s="1056"/>
      <c r="I97" s="985"/>
      <c r="J97" s="985"/>
      <c r="K97" s="499"/>
      <c r="L97" s="1016"/>
      <c r="M97" s="499"/>
      <c r="N97" s="454"/>
    </row>
    <row r="98" spans="1:15" s="455" customFormat="1">
      <c r="A98" s="471"/>
      <c r="B98" s="454"/>
      <c r="C98" s="2591"/>
      <c r="D98" s="314"/>
      <c r="E98" s="662"/>
      <c r="F98" s="309"/>
      <c r="G98" s="497"/>
      <c r="H98" s="1056"/>
      <c r="I98" s="985"/>
      <c r="J98" s="985"/>
      <c r="K98" s="499"/>
      <c r="L98" s="1016"/>
      <c r="M98" s="499"/>
      <c r="N98" s="458"/>
    </row>
    <row r="99" spans="1:15" s="455" customFormat="1">
      <c r="A99" s="471"/>
      <c r="B99" s="454"/>
      <c r="C99" s="2592"/>
      <c r="D99" s="314"/>
      <c r="E99" s="662"/>
      <c r="F99" s="309"/>
      <c r="G99" s="497"/>
      <c r="H99" s="1056"/>
      <c r="I99" s="985"/>
      <c r="J99" s="985"/>
      <c r="K99" s="499"/>
      <c r="L99" s="1016"/>
      <c r="M99" s="499"/>
      <c r="N99" s="458"/>
    </row>
    <row r="100" spans="1:15" s="455" customFormat="1">
      <c r="A100" s="471"/>
      <c r="B100" s="454"/>
      <c r="C100" s="2593"/>
      <c r="D100" s="314"/>
      <c r="E100" s="662"/>
      <c r="F100" s="309"/>
      <c r="G100" s="497"/>
      <c r="H100" s="1056"/>
      <c r="I100" s="985"/>
      <c r="J100" s="985"/>
      <c r="K100" s="499"/>
      <c r="L100" s="1016"/>
      <c r="M100" s="499"/>
      <c r="N100" s="458"/>
    </row>
    <row r="101" spans="1:15" s="455" customFormat="1">
      <c r="A101" s="471"/>
      <c r="B101" s="454"/>
      <c r="C101" s="314"/>
      <c r="D101" s="314"/>
      <c r="E101" s="662"/>
      <c r="F101" s="309"/>
      <c r="G101" s="497"/>
      <c r="H101" s="985"/>
      <c r="I101" s="985"/>
      <c r="J101" s="985"/>
      <c r="K101" s="499"/>
      <c r="L101" s="1016"/>
      <c r="M101" s="499"/>
      <c r="N101" s="458"/>
    </row>
    <row r="102" spans="1:15" s="455" customFormat="1">
      <c r="A102" s="471"/>
      <c r="B102" s="454"/>
      <c r="C102" s="314"/>
      <c r="D102" s="314"/>
      <c r="E102" s="662"/>
      <c r="F102" s="309"/>
      <c r="G102" s="497"/>
      <c r="H102" s="985"/>
      <c r="I102" s="985"/>
      <c r="J102" s="985"/>
      <c r="K102" s="499"/>
      <c r="L102" s="1016"/>
      <c r="M102" s="499"/>
      <c r="N102" s="460"/>
    </row>
    <row r="103" spans="1:15" s="455" customFormat="1">
      <c r="C103" s="314"/>
      <c r="D103" s="314"/>
      <c r="E103" s="662"/>
      <c r="F103" s="662"/>
      <c r="G103" s="309"/>
      <c r="H103" s="497"/>
      <c r="I103" s="1056"/>
      <c r="J103" s="985"/>
      <c r="K103" s="985"/>
      <c r="L103" s="499"/>
      <c r="M103" s="1025"/>
      <c r="N103" s="499"/>
    </row>
    <row r="104" spans="1:15" s="455" customFormat="1">
      <c r="C104" s="902"/>
      <c r="D104" s="309"/>
      <c r="E104" s="662"/>
      <c r="F104" s="662"/>
      <c r="G104" s="309"/>
      <c r="H104" s="497"/>
      <c r="I104" s="653"/>
      <c r="J104" s="985"/>
      <c r="K104" s="1469"/>
      <c r="L104" s="499"/>
      <c r="M104" s="1025"/>
      <c r="N104" s="499"/>
    </row>
    <row r="105" spans="1:15" s="455" customFormat="1">
      <c r="A105" s="566"/>
      <c r="B105" s="467"/>
      <c r="C105" s="499"/>
      <c r="D105" s="309"/>
      <c r="E105" s="391"/>
      <c r="F105" s="499"/>
      <c r="G105" s="497"/>
      <c r="H105" s="498"/>
      <c r="I105" s="498"/>
      <c r="J105" s="498"/>
      <c r="K105" s="499"/>
      <c r="L105" s="1470"/>
      <c r="M105" s="309"/>
      <c r="N105" s="499"/>
    </row>
    <row r="106" spans="1:15" s="455" customFormat="1">
      <c r="A106" s="566"/>
      <c r="B106" s="467"/>
      <c r="C106" s="497"/>
      <c r="D106" s="691"/>
      <c r="E106" s="675"/>
      <c r="F106" s="675"/>
      <c r="G106" s="654"/>
      <c r="H106" s="502"/>
      <c r="I106" s="652"/>
      <c r="J106" s="497"/>
      <c r="K106" s="653"/>
      <c r="L106" s="502"/>
      <c r="M106" s="538"/>
      <c r="N106" s="392"/>
      <c r="O106" s="502"/>
    </row>
    <row r="107" spans="1:15" s="455" customFormat="1">
      <c r="A107" s="566"/>
      <c r="B107" s="467"/>
      <c r="C107" s="497"/>
      <c r="D107" s="691"/>
      <c r="E107" s="675"/>
      <c r="F107" s="675"/>
      <c r="G107" s="654"/>
      <c r="H107" s="502"/>
      <c r="I107" s="652"/>
      <c r="J107" s="497"/>
      <c r="K107" s="653"/>
      <c r="L107" s="502"/>
      <c r="M107" s="538"/>
      <c r="N107" s="392"/>
      <c r="O107" s="502"/>
    </row>
    <row r="108" spans="1:15" s="455" customFormat="1">
      <c r="A108" s="566"/>
      <c r="B108" s="467"/>
      <c r="C108" s="497"/>
      <c r="D108" s="691"/>
      <c r="E108" s="675"/>
      <c r="F108" s="675"/>
      <c r="G108" s="654"/>
      <c r="H108" s="502"/>
      <c r="I108" s="652"/>
      <c r="J108" s="497"/>
      <c r="K108" s="653"/>
      <c r="L108" s="502"/>
      <c r="M108" s="538"/>
      <c r="N108" s="392"/>
      <c r="O108" s="502"/>
    </row>
    <row r="109" spans="1:15" s="455" customFormat="1">
      <c r="A109" s="566"/>
      <c r="B109" s="467"/>
      <c r="C109" s="497"/>
      <c r="D109" s="691"/>
      <c r="E109" s="675"/>
      <c r="F109" s="675"/>
      <c r="G109" s="654"/>
      <c r="H109" s="502"/>
      <c r="I109" s="652"/>
      <c r="J109" s="497"/>
      <c r="K109" s="653"/>
      <c r="L109" s="502"/>
      <c r="M109" s="538"/>
      <c r="N109" s="392"/>
      <c r="O109" s="502"/>
    </row>
    <row r="110" spans="1:15" s="455" customFormat="1">
      <c r="C110" s="1384"/>
      <c r="D110" s="314"/>
      <c r="E110" s="662"/>
      <c r="F110" s="662"/>
      <c r="G110" s="309"/>
      <c r="H110" s="497"/>
      <c r="I110" s="653"/>
      <c r="J110" s="985"/>
      <c r="K110" s="1469"/>
      <c r="L110" s="499"/>
      <c r="M110" s="1025"/>
      <c r="N110" s="499"/>
    </row>
    <row r="111" spans="1:15" s="455" customFormat="1">
      <c r="C111" s="1384"/>
      <c r="D111" s="314"/>
      <c r="E111" s="662"/>
      <c r="F111" s="662"/>
      <c r="G111" s="309"/>
      <c r="H111" s="497"/>
      <c r="I111" s="653"/>
      <c r="J111" s="985"/>
      <c r="K111" s="1469"/>
      <c r="L111" s="499"/>
      <c r="M111" s="1025"/>
      <c r="N111" s="499"/>
    </row>
    <row r="112" spans="1:15" s="455" customFormat="1">
      <c r="A112" s="566"/>
      <c r="B112" s="467"/>
      <c r="C112" s="499"/>
      <c r="D112" s="309"/>
      <c r="E112" s="391"/>
      <c r="F112" s="499"/>
      <c r="G112" s="497"/>
      <c r="H112" s="498"/>
      <c r="I112" s="498"/>
      <c r="J112" s="498"/>
      <c r="K112" s="499"/>
      <c r="L112" s="1470"/>
      <c r="M112" s="309"/>
      <c r="N112" s="499"/>
    </row>
    <row r="113" spans="1:15" s="455" customFormat="1">
      <c r="A113" s="566"/>
      <c r="B113" s="467"/>
      <c r="C113" s="497"/>
      <c r="D113" s="691"/>
      <c r="E113" s="675"/>
      <c r="F113" s="675"/>
      <c r="G113" s="654"/>
      <c r="H113" s="502"/>
      <c r="I113" s="652"/>
      <c r="J113" s="497"/>
      <c r="K113" s="653"/>
      <c r="L113" s="502"/>
      <c r="M113" s="538"/>
      <c r="N113" s="392"/>
      <c r="O113" s="502"/>
    </row>
    <row r="114" spans="1:15" s="455" customFormat="1">
      <c r="A114" s="566"/>
      <c r="B114" s="467"/>
      <c r="C114" s="497"/>
      <c r="D114" s="691"/>
      <c r="E114" s="675"/>
      <c r="F114" s="675"/>
      <c r="G114" s="654"/>
      <c r="H114" s="502"/>
      <c r="I114" s="652"/>
      <c r="J114" s="497"/>
      <c r="K114" s="653"/>
      <c r="L114" s="502"/>
      <c r="M114" s="538"/>
      <c r="N114" s="392"/>
      <c r="O114" s="502"/>
    </row>
    <row r="115" spans="1:15" s="455" customFormat="1">
      <c r="A115" s="566"/>
      <c r="B115" s="467"/>
      <c r="C115" s="497"/>
      <c r="D115" s="691"/>
      <c r="E115" s="675"/>
      <c r="F115" s="675"/>
      <c r="G115" s="654"/>
      <c r="H115" s="502"/>
      <c r="I115" s="652"/>
      <c r="J115" s="497"/>
      <c r="K115" s="653"/>
      <c r="L115" s="502"/>
      <c r="M115" s="538"/>
      <c r="N115" s="392"/>
      <c r="O115" s="502"/>
    </row>
    <row r="116" spans="1:15" s="455" customFormat="1">
      <c r="A116" s="566"/>
      <c r="B116" s="467"/>
      <c r="C116" s="497"/>
      <c r="D116" s="691"/>
      <c r="E116" s="675"/>
      <c r="F116" s="675"/>
      <c r="G116" s="654"/>
      <c r="H116" s="502"/>
      <c r="I116" s="652"/>
      <c r="J116" s="497"/>
      <c r="K116" s="653"/>
      <c r="L116" s="502"/>
      <c r="M116" s="538"/>
      <c r="N116" s="392"/>
      <c r="O116" s="502"/>
    </row>
    <row r="117" spans="1:15" s="455" customFormat="1">
      <c r="C117" s="1385"/>
      <c r="D117" s="314"/>
      <c r="E117" s="991"/>
      <c r="F117" s="662"/>
      <c r="G117" s="309"/>
      <c r="H117" s="497"/>
      <c r="I117" s="774"/>
      <c r="J117" s="774"/>
      <c r="K117" s="774"/>
      <c r="L117" s="499"/>
      <c r="M117" s="1028"/>
      <c r="N117" s="499"/>
    </row>
    <row r="118" spans="1:15" s="455" customFormat="1">
      <c r="C118" s="314"/>
      <c r="D118" s="314"/>
      <c r="E118" s="991"/>
      <c r="F118" s="662"/>
      <c r="G118" s="309"/>
      <c r="H118" s="497"/>
      <c r="I118" s="774"/>
      <c r="J118" s="774"/>
      <c r="K118" s="1471"/>
      <c r="L118" s="499"/>
      <c r="M118" s="1028"/>
      <c r="N118" s="499"/>
    </row>
    <row r="119" spans="1:15" s="455" customFormat="1">
      <c r="C119" s="1027"/>
      <c r="D119" s="314"/>
      <c r="E119" s="991"/>
      <c r="F119" s="662"/>
      <c r="G119" s="309"/>
      <c r="H119" s="497"/>
      <c r="I119" s="1056"/>
      <c r="J119" s="985"/>
      <c r="K119" s="985"/>
      <c r="L119" s="499"/>
      <c r="M119" s="1028"/>
      <c r="N119" s="499"/>
    </row>
    <row r="120" spans="1:15" s="455" customFormat="1">
      <c r="C120" s="499"/>
      <c r="D120" s="309"/>
      <c r="E120" s="391"/>
      <c r="F120" s="499"/>
      <c r="G120" s="497"/>
      <c r="H120" s="498"/>
      <c r="I120" s="498"/>
      <c r="J120" s="498"/>
      <c r="K120" s="499"/>
      <c r="L120" s="1472"/>
      <c r="M120" s="309"/>
      <c r="N120" s="499"/>
    </row>
    <row r="121" spans="1:15" s="455" customFormat="1">
      <c r="C121" s="497"/>
      <c r="D121" s="691"/>
      <c r="E121" s="675"/>
      <c r="F121" s="675"/>
      <c r="G121" s="654"/>
      <c r="H121" s="502"/>
      <c r="I121" s="652"/>
      <c r="J121" s="497"/>
      <c r="K121" s="653"/>
      <c r="L121" s="502"/>
      <c r="M121" s="538"/>
      <c r="N121" s="392"/>
      <c r="O121" s="502"/>
    </row>
    <row r="122" spans="1:15" s="455" customFormat="1">
      <c r="C122" s="497"/>
      <c r="D122" s="691"/>
      <c r="E122" s="675"/>
      <c r="F122" s="675"/>
      <c r="G122" s="654"/>
      <c r="H122" s="502"/>
      <c r="I122" s="652"/>
      <c r="J122" s="497"/>
      <c r="K122" s="653"/>
      <c r="L122" s="502"/>
      <c r="M122" s="538"/>
      <c r="N122" s="392"/>
      <c r="O122" s="502"/>
    </row>
    <row r="123" spans="1:15" s="455" customFormat="1">
      <c r="C123" s="497"/>
      <c r="D123" s="691"/>
      <c r="E123" s="675"/>
      <c r="F123" s="675"/>
      <c r="G123" s="654"/>
      <c r="H123" s="502"/>
      <c r="I123" s="652"/>
      <c r="J123" s="497"/>
      <c r="K123" s="653"/>
      <c r="L123" s="502"/>
      <c r="M123" s="538"/>
      <c r="N123" s="392"/>
      <c r="O123" s="502"/>
    </row>
    <row r="124" spans="1:15" s="455" customFormat="1">
      <c r="C124" s="497"/>
      <c r="D124" s="691"/>
      <c r="E124" s="675"/>
      <c r="F124" s="675"/>
      <c r="G124" s="654"/>
      <c r="H124" s="502"/>
      <c r="I124" s="652"/>
      <c r="J124" s="497"/>
      <c r="K124" s="653"/>
      <c r="L124" s="502"/>
      <c r="M124" s="538"/>
      <c r="N124" s="392"/>
      <c r="O124" s="502"/>
    </row>
    <row r="125" spans="1:15" s="455" customFormat="1">
      <c r="C125" s="497"/>
      <c r="D125" s="691"/>
      <c r="E125" s="675"/>
      <c r="F125" s="675"/>
      <c r="G125" s="654"/>
      <c r="H125" s="502"/>
      <c r="I125" s="652"/>
      <c r="J125" s="497"/>
      <c r="K125" s="653"/>
      <c r="L125" s="502"/>
      <c r="M125" s="538"/>
      <c r="N125" s="392"/>
      <c r="O125" s="502"/>
    </row>
    <row r="126" spans="1:15" s="455" customFormat="1">
      <c r="C126" s="497"/>
      <c r="D126" s="691"/>
      <c r="E126" s="675"/>
      <c r="F126" s="675"/>
      <c r="G126" s="654"/>
      <c r="H126" s="502"/>
      <c r="I126" s="652"/>
      <c r="J126" s="497"/>
      <c r="K126" s="653"/>
      <c r="L126" s="502"/>
      <c r="M126" s="538"/>
      <c r="N126" s="392"/>
      <c r="O126" s="502"/>
    </row>
    <row r="127" spans="1:15" s="455" customFormat="1">
      <c r="C127" s="497"/>
      <c r="D127" s="691"/>
      <c r="E127" s="675"/>
      <c r="F127" s="1473"/>
      <c r="G127" s="654"/>
      <c r="H127" s="502"/>
      <c r="I127" s="652"/>
      <c r="J127" s="497"/>
      <c r="K127" s="653"/>
      <c r="L127" s="502"/>
      <c r="M127" s="538"/>
      <c r="N127" s="392"/>
      <c r="O127" s="502"/>
    </row>
    <row r="128" spans="1:15">
      <c r="C128" s="400"/>
      <c r="D128" s="400"/>
      <c r="E128" s="401"/>
      <c r="F128" s="402"/>
      <c r="G128" s="402"/>
      <c r="H128" s="403"/>
      <c r="I128" s="403"/>
      <c r="J128" s="403"/>
      <c r="K128" s="402"/>
      <c r="L128" s="404"/>
      <c r="M128" s="402"/>
      <c r="N128" s="405"/>
    </row>
    <row r="129" spans="3:14">
      <c r="C129" s="400"/>
      <c r="D129" s="400"/>
      <c r="E129" s="401"/>
      <c r="F129" s="402"/>
      <c r="G129" s="402"/>
      <c r="H129" s="403"/>
      <c r="I129" s="403"/>
      <c r="J129" s="403"/>
      <c r="K129" s="402"/>
      <c r="L129" s="404"/>
      <c r="M129" s="402"/>
      <c r="N129" s="405"/>
    </row>
    <row r="130" spans="3:14">
      <c r="C130" s="400"/>
      <c r="D130" s="400"/>
      <c r="E130" s="401"/>
      <c r="F130" s="402"/>
      <c r="G130" s="402"/>
      <c r="H130" s="403"/>
      <c r="I130" s="403"/>
      <c r="J130" s="403"/>
      <c r="K130" s="402"/>
      <c r="L130" s="404"/>
      <c r="M130" s="402"/>
      <c r="N130" s="405"/>
    </row>
    <row r="131" spans="3:14">
      <c r="C131" s="400"/>
      <c r="D131" s="400"/>
      <c r="E131" s="401"/>
      <c r="F131" s="402"/>
      <c r="G131" s="402"/>
      <c r="H131" s="403"/>
      <c r="I131" s="403"/>
      <c r="J131" s="403"/>
      <c r="K131" s="402"/>
      <c r="L131" s="404"/>
      <c r="M131" s="402"/>
      <c r="N131" s="405"/>
    </row>
    <row r="132" spans="3:14">
      <c r="C132" s="400"/>
      <c r="D132" s="400"/>
      <c r="E132" s="401"/>
      <c r="F132" s="402"/>
      <c r="G132" s="402"/>
      <c r="H132" s="403"/>
      <c r="I132" s="403"/>
      <c r="J132" s="403"/>
      <c r="K132" s="402"/>
      <c r="L132" s="404"/>
      <c r="M132" s="402"/>
      <c r="N132" s="405"/>
    </row>
    <row r="133" spans="3:14">
      <c r="C133" s="400"/>
      <c r="D133" s="400"/>
      <c r="E133" s="401"/>
      <c r="F133" s="402"/>
      <c r="G133" s="402"/>
      <c r="H133" s="403"/>
      <c r="I133" s="403"/>
      <c r="J133" s="403"/>
      <c r="K133" s="402"/>
      <c r="L133" s="404"/>
      <c r="M133" s="402"/>
      <c r="N133" s="405"/>
    </row>
    <row r="134" spans="3:14">
      <c r="C134" s="400"/>
      <c r="D134" s="400"/>
      <c r="E134" s="401"/>
      <c r="F134" s="402"/>
      <c r="G134" s="402"/>
      <c r="H134" s="403"/>
      <c r="I134" s="403"/>
      <c r="J134" s="403"/>
      <c r="K134" s="402"/>
      <c r="L134" s="404"/>
      <c r="M134" s="402"/>
      <c r="N134" s="405"/>
    </row>
    <row r="135" spans="3:14">
      <c r="C135" s="400"/>
      <c r="D135" s="400"/>
      <c r="E135" s="401"/>
      <c r="F135" s="402"/>
      <c r="G135" s="402"/>
      <c r="H135" s="403"/>
      <c r="I135" s="403"/>
      <c r="J135" s="403"/>
      <c r="K135" s="402"/>
      <c r="L135" s="404"/>
      <c r="M135" s="402"/>
      <c r="N135" s="405"/>
    </row>
    <row r="136" spans="3:14">
      <c r="C136" s="400"/>
      <c r="D136" s="400"/>
      <c r="E136" s="401"/>
      <c r="F136" s="402"/>
      <c r="G136" s="402"/>
      <c r="H136" s="403"/>
      <c r="I136" s="403"/>
      <c r="J136" s="403"/>
      <c r="K136" s="402"/>
      <c r="L136" s="404"/>
      <c r="M136" s="402"/>
      <c r="N136" s="405"/>
    </row>
    <row r="137" spans="3:14">
      <c r="C137" s="400"/>
      <c r="D137" s="400"/>
      <c r="E137" s="401"/>
      <c r="F137" s="402"/>
      <c r="G137" s="402"/>
      <c r="H137" s="403"/>
      <c r="I137" s="403"/>
      <c r="J137" s="403"/>
      <c r="K137" s="402"/>
      <c r="L137" s="404"/>
      <c r="M137" s="402"/>
      <c r="N137" s="405"/>
    </row>
    <row r="138" spans="3:14">
      <c r="C138" s="400"/>
      <c r="D138" s="400"/>
      <c r="E138" s="401"/>
      <c r="F138" s="402"/>
      <c r="G138" s="402"/>
      <c r="H138" s="403"/>
      <c r="I138" s="403"/>
      <c r="J138" s="403"/>
      <c r="K138" s="402"/>
      <c r="L138" s="404"/>
      <c r="M138" s="402"/>
      <c r="N138" s="405"/>
    </row>
    <row r="139" spans="3:14">
      <c r="C139" s="400"/>
      <c r="D139" s="400"/>
      <c r="E139" s="401"/>
      <c r="F139" s="402"/>
      <c r="G139" s="402"/>
      <c r="H139" s="403"/>
      <c r="I139" s="403"/>
      <c r="J139" s="403"/>
      <c r="K139" s="402"/>
      <c r="L139" s="404"/>
      <c r="M139" s="402"/>
      <c r="N139" s="405"/>
    </row>
    <row r="140" spans="3:14">
      <c r="C140" s="400"/>
      <c r="D140" s="400"/>
      <c r="E140" s="401"/>
      <c r="F140" s="402"/>
      <c r="G140" s="402"/>
      <c r="H140" s="403"/>
      <c r="I140" s="403"/>
      <c r="J140" s="403"/>
      <c r="K140" s="402"/>
      <c r="L140" s="404"/>
      <c r="M140" s="407"/>
      <c r="N140" s="405"/>
    </row>
    <row r="141" spans="3:14">
      <c r="C141" s="400"/>
      <c r="D141" s="400"/>
      <c r="E141" s="401"/>
      <c r="F141" s="402"/>
      <c r="G141" s="403"/>
      <c r="H141" s="403"/>
      <c r="I141" s="403"/>
      <c r="J141" s="403"/>
      <c r="K141" s="408"/>
      <c r="L141" s="404"/>
      <c r="M141" s="407"/>
      <c r="N141" s="405"/>
    </row>
    <row r="142" spans="3:14">
      <c r="C142" s="352"/>
      <c r="D142" s="352"/>
      <c r="E142" s="352"/>
      <c r="F142" s="352"/>
      <c r="G142" s="352"/>
      <c r="H142" s="352"/>
      <c r="I142" s="352"/>
      <c r="J142" s="352"/>
      <c r="K142" s="352"/>
      <c r="L142" s="1403">
        <f>SUM(L5:L140)</f>
        <v>480920</v>
      </c>
      <c r="M142" s="352"/>
      <c r="N142" s="352"/>
    </row>
    <row r="143" spans="3:14" ht="14.25" customHeight="1">
      <c r="C143" s="367"/>
      <c r="D143" s="368"/>
      <c r="E143" s="369"/>
      <c r="F143" s="370"/>
      <c r="G143" s="370"/>
      <c r="H143" s="371"/>
      <c r="I143" s="371"/>
      <c r="J143" s="371"/>
      <c r="K143" s="370"/>
      <c r="L143" s="372"/>
      <c r="M143" s="370"/>
      <c r="N143" s="368"/>
    </row>
    <row r="144" spans="3:14" s="302" customFormat="1" ht="14.25" customHeight="1">
      <c r="C144" s="367"/>
      <c r="D144" s="368"/>
      <c r="E144" s="373"/>
      <c r="F144" s="370"/>
      <c r="G144" s="370"/>
      <c r="H144" s="371"/>
      <c r="I144" s="371"/>
      <c r="J144" s="371"/>
      <c r="K144" s="370"/>
      <c r="L144" s="372"/>
      <c r="M144" s="370"/>
      <c r="N144" s="368"/>
    </row>
    <row r="145" spans="3:14" s="302" customFormat="1" ht="14.25" customHeight="1">
      <c r="C145" s="374"/>
      <c r="D145" s="375"/>
      <c r="E145" s="373"/>
      <c r="F145" s="376"/>
      <c r="G145" s="376"/>
      <c r="H145" s="377"/>
      <c r="I145" s="377"/>
      <c r="J145" s="377"/>
      <c r="K145" s="376"/>
      <c r="L145" s="378"/>
      <c r="M145" s="376"/>
      <c r="N145" s="375"/>
    </row>
  </sheetData>
  <mergeCells count="10">
    <mergeCell ref="M2:M3"/>
    <mergeCell ref="N2:N3"/>
    <mergeCell ref="C98:C100"/>
    <mergeCell ref="C96:C97"/>
    <mergeCell ref="C19:C23"/>
    <mergeCell ref="C26:C32"/>
    <mergeCell ref="K26:K27"/>
    <mergeCell ref="C2:G2"/>
    <mergeCell ref="H2:J2"/>
    <mergeCell ref="K2:L2"/>
  </mergeCell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4F8AE-37BE-4832-A0E8-D309A792EADC}">
  <sheetPr>
    <tabColor rgb="FF00B0F0"/>
  </sheetPr>
  <dimension ref="A1:O109"/>
  <sheetViews>
    <sheetView zoomScale="93" zoomScaleNormal="94" workbookViewId="0">
      <pane ySplit="4" topLeftCell="A18" activePane="bottomLeft" state="frozen"/>
      <selection pane="bottomLeft" activeCell="L31" sqref="L31"/>
    </sheetView>
  </sheetViews>
  <sheetFormatPr defaultRowHeight="15"/>
  <cols>
    <col min="3" max="3" width="21.42578125" customWidth="1"/>
    <col min="4" max="4" width="49.7109375" bestFit="1"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style="99" customWidth="1"/>
    <col min="13" max="13" width="16.28515625" customWidth="1"/>
    <col min="14" max="14" width="12.85546875" customWidth="1"/>
    <col min="17" max="17" width="73.7109375" bestFit="1" customWidth="1"/>
  </cols>
  <sheetData>
    <row r="1" spans="1:15" s="355" customFormat="1" ht="13.5">
      <c r="L1" s="32"/>
    </row>
    <row r="2" spans="1:15" s="355" customFormat="1" ht="13.5">
      <c r="C2" s="2601" t="s">
        <v>30</v>
      </c>
      <c r="D2" s="2602"/>
      <c r="E2" s="2602"/>
      <c r="F2" s="2602"/>
      <c r="G2" s="2603"/>
      <c r="H2" s="2604" t="s">
        <v>29</v>
      </c>
      <c r="I2" s="2605"/>
      <c r="J2" s="2606"/>
      <c r="K2" s="2601" t="s">
        <v>28</v>
      </c>
      <c r="L2" s="2603"/>
      <c r="M2" s="2594" t="s">
        <v>27</v>
      </c>
      <c r="N2" s="2594" t="s">
        <v>26</v>
      </c>
    </row>
    <row r="3" spans="1:15" s="355" customFormat="1" ht="94.5">
      <c r="C3" s="618" t="s">
        <v>25</v>
      </c>
      <c r="D3" s="852" t="s">
        <v>24</v>
      </c>
      <c r="E3" s="991" t="s">
        <v>23</v>
      </c>
      <c r="F3" s="618" t="s">
        <v>22</v>
      </c>
      <c r="G3" s="532" t="s">
        <v>1303</v>
      </c>
      <c r="H3" s="532" t="s">
        <v>20</v>
      </c>
      <c r="I3" s="532" t="s">
        <v>19</v>
      </c>
      <c r="J3" s="532" t="s">
        <v>18</v>
      </c>
      <c r="K3" s="618" t="s">
        <v>17</v>
      </c>
      <c r="L3" s="605" t="s">
        <v>16</v>
      </c>
      <c r="M3" s="2594"/>
      <c r="N3" s="2594"/>
    </row>
    <row r="4" spans="1:15" s="355" customFormat="1" ht="27">
      <c r="C4" s="1076" t="s">
        <v>15</v>
      </c>
      <c r="D4" s="1076" t="s">
        <v>14</v>
      </c>
      <c r="E4" s="1076" t="s">
        <v>13</v>
      </c>
      <c r="F4" s="1076" t="s">
        <v>12</v>
      </c>
      <c r="G4" s="1076" t="s">
        <v>11</v>
      </c>
      <c r="H4" s="1076" t="s">
        <v>10</v>
      </c>
      <c r="I4" s="1076" t="s">
        <v>9</v>
      </c>
      <c r="J4" s="1076" t="s">
        <v>8</v>
      </c>
      <c r="K4" s="1076" t="s">
        <v>7</v>
      </c>
      <c r="L4" s="1077" t="s">
        <v>6</v>
      </c>
      <c r="M4" s="1076" t="s">
        <v>5</v>
      </c>
      <c r="N4" s="1076" t="s">
        <v>4</v>
      </c>
    </row>
    <row r="5" spans="1:15" s="455" customFormat="1" ht="25.5" customHeight="1">
      <c r="A5" s="471"/>
      <c r="B5" s="483" t="s">
        <v>2574</v>
      </c>
      <c r="C5" s="1909"/>
      <c r="D5" s="1915" t="s">
        <v>2</v>
      </c>
      <c r="E5" s="1900"/>
      <c r="F5" s="1835" t="s">
        <v>422</v>
      </c>
      <c r="G5" s="1878" t="s">
        <v>1</v>
      </c>
      <c r="H5" s="1878">
        <v>46054</v>
      </c>
      <c r="I5" s="1879">
        <v>46082</v>
      </c>
      <c r="J5" s="1879">
        <v>46082</v>
      </c>
      <c r="K5" s="1712" t="s">
        <v>2216</v>
      </c>
      <c r="L5" s="1916"/>
      <c r="M5" s="1715" t="s">
        <v>2446</v>
      </c>
      <c r="O5" s="1716"/>
    </row>
    <row r="6" spans="1:15" s="455" customFormat="1" ht="27">
      <c r="A6" s="471"/>
      <c r="B6" s="483" t="s">
        <v>2574</v>
      </c>
      <c r="C6" s="2756" t="s">
        <v>2856</v>
      </c>
      <c r="D6" s="1925" t="s">
        <v>2854</v>
      </c>
      <c r="E6" s="1918"/>
      <c r="F6" s="1919"/>
      <c r="G6" s="1725"/>
      <c r="H6" s="1801"/>
      <c r="I6" s="1801"/>
      <c r="J6" s="1801"/>
      <c r="K6" s="1802"/>
      <c r="L6" s="1920">
        <v>25000</v>
      </c>
      <c r="N6" s="1721"/>
      <c r="O6" s="1720"/>
    </row>
    <row r="7" spans="1:15" s="455" customFormat="1">
      <c r="A7" s="471"/>
      <c r="B7" s="483" t="s">
        <v>2574</v>
      </c>
      <c r="C7" s="2757"/>
      <c r="D7" s="1885" t="s">
        <v>2855</v>
      </c>
      <c r="E7" s="1884"/>
      <c r="F7" s="1921"/>
      <c r="G7" s="1725"/>
      <c r="H7" s="1801"/>
      <c r="I7" s="1801"/>
      <c r="J7" s="1801"/>
      <c r="K7" s="1802"/>
      <c r="L7" s="1801"/>
      <c r="M7" s="1920"/>
      <c r="N7" s="1721"/>
      <c r="O7" s="1720"/>
    </row>
    <row r="8" spans="1:15" s="455" customFormat="1">
      <c r="A8" s="471"/>
      <c r="B8" s="483" t="s">
        <v>2574</v>
      </c>
      <c r="C8" s="2758"/>
      <c r="D8" s="1856"/>
      <c r="E8" s="1884"/>
      <c r="F8" s="1921"/>
      <c r="G8" s="1725"/>
      <c r="H8" s="1801"/>
      <c r="I8" s="1801"/>
      <c r="J8" s="1801"/>
      <c r="K8" s="1802"/>
      <c r="L8" s="1801"/>
      <c r="M8" s="1920"/>
      <c r="N8" s="1721"/>
      <c r="O8" s="1720"/>
    </row>
    <row r="9" spans="1:15" s="455" customFormat="1">
      <c r="A9" s="471"/>
      <c r="B9" s="483" t="s">
        <v>2574</v>
      </c>
      <c r="C9" s="1856"/>
      <c r="D9" s="1856"/>
      <c r="E9" s="1885"/>
      <c r="F9" s="1724"/>
      <c r="G9" s="1725"/>
      <c r="H9" s="1801"/>
      <c r="I9" s="1801"/>
      <c r="J9" s="1801"/>
      <c r="K9" s="1802"/>
      <c r="L9" s="1801"/>
      <c r="M9" s="1803"/>
      <c r="N9" s="1721"/>
      <c r="O9" s="1720"/>
    </row>
    <row r="10" spans="1:15" s="455" customFormat="1" ht="27">
      <c r="A10" s="471"/>
      <c r="B10" s="483" t="s">
        <v>2574</v>
      </c>
      <c r="C10" s="1909"/>
      <c r="D10" s="1915" t="s">
        <v>2</v>
      </c>
      <c r="E10" s="1900"/>
      <c r="F10" s="1835" t="s">
        <v>422</v>
      </c>
      <c r="G10" s="1878" t="s">
        <v>1</v>
      </c>
      <c r="H10" s="1878">
        <v>46113</v>
      </c>
      <c r="I10" s="1879">
        <v>46143</v>
      </c>
      <c r="J10" s="1879">
        <v>46143</v>
      </c>
      <c r="K10" s="1712" t="s">
        <v>2216</v>
      </c>
      <c r="L10" s="1916"/>
      <c r="M10" s="1715" t="s">
        <v>2446</v>
      </c>
      <c r="O10" s="1716"/>
    </row>
    <row r="11" spans="1:15" s="455" customFormat="1" ht="27">
      <c r="A11" s="471"/>
      <c r="B11" s="483" t="s">
        <v>2574</v>
      </c>
      <c r="C11" s="2756" t="s">
        <v>2856</v>
      </c>
      <c r="D11" s="1925" t="s">
        <v>2854</v>
      </c>
      <c r="E11" s="1918"/>
      <c r="F11" s="1725"/>
      <c r="G11" s="1801"/>
      <c r="H11" s="1801"/>
      <c r="I11" s="1801"/>
      <c r="J11" s="1802"/>
      <c r="K11" s="1796"/>
      <c r="L11" s="1926">
        <v>12500</v>
      </c>
      <c r="M11" s="1721"/>
      <c r="O11" s="1720"/>
    </row>
    <row r="12" spans="1:15" s="455" customFormat="1">
      <c r="A12" s="471"/>
      <c r="B12" s="483" t="s">
        <v>2574</v>
      </c>
      <c r="C12" s="2757"/>
      <c r="D12" s="1885" t="s">
        <v>2855</v>
      </c>
      <c r="E12" s="1884"/>
      <c r="F12" s="1921"/>
      <c r="G12" s="1725"/>
      <c r="H12" s="1801"/>
      <c r="I12" s="1801"/>
      <c r="J12" s="1801"/>
      <c r="K12" s="1802"/>
      <c r="L12" s="1801"/>
      <c r="M12" s="1920"/>
      <c r="N12" s="1721"/>
      <c r="O12" s="1720"/>
    </row>
    <row r="13" spans="1:15" s="455" customFormat="1">
      <c r="A13" s="471"/>
      <c r="B13" s="483" t="s">
        <v>2574</v>
      </c>
      <c r="C13" s="2757"/>
      <c r="D13" s="1726"/>
      <c r="E13" s="1884"/>
      <c r="F13" s="1921"/>
      <c r="G13" s="1725"/>
      <c r="H13" s="1801"/>
      <c r="I13" s="1801"/>
      <c r="J13" s="1801"/>
      <c r="K13" s="1802"/>
      <c r="L13" s="1801"/>
      <c r="M13" s="1920"/>
      <c r="N13" s="1721"/>
      <c r="O13" s="1720"/>
    </row>
    <row r="14" spans="1:15" s="455" customFormat="1">
      <c r="A14" s="471"/>
      <c r="B14" s="483" t="s">
        <v>2574</v>
      </c>
      <c r="C14" s="2758"/>
      <c r="D14" s="1726"/>
      <c r="E14" s="1885"/>
      <c r="F14" s="1724"/>
      <c r="G14" s="1725"/>
      <c r="H14" s="1801"/>
      <c r="I14" s="1801"/>
      <c r="J14" s="1801"/>
      <c r="K14" s="1802"/>
      <c r="L14" s="1801"/>
      <c r="M14" s="1803"/>
      <c r="N14" s="1721"/>
      <c r="O14" s="1720"/>
    </row>
    <row r="15" spans="1:15" s="455" customFormat="1" ht="13.5">
      <c r="A15" s="471"/>
      <c r="B15" s="454"/>
      <c r="C15" s="1525"/>
      <c r="D15" s="309"/>
      <c r="E15" s="309"/>
      <c r="F15" s="309"/>
      <c r="G15" s="497"/>
      <c r="H15" s="1056"/>
      <c r="I15" s="985"/>
      <c r="J15" s="985"/>
      <c r="K15" s="499"/>
      <c r="L15" s="1025"/>
      <c r="M15" s="499"/>
    </row>
    <row r="16" spans="1:15" s="455" customFormat="1" ht="13.5">
      <c r="A16" s="471"/>
      <c r="B16" s="454"/>
      <c r="C16" s="2038"/>
      <c r="D16" s="309"/>
      <c r="E16" s="309"/>
      <c r="F16" s="309"/>
      <c r="G16" s="497"/>
      <c r="H16" s="1056"/>
      <c r="I16" s="985"/>
      <c r="J16" s="985"/>
      <c r="K16" s="499"/>
      <c r="L16" s="1025"/>
      <c r="M16" s="499"/>
    </row>
    <row r="17" spans="1:14" s="455" customFormat="1" ht="13.5">
      <c r="A17" s="471"/>
      <c r="B17" s="454"/>
      <c r="C17" s="2038"/>
      <c r="D17" s="309"/>
      <c r="E17" s="309"/>
      <c r="F17" s="309"/>
      <c r="G17" s="497"/>
      <c r="H17" s="1056"/>
      <c r="I17" s="985"/>
      <c r="J17" s="985"/>
      <c r="K17" s="499"/>
      <c r="L17" s="1025"/>
      <c r="M17" s="499"/>
    </row>
    <row r="18" spans="1:14" s="455" customFormat="1" ht="38.25">
      <c r="A18" s="471"/>
      <c r="B18" s="454" t="s">
        <v>2929</v>
      </c>
      <c r="C18" s="1999" t="s">
        <v>2977</v>
      </c>
      <c r="D18" s="2000" t="s">
        <v>637</v>
      </c>
      <c r="E18" s="2015"/>
      <c r="F18" s="2001" t="s">
        <v>1764</v>
      </c>
      <c r="G18" s="2001" t="s">
        <v>1</v>
      </c>
      <c r="H18" s="2002"/>
      <c r="I18" s="2002"/>
      <c r="J18" s="2002"/>
      <c r="K18" s="2003" t="s">
        <v>748</v>
      </c>
      <c r="L18" s="2053"/>
      <c r="M18" s="2002" t="s">
        <v>2924</v>
      </c>
      <c r="N18" s="2003" t="s">
        <v>703</v>
      </c>
    </row>
    <row r="19" spans="1:14" s="455" customFormat="1">
      <c r="A19" s="471"/>
      <c r="B19" s="454"/>
      <c r="C19" s="2004"/>
      <c r="D19" s="2052" t="s">
        <v>2978</v>
      </c>
      <c r="E19" s="2017" t="s">
        <v>2942</v>
      </c>
      <c r="F19" s="2006"/>
      <c r="G19" s="2006"/>
      <c r="H19" s="2008" t="s">
        <v>2213</v>
      </c>
      <c r="I19" s="2009">
        <v>46174</v>
      </c>
      <c r="J19" s="2010" t="s">
        <v>2215</v>
      </c>
      <c r="K19" s="2011"/>
      <c r="L19" s="2012">
        <v>20000</v>
      </c>
      <c r="M19" s="2013"/>
      <c r="N19" s="2011"/>
    </row>
    <row r="20" spans="1:14" s="455" customFormat="1">
      <c r="A20" s="471"/>
      <c r="B20" s="454"/>
      <c r="C20" s="2004"/>
      <c r="D20" s="2052" t="s">
        <v>2979</v>
      </c>
      <c r="E20" s="2017" t="s">
        <v>2942</v>
      </c>
      <c r="F20" s="2006"/>
      <c r="G20" s="2006"/>
      <c r="H20" s="2008"/>
      <c r="I20" s="2008"/>
      <c r="J20" s="1588" t="s">
        <v>2927</v>
      </c>
      <c r="K20" s="2011"/>
      <c r="L20" s="2012">
        <v>7000</v>
      </c>
      <c r="M20" s="2013"/>
      <c r="N20" s="2011"/>
    </row>
    <row r="21" spans="1:14" s="455" customFormat="1">
      <c r="A21" s="471"/>
      <c r="B21" s="454"/>
      <c r="C21" s="2004"/>
      <c r="D21" s="2005" t="s">
        <v>2980</v>
      </c>
      <c r="E21" s="2017"/>
      <c r="F21" s="2006"/>
      <c r="G21" s="2006"/>
      <c r="H21" s="1588"/>
      <c r="I21" s="1588"/>
      <c r="J21" s="1588"/>
      <c r="K21" s="2011"/>
      <c r="L21" s="2012">
        <v>5000</v>
      </c>
      <c r="M21" s="2013"/>
      <c r="N21" s="2011"/>
    </row>
    <row r="22" spans="1:14" s="455" customFormat="1" ht="13.5">
      <c r="A22" s="471"/>
      <c r="B22" s="454"/>
      <c r="C22" s="2038"/>
      <c r="D22" s="309"/>
      <c r="E22" s="309"/>
      <c r="F22" s="309"/>
      <c r="G22" s="497"/>
      <c r="H22" s="1056"/>
      <c r="I22" s="985"/>
      <c r="J22" s="985"/>
      <c r="K22" s="499"/>
      <c r="L22" s="1025"/>
      <c r="M22" s="499"/>
    </row>
    <row r="23" spans="1:14" s="455" customFormat="1" ht="13.5">
      <c r="A23" s="471"/>
      <c r="B23" s="454"/>
      <c r="C23" s="2038"/>
      <c r="D23" s="309"/>
      <c r="E23" s="309"/>
      <c r="F23" s="309"/>
      <c r="G23" s="497"/>
      <c r="H23" s="1056"/>
      <c r="I23" s="985"/>
      <c r="J23" s="985"/>
      <c r="K23" s="499"/>
      <c r="L23" s="1025"/>
      <c r="M23" s="499"/>
    </row>
    <row r="24" spans="1:14" s="455" customFormat="1" ht="13.5">
      <c r="A24" s="471"/>
      <c r="B24" s="454"/>
      <c r="C24" s="2038"/>
      <c r="D24" s="309"/>
      <c r="E24" s="309"/>
      <c r="F24" s="309"/>
      <c r="G24" s="497"/>
      <c r="H24" s="1056"/>
      <c r="I24" s="985"/>
      <c r="J24" s="985"/>
      <c r="K24" s="499"/>
      <c r="L24" s="1025"/>
      <c r="M24" s="499"/>
    </row>
    <row r="25" spans="1:14" s="455" customFormat="1" ht="13.5">
      <c r="A25" s="471"/>
      <c r="B25" s="454"/>
      <c r="C25" s="1524"/>
      <c r="D25" s="309"/>
      <c r="E25" s="309"/>
      <c r="F25" s="309"/>
      <c r="G25" s="497"/>
      <c r="H25" s="1056"/>
      <c r="I25" s="985"/>
      <c r="J25" s="985"/>
      <c r="K25" s="499"/>
      <c r="L25" s="1025"/>
      <c r="M25" s="499"/>
    </row>
    <row r="26" spans="1:14" s="455" customFormat="1" ht="13.5">
      <c r="A26" s="471"/>
      <c r="B26" s="454"/>
      <c r="C26" s="2038"/>
      <c r="D26" s="309"/>
      <c r="E26" s="309"/>
      <c r="F26" s="309"/>
      <c r="G26" s="497"/>
      <c r="H26" s="1056"/>
      <c r="I26" s="985"/>
      <c r="J26" s="985"/>
      <c r="K26" s="499"/>
      <c r="L26" s="1025"/>
      <c r="M26" s="499"/>
    </row>
    <row r="27" spans="1:14" s="455" customFormat="1" ht="13.5">
      <c r="A27" s="471"/>
      <c r="B27" s="454"/>
      <c r="C27" s="2038"/>
      <c r="D27" s="309"/>
      <c r="E27" s="309"/>
      <c r="F27" s="309"/>
      <c r="G27" s="497"/>
      <c r="H27" s="1056"/>
      <c r="I27" s="985"/>
      <c r="J27" s="985"/>
      <c r="K27" s="499"/>
      <c r="L27" s="1025"/>
      <c r="M27" s="499"/>
      <c r="N27" s="1466"/>
    </row>
    <row r="28" spans="1:14" s="455" customFormat="1" ht="13.5">
      <c r="A28" s="471"/>
      <c r="B28" s="454"/>
      <c r="C28" s="2038"/>
      <c r="D28" s="309"/>
      <c r="E28" s="309"/>
      <c r="F28" s="309"/>
      <c r="G28" s="497"/>
      <c r="H28" s="985"/>
      <c r="I28" s="985"/>
      <c r="J28" s="985"/>
      <c r="K28" s="499"/>
      <c r="L28" s="1025"/>
      <c r="M28" s="499"/>
      <c r="N28" s="1466"/>
    </row>
    <row r="29" spans="1:14" s="455" customFormat="1" ht="13.5">
      <c r="A29" s="471"/>
      <c r="B29" s="454"/>
      <c r="C29" s="2038"/>
      <c r="D29" s="309"/>
      <c r="E29" s="309"/>
      <c r="F29" s="309"/>
      <c r="G29" s="497"/>
      <c r="H29" s="985"/>
      <c r="I29" s="985"/>
      <c r="J29" s="985"/>
      <c r="K29" s="499"/>
      <c r="L29" s="1025"/>
      <c r="M29" s="499"/>
      <c r="N29" s="1467"/>
    </row>
    <row r="30" spans="1:14" s="455" customFormat="1" ht="13.5">
      <c r="A30" s="471"/>
      <c r="B30" s="454"/>
      <c r="C30" s="2038"/>
      <c r="D30" s="309"/>
      <c r="E30" s="309"/>
      <c r="F30" s="309"/>
      <c r="G30" s="497"/>
      <c r="H30" s="985"/>
      <c r="I30" s="985"/>
      <c r="J30" s="985"/>
      <c r="K30" s="499"/>
      <c r="L30" s="1025"/>
      <c r="M30" s="499"/>
      <c r="N30" s="1468"/>
    </row>
    <row r="31" spans="1:14" s="455" customFormat="1" ht="13.5">
      <c r="A31" s="471"/>
      <c r="B31" s="454"/>
      <c r="C31" s="2038"/>
      <c r="D31" s="309"/>
      <c r="E31" s="309"/>
      <c r="F31" s="309"/>
      <c r="G31" s="497"/>
      <c r="H31" s="985"/>
      <c r="I31" s="985"/>
      <c r="J31" s="985"/>
      <c r="K31" s="499"/>
      <c r="L31" s="1984">
        <f>SUM(L5:L29)</f>
        <v>69500</v>
      </c>
      <c r="M31" s="499"/>
      <c r="N31" s="1468"/>
    </row>
    <row r="32" spans="1:14" s="455" customFormat="1" ht="13.5">
      <c r="A32" s="471"/>
      <c r="B32" s="454"/>
      <c r="C32" s="2038"/>
      <c r="D32" s="309"/>
      <c r="E32" s="309"/>
      <c r="F32" s="309"/>
      <c r="G32" s="497"/>
      <c r="H32" s="985"/>
      <c r="I32" s="985"/>
      <c r="J32" s="985"/>
      <c r="K32" s="499"/>
      <c r="L32" s="1025"/>
      <c r="M32" s="499"/>
      <c r="N32" s="1468"/>
    </row>
    <row r="33" spans="1:15" s="455" customFormat="1" ht="13.5">
      <c r="A33" s="471"/>
      <c r="B33" s="454"/>
      <c r="C33" s="1525"/>
      <c r="D33" s="309"/>
      <c r="E33" s="309"/>
      <c r="F33" s="309"/>
      <c r="G33" s="497"/>
      <c r="H33" s="985"/>
      <c r="I33" s="985"/>
      <c r="J33" s="985"/>
      <c r="K33" s="499"/>
      <c r="L33" s="1025"/>
      <c r="M33" s="499"/>
      <c r="N33" s="1468"/>
    </row>
    <row r="34" spans="1:15" s="455" customFormat="1" ht="13.5">
      <c r="A34" s="471"/>
      <c r="B34" s="454"/>
      <c r="C34" s="392"/>
      <c r="D34" s="309"/>
      <c r="E34" s="309"/>
      <c r="F34" s="309"/>
      <c r="G34" s="497"/>
      <c r="H34" s="1056"/>
      <c r="I34" s="985"/>
      <c r="J34" s="985"/>
      <c r="K34" s="499"/>
      <c r="L34" s="1025"/>
      <c r="M34" s="499"/>
      <c r="N34" s="1465"/>
    </row>
    <row r="35" spans="1:15" s="455" customFormat="1" ht="13.5">
      <c r="A35" s="471"/>
      <c r="B35" s="454"/>
      <c r="C35" s="392"/>
      <c r="D35" s="309"/>
      <c r="E35" s="309"/>
      <c r="F35" s="309"/>
      <c r="G35" s="497"/>
      <c r="H35" s="985"/>
      <c r="I35" s="985"/>
      <c r="J35" s="985"/>
      <c r="K35" s="499"/>
      <c r="L35" s="1025"/>
      <c r="M35" s="499"/>
    </row>
    <row r="36" spans="1:15" s="455" customFormat="1" ht="13.5">
      <c r="A36" s="471"/>
      <c r="B36" s="454"/>
      <c r="C36" s="987"/>
      <c r="D36" s="314"/>
      <c r="E36" s="662"/>
      <c r="F36" s="309"/>
      <c r="G36" s="497"/>
      <c r="H36" s="985"/>
      <c r="I36" s="985"/>
      <c r="J36" s="985"/>
      <c r="K36" s="499"/>
      <c r="L36" s="1025"/>
      <c r="M36" s="499"/>
      <c r="N36" s="454"/>
    </row>
    <row r="37" spans="1:15" s="455" customFormat="1" ht="13.5">
      <c r="A37" s="471"/>
      <c r="B37" s="454"/>
      <c r="C37" s="987"/>
      <c r="D37" s="314"/>
      <c r="E37" s="662"/>
      <c r="F37" s="309"/>
      <c r="G37" s="497"/>
      <c r="H37" s="985"/>
      <c r="I37" s="985"/>
      <c r="J37" s="985"/>
      <c r="K37" s="499"/>
      <c r="L37" s="1025"/>
      <c r="M37" s="499"/>
      <c r="N37" s="458"/>
    </row>
    <row r="38" spans="1:15" s="455" customFormat="1" ht="13.5">
      <c r="A38" s="471"/>
      <c r="B38" s="454"/>
      <c r="C38" s="987"/>
      <c r="D38" s="314"/>
      <c r="E38" s="662"/>
      <c r="F38" s="309"/>
      <c r="G38" s="497"/>
      <c r="H38" s="985"/>
      <c r="I38" s="985"/>
      <c r="J38" s="985"/>
      <c r="K38" s="499"/>
      <c r="L38" s="1065"/>
      <c r="M38" s="499"/>
      <c r="N38" s="458"/>
    </row>
    <row r="39" spans="1:15" s="455" customFormat="1" ht="13.5">
      <c r="A39" s="471"/>
      <c r="B39" s="454"/>
      <c r="C39" s="987"/>
      <c r="D39" s="309"/>
      <c r="E39" s="662"/>
      <c r="F39" s="309"/>
      <c r="G39" s="497"/>
      <c r="H39" s="985"/>
      <c r="I39" s="985"/>
      <c r="J39" s="985"/>
      <c r="K39" s="499"/>
      <c r="L39" s="1065"/>
      <c r="M39" s="499"/>
      <c r="N39" s="458"/>
    </row>
    <row r="40" spans="1:15" s="455" customFormat="1" ht="13.5">
      <c r="A40" s="471"/>
      <c r="B40" s="454"/>
      <c r="C40" s="314"/>
      <c r="D40" s="314"/>
      <c r="E40" s="309"/>
      <c r="F40" s="309"/>
      <c r="G40" s="497"/>
      <c r="H40" s="985"/>
      <c r="I40" s="985"/>
      <c r="J40" s="985"/>
      <c r="K40" s="309"/>
      <c r="L40" s="1015"/>
      <c r="M40" s="499"/>
      <c r="N40" s="458"/>
    </row>
    <row r="41" spans="1:15" s="455" customFormat="1" ht="13.5">
      <c r="A41" s="471"/>
      <c r="B41" s="454"/>
      <c r="C41" s="314"/>
      <c r="D41" s="314"/>
      <c r="E41" s="309"/>
      <c r="F41" s="309"/>
      <c r="G41" s="497"/>
      <c r="H41" s="985"/>
      <c r="I41" s="985"/>
      <c r="J41" s="985"/>
      <c r="K41" s="309"/>
      <c r="L41" s="1015"/>
      <c r="M41" s="499"/>
      <c r="N41" s="460"/>
    </row>
    <row r="42" spans="1:15" s="455" customFormat="1" ht="13.5">
      <c r="A42" s="471"/>
      <c r="B42" s="454"/>
      <c r="C42" s="314"/>
      <c r="D42" s="314"/>
      <c r="E42" s="560"/>
      <c r="F42" s="309"/>
      <c r="G42" s="497"/>
      <c r="H42" s="985"/>
      <c r="I42" s="985"/>
      <c r="J42" s="985"/>
      <c r="K42" s="309"/>
      <c r="L42" s="1015"/>
      <c r="M42" s="499"/>
      <c r="N42" s="454"/>
    </row>
    <row r="43" spans="1:15" s="455" customFormat="1" ht="13.5">
      <c r="A43" s="471"/>
      <c r="B43" s="454"/>
      <c r="C43" s="987"/>
      <c r="D43" s="314"/>
      <c r="E43" s="662"/>
      <c r="F43" s="309"/>
      <c r="G43" s="497"/>
      <c r="H43" s="985"/>
      <c r="I43" s="985"/>
      <c r="J43" s="985"/>
      <c r="K43" s="499"/>
      <c r="L43" s="1065"/>
      <c r="M43" s="499"/>
      <c r="N43" s="458"/>
    </row>
    <row r="44" spans="1:15" s="455" customFormat="1" ht="13.5">
      <c r="A44" s="471"/>
      <c r="B44" s="454"/>
      <c r="C44" s="392"/>
      <c r="D44" s="309"/>
      <c r="E44" s="309"/>
      <c r="F44" s="662"/>
      <c r="G44" s="309"/>
      <c r="H44" s="497"/>
      <c r="I44" s="985"/>
      <c r="J44" s="985"/>
      <c r="K44" s="1066"/>
      <c r="L44" s="1067"/>
      <c r="M44" s="1025"/>
      <c r="N44" s="1068"/>
      <c r="O44" s="458"/>
    </row>
    <row r="45" spans="1:15" s="455" customFormat="1" ht="13.5">
      <c r="A45" s="471"/>
      <c r="B45" s="454"/>
      <c r="C45" s="471"/>
      <c r="D45" s="456"/>
      <c r="E45" s="459"/>
      <c r="F45" s="466"/>
      <c r="G45" s="471"/>
      <c r="H45" s="477"/>
      <c r="I45" s="526"/>
      <c r="J45" s="526"/>
      <c r="K45" s="526"/>
      <c r="L45" s="473"/>
      <c r="M45" s="529"/>
      <c r="N45" s="471"/>
      <c r="O45" s="458"/>
    </row>
    <row r="46" spans="1:15" s="455" customFormat="1" ht="13.5">
      <c r="A46" s="471"/>
      <c r="B46" s="454"/>
      <c r="C46" s="471"/>
      <c r="D46" s="456"/>
      <c r="E46" s="459"/>
      <c r="F46" s="466"/>
      <c r="G46" s="471"/>
      <c r="H46" s="477"/>
      <c r="I46" s="526"/>
      <c r="J46" s="526"/>
      <c r="K46" s="526"/>
      <c r="L46" s="473"/>
      <c r="M46" s="529"/>
      <c r="N46" s="471"/>
      <c r="O46" s="458"/>
    </row>
    <row r="47" spans="1:15" s="455" customFormat="1" ht="13.5">
      <c r="A47" s="471"/>
      <c r="B47" s="454"/>
      <c r="C47" s="314"/>
      <c r="D47" s="309"/>
      <c r="E47" s="309"/>
      <c r="F47" s="309"/>
      <c r="G47" s="309"/>
      <c r="H47" s="309"/>
      <c r="I47" s="309"/>
      <c r="J47" s="309"/>
      <c r="K47" s="309"/>
      <c r="L47" s="309"/>
      <c r="M47" s="309"/>
      <c r="N47" s="309"/>
    </row>
    <row r="48" spans="1:15" s="455" customFormat="1" ht="13.5">
      <c r="A48" s="471"/>
      <c r="B48" s="454"/>
      <c r="C48" s="314"/>
      <c r="D48" s="314"/>
      <c r="E48" s="309"/>
      <c r="F48" s="309"/>
      <c r="G48" s="497"/>
      <c r="H48" s="1056"/>
      <c r="I48" s="309"/>
      <c r="J48" s="309"/>
      <c r="K48" s="499"/>
      <c r="L48" s="1069"/>
      <c r="M48" s="309"/>
      <c r="N48" s="454"/>
    </row>
    <row r="49" spans="1:14" s="455" customFormat="1" ht="13.5">
      <c r="A49" s="471"/>
      <c r="B49" s="454"/>
      <c r="C49" s="314"/>
      <c r="D49" s="314"/>
      <c r="E49" s="309"/>
      <c r="F49" s="309"/>
      <c r="G49" s="497"/>
      <c r="H49" s="1056"/>
      <c r="I49" s="309"/>
      <c r="J49" s="309"/>
      <c r="K49" s="499"/>
      <c r="L49" s="1069"/>
      <c r="M49" s="499"/>
      <c r="N49" s="458"/>
    </row>
    <row r="50" spans="1:14" s="455" customFormat="1" ht="13.5">
      <c r="A50" s="471"/>
      <c r="B50" s="454"/>
      <c r="C50" s="314"/>
      <c r="D50" s="314"/>
      <c r="E50" s="309"/>
      <c r="F50" s="309"/>
      <c r="G50" s="497"/>
      <c r="H50" s="1056"/>
      <c r="I50" s="309"/>
      <c r="J50" s="309"/>
      <c r="K50" s="499"/>
      <c r="L50" s="1069"/>
      <c r="M50" s="499"/>
      <c r="N50" s="458"/>
    </row>
    <row r="51" spans="1:14" s="455" customFormat="1" ht="13.5">
      <c r="A51" s="471"/>
      <c r="B51" s="454"/>
      <c r="C51" s="314"/>
      <c r="D51" s="314"/>
      <c r="E51" s="662"/>
      <c r="F51" s="309"/>
      <c r="G51" s="497"/>
      <c r="H51" s="1056"/>
      <c r="I51" s="985"/>
      <c r="J51" s="985"/>
      <c r="K51" s="499"/>
      <c r="L51" s="1016"/>
      <c r="M51" s="499"/>
      <c r="N51" s="458"/>
    </row>
    <row r="52" spans="1:14" s="455" customFormat="1" ht="13.5">
      <c r="A52" s="471"/>
      <c r="B52" s="454"/>
      <c r="C52" s="314"/>
      <c r="D52" s="314"/>
      <c r="E52" s="662"/>
      <c r="F52" s="309"/>
      <c r="G52" s="497"/>
      <c r="H52" s="1056"/>
      <c r="I52" s="985"/>
      <c r="J52" s="985"/>
      <c r="K52" s="499"/>
      <c r="L52" s="1016"/>
      <c r="M52" s="499"/>
      <c r="N52" s="458"/>
    </row>
    <row r="53" spans="1:14" s="455" customFormat="1" ht="13.5">
      <c r="A53" s="471"/>
      <c r="B53" s="454"/>
      <c r="C53" s="314"/>
      <c r="D53" s="314"/>
      <c r="E53" s="662"/>
      <c r="F53" s="309"/>
      <c r="G53" s="497"/>
      <c r="H53" s="1056"/>
      <c r="I53" s="985"/>
      <c r="J53" s="985"/>
      <c r="K53" s="499"/>
      <c r="L53" s="1071"/>
      <c r="M53" s="499"/>
    </row>
    <row r="54" spans="1:14" s="455" customFormat="1" ht="13.5">
      <c r="A54" s="471"/>
      <c r="B54" s="454"/>
      <c r="C54" s="314"/>
      <c r="D54" s="314"/>
      <c r="E54" s="662"/>
      <c r="F54" s="309"/>
      <c r="G54" s="497"/>
      <c r="H54" s="1056"/>
      <c r="I54" s="985"/>
      <c r="J54" s="985"/>
      <c r="K54" s="499"/>
      <c r="L54" s="1071"/>
      <c r="M54" s="499"/>
    </row>
    <row r="55" spans="1:14" s="455" customFormat="1" ht="13.5">
      <c r="A55" s="471"/>
      <c r="B55" s="454"/>
      <c r="C55" s="314"/>
      <c r="D55" s="314"/>
      <c r="E55" s="662"/>
      <c r="F55" s="309"/>
      <c r="G55" s="497"/>
      <c r="H55" s="1056"/>
      <c r="I55" s="985"/>
      <c r="J55" s="985"/>
      <c r="K55" s="499"/>
      <c r="L55" s="1016"/>
      <c r="M55" s="499"/>
    </row>
    <row r="56" spans="1:14" s="455" customFormat="1" ht="13.5">
      <c r="A56" s="471"/>
      <c r="B56" s="454"/>
      <c r="C56" s="314"/>
      <c r="D56" s="314"/>
      <c r="E56" s="662"/>
      <c r="F56" s="309"/>
      <c r="G56" s="497"/>
      <c r="H56" s="1056"/>
      <c r="I56" s="985"/>
      <c r="J56" s="985"/>
      <c r="K56" s="499"/>
      <c r="L56" s="1016"/>
      <c r="M56" s="499"/>
    </row>
    <row r="57" spans="1:14" s="455" customFormat="1" ht="13.5">
      <c r="A57" s="471"/>
      <c r="B57" s="454"/>
      <c r="C57" s="314"/>
      <c r="D57" s="314"/>
      <c r="E57" s="662"/>
      <c r="F57" s="309"/>
      <c r="G57" s="497"/>
      <c r="H57" s="1056"/>
      <c r="I57" s="985"/>
      <c r="J57" s="985"/>
      <c r="K57" s="499"/>
      <c r="L57" s="1016"/>
      <c r="M57" s="499"/>
      <c r="N57" s="458"/>
    </row>
    <row r="58" spans="1:14" s="455" customFormat="1" ht="13.5">
      <c r="A58" s="471"/>
      <c r="B58" s="454"/>
      <c r="C58" s="314"/>
      <c r="D58" s="314"/>
      <c r="E58" s="662"/>
      <c r="F58" s="309"/>
      <c r="G58" s="497"/>
      <c r="H58" s="1056"/>
      <c r="I58" s="985"/>
      <c r="J58" s="985"/>
      <c r="K58" s="499"/>
      <c r="L58" s="1016"/>
      <c r="M58" s="499"/>
      <c r="N58" s="458"/>
    </row>
    <row r="59" spans="1:14" s="455" customFormat="1" ht="13.5">
      <c r="A59" s="471"/>
      <c r="B59" s="454"/>
      <c r="C59" s="314"/>
      <c r="D59" s="314"/>
      <c r="E59" s="662"/>
      <c r="F59" s="309"/>
      <c r="G59" s="497"/>
      <c r="H59" s="1056"/>
      <c r="I59" s="985"/>
      <c r="J59" s="985"/>
      <c r="K59" s="499"/>
      <c r="L59" s="1016"/>
      <c r="M59" s="499"/>
      <c r="N59" s="458"/>
    </row>
    <row r="60" spans="1:14" s="455" customFormat="1" ht="13.5">
      <c r="A60" s="471"/>
      <c r="B60" s="454"/>
      <c r="C60" s="2591"/>
      <c r="D60" s="314"/>
      <c r="E60" s="662"/>
      <c r="F60" s="309"/>
      <c r="G60" s="497"/>
      <c r="H60" s="1056"/>
      <c r="I60" s="985"/>
      <c r="J60" s="985"/>
      <c r="K60" s="499"/>
      <c r="L60" s="1016"/>
      <c r="M60" s="499"/>
    </row>
    <row r="61" spans="1:14" s="455" customFormat="1" ht="13.5">
      <c r="A61" s="471"/>
      <c r="B61" s="454"/>
      <c r="C61" s="2593"/>
      <c r="D61" s="314"/>
      <c r="E61" s="662"/>
      <c r="F61" s="309"/>
      <c r="G61" s="497"/>
      <c r="H61" s="1056"/>
      <c r="I61" s="985"/>
      <c r="J61" s="985"/>
      <c r="K61" s="499"/>
      <c r="L61" s="1016"/>
      <c r="M61" s="499"/>
      <c r="N61" s="454"/>
    </row>
    <row r="62" spans="1:14" s="455" customFormat="1" ht="13.5">
      <c r="A62" s="471"/>
      <c r="B62" s="454"/>
      <c r="C62" s="2591"/>
      <c r="D62" s="314"/>
      <c r="E62" s="662"/>
      <c r="F62" s="309"/>
      <c r="G62" s="497"/>
      <c r="H62" s="1056"/>
      <c r="I62" s="985"/>
      <c r="J62" s="985"/>
      <c r="K62" s="499"/>
      <c r="L62" s="1016"/>
      <c r="M62" s="499"/>
      <c r="N62" s="458"/>
    </row>
    <row r="63" spans="1:14" s="455" customFormat="1" ht="13.5">
      <c r="A63" s="471"/>
      <c r="B63" s="454"/>
      <c r="C63" s="2592"/>
      <c r="D63" s="314"/>
      <c r="E63" s="662"/>
      <c r="F63" s="309"/>
      <c r="G63" s="497"/>
      <c r="H63" s="1056"/>
      <c r="I63" s="985"/>
      <c r="J63" s="985"/>
      <c r="K63" s="499"/>
      <c r="L63" s="1016"/>
      <c r="M63" s="499"/>
      <c r="N63" s="458"/>
    </row>
    <row r="64" spans="1:14" s="455" customFormat="1" ht="13.5">
      <c r="A64" s="471"/>
      <c r="B64" s="454"/>
      <c r="C64" s="2593"/>
      <c r="D64" s="314"/>
      <c r="E64" s="662"/>
      <c r="F64" s="309"/>
      <c r="G64" s="497"/>
      <c r="H64" s="1056"/>
      <c r="I64" s="985"/>
      <c r="J64" s="985"/>
      <c r="K64" s="499"/>
      <c r="L64" s="1016"/>
      <c r="M64" s="499"/>
      <c r="N64" s="458"/>
    </row>
    <row r="65" spans="1:15" s="455" customFormat="1" ht="13.5">
      <c r="A65" s="471"/>
      <c r="B65" s="454"/>
      <c r="C65" s="314"/>
      <c r="D65" s="314"/>
      <c r="E65" s="662"/>
      <c r="F65" s="309"/>
      <c r="G65" s="497"/>
      <c r="H65" s="985"/>
      <c r="I65" s="985"/>
      <c r="J65" s="985"/>
      <c r="K65" s="499"/>
      <c r="L65" s="1016"/>
      <c r="M65" s="499"/>
      <c r="N65" s="458"/>
    </row>
    <row r="66" spans="1:15" s="455" customFormat="1" ht="13.5">
      <c r="A66" s="471"/>
      <c r="B66" s="454"/>
      <c r="C66" s="314"/>
      <c r="D66" s="314"/>
      <c r="E66" s="662"/>
      <c r="F66" s="309"/>
      <c r="G66" s="497"/>
      <c r="H66" s="985"/>
      <c r="I66" s="985"/>
      <c r="J66" s="985"/>
      <c r="K66" s="499"/>
      <c r="L66" s="1016"/>
      <c r="M66" s="499"/>
      <c r="N66" s="460"/>
    </row>
    <row r="67" spans="1:15" s="455" customFormat="1" ht="13.5">
      <c r="C67" s="314"/>
      <c r="D67" s="314"/>
      <c r="E67" s="662"/>
      <c r="F67" s="662"/>
      <c r="G67" s="309"/>
      <c r="H67" s="497"/>
      <c r="I67" s="1056"/>
      <c r="J67" s="985"/>
      <c r="K67" s="985"/>
      <c r="L67" s="499"/>
      <c r="M67" s="1025"/>
      <c r="N67" s="499"/>
    </row>
    <row r="68" spans="1:15" s="455" customFormat="1" ht="13.5">
      <c r="C68" s="902"/>
      <c r="D68" s="309"/>
      <c r="E68" s="662"/>
      <c r="F68" s="662"/>
      <c r="G68" s="309"/>
      <c r="H68" s="497"/>
      <c r="I68" s="653"/>
      <c r="J68" s="985"/>
      <c r="K68" s="1469"/>
      <c r="L68" s="499"/>
      <c r="M68" s="1025"/>
      <c r="N68" s="499"/>
    </row>
    <row r="69" spans="1:15" s="455" customFormat="1" ht="13.5">
      <c r="A69" s="566"/>
      <c r="B69" s="467"/>
      <c r="C69" s="499"/>
      <c r="D69" s="309"/>
      <c r="E69" s="391"/>
      <c r="F69" s="499"/>
      <c r="G69" s="497"/>
      <c r="H69" s="498"/>
      <c r="I69" s="498"/>
      <c r="J69" s="498"/>
      <c r="K69" s="499"/>
      <c r="L69" s="1470"/>
      <c r="M69" s="309"/>
      <c r="N69" s="499"/>
    </row>
    <row r="70" spans="1:15" s="455" customFormat="1" ht="13.5">
      <c r="A70" s="566"/>
      <c r="B70" s="467"/>
      <c r="C70" s="497"/>
      <c r="D70" s="691"/>
      <c r="E70" s="675"/>
      <c r="F70" s="675"/>
      <c r="G70" s="654"/>
      <c r="H70" s="502"/>
      <c r="I70" s="652"/>
      <c r="J70" s="497"/>
      <c r="K70" s="653"/>
      <c r="L70" s="502"/>
      <c r="M70" s="538"/>
      <c r="N70" s="392"/>
      <c r="O70" s="502"/>
    </row>
    <row r="71" spans="1:15" s="455" customFormat="1" ht="13.5">
      <c r="A71" s="566"/>
      <c r="B71" s="467"/>
      <c r="C71" s="497"/>
      <c r="D71" s="691"/>
      <c r="E71" s="675"/>
      <c r="F71" s="675"/>
      <c r="G71" s="654"/>
      <c r="H71" s="502"/>
      <c r="I71" s="652"/>
      <c r="J71" s="497"/>
      <c r="K71" s="653"/>
      <c r="L71" s="502"/>
      <c r="M71" s="538"/>
      <c r="N71" s="392"/>
      <c r="O71" s="502"/>
    </row>
    <row r="72" spans="1:15" s="455" customFormat="1" ht="13.5">
      <c r="A72" s="566"/>
      <c r="B72" s="467"/>
      <c r="C72" s="497"/>
      <c r="D72" s="691"/>
      <c r="E72" s="675"/>
      <c r="F72" s="675"/>
      <c r="G72" s="654"/>
      <c r="H72" s="502"/>
      <c r="I72" s="652"/>
      <c r="J72" s="497"/>
      <c r="K72" s="653"/>
      <c r="L72" s="502"/>
      <c r="M72" s="538"/>
      <c r="N72" s="392"/>
      <c r="O72" s="502"/>
    </row>
    <row r="73" spans="1:15" s="455" customFormat="1" ht="13.5">
      <c r="A73" s="566"/>
      <c r="B73" s="467"/>
      <c r="C73" s="497"/>
      <c r="D73" s="691"/>
      <c r="E73" s="675"/>
      <c r="F73" s="675"/>
      <c r="G73" s="654"/>
      <c r="H73" s="502"/>
      <c r="I73" s="652"/>
      <c r="J73" s="497"/>
      <c r="K73" s="653"/>
      <c r="L73" s="502"/>
      <c r="M73" s="538"/>
      <c r="N73" s="392"/>
      <c r="O73" s="502"/>
    </row>
    <row r="74" spans="1:15" s="455" customFormat="1" ht="13.5">
      <c r="C74" s="1384"/>
      <c r="D74" s="314"/>
      <c r="E74" s="662"/>
      <c r="F74" s="662"/>
      <c r="G74" s="309"/>
      <c r="H74" s="497"/>
      <c r="I74" s="653"/>
      <c r="J74" s="985"/>
      <c r="K74" s="1469"/>
      <c r="L74" s="499"/>
      <c r="M74" s="1025"/>
      <c r="N74" s="499"/>
    </row>
    <row r="75" spans="1:15" s="455" customFormat="1" ht="13.5">
      <c r="C75" s="1384"/>
      <c r="D75" s="314"/>
      <c r="E75" s="662"/>
      <c r="F75" s="662"/>
      <c r="G75" s="309"/>
      <c r="H75" s="497"/>
      <c r="I75" s="653"/>
      <c r="J75" s="985"/>
      <c r="K75" s="1469"/>
      <c r="L75" s="499"/>
      <c r="M75" s="1025"/>
      <c r="N75" s="499"/>
    </row>
    <row r="76" spans="1:15" s="455" customFormat="1" ht="13.5">
      <c r="A76" s="566"/>
      <c r="B76" s="467"/>
      <c r="C76" s="499"/>
      <c r="D76" s="309"/>
      <c r="E76" s="391"/>
      <c r="F76" s="499"/>
      <c r="G76" s="497"/>
      <c r="H76" s="498"/>
      <c r="I76" s="498"/>
      <c r="J76" s="498"/>
      <c r="K76" s="499"/>
      <c r="L76" s="1470"/>
      <c r="M76" s="309"/>
      <c r="N76" s="499"/>
    </row>
    <row r="77" spans="1:15" s="455" customFormat="1" ht="13.5">
      <c r="A77" s="566"/>
      <c r="B77" s="467"/>
      <c r="C77" s="497"/>
      <c r="D77" s="691"/>
      <c r="E77" s="675"/>
      <c r="F77" s="675"/>
      <c r="G77" s="654"/>
      <c r="H77" s="502"/>
      <c r="I77" s="652"/>
      <c r="J77" s="497"/>
      <c r="K77" s="653"/>
      <c r="L77" s="502"/>
      <c r="M77" s="538"/>
      <c r="N77" s="392"/>
      <c r="O77" s="502"/>
    </row>
    <row r="78" spans="1:15" s="455" customFormat="1" ht="13.5">
      <c r="A78" s="566"/>
      <c r="B78" s="467"/>
      <c r="C78" s="497"/>
      <c r="D78" s="691"/>
      <c r="E78" s="675"/>
      <c r="F78" s="675"/>
      <c r="G78" s="654"/>
      <c r="H78" s="502"/>
      <c r="I78" s="652"/>
      <c r="J78" s="497"/>
      <c r="K78" s="653"/>
      <c r="L78" s="502"/>
      <c r="M78" s="538"/>
      <c r="N78" s="392"/>
      <c r="O78" s="502"/>
    </row>
    <row r="79" spans="1:15" s="455" customFormat="1" ht="13.5">
      <c r="A79" s="566"/>
      <c r="B79" s="467"/>
      <c r="C79" s="497"/>
      <c r="D79" s="691"/>
      <c r="E79" s="675"/>
      <c r="F79" s="675"/>
      <c r="G79" s="654"/>
      <c r="H79" s="502"/>
      <c r="I79" s="652"/>
      <c r="J79" s="497"/>
      <c r="K79" s="653"/>
      <c r="L79" s="502"/>
      <c r="M79" s="538"/>
      <c r="N79" s="392"/>
      <c r="O79" s="502"/>
    </row>
    <row r="80" spans="1:15" s="455" customFormat="1" ht="13.5">
      <c r="A80" s="566"/>
      <c r="B80" s="467"/>
      <c r="C80" s="497"/>
      <c r="D80" s="691"/>
      <c r="E80" s="675"/>
      <c r="F80" s="675"/>
      <c r="G80" s="654"/>
      <c r="H80" s="502"/>
      <c r="I80" s="652"/>
      <c r="J80" s="497"/>
      <c r="K80" s="653"/>
      <c r="L80" s="502"/>
      <c r="M80" s="538"/>
      <c r="N80" s="392"/>
      <c r="O80" s="502"/>
    </row>
    <row r="81" spans="3:15" s="455" customFormat="1" ht="13.5">
      <c r="C81" s="1385"/>
      <c r="D81" s="314"/>
      <c r="E81" s="991"/>
      <c r="F81" s="662"/>
      <c r="G81" s="309"/>
      <c r="H81" s="497"/>
      <c r="I81" s="774"/>
      <c r="J81" s="774"/>
      <c r="K81" s="774"/>
      <c r="L81" s="499"/>
      <c r="M81" s="1028"/>
      <c r="N81" s="499"/>
    </row>
    <row r="82" spans="3:15" s="455" customFormat="1" ht="13.5">
      <c r="C82" s="314"/>
      <c r="D82" s="314"/>
      <c r="E82" s="991"/>
      <c r="F82" s="662"/>
      <c r="G82" s="309"/>
      <c r="H82" s="497"/>
      <c r="I82" s="774"/>
      <c r="J82" s="774"/>
      <c r="K82" s="1471"/>
      <c r="L82" s="499"/>
      <c r="M82" s="1028"/>
      <c r="N82" s="499"/>
    </row>
    <row r="83" spans="3:15" s="455" customFormat="1" ht="13.5">
      <c r="C83" s="1027"/>
      <c r="D83" s="314"/>
      <c r="E83" s="991"/>
      <c r="F83" s="662"/>
      <c r="G83" s="309"/>
      <c r="H83" s="497"/>
      <c r="I83" s="1056"/>
      <c r="J83" s="985"/>
      <c r="K83" s="985"/>
      <c r="L83" s="499"/>
      <c r="M83" s="1028"/>
      <c r="N83" s="499"/>
    </row>
    <row r="84" spans="3:15" s="455" customFormat="1" ht="13.5">
      <c r="C84" s="499"/>
      <c r="D84" s="309"/>
      <c r="E84" s="391"/>
      <c r="F84" s="499"/>
      <c r="G84" s="497"/>
      <c r="H84" s="498"/>
      <c r="I84" s="498"/>
      <c r="J84" s="498"/>
      <c r="K84" s="499"/>
      <c r="L84" s="1472"/>
      <c r="M84" s="309"/>
      <c r="N84" s="499"/>
    </row>
    <row r="85" spans="3:15" s="455" customFormat="1" ht="13.5">
      <c r="C85" s="497"/>
      <c r="D85" s="691"/>
      <c r="E85" s="675"/>
      <c r="F85" s="675"/>
      <c r="G85" s="654"/>
      <c r="H85" s="502"/>
      <c r="I85" s="652"/>
      <c r="J85" s="497"/>
      <c r="K85" s="653"/>
      <c r="L85" s="502"/>
      <c r="M85" s="538"/>
      <c r="N85" s="392"/>
      <c r="O85" s="502"/>
    </row>
    <row r="86" spans="3:15" s="455" customFormat="1" ht="13.5">
      <c r="C86" s="497"/>
      <c r="D86" s="691"/>
      <c r="E86" s="675"/>
      <c r="F86" s="675"/>
      <c r="G86" s="654"/>
      <c r="H86" s="502"/>
      <c r="I86" s="652"/>
      <c r="J86" s="497"/>
      <c r="K86" s="653"/>
      <c r="L86" s="502"/>
      <c r="M86" s="538"/>
      <c r="N86" s="392"/>
      <c r="O86" s="502"/>
    </row>
    <row r="87" spans="3:15" s="455" customFormat="1" ht="13.5">
      <c r="C87" s="497"/>
      <c r="D87" s="691"/>
      <c r="E87" s="675"/>
      <c r="F87" s="675"/>
      <c r="G87" s="654"/>
      <c r="H87" s="502"/>
      <c r="I87" s="652"/>
      <c r="J87" s="497"/>
      <c r="K87" s="653"/>
      <c r="L87" s="502"/>
      <c r="M87" s="538"/>
      <c r="N87" s="392"/>
      <c r="O87" s="502"/>
    </row>
    <row r="88" spans="3:15" s="455" customFormat="1" ht="13.5">
      <c r="C88" s="497"/>
      <c r="D88" s="691"/>
      <c r="E88" s="675"/>
      <c r="F88" s="675"/>
      <c r="G88" s="654"/>
      <c r="H88" s="502"/>
      <c r="I88" s="652"/>
      <c r="J88" s="497"/>
      <c r="K88" s="653"/>
      <c r="L88" s="502"/>
      <c r="M88" s="538"/>
      <c r="N88" s="392"/>
      <c r="O88" s="502"/>
    </row>
    <row r="89" spans="3:15" s="455" customFormat="1" ht="13.5">
      <c r="C89" s="497"/>
      <c r="D89" s="691"/>
      <c r="E89" s="675"/>
      <c r="F89" s="675"/>
      <c r="G89" s="654"/>
      <c r="H89" s="502"/>
      <c r="I89" s="652"/>
      <c r="J89" s="497"/>
      <c r="K89" s="653"/>
      <c r="L89" s="502"/>
      <c r="M89" s="538"/>
      <c r="N89" s="392"/>
      <c r="O89" s="502"/>
    </row>
    <row r="90" spans="3:15" s="455" customFormat="1" ht="13.5">
      <c r="C90" s="497"/>
      <c r="D90" s="691"/>
      <c r="E90" s="675"/>
      <c r="F90" s="675"/>
      <c r="G90" s="654"/>
      <c r="H90" s="502"/>
      <c r="I90" s="652"/>
      <c r="J90" s="497"/>
      <c r="K90" s="653"/>
      <c r="L90" s="502"/>
      <c r="M90" s="538"/>
      <c r="N90" s="392"/>
      <c r="O90" s="502"/>
    </row>
    <row r="91" spans="3:15" s="455" customFormat="1" ht="13.5">
      <c r="C91" s="497"/>
      <c r="D91" s="691"/>
      <c r="E91" s="675"/>
      <c r="F91" s="1473"/>
      <c r="G91" s="654"/>
      <c r="H91" s="502"/>
      <c r="I91" s="652"/>
      <c r="J91" s="497"/>
      <c r="K91" s="653"/>
      <c r="L91" s="502"/>
      <c r="M91" s="538"/>
      <c r="N91" s="392"/>
      <c r="O91" s="502"/>
    </row>
    <row r="92" spans="3:15" s="355" customFormat="1" ht="13.5">
      <c r="C92" s="400"/>
      <c r="D92" s="400"/>
      <c r="E92" s="401"/>
      <c r="F92" s="402"/>
      <c r="G92" s="402"/>
      <c r="H92" s="403"/>
      <c r="I92" s="403"/>
      <c r="J92" s="403"/>
      <c r="K92" s="402"/>
      <c r="L92" s="404"/>
      <c r="M92" s="402"/>
      <c r="N92" s="405"/>
    </row>
    <row r="93" spans="3:15" s="355" customFormat="1" ht="13.5">
      <c r="C93" s="400"/>
      <c r="D93" s="400"/>
      <c r="E93" s="401"/>
      <c r="F93" s="402"/>
      <c r="G93" s="402"/>
      <c r="H93" s="403"/>
      <c r="I93" s="403"/>
      <c r="J93" s="403"/>
      <c r="K93" s="402"/>
      <c r="L93" s="404"/>
      <c r="M93" s="402"/>
      <c r="N93" s="405"/>
    </row>
    <row r="94" spans="3:15" s="355" customFormat="1" ht="13.5">
      <c r="C94" s="400"/>
      <c r="D94" s="400"/>
      <c r="E94" s="401"/>
      <c r="F94" s="402"/>
      <c r="G94" s="402"/>
      <c r="H94" s="403"/>
      <c r="I94" s="403"/>
      <c r="J94" s="403"/>
      <c r="K94" s="402"/>
      <c r="L94" s="404"/>
      <c r="M94" s="402"/>
      <c r="N94" s="405"/>
    </row>
    <row r="95" spans="3:15" s="355" customFormat="1" ht="13.5">
      <c r="C95" s="400"/>
      <c r="D95" s="400"/>
      <c r="E95" s="401"/>
      <c r="F95" s="402"/>
      <c r="G95" s="402"/>
      <c r="H95" s="403"/>
      <c r="I95" s="403"/>
      <c r="J95" s="403"/>
      <c r="K95" s="402"/>
      <c r="L95" s="404"/>
      <c r="M95" s="402"/>
      <c r="N95" s="405"/>
    </row>
    <row r="96" spans="3:15" s="355" customFormat="1" ht="13.5">
      <c r="C96" s="400"/>
      <c r="D96" s="400"/>
      <c r="E96" s="401"/>
      <c r="F96" s="402"/>
      <c r="G96" s="402"/>
      <c r="H96" s="403"/>
      <c r="I96" s="403"/>
      <c r="J96" s="403"/>
      <c r="K96" s="402"/>
      <c r="L96" s="404"/>
      <c r="M96" s="402"/>
      <c r="N96" s="405"/>
    </row>
    <row r="97" spans="3:14" s="355" customFormat="1" ht="13.5">
      <c r="C97" s="400"/>
      <c r="D97" s="400"/>
      <c r="E97" s="401"/>
      <c r="F97" s="402"/>
      <c r="G97" s="402"/>
      <c r="H97" s="403"/>
      <c r="I97" s="403"/>
      <c r="J97" s="403"/>
      <c r="K97" s="402"/>
      <c r="L97" s="404"/>
      <c r="M97" s="402"/>
      <c r="N97" s="405"/>
    </row>
    <row r="98" spans="3:14" s="355" customFormat="1" ht="13.5">
      <c r="C98" s="400"/>
      <c r="D98" s="400"/>
      <c r="E98" s="401"/>
      <c r="F98" s="402"/>
      <c r="G98" s="402"/>
      <c r="H98" s="403"/>
      <c r="I98" s="403"/>
      <c r="J98" s="403"/>
      <c r="K98" s="402"/>
      <c r="L98" s="404"/>
      <c r="M98" s="402"/>
      <c r="N98" s="405"/>
    </row>
    <row r="99" spans="3:14" s="355" customFormat="1" ht="13.5">
      <c r="C99" s="400"/>
      <c r="D99" s="400"/>
      <c r="E99" s="401"/>
      <c r="F99" s="402"/>
      <c r="G99" s="402"/>
      <c r="H99" s="403"/>
      <c r="I99" s="403"/>
      <c r="J99" s="403"/>
      <c r="K99" s="402"/>
      <c r="L99" s="404"/>
      <c r="M99" s="402"/>
      <c r="N99" s="405"/>
    </row>
    <row r="100" spans="3:14" s="355" customFormat="1" ht="13.5">
      <c r="C100" s="400"/>
      <c r="D100" s="400"/>
      <c r="E100" s="401"/>
      <c r="F100" s="402"/>
      <c r="G100" s="402"/>
      <c r="H100" s="403"/>
      <c r="I100" s="403"/>
      <c r="J100" s="403"/>
      <c r="K100" s="402"/>
      <c r="L100" s="404"/>
      <c r="M100" s="402"/>
      <c r="N100" s="405"/>
    </row>
    <row r="101" spans="3:14" s="355" customFormat="1" ht="13.5">
      <c r="C101" s="400"/>
      <c r="D101" s="400"/>
      <c r="E101" s="401"/>
      <c r="F101" s="402"/>
      <c r="G101" s="402"/>
      <c r="H101" s="403"/>
      <c r="I101" s="403"/>
      <c r="J101" s="403"/>
      <c r="K101" s="402"/>
      <c r="L101" s="404"/>
      <c r="M101" s="402"/>
      <c r="N101" s="405"/>
    </row>
    <row r="102" spans="3:14" s="355" customFormat="1" ht="13.5">
      <c r="C102" s="400"/>
      <c r="D102" s="400"/>
      <c r="E102" s="401"/>
      <c r="F102" s="402"/>
      <c r="G102" s="402"/>
      <c r="H102" s="403"/>
      <c r="I102" s="403"/>
      <c r="J102" s="403"/>
      <c r="K102" s="402"/>
      <c r="L102" s="404"/>
      <c r="M102" s="402"/>
      <c r="N102" s="405"/>
    </row>
    <row r="103" spans="3:14" s="355" customFormat="1" ht="13.5">
      <c r="C103" s="400"/>
      <c r="D103" s="400"/>
      <c r="E103" s="401"/>
      <c r="F103" s="402"/>
      <c r="G103" s="402"/>
      <c r="H103" s="403"/>
      <c r="I103" s="403"/>
      <c r="J103" s="403"/>
      <c r="K103" s="402"/>
      <c r="L103" s="404"/>
      <c r="M103" s="402"/>
      <c r="N103" s="405"/>
    </row>
    <row r="104" spans="3:14" s="355" customFormat="1" ht="13.5">
      <c r="C104" s="400"/>
      <c r="D104" s="400"/>
      <c r="E104" s="401"/>
      <c r="F104" s="402"/>
      <c r="G104" s="402"/>
      <c r="H104" s="403"/>
      <c r="I104" s="403"/>
      <c r="J104" s="403"/>
      <c r="K104" s="402"/>
      <c r="L104" s="404"/>
      <c r="M104" s="407"/>
      <c r="N104" s="405"/>
    </row>
    <row r="105" spans="3:14" s="355" customFormat="1" ht="13.5">
      <c r="C105" s="400"/>
      <c r="D105" s="400"/>
      <c r="E105" s="401"/>
      <c r="F105" s="402"/>
      <c r="G105" s="403"/>
      <c r="H105" s="403"/>
      <c r="I105" s="403"/>
      <c r="J105" s="403"/>
      <c r="K105" s="408"/>
      <c r="L105" s="404"/>
      <c r="M105" s="407"/>
      <c r="N105" s="405"/>
    </row>
    <row r="106" spans="3:14" s="355" customFormat="1" ht="13.5">
      <c r="C106" s="352"/>
      <c r="D106" s="352"/>
      <c r="E106" s="352"/>
      <c r="F106" s="352"/>
      <c r="G106" s="352"/>
      <c r="H106" s="352"/>
      <c r="I106" s="352"/>
      <c r="J106" s="352"/>
      <c r="K106" s="352"/>
      <c r="L106" s="1403">
        <f>SUM(L5:L104)</f>
        <v>139000</v>
      </c>
      <c r="M106" s="352"/>
      <c r="N106" s="352"/>
    </row>
    <row r="107" spans="3:14" ht="14.25" customHeight="1">
      <c r="C107" s="31"/>
      <c r="D107" s="27"/>
      <c r="E107" s="20"/>
      <c r="F107" s="28"/>
      <c r="G107" s="28"/>
      <c r="H107" s="26"/>
      <c r="I107" s="26"/>
      <c r="J107" s="26"/>
      <c r="K107" s="28"/>
      <c r="L107" s="179"/>
      <c r="M107" s="28"/>
      <c r="N107" s="27"/>
    </row>
    <row r="108" spans="3:14" s="1" customFormat="1" ht="14.25" customHeight="1">
      <c r="C108" s="31"/>
      <c r="D108" s="27"/>
      <c r="E108" s="21"/>
      <c r="F108" s="28"/>
      <c r="G108" s="28"/>
      <c r="H108" s="26"/>
      <c r="I108" s="26"/>
      <c r="J108" s="26"/>
      <c r="K108" s="28"/>
      <c r="L108" s="179"/>
      <c r="M108" s="28"/>
      <c r="N108" s="27"/>
    </row>
    <row r="109" spans="3:14" s="1" customFormat="1" ht="14.25" customHeight="1">
      <c r="C109" s="30"/>
      <c r="D109" s="25"/>
      <c r="E109" s="21"/>
      <c r="F109" s="22"/>
      <c r="G109" s="22"/>
      <c r="H109" s="23"/>
      <c r="I109" s="23"/>
      <c r="J109" s="23"/>
      <c r="K109" s="22"/>
      <c r="L109" s="180"/>
      <c r="M109" s="22"/>
      <c r="N109" s="25"/>
    </row>
  </sheetData>
  <mergeCells count="9">
    <mergeCell ref="H2:J2"/>
    <mergeCell ref="K2:L2"/>
    <mergeCell ref="M2:M3"/>
    <mergeCell ref="N2:N3"/>
    <mergeCell ref="C62:C64"/>
    <mergeCell ref="C6:C8"/>
    <mergeCell ref="C11:C14"/>
    <mergeCell ref="C60:C61"/>
    <mergeCell ref="C2:G2"/>
  </mergeCell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F2291-86A3-4899-A94E-1E03C53434B9}">
  <sheetPr>
    <tabColor rgb="FF00B0F0"/>
  </sheetPr>
  <dimension ref="A1:O105"/>
  <sheetViews>
    <sheetView zoomScale="85" zoomScaleNormal="85" workbookViewId="0">
      <pane ySplit="4" topLeftCell="A8" activePane="bottomLeft" state="frozen"/>
      <selection pane="bottomLeft" activeCell="L5" sqref="L5"/>
    </sheetView>
  </sheetViews>
  <sheetFormatPr defaultRowHeight="15"/>
  <cols>
    <col min="2" max="2" width="13.7109375" customWidth="1"/>
    <col min="3" max="3" width="21.42578125" customWidth="1"/>
    <col min="4" max="4" width="49.7109375" bestFit="1"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style="99" customWidth="1"/>
    <col min="13" max="13" width="16.28515625" customWidth="1"/>
    <col min="14" max="14" width="12.85546875" customWidth="1"/>
    <col min="17" max="17" width="73.7109375" bestFit="1" customWidth="1"/>
  </cols>
  <sheetData>
    <row r="1" spans="1:15" s="355" customFormat="1" ht="13.5">
      <c r="L1" s="32"/>
    </row>
    <row r="2" spans="1:15" s="355" customFormat="1" ht="13.5">
      <c r="C2" s="2601" t="s">
        <v>30</v>
      </c>
      <c r="D2" s="2602"/>
      <c r="E2" s="2602"/>
      <c r="F2" s="2602"/>
      <c r="G2" s="2603"/>
      <c r="H2" s="2604" t="s">
        <v>29</v>
      </c>
      <c r="I2" s="2605"/>
      <c r="J2" s="2606"/>
      <c r="K2" s="2601" t="s">
        <v>28</v>
      </c>
      <c r="L2" s="2603"/>
      <c r="M2" s="2594" t="s">
        <v>27</v>
      </c>
      <c r="N2" s="2594" t="s">
        <v>26</v>
      </c>
    </row>
    <row r="3" spans="1:15" s="355" customFormat="1" ht="94.5">
      <c r="C3" s="618" t="s">
        <v>25</v>
      </c>
      <c r="D3" s="852" t="s">
        <v>24</v>
      </c>
      <c r="E3" s="991" t="s">
        <v>23</v>
      </c>
      <c r="F3" s="618" t="s">
        <v>22</v>
      </c>
      <c r="G3" s="532" t="s">
        <v>1303</v>
      </c>
      <c r="H3" s="532" t="s">
        <v>20</v>
      </c>
      <c r="I3" s="532" t="s">
        <v>19</v>
      </c>
      <c r="J3" s="532" t="s">
        <v>18</v>
      </c>
      <c r="K3" s="618" t="s">
        <v>17</v>
      </c>
      <c r="L3" s="605" t="s">
        <v>16</v>
      </c>
      <c r="M3" s="2594"/>
      <c r="N3" s="2594"/>
    </row>
    <row r="4" spans="1:15" s="355" customFormat="1" ht="27">
      <c r="C4" s="1076" t="s">
        <v>15</v>
      </c>
      <c r="D4" s="1076" t="s">
        <v>14</v>
      </c>
      <c r="E4" s="1076" t="s">
        <v>13</v>
      </c>
      <c r="F4" s="1076" t="s">
        <v>12</v>
      </c>
      <c r="G4" s="1076" t="s">
        <v>11</v>
      </c>
      <c r="H4" s="1076" t="s">
        <v>10</v>
      </c>
      <c r="I4" s="1076" t="s">
        <v>9</v>
      </c>
      <c r="J4" s="1076" t="s">
        <v>8</v>
      </c>
      <c r="K4" s="1076" t="s">
        <v>7</v>
      </c>
      <c r="L4" s="1077" t="s">
        <v>6</v>
      </c>
      <c r="M4" s="1076" t="s">
        <v>5</v>
      </c>
      <c r="N4" s="1076" t="s">
        <v>4</v>
      </c>
    </row>
    <row r="5" spans="1:15" s="455" customFormat="1" ht="25.5" customHeight="1">
      <c r="A5" s="471"/>
      <c r="B5" s="483" t="s">
        <v>2929</v>
      </c>
      <c r="C5" s="2040" t="s">
        <v>2973</v>
      </c>
      <c r="D5" s="2041" t="s">
        <v>637</v>
      </c>
      <c r="E5" s="2045"/>
      <c r="F5" s="2046" t="s">
        <v>609</v>
      </c>
      <c r="G5" s="2046" t="s">
        <v>1</v>
      </c>
      <c r="H5" s="2047"/>
      <c r="I5" s="2047"/>
      <c r="J5" s="2047"/>
      <c r="K5" s="2048" t="s">
        <v>748</v>
      </c>
      <c r="L5" s="2014"/>
      <c r="M5" s="2047" t="s">
        <v>2924</v>
      </c>
      <c r="N5" s="2048" t="s">
        <v>703</v>
      </c>
      <c r="O5" s="1345"/>
    </row>
    <row r="6" spans="1:15" s="455" customFormat="1">
      <c r="A6" s="471"/>
      <c r="B6" s="483"/>
      <c r="C6" s="2042"/>
      <c r="D6" s="2043" t="s">
        <v>2974</v>
      </c>
      <c r="E6" s="2044" t="s">
        <v>2976</v>
      </c>
      <c r="F6" s="2049"/>
      <c r="G6" s="2049"/>
      <c r="H6" s="2008" t="s">
        <v>2213</v>
      </c>
      <c r="I6" s="2009">
        <v>46174</v>
      </c>
      <c r="J6" s="2010" t="s">
        <v>2215</v>
      </c>
      <c r="K6" s="2050"/>
      <c r="L6" s="2012">
        <v>39000</v>
      </c>
      <c r="M6" s="2051"/>
      <c r="N6" s="2050"/>
      <c r="O6" s="1345"/>
    </row>
    <row r="7" spans="1:15" s="455" customFormat="1">
      <c r="A7" s="471"/>
      <c r="B7" s="454"/>
      <c r="C7" s="902"/>
      <c r="D7" s="902"/>
      <c r="E7" s="902"/>
      <c r="F7" s="2049"/>
      <c r="G7" s="2049"/>
      <c r="H7" s="2008"/>
      <c r="I7" s="2008"/>
      <c r="J7" s="1588" t="s">
        <v>2927</v>
      </c>
      <c r="K7" s="2050"/>
      <c r="L7" s="2014"/>
      <c r="M7" s="2051"/>
      <c r="N7" s="2050"/>
      <c r="O7" s="1526"/>
    </row>
    <row r="8" spans="1:15" s="455" customFormat="1">
      <c r="A8" s="471"/>
      <c r="B8" s="454"/>
      <c r="C8" s="1909"/>
      <c r="D8" s="1915"/>
      <c r="E8" s="1900"/>
      <c r="F8" s="1835"/>
      <c r="G8" s="1878"/>
      <c r="H8" s="1878"/>
      <c r="I8" s="1879"/>
      <c r="J8" s="1879"/>
      <c r="K8" s="1712"/>
      <c r="L8" s="1916"/>
      <c r="M8" s="1715"/>
      <c r="O8" s="1716"/>
    </row>
    <row r="9" spans="1:15" s="455" customFormat="1">
      <c r="A9" s="471"/>
      <c r="B9" s="454"/>
      <c r="C9" s="1951"/>
      <c r="D9" s="1796"/>
      <c r="E9" s="1884"/>
      <c r="F9" s="1724"/>
      <c r="G9" s="1725"/>
      <c r="H9" s="1801"/>
      <c r="I9" s="1801"/>
      <c r="J9" s="1801"/>
      <c r="K9" s="1902"/>
      <c r="L9" s="1943"/>
      <c r="M9" s="1721"/>
      <c r="O9" s="1720"/>
    </row>
    <row r="10" spans="1:15" s="455" customFormat="1">
      <c r="A10" s="471"/>
      <c r="B10" s="454"/>
      <c r="C10" s="1951"/>
      <c r="D10" s="1796"/>
      <c r="E10" s="1885"/>
      <c r="F10" s="1724"/>
      <c r="G10" s="1725"/>
      <c r="H10" s="1801"/>
      <c r="I10" s="1801"/>
      <c r="J10" s="1801"/>
      <c r="K10" s="2039"/>
      <c r="M10" s="1943"/>
      <c r="N10" s="1721"/>
      <c r="O10" s="1720"/>
    </row>
    <row r="11" spans="1:15" s="455" customFormat="1">
      <c r="A11" s="471"/>
      <c r="B11" s="454"/>
      <c r="C11" s="1951"/>
      <c r="D11" s="1726"/>
      <c r="E11" s="1885"/>
      <c r="F11" s="1724"/>
      <c r="G11" s="1725"/>
      <c r="H11" s="1801"/>
      <c r="I11" s="1801"/>
      <c r="J11" s="1801"/>
      <c r="K11" s="1802"/>
      <c r="L11" s="1801"/>
      <c r="M11" s="1943"/>
      <c r="N11" s="1721"/>
      <c r="O11" s="1720"/>
    </row>
    <row r="12" spans="1:15" s="455" customFormat="1">
      <c r="A12" s="471"/>
      <c r="B12" s="454"/>
      <c r="C12" s="1951"/>
      <c r="D12" s="1726"/>
      <c r="E12" s="1885"/>
      <c r="F12" s="1724"/>
      <c r="G12" s="1725"/>
      <c r="H12" s="1801"/>
      <c r="I12" s="1801"/>
      <c r="J12" s="1801"/>
      <c r="K12" s="1802"/>
      <c r="L12" s="1801"/>
      <c r="M12" s="1943"/>
      <c r="N12" s="1721"/>
      <c r="O12" s="1720"/>
    </row>
    <row r="13" spans="1:15" s="455" customFormat="1">
      <c r="A13" s="471"/>
      <c r="B13" s="454"/>
      <c r="C13" s="1951"/>
      <c r="D13" s="1726"/>
      <c r="E13" s="1881"/>
      <c r="F13" s="1724"/>
      <c r="G13" s="1725"/>
      <c r="H13" s="1801"/>
      <c r="I13" s="1801"/>
      <c r="J13" s="1801"/>
      <c r="K13" s="1802"/>
      <c r="L13" s="1801"/>
      <c r="M13" s="1943"/>
      <c r="N13" s="1721"/>
      <c r="O13" s="1720"/>
    </row>
    <row r="14" spans="1:15" s="455" customFormat="1">
      <c r="A14" s="471"/>
      <c r="B14" s="454"/>
      <c r="C14" s="1913"/>
      <c r="D14" s="1726"/>
      <c r="E14" s="1885"/>
      <c r="F14" s="1724"/>
      <c r="G14" s="1725"/>
      <c r="H14" s="1801"/>
      <c r="I14" s="1801"/>
      <c r="J14" s="1801"/>
      <c r="K14" s="1802"/>
      <c r="L14" s="1801"/>
      <c r="M14" s="1943"/>
      <c r="N14" s="1721"/>
      <c r="O14" s="1720"/>
    </row>
    <row r="15" spans="1:15" s="455" customFormat="1" ht="13.5">
      <c r="A15" s="471"/>
      <c r="B15" s="454"/>
      <c r="C15" s="1525"/>
      <c r="D15" s="309"/>
      <c r="E15" s="309"/>
      <c r="F15" s="309"/>
      <c r="G15" s="497"/>
      <c r="H15" s="1056"/>
      <c r="I15" s="985"/>
      <c r="J15" s="985"/>
      <c r="K15" s="499"/>
      <c r="L15" s="1025"/>
      <c r="M15" s="499"/>
    </row>
    <row r="16" spans="1:15" s="455" customFormat="1" ht="13.5">
      <c r="A16" s="471"/>
      <c r="B16" s="454"/>
      <c r="C16" s="1999"/>
      <c r="D16" s="2000"/>
      <c r="E16" s="2015"/>
      <c r="F16" s="2003"/>
      <c r="G16" s="2001"/>
      <c r="H16" s="2002"/>
      <c r="I16" s="2002"/>
      <c r="J16" s="2002"/>
      <c r="K16" s="2003"/>
      <c r="L16" s="1673"/>
      <c r="M16" s="2002"/>
      <c r="N16" s="2003"/>
    </row>
    <row r="17" spans="1:14" s="455" customFormat="1">
      <c r="A17" s="471"/>
      <c r="B17" s="454"/>
      <c r="C17" s="2004"/>
      <c r="D17" s="2005"/>
      <c r="E17" s="2017"/>
      <c r="F17" s="2006"/>
      <c r="G17" s="2006"/>
      <c r="H17" s="2008"/>
      <c r="I17" s="2009"/>
      <c r="J17" s="2010"/>
      <c r="K17" s="2011"/>
      <c r="L17" s="2012"/>
      <c r="M17" s="2013"/>
      <c r="N17" s="2011"/>
    </row>
    <row r="18" spans="1:14" s="455" customFormat="1">
      <c r="A18" s="471"/>
      <c r="B18" s="454"/>
      <c r="C18" s="2004"/>
      <c r="D18" s="2005"/>
      <c r="E18" s="2017"/>
      <c r="F18" s="2006"/>
      <c r="G18" s="2006"/>
      <c r="H18" s="2008"/>
      <c r="I18" s="2008"/>
      <c r="J18" s="1588"/>
      <c r="K18" s="2011"/>
      <c r="L18" s="2014"/>
      <c r="M18" s="2013"/>
      <c r="N18" s="2011"/>
    </row>
    <row r="19" spans="1:14" s="455" customFormat="1" ht="13.5">
      <c r="A19" s="471"/>
      <c r="B19" s="454"/>
      <c r="C19" s="2038"/>
      <c r="D19" s="309"/>
      <c r="E19" s="309"/>
      <c r="F19" s="309"/>
      <c r="G19" s="497"/>
      <c r="H19" s="1056"/>
      <c r="I19" s="985"/>
      <c r="J19" s="985"/>
      <c r="K19" s="499"/>
      <c r="L19" s="1025"/>
      <c r="M19" s="499"/>
    </row>
    <row r="20" spans="1:14" s="455" customFormat="1" ht="13.5">
      <c r="A20" s="471"/>
      <c r="B20" s="454"/>
      <c r="C20" s="2038"/>
      <c r="D20" s="309"/>
      <c r="E20" s="309"/>
      <c r="F20" s="309"/>
      <c r="G20" s="497"/>
      <c r="H20" s="1056"/>
      <c r="I20" s="985"/>
      <c r="J20" s="985"/>
      <c r="K20" s="499"/>
      <c r="L20" s="1025"/>
      <c r="M20" s="499"/>
    </row>
    <row r="21" spans="1:14" s="455" customFormat="1" ht="13.5">
      <c r="A21" s="471"/>
      <c r="B21" s="454"/>
      <c r="C21" s="1524"/>
      <c r="D21" s="309"/>
      <c r="E21" s="309"/>
      <c r="F21" s="309"/>
      <c r="G21" s="497"/>
      <c r="H21" s="1056"/>
      <c r="I21" s="985"/>
      <c r="J21" s="985"/>
      <c r="K21" s="499"/>
      <c r="L21" s="1025"/>
      <c r="M21" s="499"/>
    </row>
    <row r="22" spans="1:14" s="455" customFormat="1" ht="13.5">
      <c r="A22" s="471"/>
      <c r="B22" s="454"/>
      <c r="C22" s="1525"/>
      <c r="D22" s="309"/>
      <c r="E22" s="309"/>
      <c r="F22" s="309"/>
      <c r="G22" s="497"/>
      <c r="H22" s="1056"/>
      <c r="I22" s="985"/>
      <c r="J22" s="985"/>
      <c r="K22" s="499"/>
      <c r="L22" s="1025"/>
      <c r="M22" s="499"/>
    </row>
    <row r="23" spans="1:14" s="455" customFormat="1" ht="13.5">
      <c r="A23" s="471"/>
      <c r="B23" s="454"/>
      <c r="C23" s="314"/>
      <c r="D23" s="309"/>
      <c r="E23" s="309"/>
      <c r="F23" s="309"/>
      <c r="G23" s="497"/>
      <c r="H23" s="1056"/>
      <c r="I23" s="985"/>
      <c r="J23" s="985"/>
      <c r="K23" s="499"/>
      <c r="L23" s="1025"/>
      <c r="M23" s="499"/>
      <c r="N23" s="1466"/>
    </row>
    <row r="24" spans="1:14" s="455" customFormat="1" ht="13.5">
      <c r="A24" s="471"/>
      <c r="B24" s="454"/>
      <c r="C24" s="392"/>
      <c r="D24" s="309"/>
      <c r="E24" s="309"/>
      <c r="F24" s="309"/>
      <c r="G24" s="497"/>
      <c r="H24" s="985"/>
      <c r="I24" s="985"/>
      <c r="J24" s="985"/>
      <c r="K24" s="499"/>
      <c r="L24" s="1025"/>
      <c r="M24" s="499"/>
      <c r="N24" s="1466"/>
    </row>
    <row r="25" spans="1:14" s="455" customFormat="1" ht="13.5">
      <c r="A25" s="471"/>
      <c r="B25" s="454"/>
      <c r="C25" s="392"/>
      <c r="D25" s="309"/>
      <c r="E25" s="309"/>
      <c r="F25" s="309"/>
      <c r="G25" s="497"/>
      <c r="H25" s="985"/>
      <c r="I25" s="985"/>
      <c r="J25" s="985"/>
      <c r="K25" s="499"/>
      <c r="L25" s="1025"/>
      <c r="M25" s="499"/>
      <c r="N25" s="1467"/>
    </row>
    <row r="26" spans="1:14" s="455" customFormat="1" ht="13.5">
      <c r="A26" s="471"/>
      <c r="B26" s="454"/>
      <c r="C26" s="392"/>
      <c r="D26" s="309"/>
      <c r="E26" s="309"/>
      <c r="F26" s="309"/>
      <c r="G26" s="497"/>
      <c r="H26" s="985"/>
      <c r="I26" s="985"/>
      <c r="J26" s="985"/>
      <c r="K26" s="499"/>
      <c r="L26" s="1025"/>
      <c r="M26" s="499"/>
      <c r="N26" s="1468"/>
    </row>
    <row r="27" spans="1:14" s="455" customFormat="1" ht="13.5">
      <c r="A27" s="471"/>
      <c r="B27" s="454"/>
      <c r="C27" s="392"/>
      <c r="D27" s="309"/>
      <c r="E27" s="309"/>
      <c r="F27" s="309"/>
      <c r="G27" s="497"/>
      <c r="H27" s="985"/>
      <c r="I27" s="985"/>
      <c r="J27" s="985"/>
      <c r="K27" s="499"/>
      <c r="L27" s="1025"/>
      <c r="M27" s="499"/>
      <c r="N27" s="1468"/>
    </row>
    <row r="28" spans="1:14" s="455" customFormat="1" ht="13.5">
      <c r="A28" s="471"/>
      <c r="B28" s="454"/>
      <c r="C28" s="1524"/>
      <c r="D28" s="309"/>
      <c r="E28" s="309"/>
      <c r="F28" s="309"/>
      <c r="G28" s="497"/>
      <c r="H28" s="985"/>
      <c r="I28" s="985"/>
      <c r="J28" s="985"/>
      <c r="K28" s="499"/>
      <c r="L28" s="1994">
        <f>SUM(L5:L26)</f>
        <v>39000</v>
      </c>
      <c r="M28" s="499"/>
      <c r="N28" s="1468"/>
    </row>
    <row r="29" spans="1:14" s="455" customFormat="1" ht="13.5">
      <c r="A29" s="471"/>
      <c r="B29" s="454"/>
      <c r="C29" s="1525"/>
      <c r="D29" s="309"/>
      <c r="E29" s="309"/>
      <c r="F29" s="309"/>
      <c r="G29" s="497"/>
      <c r="H29" s="985"/>
      <c r="I29" s="985"/>
      <c r="J29" s="985"/>
      <c r="K29" s="499"/>
      <c r="L29" s="1025"/>
      <c r="M29" s="499"/>
      <c r="N29" s="1468"/>
    </row>
    <row r="30" spans="1:14" s="455" customFormat="1" ht="13.5">
      <c r="A30" s="471"/>
      <c r="B30" s="454"/>
      <c r="C30" s="392"/>
      <c r="D30" s="309"/>
      <c r="E30" s="309"/>
      <c r="F30" s="309"/>
      <c r="G30" s="497"/>
      <c r="H30" s="1056"/>
      <c r="I30" s="985"/>
      <c r="J30" s="985"/>
      <c r="K30" s="499"/>
      <c r="L30" s="1025"/>
      <c r="M30" s="499"/>
      <c r="N30" s="1465"/>
    </row>
    <row r="31" spans="1:14" s="455" customFormat="1" ht="13.5">
      <c r="A31" s="471"/>
      <c r="B31" s="454"/>
      <c r="C31" s="392"/>
      <c r="D31" s="309"/>
      <c r="E31" s="309"/>
      <c r="F31" s="309"/>
      <c r="G31" s="497"/>
      <c r="H31" s="985"/>
      <c r="I31" s="985"/>
      <c r="J31" s="985"/>
      <c r="K31" s="499"/>
      <c r="L31" s="1025"/>
      <c r="M31" s="499"/>
    </row>
    <row r="32" spans="1:14" s="455" customFormat="1" ht="13.5">
      <c r="A32" s="471"/>
      <c r="B32" s="454"/>
      <c r="C32" s="987"/>
      <c r="D32" s="314"/>
      <c r="E32" s="662"/>
      <c r="F32" s="309"/>
      <c r="G32" s="497"/>
      <c r="H32" s="985"/>
      <c r="I32" s="985"/>
      <c r="J32" s="985"/>
      <c r="K32" s="499"/>
      <c r="L32" s="1025"/>
      <c r="M32" s="499"/>
      <c r="N32" s="454"/>
    </row>
    <row r="33" spans="1:15" s="455" customFormat="1" ht="13.5">
      <c r="A33" s="471"/>
      <c r="B33" s="454"/>
      <c r="C33" s="987"/>
      <c r="D33" s="314"/>
      <c r="E33" s="662"/>
      <c r="F33" s="309"/>
      <c r="G33" s="497"/>
      <c r="H33" s="985"/>
      <c r="I33" s="985"/>
      <c r="J33" s="985"/>
      <c r="K33" s="499"/>
      <c r="L33" s="1025"/>
      <c r="M33" s="499"/>
      <c r="N33" s="458"/>
    </row>
    <row r="34" spans="1:15" s="455" customFormat="1" ht="13.5">
      <c r="A34" s="471"/>
      <c r="B34" s="454"/>
      <c r="C34" s="987"/>
      <c r="D34" s="314"/>
      <c r="E34" s="662"/>
      <c r="F34" s="309"/>
      <c r="G34" s="497"/>
      <c r="H34" s="985"/>
      <c r="I34" s="985"/>
      <c r="J34" s="985"/>
      <c r="K34" s="499"/>
      <c r="L34" s="1065"/>
      <c r="M34" s="499"/>
      <c r="N34" s="458"/>
    </row>
    <row r="35" spans="1:15" s="455" customFormat="1" ht="13.5">
      <c r="A35" s="471"/>
      <c r="B35" s="454"/>
      <c r="C35" s="987"/>
      <c r="D35" s="309"/>
      <c r="E35" s="662"/>
      <c r="F35" s="309"/>
      <c r="G35" s="497"/>
      <c r="H35" s="985"/>
      <c r="I35" s="985"/>
      <c r="J35" s="985"/>
      <c r="K35" s="499"/>
      <c r="L35" s="1065"/>
      <c r="M35" s="499"/>
      <c r="N35" s="458"/>
    </row>
    <row r="36" spans="1:15" s="455" customFormat="1" ht="13.5">
      <c r="A36" s="471"/>
      <c r="B36" s="454"/>
      <c r="C36" s="314"/>
      <c r="D36" s="314"/>
      <c r="E36" s="309"/>
      <c r="F36" s="309"/>
      <c r="G36" s="497"/>
      <c r="H36" s="985"/>
      <c r="I36" s="985"/>
      <c r="J36" s="985"/>
      <c r="K36" s="309"/>
      <c r="L36" s="1015"/>
      <c r="M36" s="499"/>
      <c r="N36" s="458"/>
    </row>
    <row r="37" spans="1:15" s="455" customFormat="1" ht="13.5">
      <c r="A37" s="471"/>
      <c r="B37" s="454"/>
      <c r="C37" s="314"/>
      <c r="D37" s="314"/>
      <c r="E37" s="309"/>
      <c r="F37" s="309"/>
      <c r="G37" s="497"/>
      <c r="H37" s="985"/>
      <c r="I37" s="985"/>
      <c r="J37" s="985"/>
      <c r="K37" s="309"/>
      <c r="L37" s="1015"/>
      <c r="M37" s="499"/>
      <c r="N37" s="460"/>
    </row>
    <row r="38" spans="1:15" s="455" customFormat="1" ht="13.5">
      <c r="A38" s="471"/>
      <c r="B38" s="454"/>
      <c r="C38" s="314"/>
      <c r="D38" s="314"/>
      <c r="E38" s="560"/>
      <c r="F38" s="309"/>
      <c r="G38" s="497"/>
      <c r="H38" s="985"/>
      <c r="I38" s="985"/>
      <c r="J38" s="985"/>
      <c r="K38" s="309"/>
      <c r="L38" s="1015"/>
      <c r="M38" s="499"/>
      <c r="N38" s="454"/>
    </row>
    <row r="39" spans="1:15" s="455" customFormat="1" ht="13.5">
      <c r="A39" s="471"/>
      <c r="B39" s="454"/>
      <c r="C39" s="987"/>
      <c r="D39" s="314"/>
      <c r="E39" s="662"/>
      <c r="F39" s="309"/>
      <c r="G39" s="497"/>
      <c r="H39" s="985"/>
      <c r="I39" s="985"/>
      <c r="J39" s="985"/>
      <c r="K39" s="499"/>
      <c r="L39" s="1065"/>
      <c r="M39" s="499"/>
      <c r="N39" s="458"/>
    </row>
    <row r="40" spans="1:15" s="455" customFormat="1" ht="13.5">
      <c r="A40" s="471"/>
      <c r="B40" s="454"/>
      <c r="C40" s="392"/>
      <c r="D40" s="309"/>
      <c r="E40" s="309"/>
      <c r="F40" s="662"/>
      <c r="G40" s="309"/>
      <c r="H40" s="497"/>
      <c r="I40" s="985"/>
      <c r="J40" s="985"/>
      <c r="K40" s="1066"/>
      <c r="L40" s="1067"/>
      <c r="M40" s="1025"/>
      <c r="N40" s="1068"/>
      <c r="O40" s="458"/>
    </row>
    <row r="41" spans="1:15" s="455" customFormat="1" ht="13.5">
      <c r="A41" s="471"/>
      <c r="B41" s="454"/>
      <c r="C41" s="471"/>
      <c r="D41" s="456"/>
      <c r="E41" s="459"/>
      <c r="F41" s="466"/>
      <c r="G41" s="471"/>
      <c r="H41" s="477"/>
      <c r="I41" s="526"/>
      <c r="J41" s="526"/>
      <c r="K41" s="526"/>
      <c r="L41" s="473"/>
      <c r="M41" s="529"/>
      <c r="N41" s="471"/>
      <c r="O41" s="458"/>
    </row>
    <row r="42" spans="1:15" s="455" customFormat="1" ht="13.5">
      <c r="A42" s="471"/>
      <c r="B42" s="454"/>
      <c r="C42" s="471"/>
      <c r="D42" s="456"/>
      <c r="E42" s="459"/>
      <c r="F42" s="466"/>
      <c r="G42" s="471"/>
      <c r="H42" s="477"/>
      <c r="I42" s="526"/>
      <c r="J42" s="526"/>
      <c r="K42" s="526"/>
      <c r="L42" s="473"/>
      <c r="M42" s="529"/>
      <c r="N42" s="471"/>
      <c r="O42" s="458"/>
    </row>
    <row r="43" spans="1:15" s="455" customFormat="1" ht="13.5">
      <c r="A43" s="471"/>
      <c r="B43" s="454"/>
      <c r="C43" s="314"/>
      <c r="D43" s="309"/>
      <c r="E43" s="309"/>
      <c r="F43" s="309"/>
      <c r="G43" s="309"/>
      <c r="H43" s="309"/>
      <c r="I43" s="309"/>
      <c r="J43" s="309"/>
      <c r="K43" s="309"/>
      <c r="L43" s="309"/>
      <c r="M43" s="309"/>
      <c r="N43" s="309"/>
    </row>
    <row r="44" spans="1:15" s="455" customFormat="1" ht="13.5">
      <c r="A44" s="471"/>
      <c r="B44" s="454"/>
      <c r="C44" s="314"/>
      <c r="D44" s="314"/>
      <c r="E44" s="309"/>
      <c r="F44" s="309"/>
      <c r="G44" s="497"/>
      <c r="H44" s="1056"/>
      <c r="I44" s="309"/>
      <c r="J44" s="309"/>
      <c r="K44" s="499"/>
      <c r="L44" s="1069"/>
      <c r="M44" s="309"/>
      <c r="N44" s="454"/>
    </row>
    <row r="45" spans="1:15" s="455" customFormat="1" ht="13.5">
      <c r="A45" s="471"/>
      <c r="B45" s="454"/>
      <c r="C45" s="314"/>
      <c r="D45" s="314"/>
      <c r="E45" s="309"/>
      <c r="F45" s="309"/>
      <c r="G45" s="497"/>
      <c r="H45" s="1056"/>
      <c r="I45" s="309"/>
      <c r="J45" s="309"/>
      <c r="K45" s="499"/>
      <c r="L45" s="1069"/>
      <c r="M45" s="499"/>
      <c r="N45" s="458"/>
    </row>
    <row r="46" spans="1:15" s="455" customFormat="1" ht="13.5">
      <c r="A46" s="471"/>
      <c r="B46" s="454"/>
      <c r="C46" s="314"/>
      <c r="D46" s="314"/>
      <c r="E46" s="309"/>
      <c r="F46" s="309"/>
      <c r="G46" s="497"/>
      <c r="H46" s="1056"/>
      <c r="I46" s="309"/>
      <c r="J46" s="309"/>
      <c r="K46" s="499"/>
      <c r="L46" s="1069"/>
      <c r="M46" s="499"/>
      <c r="N46" s="458"/>
    </row>
    <row r="47" spans="1:15" s="455" customFormat="1" ht="13.5">
      <c r="A47" s="471"/>
      <c r="B47" s="454"/>
      <c r="C47" s="314"/>
      <c r="D47" s="314"/>
      <c r="E47" s="662"/>
      <c r="F47" s="309"/>
      <c r="G47" s="497"/>
      <c r="H47" s="1056"/>
      <c r="I47" s="985"/>
      <c r="J47" s="985"/>
      <c r="K47" s="499"/>
      <c r="L47" s="1016"/>
      <c r="M47" s="499"/>
      <c r="N47" s="458"/>
    </row>
    <row r="48" spans="1:15" s="455" customFormat="1" ht="13.5">
      <c r="A48" s="471"/>
      <c r="B48" s="454"/>
      <c r="C48" s="314"/>
      <c r="D48" s="314"/>
      <c r="E48" s="662"/>
      <c r="F48" s="309"/>
      <c r="G48" s="497"/>
      <c r="H48" s="1056"/>
      <c r="I48" s="985"/>
      <c r="J48" s="985"/>
      <c r="K48" s="499"/>
      <c r="L48" s="1016"/>
      <c r="M48" s="499"/>
      <c r="N48" s="458"/>
    </row>
    <row r="49" spans="1:14" s="455" customFormat="1" ht="13.5">
      <c r="A49" s="471"/>
      <c r="B49" s="454"/>
      <c r="C49" s="314"/>
      <c r="D49" s="314"/>
      <c r="E49" s="662"/>
      <c r="F49" s="309"/>
      <c r="G49" s="497"/>
      <c r="H49" s="1056"/>
      <c r="I49" s="985"/>
      <c r="J49" s="985"/>
      <c r="K49" s="499"/>
      <c r="L49" s="1071"/>
      <c r="M49" s="499"/>
    </row>
    <row r="50" spans="1:14" s="455" customFormat="1" ht="13.5">
      <c r="A50" s="471"/>
      <c r="B50" s="454"/>
      <c r="C50" s="314"/>
      <c r="D50" s="314"/>
      <c r="E50" s="662"/>
      <c r="F50" s="309"/>
      <c r="G50" s="497"/>
      <c r="H50" s="1056"/>
      <c r="I50" s="985"/>
      <c r="J50" s="985"/>
      <c r="K50" s="499"/>
      <c r="L50" s="1071"/>
      <c r="M50" s="499"/>
    </row>
    <row r="51" spans="1:14" s="455" customFormat="1" ht="13.5">
      <c r="A51" s="471"/>
      <c r="B51" s="454"/>
      <c r="C51" s="314"/>
      <c r="D51" s="314"/>
      <c r="E51" s="662"/>
      <c r="F51" s="309"/>
      <c r="G51" s="497"/>
      <c r="H51" s="1056"/>
      <c r="I51" s="985"/>
      <c r="J51" s="985"/>
      <c r="K51" s="499"/>
      <c r="L51" s="1016"/>
      <c r="M51" s="499"/>
    </row>
    <row r="52" spans="1:14" s="455" customFormat="1" ht="13.5">
      <c r="A52" s="471"/>
      <c r="B52" s="454"/>
      <c r="C52" s="314"/>
      <c r="D52" s="314"/>
      <c r="E52" s="662"/>
      <c r="F52" s="309"/>
      <c r="G52" s="497"/>
      <c r="H52" s="1056"/>
      <c r="I52" s="985"/>
      <c r="J52" s="985"/>
      <c r="K52" s="499"/>
      <c r="L52" s="1016"/>
      <c r="M52" s="499"/>
    </row>
    <row r="53" spans="1:14" s="455" customFormat="1" ht="13.5">
      <c r="A53" s="471"/>
      <c r="B53" s="454"/>
      <c r="C53" s="314"/>
      <c r="D53" s="314"/>
      <c r="E53" s="662"/>
      <c r="F53" s="309"/>
      <c r="G53" s="497"/>
      <c r="H53" s="1056"/>
      <c r="I53" s="985"/>
      <c r="J53" s="985"/>
      <c r="K53" s="499"/>
      <c r="L53" s="1016"/>
      <c r="M53" s="499"/>
      <c r="N53" s="458"/>
    </row>
    <row r="54" spans="1:14" s="455" customFormat="1" ht="13.5">
      <c r="A54" s="471"/>
      <c r="B54" s="454"/>
      <c r="C54" s="314"/>
      <c r="D54" s="314"/>
      <c r="E54" s="662"/>
      <c r="F54" s="309"/>
      <c r="G54" s="497"/>
      <c r="H54" s="1056"/>
      <c r="I54" s="985"/>
      <c r="J54" s="985"/>
      <c r="K54" s="499"/>
      <c r="L54" s="1016"/>
      <c r="M54" s="499"/>
      <c r="N54" s="458"/>
    </row>
    <row r="55" spans="1:14" s="455" customFormat="1" ht="13.5">
      <c r="A55" s="471"/>
      <c r="B55" s="454"/>
      <c r="C55" s="314"/>
      <c r="D55" s="314"/>
      <c r="E55" s="662"/>
      <c r="F55" s="309"/>
      <c r="G55" s="497"/>
      <c r="H55" s="1056"/>
      <c r="I55" s="985"/>
      <c r="J55" s="985"/>
      <c r="K55" s="499"/>
      <c r="L55" s="1016"/>
      <c r="M55" s="499"/>
      <c r="N55" s="458"/>
    </row>
    <row r="56" spans="1:14" s="455" customFormat="1" ht="13.5">
      <c r="A56" s="471"/>
      <c r="B56" s="454"/>
      <c r="C56" s="2591"/>
      <c r="D56" s="314"/>
      <c r="E56" s="662"/>
      <c r="F56" s="309"/>
      <c r="G56" s="497"/>
      <c r="H56" s="1056"/>
      <c r="I56" s="985"/>
      <c r="J56" s="985"/>
      <c r="K56" s="499"/>
      <c r="L56" s="1016"/>
      <c r="M56" s="499"/>
    </row>
    <row r="57" spans="1:14" s="455" customFormat="1" ht="13.5">
      <c r="A57" s="471"/>
      <c r="B57" s="454"/>
      <c r="C57" s="2593"/>
      <c r="D57" s="314"/>
      <c r="E57" s="662"/>
      <c r="F57" s="309"/>
      <c r="G57" s="497"/>
      <c r="H57" s="1056"/>
      <c r="I57" s="985"/>
      <c r="J57" s="985"/>
      <c r="K57" s="499"/>
      <c r="L57" s="1016"/>
      <c r="M57" s="499"/>
      <c r="N57" s="454"/>
    </row>
    <row r="58" spans="1:14" s="455" customFormat="1" ht="13.5">
      <c r="A58" s="471"/>
      <c r="B58" s="454"/>
      <c r="C58" s="2591"/>
      <c r="D58" s="314"/>
      <c r="E58" s="662"/>
      <c r="F58" s="309"/>
      <c r="G58" s="497"/>
      <c r="H58" s="1056"/>
      <c r="I58" s="985"/>
      <c r="J58" s="985"/>
      <c r="K58" s="499"/>
      <c r="L58" s="1016"/>
      <c r="M58" s="499"/>
      <c r="N58" s="458"/>
    </row>
    <row r="59" spans="1:14" s="455" customFormat="1" ht="13.5">
      <c r="A59" s="471"/>
      <c r="B59" s="454"/>
      <c r="C59" s="2592"/>
      <c r="D59" s="314"/>
      <c r="E59" s="662"/>
      <c r="F59" s="309"/>
      <c r="G59" s="497"/>
      <c r="H59" s="1056"/>
      <c r="I59" s="985"/>
      <c r="J59" s="985"/>
      <c r="K59" s="499"/>
      <c r="L59" s="1016"/>
      <c r="M59" s="499"/>
      <c r="N59" s="458"/>
    </row>
    <row r="60" spans="1:14" s="455" customFormat="1" ht="13.5">
      <c r="A60" s="471"/>
      <c r="B60" s="454"/>
      <c r="C60" s="2593"/>
      <c r="D60" s="314"/>
      <c r="E60" s="662"/>
      <c r="F60" s="309"/>
      <c r="G60" s="497"/>
      <c r="H60" s="1056"/>
      <c r="I60" s="985"/>
      <c r="J60" s="985"/>
      <c r="K60" s="499"/>
      <c r="L60" s="1016"/>
      <c r="M60" s="499"/>
      <c r="N60" s="458"/>
    </row>
    <row r="61" spans="1:14" s="455" customFormat="1" ht="13.5">
      <c r="A61" s="471"/>
      <c r="B61" s="454"/>
      <c r="C61" s="314"/>
      <c r="D61" s="314"/>
      <c r="E61" s="662"/>
      <c r="F61" s="309"/>
      <c r="G61" s="497"/>
      <c r="H61" s="985"/>
      <c r="I61" s="985"/>
      <c r="J61" s="985"/>
      <c r="K61" s="499"/>
      <c r="L61" s="1016"/>
      <c r="M61" s="499"/>
      <c r="N61" s="458"/>
    </row>
    <row r="62" spans="1:14" s="455" customFormat="1" ht="13.5">
      <c r="A62" s="471"/>
      <c r="B62" s="454"/>
      <c r="C62" s="314"/>
      <c r="D62" s="314"/>
      <c r="E62" s="662"/>
      <c r="F62" s="309"/>
      <c r="G62" s="497"/>
      <c r="H62" s="985"/>
      <c r="I62" s="985"/>
      <c r="J62" s="985"/>
      <c r="K62" s="499"/>
      <c r="L62" s="1016"/>
      <c r="M62" s="499"/>
      <c r="N62" s="460"/>
    </row>
    <row r="63" spans="1:14" s="455" customFormat="1" ht="13.5">
      <c r="C63" s="314"/>
      <c r="D63" s="314"/>
      <c r="E63" s="662"/>
      <c r="F63" s="662"/>
      <c r="G63" s="309"/>
      <c r="H63" s="497"/>
      <c r="I63" s="1056"/>
      <c r="J63" s="985"/>
      <c r="K63" s="985"/>
      <c r="L63" s="499"/>
      <c r="M63" s="1025"/>
      <c r="N63" s="499"/>
    </row>
    <row r="64" spans="1:14" s="455" customFormat="1" ht="13.5">
      <c r="C64" s="902"/>
      <c r="D64" s="309"/>
      <c r="E64" s="662"/>
      <c r="F64" s="662"/>
      <c r="G64" s="309"/>
      <c r="H64" s="497"/>
      <c r="I64" s="653"/>
      <c r="J64" s="985"/>
      <c r="K64" s="1469"/>
      <c r="L64" s="499"/>
      <c r="M64" s="1025"/>
      <c r="N64" s="499"/>
    </row>
    <row r="65" spans="1:15" s="455" customFormat="1" ht="13.5">
      <c r="A65" s="566"/>
      <c r="B65" s="467"/>
      <c r="C65" s="499"/>
      <c r="D65" s="309"/>
      <c r="E65" s="391"/>
      <c r="F65" s="499"/>
      <c r="G65" s="497"/>
      <c r="H65" s="498"/>
      <c r="I65" s="498"/>
      <c r="J65" s="498"/>
      <c r="K65" s="499"/>
      <c r="L65" s="1470"/>
      <c r="M65" s="309"/>
      <c r="N65" s="499"/>
    </row>
    <row r="66" spans="1:15" s="455" customFormat="1" ht="13.5">
      <c r="A66" s="566"/>
      <c r="B66" s="467"/>
      <c r="C66" s="497"/>
      <c r="D66" s="691"/>
      <c r="E66" s="675"/>
      <c r="F66" s="675"/>
      <c r="G66" s="654"/>
      <c r="H66" s="502"/>
      <c r="I66" s="652"/>
      <c r="J66" s="497"/>
      <c r="K66" s="653"/>
      <c r="L66" s="502"/>
      <c r="M66" s="538"/>
      <c r="N66" s="392"/>
      <c r="O66" s="502"/>
    </row>
    <row r="67" spans="1:15" s="455" customFormat="1" ht="13.5">
      <c r="A67" s="566"/>
      <c r="B67" s="467"/>
      <c r="C67" s="497"/>
      <c r="D67" s="691"/>
      <c r="E67" s="675"/>
      <c r="F67" s="675"/>
      <c r="G67" s="654"/>
      <c r="H67" s="502"/>
      <c r="I67" s="652"/>
      <c r="J67" s="497"/>
      <c r="K67" s="653"/>
      <c r="L67" s="502"/>
      <c r="M67" s="538"/>
      <c r="N67" s="392"/>
      <c r="O67" s="502"/>
    </row>
    <row r="68" spans="1:15" s="455" customFormat="1" ht="13.5">
      <c r="A68" s="566"/>
      <c r="B68" s="467"/>
      <c r="C68" s="497"/>
      <c r="D68" s="691"/>
      <c r="E68" s="675"/>
      <c r="F68" s="675"/>
      <c r="G68" s="654"/>
      <c r="H68" s="502"/>
      <c r="I68" s="652"/>
      <c r="J68" s="497"/>
      <c r="K68" s="653"/>
      <c r="L68" s="502"/>
      <c r="M68" s="538"/>
      <c r="N68" s="392"/>
      <c r="O68" s="502"/>
    </row>
    <row r="69" spans="1:15" s="455" customFormat="1" ht="13.5">
      <c r="A69" s="566"/>
      <c r="B69" s="467"/>
      <c r="C69" s="497"/>
      <c r="D69" s="691"/>
      <c r="E69" s="675"/>
      <c r="F69" s="675"/>
      <c r="G69" s="654"/>
      <c r="H69" s="502"/>
      <c r="I69" s="652"/>
      <c r="J69" s="497"/>
      <c r="K69" s="653"/>
      <c r="L69" s="502"/>
      <c r="M69" s="538"/>
      <c r="N69" s="392"/>
      <c r="O69" s="502"/>
    </row>
    <row r="70" spans="1:15" s="455" customFormat="1" ht="13.5">
      <c r="C70" s="1384"/>
      <c r="D70" s="314"/>
      <c r="E70" s="662"/>
      <c r="F70" s="662"/>
      <c r="G70" s="309"/>
      <c r="H70" s="497"/>
      <c r="I70" s="653"/>
      <c r="J70" s="985"/>
      <c r="K70" s="1469"/>
      <c r="L70" s="499"/>
      <c r="M70" s="1025"/>
      <c r="N70" s="499"/>
    </row>
    <row r="71" spans="1:15" s="455" customFormat="1" ht="13.5">
      <c r="C71" s="1384"/>
      <c r="D71" s="314"/>
      <c r="E71" s="662"/>
      <c r="F71" s="662"/>
      <c r="G71" s="309"/>
      <c r="H71" s="497"/>
      <c r="I71" s="653"/>
      <c r="J71" s="985"/>
      <c r="K71" s="1469"/>
      <c r="L71" s="499"/>
      <c r="M71" s="1025"/>
      <c r="N71" s="499"/>
    </row>
    <row r="72" spans="1:15" s="455" customFormat="1" ht="13.5">
      <c r="A72" s="566"/>
      <c r="B72" s="467"/>
      <c r="C72" s="499"/>
      <c r="D72" s="309"/>
      <c r="E72" s="391"/>
      <c r="F72" s="499"/>
      <c r="G72" s="497"/>
      <c r="H72" s="498"/>
      <c r="I72" s="498"/>
      <c r="J72" s="498"/>
      <c r="K72" s="499"/>
      <c r="L72" s="1470"/>
      <c r="M72" s="309"/>
      <c r="N72" s="499"/>
    </row>
    <row r="73" spans="1:15" s="455" customFormat="1" ht="13.5">
      <c r="A73" s="566"/>
      <c r="B73" s="467"/>
      <c r="C73" s="497"/>
      <c r="D73" s="691"/>
      <c r="E73" s="675"/>
      <c r="F73" s="675"/>
      <c r="G73" s="654"/>
      <c r="H73" s="502"/>
      <c r="I73" s="652"/>
      <c r="J73" s="497"/>
      <c r="K73" s="653"/>
      <c r="L73" s="502"/>
      <c r="M73" s="538"/>
      <c r="N73" s="392"/>
      <c r="O73" s="502"/>
    </row>
    <row r="74" spans="1:15" s="455" customFormat="1" ht="13.5">
      <c r="A74" s="566"/>
      <c r="B74" s="467"/>
      <c r="C74" s="497"/>
      <c r="D74" s="691"/>
      <c r="E74" s="675"/>
      <c r="F74" s="675"/>
      <c r="G74" s="654"/>
      <c r="H74" s="502"/>
      <c r="I74" s="652"/>
      <c r="J74" s="497"/>
      <c r="K74" s="653"/>
      <c r="L74" s="502"/>
      <c r="M74" s="538"/>
      <c r="N74" s="392"/>
      <c r="O74" s="502"/>
    </row>
    <row r="75" spans="1:15" s="455" customFormat="1" ht="13.5">
      <c r="A75" s="566"/>
      <c r="B75" s="467"/>
      <c r="C75" s="497"/>
      <c r="D75" s="691"/>
      <c r="E75" s="675"/>
      <c r="F75" s="675"/>
      <c r="G75" s="654"/>
      <c r="H75" s="502"/>
      <c r="I75" s="652"/>
      <c r="J75" s="497"/>
      <c r="K75" s="653"/>
      <c r="L75" s="502"/>
      <c r="M75" s="538"/>
      <c r="N75" s="392"/>
      <c r="O75" s="502"/>
    </row>
    <row r="76" spans="1:15" s="455" customFormat="1" ht="13.5">
      <c r="A76" s="566"/>
      <c r="B76" s="467"/>
      <c r="C76" s="497"/>
      <c r="D76" s="691"/>
      <c r="E76" s="675"/>
      <c r="F76" s="675"/>
      <c r="G76" s="654"/>
      <c r="H76" s="502"/>
      <c r="I76" s="652"/>
      <c r="J76" s="497"/>
      <c r="K76" s="653"/>
      <c r="L76" s="502"/>
      <c r="M76" s="538"/>
      <c r="N76" s="392"/>
      <c r="O76" s="502"/>
    </row>
    <row r="77" spans="1:15" s="455" customFormat="1" ht="13.5">
      <c r="C77" s="1385"/>
      <c r="D77" s="314"/>
      <c r="E77" s="991"/>
      <c r="F77" s="662"/>
      <c r="G77" s="309"/>
      <c r="H77" s="497"/>
      <c r="I77" s="774"/>
      <c r="J77" s="774"/>
      <c r="K77" s="774"/>
      <c r="L77" s="499"/>
      <c r="M77" s="1028"/>
      <c r="N77" s="499"/>
    </row>
    <row r="78" spans="1:15" s="455" customFormat="1" ht="13.5">
      <c r="C78" s="314"/>
      <c r="D78" s="314"/>
      <c r="E78" s="991"/>
      <c r="F78" s="662"/>
      <c r="G78" s="309"/>
      <c r="H78" s="497"/>
      <c r="I78" s="774"/>
      <c r="J78" s="774"/>
      <c r="K78" s="1471"/>
      <c r="L78" s="499"/>
      <c r="M78" s="1028"/>
      <c r="N78" s="499"/>
    </row>
    <row r="79" spans="1:15" s="455" customFormat="1" ht="13.5">
      <c r="C79" s="1027"/>
      <c r="D79" s="314"/>
      <c r="E79" s="991"/>
      <c r="F79" s="662"/>
      <c r="G79" s="309"/>
      <c r="H79" s="497"/>
      <c r="I79" s="1056"/>
      <c r="J79" s="985"/>
      <c r="K79" s="985"/>
      <c r="L79" s="499"/>
      <c r="M79" s="1028"/>
      <c r="N79" s="499"/>
    </row>
    <row r="80" spans="1:15" s="455" customFormat="1" ht="13.5">
      <c r="C80" s="499"/>
      <c r="D80" s="309"/>
      <c r="E80" s="391"/>
      <c r="F80" s="499"/>
      <c r="G80" s="497"/>
      <c r="H80" s="498"/>
      <c r="I80" s="498"/>
      <c r="J80" s="498"/>
      <c r="K80" s="499"/>
      <c r="L80" s="1472"/>
      <c r="M80" s="309"/>
      <c r="N80" s="499"/>
    </row>
    <row r="81" spans="3:15" s="455" customFormat="1" ht="13.5">
      <c r="C81" s="497"/>
      <c r="D81" s="691"/>
      <c r="E81" s="675"/>
      <c r="F81" s="675"/>
      <c r="G81" s="654"/>
      <c r="H81" s="502"/>
      <c r="I81" s="652"/>
      <c r="J81" s="497"/>
      <c r="K81" s="653"/>
      <c r="L81" s="502"/>
      <c r="M81" s="538"/>
      <c r="N81" s="392"/>
      <c r="O81" s="502"/>
    </row>
    <row r="82" spans="3:15" s="455" customFormat="1" ht="13.5">
      <c r="C82" s="497"/>
      <c r="D82" s="691"/>
      <c r="E82" s="675"/>
      <c r="F82" s="675"/>
      <c r="G82" s="654"/>
      <c r="H82" s="502"/>
      <c r="I82" s="652"/>
      <c r="J82" s="497"/>
      <c r="K82" s="653"/>
      <c r="L82" s="502"/>
      <c r="M82" s="538"/>
      <c r="N82" s="392"/>
      <c r="O82" s="502"/>
    </row>
    <row r="83" spans="3:15" s="455" customFormat="1" ht="13.5">
      <c r="C83" s="497"/>
      <c r="D83" s="691"/>
      <c r="E83" s="675"/>
      <c r="F83" s="675"/>
      <c r="G83" s="654"/>
      <c r="H83" s="502"/>
      <c r="I83" s="652"/>
      <c r="J83" s="497"/>
      <c r="K83" s="653"/>
      <c r="L83" s="502"/>
      <c r="M83" s="538"/>
      <c r="N83" s="392"/>
      <c r="O83" s="502"/>
    </row>
    <row r="84" spans="3:15" s="455" customFormat="1" ht="13.5">
      <c r="C84" s="497"/>
      <c r="D84" s="691"/>
      <c r="E84" s="675"/>
      <c r="F84" s="675"/>
      <c r="G84" s="654"/>
      <c r="H84" s="502"/>
      <c r="I84" s="652"/>
      <c r="J84" s="497"/>
      <c r="K84" s="653"/>
      <c r="L84" s="502"/>
      <c r="M84" s="538"/>
      <c r="N84" s="392"/>
      <c r="O84" s="502"/>
    </row>
    <row r="85" spans="3:15" s="455" customFormat="1" ht="13.5">
      <c r="C85" s="497"/>
      <c r="D85" s="691"/>
      <c r="E85" s="675"/>
      <c r="F85" s="675"/>
      <c r="G85" s="654"/>
      <c r="H85" s="502"/>
      <c r="I85" s="652"/>
      <c r="J85" s="497"/>
      <c r="K85" s="653"/>
      <c r="L85" s="502"/>
      <c r="M85" s="538"/>
      <c r="N85" s="392"/>
      <c r="O85" s="502"/>
    </row>
    <row r="86" spans="3:15" s="455" customFormat="1" ht="13.5">
      <c r="C86" s="497"/>
      <c r="D86" s="691"/>
      <c r="E86" s="675"/>
      <c r="F86" s="675"/>
      <c r="G86" s="654"/>
      <c r="H86" s="502"/>
      <c r="I86" s="652"/>
      <c r="J86" s="497"/>
      <c r="K86" s="653"/>
      <c r="L86" s="502"/>
      <c r="M86" s="538"/>
      <c r="N86" s="392"/>
      <c r="O86" s="502"/>
    </row>
    <row r="87" spans="3:15" s="455" customFormat="1" ht="13.5">
      <c r="C87" s="497"/>
      <c r="D87" s="691"/>
      <c r="E87" s="675"/>
      <c r="F87" s="1473"/>
      <c r="G87" s="654"/>
      <c r="H87" s="502"/>
      <c r="I87" s="652"/>
      <c r="J87" s="497"/>
      <c r="K87" s="653"/>
      <c r="L87" s="502"/>
      <c r="M87" s="538"/>
      <c r="N87" s="392"/>
      <c r="O87" s="502"/>
    </row>
    <row r="88" spans="3:15" s="355" customFormat="1" ht="13.5">
      <c r="C88" s="400"/>
      <c r="D88" s="400"/>
      <c r="E88" s="401"/>
      <c r="F88" s="402"/>
      <c r="G88" s="402"/>
      <c r="H88" s="403"/>
      <c r="I88" s="403"/>
      <c r="J88" s="403"/>
      <c r="K88" s="402"/>
      <c r="L88" s="404"/>
      <c r="M88" s="402"/>
      <c r="N88" s="405"/>
    </row>
    <row r="89" spans="3:15" s="355" customFormat="1" ht="13.5">
      <c r="C89" s="400"/>
      <c r="D89" s="400"/>
      <c r="E89" s="401"/>
      <c r="F89" s="402"/>
      <c r="G89" s="402"/>
      <c r="H89" s="403"/>
      <c r="I89" s="403"/>
      <c r="J89" s="403"/>
      <c r="K89" s="402"/>
      <c r="L89" s="404"/>
      <c r="M89" s="402"/>
      <c r="N89" s="405"/>
    </row>
    <row r="90" spans="3:15" s="355" customFormat="1" ht="13.5">
      <c r="C90" s="400"/>
      <c r="D90" s="400"/>
      <c r="E90" s="401"/>
      <c r="F90" s="402"/>
      <c r="G90" s="402"/>
      <c r="H90" s="403"/>
      <c r="I90" s="403"/>
      <c r="J90" s="403"/>
      <c r="K90" s="402"/>
      <c r="L90" s="404"/>
      <c r="M90" s="402"/>
      <c r="N90" s="405"/>
    </row>
    <row r="91" spans="3:15" s="355" customFormat="1" ht="13.5">
      <c r="C91" s="400"/>
      <c r="D91" s="400"/>
      <c r="E91" s="401"/>
      <c r="F91" s="402"/>
      <c r="G91" s="402"/>
      <c r="H91" s="403"/>
      <c r="I91" s="403"/>
      <c r="J91" s="403"/>
      <c r="K91" s="402"/>
      <c r="L91" s="404"/>
      <c r="M91" s="402"/>
      <c r="N91" s="405"/>
    </row>
    <row r="92" spans="3:15" s="355" customFormat="1" ht="13.5">
      <c r="C92" s="400"/>
      <c r="D92" s="400"/>
      <c r="E92" s="401"/>
      <c r="F92" s="402"/>
      <c r="G92" s="402"/>
      <c r="H92" s="403"/>
      <c r="I92" s="403"/>
      <c r="J92" s="403"/>
      <c r="K92" s="402"/>
      <c r="L92" s="404"/>
      <c r="M92" s="402"/>
      <c r="N92" s="405"/>
    </row>
    <row r="93" spans="3:15" s="355" customFormat="1" ht="13.5">
      <c r="C93" s="400"/>
      <c r="D93" s="400"/>
      <c r="E93" s="401"/>
      <c r="F93" s="402"/>
      <c r="G93" s="402"/>
      <c r="H93" s="403"/>
      <c r="I93" s="403"/>
      <c r="J93" s="403"/>
      <c r="K93" s="402"/>
      <c r="L93" s="404"/>
      <c r="M93" s="402"/>
      <c r="N93" s="405"/>
    </row>
    <row r="94" spans="3:15" s="355" customFormat="1" ht="13.5">
      <c r="C94" s="400"/>
      <c r="D94" s="400"/>
      <c r="E94" s="401"/>
      <c r="F94" s="402"/>
      <c r="G94" s="402"/>
      <c r="H94" s="403"/>
      <c r="I94" s="403"/>
      <c r="J94" s="403"/>
      <c r="K94" s="402"/>
      <c r="L94" s="404"/>
      <c r="M94" s="402"/>
      <c r="N94" s="405"/>
    </row>
    <row r="95" spans="3:15" s="355" customFormat="1" ht="13.5">
      <c r="C95" s="400"/>
      <c r="D95" s="400"/>
      <c r="E95" s="401"/>
      <c r="F95" s="402"/>
      <c r="G95" s="402"/>
      <c r="H95" s="403"/>
      <c r="I95" s="403"/>
      <c r="J95" s="403"/>
      <c r="K95" s="402"/>
      <c r="L95" s="404"/>
      <c r="M95" s="402"/>
      <c r="N95" s="405"/>
    </row>
    <row r="96" spans="3:15" s="355" customFormat="1" ht="13.5">
      <c r="C96" s="400"/>
      <c r="D96" s="400"/>
      <c r="E96" s="401"/>
      <c r="F96" s="402"/>
      <c r="G96" s="402"/>
      <c r="H96" s="403"/>
      <c r="I96" s="403"/>
      <c r="J96" s="403"/>
      <c r="K96" s="402"/>
      <c r="L96" s="404"/>
      <c r="M96" s="402"/>
      <c r="N96" s="405"/>
    </row>
    <row r="97" spans="3:14" s="355" customFormat="1" ht="13.5">
      <c r="C97" s="400"/>
      <c r="D97" s="400"/>
      <c r="E97" s="401"/>
      <c r="F97" s="402"/>
      <c r="G97" s="402"/>
      <c r="H97" s="403"/>
      <c r="I97" s="403"/>
      <c r="J97" s="403"/>
      <c r="K97" s="402"/>
      <c r="L97" s="404"/>
      <c r="M97" s="402"/>
      <c r="N97" s="405"/>
    </row>
    <row r="98" spans="3:14" s="355" customFormat="1" ht="13.5">
      <c r="C98" s="400"/>
      <c r="D98" s="400"/>
      <c r="E98" s="401"/>
      <c r="F98" s="402"/>
      <c r="G98" s="402"/>
      <c r="H98" s="403"/>
      <c r="I98" s="403"/>
      <c r="J98" s="403"/>
      <c r="K98" s="402"/>
      <c r="L98" s="404"/>
      <c r="M98" s="402"/>
      <c r="N98" s="405"/>
    </row>
    <row r="99" spans="3:14" s="355" customFormat="1" ht="13.5">
      <c r="C99" s="400"/>
      <c r="D99" s="400"/>
      <c r="E99" s="401"/>
      <c r="F99" s="402"/>
      <c r="G99" s="402"/>
      <c r="H99" s="403"/>
      <c r="I99" s="403"/>
      <c r="J99" s="403"/>
      <c r="K99" s="402"/>
      <c r="L99" s="404"/>
      <c r="M99" s="402"/>
      <c r="N99" s="405"/>
    </row>
    <row r="100" spans="3:14" s="355" customFormat="1" ht="13.5">
      <c r="C100" s="400"/>
      <c r="D100" s="400"/>
      <c r="E100" s="401"/>
      <c r="F100" s="402"/>
      <c r="G100" s="402"/>
      <c r="H100" s="403"/>
      <c r="I100" s="403"/>
      <c r="J100" s="403"/>
      <c r="K100" s="402"/>
      <c r="L100" s="404"/>
      <c r="M100" s="407"/>
      <c r="N100" s="405"/>
    </row>
    <row r="101" spans="3:14" s="355" customFormat="1" ht="13.5">
      <c r="C101" s="400"/>
      <c r="D101" s="400"/>
      <c r="E101" s="401"/>
      <c r="F101" s="402"/>
      <c r="G101" s="403"/>
      <c r="H101" s="403"/>
      <c r="I101" s="403"/>
      <c r="J101" s="403"/>
      <c r="K101" s="408"/>
      <c r="L101" s="404"/>
      <c r="M101" s="407"/>
      <c r="N101" s="405"/>
    </row>
    <row r="102" spans="3:14" s="355" customFormat="1" ht="13.5">
      <c r="C102" s="352"/>
      <c r="D102" s="352"/>
      <c r="E102" s="352"/>
      <c r="F102" s="352"/>
      <c r="G102" s="352"/>
      <c r="H102" s="352"/>
      <c r="I102" s="352"/>
      <c r="J102" s="352"/>
      <c r="K102" s="352"/>
      <c r="L102" s="1403">
        <f>SUM(L5:L100)</f>
        <v>78000</v>
      </c>
      <c r="M102" s="352"/>
      <c r="N102" s="352"/>
    </row>
    <row r="103" spans="3:14" ht="14.25" customHeight="1">
      <c r="C103" s="31"/>
      <c r="D103" s="27"/>
      <c r="E103" s="20"/>
      <c r="F103" s="28"/>
      <c r="G103" s="28"/>
      <c r="H103" s="26"/>
      <c r="I103" s="26"/>
      <c r="J103" s="26"/>
      <c r="K103" s="28"/>
      <c r="L103" s="179"/>
      <c r="M103" s="28"/>
      <c r="N103" s="27"/>
    </row>
    <row r="104" spans="3:14" s="1" customFormat="1" ht="14.25" customHeight="1">
      <c r="C104" s="31"/>
      <c r="D104" s="27"/>
      <c r="E104" s="21"/>
      <c r="F104" s="28"/>
      <c r="G104" s="28"/>
      <c r="H104" s="26"/>
      <c r="I104" s="26"/>
      <c r="J104" s="26"/>
      <c r="K104" s="28"/>
      <c r="L104" s="179"/>
      <c r="M104" s="28"/>
      <c r="N104" s="27"/>
    </row>
    <row r="105" spans="3:14" s="1" customFormat="1" ht="14.25" customHeight="1">
      <c r="C105" s="30"/>
      <c r="D105" s="25"/>
      <c r="E105" s="21"/>
      <c r="F105" s="22"/>
      <c r="G105" s="22"/>
      <c r="H105" s="23"/>
      <c r="I105" s="23"/>
      <c r="J105" s="23"/>
      <c r="K105" s="22"/>
      <c r="L105" s="180"/>
      <c r="M105" s="22"/>
      <c r="N105" s="25"/>
    </row>
  </sheetData>
  <mergeCells count="7">
    <mergeCell ref="N2:N3"/>
    <mergeCell ref="C56:C57"/>
    <mergeCell ref="C58:C60"/>
    <mergeCell ref="C2:G2"/>
    <mergeCell ref="H2:J2"/>
    <mergeCell ref="K2:L2"/>
    <mergeCell ref="M2:M3"/>
  </mergeCell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4B84-CD1B-4278-A789-E3BF2DACAFF2}">
  <sheetPr>
    <tabColor rgb="FF00B0F0"/>
  </sheetPr>
  <dimension ref="A1:O105"/>
  <sheetViews>
    <sheetView topLeftCell="D1" zoomScale="93" zoomScaleNormal="94" workbookViewId="0">
      <pane ySplit="4" topLeftCell="A5" activePane="bottomLeft" state="frozen"/>
      <selection pane="bottomLeft" activeCell="L6" sqref="L6"/>
    </sheetView>
  </sheetViews>
  <sheetFormatPr defaultRowHeight="15"/>
  <cols>
    <col min="2" max="2" width="13.7109375" customWidth="1"/>
    <col min="3" max="3" width="21.42578125" customWidth="1"/>
    <col min="4" max="4" width="49.7109375" bestFit="1"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style="99" customWidth="1"/>
    <col min="13" max="13" width="16.28515625" customWidth="1"/>
    <col min="14" max="14" width="12.85546875" customWidth="1"/>
    <col min="17" max="17" width="73.7109375" bestFit="1" customWidth="1"/>
  </cols>
  <sheetData>
    <row r="1" spans="1:15" s="355" customFormat="1" ht="13.5">
      <c r="L1" s="32"/>
    </row>
    <row r="2" spans="1:15" s="355" customFormat="1" ht="13.5">
      <c r="C2" s="2601" t="s">
        <v>30</v>
      </c>
      <c r="D2" s="2602"/>
      <c r="E2" s="2602"/>
      <c r="F2" s="2602"/>
      <c r="G2" s="2603"/>
      <c r="H2" s="2604" t="s">
        <v>29</v>
      </c>
      <c r="I2" s="2605"/>
      <c r="J2" s="2606"/>
      <c r="K2" s="2601" t="s">
        <v>28</v>
      </c>
      <c r="L2" s="2603"/>
      <c r="M2" s="2594" t="s">
        <v>27</v>
      </c>
      <c r="N2" s="2594" t="s">
        <v>26</v>
      </c>
    </row>
    <row r="3" spans="1:15" s="355" customFormat="1" ht="94.5">
      <c r="C3" s="618" t="s">
        <v>25</v>
      </c>
      <c r="D3" s="852" t="s">
        <v>24</v>
      </c>
      <c r="E3" s="991" t="s">
        <v>23</v>
      </c>
      <c r="F3" s="618" t="s">
        <v>22</v>
      </c>
      <c r="G3" s="532" t="s">
        <v>1303</v>
      </c>
      <c r="H3" s="532" t="s">
        <v>20</v>
      </c>
      <c r="I3" s="532" t="s">
        <v>19</v>
      </c>
      <c r="J3" s="532" t="s">
        <v>18</v>
      </c>
      <c r="K3" s="618" t="s">
        <v>17</v>
      </c>
      <c r="L3" s="605" t="s">
        <v>16</v>
      </c>
      <c r="M3" s="2594"/>
      <c r="N3" s="2594"/>
    </row>
    <row r="4" spans="1:15" s="355" customFormat="1" ht="27">
      <c r="C4" s="1076" t="s">
        <v>15</v>
      </c>
      <c r="D4" s="1076" t="s">
        <v>14</v>
      </c>
      <c r="E4" s="1076" t="s">
        <v>13</v>
      </c>
      <c r="F4" s="1076" t="s">
        <v>12</v>
      </c>
      <c r="G4" s="1076" t="s">
        <v>11</v>
      </c>
      <c r="H4" s="1076" t="s">
        <v>10</v>
      </c>
      <c r="I4" s="1076" t="s">
        <v>9</v>
      </c>
      <c r="J4" s="1076" t="s">
        <v>8</v>
      </c>
      <c r="K4" s="1076" t="s">
        <v>7</v>
      </c>
      <c r="L4" s="1077" t="s">
        <v>6</v>
      </c>
      <c r="M4" s="1076" t="s">
        <v>5</v>
      </c>
      <c r="N4" s="1076" t="s">
        <v>4</v>
      </c>
    </row>
    <row r="5" spans="1:15" s="455" customFormat="1" ht="25.5" customHeight="1">
      <c r="A5" s="471"/>
      <c r="B5" s="483" t="s">
        <v>2929</v>
      </c>
      <c r="C5" s="1999" t="s">
        <v>2971</v>
      </c>
      <c r="D5" s="2000" t="s">
        <v>637</v>
      </c>
      <c r="E5" s="2015"/>
      <c r="F5" s="2001" t="s">
        <v>609</v>
      </c>
      <c r="G5" s="2001" t="s">
        <v>1</v>
      </c>
      <c r="H5" s="2002"/>
      <c r="I5" s="2002"/>
      <c r="J5" s="2002"/>
      <c r="K5" s="2003" t="s">
        <v>748</v>
      </c>
      <c r="L5" s="1673"/>
      <c r="M5" s="2002" t="s">
        <v>2924</v>
      </c>
      <c r="N5" s="2003" t="s">
        <v>703</v>
      </c>
      <c r="O5" s="1345"/>
    </row>
    <row r="6" spans="1:15" s="455" customFormat="1" ht="15.75">
      <c r="A6" s="471"/>
      <c r="B6" s="483"/>
      <c r="C6" s="2004"/>
      <c r="D6" s="2022" t="s">
        <v>2972</v>
      </c>
      <c r="E6" s="2017" t="s">
        <v>362</v>
      </c>
      <c r="F6" s="2006"/>
      <c r="G6" s="2006"/>
      <c r="H6" s="2008" t="s">
        <v>2213</v>
      </c>
      <c r="I6" s="2009">
        <v>46174</v>
      </c>
      <c r="J6" s="2010" t="s">
        <v>2215</v>
      </c>
      <c r="K6" s="2011"/>
      <c r="L6" s="1673">
        <v>2500000</v>
      </c>
      <c r="M6" s="2013"/>
      <c r="N6" s="2011"/>
      <c r="O6" s="1345"/>
    </row>
    <row r="7" spans="1:15" s="455" customFormat="1">
      <c r="A7" s="471"/>
      <c r="B7" s="454"/>
      <c r="C7" s="902"/>
      <c r="D7" s="902"/>
      <c r="E7" s="902"/>
      <c r="F7" s="2006"/>
      <c r="G7" s="2006"/>
      <c r="H7" s="2008"/>
      <c r="I7" s="2008"/>
      <c r="J7" s="1588" t="s">
        <v>2927</v>
      </c>
      <c r="K7" s="2011"/>
      <c r="L7" s="2014"/>
      <c r="M7" s="2013"/>
      <c r="N7" s="2011"/>
      <c r="O7" s="1526"/>
    </row>
    <row r="8" spans="1:15" s="455" customFormat="1">
      <c r="A8" s="471"/>
      <c r="B8" s="454"/>
      <c r="C8" s="1909"/>
      <c r="D8" s="1915"/>
      <c r="E8" s="1900"/>
      <c r="F8" s="1835"/>
      <c r="G8" s="1878"/>
      <c r="H8" s="1878"/>
      <c r="I8" s="1879"/>
      <c r="J8" s="1879"/>
      <c r="K8" s="1712"/>
      <c r="L8" s="1916"/>
      <c r="M8" s="1715"/>
      <c r="O8" s="1716"/>
    </row>
    <row r="9" spans="1:15" s="455" customFormat="1">
      <c r="A9" s="471"/>
      <c r="B9" s="454"/>
      <c r="C9" s="1951"/>
      <c r="D9" s="1796"/>
      <c r="E9" s="1884"/>
      <c r="F9" s="1724"/>
      <c r="G9" s="1725"/>
      <c r="H9" s="1801"/>
      <c r="I9" s="1801"/>
      <c r="J9" s="1801"/>
      <c r="K9" s="1902"/>
      <c r="L9" s="1943"/>
      <c r="M9" s="1721"/>
      <c r="O9" s="1720"/>
    </row>
    <row r="10" spans="1:15" s="455" customFormat="1">
      <c r="A10" s="471"/>
      <c r="B10" s="454"/>
      <c r="C10" s="1951"/>
      <c r="D10" s="1796"/>
      <c r="E10" s="1885"/>
      <c r="F10" s="1724"/>
      <c r="G10" s="1725"/>
      <c r="H10" s="1801"/>
      <c r="I10" s="1801"/>
      <c r="J10" s="1801"/>
      <c r="K10" s="2039"/>
      <c r="M10" s="1943"/>
      <c r="N10" s="1721"/>
      <c r="O10" s="1720"/>
    </row>
    <row r="11" spans="1:15" s="455" customFormat="1">
      <c r="A11" s="471"/>
      <c r="B11" s="454"/>
      <c r="C11" s="1951"/>
      <c r="D11" s="1726"/>
      <c r="E11" s="1885"/>
      <c r="F11" s="1724"/>
      <c r="G11" s="1725"/>
      <c r="H11" s="1801"/>
      <c r="I11" s="1801"/>
      <c r="J11" s="1801"/>
      <c r="K11" s="1802"/>
      <c r="L11" s="1801"/>
      <c r="M11" s="1943"/>
      <c r="N11" s="1721"/>
      <c r="O11" s="1720"/>
    </row>
    <row r="12" spans="1:15" s="455" customFormat="1">
      <c r="A12" s="471"/>
      <c r="B12" s="454"/>
      <c r="C12" s="1951"/>
      <c r="D12" s="1726"/>
      <c r="E12" s="1885"/>
      <c r="F12" s="1724"/>
      <c r="G12" s="1725"/>
      <c r="H12" s="1801"/>
      <c r="I12" s="1801"/>
      <c r="J12" s="1801"/>
      <c r="K12" s="1802"/>
      <c r="L12" s="1801"/>
      <c r="M12" s="1943"/>
      <c r="N12" s="1721"/>
      <c r="O12" s="1720"/>
    </row>
    <row r="13" spans="1:15" s="455" customFormat="1">
      <c r="A13" s="471"/>
      <c r="B13" s="454"/>
      <c r="C13" s="1951"/>
      <c r="D13" s="1726"/>
      <c r="E13" s="1881"/>
      <c r="F13" s="1724"/>
      <c r="G13" s="1725"/>
      <c r="H13" s="1801"/>
      <c r="I13" s="1801"/>
      <c r="J13" s="1801"/>
      <c r="K13" s="1802"/>
      <c r="L13" s="1801"/>
      <c r="M13" s="1943"/>
      <c r="N13" s="1721"/>
      <c r="O13" s="1720"/>
    </row>
    <row r="14" spans="1:15" s="455" customFormat="1">
      <c r="A14" s="471"/>
      <c r="B14" s="454"/>
      <c r="C14" s="1913"/>
      <c r="D14" s="1726"/>
      <c r="E14" s="1885"/>
      <c r="F14" s="1724"/>
      <c r="G14" s="1725"/>
      <c r="H14" s="1801"/>
      <c r="I14" s="1801"/>
      <c r="J14" s="1801"/>
      <c r="K14" s="1802"/>
      <c r="L14" s="1801"/>
      <c r="M14" s="1943"/>
      <c r="N14" s="1721"/>
      <c r="O14" s="1720"/>
    </row>
    <row r="15" spans="1:15" s="455" customFormat="1" ht="13.5">
      <c r="A15" s="471"/>
      <c r="B15" s="454"/>
      <c r="C15" s="1525"/>
      <c r="D15" s="309"/>
      <c r="E15" s="309"/>
      <c r="F15" s="309"/>
      <c r="G15" s="497"/>
      <c r="H15" s="1056"/>
      <c r="I15" s="985"/>
      <c r="J15" s="985"/>
      <c r="K15" s="499"/>
      <c r="L15" s="1025"/>
      <c r="M15" s="499"/>
    </row>
    <row r="16" spans="1:15" s="455" customFormat="1" ht="13.5">
      <c r="A16" s="471"/>
      <c r="B16" s="454"/>
      <c r="C16" s="1999"/>
      <c r="D16" s="2000"/>
      <c r="E16" s="2015"/>
      <c r="F16" s="2003"/>
      <c r="G16" s="2001"/>
      <c r="H16" s="2002"/>
      <c r="I16" s="2002"/>
      <c r="J16" s="2002"/>
      <c r="K16" s="2003"/>
      <c r="L16" s="1673"/>
      <c r="M16" s="2002"/>
      <c r="N16" s="2003"/>
    </row>
    <row r="17" spans="1:14" s="455" customFormat="1">
      <c r="A17" s="471"/>
      <c r="B17" s="454"/>
      <c r="C17" s="2004"/>
      <c r="D17" s="2005"/>
      <c r="E17" s="2017"/>
      <c r="F17" s="2006"/>
      <c r="G17" s="2006"/>
      <c r="H17" s="2008"/>
      <c r="I17" s="2009"/>
      <c r="J17" s="2010"/>
      <c r="K17" s="2011"/>
      <c r="L17" s="2012"/>
      <c r="M17" s="2013"/>
      <c r="N17" s="2011"/>
    </row>
    <row r="18" spans="1:14" s="455" customFormat="1">
      <c r="A18" s="471"/>
      <c r="B18" s="454"/>
      <c r="C18" s="2004"/>
      <c r="D18" s="2005"/>
      <c r="E18" s="2017"/>
      <c r="F18" s="2006"/>
      <c r="G18" s="2006"/>
      <c r="H18" s="2008"/>
      <c r="I18" s="2008"/>
      <c r="J18" s="1588"/>
      <c r="K18" s="2011"/>
      <c r="L18" s="2014"/>
      <c r="M18" s="2013"/>
      <c r="N18" s="2011"/>
    </row>
    <row r="19" spans="1:14" s="455" customFormat="1" ht="13.5">
      <c r="A19" s="471"/>
      <c r="B19" s="454"/>
      <c r="C19" s="2038"/>
      <c r="D19" s="309"/>
      <c r="E19" s="309"/>
      <c r="F19" s="309"/>
      <c r="G19" s="497"/>
      <c r="H19" s="1056"/>
      <c r="I19" s="985"/>
      <c r="J19" s="985"/>
      <c r="K19" s="499"/>
      <c r="L19" s="1025"/>
      <c r="M19" s="499"/>
    </row>
    <row r="20" spans="1:14" s="455" customFormat="1" ht="13.5">
      <c r="A20" s="471"/>
      <c r="B20" s="454"/>
      <c r="C20" s="2038"/>
      <c r="D20" s="309"/>
      <c r="E20" s="309"/>
      <c r="F20" s="309"/>
      <c r="G20" s="497"/>
      <c r="H20" s="1056"/>
      <c r="I20" s="985"/>
      <c r="J20" s="985"/>
      <c r="K20" s="499"/>
      <c r="L20" s="1025"/>
      <c r="M20" s="499"/>
    </row>
    <row r="21" spans="1:14" s="455" customFormat="1" ht="13.5">
      <c r="A21" s="471"/>
      <c r="B21" s="454"/>
      <c r="C21" s="1524"/>
      <c r="D21" s="309"/>
      <c r="E21" s="309"/>
      <c r="F21" s="309"/>
      <c r="G21" s="497"/>
      <c r="H21" s="1056"/>
      <c r="I21" s="985"/>
      <c r="J21" s="985"/>
      <c r="K21" s="499"/>
      <c r="L21" s="1025"/>
      <c r="M21" s="499"/>
    </row>
    <row r="22" spans="1:14" s="455" customFormat="1" ht="13.5">
      <c r="A22" s="471"/>
      <c r="B22" s="454"/>
      <c r="C22" s="1525"/>
      <c r="D22" s="309"/>
      <c r="E22" s="309"/>
      <c r="F22" s="309"/>
      <c r="G22" s="497"/>
      <c r="H22" s="1056"/>
      <c r="I22" s="985"/>
      <c r="J22" s="985"/>
      <c r="K22" s="499"/>
      <c r="L22" s="1025"/>
      <c r="M22" s="499"/>
    </row>
    <row r="23" spans="1:14" s="455" customFormat="1" ht="13.5">
      <c r="A23" s="471"/>
      <c r="B23" s="454"/>
      <c r="C23" s="314"/>
      <c r="D23" s="309"/>
      <c r="E23" s="309"/>
      <c r="F23" s="309"/>
      <c r="G23" s="497"/>
      <c r="H23" s="1056"/>
      <c r="I23" s="985"/>
      <c r="J23" s="985"/>
      <c r="K23" s="499"/>
      <c r="L23" s="1025"/>
      <c r="M23" s="499"/>
      <c r="N23" s="1466"/>
    </row>
    <row r="24" spans="1:14" s="455" customFormat="1" ht="13.5">
      <c r="A24" s="471"/>
      <c r="B24" s="454"/>
      <c r="C24" s="392"/>
      <c r="D24" s="309"/>
      <c r="E24" s="309"/>
      <c r="F24" s="309"/>
      <c r="G24" s="497"/>
      <c r="H24" s="985"/>
      <c r="I24" s="985"/>
      <c r="J24" s="985"/>
      <c r="K24" s="499"/>
      <c r="L24" s="1025"/>
      <c r="M24" s="499"/>
      <c r="N24" s="1466"/>
    </row>
    <row r="25" spans="1:14" s="455" customFormat="1" ht="13.5">
      <c r="A25" s="471"/>
      <c r="B25" s="454"/>
      <c r="C25" s="392"/>
      <c r="D25" s="309"/>
      <c r="E25" s="309"/>
      <c r="F25" s="309"/>
      <c r="G25" s="497"/>
      <c r="H25" s="985"/>
      <c r="I25" s="985"/>
      <c r="J25" s="985"/>
      <c r="K25" s="499"/>
      <c r="L25" s="1025"/>
      <c r="M25" s="499"/>
      <c r="N25" s="1467"/>
    </row>
    <row r="26" spans="1:14" s="455" customFormat="1" ht="13.5">
      <c r="A26" s="471"/>
      <c r="B26" s="454"/>
      <c r="C26" s="392"/>
      <c r="D26" s="309"/>
      <c r="E26" s="309"/>
      <c r="F26" s="309"/>
      <c r="G26" s="497"/>
      <c r="H26" s="985"/>
      <c r="I26" s="985"/>
      <c r="J26" s="985"/>
      <c r="K26" s="499"/>
      <c r="L26" s="1025"/>
      <c r="M26" s="499"/>
      <c r="N26" s="1468"/>
    </row>
    <row r="27" spans="1:14" s="455" customFormat="1" ht="13.5">
      <c r="A27" s="471"/>
      <c r="B27" s="454"/>
      <c r="C27" s="392"/>
      <c r="D27" s="309"/>
      <c r="E27" s="309"/>
      <c r="F27" s="309"/>
      <c r="G27" s="497"/>
      <c r="H27" s="985"/>
      <c r="I27" s="985"/>
      <c r="J27" s="985"/>
      <c r="K27" s="499"/>
      <c r="L27" s="1025"/>
      <c r="M27" s="499"/>
      <c r="N27" s="1468"/>
    </row>
    <row r="28" spans="1:14" s="455" customFormat="1" ht="13.5">
      <c r="A28" s="471"/>
      <c r="B28" s="454"/>
      <c r="C28" s="1524"/>
      <c r="D28" s="309"/>
      <c r="E28" s="309"/>
      <c r="F28" s="309"/>
      <c r="G28" s="497"/>
      <c r="H28" s="985"/>
      <c r="I28" s="985"/>
      <c r="J28" s="985"/>
      <c r="K28" s="499"/>
      <c r="L28" s="1994">
        <f>SUM(L5:L26)</f>
        <v>2500000</v>
      </c>
      <c r="M28" s="499"/>
      <c r="N28" s="1468"/>
    </row>
    <row r="29" spans="1:14" s="455" customFormat="1" ht="13.5">
      <c r="A29" s="471"/>
      <c r="B29" s="454"/>
      <c r="C29" s="1525"/>
      <c r="D29" s="309"/>
      <c r="E29" s="309"/>
      <c r="F29" s="309"/>
      <c r="G29" s="497"/>
      <c r="H29" s="985"/>
      <c r="I29" s="985"/>
      <c r="J29" s="985"/>
      <c r="K29" s="499"/>
      <c r="L29" s="1025"/>
      <c r="M29" s="499"/>
      <c r="N29" s="1468"/>
    </row>
    <row r="30" spans="1:14" s="455" customFormat="1" ht="13.5">
      <c r="A30" s="471"/>
      <c r="B30" s="454"/>
      <c r="C30" s="392"/>
      <c r="D30" s="309"/>
      <c r="E30" s="309"/>
      <c r="F30" s="309"/>
      <c r="G30" s="497"/>
      <c r="H30" s="1056"/>
      <c r="I30" s="985"/>
      <c r="J30" s="985"/>
      <c r="K30" s="499"/>
      <c r="L30" s="1025"/>
      <c r="M30" s="499"/>
      <c r="N30" s="1465"/>
    </row>
    <row r="31" spans="1:14" s="455" customFormat="1" ht="13.5">
      <c r="A31" s="471"/>
      <c r="B31" s="454"/>
      <c r="C31" s="392"/>
      <c r="D31" s="309"/>
      <c r="E31" s="309"/>
      <c r="F31" s="309"/>
      <c r="G31" s="497"/>
      <c r="H31" s="985"/>
      <c r="I31" s="985"/>
      <c r="J31" s="985"/>
      <c r="K31" s="499"/>
      <c r="L31" s="1025"/>
      <c r="M31" s="499"/>
    </row>
    <row r="32" spans="1:14" s="455" customFormat="1" ht="13.5">
      <c r="A32" s="471"/>
      <c r="B32" s="454"/>
      <c r="C32" s="987"/>
      <c r="D32" s="314"/>
      <c r="E32" s="662"/>
      <c r="F32" s="309"/>
      <c r="G32" s="497"/>
      <c r="H32" s="985"/>
      <c r="I32" s="985"/>
      <c r="J32" s="985"/>
      <c r="K32" s="499"/>
      <c r="L32" s="1025"/>
      <c r="M32" s="499"/>
      <c r="N32" s="454"/>
    </row>
    <row r="33" spans="1:15" s="455" customFormat="1" ht="13.5">
      <c r="A33" s="471"/>
      <c r="B33" s="454"/>
      <c r="C33" s="987"/>
      <c r="D33" s="314"/>
      <c r="E33" s="662"/>
      <c r="F33" s="309"/>
      <c r="G33" s="497"/>
      <c r="H33" s="985"/>
      <c r="I33" s="985"/>
      <c r="J33" s="985"/>
      <c r="K33" s="499"/>
      <c r="L33" s="1025"/>
      <c r="M33" s="499"/>
      <c r="N33" s="458"/>
    </row>
    <row r="34" spans="1:15" s="455" customFormat="1" ht="13.5">
      <c r="A34" s="471"/>
      <c r="B34" s="454"/>
      <c r="C34" s="987"/>
      <c r="D34" s="314"/>
      <c r="E34" s="662"/>
      <c r="F34" s="309"/>
      <c r="G34" s="497"/>
      <c r="H34" s="985"/>
      <c r="I34" s="985"/>
      <c r="J34" s="985"/>
      <c r="K34" s="499"/>
      <c r="L34" s="1065"/>
      <c r="M34" s="499"/>
      <c r="N34" s="458"/>
    </row>
    <row r="35" spans="1:15" s="455" customFormat="1" ht="13.5">
      <c r="A35" s="471"/>
      <c r="B35" s="454"/>
      <c r="C35" s="987"/>
      <c r="D35" s="309"/>
      <c r="E35" s="662"/>
      <c r="F35" s="309"/>
      <c r="G35" s="497"/>
      <c r="H35" s="985"/>
      <c r="I35" s="985"/>
      <c r="J35" s="985"/>
      <c r="K35" s="499"/>
      <c r="L35" s="1065"/>
      <c r="M35" s="499"/>
      <c r="N35" s="458"/>
    </row>
    <row r="36" spans="1:15" s="455" customFormat="1" ht="13.5">
      <c r="A36" s="471"/>
      <c r="B36" s="454"/>
      <c r="C36" s="314"/>
      <c r="D36" s="314"/>
      <c r="E36" s="309"/>
      <c r="F36" s="309"/>
      <c r="G36" s="497"/>
      <c r="H36" s="985"/>
      <c r="I36" s="985"/>
      <c r="J36" s="985"/>
      <c r="K36" s="309"/>
      <c r="L36" s="1015"/>
      <c r="M36" s="499"/>
      <c r="N36" s="458"/>
    </row>
    <row r="37" spans="1:15" s="455" customFormat="1" ht="13.5">
      <c r="A37" s="471"/>
      <c r="B37" s="454"/>
      <c r="C37" s="314"/>
      <c r="D37" s="314"/>
      <c r="E37" s="309"/>
      <c r="F37" s="309"/>
      <c r="G37" s="497"/>
      <c r="H37" s="985"/>
      <c r="I37" s="985"/>
      <c r="J37" s="985"/>
      <c r="K37" s="309"/>
      <c r="L37" s="1015"/>
      <c r="M37" s="499"/>
      <c r="N37" s="460"/>
    </row>
    <row r="38" spans="1:15" s="455" customFormat="1" ht="13.5">
      <c r="A38" s="471"/>
      <c r="B38" s="454"/>
      <c r="C38" s="314"/>
      <c r="D38" s="314"/>
      <c r="E38" s="560"/>
      <c r="F38" s="309"/>
      <c r="G38" s="497"/>
      <c r="H38" s="985"/>
      <c r="I38" s="985"/>
      <c r="J38" s="985"/>
      <c r="K38" s="309"/>
      <c r="L38" s="1015"/>
      <c r="M38" s="499"/>
      <c r="N38" s="454"/>
    </row>
    <row r="39" spans="1:15" s="455" customFormat="1" ht="13.5">
      <c r="A39" s="471"/>
      <c r="B39" s="454"/>
      <c r="C39" s="987"/>
      <c r="D39" s="314"/>
      <c r="E39" s="662"/>
      <c r="F39" s="309"/>
      <c r="G39" s="497"/>
      <c r="H39" s="985"/>
      <c r="I39" s="985"/>
      <c r="J39" s="985"/>
      <c r="K39" s="499"/>
      <c r="L39" s="1065"/>
      <c r="M39" s="499"/>
      <c r="N39" s="458"/>
    </row>
    <row r="40" spans="1:15" s="455" customFormat="1" ht="13.5">
      <c r="A40" s="471"/>
      <c r="B40" s="454"/>
      <c r="C40" s="392"/>
      <c r="D40" s="309"/>
      <c r="E40" s="309"/>
      <c r="F40" s="662"/>
      <c r="G40" s="309"/>
      <c r="H40" s="497"/>
      <c r="I40" s="985"/>
      <c r="J40" s="985"/>
      <c r="K40" s="1066"/>
      <c r="L40" s="1067"/>
      <c r="M40" s="1025"/>
      <c r="N40" s="1068"/>
      <c r="O40" s="458"/>
    </row>
    <row r="41" spans="1:15" s="455" customFormat="1" ht="13.5">
      <c r="A41" s="471"/>
      <c r="B41" s="454"/>
      <c r="C41" s="471"/>
      <c r="D41" s="456"/>
      <c r="E41" s="459"/>
      <c r="F41" s="466"/>
      <c r="G41" s="471"/>
      <c r="H41" s="477"/>
      <c r="I41" s="526"/>
      <c r="J41" s="526"/>
      <c r="K41" s="526"/>
      <c r="L41" s="473"/>
      <c r="M41" s="529"/>
      <c r="N41" s="471"/>
      <c r="O41" s="458"/>
    </row>
    <row r="42" spans="1:15" s="455" customFormat="1" ht="13.5">
      <c r="A42" s="471"/>
      <c r="B42" s="454"/>
      <c r="C42" s="471"/>
      <c r="D42" s="456"/>
      <c r="E42" s="459"/>
      <c r="F42" s="466"/>
      <c r="G42" s="471"/>
      <c r="H42" s="477"/>
      <c r="I42" s="526"/>
      <c r="J42" s="526"/>
      <c r="K42" s="526"/>
      <c r="L42" s="473"/>
      <c r="M42" s="529"/>
      <c r="N42" s="471"/>
      <c r="O42" s="458"/>
    </row>
    <row r="43" spans="1:15" s="455" customFormat="1" ht="13.5">
      <c r="A43" s="471"/>
      <c r="B43" s="454"/>
      <c r="C43" s="314"/>
      <c r="D43" s="309"/>
      <c r="E43" s="309"/>
      <c r="F43" s="309"/>
      <c r="G43" s="309"/>
      <c r="H43" s="309"/>
      <c r="I43" s="309"/>
      <c r="J43" s="309"/>
      <c r="K43" s="309"/>
      <c r="L43" s="309"/>
      <c r="M43" s="309"/>
      <c r="N43" s="309"/>
    </row>
    <row r="44" spans="1:15" s="455" customFormat="1" ht="13.5">
      <c r="A44" s="471"/>
      <c r="B44" s="454"/>
      <c r="C44" s="314"/>
      <c r="D44" s="314"/>
      <c r="E44" s="309"/>
      <c r="F44" s="309"/>
      <c r="G44" s="497"/>
      <c r="H44" s="1056"/>
      <c r="I44" s="309"/>
      <c r="J44" s="309"/>
      <c r="K44" s="499"/>
      <c r="L44" s="1069"/>
      <c r="M44" s="309"/>
      <c r="N44" s="454"/>
    </row>
    <row r="45" spans="1:15" s="455" customFormat="1" ht="13.5">
      <c r="A45" s="471"/>
      <c r="B45" s="454"/>
      <c r="C45" s="314"/>
      <c r="D45" s="314"/>
      <c r="E45" s="309"/>
      <c r="F45" s="309"/>
      <c r="G45" s="497"/>
      <c r="H45" s="1056"/>
      <c r="I45" s="309"/>
      <c r="J45" s="309"/>
      <c r="K45" s="499"/>
      <c r="L45" s="1069"/>
      <c r="M45" s="499"/>
      <c r="N45" s="458"/>
    </row>
    <row r="46" spans="1:15" s="455" customFormat="1" ht="13.5">
      <c r="A46" s="471"/>
      <c r="B46" s="454"/>
      <c r="C46" s="314"/>
      <c r="D46" s="314"/>
      <c r="E46" s="309"/>
      <c r="F46" s="309"/>
      <c r="G46" s="497"/>
      <c r="H46" s="1056"/>
      <c r="I46" s="309"/>
      <c r="J46" s="309"/>
      <c r="K46" s="499"/>
      <c r="L46" s="1069"/>
      <c r="M46" s="499"/>
      <c r="N46" s="458"/>
    </row>
    <row r="47" spans="1:15" s="455" customFormat="1" ht="13.5">
      <c r="A47" s="471"/>
      <c r="B47" s="454"/>
      <c r="C47" s="314"/>
      <c r="D47" s="314"/>
      <c r="E47" s="662"/>
      <c r="F47" s="309"/>
      <c r="G47" s="497"/>
      <c r="H47" s="1056"/>
      <c r="I47" s="985"/>
      <c r="J47" s="985"/>
      <c r="K47" s="499"/>
      <c r="L47" s="1016"/>
      <c r="M47" s="499"/>
      <c r="N47" s="458"/>
    </row>
    <row r="48" spans="1:15" s="455" customFormat="1" ht="13.5">
      <c r="A48" s="471"/>
      <c r="B48" s="454"/>
      <c r="C48" s="314"/>
      <c r="D48" s="314"/>
      <c r="E48" s="662"/>
      <c r="F48" s="309"/>
      <c r="G48" s="497"/>
      <c r="H48" s="1056"/>
      <c r="I48" s="985"/>
      <c r="J48" s="985"/>
      <c r="K48" s="499"/>
      <c r="L48" s="1016"/>
      <c r="M48" s="499"/>
      <c r="N48" s="458"/>
    </row>
    <row r="49" spans="1:14" s="455" customFormat="1" ht="13.5">
      <c r="A49" s="471"/>
      <c r="B49" s="454"/>
      <c r="C49" s="314"/>
      <c r="D49" s="314"/>
      <c r="E49" s="662"/>
      <c r="F49" s="309"/>
      <c r="G49" s="497"/>
      <c r="H49" s="1056"/>
      <c r="I49" s="985"/>
      <c r="J49" s="985"/>
      <c r="K49" s="499"/>
      <c r="L49" s="1071"/>
      <c r="M49" s="499"/>
    </row>
    <row r="50" spans="1:14" s="455" customFormat="1" ht="13.5">
      <c r="A50" s="471"/>
      <c r="B50" s="454"/>
      <c r="C50" s="314"/>
      <c r="D50" s="314"/>
      <c r="E50" s="662"/>
      <c r="F50" s="309"/>
      <c r="G50" s="497"/>
      <c r="H50" s="1056"/>
      <c r="I50" s="985"/>
      <c r="J50" s="985"/>
      <c r="K50" s="499"/>
      <c r="L50" s="1071"/>
      <c r="M50" s="499"/>
    </row>
    <row r="51" spans="1:14" s="455" customFormat="1" ht="13.5">
      <c r="A51" s="471"/>
      <c r="B51" s="454"/>
      <c r="C51" s="314"/>
      <c r="D51" s="314"/>
      <c r="E51" s="662"/>
      <c r="F51" s="309"/>
      <c r="G51" s="497"/>
      <c r="H51" s="1056"/>
      <c r="I51" s="985"/>
      <c r="J51" s="985"/>
      <c r="K51" s="499"/>
      <c r="L51" s="1016"/>
      <c r="M51" s="499"/>
    </row>
    <row r="52" spans="1:14" s="455" customFormat="1" ht="13.5">
      <c r="A52" s="471"/>
      <c r="B52" s="454"/>
      <c r="C52" s="314"/>
      <c r="D52" s="314"/>
      <c r="E52" s="662"/>
      <c r="F52" s="309"/>
      <c r="G52" s="497"/>
      <c r="H52" s="1056"/>
      <c r="I52" s="985"/>
      <c r="J52" s="985"/>
      <c r="K52" s="499"/>
      <c r="L52" s="1016"/>
      <c r="M52" s="499"/>
    </row>
    <row r="53" spans="1:14" s="455" customFormat="1" ht="13.5">
      <c r="A53" s="471"/>
      <c r="B53" s="454"/>
      <c r="C53" s="314"/>
      <c r="D53" s="314"/>
      <c r="E53" s="662"/>
      <c r="F53" s="309"/>
      <c r="G53" s="497"/>
      <c r="H53" s="1056"/>
      <c r="I53" s="985"/>
      <c r="J53" s="985"/>
      <c r="K53" s="499"/>
      <c r="L53" s="1016"/>
      <c r="M53" s="499"/>
      <c r="N53" s="458"/>
    </row>
    <row r="54" spans="1:14" s="455" customFormat="1" ht="13.5">
      <c r="A54" s="471"/>
      <c r="B54" s="454"/>
      <c r="C54" s="314"/>
      <c r="D54" s="314"/>
      <c r="E54" s="662"/>
      <c r="F54" s="309"/>
      <c r="G54" s="497"/>
      <c r="H54" s="1056"/>
      <c r="I54" s="985"/>
      <c r="J54" s="985"/>
      <c r="K54" s="499"/>
      <c r="L54" s="1016"/>
      <c r="M54" s="499"/>
      <c r="N54" s="458"/>
    </row>
    <row r="55" spans="1:14" s="455" customFormat="1" ht="13.5">
      <c r="A55" s="471"/>
      <c r="B55" s="454"/>
      <c r="C55" s="314"/>
      <c r="D55" s="314"/>
      <c r="E55" s="662"/>
      <c r="F55" s="309"/>
      <c r="G55" s="497"/>
      <c r="H55" s="1056"/>
      <c r="I55" s="985"/>
      <c r="J55" s="985"/>
      <c r="K55" s="499"/>
      <c r="L55" s="1016"/>
      <c r="M55" s="499"/>
      <c r="N55" s="458"/>
    </row>
    <row r="56" spans="1:14" s="455" customFormat="1" ht="13.5">
      <c r="A56" s="471"/>
      <c r="B56" s="454"/>
      <c r="C56" s="2591"/>
      <c r="D56" s="314"/>
      <c r="E56" s="662"/>
      <c r="F56" s="309"/>
      <c r="G56" s="497"/>
      <c r="H56" s="1056"/>
      <c r="I56" s="985"/>
      <c r="J56" s="985"/>
      <c r="K56" s="499"/>
      <c r="L56" s="1016"/>
      <c r="M56" s="499"/>
    </row>
    <row r="57" spans="1:14" s="455" customFormat="1" ht="13.5">
      <c r="A57" s="471"/>
      <c r="B57" s="454"/>
      <c r="C57" s="2593"/>
      <c r="D57" s="314"/>
      <c r="E57" s="662"/>
      <c r="F57" s="309"/>
      <c r="G57" s="497"/>
      <c r="H57" s="1056"/>
      <c r="I57" s="985"/>
      <c r="J57" s="985"/>
      <c r="K57" s="499"/>
      <c r="L57" s="1016"/>
      <c r="M57" s="499"/>
      <c r="N57" s="454"/>
    </row>
    <row r="58" spans="1:14" s="455" customFormat="1" ht="13.5">
      <c r="A58" s="471"/>
      <c r="B58" s="454"/>
      <c r="C58" s="2591"/>
      <c r="D58" s="314"/>
      <c r="E58" s="662"/>
      <c r="F58" s="309"/>
      <c r="G58" s="497"/>
      <c r="H58" s="1056"/>
      <c r="I58" s="985"/>
      <c r="J58" s="985"/>
      <c r="K58" s="499"/>
      <c r="L58" s="1016"/>
      <c r="M58" s="499"/>
      <c r="N58" s="458"/>
    </row>
    <row r="59" spans="1:14" s="455" customFormat="1" ht="13.5">
      <c r="A59" s="471"/>
      <c r="B59" s="454"/>
      <c r="C59" s="2592"/>
      <c r="D59" s="314"/>
      <c r="E59" s="662"/>
      <c r="F59" s="309"/>
      <c r="G59" s="497"/>
      <c r="H59" s="1056"/>
      <c r="I59" s="985"/>
      <c r="J59" s="985"/>
      <c r="K59" s="499"/>
      <c r="L59" s="1016"/>
      <c r="M59" s="499"/>
      <c r="N59" s="458"/>
    </row>
    <row r="60" spans="1:14" s="455" customFormat="1" ht="13.5">
      <c r="A60" s="471"/>
      <c r="B60" s="454"/>
      <c r="C60" s="2593"/>
      <c r="D60" s="314"/>
      <c r="E60" s="662"/>
      <c r="F60" s="309"/>
      <c r="G60" s="497"/>
      <c r="H60" s="1056"/>
      <c r="I60" s="985"/>
      <c r="J60" s="985"/>
      <c r="K60" s="499"/>
      <c r="L60" s="1016"/>
      <c r="M60" s="499"/>
      <c r="N60" s="458"/>
    </row>
    <row r="61" spans="1:14" s="455" customFormat="1" ht="13.5">
      <c r="A61" s="471"/>
      <c r="B61" s="454"/>
      <c r="C61" s="314"/>
      <c r="D61" s="314"/>
      <c r="E61" s="662"/>
      <c r="F61" s="309"/>
      <c r="G61" s="497"/>
      <c r="H61" s="985"/>
      <c r="I61" s="985"/>
      <c r="J61" s="985"/>
      <c r="K61" s="499"/>
      <c r="L61" s="1016"/>
      <c r="M61" s="499"/>
      <c r="N61" s="458"/>
    </row>
    <row r="62" spans="1:14" s="455" customFormat="1" ht="13.5">
      <c r="A62" s="471"/>
      <c r="B62" s="454"/>
      <c r="C62" s="314"/>
      <c r="D62" s="314"/>
      <c r="E62" s="662"/>
      <c r="F62" s="309"/>
      <c r="G62" s="497"/>
      <c r="H62" s="985"/>
      <c r="I62" s="985"/>
      <c r="J62" s="985"/>
      <c r="K62" s="499"/>
      <c r="L62" s="1016"/>
      <c r="M62" s="499"/>
      <c r="N62" s="460"/>
    </row>
    <row r="63" spans="1:14" s="455" customFormat="1" ht="13.5">
      <c r="C63" s="314"/>
      <c r="D63" s="314"/>
      <c r="E63" s="662"/>
      <c r="F63" s="662"/>
      <c r="G63" s="309"/>
      <c r="H63" s="497"/>
      <c r="I63" s="1056"/>
      <c r="J63" s="985"/>
      <c r="K63" s="985"/>
      <c r="L63" s="499"/>
      <c r="M63" s="1025"/>
      <c r="N63" s="499"/>
    </row>
    <row r="64" spans="1:14" s="455" customFormat="1" ht="13.5">
      <c r="C64" s="902"/>
      <c r="D64" s="309"/>
      <c r="E64" s="662"/>
      <c r="F64" s="662"/>
      <c r="G64" s="309"/>
      <c r="H64" s="497"/>
      <c r="I64" s="653"/>
      <c r="J64" s="985"/>
      <c r="K64" s="1469"/>
      <c r="L64" s="499"/>
      <c r="M64" s="1025"/>
      <c r="N64" s="499"/>
    </row>
    <row r="65" spans="1:15" s="455" customFormat="1" ht="13.5">
      <c r="A65" s="566"/>
      <c r="B65" s="467"/>
      <c r="C65" s="499"/>
      <c r="D65" s="309"/>
      <c r="E65" s="391"/>
      <c r="F65" s="499"/>
      <c r="G65" s="497"/>
      <c r="H65" s="498"/>
      <c r="I65" s="498"/>
      <c r="J65" s="498"/>
      <c r="K65" s="499"/>
      <c r="L65" s="1470"/>
      <c r="M65" s="309"/>
      <c r="N65" s="499"/>
    </row>
    <row r="66" spans="1:15" s="455" customFormat="1" ht="13.5">
      <c r="A66" s="566"/>
      <c r="B66" s="467"/>
      <c r="C66" s="497"/>
      <c r="D66" s="691"/>
      <c r="E66" s="675"/>
      <c r="F66" s="675"/>
      <c r="G66" s="654"/>
      <c r="H66" s="502"/>
      <c r="I66" s="652"/>
      <c r="J66" s="497"/>
      <c r="K66" s="653"/>
      <c r="L66" s="502"/>
      <c r="M66" s="538"/>
      <c r="N66" s="392"/>
      <c r="O66" s="502"/>
    </row>
    <row r="67" spans="1:15" s="455" customFormat="1" ht="13.5">
      <c r="A67" s="566"/>
      <c r="B67" s="467"/>
      <c r="C67" s="497"/>
      <c r="D67" s="691"/>
      <c r="E67" s="675"/>
      <c r="F67" s="675"/>
      <c r="G67" s="654"/>
      <c r="H67" s="502"/>
      <c r="I67" s="652"/>
      <c r="J67" s="497"/>
      <c r="K67" s="653"/>
      <c r="L67" s="502"/>
      <c r="M67" s="538"/>
      <c r="N67" s="392"/>
      <c r="O67" s="502"/>
    </row>
    <row r="68" spans="1:15" s="455" customFormat="1" ht="13.5">
      <c r="A68" s="566"/>
      <c r="B68" s="467"/>
      <c r="C68" s="497"/>
      <c r="D68" s="691"/>
      <c r="E68" s="675"/>
      <c r="F68" s="675"/>
      <c r="G68" s="654"/>
      <c r="H68" s="502"/>
      <c r="I68" s="652"/>
      <c r="J68" s="497"/>
      <c r="K68" s="653"/>
      <c r="L68" s="502"/>
      <c r="M68" s="538"/>
      <c r="N68" s="392"/>
      <c r="O68" s="502"/>
    </row>
    <row r="69" spans="1:15" s="455" customFormat="1" ht="13.5">
      <c r="A69" s="566"/>
      <c r="B69" s="467"/>
      <c r="C69" s="497"/>
      <c r="D69" s="691"/>
      <c r="E69" s="675"/>
      <c r="F69" s="675"/>
      <c r="G69" s="654"/>
      <c r="H69" s="502"/>
      <c r="I69" s="652"/>
      <c r="J69" s="497"/>
      <c r="K69" s="653"/>
      <c r="L69" s="502"/>
      <c r="M69" s="538"/>
      <c r="N69" s="392"/>
      <c r="O69" s="502"/>
    </row>
    <row r="70" spans="1:15" s="455" customFormat="1" ht="13.5">
      <c r="C70" s="1384"/>
      <c r="D70" s="314"/>
      <c r="E70" s="662"/>
      <c r="F70" s="662"/>
      <c r="G70" s="309"/>
      <c r="H70" s="497"/>
      <c r="I70" s="653"/>
      <c r="J70" s="985"/>
      <c r="K70" s="1469"/>
      <c r="L70" s="499"/>
      <c r="M70" s="1025"/>
      <c r="N70" s="499"/>
    </row>
    <row r="71" spans="1:15" s="455" customFormat="1" ht="13.5">
      <c r="C71" s="1384"/>
      <c r="D71" s="314"/>
      <c r="E71" s="662"/>
      <c r="F71" s="662"/>
      <c r="G71" s="309"/>
      <c r="H71" s="497"/>
      <c r="I71" s="653"/>
      <c r="J71" s="985"/>
      <c r="K71" s="1469"/>
      <c r="L71" s="499"/>
      <c r="M71" s="1025"/>
      <c r="N71" s="499"/>
    </row>
    <row r="72" spans="1:15" s="455" customFormat="1" ht="13.5">
      <c r="A72" s="566"/>
      <c r="B72" s="467"/>
      <c r="C72" s="499"/>
      <c r="D72" s="309"/>
      <c r="E72" s="391"/>
      <c r="F72" s="499"/>
      <c r="G72" s="497"/>
      <c r="H72" s="498"/>
      <c r="I72" s="498"/>
      <c r="J72" s="498"/>
      <c r="K72" s="499"/>
      <c r="L72" s="1470"/>
      <c r="M72" s="309"/>
      <c r="N72" s="499"/>
    </row>
    <row r="73" spans="1:15" s="455" customFormat="1" ht="13.5">
      <c r="A73" s="566"/>
      <c r="B73" s="467"/>
      <c r="C73" s="497"/>
      <c r="D73" s="691"/>
      <c r="E73" s="675"/>
      <c r="F73" s="675"/>
      <c r="G73" s="654"/>
      <c r="H73" s="502"/>
      <c r="I73" s="652"/>
      <c r="J73" s="497"/>
      <c r="K73" s="653"/>
      <c r="L73" s="502"/>
      <c r="M73" s="538"/>
      <c r="N73" s="392"/>
      <c r="O73" s="502"/>
    </row>
    <row r="74" spans="1:15" s="455" customFormat="1" ht="13.5">
      <c r="A74" s="566"/>
      <c r="B74" s="467"/>
      <c r="C74" s="497"/>
      <c r="D74" s="691"/>
      <c r="E74" s="675"/>
      <c r="F74" s="675"/>
      <c r="G74" s="654"/>
      <c r="H74" s="502"/>
      <c r="I74" s="652"/>
      <c r="J74" s="497"/>
      <c r="K74" s="653"/>
      <c r="L74" s="502"/>
      <c r="M74" s="538"/>
      <c r="N74" s="392"/>
      <c r="O74" s="502"/>
    </row>
    <row r="75" spans="1:15" s="455" customFormat="1" ht="13.5">
      <c r="A75" s="566"/>
      <c r="B75" s="467"/>
      <c r="C75" s="497"/>
      <c r="D75" s="691"/>
      <c r="E75" s="675"/>
      <c r="F75" s="675"/>
      <c r="G75" s="654"/>
      <c r="H75" s="502"/>
      <c r="I75" s="652"/>
      <c r="J75" s="497"/>
      <c r="K75" s="653"/>
      <c r="L75" s="502"/>
      <c r="M75" s="538"/>
      <c r="N75" s="392"/>
      <c r="O75" s="502"/>
    </row>
    <row r="76" spans="1:15" s="455" customFormat="1" ht="13.5">
      <c r="A76" s="566"/>
      <c r="B76" s="467"/>
      <c r="C76" s="497"/>
      <c r="D76" s="691"/>
      <c r="E76" s="675"/>
      <c r="F76" s="675"/>
      <c r="G76" s="654"/>
      <c r="H76" s="502"/>
      <c r="I76" s="652"/>
      <c r="J76" s="497"/>
      <c r="K76" s="653"/>
      <c r="L76" s="502"/>
      <c r="M76" s="538"/>
      <c r="N76" s="392"/>
      <c r="O76" s="502"/>
    </row>
    <row r="77" spans="1:15" s="455" customFormat="1" ht="13.5">
      <c r="C77" s="1385"/>
      <c r="D77" s="314"/>
      <c r="E77" s="991"/>
      <c r="F77" s="662"/>
      <c r="G77" s="309"/>
      <c r="H77" s="497"/>
      <c r="I77" s="774"/>
      <c r="J77" s="774"/>
      <c r="K77" s="774"/>
      <c r="L77" s="499"/>
      <c r="M77" s="1028"/>
      <c r="N77" s="499"/>
    </row>
    <row r="78" spans="1:15" s="455" customFormat="1" ht="13.5">
      <c r="C78" s="314"/>
      <c r="D78" s="314"/>
      <c r="E78" s="991"/>
      <c r="F78" s="662"/>
      <c r="G78" s="309"/>
      <c r="H78" s="497"/>
      <c r="I78" s="774"/>
      <c r="J78" s="774"/>
      <c r="K78" s="1471"/>
      <c r="L78" s="499"/>
      <c r="M78" s="1028"/>
      <c r="N78" s="499"/>
    </row>
    <row r="79" spans="1:15" s="455" customFormat="1" ht="13.5">
      <c r="C79" s="1027"/>
      <c r="D79" s="314"/>
      <c r="E79" s="991"/>
      <c r="F79" s="662"/>
      <c r="G79" s="309"/>
      <c r="H79" s="497"/>
      <c r="I79" s="1056"/>
      <c r="J79" s="985"/>
      <c r="K79" s="985"/>
      <c r="L79" s="499"/>
      <c r="M79" s="1028"/>
      <c r="N79" s="499"/>
    </row>
    <row r="80" spans="1:15" s="455" customFormat="1" ht="13.5">
      <c r="C80" s="499"/>
      <c r="D80" s="309"/>
      <c r="E80" s="391"/>
      <c r="F80" s="499"/>
      <c r="G80" s="497"/>
      <c r="H80" s="498"/>
      <c r="I80" s="498"/>
      <c r="J80" s="498"/>
      <c r="K80" s="499"/>
      <c r="L80" s="1472"/>
      <c r="M80" s="309"/>
      <c r="N80" s="499"/>
    </row>
    <row r="81" spans="3:15" s="455" customFormat="1" ht="13.5">
      <c r="C81" s="497"/>
      <c r="D81" s="691"/>
      <c r="E81" s="675"/>
      <c r="F81" s="675"/>
      <c r="G81" s="654"/>
      <c r="H81" s="502"/>
      <c r="I81" s="652"/>
      <c r="J81" s="497"/>
      <c r="K81" s="653"/>
      <c r="L81" s="502"/>
      <c r="M81" s="538"/>
      <c r="N81" s="392"/>
      <c r="O81" s="502"/>
    </row>
    <row r="82" spans="3:15" s="455" customFormat="1" ht="13.5">
      <c r="C82" s="497"/>
      <c r="D82" s="691"/>
      <c r="E82" s="675"/>
      <c r="F82" s="675"/>
      <c r="G82" s="654"/>
      <c r="H82" s="502"/>
      <c r="I82" s="652"/>
      <c r="J82" s="497"/>
      <c r="K82" s="653"/>
      <c r="L82" s="502"/>
      <c r="M82" s="538"/>
      <c r="N82" s="392"/>
      <c r="O82" s="502"/>
    </row>
    <row r="83" spans="3:15" s="455" customFormat="1" ht="13.5">
      <c r="C83" s="497"/>
      <c r="D83" s="691"/>
      <c r="E83" s="675"/>
      <c r="F83" s="675"/>
      <c r="G83" s="654"/>
      <c r="H83" s="502"/>
      <c r="I83" s="652"/>
      <c r="J83" s="497"/>
      <c r="K83" s="653"/>
      <c r="L83" s="502"/>
      <c r="M83" s="538"/>
      <c r="N83" s="392"/>
      <c r="O83" s="502"/>
    </row>
    <row r="84" spans="3:15" s="455" customFormat="1" ht="13.5">
      <c r="C84" s="497"/>
      <c r="D84" s="691"/>
      <c r="E84" s="675"/>
      <c r="F84" s="675"/>
      <c r="G84" s="654"/>
      <c r="H84" s="502"/>
      <c r="I84" s="652"/>
      <c r="J84" s="497"/>
      <c r="K84" s="653"/>
      <c r="L84" s="502"/>
      <c r="M84" s="538"/>
      <c r="N84" s="392"/>
      <c r="O84" s="502"/>
    </row>
    <row r="85" spans="3:15" s="455" customFormat="1" ht="13.5">
      <c r="C85" s="497"/>
      <c r="D85" s="691"/>
      <c r="E85" s="675"/>
      <c r="F85" s="675"/>
      <c r="G85" s="654"/>
      <c r="H85" s="502"/>
      <c r="I85" s="652"/>
      <c r="J85" s="497"/>
      <c r="K85" s="653"/>
      <c r="L85" s="502"/>
      <c r="M85" s="538"/>
      <c r="N85" s="392"/>
      <c r="O85" s="502"/>
    </row>
    <row r="86" spans="3:15" s="455" customFormat="1" ht="13.5">
      <c r="C86" s="497"/>
      <c r="D86" s="691"/>
      <c r="E86" s="675"/>
      <c r="F86" s="675"/>
      <c r="G86" s="654"/>
      <c r="H86" s="502"/>
      <c r="I86" s="652"/>
      <c r="J86" s="497"/>
      <c r="K86" s="653"/>
      <c r="L86" s="502"/>
      <c r="M86" s="538"/>
      <c r="N86" s="392"/>
      <c r="O86" s="502"/>
    </row>
    <row r="87" spans="3:15" s="455" customFormat="1" ht="13.5">
      <c r="C87" s="497"/>
      <c r="D87" s="691"/>
      <c r="E87" s="675"/>
      <c r="F87" s="1473"/>
      <c r="G87" s="654"/>
      <c r="H87" s="502"/>
      <c r="I87" s="652"/>
      <c r="J87" s="497"/>
      <c r="K87" s="653"/>
      <c r="L87" s="502"/>
      <c r="M87" s="538"/>
      <c r="N87" s="392"/>
      <c r="O87" s="502"/>
    </row>
    <row r="88" spans="3:15" s="355" customFormat="1" ht="13.5">
      <c r="C88" s="400"/>
      <c r="D88" s="400"/>
      <c r="E88" s="401"/>
      <c r="F88" s="402"/>
      <c r="G88" s="402"/>
      <c r="H88" s="403"/>
      <c r="I88" s="403"/>
      <c r="J88" s="403"/>
      <c r="K88" s="402"/>
      <c r="L88" s="404"/>
      <c r="M88" s="402"/>
      <c r="N88" s="405"/>
    </row>
    <row r="89" spans="3:15" s="355" customFormat="1" ht="13.5">
      <c r="C89" s="400"/>
      <c r="D89" s="400"/>
      <c r="E89" s="401"/>
      <c r="F89" s="402"/>
      <c r="G89" s="402"/>
      <c r="H89" s="403"/>
      <c r="I89" s="403"/>
      <c r="J89" s="403"/>
      <c r="K89" s="402"/>
      <c r="L89" s="404"/>
      <c r="M89" s="402"/>
      <c r="N89" s="405"/>
    </row>
    <row r="90" spans="3:15" s="355" customFormat="1" ht="13.5">
      <c r="C90" s="400"/>
      <c r="D90" s="400"/>
      <c r="E90" s="401"/>
      <c r="F90" s="402"/>
      <c r="G90" s="402"/>
      <c r="H90" s="403"/>
      <c r="I90" s="403"/>
      <c r="J90" s="403"/>
      <c r="K90" s="402"/>
      <c r="L90" s="404"/>
      <c r="M90" s="402"/>
      <c r="N90" s="405"/>
    </row>
    <row r="91" spans="3:15" s="355" customFormat="1" ht="13.5">
      <c r="C91" s="400"/>
      <c r="D91" s="400"/>
      <c r="E91" s="401"/>
      <c r="F91" s="402"/>
      <c r="G91" s="402"/>
      <c r="H91" s="403"/>
      <c r="I91" s="403"/>
      <c r="J91" s="403"/>
      <c r="K91" s="402"/>
      <c r="L91" s="404"/>
      <c r="M91" s="402"/>
      <c r="N91" s="405"/>
    </row>
    <row r="92" spans="3:15" s="355" customFormat="1" ht="13.5">
      <c r="C92" s="400"/>
      <c r="D92" s="400"/>
      <c r="E92" s="401"/>
      <c r="F92" s="402"/>
      <c r="G92" s="402"/>
      <c r="H92" s="403"/>
      <c r="I92" s="403"/>
      <c r="J92" s="403"/>
      <c r="K92" s="402"/>
      <c r="L92" s="404"/>
      <c r="M92" s="402"/>
      <c r="N92" s="405"/>
    </row>
    <row r="93" spans="3:15" s="355" customFormat="1" ht="13.5">
      <c r="C93" s="400"/>
      <c r="D93" s="400"/>
      <c r="E93" s="401"/>
      <c r="F93" s="402"/>
      <c r="G93" s="402"/>
      <c r="H93" s="403"/>
      <c r="I93" s="403"/>
      <c r="J93" s="403"/>
      <c r="K93" s="402"/>
      <c r="L93" s="404"/>
      <c r="M93" s="402"/>
      <c r="N93" s="405"/>
    </row>
    <row r="94" spans="3:15" s="355" customFormat="1" ht="13.5">
      <c r="C94" s="400"/>
      <c r="D94" s="400"/>
      <c r="E94" s="401"/>
      <c r="F94" s="402"/>
      <c r="G94" s="402"/>
      <c r="H94" s="403"/>
      <c r="I94" s="403"/>
      <c r="J94" s="403"/>
      <c r="K94" s="402"/>
      <c r="L94" s="404"/>
      <c r="M94" s="402"/>
      <c r="N94" s="405"/>
    </row>
    <row r="95" spans="3:15" s="355" customFormat="1" ht="13.5">
      <c r="C95" s="400"/>
      <c r="D95" s="400"/>
      <c r="E95" s="401"/>
      <c r="F95" s="402"/>
      <c r="G95" s="402"/>
      <c r="H95" s="403"/>
      <c r="I95" s="403"/>
      <c r="J95" s="403"/>
      <c r="K95" s="402"/>
      <c r="L95" s="404"/>
      <c r="M95" s="402"/>
      <c r="N95" s="405"/>
    </row>
    <row r="96" spans="3:15" s="355" customFormat="1" ht="13.5">
      <c r="C96" s="400"/>
      <c r="D96" s="400"/>
      <c r="E96" s="401"/>
      <c r="F96" s="402"/>
      <c r="G96" s="402"/>
      <c r="H96" s="403"/>
      <c r="I96" s="403"/>
      <c r="J96" s="403"/>
      <c r="K96" s="402"/>
      <c r="L96" s="404"/>
      <c r="M96" s="402"/>
      <c r="N96" s="405"/>
    </row>
    <row r="97" spans="3:14" s="355" customFormat="1" ht="13.5">
      <c r="C97" s="400"/>
      <c r="D97" s="400"/>
      <c r="E97" s="401"/>
      <c r="F97" s="402"/>
      <c r="G97" s="402"/>
      <c r="H97" s="403"/>
      <c r="I97" s="403"/>
      <c r="J97" s="403"/>
      <c r="K97" s="402"/>
      <c r="L97" s="404"/>
      <c r="M97" s="402"/>
      <c r="N97" s="405"/>
    </row>
    <row r="98" spans="3:14" s="355" customFormat="1" ht="13.5">
      <c r="C98" s="400"/>
      <c r="D98" s="400"/>
      <c r="E98" s="401"/>
      <c r="F98" s="402"/>
      <c r="G98" s="402"/>
      <c r="H98" s="403"/>
      <c r="I98" s="403"/>
      <c r="J98" s="403"/>
      <c r="K98" s="402"/>
      <c r="L98" s="404"/>
      <c r="M98" s="402"/>
      <c r="N98" s="405"/>
    </row>
    <row r="99" spans="3:14" s="355" customFormat="1" ht="13.5">
      <c r="C99" s="400"/>
      <c r="D99" s="400"/>
      <c r="E99" s="401"/>
      <c r="F99" s="402"/>
      <c r="G99" s="402"/>
      <c r="H99" s="403"/>
      <c r="I99" s="403"/>
      <c r="J99" s="403"/>
      <c r="K99" s="402"/>
      <c r="L99" s="404"/>
      <c r="M99" s="402"/>
      <c r="N99" s="405"/>
    </row>
    <row r="100" spans="3:14" s="355" customFormat="1" ht="13.5">
      <c r="C100" s="400"/>
      <c r="D100" s="400"/>
      <c r="E100" s="401"/>
      <c r="F100" s="402"/>
      <c r="G100" s="402"/>
      <c r="H100" s="403"/>
      <c r="I100" s="403"/>
      <c r="J100" s="403"/>
      <c r="K100" s="402"/>
      <c r="L100" s="404"/>
      <c r="M100" s="407"/>
      <c r="N100" s="405"/>
    </row>
    <row r="101" spans="3:14" s="355" customFormat="1" ht="13.5">
      <c r="C101" s="400"/>
      <c r="D101" s="400"/>
      <c r="E101" s="401"/>
      <c r="F101" s="402"/>
      <c r="G101" s="403"/>
      <c r="H101" s="403"/>
      <c r="I101" s="403"/>
      <c r="J101" s="403"/>
      <c r="K101" s="408"/>
      <c r="L101" s="404"/>
      <c r="M101" s="407"/>
      <c r="N101" s="405"/>
    </row>
    <row r="102" spans="3:14" s="355" customFormat="1" ht="13.5">
      <c r="C102" s="352"/>
      <c r="D102" s="352"/>
      <c r="E102" s="352"/>
      <c r="F102" s="352"/>
      <c r="G102" s="352"/>
      <c r="H102" s="352"/>
      <c r="I102" s="352"/>
      <c r="J102" s="352"/>
      <c r="K102" s="352"/>
      <c r="L102" s="1403">
        <f>SUM(L5:L100)</f>
        <v>5000000</v>
      </c>
      <c r="M102" s="352"/>
      <c r="N102" s="352"/>
    </row>
    <row r="103" spans="3:14" ht="14.25" customHeight="1">
      <c r="C103" s="31"/>
      <c r="D103" s="27"/>
      <c r="E103" s="20"/>
      <c r="F103" s="28"/>
      <c r="G103" s="28"/>
      <c r="H103" s="26"/>
      <c r="I103" s="26"/>
      <c r="J103" s="26"/>
      <c r="K103" s="28"/>
      <c r="L103" s="179"/>
      <c r="M103" s="28"/>
      <c r="N103" s="27"/>
    </row>
    <row r="104" spans="3:14" s="1" customFormat="1" ht="14.25" customHeight="1">
      <c r="C104" s="31"/>
      <c r="D104" s="27"/>
      <c r="E104" s="21"/>
      <c r="F104" s="28"/>
      <c r="G104" s="28"/>
      <c r="H104" s="26"/>
      <c r="I104" s="26"/>
      <c r="J104" s="26"/>
      <c r="K104" s="28"/>
      <c r="L104" s="179"/>
      <c r="M104" s="28"/>
      <c r="N104" s="27"/>
    </row>
    <row r="105" spans="3:14" s="1" customFormat="1" ht="14.25" customHeight="1">
      <c r="C105" s="30"/>
      <c r="D105" s="25"/>
      <c r="E105" s="21"/>
      <c r="F105" s="22"/>
      <c r="G105" s="22"/>
      <c r="H105" s="23"/>
      <c r="I105" s="23"/>
      <c r="J105" s="23"/>
      <c r="K105" s="22"/>
      <c r="L105" s="180"/>
      <c r="M105" s="22"/>
      <c r="N105" s="25"/>
    </row>
  </sheetData>
  <mergeCells count="7">
    <mergeCell ref="M2:M3"/>
    <mergeCell ref="N2:N3"/>
    <mergeCell ref="C56:C57"/>
    <mergeCell ref="C58:C60"/>
    <mergeCell ref="C2:G2"/>
    <mergeCell ref="H2:J2"/>
    <mergeCell ref="K2:L2"/>
  </mergeCell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8DFC6-B5D3-467C-A487-3566DEDDD587}">
  <sheetPr>
    <tabColor rgb="FF00B0F0"/>
  </sheetPr>
  <dimension ref="A2:Q105"/>
  <sheetViews>
    <sheetView zoomScale="70" zoomScaleNormal="70" workbookViewId="0">
      <pane ySplit="4" topLeftCell="A8" activePane="bottomLeft" state="frozen"/>
      <selection pane="bottomLeft" activeCell="F21" sqref="F21"/>
    </sheetView>
  </sheetViews>
  <sheetFormatPr defaultRowHeight="13.5"/>
  <cols>
    <col min="1" max="1" width="9.140625" style="355"/>
    <col min="2" max="2" width="13.7109375" style="355" customWidth="1"/>
    <col min="3" max="3" width="31" style="355" customWidth="1"/>
    <col min="4" max="4" width="49.7109375" style="355" bestFit="1" customWidth="1"/>
    <col min="5" max="5" width="26" style="355" customWidth="1"/>
    <col min="6" max="6" width="16.7109375" style="355" customWidth="1"/>
    <col min="7" max="7" width="11.7109375" style="355" customWidth="1"/>
    <col min="8" max="8" width="13.7109375" style="355" customWidth="1"/>
    <col min="9" max="9" width="9.140625" style="355"/>
    <col min="10" max="10" width="12.5703125" style="355" customWidth="1"/>
    <col min="11" max="11" width="18.5703125" style="355" customWidth="1"/>
    <col min="12" max="12" width="15.5703125" style="32" customWidth="1"/>
    <col min="13" max="13" width="16.28515625" style="355" customWidth="1"/>
    <col min="14" max="14" width="12.85546875" style="355" customWidth="1"/>
    <col min="15" max="16" width="9.140625" style="355"/>
    <col min="17" max="17" width="73.7109375" style="355" bestFit="1" customWidth="1"/>
    <col min="18" max="16384" width="9.140625" style="355"/>
  </cols>
  <sheetData>
    <row r="2" spans="1:15">
      <c r="C2" s="2601" t="s">
        <v>30</v>
      </c>
      <c r="D2" s="2602"/>
      <c r="E2" s="2602"/>
      <c r="F2" s="2602"/>
      <c r="G2" s="2603"/>
      <c r="H2" s="2604" t="s">
        <v>29</v>
      </c>
      <c r="I2" s="2605"/>
      <c r="J2" s="2606"/>
      <c r="K2" s="2601" t="s">
        <v>28</v>
      </c>
      <c r="L2" s="2603"/>
      <c r="M2" s="2594" t="s">
        <v>27</v>
      </c>
      <c r="N2" s="2594" t="s">
        <v>26</v>
      </c>
    </row>
    <row r="3" spans="1:15" ht="94.5">
      <c r="C3" s="618" t="s">
        <v>25</v>
      </c>
      <c r="D3" s="852" t="s">
        <v>24</v>
      </c>
      <c r="E3" s="991" t="s">
        <v>23</v>
      </c>
      <c r="F3" s="618" t="s">
        <v>22</v>
      </c>
      <c r="G3" s="532" t="s">
        <v>1303</v>
      </c>
      <c r="H3" s="532" t="s">
        <v>20</v>
      </c>
      <c r="I3" s="532" t="s">
        <v>19</v>
      </c>
      <c r="J3" s="532" t="s">
        <v>18</v>
      </c>
      <c r="K3" s="618" t="s">
        <v>17</v>
      </c>
      <c r="L3" s="605" t="s">
        <v>16</v>
      </c>
      <c r="M3" s="2594"/>
      <c r="N3" s="2594"/>
    </row>
    <row r="4" spans="1:15" ht="27">
      <c r="C4" s="1076" t="s">
        <v>15</v>
      </c>
      <c r="D4" s="1076" t="s">
        <v>14</v>
      </c>
      <c r="E4" s="1076" t="s">
        <v>13</v>
      </c>
      <c r="F4" s="1076" t="s">
        <v>12</v>
      </c>
      <c r="G4" s="1076" t="s">
        <v>11</v>
      </c>
      <c r="H4" s="1076" t="s">
        <v>10</v>
      </c>
      <c r="I4" s="1076" t="s">
        <v>9</v>
      </c>
      <c r="J4" s="1076" t="s">
        <v>8</v>
      </c>
      <c r="K4" s="1076" t="s">
        <v>7</v>
      </c>
      <c r="L4" s="1077" t="s">
        <v>6</v>
      </c>
      <c r="M4" s="1076" t="s">
        <v>5</v>
      </c>
      <c r="N4" s="1076" t="s">
        <v>4</v>
      </c>
    </row>
    <row r="5" spans="1:15" s="455" customFormat="1" ht="25.5" customHeight="1">
      <c r="A5" s="471"/>
      <c r="B5" s="483" t="s">
        <v>589</v>
      </c>
      <c r="C5" s="393" t="s">
        <v>1589</v>
      </c>
      <c r="D5" s="395" t="s">
        <v>2</v>
      </c>
      <c r="E5" s="394" t="s">
        <v>1590</v>
      </c>
      <c r="F5" s="393" t="s">
        <v>593</v>
      </c>
      <c r="G5" s="396" t="s">
        <v>1</v>
      </c>
      <c r="H5" s="397" t="s">
        <v>599</v>
      </c>
      <c r="I5" s="397" t="s">
        <v>599</v>
      </c>
      <c r="J5" s="487" t="s">
        <v>594</v>
      </c>
      <c r="K5" s="395" t="s">
        <v>1591</v>
      </c>
      <c r="L5" s="606">
        <v>15000</v>
      </c>
      <c r="M5" s="393" t="s">
        <v>1592</v>
      </c>
      <c r="N5" s="393"/>
      <c r="O5" s="741"/>
    </row>
    <row r="6" spans="1:15" s="455" customFormat="1">
      <c r="A6" s="471"/>
      <c r="B6" s="483" t="s">
        <v>589</v>
      </c>
      <c r="C6" s="393" t="s">
        <v>1593</v>
      </c>
      <c r="D6" s="395"/>
      <c r="E6" s="394" t="s">
        <v>1594</v>
      </c>
      <c r="F6" s="393"/>
      <c r="G6" s="883"/>
      <c r="H6" s="393"/>
      <c r="I6" s="393"/>
      <c r="J6" s="393"/>
      <c r="K6" s="393"/>
      <c r="L6" s="399"/>
      <c r="M6" s="395"/>
      <c r="N6" s="393"/>
      <c r="O6" s="741"/>
    </row>
    <row r="7" spans="1:15" s="455" customFormat="1">
      <c r="A7" s="471"/>
      <c r="B7" s="454"/>
      <c r="C7" s="902"/>
      <c r="D7" s="902"/>
      <c r="E7" s="902"/>
      <c r="F7" s="1380"/>
      <c r="G7" s="636"/>
      <c r="H7" s="1462"/>
      <c r="I7" s="1462"/>
      <c r="J7" s="1462"/>
      <c r="K7" s="1380"/>
      <c r="L7" s="1463"/>
      <c r="M7" s="1172"/>
      <c r="N7" s="460"/>
      <c r="O7" s="1526"/>
    </row>
    <row r="8" spans="1:15" s="455" customFormat="1" ht="27">
      <c r="A8" s="471"/>
      <c r="B8" s="454" t="s">
        <v>2574</v>
      </c>
      <c r="C8" s="2598" t="s">
        <v>4002</v>
      </c>
      <c r="D8" s="991" t="s">
        <v>2</v>
      </c>
      <c r="E8" s="2168"/>
      <c r="F8" s="2169" t="s">
        <v>422</v>
      </c>
      <c r="G8" s="2170" t="s">
        <v>1</v>
      </c>
      <c r="H8" s="2170">
        <v>46054</v>
      </c>
      <c r="I8" s="2171">
        <v>46082</v>
      </c>
      <c r="J8" s="2171">
        <v>46082</v>
      </c>
      <c r="K8" s="2172" t="s">
        <v>2216</v>
      </c>
      <c r="L8" s="2822"/>
      <c r="M8" s="2174" t="s">
        <v>2446</v>
      </c>
      <c r="O8" s="2234"/>
    </row>
    <row r="9" spans="1:15" s="455" customFormat="1" ht="16.5">
      <c r="A9" s="471"/>
      <c r="B9" s="454" t="s">
        <v>2574</v>
      </c>
      <c r="C9" s="2599"/>
      <c r="D9" s="2595" t="s">
        <v>2906</v>
      </c>
      <c r="E9" s="2191">
        <v>400</v>
      </c>
      <c r="F9" s="2187" t="s">
        <v>2907</v>
      </c>
      <c r="G9" s="2177"/>
      <c r="H9" s="2178"/>
      <c r="I9" s="2178"/>
      <c r="J9" s="2178"/>
      <c r="K9" s="2596" t="s">
        <v>2216</v>
      </c>
      <c r="L9" s="2823">
        <v>100000</v>
      </c>
      <c r="M9" s="2181"/>
      <c r="O9" s="405"/>
    </row>
    <row r="10" spans="1:15" s="455" customFormat="1" ht="16.5">
      <c r="A10" s="471"/>
      <c r="B10" s="454" t="s">
        <v>2574</v>
      </c>
      <c r="C10" s="2599"/>
      <c r="D10" s="2595"/>
      <c r="E10" s="2176"/>
      <c r="F10" s="2187"/>
      <c r="G10" s="2177"/>
      <c r="H10" s="2178"/>
      <c r="I10" s="2178"/>
      <c r="J10" s="2178"/>
      <c r="K10" s="2597"/>
      <c r="L10" s="1313"/>
      <c r="M10" s="2332"/>
      <c r="N10" s="2181"/>
      <c r="O10" s="405"/>
    </row>
    <row r="11" spans="1:15" s="455" customFormat="1" ht="16.5">
      <c r="A11" s="471"/>
      <c r="B11" s="454" t="s">
        <v>2574</v>
      </c>
      <c r="C11" s="2599"/>
      <c r="D11" s="2267"/>
      <c r="E11" s="2176"/>
      <c r="F11" s="2187"/>
      <c r="G11" s="2177"/>
      <c r="H11" s="2178"/>
      <c r="I11" s="2178"/>
      <c r="J11" s="2178"/>
      <c r="K11" s="2179"/>
      <c r="L11" s="2520"/>
      <c r="M11" s="2332"/>
      <c r="N11" s="2181"/>
      <c r="O11" s="405"/>
    </row>
    <row r="12" spans="1:15" s="455" customFormat="1" ht="16.5">
      <c r="A12" s="471"/>
      <c r="B12" s="454" t="s">
        <v>2574</v>
      </c>
      <c r="C12" s="2599"/>
      <c r="D12" s="2267"/>
      <c r="E12" s="2176"/>
      <c r="F12" s="2187"/>
      <c r="G12" s="2177"/>
      <c r="H12" s="2178"/>
      <c r="I12" s="2178"/>
      <c r="J12" s="2178"/>
      <c r="K12" s="2179"/>
      <c r="L12" s="2520"/>
      <c r="M12" s="2332"/>
      <c r="N12" s="2181"/>
      <c r="O12" s="405"/>
    </row>
    <row r="13" spans="1:15" s="455" customFormat="1" ht="16.5">
      <c r="A13" s="471"/>
      <c r="B13" s="454" t="s">
        <v>2574</v>
      </c>
      <c r="C13" s="2599"/>
      <c r="D13" s="2267"/>
      <c r="E13" s="2279"/>
      <c r="F13" s="2187"/>
      <c r="G13" s="2177"/>
      <c r="H13" s="2178"/>
      <c r="I13" s="2178"/>
      <c r="J13" s="2178"/>
      <c r="K13" s="2179"/>
      <c r="L13" s="2520"/>
      <c r="M13" s="2332"/>
      <c r="N13" s="2181"/>
      <c r="O13" s="405"/>
    </row>
    <row r="14" spans="1:15" s="455" customFormat="1" ht="16.5">
      <c r="A14" s="471"/>
      <c r="B14" s="454"/>
      <c r="C14" s="2600"/>
      <c r="D14" s="2267"/>
      <c r="E14" s="2176"/>
      <c r="F14" s="2187"/>
      <c r="G14" s="2177"/>
      <c r="H14" s="2178"/>
      <c r="I14" s="2178"/>
      <c r="J14" s="2178"/>
      <c r="K14" s="2179"/>
      <c r="L14" s="2520"/>
      <c r="M14" s="2332"/>
      <c r="N14" s="2181"/>
      <c r="O14" s="405"/>
    </row>
    <row r="15" spans="1:15" s="455" customFormat="1" ht="16.5">
      <c r="A15" s="471"/>
      <c r="B15" s="454"/>
      <c r="C15" s="1525"/>
      <c r="D15" s="309"/>
      <c r="E15" s="309"/>
      <c r="F15" s="309"/>
      <c r="G15" s="497"/>
      <c r="H15" s="1056"/>
      <c r="I15" s="985"/>
      <c r="J15" s="985"/>
      <c r="K15" s="499"/>
      <c r="L15" s="2505"/>
      <c r="M15" s="499"/>
    </row>
    <row r="16" spans="1:15" s="455" customFormat="1" ht="40.5">
      <c r="A16" s="471"/>
      <c r="B16" s="454" t="s">
        <v>2929</v>
      </c>
      <c r="C16" s="2196" t="s">
        <v>2906</v>
      </c>
      <c r="D16" s="2168" t="s">
        <v>637</v>
      </c>
      <c r="E16" s="2197"/>
      <c r="F16" s="532" t="s">
        <v>2970</v>
      </c>
      <c r="G16" s="533" t="s">
        <v>1</v>
      </c>
      <c r="H16" s="677"/>
      <c r="I16" s="677"/>
      <c r="J16" s="677"/>
      <c r="K16" s="532" t="s">
        <v>748</v>
      </c>
      <c r="L16" s="2824"/>
      <c r="M16" s="677" t="s">
        <v>2924</v>
      </c>
      <c r="N16" s="532" t="s">
        <v>703</v>
      </c>
    </row>
    <row r="17" spans="1:17" s="455" customFormat="1" ht="16.5">
      <c r="A17" s="471"/>
      <c r="B17" s="454" t="s">
        <v>2929</v>
      </c>
      <c r="C17" s="2196" t="s">
        <v>2967</v>
      </c>
      <c r="D17" s="342" t="s">
        <v>2968</v>
      </c>
      <c r="E17" s="2268" t="s">
        <v>2969</v>
      </c>
      <c r="F17" s="533"/>
      <c r="G17" s="533"/>
      <c r="H17" s="2177" t="s">
        <v>2213</v>
      </c>
      <c r="I17" s="2201">
        <v>46174</v>
      </c>
      <c r="J17" s="2202" t="s">
        <v>2215</v>
      </c>
      <c r="K17" s="532"/>
      <c r="L17" s="2269">
        <v>57640</v>
      </c>
      <c r="M17" s="677"/>
      <c r="N17" s="532"/>
    </row>
    <row r="18" spans="1:17" s="455" customFormat="1" ht="14.25">
      <c r="A18" s="471"/>
      <c r="B18" s="454"/>
      <c r="C18" s="2196"/>
      <c r="D18" s="342"/>
      <c r="E18" s="2268"/>
      <c r="F18" s="533"/>
      <c r="G18" s="533"/>
      <c r="H18" s="2177"/>
      <c r="I18" s="2177"/>
      <c r="J18" s="852" t="s">
        <v>2927</v>
      </c>
      <c r="K18" s="532"/>
      <c r="L18" s="2824"/>
      <c r="M18" s="677"/>
      <c r="N18" s="532"/>
    </row>
    <row r="19" spans="1:17" s="455" customFormat="1" ht="14.25">
      <c r="A19" s="471"/>
      <c r="B19" s="2814"/>
      <c r="C19" s="2584"/>
      <c r="D19" s="2815"/>
      <c r="E19" s="2816"/>
      <c r="F19" s="2583"/>
      <c r="G19" s="2583"/>
      <c r="H19" s="2588"/>
      <c r="I19" s="2588"/>
      <c r="J19" s="2172"/>
      <c r="K19" s="2817"/>
      <c r="L19" s="2825"/>
      <c r="M19" s="685"/>
      <c r="N19" s="2585"/>
    </row>
    <row r="20" spans="1:17" s="483" customFormat="1" ht="82.5" customHeight="1">
      <c r="A20" s="522"/>
      <c r="B20" s="2818" t="s">
        <v>4006</v>
      </c>
      <c r="C20" s="509" t="s">
        <v>4004</v>
      </c>
      <c r="D20" s="852" t="s">
        <v>2</v>
      </c>
      <c r="E20" s="2819">
        <v>400</v>
      </c>
      <c r="F20" s="2820" t="s">
        <v>4005</v>
      </c>
      <c r="G20" s="2177" t="s">
        <v>2567</v>
      </c>
      <c r="H20" s="2177" t="s">
        <v>2213</v>
      </c>
      <c r="I20" s="2177" t="s">
        <v>2214</v>
      </c>
      <c r="J20" s="2177" t="s">
        <v>4007</v>
      </c>
      <c r="K20" s="410" t="s">
        <v>2216</v>
      </c>
      <c r="L20" s="2821">
        <v>100000</v>
      </c>
      <c r="M20" s="454"/>
      <c r="N20" s="454"/>
      <c r="O20" s="2588"/>
      <c r="P20" s="2589"/>
      <c r="Q20" s="2589"/>
    </row>
    <row r="21" spans="1:17" s="455" customFormat="1">
      <c r="A21" s="471"/>
      <c r="B21" s="454"/>
      <c r="C21" s="1524"/>
      <c r="D21" s="309"/>
      <c r="E21" s="309"/>
      <c r="F21" s="309"/>
      <c r="G21" s="497"/>
      <c r="H21" s="1056"/>
      <c r="I21" s="985"/>
      <c r="J21" s="985"/>
      <c r="K21" s="499"/>
      <c r="L21" s="1025"/>
      <c r="M21" s="499"/>
    </row>
    <row r="22" spans="1:17" s="455" customFormat="1">
      <c r="A22" s="471"/>
      <c r="B22" s="454"/>
      <c r="C22" s="1525"/>
      <c r="D22" s="309"/>
      <c r="E22" s="309"/>
      <c r="F22" s="309"/>
      <c r="G22" s="497"/>
      <c r="H22" s="1056"/>
      <c r="I22" s="985"/>
      <c r="J22" s="985"/>
      <c r="K22" s="499"/>
      <c r="L22" s="1025"/>
      <c r="M22" s="499"/>
    </row>
    <row r="23" spans="1:17" s="455" customFormat="1">
      <c r="A23" s="471"/>
      <c r="B23" s="454"/>
      <c r="C23" s="314"/>
      <c r="D23" s="309"/>
      <c r="E23" s="309"/>
      <c r="F23" s="309"/>
      <c r="G23" s="497"/>
      <c r="H23" s="1056"/>
      <c r="I23" s="985"/>
      <c r="J23" s="985"/>
      <c r="K23" s="499"/>
      <c r="L23" s="1025"/>
      <c r="M23" s="499"/>
      <c r="N23" s="1466"/>
    </row>
    <row r="24" spans="1:17" s="455" customFormat="1">
      <c r="A24" s="471"/>
      <c r="B24" s="454"/>
      <c r="C24" s="392"/>
      <c r="D24" s="309"/>
      <c r="E24" s="309"/>
      <c r="F24" s="309"/>
      <c r="G24" s="497"/>
      <c r="H24" s="985"/>
      <c r="I24" s="985"/>
      <c r="J24" s="985"/>
      <c r="K24" s="499"/>
      <c r="L24" s="1025"/>
      <c r="M24" s="499"/>
      <c r="N24" s="1466"/>
    </row>
    <row r="25" spans="1:17" s="455" customFormat="1">
      <c r="A25" s="471"/>
      <c r="B25" s="454"/>
      <c r="C25" s="392"/>
      <c r="D25" s="309"/>
      <c r="E25" s="309"/>
      <c r="F25" s="309"/>
      <c r="G25" s="497"/>
      <c r="H25" s="985"/>
      <c r="I25" s="985"/>
      <c r="J25" s="985"/>
      <c r="K25" s="499"/>
      <c r="L25" s="1025"/>
      <c r="M25" s="499"/>
      <c r="N25" s="1467"/>
    </row>
    <row r="26" spans="1:17" s="455" customFormat="1">
      <c r="A26" s="471"/>
      <c r="B26" s="454"/>
      <c r="C26" s="392"/>
      <c r="D26" s="309"/>
      <c r="E26" s="309"/>
      <c r="F26" s="309"/>
      <c r="G26" s="497"/>
      <c r="H26" s="985"/>
      <c r="I26" s="985"/>
      <c r="J26" s="985"/>
      <c r="K26" s="499"/>
      <c r="L26" s="1025"/>
      <c r="M26" s="499"/>
      <c r="N26" s="1468"/>
    </row>
    <row r="27" spans="1:17" s="455" customFormat="1">
      <c r="A27" s="471"/>
      <c r="B27" s="454"/>
      <c r="C27" s="392"/>
      <c r="D27" s="309"/>
      <c r="E27" s="309"/>
      <c r="F27" s="309"/>
      <c r="G27" s="497"/>
      <c r="H27" s="985"/>
      <c r="I27" s="985"/>
      <c r="J27" s="985"/>
      <c r="K27" s="499"/>
      <c r="L27" s="1025"/>
      <c r="M27" s="499"/>
      <c r="N27" s="1468"/>
    </row>
    <row r="28" spans="1:17" s="455" customFormat="1">
      <c r="A28" s="471"/>
      <c r="B28" s="454"/>
      <c r="C28" s="1524"/>
      <c r="D28" s="309"/>
      <c r="E28" s="309"/>
      <c r="F28" s="309"/>
      <c r="G28" s="497"/>
      <c r="H28" s="985"/>
      <c r="I28" s="985"/>
      <c r="J28" s="985"/>
      <c r="K28" s="499"/>
      <c r="L28" s="1994">
        <f>SUM(L5:L26)</f>
        <v>272640</v>
      </c>
      <c r="M28" s="499"/>
      <c r="N28" s="1468"/>
    </row>
    <row r="29" spans="1:17" s="455" customFormat="1">
      <c r="A29" s="471"/>
      <c r="B29" s="454"/>
      <c r="C29" s="1525"/>
      <c r="D29" s="309"/>
      <c r="E29" s="309"/>
      <c r="F29" s="309"/>
      <c r="G29" s="497"/>
      <c r="H29" s="985"/>
      <c r="I29" s="985"/>
      <c r="J29" s="985"/>
      <c r="K29" s="499"/>
      <c r="L29" s="1025"/>
      <c r="M29" s="499"/>
      <c r="N29" s="1468"/>
    </row>
    <row r="30" spans="1:17" s="455" customFormat="1">
      <c r="A30" s="471"/>
      <c r="B30" s="454"/>
      <c r="C30" s="392"/>
      <c r="D30" s="309"/>
      <c r="E30" s="309"/>
      <c r="F30" s="309"/>
      <c r="G30" s="497"/>
      <c r="H30" s="1056"/>
      <c r="I30" s="985"/>
      <c r="J30" s="985"/>
      <c r="K30" s="499"/>
      <c r="L30" s="1025"/>
      <c r="M30" s="499"/>
      <c r="N30" s="1465"/>
    </row>
    <row r="31" spans="1:17" s="455" customFormat="1">
      <c r="A31" s="471"/>
      <c r="B31" s="454"/>
      <c r="C31" s="392"/>
      <c r="D31" s="309"/>
      <c r="E31" s="309"/>
      <c r="F31" s="309"/>
      <c r="G31" s="497"/>
      <c r="H31" s="985"/>
      <c r="I31" s="985"/>
      <c r="J31" s="985"/>
      <c r="K31" s="499"/>
      <c r="L31" s="1025"/>
      <c r="M31" s="499"/>
    </row>
    <row r="32" spans="1:17" s="455" customFormat="1">
      <c r="A32" s="471"/>
      <c r="B32" s="454"/>
      <c r="C32" s="987"/>
      <c r="D32" s="314"/>
      <c r="E32" s="662"/>
      <c r="F32" s="309"/>
      <c r="G32" s="497"/>
      <c r="H32" s="985"/>
      <c r="I32" s="985"/>
      <c r="J32" s="985"/>
      <c r="K32" s="499"/>
      <c r="L32" s="1025"/>
      <c r="M32" s="499"/>
      <c r="N32" s="454"/>
    </row>
    <row r="33" spans="1:15" s="455" customFormat="1">
      <c r="A33" s="471"/>
      <c r="B33" s="454"/>
      <c r="C33" s="987"/>
      <c r="D33" s="314"/>
      <c r="E33" s="662"/>
      <c r="F33" s="309"/>
      <c r="G33" s="497"/>
      <c r="H33" s="985"/>
      <c r="I33" s="985"/>
      <c r="J33" s="985"/>
      <c r="K33" s="499"/>
      <c r="L33" s="1025"/>
      <c r="M33" s="499"/>
      <c r="N33" s="458"/>
    </row>
    <row r="34" spans="1:15" s="455" customFormat="1">
      <c r="A34" s="471"/>
      <c r="B34" s="454"/>
      <c r="C34" s="987"/>
      <c r="D34" s="314"/>
      <c r="E34" s="662"/>
      <c r="F34" s="309"/>
      <c r="G34" s="497"/>
      <c r="H34" s="985"/>
      <c r="I34" s="985"/>
      <c r="J34" s="985"/>
      <c r="K34" s="499"/>
      <c r="L34" s="1065"/>
      <c r="M34" s="499"/>
      <c r="N34" s="458"/>
    </row>
    <row r="35" spans="1:15" s="455" customFormat="1">
      <c r="A35" s="471"/>
      <c r="B35" s="454"/>
      <c r="C35" s="987"/>
      <c r="D35" s="309"/>
      <c r="E35" s="662"/>
      <c r="F35" s="309"/>
      <c r="G35" s="497"/>
      <c r="H35" s="985"/>
      <c r="I35" s="985"/>
      <c r="J35" s="985"/>
      <c r="K35" s="499"/>
      <c r="L35" s="1065"/>
      <c r="M35" s="499"/>
      <c r="N35" s="458"/>
    </row>
    <row r="36" spans="1:15" s="455" customFormat="1">
      <c r="A36" s="471"/>
      <c r="B36" s="454"/>
      <c r="C36" s="314"/>
      <c r="D36" s="314"/>
      <c r="E36" s="309"/>
      <c r="F36" s="309"/>
      <c r="G36" s="497"/>
      <c r="H36" s="985"/>
      <c r="I36" s="985"/>
      <c r="J36" s="985"/>
      <c r="K36" s="309"/>
      <c r="L36" s="1015"/>
      <c r="M36" s="499"/>
      <c r="N36" s="458"/>
    </row>
    <row r="37" spans="1:15" s="455" customFormat="1">
      <c r="A37" s="471"/>
      <c r="B37" s="454"/>
      <c r="C37" s="314"/>
      <c r="D37" s="314"/>
      <c r="E37" s="309"/>
      <c r="F37" s="309"/>
      <c r="G37" s="497"/>
      <c r="H37" s="985"/>
      <c r="I37" s="985"/>
      <c r="J37" s="985"/>
      <c r="K37" s="309"/>
      <c r="L37" s="1015"/>
      <c r="M37" s="499"/>
      <c r="N37" s="460"/>
    </row>
    <row r="38" spans="1:15" s="455" customFormat="1">
      <c r="A38" s="471"/>
      <c r="B38" s="454"/>
      <c r="C38" s="314"/>
      <c r="D38" s="314"/>
      <c r="E38" s="560"/>
      <c r="F38" s="309"/>
      <c r="G38" s="497"/>
      <c r="H38" s="985"/>
      <c r="I38" s="985"/>
      <c r="J38" s="985"/>
      <c r="K38" s="309"/>
      <c r="L38" s="1015"/>
      <c r="M38" s="499"/>
      <c r="N38" s="454"/>
    </row>
    <row r="39" spans="1:15" s="455" customFormat="1">
      <c r="A39" s="471"/>
      <c r="B39" s="454"/>
      <c r="C39" s="987"/>
      <c r="D39" s="314"/>
      <c r="E39" s="662"/>
      <c r="F39" s="309"/>
      <c r="G39" s="497"/>
      <c r="H39" s="985"/>
      <c r="I39" s="985"/>
      <c r="J39" s="985"/>
      <c r="K39" s="499"/>
      <c r="L39" s="1065"/>
      <c r="M39" s="499"/>
      <c r="N39" s="458"/>
    </row>
    <row r="40" spans="1:15" s="455" customFormat="1">
      <c r="A40" s="471"/>
      <c r="B40" s="454"/>
      <c r="C40" s="392"/>
      <c r="D40" s="309"/>
      <c r="E40" s="309"/>
      <c r="F40" s="662"/>
      <c r="G40" s="309"/>
      <c r="H40" s="497"/>
      <c r="I40" s="985"/>
      <c r="J40" s="985"/>
      <c r="K40" s="1066"/>
      <c r="L40" s="1067"/>
      <c r="M40" s="1025"/>
      <c r="N40" s="1068"/>
      <c r="O40" s="458"/>
    </row>
    <row r="41" spans="1:15" s="455" customFormat="1">
      <c r="A41" s="471"/>
      <c r="B41" s="454"/>
      <c r="C41" s="471"/>
      <c r="D41" s="456"/>
      <c r="E41" s="459"/>
      <c r="F41" s="466"/>
      <c r="G41" s="471"/>
      <c r="H41" s="477"/>
      <c r="I41" s="526"/>
      <c r="J41" s="526"/>
      <c r="K41" s="526"/>
      <c r="L41" s="473"/>
      <c r="M41" s="529"/>
      <c r="N41" s="471"/>
      <c r="O41" s="458"/>
    </row>
    <row r="42" spans="1:15" s="455" customFormat="1">
      <c r="A42" s="471"/>
      <c r="B42" s="454"/>
      <c r="C42" s="471"/>
      <c r="D42" s="456"/>
      <c r="E42" s="459"/>
      <c r="F42" s="466"/>
      <c r="G42" s="471"/>
      <c r="H42" s="477"/>
      <c r="I42" s="526"/>
      <c r="J42" s="526"/>
      <c r="K42" s="526"/>
      <c r="L42" s="473"/>
      <c r="M42" s="529"/>
      <c r="N42" s="471"/>
      <c r="O42" s="458"/>
    </row>
    <row r="43" spans="1:15" s="455" customFormat="1">
      <c r="A43" s="471"/>
      <c r="B43" s="454"/>
      <c r="C43" s="314"/>
      <c r="D43" s="309"/>
      <c r="E43" s="309"/>
      <c r="F43" s="309"/>
      <c r="G43" s="309"/>
      <c r="H43" s="309"/>
      <c r="I43" s="309"/>
      <c r="J43" s="309"/>
      <c r="K43" s="309"/>
      <c r="L43" s="309"/>
      <c r="M43" s="309"/>
      <c r="N43" s="309"/>
    </row>
    <row r="44" spans="1:15" s="455" customFormat="1">
      <c r="A44" s="471"/>
      <c r="B44" s="454"/>
      <c r="C44" s="314"/>
      <c r="D44" s="314"/>
      <c r="E44" s="309"/>
      <c r="F44" s="309"/>
      <c r="G44" s="497"/>
      <c r="H44" s="1056"/>
      <c r="I44" s="309"/>
      <c r="J44" s="309"/>
      <c r="K44" s="499"/>
      <c r="L44" s="1069"/>
      <c r="M44" s="309"/>
      <c r="N44" s="454"/>
    </row>
    <row r="45" spans="1:15" s="455" customFormat="1">
      <c r="A45" s="471"/>
      <c r="B45" s="454"/>
      <c r="C45" s="314"/>
      <c r="D45" s="314"/>
      <c r="E45" s="309"/>
      <c r="F45" s="309"/>
      <c r="G45" s="497"/>
      <c r="H45" s="1056"/>
      <c r="I45" s="309"/>
      <c r="J45" s="309"/>
      <c r="K45" s="499"/>
      <c r="L45" s="1069"/>
      <c r="M45" s="499"/>
      <c r="N45" s="458"/>
    </row>
    <row r="46" spans="1:15" s="455" customFormat="1">
      <c r="A46" s="471"/>
      <c r="B46" s="454"/>
      <c r="C46" s="314"/>
      <c r="D46" s="314"/>
      <c r="E46" s="309"/>
      <c r="F46" s="309"/>
      <c r="G46" s="497"/>
      <c r="H46" s="1056"/>
      <c r="I46" s="309"/>
      <c r="J46" s="309"/>
      <c r="K46" s="499"/>
      <c r="L46" s="1069"/>
      <c r="M46" s="499"/>
      <c r="N46" s="458"/>
    </row>
    <row r="47" spans="1:15" s="455" customFormat="1">
      <c r="A47" s="471"/>
      <c r="B47" s="454"/>
      <c r="C47" s="314"/>
      <c r="D47" s="314"/>
      <c r="E47" s="662"/>
      <c r="F47" s="309"/>
      <c r="G47" s="497"/>
      <c r="H47" s="1056"/>
      <c r="I47" s="985"/>
      <c r="J47" s="985"/>
      <c r="K47" s="499"/>
      <c r="L47" s="1016"/>
      <c r="M47" s="499"/>
      <c r="N47" s="458"/>
    </row>
    <row r="48" spans="1:15" s="455" customFormat="1">
      <c r="A48" s="471"/>
      <c r="B48" s="454"/>
      <c r="C48" s="314"/>
      <c r="D48" s="314"/>
      <c r="E48" s="662"/>
      <c r="F48" s="309"/>
      <c r="G48" s="497"/>
      <c r="H48" s="1056"/>
      <c r="I48" s="985"/>
      <c r="J48" s="985"/>
      <c r="K48" s="499"/>
      <c r="L48" s="1016"/>
      <c r="M48" s="499"/>
      <c r="N48" s="458"/>
    </row>
    <row r="49" spans="1:14" s="455" customFormat="1">
      <c r="A49" s="471"/>
      <c r="B49" s="454"/>
      <c r="C49" s="314"/>
      <c r="D49" s="314"/>
      <c r="E49" s="662"/>
      <c r="F49" s="309"/>
      <c r="G49" s="497"/>
      <c r="H49" s="1056"/>
      <c r="I49" s="985"/>
      <c r="J49" s="985"/>
      <c r="K49" s="499"/>
      <c r="L49" s="1071"/>
      <c r="M49" s="499"/>
    </row>
    <row r="50" spans="1:14" s="455" customFormat="1">
      <c r="A50" s="471"/>
      <c r="B50" s="454"/>
      <c r="C50" s="314"/>
      <c r="D50" s="314"/>
      <c r="E50" s="662"/>
      <c r="F50" s="309"/>
      <c r="G50" s="497"/>
      <c r="H50" s="1056"/>
      <c r="I50" s="985"/>
      <c r="J50" s="985"/>
      <c r="K50" s="499"/>
      <c r="L50" s="1071"/>
      <c r="M50" s="499"/>
    </row>
    <row r="51" spans="1:14" s="455" customFormat="1">
      <c r="A51" s="471"/>
      <c r="B51" s="454"/>
      <c r="C51" s="314"/>
      <c r="D51" s="314"/>
      <c r="E51" s="662"/>
      <c r="F51" s="309"/>
      <c r="G51" s="497"/>
      <c r="H51" s="1056"/>
      <c r="I51" s="985"/>
      <c r="J51" s="985"/>
      <c r="K51" s="499"/>
      <c r="L51" s="1016"/>
      <c r="M51" s="499"/>
    </row>
    <row r="52" spans="1:14" s="455" customFormat="1">
      <c r="A52" s="471"/>
      <c r="B52" s="454"/>
      <c r="C52" s="314"/>
      <c r="D52" s="314"/>
      <c r="E52" s="662"/>
      <c r="F52" s="309"/>
      <c r="G52" s="497"/>
      <c r="H52" s="1056"/>
      <c r="I52" s="985"/>
      <c r="J52" s="985"/>
      <c r="K52" s="499"/>
      <c r="L52" s="1016"/>
      <c r="M52" s="499"/>
    </row>
    <row r="53" spans="1:14" s="455" customFormat="1">
      <c r="A53" s="471"/>
      <c r="B53" s="454"/>
      <c r="C53" s="314"/>
      <c r="D53" s="314"/>
      <c r="E53" s="662"/>
      <c r="F53" s="309"/>
      <c r="G53" s="497"/>
      <c r="H53" s="1056"/>
      <c r="I53" s="985"/>
      <c r="J53" s="985"/>
      <c r="K53" s="499"/>
      <c r="L53" s="1016"/>
      <c r="M53" s="499"/>
      <c r="N53" s="458"/>
    </row>
    <row r="54" spans="1:14" s="455" customFormat="1">
      <c r="A54" s="471"/>
      <c r="B54" s="454"/>
      <c r="C54" s="314"/>
      <c r="D54" s="314"/>
      <c r="E54" s="662"/>
      <c r="F54" s="309"/>
      <c r="G54" s="497"/>
      <c r="H54" s="1056"/>
      <c r="I54" s="985"/>
      <c r="J54" s="985"/>
      <c r="K54" s="499"/>
      <c r="L54" s="1016"/>
      <c r="M54" s="499"/>
      <c r="N54" s="458"/>
    </row>
    <row r="55" spans="1:14" s="455" customFormat="1">
      <c r="A55" s="471"/>
      <c r="B55" s="454"/>
      <c r="C55" s="314"/>
      <c r="D55" s="314"/>
      <c r="E55" s="662"/>
      <c r="F55" s="309"/>
      <c r="G55" s="497"/>
      <c r="H55" s="1056"/>
      <c r="I55" s="985"/>
      <c r="J55" s="985"/>
      <c r="K55" s="499"/>
      <c r="L55" s="1016"/>
      <c r="M55" s="499"/>
      <c r="N55" s="458"/>
    </row>
    <row r="56" spans="1:14" s="455" customFormat="1">
      <c r="A56" s="471"/>
      <c r="B56" s="454"/>
      <c r="C56" s="2591"/>
      <c r="D56" s="314"/>
      <c r="E56" s="662"/>
      <c r="F56" s="309"/>
      <c r="G56" s="497"/>
      <c r="H56" s="1056"/>
      <c r="I56" s="985"/>
      <c r="J56" s="985"/>
      <c r="K56" s="499"/>
      <c r="L56" s="1016"/>
      <c r="M56" s="499"/>
    </row>
    <row r="57" spans="1:14" s="455" customFormat="1">
      <c r="A57" s="471"/>
      <c r="B57" s="454"/>
      <c r="C57" s="2593"/>
      <c r="D57" s="314"/>
      <c r="E57" s="662"/>
      <c r="F57" s="309"/>
      <c r="G57" s="497"/>
      <c r="H57" s="1056"/>
      <c r="I57" s="985"/>
      <c r="J57" s="985"/>
      <c r="K57" s="499"/>
      <c r="L57" s="1016"/>
      <c r="M57" s="499"/>
      <c r="N57" s="454"/>
    </row>
    <row r="58" spans="1:14" s="455" customFormat="1">
      <c r="A58" s="471"/>
      <c r="B58" s="454"/>
      <c r="C58" s="2591"/>
      <c r="D58" s="314"/>
      <c r="E58" s="662"/>
      <c r="F58" s="309"/>
      <c r="G58" s="497"/>
      <c r="H58" s="1056"/>
      <c r="I58" s="985"/>
      <c r="J58" s="985"/>
      <c r="K58" s="499"/>
      <c r="L58" s="1016"/>
      <c r="M58" s="499"/>
      <c r="N58" s="458"/>
    </row>
    <row r="59" spans="1:14" s="455" customFormat="1">
      <c r="A59" s="471"/>
      <c r="B59" s="454"/>
      <c r="C59" s="2592"/>
      <c r="D59" s="314"/>
      <c r="E59" s="662"/>
      <c r="F59" s="309"/>
      <c r="G59" s="497"/>
      <c r="H59" s="1056"/>
      <c r="I59" s="985"/>
      <c r="J59" s="985"/>
      <c r="K59" s="499"/>
      <c r="L59" s="1016"/>
      <c r="M59" s="499"/>
      <c r="N59" s="458"/>
    </row>
    <row r="60" spans="1:14" s="455" customFormat="1">
      <c r="A60" s="471"/>
      <c r="B60" s="454"/>
      <c r="C60" s="2593"/>
      <c r="D60" s="314"/>
      <c r="E60" s="662"/>
      <c r="F60" s="309"/>
      <c r="G60" s="497"/>
      <c r="H60" s="1056"/>
      <c r="I60" s="985"/>
      <c r="J60" s="985"/>
      <c r="K60" s="499"/>
      <c r="L60" s="1016"/>
      <c r="M60" s="499"/>
      <c r="N60" s="458"/>
    </row>
    <row r="61" spans="1:14" s="455" customFormat="1">
      <c r="A61" s="471"/>
      <c r="B61" s="454"/>
      <c r="C61" s="314"/>
      <c r="D61" s="314"/>
      <c r="E61" s="662"/>
      <c r="F61" s="309"/>
      <c r="G61" s="497"/>
      <c r="H61" s="985"/>
      <c r="I61" s="985"/>
      <c r="J61" s="985"/>
      <c r="K61" s="499"/>
      <c r="L61" s="1016"/>
      <c r="M61" s="499"/>
      <c r="N61" s="458"/>
    </row>
    <row r="62" spans="1:14" s="455" customFormat="1">
      <c r="A62" s="471"/>
      <c r="B62" s="454"/>
      <c r="C62" s="314"/>
      <c r="D62" s="314"/>
      <c r="E62" s="662"/>
      <c r="F62" s="309"/>
      <c r="G62" s="497"/>
      <c r="H62" s="985"/>
      <c r="I62" s="985"/>
      <c r="J62" s="985"/>
      <c r="K62" s="499"/>
      <c r="L62" s="1016"/>
      <c r="M62" s="499"/>
      <c r="N62" s="460"/>
    </row>
    <row r="63" spans="1:14" s="455" customFormat="1">
      <c r="C63" s="314"/>
      <c r="D63" s="314"/>
      <c r="E63" s="662"/>
      <c r="F63" s="662"/>
      <c r="G63" s="309"/>
      <c r="H63" s="497"/>
      <c r="I63" s="1056"/>
      <c r="J63" s="985"/>
      <c r="K63" s="985"/>
      <c r="L63" s="499"/>
      <c r="M63" s="1025"/>
      <c r="N63" s="499"/>
    </row>
    <row r="64" spans="1:14" s="455" customFormat="1">
      <c r="C64" s="902"/>
      <c r="D64" s="309"/>
      <c r="E64" s="662"/>
      <c r="F64" s="662"/>
      <c r="G64" s="309"/>
      <c r="H64" s="497"/>
      <c r="I64" s="653"/>
      <c r="J64" s="985"/>
      <c r="K64" s="1469"/>
      <c r="L64" s="499"/>
      <c r="M64" s="1025"/>
      <c r="N64" s="499"/>
    </row>
    <row r="65" spans="1:15" s="455" customFormat="1">
      <c r="A65" s="566"/>
      <c r="B65" s="467"/>
      <c r="C65" s="499"/>
      <c r="D65" s="309"/>
      <c r="E65" s="391"/>
      <c r="F65" s="499"/>
      <c r="G65" s="497"/>
      <c r="H65" s="498"/>
      <c r="I65" s="498"/>
      <c r="J65" s="498"/>
      <c r="K65" s="499"/>
      <c r="L65" s="1470"/>
      <c r="M65" s="309"/>
      <c r="N65" s="499"/>
    </row>
    <row r="66" spans="1:15" s="455" customFormat="1">
      <c r="A66" s="566"/>
      <c r="B66" s="467"/>
      <c r="C66" s="497"/>
      <c r="D66" s="691"/>
      <c r="E66" s="675"/>
      <c r="F66" s="675"/>
      <c r="G66" s="654"/>
      <c r="H66" s="502"/>
      <c r="I66" s="652"/>
      <c r="J66" s="497"/>
      <c r="K66" s="653"/>
      <c r="L66" s="502"/>
      <c r="M66" s="538"/>
      <c r="N66" s="392"/>
      <c r="O66" s="502"/>
    </row>
    <row r="67" spans="1:15" s="455" customFormat="1">
      <c r="A67" s="566"/>
      <c r="B67" s="467"/>
      <c r="C67" s="497"/>
      <c r="D67" s="691"/>
      <c r="E67" s="675"/>
      <c r="F67" s="675"/>
      <c r="G67" s="654"/>
      <c r="H67" s="502"/>
      <c r="I67" s="652"/>
      <c r="J67" s="497"/>
      <c r="K67" s="653"/>
      <c r="L67" s="502"/>
      <c r="M67" s="538"/>
      <c r="N67" s="392"/>
      <c r="O67" s="502"/>
    </row>
    <row r="68" spans="1:15" s="455" customFormat="1">
      <c r="A68" s="566"/>
      <c r="B68" s="467"/>
      <c r="C68" s="497"/>
      <c r="D68" s="691"/>
      <c r="E68" s="675"/>
      <c r="F68" s="675"/>
      <c r="G68" s="654"/>
      <c r="H68" s="502"/>
      <c r="I68" s="652"/>
      <c r="J68" s="497"/>
      <c r="K68" s="653"/>
      <c r="L68" s="502"/>
      <c r="M68" s="538"/>
      <c r="N68" s="392"/>
      <c r="O68" s="502"/>
    </row>
    <row r="69" spans="1:15" s="455" customFormat="1">
      <c r="A69" s="566"/>
      <c r="B69" s="467"/>
      <c r="C69" s="497"/>
      <c r="D69" s="691"/>
      <c r="E69" s="675"/>
      <c r="F69" s="675"/>
      <c r="G69" s="654"/>
      <c r="H69" s="502"/>
      <c r="I69" s="652"/>
      <c r="J69" s="497"/>
      <c r="K69" s="653"/>
      <c r="L69" s="502"/>
      <c r="M69" s="538"/>
      <c r="N69" s="392"/>
      <c r="O69" s="502"/>
    </row>
    <row r="70" spans="1:15" s="455" customFormat="1">
      <c r="C70" s="1384"/>
      <c r="D70" s="314"/>
      <c r="E70" s="662"/>
      <c r="F70" s="662"/>
      <c r="G70" s="309"/>
      <c r="H70" s="497"/>
      <c r="I70" s="653"/>
      <c r="J70" s="985"/>
      <c r="K70" s="1469"/>
      <c r="L70" s="499"/>
      <c r="M70" s="1025"/>
      <c r="N70" s="499"/>
    </row>
    <row r="71" spans="1:15" s="455" customFormat="1">
      <c r="C71" s="1384"/>
      <c r="D71" s="314"/>
      <c r="E71" s="662"/>
      <c r="F71" s="662"/>
      <c r="G71" s="309"/>
      <c r="H71" s="497"/>
      <c r="I71" s="653"/>
      <c r="J71" s="985"/>
      <c r="K71" s="1469"/>
      <c r="L71" s="499"/>
      <c r="M71" s="1025"/>
      <c r="N71" s="499"/>
    </row>
    <row r="72" spans="1:15" s="455" customFormat="1">
      <c r="A72" s="566"/>
      <c r="B72" s="467"/>
      <c r="C72" s="499"/>
      <c r="D72" s="309"/>
      <c r="E72" s="391"/>
      <c r="F72" s="499"/>
      <c r="G72" s="497"/>
      <c r="H72" s="498"/>
      <c r="I72" s="498"/>
      <c r="J72" s="498"/>
      <c r="K72" s="499"/>
      <c r="L72" s="1470"/>
      <c r="M72" s="309"/>
      <c r="N72" s="499"/>
    </row>
    <row r="73" spans="1:15" s="455" customFormat="1">
      <c r="A73" s="566"/>
      <c r="B73" s="467"/>
      <c r="C73" s="497"/>
      <c r="D73" s="691"/>
      <c r="E73" s="675"/>
      <c r="F73" s="675"/>
      <c r="G73" s="654"/>
      <c r="H73" s="502"/>
      <c r="I73" s="652"/>
      <c r="J73" s="497"/>
      <c r="K73" s="653"/>
      <c r="L73" s="502"/>
      <c r="M73" s="538"/>
      <c r="N73" s="392"/>
      <c r="O73" s="502"/>
    </row>
    <row r="74" spans="1:15" s="455" customFormat="1">
      <c r="A74" s="566"/>
      <c r="B74" s="467"/>
      <c r="C74" s="497"/>
      <c r="D74" s="691"/>
      <c r="E74" s="675"/>
      <c r="F74" s="675"/>
      <c r="G74" s="654"/>
      <c r="H74" s="502"/>
      <c r="I74" s="652"/>
      <c r="J74" s="497"/>
      <c r="K74" s="653"/>
      <c r="L74" s="502"/>
      <c r="M74" s="538"/>
      <c r="N74" s="392"/>
      <c r="O74" s="502"/>
    </row>
    <row r="75" spans="1:15" s="455" customFormat="1">
      <c r="A75" s="566"/>
      <c r="B75" s="467"/>
      <c r="C75" s="497"/>
      <c r="D75" s="691"/>
      <c r="E75" s="675"/>
      <c r="F75" s="675"/>
      <c r="G75" s="654"/>
      <c r="H75" s="502"/>
      <c r="I75" s="652"/>
      <c r="J75" s="497"/>
      <c r="K75" s="653"/>
      <c r="L75" s="502"/>
      <c r="M75" s="538"/>
      <c r="N75" s="392"/>
      <c r="O75" s="502"/>
    </row>
    <row r="76" spans="1:15" s="455" customFormat="1">
      <c r="A76" s="566"/>
      <c r="B76" s="467"/>
      <c r="C76" s="497"/>
      <c r="D76" s="691"/>
      <c r="E76" s="675"/>
      <c r="F76" s="675"/>
      <c r="G76" s="654"/>
      <c r="H76" s="502"/>
      <c r="I76" s="652"/>
      <c r="J76" s="497"/>
      <c r="K76" s="653"/>
      <c r="L76" s="502"/>
      <c r="M76" s="538"/>
      <c r="N76" s="392"/>
      <c r="O76" s="502"/>
    </row>
    <row r="77" spans="1:15" s="455" customFormat="1">
      <c r="C77" s="1385"/>
      <c r="D77" s="314"/>
      <c r="E77" s="991"/>
      <c r="F77" s="662"/>
      <c r="G77" s="309"/>
      <c r="H77" s="497"/>
      <c r="I77" s="774"/>
      <c r="J77" s="774"/>
      <c r="K77" s="774"/>
      <c r="L77" s="499"/>
      <c r="M77" s="1028"/>
      <c r="N77" s="499"/>
    </row>
    <row r="78" spans="1:15" s="455" customFormat="1">
      <c r="C78" s="314"/>
      <c r="D78" s="314"/>
      <c r="E78" s="991"/>
      <c r="F78" s="662"/>
      <c r="G78" s="309"/>
      <c r="H78" s="497"/>
      <c r="I78" s="774"/>
      <c r="J78" s="774"/>
      <c r="K78" s="1471"/>
      <c r="L78" s="499"/>
      <c r="M78" s="1028"/>
      <c r="N78" s="499"/>
    </row>
    <row r="79" spans="1:15" s="455" customFormat="1">
      <c r="C79" s="1027"/>
      <c r="D79" s="314"/>
      <c r="E79" s="991"/>
      <c r="F79" s="662"/>
      <c r="G79" s="309"/>
      <c r="H79" s="497"/>
      <c r="I79" s="1056"/>
      <c r="J79" s="985"/>
      <c r="K79" s="985"/>
      <c r="L79" s="499"/>
      <c r="M79" s="1028"/>
      <c r="N79" s="499"/>
    </row>
    <row r="80" spans="1:15" s="455" customFormat="1">
      <c r="C80" s="499"/>
      <c r="D80" s="309"/>
      <c r="E80" s="391"/>
      <c r="F80" s="499"/>
      <c r="G80" s="497"/>
      <c r="H80" s="498"/>
      <c r="I80" s="498"/>
      <c r="J80" s="498"/>
      <c r="K80" s="499"/>
      <c r="L80" s="1472"/>
      <c r="M80" s="309"/>
      <c r="N80" s="499"/>
    </row>
    <row r="81" spans="3:15" s="455" customFormat="1">
      <c r="C81" s="497"/>
      <c r="D81" s="691"/>
      <c r="E81" s="675"/>
      <c r="F81" s="675"/>
      <c r="G81" s="654"/>
      <c r="H81" s="502"/>
      <c r="I81" s="652"/>
      <c r="J81" s="497"/>
      <c r="K81" s="653"/>
      <c r="L81" s="502"/>
      <c r="M81" s="538"/>
      <c r="N81" s="392"/>
      <c r="O81" s="502"/>
    </row>
    <row r="82" spans="3:15" s="455" customFormat="1">
      <c r="C82" s="497"/>
      <c r="D82" s="691"/>
      <c r="E82" s="675"/>
      <c r="F82" s="675"/>
      <c r="G82" s="654"/>
      <c r="H82" s="502"/>
      <c r="I82" s="652"/>
      <c r="J82" s="497"/>
      <c r="K82" s="653"/>
      <c r="L82" s="502"/>
      <c r="M82" s="538"/>
      <c r="N82" s="392"/>
      <c r="O82" s="502"/>
    </row>
    <row r="83" spans="3:15" s="455" customFormat="1">
      <c r="C83" s="497"/>
      <c r="D83" s="691"/>
      <c r="E83" s="675"/>
      <c r="F83" s="675"/>
      <c r="G83" s="654"/>
      <c r="H83" s="502"/>
      <c r="I83" s="652"/>
      <c r="J83" s="497"/>
      <c r="K83" s="653"/>
      <c r="L83" s="502"/>
      <c r="M83" s="538"/>
      <c r="N83" s="392"/>
      <c r="O83" s="502"/>
    </row>
    <row r="84" spans="3:15" s="455" customFormat="1">
      <c r="C84" s="497"/>
      <c r="D84" s="691"/>
      <c r="E84" s="675"/>
      <c r="F84" s="675"/>
      <c r="G84" s="654"/>
      <c r="H84" s="502"/>
      <c r="I84" s="652"/>
      <c r="J84" s="497"/>
      <c r="K84" s="653"/>
      <c r="L84" s="502"/>
      <c r="M84" s="538"/>
      <c r="N84" s="392"/>
      <c r="O84" s="502"/>
    </row>
    <row r="85" spans="3:15" s="455" customFormat="1">
      <c r="C85" s="497"/>
      <c r="D85" s="691"/>
      <c r="E85" s="675"/>
      <c r="F85" s="675"/>
      <c r="G85" s="654"/>
      <c r="H85" s="502"/>
      <c r="I85" s="652"/>
      <c r="J85" s="497"/>
      <c r="K85" s="653"/>
      <c r="L85" s="502"/>
      <c r="M85" s="538"/>
      <c r="N85" s="392"/>
      <c r="O85" s="502"/>
    </row>
    <row r="86" spans="3:15" s="455" customFormat="1">
      <c r="C86" s="497"/>
      <c r="D86" s="691"/>
      <c r="E86" s="675"/>
      <c r="F86" s="675"/>
      <c r="G86" s="654"/>
      <c r="H86" s="502"/>
      <c r="I86" s="652"/>
      <c r="J86" s="497"/>
      <c r="K86" s="653"/>
      <c r="L86" s="502"/>
      <c r="M86" s="538"/>
      <c r="N86" s="392"/>
      <c r="O86" s="502"/>
    </row>
    <row r="87" spans="3:15" s="455" customFormat="1">
      <c r="C87" s="497"/>
      <c r="D87" s="691"/>
      <c r="E87" s="675"/>
      <c r="F87" s="1473"/>
      <c r="G87" s="654"/>
      <c r="H87" s="502"/>
      <c r="I87" s="652"/>
      <c r="J87" s="497"/>
      <c r="K87" s="653"/>
      <c r="L87" s="502"/>
      <c r="M87" s="538"/>
      <c r="N87" s="392"/>
      <c r="O87" s="502"/>
    </row>
    <row r="88" spans="3:15">
      <c r="C88" s="400"/>
      <c r="D88" s="400"/>
      <c r="E88" s="401"/>
      <c r="F88" s="402"/>
      <c r="G88" s="402"/>
      <c r="H88" s="403"/>
      <c r="I88" s="403"/>
      <c r="J88" s="403"/>
      <c r="K88" s="402"/>
      <c r="L88" s="404"/>
      <c r="M88" s="402"/>
      <c r="N88" s="405"/>
    </row>
    <row r="89" spans="3:15">
      <c r="C89" s="400"/>
      <c r="D89" s="400"/>
      <c r="E89" s="401"/>
      <c r="F89" s="402"/>
      <c r="G89" s="402"/>
      <c r="H89" s="403"/>
      <c r="I89" s="403"/>
      <c r="J89" s="403"/>
      <c r="K89" s="402"/>
      <c r="L89" s="404"/>
      <c r="M89" s="402"/>
      <c r="N89" s="405"/>
    </row>
    <row r="90" spans="3:15">
      <c r="C90" s="400"/>
      <c r="D90" s="400"/>
      <c r="E90" s="401"/>
      <c r="F90" s="402"/>
      <c r="G90" s="402"/>
      <c r="H90" s="403"/>
      <c r="I90" s="403"/>
      <c r="J90" s="403"/>
      <c r="K90" s="402"/>
      <c r="L90" s="404"/>
      <c r="M90" s="402"/>
      <c r="N90" s="405"/>
    </row>
    <row r="91" spans="3:15">
      <c r="C91" s="400"/>
      <c r="D91" s="400"/>
      <c r="E91" s="401"/>
      <c r="F91" s="402"/>
      <c r="G91" s="402"/>
      <c r="H91" s="403"/>
      <c r="I91" s="403"/>
      <c r="J91" s="403"/>
      <c r="K91" s="402"/>
      <c r="L91" s="404"/>
      <c r="M91" s="402"/>
      <c r="N91" s="405"/>
    </row>
    <row r="92" spans="3:15">
      <c r="C92" s="400"/>
      <c r="D92" s="400"/>
      <c r="E92" s="401"/>
      <c r="F92" s="402"/>
      <c r="G92" s="402"/>
      <c r="H92" s="403"/>
      <c r="I92" s="403"/>
      <c r="J92" s="403"/>
      <c r="K92" s="402"/>
      <c r="L92" s="404"/>
      <c r="M92" s="402"/>
      <c r="N92" s="405"/>
    </row>
    <row r="93" spans="3:15">
      <c r="C93" s="400"/>
      <c r="D93" s="400"/>
      <c r="E93" s="401"/>
      <c r="F93" s="402"/>
      <c r="G93" s="402"/>
      <c r="H93" s="403"/>
      <c r="I93" s="403"/>
      <c r="J93" s="403"/>
      <c r="K93" s="402"/>
      <c r="L93" s="404"/>
      <c r="M93" s="402"/>
      <c r="N93" s="405"/>
    </row>
    <row r="94" spans="3:15">
      <c r="C94" s="400"/>
      <c r="D94" s="400"/>
      <c r="E94" s="401"/>
      <c r="F94" s="402"/>
      <c r="G94" s="402"/>
      <c r="H94" s="403"/>
      <c r="I94" s="403"/>
      <c r="J94" s="403"/>
      <c r="K94" s="402"/>
      <c r="L94" s="404"/>
      <c r="M94" s="402"/>
      <c r="N94" s="405"/>
    </row>
    <row r="95" spans="3:15">
      <c r="C95" s="400"/>
      <c r="D95" s="400"/>
      <c r="E95" s="401"/>
      <c r="F95" s="402"/>
      <c r="G95" s="402"/>
      <c r="H95" s="403"/>
      <c r="I95" s="403"/>
      <c r="J95" s="403"/>
      <c r="K95" s="402"/>
      <c r="L95" s="404"/>
      <c r="M95" s="402"/>
      <c r="N95" s="405"/>
    </row>
    <row r="96" spans="3:15">
      <c r="C96" s="400"/>
      <c r="D96" s="400"/>
      <c r="E96" s="401"/>
      <c r="F96" s="402"/>
      <c r="G96" s="402"/>
      <c r="H96" s="403"/>
      <c r="I96" s="403"/>
      <c r="J96" s="403"/>
      <c r="K96" s="402"/>
      <c r="L96" s="404"/>
      <c r="M96" s="402"/>
      <c r="N96" s="405"/>
    </row>
    <row r="97" spans="3:14">
      <c r="C97" s="400"/>
      <c r="D97" s="400"/>
      <c r="E97" s="401"/>
      <c r="F97" s="402"/>
      <c r="G97" s="402"/>
      <c r="H97" s="403"/>
      <c r="I97" s="403"/>
      <c r="J97" s="403"/>
      <c r="K97" s="402"/>
      <c r="L97" s="404"/>
      <c r="M97" s="402"/>
      <c r="N97" s="405"/>
    </row>
    <row r="98" spans="3:14">
      <c r="C98" s="400"/>
      <c r="D98" s="400"/>
      <c r="E98" s="401"/>
      <c r="F98" s="402"/>
      <c r="G98" s="402"/>
      <c r="H98" s="403"/>
      <c r="I98" s="403"/>
      <c r="J98" s="403"/>
      <c r="K98" s="402"/>
      <c r="L98" s="404"/>
      <c r="M98" s="402"/>
      <c r="N98" s="405"/>
    </row>
    <row r="99" spans="3:14">
      <c r="C99" s="400"/>
      <c r="D99" s="400"/>
      <c r="E99" s="401"/>
      <c r="F99" s="402"/>
      <c r="G99" s="402"/>
      <c r="H99" s="403"/>
      <c r="I99" s="403"/>
      <c r="J99" s="403"/>
      <c r="K99" s="402"/>
      <c r="L99" s="404"/>
      <c r="M99" s="402"/>
      <c r="N99" s="405"/>
    </row>
    <row r="100" spans="3:14">
      <c r="C100" s="400"/>
      <c r="D100" s="400"/>
      <c r="E100" s="401"/>
      <c r="F100" s="402"/>
      <c r="G100" s="402"/>
      <c r="H100" s="403"/>
      <c r="I100" s="403"/>
      <c r="J100" s="403"/>
      <c r="K100" s="402"/>
      <c r="L100" s="404"/>
      <c r="M100" s="407"/>
      <c r="N100" s="405"/>
    </row>
    <row r="101" spans="3:14">
      <c r="C101" s="400"/>
      <c r="D101" s="400"/>
      <c r="E101" s="401"/>
      <c r="F101" s="402"/>
      <c r="G101" s="403"/>
      <c r="H101" s="403"/>
      <c r="I101" s="403"/>
      <c r="J101" s="403"/>
      <c r="K101" s="408"/>
      <c r="L101" s="404"/>
      <c r="M101" s="407"/>
      <c r="N101" s="405"/>
    </row>
    <row r="102" spans="3:14">
      <c r="C102" s="352"/>
      <c r="D102" s="352"/>
      <c r="E102" s="352"/>
      <c r="F102" s="352"/>
      <c r="G102" s="352"/>
      <c r="H102" s="352"/>
      <c r="I102" s="352"/>
      <c r="J102" s="352"/>
      <c r="K102" s="352"/>
      <c r="L102" s="1403">
        <f>SUM(L5:L100)</f>
        <v>545280</v>
      </c>
      <c r="M102" s="352"/>
      <c r="N102" s="352"/>
    </row>
    <row r="103" spans="3:14" ht="14.25" customHeight="1">
      <c r="C103" s="367"/>
      <c r="D103" s="368"/>
      <c r="E103" s="369"/>
      <c r="F103" s="370"/>
      <c r="G103" s="370"/>
      <c r="H103" s="371"/>
      <c r="I103" s="371"/>
      <c r="J103" s="371"/>
      <c r="K103" s="370"/>
      <c r="L103" s="372"/>
      <c r="M103" s="370"/>
      <c r="N103" s="368"/>
    </row>
    <row r="104" spans="3:14" s="302" customFormat="1" ht="14.25" customHeight="1">
      <c r="C104" s="367"/>
      <c r="D104" s="368"/>
      <c r="E104" s="373"/>
      <c r="F104" s="370"/>
      <c r="G104" s="370"/>
      <c r="H104" s="371"/>
      <c r="I104" s="371"/>
      <c r="J104" s="371"/>
      <c r="K104" s="370"/>
      <c r="L104" s="372"/>
      <c r="M104" s="370"/>
      <c r="N104" s="368"/>
    </row>
    <row r="105" spans="3:14" s="302" customFormat="1" ht="14.25" customHeight="1">
      <c r="C105" s="374"/>
      <c r="D105" s="375"/>
      <c r="E105" s="373"/>
      <c r="F105" s="376"/>
      <c r="G105" s="376"/>
      <c r="H105" s="377"/>
      <c r="I105" s="377"/>
      <c r="J105" s="377"/>
      <c r="K105" s="376"/>
      <c r="L105" s="378"/>
      <c r="M105" s="376"/>
      <c r="N105" s="375"/>
    </row>
  </sheetData>
  <mergeCells count="10">
    <mergeCell ref="C58:C60"/>
    <mergeCell ref="C56:C57"/>
    <mergeCell ref="N2:N3"/>
    <mergeCell ref="D9:D10"/>
    <mergeCell ref="K9:K10"/>
    <mergeCell ref="C8:C14"/>
    <mergeCell ref="C2:G2"/>
    <mergeCell ref="H2:J2"/>
    <mergeCell ref="K2:L2"/>
    <mergeCell ref="M2:M3"/>
  </mergeCell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19B23-C6C1-4049-A431-0DC638CB1634}">
  <sheetPr>
    <tabColor rgb="FF00B0F0"/>
  </sheetPr>
  <dimension ref="A1:O100"/>
  <sheetViews>
    <sheetView zoomScale="93" zoomScaleNormal="94" workbookViewId="0">
      <pane ySplit="4" topLeftCell="A5" activePane="bottomLeft" state="frozen"/>
      <selection pane="bottomLeft" activeCell="L23" sqref="L23"/>
    </sheetView>
  </sheetViews>
  <sheetFormatPr defaultRowHeight="15"/>
  <cols>
    <col min="3" max="3" width="21.42578125" customWidth="1"/>
    <col min="4" max="4" width="49.7109375" bestFit="1"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style="99" customWidth="1"/>
    <col min="13" max="13" width="16.28515625" customWidth="1"/>
    <col min="14" max="14" width="12.85546875" customWidth="1"/>
    <col min="17" max="17" width="73.7109375" bestFit="1" customWidth="1"/>
  </cols>
  <sheetData>
    <row r="1" spans="1:15" s="355" customFormat="1" ht="13.5">
      <c r="L1" s="32"/>
    </row>
    <row r="2" spans="1:15" s="355" customFormat="1" ht="13.5">
      <c r="C2" s="2601" t="s">
        <v>30</v>
      </c>
      <c r="D2" s="2602"/>
      <c r="E2" s="2602"/>
      <c r="F2" s="2602"/>
      <c r="G2" s="2603"/>
      <c r="H2" s="2604" t="s">
        <v>29</v>
      </c>
      <c r="I2" s="2605"/>
      <c r="J2" s="2606"/>
      <c r="K2" s="2601" t="s">
        <v>28</v>
      </c>
      <c r="L2" s="2603"/>
      <c r="M2" s="2594" t="s">
        <v>27</v>
      </c>
      <c r="N2" s="2594" t="s">
        <v>26</v>
      </c>
    </row>
    <row r="3" spans="1:15" s="355" customFormat="1" ht="94.5">
      <c r="C3" s="618" t="s">
        <v>25</v>
      </c>
      <c r="D3" s="852" t="s">
        <v>24</v>
      </c>
      <c r="E3" s="991" t="s">
        <v>23</v>
      </c>
      <c r="F3" s="618" t="s">
        <v>22</v>
      </c>
      <c r="G3" s="532" t="s">
        <v>1303</v>
      </c>
      <c r="H3" s="532" t="s">
        <v>20</v>
      </c>
      <c r="I3" s="532" t="s">
        <v>19</v>
      </c>
      <c r="J3" s="532" t="s">
        <v>18</v>
      </c>
      <c r="K3" s="618" t="s">
        <v>17</v>
      </c>
      <c r="L3" s="605" t="s">
        <v>16</v>
      </c>
      <c r="M3" s="2594"/>
      <c r="N3" s="2594"/>
    </row>
    <row r="4" spans="1:15" s="355" customFormat="1" ht="27">
      <c r="C4" s="1076" t="s">
        <v>15</v>
      </c>
      <c r="D4" s="1076" t="s">
        <v>14</v>
      </c>
      <c r="E4" s="1076" t="s">
        <v>13</v>
      </c>
      <c r="F4" s="1076" t="s">
        <v>12</v>
      </c>
      <c r="G4" s="1076" t="s">
        <v>11</v>
      </c>
      <c r="H4" s="1076" t="s">
        <v>10</v>
      </c>
      <c r="I4" s="1076" t="s">
        <v>9</v>
      </c>
      <c r="J4" s="1076" t="s">
        <v>8</v>
      </c>
      <c r="K4" s="1076" t="s">
        <v>7</v>
      </c>
      <c r="L4" s="1077" t="s">
        <v>6</v>
      </c>
      <c r="M4" s="1076" t="s">
        <v>5</v>
      </c>
      <c r="N4" s="1076" t="s">
        <v>4</v>
      </c>
    </row>
    <row r="5" spans="1:15" s="455" customFormat="1" ht="25.5" customHeight="1">
      <c r="A5" s="471"/>
      <c r="B5" s="483" t="s">
        <v>589</v>
      </c>
      <c r="C5" s="1605" t="s">
        <v>597</v>
      </c>
      <c r="D5" s="1601" t="s">
        <v>2</v>
      </c>
      <c r="E5" s="1637" t="s">
        <v>631</v>
      </c>
      <c r="F5" s="1605" t="s">
        <v>593</v>
      </c>
      <c r="G5" s="1602" t="s">
        <v>1</v>
      </c>
      <c r="H5" s="1603" t="s">
        <v>701</v>
      </c>
      <c r="I5" s="1603" t="s">
        <v>701</v>
      </c>
      <c r="J5" s="1604" t="s">
        <v>594</v>
      </c>
      <c r="K5" s="1601" t="s">
        <v>1599</v>
      </c>
      <c r="L5" s="1960">
        <v>30000</v>
      </c>
      <c r="M5" s="1605" t="s">
        <v>632</v>
      </c>
      <c r="N5" s="1605"/>
      <c r="O5" s="1345"/>
    </row>
    <row r="6" spans="1:15" s="455" customFormat="1" ht="13.5">
      <c r="A6" s="471"/>
      <c r="B6" s="483"/>
      <c r="C6" s="1489"/>
      <c r="D6" s="1490"/>
      <c r="E6" s="1491"/>
      <c r="F6" s="1492"/>
      <c r="G6" s="1493"/>
      <c r="H6" s="1345"/>
      <c r="I6" s="1494"/>
      <c r="J6" s="1477"/>
      <c r="K6" s="1482"/>
      <c r="L6" s="1495"/>
      <c r="M6" s="1496"/>
      <c r="N6" s="1345"/>
      <c r="O6" s="1345"/>
    </row>
    <row r="7" spans="1:15" s="455" customFormat="1" ht="13.5">
      <c r="A7" s="471"/>
      <c r="B7" s="454"/>
      <c r="C7" s="902"/>
      <c r="D7" s="902"/>
      <c r="E7" s="902"/>
      <c r="F7" s="1380"/>
      <c r="G7" s="636"/>
      <c r="H7" s="1462"/>
      <c r="I7" s="1462"/>
      <c r="J7" s="1462"/>
      <c r="K7" s="1380"/>
      <c r="L7" s="1463"/>
      <c r="M7" s="1172"/>
      <c r="N7" s="460"/>
      <c r="O7" s="2676"/>
    </row>
    <row r="8" spans="1:15" s="455" customFormat="1" ht="13.5">
      <c r="A8" s="471"/>
      <c r="B8" s="454"/>
      <c r="C8" s="902"/>
      <c r="D8" s="902"/>
      <c r="E8" s="902"/>
      <c r="F8" s="1380"/>
      <c r="G8" s="636"/>
      <c r="H8" s="1462"/>
      <c r="I8" s="1462"/>
      <c r="J8" s="1462"/>
      <c r="K8" s="1380"/>
      <c r="L8" s="1463"/>
      <c r="M8" s="1172"/>
      <c r="N8" s="460"/>
      <c r="O8" s="2677"/>
    </row>
    <row r="9" spans="1:15" s="455" customFormat="1" ht="13.5">
      <c r="A9" s="471"/>
      <c r="B9" s="454"/>
      <c r="C9" s="902"/>
      <c r="D9" s="902"/>
      <c r="E9" s="902"/>
      <c r="F9" s="1380"/>
      <c r="G9" s="636"/>
      <c r="H9" s="1462"/>
      <c r="I9" s="1462"/>
      <c r="J9" s="1462"/>
      <c r="K9" s="1380"/>
      <c r="L9" s="1463"/>
      <c r="M9" s="1172"/>
      <c r="N9" s="460"/>
      <c r="O9" s="2678"/>
    </row>
    <row r="10" spans="1:15" s="455" customFormat="1" ht="13.5">
      <c r="A10" s="471"/>
      <c r="B10" s="454"/>
      <c r="C10" s="314"/>
      <c r="D10" s="309"/>
      <c r="E10" s="309"/>
      <c r="F10" s="309"/>
      <c r="G10" s="309"/>
      <c r="H10" s="309"/>
      <c r="I10" s="309"/>
      <c r="J10" s="309"/>
      <c r="K10" s="309"/>
      <c r="L10" s="309"/>
      <c r="M10" s="309"/>
      <c r="N10" s="309"/>
      <c r="O10" s="625"/>
    </row>
    <row r="11" spans="1:15" s="455" customFormat="1" ht="13.5">
      <c r="A11" s="471"/>
      <c r="B11" s="454"/>
      <c r="C11" s="314"/>
      <c r="D11" s="309"/>
      <c r="E11" s="309"/>
      <c r="F11" s="309"/>
      <c r="G11" s="497"/>
      <c r="H11" s="985"/>
      <c r="I11" s="985"/>
      <c r="J11" s="985"/>
      <c r="K11" s="499"/>
      <c r="L11" s="1025"/>
      <c r="M11" s="499"/>
      <c r="N11" s="625"/>
    </row>
    <row r="12" spans="1:15" s="455" customFormat="1" ht="13.5">
      <c r="A12" s="471"/>
      <c r="B12" s="454"/>
      <c r="C12" s="314"/>
      <c r="D12" s="309"/>
      <c r="E12" s="309"/>
      <c r="F12" s="309"/>
      <c r="G12" s="497"/>
      <c r="H12" s="985"/>
      <c r="I12" s="985"/>
      <c r="J12" s="985"/>
      <c r="K12" s="499"/>
      <c r="L12" s="1025"/>
      <c r="M12" s="499"/>
      <c r="N12" s="1464"/>
    </row>
    <row r="13" spans="1:15" s="455" customFormat="1" ht="13.5">
      <c r="A13" s="471"/>
      <c r="B13" s="454"/>
      <c r="C13" s="314"/>
      <c r="D13" s="309"/>
      <c r="E13" s="309"/>
      <c r="F13" s="309"/>
      <c r="G13" s="497"/>
      <c r="H13" s="985"/>
      <c r="I13" s="985"/>
      <c r="J13" s="985"/>
      <c r="K13" s="499"/>
      <c r="L13" s="1025"/>
      <c r="M13" s="499"/>
      <c r="N13" s="1465"/>
    </row>
    <row r="14" spans="1:15" s="455" customFormat="1" ht="13.5">
      <c r="A14" s="471"/>
      <c r="B14" s="454"/>
      <c r="C14" s="2591"/>
      <c r="D14" s="309"/>
      <c r="E14" s="309"/>
      <c r="F14" s="309"/>
      <c r="G14" s="497"/>
      <c r="H14" s="1056"/>
      <c r="I14" s="985"/>
      <c r="J14" s="985"/>
      <c r="K14" s="499"/>
      <c r="L14" s="1025"/>
      <c r="M14" s="499"/>
    </row>
    <row r="15" spans="1:15" s="455" customFormat="1" ht="13.5">
      <c r="A15" s="471"/>
      <c r="B15" s="454"/>
      <c r="C15" s="2593"/>
      <c r="D15" s="309"/>
      <c r="E15" s="309"/>
      <c r="F15" s="309"/>
      <c r="G15" s="497"/>
      <c r="H15" s="1056"/>
      <c r="I15" s="985"/>
      <c r="J15" s="985"/>
      <c r="K15" s="499"/>
      <c r="L15" s="1025"/>
      <c r="M15" s="499"/>
    </row>
    <row r="16" spans="1:15" s="455" customFormat="1" ht="13.5">
      <c r="A16" s="471"/>
      <c r="B16" s="454"/>
      <c r="C16" s="2591"/>
      <c r="D16" s="309"/>
      <c r="E16" s="309"/>
      <c r="F16" s="309"/>
      <c r="G16" s="497"/>
      <c r="H16" s="1056"/>
      <c r="I16" s="985"/>
      <c r="J16" s="985"/>
      <c r="K16" s="499"/>
      <c r="L16" s="1025"/>
      <c r="M16" s="499"/>
    </row>
    <row r="17" spans="1:14" s="455" customFormat="1" ht="13.5">
      <c r="A17" s="471"/>
      <c r="B17" s="454"/>
      <c r="C17" s="2593"/>
      <c r="D17" s="309"/>
      <c r="E17" s="309"/>
      <c r="F17" s="309"/>
      <c r="G17" s="497"/>
      <c r="H17" s="1056"/>
      <c r="I17" s="985"/>
      <c r="J17" s="985"/>
      <c r="K17" s="499"/>
      <c r="L17" s="1025"/>
      <c r="M17" s="499"/>
    </row>
    <row r="18" spans="1:14" s="455" customFormat="1" ht="13.5">
      <c r="A18" s="471"/>
      <c r="B18" s="454"/>
      <c r="C18" s="314"/>
      <c r="D18" s="309"/>
      <c r="E18" s="309"/>
      <c r="F18" s="309"/>
      <c r="G18" s="497"/>
      <c r="H18" s="1056"/>
      <c r="I18" s="985"/>
      <c r="J18" s="985"/>
      <c r="K18" s="499"/>
      <c r="L18" s="1025"/>
      <c r="M18" s="499"/>
      <c r="N18" s="1466"/>
    </row>
    <row r="19" spans="1:14" s="455" customFormat="1" ht="13.5">
      <c r="A19" s="471"/>
      <c r="B19" s="454"/>
      <c r="C19" s="2679"/>
      <c r="D19" s="309"/>
      <c r="E19" s="309"/>
      <c r="F19" s="309"/>
      <c r="G19" s="497"/>
      <c r="H19" s="985"/>
      <c r="I19" s="985"/>
      <c r="J19" s="985"/>
      <c r="K19" s="499"/>
      <c r="L19" s="1025"/>
      <c r="M19" s="499"/>
      <c r="N19" s="1466"/>
    </row>
    <row r="20" spans="1:14" s="455" customFormat="1" ht="13.5">
      <c r="A20" s="471"/>
      <c r="B20" s="454"/>
      <c r="C20" s="2679"/>
      <c r="D20" s="309"/>
      <c r="E20" s="309"/>
      <c r="F20" s="309"/>
      <c r="G20" s="497"/>
      <c r="H20" s="985"/>
      <c r="I20" s="985"/>
      <c r="J20" s="985"/>
      <c r="K20" s="499"/>
      <c r="L20" s="1025"/>
      <c r="M20" s="499"/>
      <c r="N20" s="1467"/>
    </row>
    <row r="21" spans="1:14" s="455" customFormat="1" ht="13.5">
      <c r="A21" s="471"/>
      <c r="B21" s="454"/>
      <c r="C21" s="2679"/>
      <c r="D21" s="309"/>
      <c r="E21" s="309"/>
      <c r="F21" s="309"/>
      <c r="G21" s="497"/>
      <c r="H21" s="985"/>
      <c r="I21" s="985"/>
      <c r="J21" s="985"/>
      <c r="K21" s="499"/>
      <c r="L21" s="1025"/>
      <c r="M21" s="499"/>
      <c r="N21" s="1468"/>
    </row>
    <row r="22" spans="1:14" s="455" customFormat="1" ht="13.5">
      <c r="A22" s="471"/>
      <c r="B22" s="454"/>
      <c r="C22" s="2679"/>
      <c r="D22" s="309"/>
      <c r="E22" s="309"/>
      <c r="F22" s="309"/>
      <c r="G22" s="497"/>
      <c r="H22" s="985"/>
      <c r="I22" s="985"/>
      <c r="J22" s="985"/>
      <c r="K22" s="499"/>
      <c r="L22" s="1025"/>
      <c r="M22" s="499"/>
      <c r="N22" s="1468"/>
    </row>
    <row r="23" spans="1:14" s="455" customFormat="1" ht="13.5">
      <c r="A23" s="471"/>
      <c r="B23" s="454"/>
      <c r="C23" s="2591"/>
      <c r="D23" s="309"/>
      <c r="E23" s="309"/>
      <c r="F23" s="309"/>
      <c r="G23" s="497"/>
      <c r="H23" s="985"/>
      <c r="I23" s="985"/>
      <c r="J23" s="985"/>
      <c r="K23" s="499"/>
      <c r="L23" s="1989">
        <f>SUM(L5:L22)</f>
        <v>30000</v>
      </c>
      <c r="M23" s="499"/>
      <c r="N23" s="1468"/>
    </row>
    <row r="24" spans="1:14" s="455" customFormat="1" ht="13.5">
      <c r="A24" s="471"/>
      <c r="B24" s="454"/>
      <c r="C24" s="2593"/>
      <c r="D24" s="309"/>
      <c r="E24" s="309"/>
      <c r="F24" s="309"/>
      <c r="G24" s="497"/>
      <c r="H24" s="985"/>
      <c r="I24" s="985"/>
      <c r="J24" s="985"/>
      <c r="K24" s="499"/>
      <c r="L24" s="1025"/>
      <c r="M24" s="499"/>
      <c r="N24" s="1468"/>
    </row>
    <row r="25" spans="1:14" s="455" customFormat="1" ht="13.5">
      <c r="A25" s="471"/>
      <c r="B25" s="454"/>
      <c r="C25" s="392"/>
      <c r="D25" s="309"/>
      <c r="E25" s="309"/>
      <c r="F25" s="309"/>
      <c r="G25" s="497"/>
      <c r="H25" s="1056"/>
      <c r="I25" s="985"/>
      <c r="J25" s="985"/>
      <c r="K25" s="499"/>
      <c r="L25" s="1025"/>
      <c r="M25" s="499"/>
      <c r="N25" s="1465"/>
    </row>
    <row r="26" spans="1:14" s="455" customFormat="1" ht="13.5">
      <c r="A26" s="471"/>
      <c r="B26" s="454"/>
      <c r="C26" s="392"/>
      <c r="D26" s="309"/>
      <c r="E26" s="309"/>
      <c r="F26" s="309"/>
      <c r="G26" s="497"/>
      <c r="H26" s="985"/>
      <c r="I26" s="985"/>
      <c r="J26" s="985"/>
      <c r="K26" s="499"/>
      <c r="L26" s="1025"/>
      <c r="M26" s="499"/>
    </row>
    <row r="27" spans="1:14" s="455" customFormat="1" ht="13.5">
      <c r="A27" s="471"/>
      <c r="B27" s="454"/>
      <c r="C27" s="987"/>
      <c r="D27" s="314"/>
      <c r="E27" s="662"/>
      <c r="F27" s="309"/>
      <c r="G27" s="497"/>
      <c r="H27" s="985"/>
      <c r="I27" s="985"/>
      <c r="J27" s="985"/>
      <c r="K27" s="499"/>
      <c r="L27" s="1025"/>
      <c r="M27" s="499"/>
      <c r="N27" s="454"/>
    </row>
    <row r="28" spans="1:14" s="455" customFormat="1" ht="13.5">
      <c r="A28" s="471"/>
      <c r="B28" s="454"/>
      <c r="C28" s="987"/>
      <c r="D28" s="314"/>
      <c r="E28" s="662"/>
      <c r="F28" s="309"/>
      <c r="G28" s="497"/>
      <c r="H28" s="985"/>
      <c r="I28" s="985"/>
      <c r="J28" s="985"/>
      <c r="K28" s="499"/>
      <c r="L28" s="1025"/>
      <c r="M28" s="499"/>
      <c r="N28" s="458"/>
    </row>
    <row r="29" spans="1:14" s="455" customFormat="1" ht="13.5">
      <c r="A29" s="471"/>
      <c r="B29" s="454"/>
      <c r="C29" s="987"/>
      <c r="D29" s="314"/>
      <c r="E29" s="662"/>
      <c r="F29" s="309"/>
      <c r="G29" s="497"/>
      <c r="H29" s="985"/>
      <c r="I29" s="985"/>
      <c r="J29" s="985"/>
      <c r="K29" s="499"/>
      <c r="L29" s="1065"/>
      <c r="M29" s="499"/>
      <c r="N29" s="458"/>
    </row>
    <row r="30" spans="1:14" s="455" customFormat="1" ht="13.5">
      <c r="A30" s="471"/>
      <c r="B30" s="454"/>
      <c r="C30" s="987"/>
      <c r="D30" s="309"/>
      <c r="E30" s="662"/>
      <c r="F30" s="309"/>
      <c r="G30" s="497"/>
      <c r="H30" s="985"/>
      <c r="I30" s="985"/>
      <c r="J30" s="985"/>
      <c r="K30" s="499"/>
      <c r="L30" s="1065"/>
      <c r="M30" s="499"/>
      <c r="N30" s="458"/>
    </row>
    <row r="31" spans="1:14" s="455" customFormat="1" ht="13.5">
      <c r="A31" s="471"/>
      <c r="B31" s="454"/>
      <c r="C31" s="314"/>
      <c r="D31" s="314"/>
      <c r="E31" s="309"/>
      <c r="F31" s="309"/>
      <c r="G31" s="497"/>
      <c r="H31" s="985"/>
      <c r="I31" s="985"/>
      <c r="J31" s="985"/>
      <c r="K31" s="309"/>
      <c r="L31" s="1015"/>
      <c r="M31" s="499"/>
      <c r="N31" s="458"/>
    </row>
    <row r="32" spans="1:14" s="455" customFormat="1" ht="13.5">
      <c r="A32" s="471"/>
      <c r="B32" s="454"/>
      <c r="C32" s="314"/>
      <c r="D32" s="314"/>
      <c r="E32" s="309"/>
      <c r="F32" s="309"/>
      <c r="G32" s="497"/>
      <c r="H32" s="985"/>
      <c r="I32" s="985"/>
      <c r="J32" s="985"/>
      <c r="K32" s="309"/>
      <c r="L32" s="1015"/>
      <c r="M32" s="499"/>
      <c r="N32" s="460"/>
    </row>
    <row r="33" spans="1:15" s="455" customFormat="1" ht="13.5">
      <c r="A33" s="471"/>
      <c r="B33" s="454"/>
      <c r="C33" s="314"/>
      <c r="D33" s="314"/>
      <c r="E33" s="560"/>
      <c r="F33" s="309"/>
      <c r="G33" s="497"/>
      <c r="H33" s="985"/>
      <c r="I33" s="985"/>
      <c r="J33" s="985"/>
      <c r="K33" s="309"/>
      <c r="L33" s="1015"/>
      <c r="M33" s="499"/>
      <c r="N33" s="454"/>
    </row>
    <row r="34" spans="1:15" s="455" customFormat="1" ht="13.5">
      <c r="A34" s="471"/>
      <c r="B34" s="454"/>
      <c r="C34" s="987"/>
      <c r="D34" s="314"/>
      <c r="E34" s="662"/>
      <c r="F34" s="309"/>
      <c r="G34" s="497"/>
      <c r="H34" s="985"/>
      <c r="I34" s="985"/>
      <c r="J34" s="985"/>
      <c r="K34" s="499"/>
      <c r="L34" s="1065"/>
      <c r="M34" s="499"/>
      <c r="N34" s="458"/>
    </row>
    <row r="35" spans="1:15" s="455" customFormat="1" ht="13.5">
      <c r="A35" s="471"/>
      <c r="B35" s="454"/>
      <c r="C35" s="392"/>
      <c r="D35" s="309"/>
      <c r="E35" s="309"/>
      <c r="F35" s="662"/>
      <c r="G35" s="309"/>
      <c r="H35" s="497"/>
      <c r="I35" s="985"/>
      <c r="J35" s="985"/>
      <c r="K35" s="1066"/>
      <c r="L35" s="1067"/>
      <c r="M35" s="1025"/>
      <c r="N35" s="1068"/>
      <c r="O35" s="458"/>
    </row>
    <row r="36" spans="1:15" s="455" customFormat="1" ht="13.5">
      <c r="A36" s="471"/>
      <c r="B36" s="454"/>
      <c r="C36" s="471"/>
      <c r="D36" s="456"/>
      <c r="E36" s="459"/>
      <c r="F36" s="466"/>
      <c r="G36" s="471"/>
      <c r="H36" s="477"/>
      <c r="I36" s="526"/>
      <c r="J36" s="526"/>
      <c r="K36" s="526"/>
      <c r="L36" s="473"/>
      <c r="M36" s="529"/>
      <c r="N36" s="471"/>
      <c r="O36" s="458"/>
    </row>
    <row r="37" spans="1:15" s="455" customFormat="1" ht="13.5">
      <c r="A37" s="471"/>
      <c r="B37" s="454"/>
      <c r="C37" s="471"/>
      <c r="D37" s="456"/>
      <c r="E37" s="459"/>
      <c r="F37" s="466"/>
      <c r="G37" s="471"/>
      <c r="H37" s="477"/>
      <c r="I37" s="526"/>
      <c r="J37" s="526"/>
      <c r="K37" s="526"/>
      <c r="L37" s="473"/>
      <c r="M37" s="529"/>
      <c r="N37" s="471"/>
      <c r="O37" s="458"/>
    </row>
    <row r="38" spans="1:15" s="455" customFormat="1" ht="13.5">
      <c r="A38" s="471"/>
      <c r="B38" s="454"/>
      <c r="C38" s="314"/>
      <c r="D38" s="309"/>
      <c r="E38" s="309"/>
      <c r="F38" s="309"/>
      <c r="G38" s="309"/>
      <c r="H38" s="309"/>
      <c r="I38" s="309"/>
      <c r="J38" s="309"/>
      <c r="K38" s="309"/>
      <c r="L38" s="309"/>
      <c r="M38" s="309"/>
      <c r="N38" s="309"/>
    </row>
    <row r="39" spans="1:15" s="455" customFormat="1" ht="13.5">
      <c r="A39" s="471"/>
      <c r="B39" s="454"/>
      <c r="C39" s="314"/>
      <c r="D39" s="314"/>
      <c r="E39" s="309"/>
      <c r="F39" s="309"/>
      <c r="G39" s="497"/>
      <c r="H39" s="1056"/>
      <c r="I39" s="309"/>
      <c r="J39" s="309"/>
      <c r="K39" s="499"/>
      <c r="L39" s="1069"/>
      <c r="M39" s="309"/>
      <c r="N39" s="454"/>
    </row>
    <row r="40" spans="1:15" s="455" customFormat="1" ht="13.5">
      <c r="A40" s="471"/>
      <c r="B40" s="454"/>
      <c r="C40" s="314"/>
      <c r="D40" s="314"/>
      <c r="E40" s="309"/>
      <c r="F40" s="309"/>
      <c r="G40" s="497"/>
      <c r="H40" s="1056"/>
      <c r="I40" s="309"/>
      <c r="J40" s="309"/>
      <c r="K40" s="499"/>
      <c r="L40" s="1069"/>
      <c r="M40" s="499"/>
      <c r="N40" s="458"/>
    </row>
    <row r="41" spans="1:15" s="455" customFormat="1" ht="13.5">
      <c r="A41" s="471"/>
      <c r="B41" s="454"/>
      <c r="C41" s="314"/>
      <c r="D41" s="314"/>
      <c r="E41" s="309"/>
      <c r="F41" s="309"/>
      <c r="G41" s="497"/>
      <c r="H41" s="1056"/>
      <c r="I41" s="309"/>
      <c r="J41" s="309"/>
      <c r="K41" s="499"/>
      <c r="L41" s="1069"/>
      <c r="M41" s="499"/>
      <c r="N41" s="458"/>
    </row>
    <row r="42" spans="1:15" s="455" customFormat="1" ht="13.5">
      <c r="A42" s="471"/>
      <c r="B42" s="454"/>
      <c r="C42" s="314"/>
      <c r="D42" s="314"/>
      <c r="E42" s="662"/>
      <c r="F42" s="309"/>
      <c r="G42" s="497"/>
      <c r="H42" s="1056"/>
      <c r="I42" s="985"/>
      <c r="J42" s="985"/>
      <c r="K42" s="499"/>
      <c r="L42" s="1016"/>
      <c r="M42" s="499"/>
      <c r="N42" s="458"/>
    </row>
    <row r="43" spans="1:15" s="455" customFormat="1" ht="13.5">
      <c r="A43" s="471"/>
      <c r="B43" s="454"/>
      <c r="C43" s="314"/>
      <c r="D43" s="314"/>
      <c r="E43" s="662"/>
      <c r="F43" s="309"/>
      <c r="G43" s="497"/>
      <c r="H43" s="1056"/>
      <c r="I43" s="985"/>
      <c r="J43" s="985"/>
      <c r="K43" s="499"/>
      <c r="L43" s="1016"/>
      <c r="M43" s="499"/>
      <c r="N43" s="458"/>
    </row>
    <row r="44" spans="1:15" s="455" customFormat="1" ht="13.5">
      <c r="A44" s="471"/>
      <c r="B44" s="454"/>
      <c r="C44" s="314"/>
      <c r="D44" s="314"/>
      <c r="E44" s="662"/>
      <c r="F44" s="309"/>
      <c r="G44" s="497"/>
      <c r="H44" s="1056"/>
      <c r="I44" s="985"/>
      <c r="J44" s="985"/>
      <c r="K44" s="499"/>
      <c r="L44" s="1071"/>
      <c r="M44" s="499"/>
    </row>
    <row r="45" spans="1:15" s="455" customFormat="1" ht="13.5">
      <c r="A45" s="471"/>
      <c r="B45" s="454"/>
      <c r="C45" s="314"/>
      <c r="D45" s="314"/>
      <c r="E45" s="662"/>
      <c r="F45" s="309"/>
      <c r="G45" s="497"/>
      <c r="H45" s="1056"/>
      <c r="I45" s="985"/>
      <c r="J45" s="985"/>
      <c r="K45" s="499"/>
      <c r="L45" s="1071"/>
      <c r="M45" s="499"/>
    </row>
    <row r="46" spans="1:15" s="455" customFormat="1" ht="13.5">
      <c r="A46" s="471"/>
      <c r="B46" s="454"/>
      <c r="C46" s="314"/>
      <c r="D46" s="314"/>
      <c r="E46" s="662"/>
      <c r="F46" s="309"/>
      <c r="G46" s="497"/>
      <c r="H46" s="1056"/>
      <c r="I46" s="985"/>
      <c r="J46" s="985"/>
      <c r="K46" s="499"/>
      <c r="L46" s="1016"/>
      <c r="M46" s="499"/>
    </row>
    <row r="47" spans="1:15" s="455" customFormat="1" ht="13.5">
      <c r="A47" s="471"/>
      <c r="B47" s="454"/>
      <c r="C47" s="314"/>
      <c r="D47" s="314"/>
      <c r="E47" s="662"/>
      <c r="F47" s="309"/>
      <c r="G47" s="497"/>
      <c r="H47" s="1056"/>
      <c r="I47" s="985"/>
      <c r="J47" s="985"/>
      <c r="K47" s="499"/>
      <c r="L47" s="1016"/>
      <c r="M47" s="499"/>
    </row>
    <row r="48" spans="1:15" s="455" customFormat="1" ht="13.5">
      <c r="A48" s="471"/>
      <c r="B48" s="454"/>
      <c r="C48" s="314"/>
      <c r="D48" s="314"/>
      <c r="E48" s="662"/>
      <c r="F48" s="309"/>
      <c r="G48" s="497"/>
      <c r="H48" s="1056"/>
      <c r="I48" s="985"/>
      <c r="J48" s="985"/>
      <c r="K48" s="499"/>
      <c r="L48" s="1016"/>
      <c r="M48" s="499"/>
      <c r="N48" s="458"/>
    </row>
    <row r="49" spans="1:15" s="455" customFormat="1" ht="13.5">
      <c r="A49" s="471"/>
      <c r="B49" s="454"/>
      <c r="C49" s="314"/>
      <c r="D49" s="314"/>
      <c r="E49" s="662"/>
      <c r="F49" s="309"/>
      <c r="G49" s="497"/>
      <c r="H49" s="1056"/>
      <c r="I49" s="985"/>
      <c r="J49" s="985"/>
      <c r="K49" s="499"/>
      <c r="L49" s="1016"/>
      <c r="M49" s="499"/>
      <c r="N49" s="458"/>
    </row>
    <row r="50" spans="1:15" s="455" customFormat="1" ht="13.5">
      <c r="A50" s="471"/>
      <c r="B50" s="454"/>
      <c r="C50" s="314"/>
      <c r="D50" s="314"/>
      <c r="E50" s="662"/>
      <c r="F50" s="309"/>
      <c r="G50" s="497"/>
      <c r="H50" s="1056"/>
      <c r="I50" s="985"/>
      <c r="J50" s="985"/>
      <c r="K50" s="499"/>
      <c r="L50" s="1016"/>
      <c r="M50" s="499"/>
      <c r="N50" s="458"/>
    </row>
    <row r="51" spans="1:15" s="455" customFormat="1" ht="13.5">
      <c r="A51" s="471"/>
      <c r="B51" s="454"/>
      <c r="C51" s="2591"/>
      <c r="D51" s="314"/>
      <c r="E51" s="662"/>
      <c r="F51" s="309"/>
      <c r="G51" s="497"/>
      <c r="H51" s="1056"/>
      <c r="I51" s="985"/>
      <c r="J51" s="985"/>
      <c r="K51" s="499"/>
      <c r="L51" s="1016"/>
      <c r="M51" s="499"/>
    </row>
    <row r="52" spans="1:15" s="455" customFormat="1" ht="13.5">
      <c r="A52" s="471"/>
      <c r="B52" s="454"/>
      <c r="C52" s="2593"/>
      <c r="D52" s="314"/>
      <c r="E52" s="662"/>
      <c r="F52" s="309"/>
      <c r="G52" s="497"/>
      <c r="H52" s="1056"/>
      <c r="I52" s="985"/>
      <c r="J52" s="985"/>
      <c r="K52" s="499"/>
      <c r="L52" s="1016"/>
      <c r="M52" s="499"/>
      <c r="N52" s="454"/>
    </row>
    <row r="53" spans="1:15" s="455" customFormat="1" ht="13.5">
      <c r="A53" s="471"/>
      <c r="B53" s="454"/>
      <c r="C53" s="2591"/>
      <c r="D53" s="314"/>
      <c r="E53" s="662"/>
      <c r="F53" s="309"/>
      <c r="G53" s="497"/>
      <c r="H53" s="1056"/>
      <c r="I53" s="985"/>
      <c r="J53" s="985"/>
      <c r="K53" s="499"/>
      <c r="L53" s="1016"/>
      <c r="M53" s="499"/>
      <c r="N53" s="458"/>
    </row>
    <row r="54" spans="1:15" s="455" customFormat="1" ht="13.5">
      <c r="A54" s="471"/>
      <c r="B54" s="454"/>
      <c r="C54" s="2592"/>
      <c r="D54" s="314"/>
      <c r="E54" s="662"/>
      <c r="F54" s="309"/>
      <c r="G54" s="497"/>
      <c r="H54" s="1056"/>
      <c r="I54" s="985"/>
      <c r="J54" s="985"/>
      <c r="K54" s="499"/>
      <c r="L54" s="1016"/>
      <c r="M54" s="499"/>
      <c r="N54" s="458"/>
    </row>
    <row r="55" spans="1:15" s="455" customFormat="1" ht="13.5">
      <c r="A55" s="471"/>
      <c r="B55" s="454"/>
      <c r="C55" s="2593"/>
      <c r="D55" s="314"/>
      <c r="E55" s="662"/>
      <c r="F55" s="309"/>
      <c r="G55" s="497"/>
      <c r="H55" s="1056"/>
      <c r="I55" s="985"/>
      <c r="J55" s="985"/>
      <c r="K55" s="499"/>
      <c r="L55" s="1016"/>
      <c r="M55" s="499"/>
      <c r="N55" s="458"/>
    </row>
    <row r="56" spans="1:15" s="455" customFormat="1" ht="13.5">
      <c r="A56" s="471"/>
      <c r="B56" s="454"/>
      <c r="C56" s="314"/>
      <c r="D56" s="314"/>
      <c r="E56" s="662"/>
      <c r="F56" s="309"/>
      <c r="G56" s="497"/>
      <c r="H56" s="985"/>
      <c r="I56" s="985"/>
      <c r="J56" s="985"/>
      <c r="K56" s="499"/>
      <c r="L56" s="1016"/>
      <c r="M56" s="499"/>
      <c r="N56" s="458"/>
    </row>
    <row r="57" spans="1:15" s="455" customFormat="1" ht="13.5">
      <c r="A57" s="471"/>
      <c r="B57" s="454"/>
      <c r="C57" s="314"/>
      <c r="D57" s="314"/>
      <c r="E57" s="662"/>
      <c r="F57" s="309"/>
      <c r="G57" s="497"/>
      <c r="H57" s="985"/>
      <c r="I57" s="985"/>
      <c r="J57" s="985"/>
      <c r="K57" s="499"/>
      <c r="L57" s="1016"/>
      <c r="M57" s="499"/>
      <c r="N57" s="460"/>
    </row>
    <row r="58" spans="1:15" s="455" customFormat="1" ht="13.5">
      <c r="C58" s="314"/>
      <c r="D58" s="314"/>
      <c r="E58" s="662"/>
      <c r="F58" s="662"/>
      <c r="G58" s="309"/>
      <c r="H58" s="497"/>
      <c r="I58" s="1056"/>
      <c r="J58" s="985"/>
      <c r="K58" s="985"/>
      <c r="L58" s="499"/>
      <c r="M58" s="1025"/>
      <c r="N58" s="499"/>
    </row>
    <row r="59" spans="1:15" s="455" customFormat="1" ht="13.5">
      <c r="C59" s="902"/>
      <c r="D59" s="309"/>
      <c r="E59" s="662"/>
      <c r="F59" s="662"/>
      <c r="G59" s="309"/>
      <c r="H59" s="497"/>
      <c r="I59" s="653"/>
      <c r="J59" s="985"/>
      <c r="K59" s="1469"/>
      <c r="L59" s="499"/>
      <c r="M59" s="1025"/>
      <c r="N59" s="499"/>
    </row>
    <row r="60" spans="1:15" s="455" customFormat="1" ht="13.5">
      <c r="A60" s="566"/>
      <c r="B60" s="467"/>
      <c r="C60" s="499"/>
      <c r="D60" s="309"/>
      <c r="E60" s="391"/>
      <c r="F60" s="499"/>
      <c r="G60" s="497"/>
      <c r="H60" s="498"/>
      <c r="I60" s="498"/>
      <c r="J60" s="498"/>
      <c r="K60" s="499"/>
      <c r="L60" s="1470"/>
      <c r="M60" s="309"/>
      <c r="N60" s="499"/>
    </row>
    <row r="61" spans="1:15" s="455" customFormat="1" ht="13.5">
      <c r="A61" s="566"/>
      <c r="B61" s="467"/>
      <c r="C61" s="497"/>
      <c r="D61" s="691"/>
      <c r="E61" s="675"/>
      <c r="F61" s="675"/>
      <c r="G61" s="654"/>
      <c r="H61" s="502"/>
      <c r="I61" s="652"/>
      <c r="J61" s="497"/>
      <c r="K61" s="653"/>
      <c r="L61" s="502"/>
      <c r="M61" s="538"/>
      <c r="N61" s="392"/>
      <c r="O61" s="502"/>
    </row>
    <row r="62" spans="1:15" s="455" customFormat="1" ht="13.5">
      <c r="A62" s="566"/>
      <c r="B62" s="467"/>
      <c r="C62" s="497"/>
      <c r="D62" s="691"/>
      <c r="E62" s="675"/>
      <c r="F62" s="675"/>
      <c r="G62" s="654"/>
      <c r="H62" s="502"/>
      <c r="I62" s="652"/>
      <c r="J62" s="497"/>
      <c r="K62" s="653"/>
      <c r="L62" s="502"/>
      <c r="M62" s="538"/>
      <c r="N62" s="392"/>
      <c r="O62" s="502"/>
    </row>
    <row r="63" spans="1:15" s="455" customFormat="1" ht="13.5">
      <c r="A63" s="566"/>
      <c r="B63" s="467"/>
      <c r="C63" s="497"/>
      <c r="D63" s="691"/>
      <c r="E63" s="675"/>
      <c r="F63" s="675"/>
      <c r="G63" s="654"/>
      <c r="H63" s="502"/>
      <c r="I63" s="652"/>
      <c r="J63" s="497"/>
      <c r="K63" s="653"/>
      <c r="L63" s="502"/>
      <c r="M63" s="538"/>
      <c r="N63" s="392"/>
      <c r="O63" s="502"/>
    </row>
    <row r="64" spans="1:15" s="455" customFormat="1" ht="13.5">
      <c r="A64" s="566"/>
      <c r="B64" s="467"/>
      <c r="C64" s="497"/>
      <c r="D64" s="691"/>
      <c r="E64" s="675"/>
      <c r="F64" s="675"/>
      <c r="G64" s="654"/>
      <c r="H64" s="502"/>
      <c r="I64" s="652"/>
      <c r="J64" s="497"/>
      <c r="K64" s="653"/>
      <c r="L64" s="502"/>
      <c r="M64" s="538"/>
      <c r="N64" s="392"/>
      <c r="O64" s="502"/>
    </row>
    <row r="65" spans="1:15" s="455" customFormat="1" ht="13.5">
      <c r="C65" s="1384"/>
      <c r="D65" s="314"/>
      <c r="E65" s="662"/>
      <c r="F65" s="662"/>
      <c r="G65" s="309"/>
      <c r="H65" s="497"/>
      <c r="I65" s="653"/>
      <c r="J65" s="985"/>
      <c r="K65" s="1469"/>
      <c r="L65" s="499"/>
      <c r="M65" s="1025"/>
      <c r="N65" s="499"/>
    </row>
    <row r="66" spans="1:15" s="455" customFormat="1" ht="13.5">
      <c r="C66" s="1384"/>
      <c r="D66" s="314"/>
      <c r="E66" s="662"/>
      <c r="F66" s="662"/>
      <c r="G66" s="309"/>
      <c r="H66" s="497"/>
      <c r="I66" s="653"/>
      <c r="J66" s="985"/>
      <c r="K66" s="1469"/>
      <c r="L66" s="499"/>
      <c r="M66" s="1025"/>
      <c r="N66" s="499"/>
    </row>
    <row r="67" spans="1:15" s="455" customFormat="1" ht="13.5">
      <c r="A67" s="566"/>
      <c r="B67" s="467"/>
      <c r="C67" s="499"/>
      <c r="D67" s="309"/>
      <c r="E67" s="391"/>
      <c r="F67" s="499"/>
      <c r="G67" s="497"/>
      <c r="H67" s="498"/>
      <c r="I67" s="498"/>
      <c r="J67" s="498"/>
      <c r="K67" s="499"/>
      <c r="L67" s="1470"/>
      <c r="M67" s="309"/>
      <c r="N67" s="499"/>
    </row>
    <row r="68" spans="1:15" s="455" customFormat="1" ht="13.5">
      <c r="A68" s="566"/>
      <c r="B68" s="467"/>
      <c r="C68" s="497"/>
      <c r="D68" s="691"/>
      <c r="E68" s="675"/>
      <c r="F68" s="675"/>
      <c r="G68" s="654"/>
      <c r="H68" s="502"/>
      <c r="I68" s="652"/>
      <c r="J68" s="497"/>
      <c r="K68" s="653"/>
      <c r="L68" s="502"/>
      <c r="M68" s="538"/>
      <c r="N68" s="392"/>
      <c r="O68" s="502"/>
    </row>
    <row r="69" spans="1:15" s="455" customFormat="1" ht="13.5">
      <c r="A69" s="566"/>
      <c r="B69" s="467"/>
      <c r="C69" s="497"/>
      <c r="D69" s="691"/>
      <c r="E69" s="675"/>
      <c r="F69" s="675"/>
      <c r="G69" s="654"/>
      <c r="H69" s="502"/>
      <c r="I69" s="652"/>
      <c r="J69" s="497"/>
      <c r="K69" s="653"/>
      <c r="L69" s="502"/>
      <c r="M69" s="538"/>
      <c r="N69" s="392"/>
      <c r="O69" s="502"/>
    </row>
    <row r="70" spans="1:15" s="455" customFormat="1" ht="13.5">
      <c r="A70" s="566"/>
      <c r="B70" s="467"/>
      <c r="C70" s="497"/>
      <c r="D70" s="691"/>
      <c r="E70" s="675"/>
      <c r="F70" s="675"/>
      <c r="G70" s="654"/>
      <c r="H70" s="502"/>
      <c r="I70" s="652"/>
      <c r="J70" s="497"/>
      <c r="K70" s="653"/>
      <c r="L70" s="502"/>
      <c r="M70" s="538"/>
      <c r="N70" s="392"/>
      <c r="O70" s="502"/>
    </row>
    <row r="71" spans="1:15" s="455" customFormat="1" ht="13.5">
      <c r="A71" s="566"/>
      <c r="B71" s="467"/>
      <c r="C71" s="497"/>
      <c r="D71" s="691"/>
      <c r="E71" s="675"/>
      <c r="F71" s="675"/>
      <c r="G71" s="654"/>
      <c r="H71" s="502"/>
      <c r="I71" s="652"/>
      <c r="J71" s="497"/>
      <c r="K71" s="653"/>
      <c r="L71" s="502"/>
      <c r="M71" s="538"/>
      <c r="N71" s="392"/>
      <c r="O71" s="502"/>
    </row>
    <row r="72" spans="1:15" s="455" customFormat="1" ht="13.5">
      <c r="C72" s="1385"/>
      <c r="D72" s="314"/>
      <c r="E72" s="991"/>
      <c r="F72" s="662"/>
      <c r="G72" s="309"/>
      <c r="H72" s="497"/>
      <c r="I72" s="774"/>
      <c r="J72" s="774"/>
      <c r="K72" s="774"/>
      <c r="L72" s="499"/>
      <c r="M72" s="1028"/>
      <c r="N72" s="499"/>
    </row>
    <row r="73" spans="1:15" s="455" customFormat="1" ht="13.5">
      <c r="C73" s="314"/>
      <c r="D73" s="314"/>
      <c r="E73" s="991"/>
      <c r="F73" s="662"/>
      <c r="G73" s="309"/>
      <c r="H73" s="497"/>
      <c r="I73" s="774"/>
      <c r="J73" s="774"/>
      <c r="K73" s="1471"/>
      <c r="L73" s="499"/>
      <c r="M73" s="1028"/>
      <c r="N73" s="499"/>
    </row>
    <row r="74" spans="1:15" s="455" customFormat="1" ht="13.5">
      <c r="C74" s="1027"/>
      <c r="D74" s="314"/>
      <c r="E74" s="991"/>
      <c r="F74" s="662"/>
      <c r="G74" s="309"/>
      <c r="H74" s="497"/>
      <c r="I74" s="1056"/>
      <c r="J74" s="985"/>
      <c r="K74" s="985"/>
      <c r="L74" s="499"/>
      <c r="M74" s="1028"/>
      <c r="N74" s="499"/>
    </row>
    <row r="75" spans="1:15" s="455" customFormat="1" ht="13.5">
      <c r="C75" s="499"/>
      <c r="D75" s="309"/>
      <c r="E75" s="391"/>
      <c r="F75" s="499"/>
      <c r="G75" s="497"/>
      <c r="H75" s="498"/>
      <c r="I75" s="498"/>
      <c r="J75" s="498"/>
      <c r="K75" s="499"/>
      <c r="L75" s="1472"/>
      <c r="M75" s="309"/>
      <c r="N75" s="499"/>
    </row>
    <row r="76" spans="1:15" s="455" customFormat="1" ht="13.5">
      <c r="C76" s="497"/>
      <c r="D76" s="691"/>
      <c r="E76" s="675"/>
      <c r="F76" s="675"/>
      <c r="G76" s="654"/>
      <c r="H76" s="502"/>
      <c r="I76" s="652"/>
      <c r="J76" s="497"/>
      <c r="K76" s="653"/>
      <c r="L76" s="502"/>
      <c r="M76" s="538"/>
      <c r="N76" s="392"/>
      <c r="O76" s="502"/>
    </row>
    <row r="77" spans="1:15" s="455" customFormat="1" ht="13.5">
      <c r="C77" s="497"/>
      <c r="D77" s="691"/>
      <c r="E77" s="675"/>
      <c r="F77" s="675"/>
      <c r="G77" s="654"/>
      <c r="H77" s="502"/>
      <c r="I77" s="652"/>
      <c r="J77" s="497"/>
      <c r="K77" s="653"/>
      <c r="L77" s="502"/>
      <c r="M77" s="538"/>
      <c r="N77" s="392"/>
      <c r="O77" s="502"/>
    </row>
    <row r="78" spans="1:15" s="455" customFormat="1" ht="13.5">
      <c r="C78" s="497"/>
      <c r="D78" s="691"/>
      <c r="E78" s="675"/>
      <c r="F78" s="675"/>
      <c r="G78" s="654"/>
      <c r="H78" s="502"/>
      <c r="I78" s="652"/>
      <c r="J78" s="497"/>
      <c r="K78" s="653"/>
      <c r="L78" s="502"/>
      <c r="M78" s="538"/>
      <c r="N78" s="392"/>
      <c r="O78" s="502"/>
    </row>
    <row r="79" spans="1:15" s="455" customFormat="1" ht="13.5">
      <c r="C79" s="497"/>
      <c r="D79" s="691"/>
      <c r="E79" s="675"/>
      <c r="F79" s="675"/>
      <c r="G79" s="654"/>
      <c r="H79" s="502"/>
      <c r="I79" s="652"/>
      <c r="J79" s="497"/>
      <c r="K79" s="653"/>
      <c r="L79" s="502"/>
      <c r="M79" s="538"/>
      <c r="N79" s="392"/>
      <c r="O79" s="502"/>
    </row>
    <row r="80" spans="1:15" s="455" customFormat="1" ht="13.5">
      <c r="C80" s="497"/>
      <c r="D80" s="691"/>
      <c r="E80" s="675"/>
      <c r="F80" s="675"/>
      <c r="G80" s="654"/>
      <c r="H80" s="502"/>
      <c r="I80" s="652"/>
      <c r="J80" s="497"/>
      <c r="K80" s="653"/>
      <c r="L80" s="502"/>
      <c r="M80" s="538"/>
      <c r="N80" s="392"/>
      <c r="O80" s="502"/>
    </row>
    <row r="81" spans="3:15" s="455" customFormat="1" ht="13.5">
      <c r="C81" s="497"/>
      <c r="D81" s="691"/>
      <c r="E81" s="675"/>
      <c r="F81" s="675"/>
      <c r="G81" s="654"/>
      <c r="H81" s="502"/>
      <c r="I81" s="652"/>
      <c r="J81" s="497"/>
      <c r="K81" s="653"/>
      <c r="L81" s="502"/>
      <c r="M81" s="538"/>
      <c r="N81" s="392"/>
      <c r="O81" s="502"/>
    </row>
    <row r="82" spans="3:15" s="455" customFormat="1" ht="13.5">
      <c r="C82" s="497"/>
      <c r="D82" s="691"/>
      <c r="E82" s="675"/>
      <c r="F82" s="1473"/>
      <c r="G82" s="654"/>
      <c r="H82" s="502"/>
      <c r="I82" s="652"/>
      <c r="J82" s="497"/>
      <c r="K82" s="653"/>
      <c r="L82" s="502"/>
      <c r="M82" s="538"/>
      <c r="N82" s="392"/>
      <c r="O82" s="502"/>
    </row>
    <row r="83" spans="3:15" s="355" customFormat="1" ht="13.5">
      <c r="C83" s="400"/>
      <c r="D83" s="400"/>
      <c r="E83" s="401"/>
      <c r="F83" s="402"/>
      <c r="G83" s="402"/>
      <c r="H83" s="403"/>
      <c r="I83" s="403"/>
      <c r="J83" s="403"/>
      <c r="K83" s="402"/>
      <c r="L83" s="404"/>
      <c r="M83" s="402"/>
      <c r="N83" s="405"/>
    </row>
    <row r="84" spans="3:15" s="355" customFormat="1" ht="13.5">
      <c r="C84" s="400"/>
      <c r="D84" s="400"/>
      <c r="E84" s="401"/>
      <c r="F84" s="402"/>
      <c r="G84" s="402"/>
      <c r="H84" s="403"/>
      <c r="I84" s="403"/>
      <c r="J84" s="403"/>
      <c r="K84" s="402"/>
      <c r="L84" s="404"/>
      <c r="M84" s="402"/>
      <c r="N84" s="405"/>
    </row>
    <row r="85" spans="3:15" s="355" customFormat="1" ht="13.5">
      <c r="C85" s="400"/>
      <c r="D85" s="400"/>
      <c r="E85" s="401"/>
      <c r="F85" s="402"/>
      <c r="G85" s="402"/>
      <c r="H85" s="403"/>
      <c r="I85" s="403"/>
      <c r="J85" s="403"/>
      <c r="K85" s="402"/>
      <c r="L85" s="404"/>
      <c r="M85" s="402"/>
      <c r="N85" s="405"/>
    </row>
    <row r="86" spans="3:15" s="355" customFormat="1" ht="13.5">
      <c r="C86" s="400"/>
      <c r="D86" s="400"/>
      <c r="E86" s="401"/>
      <c r="F86" s="402"/>
      <c r="G86" s="402"/>
      <c r="H86" s="403"/>
      <c r="I86" s="403"/>
      <c r="J86" s="403"/>
      <c r="K86" s="402"/>
      <c r="L86" s="404"/>
      <c r="M86" s="402"/>
      <c r="N86" s="405"/>
    </row>
    <row r="87" spans="3:15" s="355" customFormat="1" ht="13.5">
      <c r="C87" s="400"/>
      <c r="D87" s="400"/>
      <c r="E87" s="401"/>
      <c r="F87" s="402"/>
      <c r="G87" s="402"/>
      <c r="H87" s="403"/>
      <c r="I87" s="403"/>
      <c r="J87" s="403"/>
      <c r="K87" s="402"/>
      <c r="L87" s="404"/>
      <c r="M87" s="402"/>
      <c r="N87" s="405"/>
    </row>
    <row r="88" spans="3:15" s="355" customFormat="1" ht="13.5">
      <c r="C88" s="400"/>
      <c r="D88" s="400"/>
      <c r="E88" s="401"/>
      <c r="F88" s="402"/>
      <c r="G88" s="402"/>
      <c r="H88" s="403"/>
      <c r="I88" s="403"/>
      <c r="J88" s="403"/>
      <c r="K88" s="402"/>
      <c r="L88" s="404"/>
      <c r="M88" s="402"/>
      <c r="N88" s="405"/>
    </row>
    <row r="89" spans="3:15" s="355" customFormat="1" ht="13.5">
      <c r="C89" s="400"/>
      <c r="D89" s="400"/>
      <c r="E89" s="401"/>
      <c r="F89" s="402"/>
      <c r="G89" s="402"/>
      <c r="H89" s="403"/>
      <c r="I89" s="403"/>
      <c r="J89" s="403"/>
      <c r="K89" s="402"/>
      <c r="L89" s="404"/>
      <c r="M89" s="402"/>
      <c r="N89" s="405"/>
    </row>
    <row r="90" spans="3:15" s="355" customFormat="1" ht="13.5">
      <c r="C90" s="400"/>
      <c r="D90" s="400"/>
      <c r="E90" s="401"/>
      <c r="F90" s="402"/>
      <c r="G90" s="402"/>
      <c r="H90" s="403"/>
      <c r="I90" s="403"/>
      <c r="J90" s="403"/>
      <c r="K90" s="402"/>
      <c r="L90" s="404"/>
      <c r="M90" s="402"/>
      <c r="N90" s="405"/>
    </row>
    <row r="91" spans="3:15" s="355" customFormat="1" ht="13.5">
      <c r="C91" s="400"/>
      <c r="D91" s="400"/>
      <c r="E91" s="401"/>
      <c r="F91" s="402"/>
      <c r="G91" s="402"/>
      <c r="H91" s="403"/>
      <c r="I91" s="403"/>
      <c r="J91" s="403"/>
      <c r="K91" s="402"/>
      <c r="L91" s="404"/>
      <c r="M91" s="402"/>
      <c r="N91" s="405"/>
    </row>
    <row r="92" spans="3:15" s="355" customFormat="1" ht="13.5">
      <c r="C92" s="400"/>
      <c r="D92" s="400"/>
      <c r="E92" s="401"/>
      <c r="F92" s="402"/>
      <c r="G92" s="402"/>
      <c r="H92" s="403"/>
      <c r="I92" s="403"/>
      <c r="J92" s="403"/>
      <c r="K92" s="402"/>
      <c r="L92" s="404"/>
      <c r="M92" s="402"/>
      <c r="N92" s="405"/>
    </row>
    <row r="93" spans="3:15" s="355" customFormat="1" ht="13.5">
      <c r="C93" s="400"/>
      <c r="D93" s="400"/>
      <c r="E93" s="401"/>
      <c r="F93" s="402"/>
      <c r="G93" s="402"/>
      <c r="H93" s="403"/>
      <c r="I93" s="403"/>
      <c r="J93" s="403"/>
      <c r="K93" s="402"/>
      <c r="L93" s="404"/>
      <c r="M93" s="402"/>
      <c r="N93" s="405"/>
    </row>
    <row r="94" spans="3:15" s="355" customFormat="1" ht="13.5">
      <c r="C94" s="400"/>
      <c r="D94" s="400"/>
      <c r="E94" s="401"/>
      <c r="F94" s="402"/>
      <c r="G94" s="402"/>
      <c r="H94" s="403"/>
      <c r="I94" s="403"/>
      <c r="J94" s="403"/>
      <c r="K94" s="402"/>
      <c r="L94" s="404"/>
      <c r="M94" s="402"/>
      <c r="N94" s="405"/>
    </row>
    <row r="95" spans="3:15" s="355" customFormat="1" ht="13.5">
      <c r="C95" s="400"/>
      <c r="D95" s="400"/>
      <c r="E95" s="401"/>
      <c r="F95" s="402"/>
      <c r="G95" s="402"/>
      <c r="H95" s="403"/>
      <c r="I95" s="403"/>
      <c r="J95" s="403"/>
      <c r="K95" s="402"/>
      <c r="L95" s="404"/>
      <c r="M95" s="407"/>
      <c r="N95" s="405"/>
    </row>
    <row r="96" spans="3:15" s="355" customFormat="1" ht="13.5">
      <c r="C96" s="400"/>
      <c r="D96" s="400"/>
      <c r="E96" s="401"/>
      <c r="F96" s="402"/>
      <c r="G96" s="403"/>
      <c r="H96" s="403"/>
      <c r="I96" s="403"/>
      <c r="J96" s="403"/>
      <c r="K96" s="408"/>
      <c r="L96" s="404"/>
      <c r="M96" s="407"/>
      <c r="N96" s="405"/>
    </row>
    <row r="97" spans="3:14" s="355" customFormat="1" ht="13.5">
      <c r="C97" s="352"/>
      <c r="D97" s="352"/>
      <c r="E97" s="352"/>
      <c r="F97" s="352"/>
      <c r="G97" s="352"/>
      <c r="H97" s="352"/>
      <c r="I97" s="352"/>
      <c r="J97" s="352"/>
      <c r="K97" s="352"/>
      <c r="L97" s="1403">
        <f>SUM(L5:L95)</f>
        <v>60000</v>
      </c>
      <c r="M97" s="352"/>
      <c r="N97" s="352"/>
    </row>
    <row r="98" spans="3:14" ht="14.25" customHeight="1">
      <c r="C98" s="31"/>
      <c r="D98" s="27"/>
      <c r="E98" s="20"/>
      <c r="F98" s="28"/>
      <c r="G98" s="28"/>
      <c r="H98" s="26"/>
      <c r="I98" s="26"/>
      <c r="J98" s="26"/>
      <c r="K98" s="28"/>
      <c r="L98" s="179"/>
      <c r="M98" s="28"/>
      <c r="N98" s="27"/>
    </row>
    <row r="99" spans="3:14" s="1" customFormat="1" ht="14.25" customHeight="1">
      <c r="C99" s="31"/>
      <c r="D99" s="27"/>
      <c r="E99" s="21"/>
      <c r="F99" s="28"/>
      <c r="G99" s="28"/>
      <c r="H99" s="26"/>
      <c r="I99" s="26"/>
      <c r="J99" s="26"/>
      <c r="K99" s="28"/>
      <c r="L99" s="179"/>
      <c r="M99" s="28"/>
      <c r="N99" s="27"/>
    </row>
    <row r="100" spans="3:14" s="1" customFormat="1" ht="14.25" customHeight="1">
      <c r="C100" s="30"/>
      <c r="D100" s="25"/>
      <c r="E100" s="21"/>
      <c r="F100" s="22"/>
      <c r="G100" s="22"/>
      <c r="H100" s="23"/>
      <c r="I100" s="23"/>
      <c r="J100" s="23"/>
      <c r="K100" s="22"/>
      <c r="L100" s="180"/>
      <c r="M100" s="22"/>
      <c r="N100" s="25"/>
    </row>
  </sheetData>
  <mergeCells count="13">
    <mergeCell ref="O7:O9"/>
    <mergeCell ref="C2:G2"/>
    <mergeCell ref="H2:J2"/>
    <mergeCell ref="K2:L2"/>
    <mergeCell ref="M2:M3"/>
    <mergeCell ref="N2:N3"/>
    <mergeCell ref="C53:C55"/>
    <mergeCell ref="C14:C15"/>
    <mergeCell ref="C16:C17"/>
    <mergeCell ref="C19:C20"/>
    <mergeCell ref="C21:C22"/>
    <mergeCell ref="C23:C24"/>
    <mergeCell ref="C51:C52"/>
  </mergeCell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D3BE2-0CE7-4BBC-A995-59053F360FDF}">
  <sheetPr>
    <tabColor rgb="FF00B0F0"/>
  </sheetPr>
  <dimension ref="A1:O130"/>
  <sheetViews>
    <sheetView topLeftCell="D1" zoomScale="90" zoomScaleNormal="90" workbookViewId="0">
      <pane ySplit="4" topLeftCell="A28" activePane="bottomLeft" state="frozen"/>
      <selection pane="bottomLeft" activeCell="N40" sqref="N40"/>
    </sheetView>
  </sheetViews>
  <sheetFormatPr defaultRowHeight="15"/>
  <cols>
    <col min="2" max="2" width="17.28515625" customWidth="1"/>
    <col min="3" max="3" width="21.42578125" customWidth="1"/>
    <col min="4" max="4" width="49.7109375" bestFit="1"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style="99" customWidth="1"/>
    <col min="13" max="13" width="16.28515625" customWidth="1"/>
    <col min="14" max="14" width="12.85546875" customWidth="1"/>
    <col min="17" max="17" width="73.7109375" bestFit="1" customWidth="1"/>
  </cols>
  <sheetData>
    <row r="1" spans="1:15" s="355" customFormat="1" ht="13.5">
      <c r="L1" s="32"/>
    </row>
    <row r="2" spans="1:15" s="355" customFormat="1" ht="13.5">
      <c r="C2" s="2601" t="s">
        <v>30</v>
      </c>
      <c r="D2" s="2602"/>
      <c r="E2" s="2602"/>
      <c r="F2" s="2602"/>
      <c r="G2" s="2603"/>
      <c r="H2" s="2604" t="s">
        <v>29</v>
      </c>
      <c r="I2" s="2605"/>
      <c r="J2" s="2606"/>
      <c r="K2" s="2601" t="s">
        <v>28</v>
      </c>
      <c r="L2" s="2603"/>
      <c r="M2" s="2594" t="s">
        <v>27</v>
      </c>
      <c r="N2" s="2594" t="s">
        <v>26</v>
      </c>
    </row>
    <row r="3" spans="1:15" s="355" customFormat="1" ht="94.5">
      <c r="C3" s="618" t="s">
        <v>25</v>
      </c>
      <c r="D3" s="852" t="s">
        <v>24</v>
      </c>
      <c r="E3" s="991" t="s">
        <v>23</v>
      </c>
      <c r="F3" s="618" t="s">
        <v>22</v>
      </c>
      <c r="G3" s="532" t="s">
        <v>1303</v>
      </c>
      <c r="H3" s="532" t="s">
        <v>20</v>
      </c>
      <c r="I3" s="532" t="s">
        <v>19</v>
      </c>
      <c r="J3" s="532" t="s">
        <v>18</v>
      </c>
      <c r="K3" s="618" t="s">
        <v>17</v>
      </c>
      <c r="L3" s="605" t="s">
        <v>16</v>
      </c>
      <c r="M3" s="2594"/>
      <c r="N3" s="2594"/>
    </row>
    <row r="4" spans="1:15" s="355" customFormat="1" ht="27">
      <c r="C4" s="1076" t="s">
        <v>15</v>
      </c>
      <c r="D4" s="1076" t="s">
        <v>14</v>
      </c>
      <c r="E4" s="1076" t="s">
        <v>13</v>
      </c>
      <c r="F4" s="1076" t="s">
        <v>12</v>
      </c>
      <c r="G4" s="1076" t="s">
        <v>11</v>
      </c>
      <c r="H4" s="1076" t="s">
        <v>10</v>
      </c>
      <c r="I4" s="1076" t="s">
        <v>9</v>
      </c>
      <c r="J4" s="1076" t="s">
        <v>8</v>
      </c>
      <c r="K4" s="1076" t="s">
        <v>7</v>
      </c>
      <c r="L4" s="1077" t="s">
        <v>6</v>
      </c>
      <c r="M4" s="1076" t="s">
        <v>5</v>
      </c>
      <c r="N4" s="1076" t="s">
        <v>4</v>
      </c>
    </row>
    <row r="5" spans="1:15" s="455" customFormat="1" ht="25.5" customHeight="1">
      <c r="A5" s="471"/>
      <c r="B5" s="483" t="s">
        <v>2574</v>
      </c>
      <c r="C5" s="2756" t="s">
        <v>2913</v>
      </c>
      <c r="D5" s="1712" t="s">
        <v>2</v>
      </c>
      <c r="E5" s="1922"/>
      <c r="F5" s="1919"/>
      <c r="G5" s="1725"/>
      <c r="H5" s="1801"/>
      <c r="I5" s="1801"/>
      <c r="K5" s="1712" t="s">
        <v>2216</v>
      </c>
      <c r="L5" s="1920"/>
      <c r="M5" s="1715" t="s">
        <v>2446</v>
      </c>
      <c r="N5" s="1716"/>
    </row>
    <row r="6" spans="1:15" s="455" customFormat="1">
      <c r="A6" s="471"/>
      <c r="B6" s="483" t="s">
        <v>2574</v>
      </c>
      <c r="C6" s="2757"/>
      <c r="D6" s="1796" t="s">
        <v>2912</v>
      </c>
      <c r="E6" s="1884"/>
      <c r="F6" s="1724"/>
      <c r="G6" s="1725"/>
      <c r="H6" s="1801"/>
      <c r="I6" s="1801"/>
      <c r="K6" s="1836"/>
      <c r="L6" s="1943">
        <v>1250</v>
      </c>
      <c r="M6" s="1721"/>
      <c r="N6" s="1720"/>
    </row>
    <row r="7" spans="1:15" s="455" customFormat="1">
      <c r="A7" s="471"/>
      <c r="B7" s="483" t="s">
        <v>2574</v>
      </c>
      <c r="C7" s="2757"/>
      <c r="D7" s="1796"/>
      <c r="E7" s="1885"/>
      <c r="F7" s="1724"/>
      <c r="G7" s="1725"/>
      <c r="H7" s="1801"/>
      <c r="I7" s="1801"/>
      <c r="K7" s="1837"/>
      <c r="L7" s="1943"/>
      <c r="M7" s="1721"/>
      <c r="N7" s="1720"/>
    </row>
    <row r="8" spans="1:15" s="455" customFormat="1">
      <c r="A8" s="471"/>
      <c r="B8" s="483" t="s">
        <v>2574</v>
      </c>
      <c r="C8" s="2757"/>
      <c r="D8" s="1726"/>
      <c r="E8" s="1885"/>
      <c r="F8" s="1724"/>
      <c r="G8" s="1725"/>
      <c r="H8" s="1801"/>
      <c r="I8" s="1801"/>
      <c r="K8" s="1837"/>
      <c r="L8" s="1943"/>
      <c r="M8" s="1721"/>
      <c r="N8" s="1720"/>
    </row>
    <row r="9" spans="1:15" s="455" customFormat="1">
      <c r="A9" s="471"/>
      <c r="B9" s="483" t="s">
        <v>2574</v>
      </c>
      <c r="C9" s="2757"/>
      <c r="D9" s="1726"/>
      <c r="E9" s="1885"/>
      <c r="F9" s="1724"/>
      <c r="G9" s="1725"/>
      <c r="H9" s="1801"/>
      <c r="I9" s="1801"/>
      <c r="K9" s="1837"/>
      <c r="L9" s="1943"/>
      <c r="M9" s="1721"/>
      <c r="N9" s="1720"/>
    </row>
    <row r="10" spans="1:15" s="455" customFormat="1">
      <c r="A10" s="471"/>
      <c r="B10" s="483" t="s">
        <v>2574</v>
      </c>
      <c r="C10" s="2757"/>
      <c r="D10" s="1726"/>
      <c r="E10" s="1881"/>
      <c r="F10" s="1724"/>
      <c r="G10" s="1725"/>
      <c r="H10" s="1801"/>
      <c r="I10" s="1801"/>
      <c r="K10" s="1801"/>
      <c r="L10" s="1943"/>
      <c r="M10" s="1721"/>
      <c r="N10" s="1720"/>
    </row>
    <row r="11" spans="1:15" s="455" customFormat="1">
      <c r="A11" s="471"/>
      <c r="B11" s="483" t="s">
        <v>2574</v>
      </c>
      <c r="C11" s="2758"/>
      <c r="D11" s="1726"/>
      <c r="E11" s="1885"/>
      <c r="F11" s="1724"/>
      <c r="G11" s="1725"/>
      <c r="H11" s="1801"/>
      <c r="I11" s="1801"/>
      <c r="K11" s="1801"/>
      <c r="L11" s="1943"/>
      <c r="M11" s="1721"/>
      <c r="N11" s="1720"/>
    </row>
    <row r="12" spans="1:15" s="455" customFormat="1" ht="27">
      <c r="A12" s="471"/>
      <c r="B12" s="483" t="s">
        <v>2574</v>
      </c>
      <c r="C12" s="2756" t="s">
        <v>2913</v>
      </c>
      <c r="D12" s="1712" t="s">
        <v>2</v>
      </c>
      <c r="E12" s="1922"/>
      <c r="F12" s="1919"/>
      <c r="G12" s="1725"/>
      <c r="H12" s="1801"/>
      <c r="I12" s="1801"/>
      <c r="K12" s="1712" t="s">
        <v>2216</v>
      </c>
      <c r="L12" s="1920"/>
      <c r="M12" s="1715" t="s">
        <v>2446</v>
      </c>
      <c r="N12" s="1716"/>
    </row>
    <row r="13" spans="1:15" s="455" customFormat="1">
      <c r="A13" s="471"/>
      <c r="B13" s="483" t="s">
        <v>2574</v>
      </c>
      <c r="C13" s="2757"/>
      <c r="D13" s="1796" t="s">
        <v>2912</v>
      </c>
      <c r="E13" s="1884"/>
      <c r="F13" s="1724"/>
      <c r="G13" s="1725"/>
      <c r="H13" s="1801"/>
      <c r="I13" s="1801"/>
      <c r="J13" s="1836"/>
      <c r="L13" s="1943">
        <v>1250</v>
      </c>
      <c r="M13" s="1720"/>
    </row>
    <row r="14" spans="1:15" s="455" customFormat="1">
      <c r="A14" s="471"/>
      <c r="B14" s="483" t="s">
        <v>2574</v>
      </c>
      <c r="C14" s="2757"/>
      <c r="D14" s="1796"/>
      <c r="E14" s="1885"/>
      <c r="F14" s="1724"/>
      <c r="G14" s="1725"/>
      <c r="H14" s="1801"/>
      <c r="I14" s="1801"/>
      <c r="J14" s="1837"/>
      <c r="K14" s="1943"/>
      <c r="L14" s="1721"/>
      <c r="M14" s="1720"/>
    </row>
    <row r="15" spans="1:15" s="455" customFormat="1">
      <c r="A15" s="471"/>
      <c r="B15" s="483" t="s">
        <v>2574</v>
      </c>
      <c r="C15" s="2757"/>
      <c r="D15" s="1726"/>
      <c r="E15" s="1885"/>
      <c r="F15" s="1724"/>
      <c r="G15" s="1725"/>
      <c r="H15" s="1801"/>
      <c r="I15" s="1801"/>
      <c r="J15" s="1837"/>
      <c r="K15" s="1943"/>
      <c r="L15" s="1721"/>
      <c r="M15" s="1720"/>
    </row>
    <row r="16" spans="1:15" s="455" customFormat="1">
      <c r="A16" s="471"/>
      <c r="B16" s="483" t="s">
        <v>2574</v>
      </c>
      <c r="C16" s="2757"/>
      <c r="D16" s="1726"/>
      <c r="E16" s="1885"/>
      <c r="F16" s="1724"/>
      <c r="G16" s="1725"/>
      <c r="H16" s="1801"/>
      <c r="I16" s="1801"/>
      <c r="J16" s="1801"/>
      <c r="K16" s="1802"/>
      <c r="L16" s="1837"/>
      <c r="M16" s="1943"/>
      <c r="N16" s="1721"/>
      <c r="O16" s="1720"/>
    </row>
    <row r="17" spans="1:15" s="455" customFormat="1">
      <c r="A17" s="471"/>
      <c r="B17" s="483" t="s">
        <v>2574</v>
      </c>
      <c r="C17" s="2757"/>
      <c r="D17" s="1726"/>
      <c r="E17" s="1881"/>
      <c r="F17" s="1724"/>
      <c r="G17" s="1725"/>
      <c r="H17" s="1801"/>
      <c r="I17" s="1801"/>
      <c r="J17" s="1801"/>
      <c r="K17" s="1802"/>
      <c r="L17" s="1801"/>
      <c r="M17" s="1943"/>
      <c r="N17" s="1721"/>
      <c r="O17" s="1720"/>
    </row>
    <row r="18" spans="1:15" s="455" customFormat="1">
      <c r="A18" s="471"/>
      <c r="B18" s="454"/>
      <c r="C18" s="2758"/>
      <c r="D18" s="1726"/>
      <c r="E18" s="1885"/>
      <c r="F18" s="1724"/>
      <c r="G18" s="1725"/>
      <c r="H18" s="1801"/>
      <c r="I18" s="1801"/>
      <c r="J18" s="1801"/>
      <c r="K18" s="1802"/>
      <c r="L18" s="1801"/>
      <c r="M18" s="1943"/>
      <c r="N18" s="1721"/>
      <c r="O18" s="1720"/>
    </row>
    <row r="19" spans="1:15" s="455" customFormat="1" ht="25.5">
      <c r="A19" s="471"/>
      <c r="B19" s="455" t="s">
        <v>2929</v>
      </c>
      <c r="C19" s="1999" t="s">
        <v>2930</v>
      </c>
      <c r="D19" s="2000" t="s">
        <v>637</v>
      </c>
      <c r="E19" s="2015"/>
      <c r="F19" s="2016"/>
      <c r="G19" s="1725"/>
      <c r="H19" s="1801"/>
      <c r="I19" s="1801"/>
      <c r="J19" s="1801"/>
      <c r="K19" s="1802"/>
      <c r="L19" s="1801"/>
      <c r="M19" s="1943"/>
      <c r="N19" s="1721"/>
      <c r="O19" s="1720"/>
    </row>
    <row r="20" spans="1:15" s="455" customFormat="1" ht="38.25">
      <c r="A20" s="471"/>
      <c r="B20" s="455" t="s">
        <v>2929</v>
      </c>
      <c r="C20" s="2004"/>
      <c r="D20" s="2005" t="s">
        <v>2931</v>
      </c>
      <c r="E20" s="2017">
        <v>6</v>
      </c>
      <c r="F20" s="2003" t="s">
        <v>2923</v>
      </c>
      <c r="G20" s="2001" t="s">
        <v>1</v>
      </c>
      <c r="H20" s="2002"/>
      <c r="I20" s="2002"/>
      <c r="J20" s="2002"/>
      <c r="K20" s="2003" t="s">
        <v>748</v>
      </c>
      <c r="L20" s="1673"/>
      <c r="M20" s="2002" t="s">
        <v>2924</v>
      </c>
      <c r="N20" s="2003" t="s">
        <v>703</v>
      </c>
      <c r="O20" s="1720"/>
    </row>
    <row r="21" spans="1:15" s="455" customFormat="1">
      <c r="A21" s="471"/>
      <c r="B21" s="455" t="s">
        <v>2929</v>
      </c>
      <c r="C21" s="2004"/>
      <c r="D21" s="2005" t="s">
        <v>2932</v>
      </c>
      <c r="E21" s="2017">
        <v>6</v>
      </c>
      <c r="F21" s="2006"/>
      <c r="G21" s="2006"/>
      <c r="H21" s="2008" t="s">
        <v>2213</v>
      </c>
      <c r="I21" s="2009">
        <v>46174</v>
      </c>
      <c r="J21" s="2010" t="s">
        <v>2215</v>
      </c>
      <c r="K21" s="2011"/>
      <c r="L21" s="2012">
        <v>1500</v>
      </c>
      <c r="M21" s="2013"/>
      <c r="N21" s="2011"/>
      <c r="O21" s="1720"/>
    </row>
    <row r="22" spans="1:15" s="455" customFormat="1">
      <c r="A22" s="471"/>
      <c r="B22" s="455" t="s">
        <v>2929</v>
      </c>
      <c r="C22" s="2004"/>
      <c r="D22" s="2005" t="s">
        <v>2933</v>
      </c>
      <c r="E22" s="2017">
        <v>6</v>
      </c>
      <c r="F22" s="2006"/>
      <c r="G22" s="2006"/>
      <c r="H22" s="2008"/>
      <c r="I22" s="2008"/>
      <c r="J22" s="1588" t="s">
        <v>2927</v>
      </c>
      <c r="K22" s="2011"/>
      <c r="L22" s="2012">
        <v>1500</v>
      </c>
      <c r="M22" s="2013"/>
      <c r="N22" s="2011"/>
    </row>
    <row r="23" spans="1:15" s="455" customFormat="1">
      <c r="A23" s="471"/>
      <c r="B23" s="455" t="s">
        <v>2929</v>
      </c>
      <c r="C23" s="2004"/>
      <c r="D23" s="2005" t="s">
        <v>2934</v>
      </c>
      <c r="E23" s="2017">
        <v>6</v>
      </c>
      <c r="F23" s="2006"/>
      <c r="G23" s="2006"/>
      <c r="H23" s="1588"/>
      <c r="I23" s="1588"/>
      <c r="J23" s="1588"/>
      <c r="K23" s="2011"/>
      <c r="L23" s="2012">
        <v>1500</v>
      </c>
      <c r="M23" s="2013"/>
      <c r="N23" s="2011"/>
    </row>
    <row r="24" spans="1:15" s="455" customFormat="1">
      <c r="A24" s="471"/>
      <c r="B24" s="454"/>
      <c r="C24" s="2019"/>
      <c r="D24" s="2005"/>
      <c r="E24" s="2017"/>
      <c r="F24" s="2006"/>
      <c r="G24" s="2006"/>
      <c r="H24" s="1588"/>
      <c r="I24" s="1588"/>
      <c r="J24" s="1588"/>
      <c r="K24" s="2011"/>
      <c r="L24" s="2012">
        <v>1500</v>
      </c>
      <c r="M24" s="2013"/>
      <c r="N24" s="2011"/>
    </row>
    <row r="25" spans="1:15" s="455" customFormat="1">
      <c r="A25" s="471"/>
      <c r="B25" s="454"/>
      <c r="C25" s="2019"/>
      <c r="D25" s="2005"/>
      <c r="E25" s="2017"/>
      <c r="F25" s="2018"/>
      <c r="G25" s="1725"/>
      <c r="H25" s="1801"/>
      <c r="I25" s="1801"/>
      <c r="J25" s="1801"/>
      <c r="K25" s="1836"/>
      <c r="M25" s="2020"/>
      <c r="N25" s="1720"/>
    </row>
    <row r="26" spans="1:15" s="455" customFormat="1">
      <c r="A26" s="471"/>
      <c r="B26" s="454"/>
      <c r="C26" s="2019"/>
      <c r="D26" s="2005"/>
      <c r="E26" s="2017"/>
      <c r="F26" s="2018"/>
      <c r="G26" s="1725"/>
      <c r="H26" s="1801"/>
      <c r="I26" s="1801"/>
      <c r="J26" s="1801"/>
      <c r="K26" s="1836"/>
      <c r="M26" s="2020"/>
      <c r="N26" s="1720"/>
    </row>
    <row r="27" spans="1:15" s="455" customFormat="1">
      <c r="A27" s="471"/>
      <c r="B27" s="454"/>
      <c r="C27" s="2019"/>
      <c r="D27" s="2005"/>
      <c r="E27" s="2017"/>
      <c r="F27" s="2018"/>
      <c r="G27" s="1725"/>
      <c r="H27" s="1801"/>
      <c r="I27" s="1801"/>
      <c r="J27" s="1801"/>
      <c r="K27" s="1836"/>
      <c r="M27" s="2020"/>
      <c r="N27" s="1720"/>
    </row>
    <row r="28" spans="1:15" s="455" customFormat="1">
      <c r="A28" s="471"/>
      <c r="B28" s="454"/>
      <c r="C28" s="2019"/>
      <c r="D28" s="2005"/>
      <c r="E28" s="2017"/>
      <c r="F28" s="2018"/>
      <c r="G28" s="1725"/>
      <c r="H28" s="1801"/>
      <c r="I28" s="1801"/>
      <c r="J28" s="1801"/>
      <c r="K28" s="1836"/>
      <c r="M28" s="2020"/>
      <c r="N28" s="1720"/>
    </row>
    <row r="29" spans="1:15" s="455" customFormat="1">
      <c r="A29" s="471"/>
      <c r="B29" s="454"/>
      <c r="C29" s="2019"/>
      <c r="D29" s="2005"/>
      <c r="E29" s="2017"/>
      <c r="F29" s="2018"/>
      <c r="G29" s="1725"/>
      <c r="H29" s="1801"/>
      <c r="I29" s="1801"/>
      <c r="J29" s="1801"/>
      <c r="K29" s="1836"/>
      <c r="M29" s="2020"/>
      <c r="N29" s="1720"/>
    </row>
    <row r="30" spans="1:15" s="455" customFormat="1">
      <c r="A30" s="471"/>
      <c r="B30" s="454"/>
      <c r="C30" s="1951"/>
      <c r="D30" s="1963"/>
      <c r="E30" s="1885"/>
      <c r="F30" s="1724"/>
      <c r="G30" s="1725"/>
      <c r="H30" s="1801"/>
      <c r="I30" s="1801"/>
      <c r="J30" s="1801"/>
      <c r="K30" s="1802"/>
      <c r="L30" s="1837"/>
      <c r="M30" s="1943"/>
      <c r="N30" s="1721"/>
      <c r="O30" s="1720"/>
    </row>
    <row r="31" spans="1:15" s="455" customFormat="1">
      <c r="A31" s="471"/>
      <c r="B31" s="454"/>
      <c r="C31" s="1951"/>
      <c r="D31" s="1726"/>
      <c r="E31" s="1885"/>
      <c r="F31" s="1724"/>
      <c r="G31" s="1725"/>
      <c r="H31" s="1801"/>
      <c r="I31" s="1801"/>
      <c r="J31" s="1801"/>
      <c r="K31" s="1802"/>
      <c r="L31" s="1837"/>
      <c r="M31" s="1943"/>
      <c r="N31" s="1721"/>
      <c r="O31" s="1720"/>
    </row>
    <row r="32" spans="1:15" s="455" customFormat="1">
      <c r="A32" s="471"/>
      <c r="B32" s="454"/>
      <c r="C32" s="1951"/>
      <c r="D32" s="1726"/>
      <c r="E32" s="1885"/>
      <c r="F32" s="1724"/>
      <c r="G32" s="1725"/>
      <c r="H32" s="1801"/>
      <c r="I32" s="1801"/>
      <c r="J32" s="1801"/>
      <c r="K32" s="1802"/>
      <c r="L32" s="1837"/>
      <c r="M32" s="1943"/>
      <c r="N32" s="1721"/>
      <c r="O32" s="1720"/>
    </row>
    <row r="33" spans="1:15" s="455" customFormat="1">
      <c r="A33" s="471"/>
      <c r="B33" s="454"/>
      <c r="C33" s="1951"/>
      <c r="D33" s="1726"/>
      <c r="E33" s="1881"/>
      <c r="F33" s="1724"/>
      <c r="G33" s="1725"/>
      <c r="H33" s="1801"/>
      <c r="I33" s="1801"/>
      <c r="J33" s="1801"/>
      <c r="K33" s="1802"/>
      <c r="L33" s="1801"/>
      <c r="M33" s="1943"/>
      <c r="N33" s="1721"/>
      <c r="O33" s="1720"/>
    </row>
    <row r="34" spans="1:15" s="455" customFormat="1">
      <c r="A34" s="471"/>
      <c r="B34" s="454"/>
      <c r="C34" s="454"/>
      <c r="D34" s="1726"/>
      <c r="E34" s="1885"/>
      <c r="F34" s="1724"/>
      <c r="G34" s="1725"/>
      <c r="H34" s="1801"/>
      <c r="I34" s="1801"/>
      <c r="J34" s="1801"/>
      <c r="K34" s="1802"/>
      <c r="L34" s="1801"/>
      <c r="M34" s="1943"/>
      <c r="N34" s="1721"/>
      <c r="O34" s="1720"/>
    </row>
    <row r="35" spans="1:15" s="455" customFormat="1" ht="13.5">
      <c r="A35" s="471"/>
      <c r="B35" s="454"/>
      <c r="C35" s="454"/>
      <c r="D35" s="1595"/>
      <c r="E35" s="1598"/>
      <c r="F35" s="1596"/>
      <c r="G35" s="1591"/>
      <c r="H35" s="1594"/>
      <c r="I35" s="1594"/>
      <c r="J35" s="1594"/>
      <c r="K35" s="218"/>
      <c r="L35" s="1593"/>
      <c r="M35" s="1591"/>
      <c r="O35" s="1959"/>
    </row>
    <row r="36" spans="1:15" s="455" customFormat="1" ht="13.5">
      <c r="A36" s="471"/>
      <c r="B36" s="454"/>
      <c r="C36" s="454"/>
      <c r="D36" s="1595"/>
      <c r="E36" s="1598"/>
      <c r="F36" s="1596"/>
      <c r="G36" s="1591"/>
      <c r="H36" s="1594"/>
      <c r="I36" s="1594"/>
      <c r="J36" s="1594"/>
      <c r="K36" s="218"/>
      <c r="L36" s="1593"/>
      <c r="M36" s="1591"/>
      <c r="O36" s="1959"/>
    </row>
    <row r="37" spans="1:15" s="455" customFormat="1" ht="13.5">
      <c r="A37" s="471"/>
      <c r="B37" s="454"/>
      <c r="C37" s="454"/>
      <c r="D37" s="1595"/>
      <c r="E37" s="1598"/>
      <c r="F37" s="1596"/>
      <c r="G37" s="1591"/>
      <c r="H37" s="1594"/>
      <c r="I37" s="1594"/>
      <c r="J37" s="1594"/>
      <c r="K37" s="218"/>
      <c r="L37" s="1593"/>
      <c r="M37" s="1591"/>
      <c r="O37" s="1959"/>
    </row>
    <row r="38" spans="1:15" s="455" customFormat="1" ht="13.5">
      <c r="A38" s="471"/>
      <c r="B38" s="454"/>
      <c r="C38" s="454"/>
      <c r="D38" s="1595"/>
      <c r="E38" s="1598"/>
      <c r="F38" s="1596"/>
      <c r="G38" s="1591"/>
      <c r="H38" s="1594"/>
      <c r="I38" s="1594"/>
      <c r="J38" s="1594"/>
      <c r="K38" s="218"/>
      <c r="L38" s="1593"/>
      <c r="M38" s="1591"/>
      <c r="O38" s="1959"/>
    </row>
    <row r="39" spans="1:15" s="455" customFormat="1" ht="13.5">
      <c r="A39" s="471"/>
      <c r="B39" s="454"/>
      <c r="C39" s="1961"/>
      <c r="D39" s="1595"/>
      <c r="E39" s="1598"/>
      <c r="F39" s="1596"/>
      <c r="G39" s="1591"/>
      <c r="H39" s="1594"/>
      <c r="I39" s="1594"/>
      <c r="J39" s="1594"/>
      <c r="K39" s="218"/>
      <c r="L39" s="1593"/>
      <c r="M39" s="1591"/>
      <c r="O39" s="1959"/>
    </row>
    <row r="40" spans="1:15" s="455" customFormat="1" ht="13.5">
      <c r="A40" s="471"/>
      <c r="B40" s="454"/>
      <c r="C40" s="1961"/>
      <c r="D40" s="1595"/>
      <c r="E40" s="1598"/>
      <c r="F40" s="1596"/>
      <c r="G40" s="1591"/>
      <c r="H40" s="1594"/>
      <c r="I40" s="1594"/>
      <c r="J40" s="1594"/>
      <c r="K40" s="218"/>
      <c r="L40" s="1593"/>
      <c r="M40" s="1591"/>
      <c r="O40" s="1959"/>
    </row>
    <row r="41" spans="1:15" s="455" customFormat="1" ht="16.5">
      <c r="A41" s="471"/>
      <c r="B41" s="454"/>
      <c r="C41" s="1961"/>
      <c r="D41" s="1595"/>
      <c r="E41" s="1598"/>
      <c r="F41" s="1596"/>
      <c r="G41" s="1591"/>
      <c r="H41" s="1594"/>
      <c r="I41" s="1594"/>
      <c r="J41" s="1594"/>
      <c r="K41" s="218"/>
      <c r="L41" s="1996">
        <f>SUM(L5:L38)</f>
        <v>8500</v>
      </c>
      <c r="M41" s="1591"/>
      <c r="O41" s="1959"/>
    </row>
    <row r="42" spans="1:15" s="455" customFormat="1" ht="13.5">
      <c r="A42" s="471"/>
      <c r="B42" s="454"/>
      <c r="C42" s="1961"/>
      <c r="D42" s="1595"/>
      <c r="E42" s="1598"/>
      <c r="F42" s="1596"/>
      <c r="G42" s="1591"/>
      <c r="H42" s="1594"/>
      <c r="I42" s="1594"/>
      <c r="J42" s="1594"/>
      <c r="K42" s="218"/>
      <c r="L42" s="1593"/>
      <c r="M42" s="1591"/>
      <c r="O42" s="1959"/>
    </row>
    <row r="43" spans="1:15" s="455" customFormat="1" ht="13.5">
      <c r="A43" s="471"/>
      <c r="B43" s="454"/>
      <c r="C43" s="1961"/>
      <c r="D43" s="1595"/>
      <c r="E43" s="1598"/>
      <c r="F43" s="1596"/>
      <c r="G43" s="1591"/>
      <c r="H43" s="1594"/>
      <c r="I43" s="1594"/>
      <c r="J43" s="1594"/>
      <c r="K43" s="218"/>
      <c r="L43" s="1593"/>
      <c r="M43" s="1591"/>
      <c r="O43" s="1959"/>
    </row>
    <row r="44" spans="1:15" s="455" customFormat="1" ht="13.5">
      <c r="A44" s="471"/>
      <c r="B44" s="454"/>
      <c r="C44" s="2591"/>
      <c r="D44" s="309"/>
      <c r="E44" s="309"/>
      <c r="F44" s="309"/>
      <c r="G44" s="497"/>
      <c r="H44" s="1056"/>
      <c r="I44" s="985"/>
      <c r="J44" s="985"/>
      <c r="K44" s="499"/>
      <c r="L44" s="1025"/>
      <c r="M44" s="499"/>
    </row>
    <row r="45" spans="1:15" s="455" customFormat="1" ht="13.5">
      <c r="A45" s="471"/>
      <c r="B45" s="454"/>
      <c r="C45" s="2593"/>
      <c r="D45" s="309"/>
      <c r="E45" s="309"/>
      <c r="F45" s="309"/>
      <c r="G45" s="497"/>
      <c r="H45" s="1056"/>
      <c r="I45" s="985"/>
      <c r="J45" s="985"/>
      <c r="K45" s="499"/>
      <c r="L45" s="1025"/>
      <c r="M45" s="499"/>
    </row>
    <row r="46" spans="1:15" s="455" customFormat="1" ht="13.5">
      <c r="A46" s="471"/>
      <c r="B46" s="454"/>
      <c r="C46" s="2591"/>
      <c r="D46" s="309"/>
      <c r="E46" s="309"/>
      <c r="F46" s="309"/>
      <c r="G46" s="497"/>
      <c r="H46" s="1056"/>
      <c r="I46" s="985"/>
      <c r="J46" s="985"/>
      <c r="K46" s="499"/>
      <c r="L46" s="1025"/>
      <c r="M46" s="499"/>
    </row>
    <row r="47" spans="1:15" s="455" customFormat="1" ht="13.5">
      <c r="A47" s="471"/>
      <c r="B47" s="454"/>
      <c r="C47" s="2593"/>
      <c r="D47" s="309"/>
      <c r="E47" s="309"/>
      <c r="F47" s="309"/>
      <c r="G47" s="497"/>
      <c r="H47" s="1056"/>
      <c r="I47" s="985"/>
      <c r="J47" s="985"/>
      <c r="K47" s="499"/>
      <c r="L47" s="1025"/>
      <c r="M47" s="499"/>
    </row>
    <row r="48" spans="1:15" s="455" customFormat="1" ht="13.5">
      <c r="A48" s="471"/>
      <c r="B48" s="454"/>
      <c r="C48" s="314"/>
      <c r="D48" s="309"/>
      <c r="E48" s="309"/>
      <c r="F48" s="309"/>
      <c r="G48" s="497"/>
      <c r="H48" s="1056"/>
      <c r="I48" s="985"/>
      <c r="J48" s="985"/>
      <c r="K48" s="499"/>
      <c r="L48" s="1025"/>
      <c r="M48" s="499"/>
      <c r="N48" s="1466"/>
    </row>
    <row r="49" spans="1:14" s="455" customFormat="1" ht="13.5">
      <c r="A49" s="471"/>
      <c r="B49" s="454"/>
      <c r="C49" s="2679"/>
      <c r="D49" s="309"/>
      <c r="E49" s="309"/>
      <c r="F49" s="309"/>
      <c r="G49" s="497"/>
      <c r="H49" s="985"/>
      <c r="I49" s="985"/>
      <c r="J49" s="985"/>
      <c r="K49" s="499"/>
      <c r="L49" s="1025"/>
      <c r="M49" s="499"/>
      <c r="N49" s="1466"/>
    </row>
    <row r="50" spans="1:14" s="455" customFormat="1" ht="13.5">
      <c r="A50" s="471"/>
      <c r="B50" s="454"/>
      <c r="C50" s="2679"/>
      <c r="D50" s="309"/>
      <c r="E50" s="309"/>
      <c r="F50" s="309"/>
      <c r="G50" s="497"/>
      <c r="H50" s="985"/>
      <c r="I50" s="985"/>
      <c r="J50" s="985"/>
      <c r="K50" s="499"/>
      <c r="L50" s="1025"/>
      <c r="M50" s="499"/>
      <c r="N50" s="1467"/>
    </row>
    <row r="51" spans="1:14" s="455" customFormat="1" ht="13.5">
      <c r="A51" s="471"/>
      <c r="B51" s="454"/>
      <c r="C51" s="2679"/>
      <c r="D51" s="309"/>
      <c r="E51" s="309"/>
      <c r="F51" s="309"/>
      <c r="G51" s="497"/>
      <c r="H51" s="985"/>
      <c r="I51" s="985"/>
      <c r="J51" s="985"/>
      <c r="K51" s="499"/>
      <c r="L51" s="1600">
        <f>SUM(L5:L49)</f>
        <v>17000</v>
      </c>
      <c r="M51" s="499"/>
      <c r="N51" s="1468"/>
    </row>
    <row r="52" spans="1:14" s="455" customFormat="1" ht="13.5">
      <c r="A52" s="471"/>
      <c r="B52" s="454"/>
      <c r="C52" s="2679"/>
      <c r="D52" s="309"/>
      <c r="E52" s="309"/>
      <c r="F52" s="309"/>
      <c r="G52" s="497"/>
      <c r="H52" s="985"/>
      <c r="I52" s="985"/>
      <c r="J52" s="985"/>
      <c r="K52" s="499"/>
      <c r="L52" s="1025"/>
      <c r="M52" s="499"/>
      <c r="N52" s="1468"/>
    </row>
    <row r="53" spans="1:14" s="455" customFormat="1" ht="13.5">
      <c r="A53" s="471"/>
      <c r="B53" s="454"/>
      <c r="C53" s="2591"/>
      <c r="D53" s="309"/>
      <c r="E53" s="309"/>
      <c r="F53" s="309"/>
      <c r="G53" s="497"/>
      <c r="H53" s="985"/>
      <c r="I53" s="985"/>
      <c r="J53" s="985"/>
      <c r="K53" s="499"/>
      <c r="L53" s="1025"/>
      <c r="M53" s="499"/>
      <c r="N53" s="1468"/>
    </row>
    <row r="54" spans="1:14" s="455" customFormat="1" ht="13.5">
      <c r="A54" s="471"/>
      <c r="B54" s="454"/>
      <c r="C54" s="2593"/>
      <c r="D54" s="309"/>
      <c r="E54" s="309"/>
      <c r="F54" s="309"/>
      <c r="G54" s="497"/>
      <c r="H54" s="985"/>
      <c r="I54" s="985"/>
      <c r="J54" s="985"/>
      <c r="K54" s="499"/>
      <c r="L54" s="1025"/>
      <c r="M54" s="499"/>
      <c r="N54" s="1468"/>
    </row>
    <row r="55" spans="1:14" s="455" customFormat="1" ht="13.5">
      <c r="A55" s="471"/>
      <c r="B55" s="454"/>
      <c r="C55" s="392"/>
      <c r="D55" s="309"/>
      <c r="E55" s="309"/>
      <c r="F55" s="309"/>
      <c r="G55" s="497"/>
      <c r="H55" s="1056"/>
      <c r="I55" s="985"/>
      <c r="J55" s="985"/>
      <c r="K55" s="499"/>
      <c r="L55" s="1025"/>
      <c r="M55" s="499"/>
      <c r="N55" s="1465"/>
    </row>
    <row r="56" spans="1:14" s="455" customFormat="1" ht="13.5">
      <c r="A56" s="471"/>
      <c r="B56" s="454"/>
      <c r="C56" s="392"/>
      <c r="D56" s="309"/>
      <c r="E56" s="309"/>
      <c r="F56" s="309"/>
      <c r="G56" s="497"/>
      <c r="H56" s="985"/>
      <c r="I56" s="985"/>
      <c r="J56" s="985"/>
      <c r="K56" s="499"/>
      <c r="L56" s="1025"/>
      <c r="M56" s="499"/>
    </row>
    <row r="57" spans="1:14" s="455" customFormat="1" ht="13.5">
      <c r="A57" s="471"/>
      <c r="B57" s="454"/>
      <c r="C57" s="987"/>
      <c r="D57" s="314"/>
      <c r="E57" s="662"/>
      <c r="F57" s="309"/>
      <c r="G57" s="497"/>
      <c r="H57" s="985"/>
      <c r="I57" s="985"/>
      <c r="J57" s="985"/>
      <c r="K57" s="499"/>
      <c r="L57" s="1025"/>
      <c r="M57" s="499"/>
      <c r="N57" s="454"/>
    </row>
    <row r="58" spans="1:14" s="455" customFormat="1" ht="13.5">
      <c r="A58" s="471"/>
      <c r="B58" s="454"/>
      <c r="C58" s="987"/>
      <c r="D58" s="314"/>
      <c r="E58" s="662"/>
      <c r="F58" s="309"/>
      <c r="G58" s="497"/>
      <c r="H58" s="985"/>
      <c r="I58" s="985"/>
      <c r="J58" s="985"/>
      <c r="K58" s="499"/>
      <c r="L58" s="1025"/>
      <c r="M58" s="499"/>
      <c r="N58" s="458"/>
    </row>
    <row r="59" spans="1:14" s="455" customFormat="1" ht="13.5">
      <c r="A59" s="471"/>
      <c r="B59" s="454"/>
      <c r="C59" s="987"/>
      <c r="D59" s="314"/>
      <c r="E59" s="662"/>
      <c r="F59" s="309"/>
      <c r="G59" s="497"/>
      <c r="H59" s="985"/>
      <c r="I59" s="985"/>
      <c r="J59" s="985"/>
      <c r="K59" s="499"/>
      <c r="L59" s="1065"/>
      <c r="M59" s="499"/>
      <c r="N59" s="458"/>
    </row>
    <row r="60" spans="1:14" s="455" customFormat="1" ht="13.5">
      <c r="A60" s="471"/>
      <c r="B60" s="454"/>
      <c r="C60" s="987"/>
      <c r="D60" s="309"/>
      <c r="E60" s="662"/>
      <c r="F60" s="309"/>
      <c r="G60" s="497"/>
      <c r="H60" s="985"/>
      <c r="I60" s="985"/>
      <c r="J60" s="985"/>
      <c r="K60" s="499"/>
      <c r="L60" s="1065"/>
      <c r="M60" s="499"/>
      <c r="N60" s="458"/>
    </row>
    <row r="61" spans="1:14" s="455" customFormat="1" ht="13.5">
      <c r="A61" s="471"/>
      <c r="B61" s="454"/>
      <c r="C61" s="314"/>
      <c r="D61" s="314"/>
      <c r="E61" s="309"/>
      <c r="F61" s="309"/>
      <c r="G61" s="497"/>
      <c r="H61" s="985"/>
      <c r="I61" s="985"/>
      <c r="J61" s="985"/>
      <c r="K61" s="309"/>
      <c r="L61" s="1015"/>
      <c r="M61" s="499"/>
      <c r="N61" s="458"/>
    </row>
    <row r="62" spans="1:14" s="455" customFormat="1" ht="13.5">
      <c r="A62" s="471"/>
      <c r="B62" s="454"/>
      <c r="C62" s="314"/>
      <c r="D62" s="314"/>
      <c r="E62" s="309"/>
      <c r="F62" s="309"/>
      <c r="G62" s="497"/>
      <c r="H62" s="985"/>
      <c r="I62" s="985"/>
      <c r="J62" s="985"/>
      <c r="K62" s="309"/>
      <c r="L62" s="1015"/>
      <c r="M62" s="499"/>
      <c r="N62" s="460"/>
    </row>
    <row r="63" spans="1:14" s="455" customFormat="1" ht="13.5">
      <c r="A63" s="471"/>
      <c r="B63" s="454"/>
      <c r="C63" s="314"/>
      <c r="D63" s="314"/>
      <c r="E63" s="560"/>
      <c r="F63" s="309"/>
      <c r="G63" s="497"/>
      <c r="H63" s="985"/>
      <c r="I63" s="985"/>
      <c r="J63" s="985"/>
      <c r="K63" s="309"/>
      <c r="L63" s="1015"/>
      <c r="M63" s="499"/>
      <c r="N63" s="454"/>
    </row>
    <row r="64" spans="1:14" s="455" customFormat="1" ht="13.5">
      <c r="A64" s="471"/>
      <c r="B64" s="454"/>
      <c r="C64" s="987"/>
      <c r="D64" s="314"/>
      <c r="E64" s="662"/>
      <c r="F64" s="309"/>
      <c r="G64" s="497"/>
      <c r="H64" s="985"/>
      <c r="I64" s="985"/>
      <c r="J64" s="985"/>
      <c r="K64" s="499"/>
      <c r="L64" s="1065"/>
      <c r="M64" s="499"/>
      <c r="N64" s="458"/>
    </row>
    <row r="65" spans="1:15" s="455" customFormat="1" ht="13.5">
      <c r="A65" s="471"/>
      <c r="B65" s="454"/>
      <c r="C65" s="392"/>
      <c r="D65" s="309"/>
      <c r="E65" s="309"/>
      <c r="F65" s="662"/>
      <c r="G65" s="309"/>
      <c r="H65" s="497"/>
      <c r="I65" s="985"/>
      <c r="J65" s="985"/>
      <c r="K65" s="1066"/>
      <c r="L65" s="1067"/>
      <c r="M65" s="1025"/>
      <c r="N65" s="1068"/>
      <c r="O65" s="458"/>
    </row>
    <row r="66" spans="1:15" s="455" customFormat="1" ht="13.5">
      <c r="A66" s="471"/>
      <c r="B66" s="454"/>
      <c r="C66" s="471"/>
      <c r="D66" s="456"/>
      <c r="E66" s="459"/>
      <c r="F66" s="466"/>
      <c r="G66" s="471"/>
      <c r="H66" s="477"/>
      <c r="I66" s="526"/>
      <c r="J66" s="526"/>
      <c r="K66" s="526"/>
      <c r="L66" s="473"/>
      <c r="M66" s="529"/>
      <c r="N66" s="471"/>
      <c r="O66" s="458"/>
    </row>
    <row r="67" spans="1:15" s="455" customFormat="1" ht="13.5">
      <c r="A67" s="471"/>
      <c r="B67" s="454"/>
      <c r="C67" s="471"/>
      <c r="D67" s="456"/>
      <c r="E67" s="459"/>
      <c r="F67" s="466"/>
      <c r="G67" s="471"/>
      <c r="H67" s="477"/>
      <c r="I67" s="526"/>
      <c r="J67" s="526"/>
      <c r="K67" s="526"/>
      <c r="L67" s="473"/>
      <c r="M67" s="529"/>
      <c r="N67" s="471"/>
      <c r="O67" s="458"/>
    </row>
    <row r="68" spans="1:15" s="455" customFormat="1" ht="13.5">
      <c r="A68" s="471"/>
      <c r="B68" s="454"/>
      <c r="C68" s="314"/>
      <c r="D68" s="309"/>
      <c r="E68" s="309"/>
      <c r="F68" s="309"/>
      <c r="G68" s="309"/>
      <c r="H68" s="309"/>
      <c r="I68" s="309"/>
      <c r="J68" s="309"/>
      <c r="K68" s="309"/>
      <c r="L68" s="309"/>
      <c r="M68" s="309"/>
      <c r="N68" s="309"/>
    </row>
    <row r="69" spans="1:15" s="455" customFormat="1" ht="13.5">
      <c r="A69" s="471"/>
      <c r="B69" s="454"/>
      <c r="C69" s="314"/>
      <c r="D69" s="314"/>
      <c r="E69" s="309"/>
      <c r="F69" s="309"/>
      <c r="G69" s="497"/>
      <c r="H69" s="1056"/>
      <c r="I69" s="309"/>
      <c r="J69" s="309"/>
      <c r="K69" s="499"/>
      <c r="L69" s="1069"/>
      <c r="M69" s="309"/>
      <c r="N69" s="454"/>
    </row>
    <row r="70" spans="1:15" s="455" customFormat="1" ht="13.5">
      <c r="A70" s="471"/>
      <c r="B70" s="454"/>
      <c r="C70" s="314"/>
      <c r="D70" s="314"/>
      <c r="E70" s="309"/>
      <c r="F70" s="309"/>
      <c r="G70" s="497"/>
      <c r="H70" s="1056"/>
      <c r="I70" s="309"/>
      <c r="J70" s="309"/>
      <c r="K70" s="499"/>
      <c r="L70" s="1069"/>
      <c r="M70" s="499"/>
      <c r="N70" s="458"/>
    </row>
    <row r="71" spans="1:15" s="455" customFormat="1" ht="13.5">
      <c r="A71" s="471"/>
      <c r="B71" s="454"/>
      <c r="C71" s="314"/>
      <c r="D71" s="314"/>
      <c r="E71" s="309"/>
      <c r="F71" s="309"/>
      <c r="G71" s="497"/>
      <c r="H71" s="1056"/>
      <c r="I71" s="309"/>
      <c r="J71" s="309"/>
      <c r="K71" s="499"/>
      <c r="L71" s="1069"/>
      <c r="M71" s="499"/>
      <c r="N71" s="458"/>
    </row>
    <row r="72" spans="1:15" s="455" customFormat="1" ht="13.5">
      <c r="A72" s="471"/>
      <c r="B72" s="454"/>
      <c r="C72" s="314"/>
      <c r="D72" s="314"/>
      <c r="E72" s="662"/>
      <c r="F72" s="309"/>
      <c r="G72" s="497"/>
      <c r="H72" s="1056"/>
      <c r="I72" s="985"/>
      <c r="J72" s="985"/>
      <c r="K72" s="499"/>
      <c r="L72" s="1016"/>
      <c r="M72" s="499"/>
      <c r="N72" s="458"/>
    </row>
    <row r="73" spans="1:15" s="455" customFormat="1" ht="13.5">
      <c r="A73" s="471"/>
      <c r="B73" s="454"/>
      <c r="C73" s="314"/>
      <c r="D73" s="314"/>
      <c r="E73" s="662"/>
      <c r="F73" s="309"/>
      <c r="G73" s="497"/>
      <c r="H73" s="1056"/>
      <c r="I73" s="985"/>
      <c r="J73" s="985"/>
      <c r="K73" s="499"/>
      <c r="L73" s="1016"/>
      <c r="M73" s="499"/>
      <c r="N73" s="458"/>
    </row>
    <row r="74" spans="1:15" s="455" customFormat="1" ht="13.5">
      <c r="A74" s="471"/>
      <c r="B74" s="454"/>
      <c r="C74" s="314"/>
      <c r="D74" s="314"/>
      <c r="E74" s="662"/>
      <c r="F74" s="309"/>
      <c r="G74" s="497"/>
      <c r="H74" s="1056"/>
      <c r="I74" s="985"/>
      <c r="J74" s="985"/>
      <c r="K74" s="499"/>
      <c r="L74" s="1071"/>
      <c r="M74" s="499"/>
    </row>
    <row r="75" spans="1:15" s="455" customFormat="1" ht="13.5">
      <c r="A75" s="471"/>
      <c r="B75" s="454"/>
      <c r="C75" s="314"/>
      <c r="D75" s="314"/>
      <c r="E75" s="662"/>
      <c r="F75" s="309"/>
      <c r="G75" s="497"/>
      <c r="H75" s="1056"/>
      <c r="I75" s="985"/>
      <c r="J75" s="985"/>
      <c r="K75" s="499"/>
      <c r="L75" s="1071"/>
      <c r="M75" s="499"/>
    </row>
    <row r="76" spans="1:15" s="455" customFormat="1" ht="13.5">
      <c r="A76" s="471"/>
      <c r="B76" s="454"/>
      <c r="C76" s="314"/>
      <c r="D76" s="314"/>
      <c r="E76" s="662"/>
      <c r="F76" s="309"/>
      <c r="G76" s="497"/>
      <c r="H76" s="1056"/>
      <c r="I76" s="985"/>
      <c r="J76" s="985"/>
      <c r="K76" s="499"/>
      <c r="L76" s="1016"/>
      <c r="M76" s="499"/>
    </row>
    <row r="77" spans="1:15" s="455" customFormat="1" ht="13.5">
      <c r="A77" s="471"/>
      <c r="B77" s="454"/>
      <c r="C77" s="314"/>
      <c r="D77" s="314"/>
      <c r="E77" s="662"/>
      <c r="F77" s="309"/>
      <c r="G77" s="497"/>
      <c r="H77" s="1056"/>
      <c r="I77" s="985"/>
      <c r="J77" s="985"/>
      <c r="K77" s="499"/>
      <c r="L77" s="1016"/>
      <c r="M77" s="499"/>
    </row>
    <row r="78" spans="1:15" s="455" customFormat="1" ht="13.5">
      <c r="A78" s="471"/>
      <c r="B78" s="454"/>
      <c r="C78" s="314"/>
      <c r="D78" s="314"/>
      <c r="E78" s="662"/>
      <c r="F78" s="309"/>
      <c r="G78" s="497"/>
      <c r="H78" s="1056"/>
      <c r="I78" s="985"/>
      <c r="J78" s="985"/>
      <c r="K78" s="499"/>
      <c r="L78" s="1016"/>
      <c r="M78" s="499"/>
      <c r="N78" s="458"/>
    </row>
    <row r="79" spans="1:15" s="455" customFormat="1" ht="13.5">
      <c r="A79" s="471"/>
      <c r="B79" s="454"/>
      <c r="C79" s="314"/>
      <c r="D79" s="314"/>
      <c r="E79" s="662"/>
      <c r="F79" s="309"/>
      <c r="G79" s="497"/>
      <c r="H79" s="1056"/>
      <c r="I79" s="985"/>
      <c r="J79" s="985"/>
      <c r="K79" s="499"/>
      <c r="L79" s="1016"/>
      <c r="M79" s="499"/>
      <c r="N79" s="458"/>
    </row>
    <row r="80" spans="1:15" s="455" customFormat="1" ht="13.5">
      <c r="A80" s="471"/>
      <c r="B80" s="454"/>
      <c r="C80" s="314"/>
      <c r="D80" s="314"/>
      <c r="E80" s="662"/>
      <c r="F80" s="309"/>
      <c r="G80" s="497"/>
      <c r="H80" s="1056"/>
      <c r="I80" s="985"/>
      <c r="J80" s="985"/>
      <c r="K80" s="499"/>
      <c r="L80" s="1016"/>
      <c r="M80" s="499"/>
      <c r="N80" s="458"/>
    </row>
    <row r="81" spans="1:15" s="455" customFormat="1" ht="13.5">
      <c r="A81" s="471"/>
      <c r="B81" s="454"/>
      <c r="C81" s="2591"/>
      <c r="D81" s="314"/>
      <c r="E81" s="662"/>
      <c r="F81" s="309"/>
      <c r="G81" s="497"/>
      <c r="H81" s="1056"/>
      <c r="I81" s="985"/>
      <c r="J81" s="985"/>
      <c r="K81" s="499"/>
      <c r="L81" s="1016"/>
      <c r="M81" s="499"/>
    </row>
    <row r="82" spans="1:15" s="455" customFormat="1" ht="13.5">
      <c r="A82" s="471"/>
      <c r="B82" s="454"/>
      <c r="C82" s="2593"/>
      <c r="D82" s="314"/>
      <c r="E82" s="662"/>
      <c r="F82" s="309"/>
      <c r="G82" s="497"/>
      <c r="H82" s="1056"/>
      <c r="I82" s="985"/>
      <c r="J82" s="985"/>
      <c r="K82" s="499"/>
      <c r="L82" s="1016"/>
      <c r="M82" s="499"/>
      <c r="N82" s="454"/>
    </row>
    <row r="83" spans="1:15" s="455" customFormat="1" ht="13.5">
      <c r="A83" s="471"/>
      <c r="B83" s="454"/>
      <c r="C83" s="2591"/>
      <c r="D83" s="314"/>
      <c r="E83" s="662"/>
      <c r="F83" s="309"/>
      <c r="G83" s="497"/>
      <c r="H83" s="1056"/>
      <c r="I83" s="985"/>
      <c r="J83" s="985"/>
      <c r="K83" s="499"/>
      <c r="L83" s="1016"/>
      <c r="M83" s="499"/>
      <c r="N83" s="458"/>
    </row>
    <row r="84" spans="1:15" s="455" customFormat="1" ht="13.5">
      <c r="A84" s="471"/>
      <c r="B84" s="454"/>
      <c r="C84" s="2592"/>
      <c r="D84" s="314"/>
      <c r="E84" s="662"/>
      <c r="F84" s="309"/>
      <c r="G84" s="497"/>
      <c r="H84" s="1056"/>
      <c r="I84" s="985"/>
      <c r="J84" s="985"/>
      <c r="K84" s="499"/>
      <c r="L84" s="1016"/>
      <c r="M84" s="499"/>
      <c r="N84" s="458"/>
    </row>
    <row r="85" spans="1:15" s="455" customFormat="1" ht="13.5">
      <c r="A85" s="471"/>
      <c r="B85" s="454"/>
      <c r="C85" s="2593"/>
      <c r="D85" s="314"/>
      <c r="E85" s="662"/>
      <c r="F85" s="309"/>
      <c r="G85" s="497"/>
      <c r="H85" s="1056"/>
      <c r="I85" s="985"/>
      <c r="J85" s="985"/>
      <c r="K85" s="499"/>
      <c r="L85" s="1016"/>
      <c r="M85" s="499"/>
      <c r="N85" s="458"/>
    </row>
    <row r="86" spans="1:15" s="455" customFormat="1" ht="13.5">
      <c r="A86" s="471"/>
      <c r="B86" s="454"/>
      <c r="C86" s="314"/>
      <c r="D86" s="314"/>
      <c r="E86" s="662"/>
      <c r="F86" s="309"/>
      <c r="G86" s="497"/>
      <c r="H86" s="985"/>
      <c r="I86" s="985"/>
      <c r="J86" s="985"/>
      <c r="K86" s="499"/>
      <c r="L86" s="1016"/>
      <c r="M86" s="499"/>
      <c r="N86" s="458"/>
    </row>
    <row r="87" spans="1:15" s="455" customFormat="1" ht="13.5">
      <c r="A87" s="471"/>
      <c r="B87" s="454"/>
      <c r="C87" s="314"/>
      <c r="D87" s="314"/>
      <c r="E87" s="662"/>
      <c r="F87" s="309"/>
      <c r="G87" s="497"/>
      <c r="H87" s="985"/>
      <c r="I87" s="985"/>
      <c r="J87" s="985"/>
      <c r="K87" s="499"/>
      <c r="L87" s="1016"/>
      <c r="M87" s="499"/>
      <c r="N87" s="460"/>
    </row>
    <row r="88" spans="1:15" s="455" customFormat="1" ht="13.5">
      <c r="C88" s="314"/>
      <c r="D88" s="314"/>
      <c r="E88" s="662"/>
      <c r="F88" s="662"/>
      <c r="G88" s="309"/>
      <c r="H88" s="497"/>
      <c r="I88" s="1056"/>
      <c r="J88" s="985"/>
      <c r="K88" s="985"/>
      <c r="L88" s="499"/>
      <c r="M88" s="1025"/>
      <c r="N88" s="499"/>
    </row>
    <row r="89" spans="1:15" s="455" customFormat="1" ht="13.5">
      <c r="C89" s="902"/>
      <c r="D89" s="309"/>
      <c r="E89" s="662"/>
      <c r="F89" s="662"/>
      <c r="G89" s="309"/>
      <c r="H89" s="497"/>
      <c r="I89" s="653"/>
      <c r="J89" s="985"/>
      <c r="K89" s="1469"/>
      <c r="L89" s="499"/>
      <c r="M89" s="1025"/>
      <c r="N89" s="499"/>
    </row>
    <row r="90" spans="1:15" s="455" customFormat="1" ht="13.5">
      <c r="A90" s="566"/>
      <c r="B90" s="467"/>
      <c r="C90" s="499"/>
      <c r="D90" s="309"/>
      <c r="E90" s="391"/>
      <c r="F90" s="499"/>
      <c r="G90" s="497"/>
      <c r="H90" s="498"/>
      <c r="I90" s="498"/>
      <c r="J90" s="498"/>
      <c r="K90" s="499"/>
      <c r="L90" s="1470"/>
      <c r="M90" s="309"/>
      <c r="N90" s="499"/>
    </row>
    <row r="91" spans="1:15" s="455" customFormat="1" ht="13.5">
      <c r="A91" s="566"/>
      <c r="B91" s="467"/>
      <c r="C91" s="497"/>
      <c r="D91" s="691"/>
      <c r="E91" s="675"/>
      <c r="F91" s="675"/>
      <c r="G91" s="654"/>
      <c r="H91" s="502"/>
      <c r="I91" s="652"/>
      <c r="J91" s="497"/>
      <c r="K91" s="653"/>
      <c r="L91" s="502"/>
      <c r="M91" s="538"/>
      <c r="N91" s="392"/>
      <c r="O91" s="502"/>
    </row>
    <row r="92" spans="1:15" s="455" customFormat="1" ht="13.5">
      <c r="A92" s="566"/>
      <c r="B92" s="467"/>
      <c r="C92" s="497"/>
      <c r="D92" s="691"/>
      <c r="E92" s="675"/>
      <c r="F92" s="675"/>
      <c r="G92" s="654"/>
      <c r="H92" s="502"/>
      <c r="I92" s="652"/>
      <c r="J92" s="497"/>
      <c r="K92" s="653"/>
      <c r="L92" s="502"/>
      <c r="M92" s="538"/>
      <c r="N92" s="392"/>
      <c r="O92" s="502"/>
    </row>
    <row r="93" spans="1:15" s="455" customFormat="1" ht="13.5">
      <c r="A93" s="566"/>
      <c r="B93" s="467"/>
      <c r="C93" s="497"/>
      <c r="D93" s="691"/>
      <c r="E93" s="675"/>
      <c r="F93" s="675"/>
      <c r="G93" s="654"/>
      <c r="H93" s="502"/>
      <c r="I93" s="652"/>
      <c r="J93" s="497"/>
      <c r="K93" s="653"/>
      <c r="L93" s="502"/>
      <c r="M93" s="538"/>
      <c r="N93" s="392"/>
      <c r="O93" s="502"/>
    </row>
    <row r="94" spans="1:15" s="455" customFormat="1" ht="13.5">
      <c r="A94" s="566"/>
      <c r="B94" s="467"/>
      <c r="C94" s="497"/>
      <c r="D94" s="691"/>
      <c r="E94" s="675"/>
      <c r="F94" s="675"/>
      <c r="G94" s="654"/>
      <c r="H94" s="502"/>
      <c r="I94" s="652"/>
      <c r="J94" s="497"/>
      <c r="K94" s="653"/>
      <c r="L94" s="502"/>
      <c r="M94" s="538"/>
      <c r="N94" s="392"/>
      <c r="O94" s="502"/>
    </row>
    <row r="95" spans="1:15" s="455" customFormat="1" ht="13.5">
      <c r="C95" s="1384"/>
      <c r="D95" s="314"/>
      <c r="E95" s="662"/>
      <c r="F95" s="662"/>
      <c r="G95" s="309"/>
      <c r="H95" s="497"/>
      <c r="I95" s="653"/>
      <c r="J95" s="985"/>
      <c r="K95" s="1469"/>
      <c r="L95" s="499"/>
      <c r="M95" s="1025"/>
      <c r="N95" s="499"/>
    </row>
    <row r="96" spans="1:15" s="455" customFormat="1" ht="13.5">
      <c r="C96" s="1384"/>
      <c r="D96" s="314"/>
      <c r="E96" s="662"/>
      <c r="F96" s="662"/>
      <c r="G96" s="309"/>
      <c r="H96" s="497"/>
      <c r="I96" s="653"/>
      <c r="J96" s="985"/>
      <c r="K96" s="1469"/>
      <c r="L96" s="499"/>
      <c r="M96" s="1025"/>
      <c r="N96" s="499"/>
    </row>
    <row r="97" spans="1:15" s="455" customFormat="1" ht="13.5">
      <c r="A97" s="566"/>
      <c r="B97" s="467"/>
      <c r="C97" s="499"/>
      <c r="D97" s="309"/>
      <c r="E97" s="391"/>
      <c r="F97" s="499"/>
      <c r="G97" s="497"/>
      <c r="H97" s="498"/>
      <c r="I97" s="498"/>
      <c r="J97" s="498"/>
      <c r="K97" s="499"/>
      <c r="L97" s="1470"/>
      <c r="M97" s="309"/>
      <c r="N97" s="499"/>
    </row>
    <row r="98" spans="1:15" s="455" customFormat="1" ht="13.5">
      <c r="A98" s="566"/>
      <c r="B98" s="467"/>
      <c r="C98" s="497"/>
      <c r="D98" s="691"/>
      <c r="E98" s="675"/>
      <c r="F98" s="675"/>
      <c r="G98" s="654"/>
      <c r="H98" s="502"/>
      <c r="I98" s="652"/>
      <c r="J98" s="497"/>
      <c r="K98" s="653"/>
      <c r="L98" s="502"/>
      <c r="M98" s="538"/>
      <c r="N98" s="392"/>
      <c r="O98" s="502"/>
    </row>
    <row r="99" spans="1:15" s="455" customFormat="1" ht="13.5">
      <c r="A99" s="566"/>
      <c r="B99" s="467"/>
      <c r="C99" s="497"/>
      <c r="D99" s="691"/>
      <c r="E99" s="675"/>
      <c r="F99" s="675"/>
      <c r="G99" s="654"/>
      <c r="H99" s="502"/>
      <c r="I99" s="652"/>
      <c r="J99" s="497"/>
      <c r="K99" s="653"/>
      <c r="L99" s="502"/>
      <c r="M99" s="538"/>
      <c r="N99" s="392"/>
      <c r="O99" s="502"/>
    </row>
    <row r="100" spans="1:15" s="455" customFormat="1" ht="13.5">
      <c r="A100" s="566"/>
      <c r="B100" s="467"/>
      <c r="C100" s="497"/>
      <c r="D100" s="691"/>
      <c r="E100" s="675"/>
      <c r="F100" s="675"/>
      <c r="G100" s="654"/>
      <c r="H100" s="502"/>
      <c r="I100" s="652"/>
      <c r="J100" s="497"/>
      <c r="K100" s="653"/>
      <c r="L100" s="502"/>
      <c r="M100" s="538"/>
      <c r="N100" s="392"/>
      <c r="O100" s="502"/>
    </row>
    <row r="101" spans="1:15" s="455" customFormat="1" ht="13.5">
      <c r="A101" s="566"/>
      <c r="B101" s="467"/>
      <c r="C101" s="497"/>
      <c r="D101" s="691"/>
      <c r="E101" s="675"/>
      <c r="F101" s="675"/>
      <c r="G101" s="654"/>
      <c r="H101" s="502"/>
      <c r="I101" s="652"/>
      <c r="J101" s="497"/>
      <c r="K101" s="653"/>
      <c r="L101" s="502"/>
      <c r="M101" s="538"/>
      <c r="N101" s="392"/>
      <c r="O101" s="502"/>
    </row>
    <row r="102" spans="1:15" s="455" customFormat="1" ht="13.5">
      <c r="C102" s="1385"/>
      <c r="D102" s="314"/>
      <c r="E102" s="991"/>
      <c r="F102" s="662"/>
      <c r="G102" s="309"/>
      <c r="H102" s="497"/>
      <c r="I102" s="774"/>
      <c r="J102" s="774"/>
      <c r="K102" s="774"/>
      <c r="L102" s="499"/>
      <c r="M102" s="1028"/>
      <c r="N102" s="499"/>
    </row>
    <row r="103" spans="1:15" s="455" customFormat="1" ht="13.5">
      <c r="C103" s="314"/>
      <c r="D103" s="314"/>
      <c r="E103" s="991"/>
      <c r="F103" s="662"/>
      <c r="G103" s="309"/>
      <c r="H103" s="497"/>
      <c r="I103" s="774"/>
      <c r="J103" s="774"/>
      <c r="K103" s="1471"/>
      <c r="L103" s="499"/>
      <c r="M103" s="1028"/>
      <c r="N103" s="499"/>
    </row>
    <row r="104" spans="1:15" s="455" customFormat="1" ht="13.5">
      <c r="C104" s="1027"/>
      <c r="D104" s="314"/>
      <c r="E104" s="991"/>
      <c r="F104" s="662"/>
      <c r="G104" s="309"/>
      <c r="H104" s="497"/>
      <c r="I104" s="1056"/>
      <c r="J104" s="985"/>
      <c r="K104" s="985"/>
      <c r="L104" s="499"/>
      <c r="M104" s="1028"/>
      <c r="N104" s="499"/>
    </row>
    <row r="105" spans="1:15" s="455" customFormat="1" ht="13.5">
      <c r="C105" s="499"/>
      <c r="D105" s="309"/>
      <c r="E105" s="391"/>
      <c r="F105" s="499"/>
      <c r="G105" s="497"/>
      <c r="H105" s="498"/>
      <c r="I105" s="498"/>
      <c r="J105" s="498"/>
      <c r="K105" s="499"/>
      <c r="L105" s="1472"/>
      <c r="M105" s="309"/>
      <c r="N105" s="499"/>
    </row>
    <row r="106" spans="1:15" s="455" customFormat="1" ht="13.5">
      <c r="C106" s="497"/>
      <c r="D106" s="691"/>
      <c r="E106" s="675"/>
      <c r="F106" s="675"/>
      <c r="G106" s="654"/>
      <c r="H106" s="502"/>
      <c r="I106" s="652"/>
      <c r="J106" s="497"/>
      <c r="K106" s="653"/>
      <c r="L106" s="502"/>
      <c r="M106" s="538"/>
      <c r="N106" s="392"/>
      <c r="O106" s="502"/>
    </row>
    <row r="107" spans="1:15" s="455" customFormat="1" ht="13.5">
      <c r="C107" s="497"/>
      <c r="D107" s="691"/>
      <c r="E107" s="675"/>
      <c r="F107" s="675"/>
      <c r="G107" s="654"/>
      <c r="H107" s="502"/>
      <c r="I107" s="652"/>
      <c r="J107" s="497"/>
      <c r="K107" s="653"/>
      <c r="L107" s="502"/>
      <c r="M107" s="538"/>
      <c r="N107" s="392"/>
      <c r="O107" s="502"/>
    </row>
    <row r="108" spans="1:15" s="455" customFormat="1" ht="13.5">
      <c r="C108" s="497"/>
      <c r="D108" s="691"/>
      <c r="E108" s="675"/>
      <c r="F108" s="675"/>
      <c r="G108" s="654"/>
      <c r="H108" s="502"/>
      <c r="I108" s="652"/>
      <c r="J108" s="497"/>
      <c r="K108" s="653"/>
      <c r="L108" s="502"/>
      <c r="M108" s="538"/>
      <c r="N108" s="392"/>
      <c r="O108" s="502"/>
    </row>
    <row r="109" spans="1:15" s="455" customFormat="1" ht="13.5">
      <c r="C109" s="497"/>
      <c r="D109" s="691"/>
      <c r="E109" s="675"/>
      <c r="F109" s="675"/>
      <c r="G109" s="654"/>
      <c r="H109" s="502"/>
      <c r="I109" s="652"/>
      <c r="J109" s="497"/>
      <c r="K109" s="653"/>
      <c r="L109" s="502"/>
      <c r="M109" s="538"/>
      <c r="N109" s="392"/>
      <c r="O109" s="502"/>
    </row>
    <row r="110" spans="1:15" s="455" customFormat="1" ht="13.5">
      <c r="C110" s="497"/>
      <c r="D110" s="691"/>
      <c r="E110" s="675"/>
      <c r="F110" s="675"/>
      <c r="G110" s="654"/>
      <c r="H110" s="502"/>
      <c r="I110" s="652"/>
      <c r="J110" s="497"/>
      <c r="K110" s="653"/>
      <c r="L110" s="502"/>
      <c r="M110" s="538"/>
      <c r="N110" s="392"/>
      <c r="O110" s="502"/>
    </row>
    <row r="111" spans="1:15" s="455" customFormat="1" ht="13.5">
      <c r="C111" s="497"/>
      <c r="D111" s="691"/>
      <c r="E111" s="675"/>
      <c r="F111" s="675"/>
      <c r="G111" s="654"/>
      <c r="H111" s="502"/>
      <c r="I111" s="652"/>
      <c r="J111" s="497"/>
      <c r="K111" s="653"/>
      <c r="L111" s="502"/>
      <c r="M111" s="538"/>
      <c r="N111" s="392"/>
      <c r="O111" s="502"/>
    </row>
    <row r="112" spans="1:15" s="455" customFormat="1" ht="13.5">
      <c r="C112" s="497"/>
      <c r="D112" s="691"/>
      <c r="E112" s="675"/>
      <c r="F112" s="1473"/>
      <c r="G112" s="654"/>
      <c r="H112" s="502"/>
      <c r="I112" s="652"/>
      <c r="J112" s="497"/>
      <c r="K112" s="653"/>
      <c r="L112" s="502"/>
      <c r="M112" s="538"/>
      <c r="N112" s="392"/>
      <c r="O112" s="502"/>
    </row>
    <row r="113" spans="3:14" s="355" customFormat="1" ht="13.5">
      <c r="C113" s="400"/>
      <c r="D113" s="400"/>
      <c r="E113" s="401"/>
      <c r="F113" s="402"/>
      <c r="G113" s="402"/>
      <c r="H113" s="403"/>
      <c r="I113" s="403"/>
      <c r="J113" s="403"/>
      <c r="K113" s="402"/>
      <c r="L113" s="404"/>
      <c r="M113" s="402"/>
      <c r="N113" s="405"/>
    </row>
    <row r="114" spans="3:14" s="355" customFormat="1" ht="13.5">
      <c r="C114" s="400"/>
      <c r="D114" s="400"/>
      <c r="E114" s="401"/>
      <c r="F114" s="402"/>
      <c r="G114" s="402"/>
      <c r="H114" s="403"/>
      <c r="I114" s="403"/>
      <c r="J114" s="403"/>
      <c r="K114" s="402"/>
      <c r="L114" s="404"/>
      <c r="M114" s="402"/>
      <c r="N114" s="405"/>
    </row>
    <row r="115" spans="3:14" s="355" customFormat="1" ht="13.5">
      <c r="C115" s="400"/>
      <c r="D115" s="400"/>
      <c r="E115" s="401"/>
      <c r="F115" s="402"/>
      <c r="G115" s="402"/>
      <c r="H115" s="403"/>
      <c r="I115" s="403"/>
      <c r="J115" s="403"/>
      <c r="K115" s="402"/>
      <c r="L115" s="404"/>
      <c r="M115" s="402"/>
      <c r="N115" s="405"/>
    </row>
    <row r="116" spans="3:14" s="355" customFormat="1" ht="13.5">
      <c r="C116" s="400"/>
      <c r="D116" s="400"/>
      <c r="E116" s="401"/>
      <c r="F116" s="402"/>
      <c r="G116" s="402"/>
      <c r="H116" s="403"/>
      <c r="I116" s="403"/>
      <c r="J116" s="403"/>
      <c r="K116" s="402"/>
      <c r="L116" s="404"/>
      <c r="M116" s="402"/>
      <c r="N116" s="405"/>
    </row>
    <row r="117" spans="3:14" s="355" customFormat="1" ht="13.5">
      <c r="C117" s="400"/>
      <c r="D117" s="400"/>
      <c r="E117" s="401"/>
      <c r="F117" s="402"/>
      <c r="G117" s="402"/>
      <c r="H117" s="403"/>
      <c r="I117" s="403"/>
      <c r="J117" s="403"/>
      <c r="K117" s="402"/>
      <c r="L117" s="404"/>
      <c r="M117" s="402"/>
      <c r="N117" s="405"/>
    </row>
    <row r="118" spans="3:14" s="355" customFormat="1" ht="13.5">
      <c r="C118" s="400"/>
      <c r="D118" s="400"/>
      <c r="E118" s="401"/>
      <c r="F118" s="402"/>
      <c r="G118" s="402"/>
      <c r="H118" s="403"/>
      <c r="I118" s="403"/>
      <c r="J118" s="403"/>
      <c r="K118" s="402"/>
      <c r="L118" s="404"/>
      <c r="M118" s="402"/>
      <c r="N118" s="405"/>
    </row>
    <row r="119" spans="3:14" s="355" customFormat="1" ht="13.5">
      <c r="C119" s="400"/>
      <c r="D119" s="400"/>
      <c r="E119" s="401"/>
      <c r="F119" s="402"/>
      <c r="G119" s="402"/>
      <c r="H119" s="403"/>
      <c r="I119" s="403"/>
      <c r="J119" s="403"/>
      <c r="K119" s="402"/>
      <c r="L119" s="404"/>
      <c r="M119" s="402"/>
      <c r="N119" s="405"/>
    </row>
    <row r="120" spans="3:14" s="355" customFormat="1" ht="13.5">
      <c r="C120" s="400"/>
      <c r="D120" s="400"/>
      <c r="E120" s="401"/>
      <c r="F120" s="402"/>
      <c r="G120" s="402"/>
      <c r="H120" s="403"/>
      <c r="I120" s="403"/>
      <c r="J120" s="403"/>
      <c r="K120" s="402"/>
      <c r="L120" s="404"/>
      <c r="M120" s="402"/>
      <c r="N120" s="405"/>
    </row>
    <row r="121" spans="3:14" s="355" customFormat="1" ht="13.5">
      <c r="C121" s="400"/>
      <c r="D121" s="400"/>
      <c r="E121" s="401"/>
      <c r="F121" s="402"/>
      <c r="G121" s="402"/>
      <c r="H121" s="403"/>
      <c r="I121" s="403"/>
      <c r="J121" s="403"/>
      <c r="K121" s="402"/>
      <c r="L121" s="404"/>
      <c r="M121" s="402"/>
      <c r="N121" s="405"/>
    </row>
    <row r="122" spans="3:14" s="355" customFormat="1" ht="13.5">
      <c r="C122" s="400"/>
      <c r="D122" s="400"/>
      <c r="E122" s="401"/>
      <c r="F122" s="402"/>
      <c r="G122" s="402"/>
      <c r="H122" s="403"/>
      <c r="I122" s="403"/>
      <c r="J122" s="403"/>
      <c r="K122" s="402"/>
      <c r="L122" s="404"/>
      <c r="M122" s="402"/>
      <c r="N122" s="405"/>
    </row>
    <row r="123" spans="3:14" s="355" customFormat="1" ht="13.5">
      <c r="C123" s="400"/>
      <c r="D123" s="400"/>
      <c r="E123" s="401"/>
      <c r="F123" s="402"/>
      <c r="G123" s="402"/>
      <c r="H123" s="403"/>
      <c r="I123" s="403"/>
      <c r="J123" s="403"/>
      <c r="K123" s="402"/>
      <c r="L123" s="404"/>
      <c r="M123" s="402"/>
      <c r="N123" s="405"/>
    </row>
    <row r="124" spans="3:14" s="355" customFormat="1" ht="13.5">
      <c r="C124" s="400"/>
      <c r="D124" s="400"/>
      <c r="E124" s="401"/>
      <c r="F124" s="402"/>
      <c r="G124" s="402"/>
      <c r="H124" s="403"/>
      <c r="I124" s="403"/>
      <c r="J124" s="403"/>
      <c r="K124" s="402"/>
      <c r="L124" s="404"/>
      <c r="M124" s="402"/>
      <c r="N124" s="405"/>
    </row>
    <row r="125" spans="3:14" s="355" customFormat="1" ht="13.5">
      <c r="C125" s="400"/>
      <c r="D125" s="400"/>
      <c r="E125" s="401"/>
      <c r="F125" s="402"/>
      <c r="G125" s="402"/>
      <c r="H125" s="403"/>
      <c r="I125" s="403"/>
      <c r="J125" s="403"/>
      <c r="K125" s="402"/>
      <c r="L125" s="404"/>
      <c r="M125" s="407"/>
      <c r="N125" s="405"/>
    </row>
    <row r="126" spans="3:14" s="355" customFormat="1" ht="13.5">
      <c r="C126" s="400"/>
      <c r="D126" s="400"/>
      <c r="E126" s="401"/>
      <c r="F126" s="402"/>
      <c r="G126" s="403"/>
      <c r="H126" s="403"/>
      <c r="I126" s="403"/>
      <c r="J126" s="403"/>
      <c r="K126" s="408"/>
      <c r="L126" s="404"/>
      <c r="M126" s="407"/>
      <c r="N126" s="405"/>
    </row>
    <row r="127" spans="3:14" s="355" customFormat="1" ht="13.5">
      <c r="C127" s="352"/>
      <c r="D127" s="352"/>
      <c r="E127" s="352"/>
      <c r="F127" s="352"/>
      <c r="G127" s="352"/>
      <c r="H127" s="352"/>
      <c r="I127" s="352"/>
      <c r="J127" s="352"/>
      <c r="K127" s="352"/>
      <c r="L127" s="1403">
        <f>SUM(L5:L125)</f>
        <v>34000</v>
      </c>
      <c r="M127" s="352"/>
      <c r="N127" s="352"/>
    </row>
    <row r="128" spans="3:14" ht="14.25" customHeight="1">
      <c r="C128" s="31"/>
      <c r="D128" s="27"/>
      <c r="E128" s="20"/>
      <c r="F128" s="28"/>
      <c r="G128" s="28"/>
      <c r="H128" s="26"/>
      <c r="I128" s="26"/>
      <c r="J128" s="26"/>
      <c r="K128" s="28"/>
      <c r="L128" s="179"/>
      <c r="M128" s="28"/>
      <c r="N128" s="27"/>
    </row>
    <row r="129" spans="3:14" s="1" customFormat="1" ht="14.25" customHeight="1">
      <c r="C129" s="31"/>
      <c r="D129" s="27"/>
      <c r="E129" s="21"/>
      <c r="F129" s="28"/>
      <c r="G129" s="28"/>
      <c r="H129" s="26"/>
      <c r="I129" s="26"/>
      <c r="J129" s="26"/>
      <c r="K129" s="28"/>
      <c r="L129" s="179"/>
      <c r="M129" s="28"/>
      <c r="N129" s="27"/>
    </row>
    <row r="130" spans="3:14" s="1" customFormat="1" ht="14.25" customHeight="1">
      <c r="C130" s="30"/>
      <c r="D130" s="25"/>
      <c r="E130" s="21"/>
      <c r="F130" s="22"/>
      <c r="G130" s="22"/>
      <c r="H130" s="23"/>
      <c r="I130" s="23"/>
      <c r="J130" s="23"/>
      <c r="K130" s="22"/>
      <c r="L130" s="180"/>
      <c r="M130" s="22"/>
      <c r="N130" s="25"/>
    </row>
  </sheetData>
  <mergeCells count="14">
    <mergeCell ref="N2:N3"/>
    <mergeCell ref="C81:C82"/>
    <mergeCell ref="C83:C85"/>
    <mergeCell ref="C12:C18"/>
    <mergeCell ref="C44:C45"/>
    <mergeCell ref="C46:C47"/>
    <mergeCell ref="C49:C50"/>
    <mergeCell ref="C51:C52"/>
    <mergeCell ref="C53:C54"/>
    <mergeCell ref="C5:C11"/>
    <mergeCell ref="C2:G2"/>
    <mergeCell ref="H2:J2"/>
    <mergeCell ref="K2:L2"/>
    <mergeCell ref="M2:M3"/>
  </mergeCell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63AA3-921E-4044-8098-18DD66AFCD8B}">
  <sheetPr>
    <tabColor rgb="FF00B0F0"/>
  </sheetPr>
  <dimension ref="A1:O124"/>
  <sheetViews>
    <sheetView topLeftCell="B1" zoomScale="85" zoomScaleNormal="85" workbookViewId="0">
      <pane ySplit="4" topLeftCell="A5" activePane="bottomLeft" state="frozen"/>
      <selection pane="bottomLeft" activeCell="K6" sqref="K6"/>
    </sheetView>
  </sheetViews>
  <sheetFormatPr defaultRowHeight="15"/>
  <cols>
    <col min="2" max="2" width="17.28515625" customWidth="1"/>
    <col min="3" max="3" width="21.42578125" customWidth="1"/>
    <col min="4" max="4" width="49.7109375" bestFit="1"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style="99" customWidth="1"/>
    <col min="13" max="13" width="16.28515625" customWidth="1"/>
    <col min="14" max="14" width="12.85546875" customWidth="1"/>
    <col min="17" max="17" width="73.7109375" bestFit="1" customWidth="1"/>
  </cols>
  <sheetData>
    <row r="1" spans="1:15" s="355" customFormat="1" ht="13.5">
      <c r="L1" s="32"/>
    </row>
    <row r="2" spans="1:15" s="355" customFormat="1" ht="13.5">
      <c r="C2" s="2601" t="s">
        <v>30</v>
      </c>
      <c r="D2" s="2602"/>
      <c r="E2" s="2602"/>
      <c r="F2" s="2602"/>
      <c r="G2" s="2603"/>
      <c r="H2" s="2604" t="s">
        <v>29</v>
      </c>
      <c r="I2" s="2605"/>
      <c r="J2" s="2606"/>
      <c r="K2" s="2601" t="s">
        <v>28</v>
      </c>
      <c r="L2" s="2603"/>
      <c r="M2" s="2594" t="s">
        <v>27</v>
      </c>
      <c r="N2" s="2594" t="s">
        <v>26</v>
      </c>
    </row>
    <row r="3" spans="1:15" s="355" customFormat="1" ht="94.5">
      <c r="C3" s="618" t="s">
        <v>25</v>
      </c>
      <c r="D3" s="852" t="s">
        <v>24</v>
      </c>
      <c r="E3" s="991" t="s">
        <v>23</v>
      </c>
      <c r="F3" s="618" t="s">
        <v>22</v>
      </c>
      <c r="G3" s="532" t="s">
        <v>1303</v>
      </c>
      <c r="H3" s="532" t="s">
        <v>20</v>
      </c>
      <c r="I3" s="532" t="s">
        <v>19</v>
      </c>
      <c r="J3" s="532" t="s">
        <v>18</v>
      </c>
      <c r="K3" s="618" t="s">
        <v>17</v>
      </c>
      <c r="L3" s="605" t="s">
        <v>16</v>
      </c>
      <c r="M3" s="2594"/>
      <c r="N3" s="2594"/>
    </row>
    <row r="4" spans="1:15" s="355" customFormat="1" ht="27">
      <c r="C4" s="1076" t="s">
        <v>15</v>
      </c>
      <c r="D4" s="1076" t="s">
        <v>14</v>
      </c>
      <c r="E4" s="1076" t="s">
        <v>13</v>
      </c>
      <c r="F4" s="1076" t="s">
        <v>12</v>
      </c>
      <c r="G4" s="1076" t="s">
        <v>11</v>
      </c>
      <c r="H4" s="1076" t="s">
        <v>10</v>
      </c>
      <c r="I4" s="1076" t="s">
        <v>9</v>
      </c>
      <c r="J4" s="1076" t="s">
        <v>8</v>
      </c>
      <c r="K4" s="1076" t="s">
        <v>7</v>
      </c>
      <c r="L4" s="1077" t="s">
        <v>6</v>
      </c>
      <c r="M4" s="1076" t="s">
        <v>5</v>
      </c>
      <c r="N4" s="1076" t="s">
        <v>4</v>
      </c>
    </row>
    <row r="5" spans="1:15" s="455" customFormat="1" ht="25.5" customHeight="1">
      <c r="A5" s="471"/>
      <c r="B5" s="483" t="s">
        <v>2929</v>
      </c>
      <c r="C5" s="1999" t="s">
        <v>2935</v>
      </c>
      <c r="D5" s="2000" t="s">
        <v>637</v>
      </c>
      <c r="E5" s="2015"/>
      <c r="F5" s="2023" t="s">
        <v>2923</v>
      </c>
      <c r="G5" s="2001" t="s">
        <v>1</v>
      </c>
      <c r="H5" s="2002"/>
      <c r="I5" s="2002"/>
      <c r="J5" s="2002"/>
      <c r="K5" s="2003" t="s">
        <v>748</v>
      </c>
      <c r="L5" s="1673"/>
      <c r="M5" s="2002" t="s">
        <v>2924</v>
      </c>
      <c r="N5" s="2003" t="s">
        <v>703</v>
      </c>
    </row>
    <row r="6" spans="1:15" s="455" customFormat="1" ht="15.75">
      <c r="A6" s="471"/>
      <c r="B6" s="483" t="s">
        <v>2929</v>
      </c>
      <c r="C6" s="2004"/>
      <c r="D6" s="2022" t="s">
        <v>2936</v>
      </c>
      <c r="E6" s="2017">
        <v>6</v>
      </c>
      <c r="F6" s="2006"/>
      <c r="G6" s="2006"/>
      <c r="H6" s="2008" t="s">
        <v>2213</v>
      </c>
      <c r="I6" s="2009">
        <v>46174</v>
      </c>
      <c r="J6" s="2010" t="s">
        <v>2215</v>
      </c>
      <c r="K6" s="2461">
        <v>2100</v>
      </c>
      <c r="M6" s="2013"/>
      <c r="N6" s="2011"/>
    </row>
    <row r="7" spans="1:15" s="455" customFormat="1">
      <c r="A7" s="471"/>
      <c r="B7" s="483"/>
      <c r="C7" s="2004"/>
      <c r="D7" s="2005"/>
      <c r="E7" s="2017"/>
      <c r="F7" s="2006"/>
      <c r="G7" s="2006"/>
      <c r="H7" s="2008"/>
      <c r="I7" s="2008"/>
      <c r="J7" s="1588" t="s">
        <v>2927</v>
      </c>
      <c r="K7" s="2011"/>
      <c r="L7" s="2014"/>
      <c r="M7" s="2013"/>
      <c r="N7" s="2011"/>
    </row>
    <row r="8" spans="1:15" s="455" customFormat="1">
      <c r="A8" s="471"/>
      <c r="B8" s="483"/>
      <c r="C8" s="1951"/>
      <c r="D8" s="1811"/>
      <c r="E8" s="1885"/>
      <c r="F8" s="1724"/>
      <c r="G8" s="1725"/>
      <c r="H8" s="1801"/>
      <c r="I8" s="1801"/>
      <c r="J8" s="1837"/>
      <c r="K8" s="1943"/>
      <c r="L8" s="1721"/>
      <c r="M8" s="1720"/>
    </row>
    <row r="9" spans="1:15" s="455" customFormat="1">
      <c r="A9" s="471"/>
      <c r="B9" s="483"/>
      <c r="C9" s="1951"/>
      <c r="D9" s="1811"/>
      <c r="E9" s="1885"/>
      <c r="F9" s="1724"/>
      <c r="G9" s="1725"/>
      <c r="H9" s="1801"/>
      <c r="I9" s="1801"/>
      <c r="J9" s="1837"/>
      <c r="K9" s="1943"/>
      <c r="L9" s="1721"/>
      <c r="M9" s="1720"/>
    </row>
    <row r="10" spans="1:15" s="455" customFormat="1">
      <c r="A10" s="471"/>
      <c r="B10" s="483"/>
      <c r="C10" s="1951"/>
      <c r="D10" s="1944"/>
      <c r="E10" s="1881"/>
      <c r="F10" s="1724"/>
      <c r="G10" s="1725"/>
      <c r="H10" s="1801"/>
      <c r="I10" s="1801"/>
      <c r="J10" s="1801"/>
      <c r="K10" s="1943"/>
      <c r="L10" s="1721"/>
      <c r="M10" s="1720"/>
    </row>
    <row r="11" spans="1:15" s="455" customFormat="1">
      <c r="A11" s="471"/>
      <c r="B11" s="483"/>
      <c r="C11" s="1913"/>
      <c r="D11" s="1811"/>
      <c r="E11" s="1885"/>
      <c r="F11" s="1724"/>
      <c r="G11" s="1725"/>
      <c r="H11" s="1801"/>
      <c r="I11" s="1801"/>
      <c r="J11" s="1801"/>
      <c r="K11" s="1943"/>
      <c r="L11" s="1721"/>
      <c r="M11" s="1720"/>
    </row>
    <row r="12" spans="1:15" s="455" customFormat="1" ht="13.5">
      <c r="A12" s="471"/>
      <c r="B12" s="483"/>
      <c r="C12" s="314"/>
      <c r="D12" s="309"/>
      <c r="E12" s="309"/>
      <c r="F12" s="497"/>
      <c r="G12" s="985"/>
      <c r="H12" s="985"/>
      <c r="I12" s="985"/>
      <c r="J12" s="499"/>
      <c r="K12" s="1464"/>
    </row>
    <row r="13" spans="1:15" s="455" customFormat="1" ht="13.9" customHeight="1">
      <c r="A13" s="471"/>
      <c r="B13" s="483"/>
      <c r="C13" s="1909"/>
      <c r="D13" s="1712"/>
      <c r="E13" s="1922"/>
      <c r="F13" s="1919"/>
      <c r="G13" s="1725"/>
      <c r="H13" s="1801"/>
      <c r="I13" s="1801"/>
      <c r="J13" s="1712"/>
      <c r="K13" s="1920"/>
      <c r="L13" s="1715"/>
      <c r="M13" s="1716"/>
    </row>
    <row r="14" spans="1:15" s="455" customFormat="1">
      <c r="A14" s="471"/>
      <c r="B14" s="483"/>
      <c r="C14" s="1951"/>
      <c r="D14" s="1800"/>
      <c r="E14" s="1884"/>
      <c r="F14" s="1724"/>
      <c r="G14" s="1725"/>
      <c r="H14" s="1801"/>
      <c r="I14" s="1801"/>
      <c r="J14" s="1836"/>
      <c r="K14" s="1943"/>
      <c r="L14" s="1721"/>
      <c r="M14" s="1720"/>
    </row>
    <row r="15" spans="1:15" s="455" customFormat="1">
      <c r="A15" s="471"/>
      <c r="B15" s="483"/>
      <c r="C15" s="1951"/>
      <c r="D15" s="1796"/>
      <c r="E15" s="1885"/>
      <c r="F15" s="1724"/>
      <c r="G15" s="1725"/>
      <c r="H15" s="1801"/>
      <c r="I15" s="1801"/>
      <c r="J15" s="1801"/>
      <c r="K15" s="1802"/>
      <c r="L15" s="1837"/>
      <c r="M15" s="1943"/>
      <c r="N15" s="1721"/>
      <c r="O15" s="1720"/>
    </row>
    <row r="16" spans="1:15" s="455" customFormat="1">
      <c r="A16" s="471"/>
      <c r="B16" s="483"/>
      <c r="C16" s="1951"/>
      <c r="D16" s="1726"/>
      <c r="E16" s="1885"/>
      <c r="F16" s="1724"/>
      <c r="G16" s="1725"/>
      <c r="H16" s="1801"/>
      <c r="I16" s="1801"/>
      <c r="J16" s="1801"/>
      <c r="K16" s="1802"/>
      <c r="L16" s="1837"/>
      <c r="M16" s="1943"/>
      <c r="N16" s="1721"/>
      <c r="O16" s="1720"/>
    </row>
    <row r="17" spans="1:15" s="455" customFormat="1">
      <c r="A17" s="471"/>
      <c r="B17" s="483"/>
      <c r="C17" s="1951"/>
      <c r="D17" s="1726"/>
      <c r="E17" s="1885"/>
      <c r="F17" s="1724"/>
      <c r="G17" s="1725"/>
      <c r="H17" s="1801"/>
      <c r="I17" s="1801"/>
      <c r="J17" s="1801"/>
      <c r="K17" s="1802"/>
      <c r="L17" s="1837"/>
      <c r="M17" s="1943"/>
      <c r="N17" s="1721"/>
      <c r="O17" s="1720"/>
    </row>
    <row r="18" spans="1:15" s="455" customFormat="1">
      <c r="A18" s="471"/>
      <c r="B18" s="454"/>
      <c r="C18" s="1951"/>
      <c r="D18" s="1726"/>
      <c r="E18" s="1881"/>
      <c r="F18" s="1724"/>
      <c r="G18" s="1725"/>
      <c r="H18" s="1801"/>
      <c r="I18" s="1801"/>
      <c r="J18" s="1801"/>
      <c r="K18" s="1802"/>
      <c r="L18" s="1801"/>
      <c r="M18" s="1943"/>
      <c r="N18" s="1721"/>
      <c r="O18" s="1720"/>
    </row>
    <row r="19" spans="1:15" s="455" customFormat="1">
      <c r="A19" s="471"/>
      <c r="B19" s="454"/>
      <c r="C19" s="1913"/>
      <c r="D19" s="1726"/>
      <c r="E19" s="1885"/>
      <c r="F19" s="1724"/>
      <c r="G19" s="1725"/>
      <c r="H19" s="1801"/>
      <c r="I19" s="1801"/>
      <c r="J19" s="1801"/>
      <c r="K19" s="1802"/>
      <c r="L19" s="1801"/>
      <c r="M19" s="1943"/>
      <c r="N19" s="1721"/>
      <c r="O19" s="1720"/>
    </row>
    <row r="20" spans="1:15" s="455" customFormat="1">
      <c r="A20" s="471"/>
      <c r="B20" s="454"/>
      <c r="C20" s="1951"/>
      <c r="D20" s="1726"/>
      <c r="E20" s="1881"/>
      <c r="F20" s="1724"/>
      <c r="G20" s="1725"/>
      <c r="H20" s="1801"/>
      <c r="I20" s="1801"/>
      <c r="J20" s="1801"/>
      <c r="K20" s="1802"/>
      <c r="L20" s="1801"/>
      <c r="M20" s="1943"/>
      <c r="N20" s="1721"/>
      <c r="O20" s="1720"/>
    </row>
    <row r="21" spans="1:15" s="455" customFormat="1">
      <c r="A21" s="471"/>
      <c r="B21" s="454"/>
      <c r="C21" s="1913"/>
      <c r="D21" s="1726"/>
      <c r="E21" s="1885"/>
      <c r="F21" s="1724"/>
      <c r="G21" s="1725"/>
      <c r="H21" s="1801"/>
      <c r="I21" s="1801"/>
      <c r="J21" s="1801"/>
      <c r="K21" s="1802"/>
      <c r="L21" s="1801"/>
      <c r="M21" s="1943"/>
      <c r="N21" s="1721"/>
      <c r="O21" s="1720"/>
    </row>
    <row r="22" spans="1:15" s="455" customFormat="1">
      <c r="A22" s="471"/>
      <c r="B22" s="454"/>
      <c r="C22" s="1909"/>
      <c r="D22" s="1712"/>
      <c r="E22" s="1922"/>
      <c r="F22" s="1919"/>
      <c r="G22" s="1725"/>
      <c r="H22" s="1801"/>
      <c r="I22" s="1801"/>
      <c r="J22" s="1801"/>
      <c r="K22" s="1712"/>
      <c r="L22" s="1920"/>
      <c r="M22" s="1715"/>
      <c r="N22" s="1716"/>
    </row>
    <row r="23" spans="1:15" s="455" customFormat="1">
      <c r="A23" s="471"/>
      <c r="B23" s="454"/>
      <c r="C23" s="1951"/>
      <c r="D23" s="1963"/>
      <c r="E23" s="1884"/>
      <c r="F23" s="1724"/>
      <c r="G23" s="1725"/>
      <c r="H23" s="1801"/>
      <c r="I23" s="1801"/>
      <c r="J23" s="1801"/>
      <c r="K23" s="1836"/>
      <c r="L23" s="1943"/>
      <c r="M23" s="1721"/>
      <c r="N23" s="1720"/>
    </row>
    <row r="24" spans="1:15" s="455" customFormat="1">
      <c r="A24" s="471"/>
      <c r="B24" s="454"/>
      <c r="C24" s="1951"/>
      <c r="D24" s="1963"/>
      <c r="E24" s="1885"/>
      <c r="F24" s="1724"/>
      <c r="G24" s="1725"/>
      <c r="H24" s="1801"/>
      <c r="I24" s="1801"/>
      <c r="J24" s="1801"/>
      <c r="K24" s="1802"/>
      <c r="L24" s="1837"/>
      <c r="M24" s="1943"/>
      <c r="N24" s="1721"/>
      <c r="O24" s="1720"/>
    </row>
    <row r="25" spans="1:15" s="455" customFormat="1">
      <c r="A25" s="471"/>
      <c r="B25" s="454"/>
      <c r="C25" s="1951"/>
      <c r="D25" s="1726"/>
      <c r="E25" s="1885"/>
      <c r="F25" s="1724"/>
      <c r="G25" s="1725"/>
      <c r="H25" s="1801"/>
      <c r="I25" s="1801"/>
      <c r="J25" s="1801"/>
      <c r="K25" s="2021">
        <f>SUM(K5:K23)</f>
        <v>2100</v>
      </c>
      <c r="L25" s="1837"/>
      <c r="M25" s="1943"/>
      <c r="N25" s="1721"/>
      <c r="O25" s="1720"/>
    </row>
    <row r="26" spans="1:15" s="455" customFormat="1">
      <c r="A26" s="471"/>
      <c r="B26" s="454"/>
      <c r="C26" s="1951"/>
      <c r="D26" s="1726"/>
      <c r="E26" s="1885"/>
      <c r="F26" s="1724"/>
      <c r="G26" s="1725"/>
      <c r="H26" s="1801"/>
      <c r="I26" s="1801"/>
      <c r="J26" s="1801"/>
      <c r="K26" s="1802"/>
      <c r="L26" s="1837"/>
      <c r="M26" s="1943"/>
      <c r="N26" s="1721"/>
      <c r="O26" s="1720"/>
    </row>
    <row r="27" spans="1:15" s="455" customFormat="1">
      <c r="A27" s="471"/>
      <c r="B27" s="454"/>
      <c r="C27" s="1951"/>
      <c r="D27" s="1726"/>
      <c r="E27" s="1881"/>
      <c r="F27" s="1724"/>
      <c r="G27" s="1725"/>
      <c r="H27" s="1801"/>
      <c r="I27" s="1801"/>
      <c r="J27" s="1801"/>
      <c r="K27" s="1802"/>
      <c r="L27" s="1801"/>
      <c r="M27" s="1943"/>
      <c r="N27" s="1721"/>
      <c r="O27" s="1720"/>
    </row>
    <row r="28" spans="1:15" s="455" customFormat="1">
      <c r="A28" s="471"/>
      <c r="B28" s="454"/>
      <c r="C28" s="1913"/>
      <c r="D28" s="1726"/>
      <c r="E28" s="1885"/>
      <c r="F28" s="1724"/>
      <c r="G28" s="1725"/>
      <c r="H28" s="1801"/>
      <c r="I28" s="1801"/>
      <c r="J28" s="1801"/>
      <c r="K28" s="1802"/>
      <c r="L28" s="1801"/>
      <c r="M28" s="1943"/>
      <c r="N28" s="1721"/>
      <c r="O28" s="1720"/>
    </row>
    <row r="29" spans="1:15" s="455" customFormat="1" ht="13.5">
      <c r="A29" s="471"/>
      <c r="B29" s="454"/>
      <c r="C29" s="1961"/>
      <c r="D29" s="1595"/>
      <c r="E29" s="1598"/>
      <c r="F29" s="1596"/>
      <c r="G29" s="1591"/>
      <c r="H29" s="1594"/>
      <c r="I29" s="1594"/>
      <c r="J29" s="1594"/>
      <c r="K29" s="218"/>
      <c r="L29" s="1593"/>
      <c r="M29" s="1591"/>
      <c r="O29" s="1959"/>
    </row>
    <row r="30" spans="1:15" s="455" customFormat="1" ht="13.5">
      <c r="A30" s="471"/>
      <c r="B30" s="454"/>
      <c r="C30" s="1961"/>
      <c r="D30" s="1595"/>
      <c r="E30" s="1598"/>
      <c r="F30" s="1596"/>
      <c r="G30" s="1591"/>
      <c r="H30" s="1594"/>
      <c r="I30" s="1594"/>
      <c r="J30" s="1594"/>
      <c r="K30" s="218"/>
      <c r="L30" s="1593"/>
      <c r="M30" s="1591"/>
      <c r="O30" s="1959"/>
    </row>
    <row r="31" spans="1:15" s="455" customFormat="1" ht="13.5">
      <c r="A31" s="471"/>
      <c r="B31" s="454"/>
      <c r="C31" s="1961"/>
      <c r="D31" s="1595"/>
      <c r="E31" s="1598"/>
      <c r="F31" s="1596"/>
      <c r="G31" s="1591"/>
      <c r="H31" s="1594"/>
      <c r="I31" s="1594"/>
      <c r="J31" s="1594"/>
      <c r="K31" s="218"/>
      <c r="L31" s="1593"/>
      <c r="M31" s="1591"/>
      <c r="O31" s="1959"/>
    </row>
    <row r="32" spans="1:15" s="455" customFormat="1" ht="13.5">
      <c r="A32" s="471"/>
      <c r="B32" s="454"/>
      <c r="C32" s="1961"/>
      <c r="D32" s="1595"/>
      <c r="E32" s="1598"/>
      <c r="F32" s="1596"/>
      <c r="G32" s="1591"/>
      <c r="H32" s="1594"/>
      <c r="I32" s="1594"/>
      <c r="J32" s="1594"/>
      <c r="K32" s="218"/>
      <c r="L32" s="1593"/>
      <c r="M32" s="1591"/>
      <c r="O32" s="1959"/>
    </row>
    <row r="33" spans="1:15" s="455" customFormat="1" ht="13.5">
      <c r="A33" s="471"/>
      <c r="B33" s="454"/>
      <c r="C33" s="1961"/>
      <c r="D33" s="1595"/>
      <c r="E33" s="1598"/>
      <c r="F33" s="1596"/>
      <c r="G33" s="1591"/>
      <c r="H33" s="1594"/>
      <c r="I33" s="1594"/>
      <c r="J33" s="1594"/>
      <c r="K33" s="218"/>
      <c r="L33" s="1593"/>
      <c r="M33" s="1591"/>
      <c r="O33" s="1959"/>
    </row>
    <row r="34" spans="1:15" s="455" customFormat="1" ht="13.5">
      <c r="A34" s="471"/>
      <c r="B34" s="454"/>
      <c r="C34" s="1961"/>
      <c r="D34" s="1595"/>
      <c r="E34" s="1598"/>
      <c r="F34" s="1596"/>
      <c r="G34" s="1591"/>
      <c r="H34" s="1594"/>
      <c r="I34" s="1594"/>
      <c r="J34" s="1594"/>
      <c r="K34" s="218"/>
      <c r="L34" s="1593"/>
      <c r="M34" s="1591"/>
      <c r="O34" s="1959"/>
    </row>
    <row r="35" spans="1:15" s="455" customFormat="1" ht="13.5">
      <c r="A35" s="471"/>
      <c r="B35" s="454"/>
      <c r="C35" s="1961"/>
      <c r="D35" s="1595"/>
      <c r="E35" s="1598"/>
      <c r="F35" s="1596"/>
      <c r="G35" s="1591"/>
      <c r="H35" s="1594"/>
      <c r="I35" s="1594"/>
      <c r="J35" s="1594"/>
      <c r="K35" s="218"/>
      <c r="L35" s="1593"/>
      <c r="M35" s="1591"/>
      <c r="O35" s="1959"/>
    </row>
    <row r="36" spans="1:15" s="455" customFormat="1" ht="13.5">
      <c r="A36" s="471"/>
      <c r="B36" s="454"/>
      <c r="C36" s="1961"/>
      <c r="D36" s="1595"/>
      <c r="E36" s="1598"/>
      <c r="F36" s="1596"/>
      <c r="G36" s="1591"/>
      <c r="H36" s="1594"/>
      <c r="I36" s="1594"/>
      <c r="J36" s="1594"/>
      <c r="K36" s="218"/>
      <c r="L36" s="1593"/>
      <c r="M36" s="1591"/>
      <c r="O36" s="1959"/>
    </row>
    <row r="37" spans="1:15" s="455" customFormat="1" ht="13.5">
      <c r="A37" s="471"/>
      <c r="B37" s="454"/>
      <c r="C37" s="1961"/>
      <c r="D37" s="1595"/>
      <c r="E37" s="1598"/>
      <c r="F37" s="1596"/>
      <c r="G37" s="1591"/>
      <c r="H37" s="1594"/>
      <c r="I37" s="1594"/>
      <c r="J37" s="1594"/>
      <c r="K37" s="218"/>
      <c r="L37" s="1593"/>
      <c r="M37" s="1591"/>
      <c r="O37" s="1959"/>
    </row>
    <row r="38" spans="1:15" s="455" customFormat="1" ht="13.5">
      <c r="A38" s="471"/>
      <c r="B38" s="454"/>
      <c r="C38" s="2591"/>
      <c r="D38" s="309"/>
      <c r="E38" s="309"/>
      <c r="F38" s="309"/>
      <c r="G38" s="497"/>
      <c r="H38" s="1056"/>
      <c r="I38" s="985"/>
      <c r="J38" s="985"/>
      <c r="K38" s="499"/>
      <c r="L38" s="1025"/>
      <c r="M38" s="499"/>
    </row>
    <row r="39" spans="1:15" s="455" customFormat="1" ht="13.5">
      <c r="A39" s="471"/>
      <c r="B39" s="454"/>
      <c r="C39" s="2593"/>
      <c r="D39" s="309"/>
      <c r="E39" s="309"/>
      <c r="F39" s="309"/>
      <c r="G39" s="497"/>
      <c r="H39" s="1056"/>
      <c r="I39" s="985"/>
      <c r="J39" s="985"/>
      <c r="K39" s="499"/>
      <c r="L39" s="1025"/>
      <c r="M39" s="499"/>
    </row>
    <row r="40" spans="1:15" s="455" customFormat="1" ht="13.5">
      <c r="A40" s="471"/>
      <c r="B40" s="454"/>
      <c r="C40" s="2591"/>
      <c r="D40" s="309"/>
      <c r="E40" s="309"/>
      <c r="F40" s="309"/>
      <c r="G40" s="497"/>
      <c r="H40" s="1056"/>
      <c r="I40" s="985"/>
      <c r="J40" s="985"/>
      <c r="K40" s="499"/>
      <c r="L40" s="1025"/>
      <c r="M40" s="499"/>
    </row>
    <row r="41" spans="1:15" s="455" customFormat="1" ht="13.5">
      <c r="A41" s="471"/>
      <c r="B41" s="454"/>
      <c r="C41" s="2593"/>
      <c r="D41" s="309"/>
      <c r="E41" s="309"/>
      <c r="F41" s="309"/>
      <c r="G41" s="497"/>
      <c r="H41" s="1056"/>
      <c r="I41" s="985"/>
      <c r="J41" s="985"/>
      <c r="K41" s="499"/>
      <c r="L41" s="1025"/>
      <c r="M41" s="499"/>
    </row>
    <row r="42" spans="1:15" s="455" customFormat="1" ht="13.5">
      <c r="A42" s="471"/>
      <c r="B42" s="454"/>
      <c r="C42" s="314"/>
      <c r="D42" s="309"/>
      <c r="E42" s="309"/>
      <c r="F42" s="309"/>
      <c r="G42" s="497"/>
      <c r="H42" s="1056"/>
      <c r="I42" s="985"/>
      <c r="J42" s="985"/>
      <c r="K42" s="499"/>
      <c r="L42" s="1025"/>
      <c r="M42" s="499"/>
      <c r="N42" s="1466"/>
    </row>
    <row r="43" spans="1:15" s="455" customFormat="1" ht="13.5">
      <c r="A43" s="471"/>
      <c r="B43" s="454"/>
      <c r="C43" s="2679"/>
      <c r="D43" s="309"/>
      <c r="E43" s="309"/>
      <c r="F43" s="309"/>
      <c r="G43" s="497"/>
      <c r="H43" s="985"/>
      <c r="I43" s="985"/>
      <c r="J43" s="985"/>
      <c r="K43" s="499"/>
      <c r="L43" s="1025"/>
      <c r="M43" s="499"/>
      <c r="N43" s="1466"/>
    </row>
    <row r="44" spans="1:15" s="455" customFormat="1" ht="13.5">
      <c r="A44" s="471"/>
      <c r="B44" s="454"/>
      <c r="C44" s="2679"/>
      <c r="D44" s="309"/>
      <c r="E44" s="309"/>
      <c r="F44" s="309"/>
      <c r="G44" s="497"/>
      <c r="H44" s="985"/>
      <c r="I44" s="985"/>
      <c r="J44" s="985"/>
      <c r="K44" s="499"/>
      <c r="L44" s="1025"/>
      <c r="M44" s="499"/>
      <c r="N44" s="1467"/>
    </row>
    <row r="45" spans="1:15" s="455" customFormat="1" ht="13.5">
      <c r="A45" s="471"/>
      <c r="B45" s="454"/>
      <c r="C45" s="2679"/>
      <c r="D45" s="309"/>
      <c r="E45" s="309"/>
      <c r="F45" s="309"/>
      <c r="G45" s="497"/>
      <c r="H45" s="985"/>
      <c r="I45" s="985"/>
      <c r="J45" s="985"/>
      <c r="K45" s="499"/>
      <c r="L45" s="1600">
        <f>SUM(L5:L43)</f>
        <v>0</v>
      </c>
      <c r="M45" s="499"/>
      <c r="N45" s="1468"/>
    </row>
    <row r="46" spans="1:15" s="455" customFormat="1" ht="13.5">
      <c r="A46" s="471"/>
      <c r="B46" s="454"/>
      <c r="C46" s="2679"/>
      <c r="D46" s="309"/>
      <c r="E46" s="309"/>
      <c r="F46" s="309"/>
      <c r="G46" s="497"/>
      <c r="H46" s="985"/>
      <c r="I46" s="985"/>
      <c r="J46" s="985"/>
      <c r="K46" s="499"/>
      <c r="L46" s="1025"/>
      <c r="M46" s="499"/>
      <c r="N46" s="1468"/>
    </row>
    <row r="47" spans="1:15" s="455" customFormat="1" ht="13.5">
      <c r="A47" s="471"/>
      <c r="B47" s="454"/>
      <c r="C47" s="2591"/>
      <c r="D47" s="309"/>
      <c r="E47" s="309"/>
      <c r="F47" s="309"/>
      <c r="G47" s="497"/>
      <c r="H47" s="985"/>
      <c r="I47" s="985"/>
      <c r="J47" s="985"/>
      <c r="K47" s="499"/>
      <c r="L47" s="1025"/>
      <c r="M47" s="499"/>
      <c r="N47" s="1468"/>
    </row>
    <row r="48" spans="1:15" s="455" customFormat="1" ht="13.5">
      <c r="A48" s="471"/>
      <c r="B48" s="454"/>
      <c r="C48" s="2593"/>
      <c r="D48" s="309"/>
      <c r="E48" s="309"/>
      <c r="F48" s="309"/>
      <c r="G48" s="497"/>
      <c r="H48" s="985"/>
      <c r="I48" s="985"/>
      <c r="J48" s="985"/>
      <c r="K48" s="499"/>
      <c r="L48" s="1025"/>
      <c r="M48" s="499"/>
      <c r="N48" s="1468"/>
    </row>
    <row r="49" spans="1:15" s="455" customFormat="1" ht="13.5">
      <c r="A49" s="471"/>
      <c r="B49" s="454"/>
      <c r="C49" s="392"/>
      <c r="D49" s="309"/>
      <c r="E49" s="309"/>
      <c r="F49" s="309"/>
      <c r="G49" s="497"/>
      <c r="H49" s="1056"/>
      <c r="I49" s="985"/>
      <c r="J49" s="985"/>
      <c r="K49" s="499"/>
      <c r="L49" s="1025"/>
      <c r="M49" s="499"/>
      <c r="N49" s="1465"/>
    </row>
    <row r="50" spans="1:15" s="455" customFormat="1" ht="13.5">
      <c r="A50" s="471"/>
      <c r="B50" s="454"/>
      <c r="C50" s="392"/>
      <c r="D50" s="309"/>
      <c r="E50" s="309"/>
      <c r="F50" s="309"/>
      <c r="G50" s="497"/>
      <c r="H50" s="985"/>
      <c r="I50" s="985"/>
      <c r="J50" s="985"/>
      <c r="K50" s="499"/>
      <c r="L50" s="1025"/>
      <c r="M50" s="499"/>
    </row>
    <row r="51" spans="1:15" s="455" customFormat="1" ht="13.5">
      <c r="A51" s="471"/>
      <c r="B51" s="454"/>
      <c r="C51" s="987"/>
      <c r="D51" s="314"/>
      <c r="E51" s="662"/>
      <c r="F51" s="309"/>
      <c r="G51" s="497"/>
      <c r="H51" s="985"/>
      <c r="I51" s="985"/>
      <c r="J51" s="985"/>
      <c r="K51" s="499"/>
      <c r="L51" s="1025"/>
      <c r="M51" s="499"/>
      <c r="N51" s="454"/>
    </row>
    <row r="52" spans="1:15" s="455" customFormat="1" ht="13.5">
      <c r="A52" s="471"/>
      <c r="B52" s="454"/>
      <c r="C52" s="987"/>
      <c r="D52" s="314"/>
      <c r="E52" s="662"/>
      <c r="F52" s="309"/>
      <c r="G52" s="497"/>
      <c r="H52" s="985"/>
      <c r="I52" s="985"/>
      <c r="J52" s="985"/>
      <c r="K52" s="499"/>
      <c r="L52" s="1025"/>
      <c r="M52" s="499"/>
      <c r="N52" s="458"/>
    </row>
    <row r="53" spans="1:15" s="455" customFormat="1" ht="13.5">
      <c r="A53" s="471"/>
      <c r="B53" s="454"/>
      <c r="C53" s="987"/>
      <c r="D53" s="314"/>
      <c r="E53" s="662"/>
      <c r="F53" s="309"/>
      <c r="G53" s="497"/>
      <c r="H53" s="985"/>
      <c r="I53" s="985"/>
      <c r="J53" s="985"/>
      <c r="K53" s="499"/>
      <c r="L53" s="1065"/>
      <c r="M53" s="499"/>
      <c r="N53" s="458"/>
    </row>
    <row r="54" spans="1:15" s="455" customFormat="1" ht="13.5">
      <c r="A54" s="471"/>
      <c r="B54" s="454"/>
      <c r="C54" s="987"/>
      <c r="D54" s="309"/>
      <c r="E54" s="662"/>
      <c r="F54" s="309"/>
      <c r="G54" s="497"/>
      <c r="H54" s="985"/>
      <c r="I54" s="985"/>
      <c r="J54" s="985"/>
      <c r="K54" s="499"/>
      <c r="L54" s="1065"/>
      <c r="M54" s="499"/>
      <c r="N54" s="458"/>
    </row>
    <row r="55" spans="1:15" s="455" customFormat="1" ht="13.5">
      <c r="A55" s="471"/>
      <c r="B55" s="454"/>
      <c r="C55" s="314"/>
      <c r="D55" s="314"/>
      <c r="E55" s="309"/>
      <c r="F55" s="309"/>
      <c r="G55" s="497"/>
      <c r="H55" s="985"/>
      <c r="I55" s="985"/>
      <c r="J55" s="985"/>
      <c r="K55" s="309"/>
      <c r="L55" s="1015"/>
      <c r="M55" s="499"/>
      <c r="N55" s="458"/>
    </row>
    <row r="56" spans="1:15" s="455" customFormat="1" ht="13.5">
      <c r="A56" s="471"/>
      <c r="B56" s="454"/>
      <c r="C56" s="314"/>
      <c r="D56" s="314"/>
      <c r="E56" s="309"/>
      <c r="F56" s="309"/>
      <c r="G56" s="497"/>
      <c r="H56" s="985"/>
      <c r="I56" s="985"/>
      <c r="J56" s="985"/>
      <c r="K56" s="309"/>
      <c r="L56" s="1015"/>
      <c r="M56" s="499"/>
      <c r="N56" s="460"/>
    </row>
    <row r="57" spans="1:15" s="455" customFormat="1" ht="13.5">
      <c r="A57" s="471"/>
      <c r="B57" s="454"/>
      <c r="C57" s="314"/>
      <c r="D57" s="314"/>
      <c r="E57" s="560"/>
      <c r="F57" s="309"/>
      <c r="G57" s="497"/>
      <c r="H57" s="985"/>
      <c r="I57" s="985"/>
      <c r="J57" s="985"/>
      <c r="K57" s="309"/>
      <c r="L57" s="1015"/>
      <c r="M57" s="499"/>
      <c r="N57" s="454"/>
    </row>
    <row r="58" spans="1:15" s="455" customFormat="1" ht="13.5">
      <c r="A58" s="471"/>
      <c r="B58" s="454"/>
      <c r="C58" s="987"/>
      <c r="D58" s="314"/>
      <c r="E58" s="662"/>
      <c r="F58" s="309"/>
      <c r="G58" s="497"/>
      <c r="H58" s="985"/>
      <c r="I58" s="985"/>
      <c r="J58" s="985"/>
      <c r="K58" s="499"/>
      <c r="L58" s="1065"/>
      <c r="M58" s="499"/>
      <c r="N58" s="458"/>
    </row>
    <row r="59" spans="1:15" s="455" customFormat="1" ht="13.5">
      <c r="A59" s="471"/>
      <c r="B59" s="454"/>
      <c r="C59" s="392"/>
      <c r="D59" s="309"/>
      <c r="E59" s="309"/>
      <c r="F59" s="662"/>
      <c r="G59" s="309"/>
      <c r="H59" s="497"/>
      <c r="I59" s="985"/>
      <c r="J59" s="985"/>
      <c r="K59" s="1066"/>
      <c r="L59" s="1067"/>
      <c r="M59" s="1025"/>
      <c r="N59" s="1068"/>
      <c r="O59" s="458"/>
    </row>
    <row r="60" spans="1:15" s="455" customFormat="1" ht="13.5">
      <c r="A60" s="471"/>
      <c r="B60" s="454"/>
      <c r="C60" s="471"/>
      <c r="D60" s="456"/>
      <c r="E60" s="459"/>
      <c r="F60" s="466"/>
      <c r="G60" s="471"/>
      <c r="H60" s="477"/>
      <c r="I60" s="526"/>
      <c r="J60" s="526"/>
      <c r="K60" s="526"/>
      <c r="L60" s="473"/>
      <c r="M60" s="529"/>
      <c r="N60" s="471"/>
      <c r="O60" s="458"/>
    </row>
    <row r="61" spans="1:15" s="455" customFormat="1" ht="13.5">
      <c r="A61" s="471"/>
      <c r="B61" s="454"/>
      <c r="C61" s="471"/>
      <c r="D61" s="456"/>
      <c r="E61" s="459"/>
      <c r="F61" s="466"/>
      <c r="G61" s="471"/>
      <c r="H61" s="477"/>
      <c r="I61" s="526"/>
      <c r="J61" s="526"/>
      <c r="K61" s="526"/>
      <c r="L61" s="473"/>
      <c r="M61" s="529"/>
      <c r="N61" s="471"/>
      <c r="O61" s="458"/>
    </row>
    <row r="62" spans="1:15" s="455" customFormat="1" ht="13.5">
      <c r="A62" s="471"/>
      <c r="B62" s="454"/>
      <c r="C62" s="314"/>
      <c r="D62" s="309"/>
      <c r="E62" s="309"/>
      <c r="F62" s="309"/>
      <c r="G62" s="309"/>
      <c r="H62" s="309"/>
      <c r="I62" s="309"/>
      <c r="J62" s="309"/>
      <c r="K62" s="309"/>
      <c r="L62" s="309"/>
      <c r="M62" s="309"/>
      <c r="N62" s="309"/>
    </row>
    <row r="63" spans="1:15" s="455" customFormat="1" ht="13.5">
      <c r="A63" s="471"/>
      <c r="B63" s="454"/>
      <c r="C63" s="314"/>
      <c r="D63" s="314"/>
      <c r="E63" s="309"/>
      <c r="F63" s="309"/>
      <c r="G63" s="497"/>
      <c r="H63" s="1056"/>
      <c r="I63" s="309"/>
      <c r="J63" s="309"/>
      <c r="K63" s="499"/>
      <c r="L63" s="1069"/>
      <c r="M63" s="309"/>
      <c r="N63" s="454"/>
    </row>
    <row r="64" spans="1:15" s="455" customFormat="1" ht="13.5">
      <c r="A64" s="471"/>
      <c r="B64" s="454"/>
      <c r="C64" s="314"/>
      <c r="D64" s="314"/>
      <c r="E64" s="309"/>
      <c r="F64" s="309"/>
      <c r="G64" s="497"/>
      <c r="H64" s="1056"/>
      <c r="I64" s="309"/>
      <c r="J64" s="309"/>
      <c r="K64" s="499"/>
      <c r="L64" s="1069"/>
      <c r="M64" s="499"/>
      <c r="N64" s="458"/>
    </row>
    <row r="65" spans="1:14" s="455" customFormat="1" ht="13.5">
      <c r="A65" s="471"/>
      <c r="B65" s="454"/>
      <c r="C65" s="314"/>
      <c r="D65" s="314"/>
      <c r="E65" s="309"/>
      <c r="F65" s="309"/>
      <c r="G65" s="497"/>
      <c r="H65" s="1056"/>
      <c r="I65" s="309"/>
      <c r="J65" s="309"/>
      <c r="K65" s="499"/>
      <c r="L65" s="1069"/>
      <c r="M65" s="499"/>
      <c r="N65" s="458"/>
    </row>
    <row r="66" spans="1:14" s="455" customFormat="1" ht="13.5">
      <c r="A66" s="471"/>
      <c r="B66" s="454"/>
      <c r="C66" s="314"/>
      <c r="D66" s="314"/>
      <c r="E66" s="662"/>
      <c r="F66" s="309"/>
      <c r="G66" s="497"/>
      <c r="H66" s="1056"/>
      <c r="I66" s="985"/>
      <c r="J66" s="985"/>
      <c r="K66" s="499"/>
      <c r="L66" s="1016"/>
      <c r="M66" s="499"/>
      <c r="N66" s="458"/>
    </row>
    <row r="67" spans="1:14" s="455" customFormat="1" ht="13.5">
      <c r="A67" s="471"/>
      <c r="B67" s="454"/>
      <c r="C67" s="314"/>
      <c r="D67" s="314"/>
      <c r="E67" s="662"/>
      <c r="F67" s="309"/>
      <c r="G67" s="497"/>
      <c r="H67" s="1056"/>
      <c r="I67" s="985"/>
      <c r="J67" s="985"/>
      <c r="K67" s="499"/>
      <c r="L67" s="1016"/>
      <c r="M67" s="499"/>
      <c r="N67" s="458"/>
    </row>
    <row r="68" spans="1:14" s="455" customFormat="1" ht="13.5">
      <c r="A68" s="471"/>
      <c r="B68" s="454"/>
      <c r="C68" s="314"/>
      <c r="D68" s="314"/>
      <c r="E68" s="662"/>
      <c r="F68" s="309"/>
      <c r="G68" s="497"/>
      <c r="H68" s="1056"/>
      <c r="I68" s="985"/>
      <c r="J68" s="985"/>
      <c r="K68" s="499"/>
      <c r="L68" s="1071"/>
      <c r="M68" s="499"/>
    </row>
    <row r="69" spans="1:14" s="455" customFormat="1" ht="13.5">
      <c r="A69" s="471"/>
      <c r="B69" s="454"/>
      <c r="C69" s="314"/>
      <c r="D69" s="314"/>
      <c r="E69" s="662"/>
      <c r="F69" s="309"/>
      <c r="G69" s="497"/>
      <c r="H69" s="1056"/>
      <c r="I69" s="985"/>
      <c r="J69" s="985"/>
      <c r="K69" s="499"/>
      <c r="L69" s="1071"/>
      <c r="M69" s="499"/>
    </row>
    <row r="70" spans="1:14" s="455" customFormat="1" ht="13.5">
      <c r="A70" s="471"/>
      <c r="B70" s="454"/>
      <c r="C70" s="314"/>
      <c r="D70" s="314"/>
      <c r="E70" s="662"/>
      <c r="F70" s="309"/>
      <c r="G70" s="497"/>
      <c r="H70" s="1056"/>
      <c r="I70" s="985"/>
      <c r="J70" s="985"/>
      <c r="K70" s="499"/>
      <c r="L70" s="1016"/>
      <c r="M70" s="499"/>
    </row>
    <row r="71" spans="1:14" s="455" customFormat="1" ht="13.5">
      <c r="A71" s="471"/>
      <c r="B71" s="454"/>
      <c r="C71" s="314"/>
      <c r="D71" s="314"/>
      <c r="E71" s="662"/>
      <c r="F71" s="309"/>
      <c r="G71" s="497"/>
      <c r="H71" s="1056"/>
      <c r="I71" s="985"/>
      <c r="J71" s="985"/>
      <c r="K71" s="499"/>
      <c r="L71" s="1016"/>
      <c r="M71" s="499"/>
    </row>
    <row r="72" spans="1:14" s="455" customFormat="1" ht="13.5">
      <c r="A72" s="471"/>
      <c r="B72" s="454"/>
      <c r="C72" s="314"/>
      <c r="D72" s="314"/>
      <c r="E72" s="662"/>
      <c r="F72" s="309"/>
      <c r="G72" s="497"/>
      <c r="H72" s="1056"/>
      <c r="I72" s="985"/>
      <c r="J72" s="985"/>
      <c r="K72" s="499"/>
      <c r="L72" s="1016"/>
      <c r="M72" s="499"/>
      <c r="N72" s="458"/>
    </row>
    <row r="73" spans="1:14" s="455" customFormat="1" ht="13.5">
      <c r="A73" s="471"/>
      <c r="B73" s="454"/>
      <c r="C73" s="314"/>
      <c r="D73" s="314"/>
      <c r="E73" s="662"/>
      <c r="F73" s="309"/>
      <c r="G73" s="497"/>
      <c r="H73" s="1056"/>
      <c r="I73" s="985"/>
      <c r="J73" s="985"/>
      <c r="K73" s="499"/>
      <c r="L73" s="1016"/>
      <c r="M73" s="499"/>
      <c r="N73" s="458"/>
    </row>
    <row r="74" spans="1:14" s="455" customFormat="1" ht="13.5">
      <c r="A74" s="471"/>
      <c r="B74" s="454"/>
      <c r="C74" s="314"/>
      <c r="D74" s="314"/>
      <c r="E74" s="662"/>
      <c r="F74" s="309"/>
      <c r="G74" s="497"/>
      <c r="H74" s="1056"/>
      <c r="I74" s="985"/>
      <c r="J74" s="985"/>
      <c r="K74" s="499"/>
      <c r="L74" s="1016"/>
      <c r="M74" s="499"/>
      <c r="N74" s="458"/>
    </row>
    <row r="75" spans="1:14" s="455" customFormat="1" ht="13.5">
      <c r="A75" s="471"/>
      <c r="B75" s="454"/>
      <c r="C75" s="2591"/>
      <c r="D75" s="314"/>
      <c r="E75" s="662"/>
      <c r="F75" s="309"/>
      <c r="G75" s="497"/>
      <c r="H75" s="1056"/>
      <c r="I75" s="985"/>
      <c r="J75" s="985"/>
      <c r="K75" s="499"/>
      <c r="L75" s="1016"/>
      <c r="M75" s="499"/>
    </row>
    <row r="76" spans="1:14" s="455" customFormat="1" ht="13.5">
      <c r="A76" s="471"/>
      <c r="B76" s="454"/>
      <c r="C76" s="2593"/>
      <c r="D76" s="314"/>
      <c r="E76" s="662"/>
      <c r="F76" s="309"/>
      <c r="G76" s="497"/>
      <c r="H76" s="1056"/>
      <c r="I76" s="985"/>
      <c r="J76" s="985"/>
      <c r="K76" s="499"/>
      <c r="L76" s="1016"/>
      <c r="M76" s="499"/>
      <c r="N76" s="454"/>
    </row>
    <row r="77" spans="1:14" s="455" customFormat="1" ht="13.5">
      <c r="A77" s="471"/>
      <c r="B77" s="454"/>
      <c r="C77" s="2591"/>
      <c r="D77" s="314"/>
      <c r="E77" s="662"/>
      <c r="F77" s="309"/>
      <c r="G77" s="497"/>
      <c r="H77" s="1056"/>
      <c r="I77" s="985"/>
      <c r="J77" s="985"/>
      <c r="K77" s="499"/>
      <c r="L77" s="1016"/>
      <c r="M77" s="499"/>
      <c r="N77" s="458"/>
    </row>
    <row r="78" spans="1:14" s="455" customFormat="1" ht="13.5">
      <c r="A78" s="471"/>
      <c r="B78" s="454"/>
      <c r="C78" s="2592"/>
      <c r="D78" s="314"/>
      <c r="E78" s="662"/>
      <c r="F78" s="309"/>
      <c r="G78" s="497"/>
      <c r="H78" s="1056"/>
      <c r="I78" s="985"/>
      <c r="J78" s="985"/>
      <c r="K78" s="499"/>
      <c r="L78" s="1016"/>
      <c r="M78" s="499"/>
      <c r="N78" s="458"/>
    </row>
    <row r="79" spans="1:14" s="455" customFormat="1" ht="13.5">
      <c r="A79" s="471"/>
      <c r="B79" s="454"/>
      <c r="C79" s="2593"/>
      <c r="D79" s="314"/>
      <c r="E79" s="662"/>
      <c r="F79" s="309"/>
      <c r="G79" s="497"/>
      <c r="H79" s="1056"/>
      <c r="I79" s="985"/>
      <c r="J79" s="985"/>
      <c r="K79" s="499"/>
      <c r="L79" s="1016"/>
      <c r="M79" s="499"/>
      <c r="N79" s="458"/>
    </row>
    <row r="80" spans="1:14" s="455" customFormat="1" ht="13.5">
      <c r="A80" s="471"/>
      <c r="B80" s="454"/>
      <c r="C80" s="314"/>
      <c r="D80" s="314"/>
      <c r="E80" s="662"/>
      <c r="F80" s="309"/>
      <c r="G80" s="497"/>
      <c r="H80" s="985"/>
      <c r="I80" s="985"/>
      <c r="J80" s="985"/>
      <c r="K80" s="499"/>
      <c r="L80" s="1016"/>
      <c r="M80" s="499"/>
      <c r="N80" s="458"/>
    </row>
    <row r="81" spans="1:15" s="455" customFormat="1" ht="13.5">
      <c r="A81" s="471"/>
      <c r="B81" s="454"/>
      <c r="C81" s="314"/>
      <c r="D81" s="314"/>
      <c r="E81" s="662"/>
      <c r="F81" s="309"/>
      <c r="G81" s="497"/>
      <c r="H81" s="985"/>
      <c r="I81" s="985"/>
      <c r="J81" s="985"/>
      <c r="K81" s="499"/>
      <c r="L81" s="1016"/>
      <c r="M81" s="499"/>
      <c r="N81" s="460"/>
    </row>
    <row r="82" spans="1:15" s="455" customFormat="1" ht="13.5">
      <c r="C82" s="314"/>
      <c r="D82" s="314"/>
      <c r="E82" s="662"/>
      <c r="F82" s="662"/>
      <c r="G82" s="309"/>
      <c r="H82" s="497"/>
      <c r="I82" s="1056"/>
      <c r="J82" s="985"/>
      <c r="K82" s="985"/>
      <c r="L82" s="499"/>
      <c r="M82" s="1025"/>
      <c r="N82" s="499"/>
    </row>
    <row r="83" spans="1:15" s="455" customFormat="1" ht="13.5">
      <c r="C83" s="902"/>
      <c r="D83" s="309"/>
      <c r="E83" s="662"/>
      <c r="F83" s="662"/>
      <c r="G83" s="309"/>
      <c r="H83" s="497"/>
      <c r="I83" s="653"/>
      <c r="J83" s="985"/>
      <c r="K83" s="1469"/>
      <c r="L83" s="499"/>
      <c r="M83" s="1025"/>
      <c r="N83" s="499"/>
    </row>
    <row r="84" spans="1:15" s="455" customFormat="1" ht="13.5">
      <c r="A84" s="566"/>
      <c r="B84" s="467"/>
      <c r="C84" s="499"/>
      <c r="D84" s="309"/>
      <c r="E84" s="391"/>
      <c r="F84" s="499"/>
      <c r="G84" s="497"/>
      <c r="H84" s="498"/>
      <c r="I84" s="498"/>
      <c r="J84" s="498"/>
      <c r="K84" s="499"/>
      <c r="L84" s="1470"/>
      <c r="M84" s="309"/>
      <c r="N84" s="499"/>
    </row>
    <row r="85" spans="1:15" s="455" customFormat="1" ht="13.5">
      <c r="A85" s="566"/>
      <c r="B85" s="467"/>
      <c r="C85" s="497"/>
      <c r="D85" s="691"/>
      <c r="E85" s="675"/>
      <c r="F85" s="675"/>
      <c r="G85" s="654"/>
      <c r="H85" s="502"/>
      <c r="I85" s="652"/>
      <c r="J85" s="497"/>
      <c r="K85" s="653"/>
      <c r="L85" s="502"/>
      <c r="M85" s="538"/>
      <c r="N85" s="392"/>
      <c r="O85" s="502"/>
    </row>
    <row r="86" spans="1:15" s="455" customFormat="1" ht="13.5">
      <c r="A86" s="566"/>
      <c r="B86" s="467"/>
      <c r="C86" s="497"/>
      <c r="D86" s="691"/>
      <c r="E86" s="675"/>
      <c r="F86" s="675"/>
      <c r="G86" s="654"/>
      <c r="H86" s="502"/>
      <c r="I86" s="652"/>
      <c r="J86" s="497"/>
      <c r="K86" s="653"/>
      <c r="L86" s="502"/>
      <c r="M86" s="538"/>
      <c r="N86" s="392"/>
      <c r="O86" s="502"/>
    </row>
    <row r="87" spans="1:15" s="455" customFormat="1" ht="13.5">
      <c r="A87" s="566"/>
      <c r="B87" s="467"/>
      <c r="C87" s="497"/>
      <c r="D87" s="691"/>
      <c r="E87" s="675"/>
      <c r="F87" s="675"/>
      <c r="G87" s="654"/>
      <c r="H87" s="502"/>
      <c r="I87" s="652"/>
      <c r="J87" s="497"/>
      <c r="K87" s="653"/>
      <c r="L87" s="502"/>
      <c r="M87" s="538"/>
      <c r="N87" s="392"/>
      <c r="O87" s="502"/>
    </row>
    <row r="88" spans="1:15" s="455" customFormat="1" ht="13.5">
      <c r="A88" s="566"/>
      <c r="B88" s="467"/>
      <c r="C88" s="497"/>
      <c r="D88" s="691"/>
      <c r="E88" s="675"/>
      <c r="F88" s="675"/>
      <c r="G88" s="654"/>
      <c r="H88" s="502"/>
      <c r="I88" s="652"/>
      <c r="J88" s="497"/>
      <c r="K88" s="653"/>
      <c r="L88" s="502"/>
      <c r="M88" s="538"/>
      <c r="N88" s="392"/>
      <c r="O88" s="502"/>
    </row>
    <row r="89" spans="1:15" s="455" customFormat="1" ht="13.5">
      <c r="C89" s="1384"/>
      <c r="D89" s="314"/>
      <c r="E89" s="662"/>
      <c r="F89" s="662"/>
      <c r="G89" s="309"/>
      <c r="H89" s="497"/>
      <c r="I89" s="653"/>
      <c r="J89" s="985"/>
      <c r="K89" s="1469"/>
      <c r="L89" s="499"/>
      <c r="M89" s="1025"/>
      <c r="N89" s="499"/>
    </row>
    <row r="90" spans="1:15" s="455" customFormat="1" ht="13.5">
      <c r="C90" s="1384"/>
      <c r="D90" s="314"/>
      <c r="E90" s="662"/>
      <c r="F90" s="662"/>
      <c r="G90" s="309"/>
      <c r="H90" s="497"/>
      <c r="I90" s="653"/>
      <c r="J90" s="985"/>
      <c r="K90" s="1469"/>
      <c r="L90" s="499"/>
      <c r="M90" s="1025"/>
      <c r="N90" s="499"/>
    </row>
    <row r="91" spans="1:15" s="455" customFormat="1" ht="13.5">
      <c r="A91" s="566"/>
      <c r="B91" s="467"/>
      <c r="C91" s="499"/>
      <c r="D91" s="309"/>
      <c r="E91" s="391"/>
      <c r="F91" s="499"/>
      <c r="G91" s="497"/>
      <c r="H91" s="498"/>
      <c r="I91" s="498"/>
      <c r="J91" s="498"/>
      <c r="K91" s="499"/>
      <c r="L91" s="1470"/>
      <c r="M91" s="309"/>
      <c r="N91" s="499"/>
    </row>
    <row r="92" spans="1:15" s="455" customFormat="1" ht="13.5">
      <c r="A92" s="566"/>
      <c r="B92" s="467"/>
      <c r="C92" s="497"/>
      <c r="D92" s="691"/>
      <c r="E92" s="675"/>
      <c r="F92" s="675"/>
      <c r="G92" s="654"/>
      <c r="H92" s="502"/>
      <c r="I92" s="652"/>
      <c r="J92" s="497"/>
      <c r="K92" s="653"/>
      <c r="L92" s="502"/>
      <c r="M92" s="538"/>
      <c r="N92" s="392"/>
      <c r="O92" s="502"/>
    </row>
    <row r="93" spans="1:15" s="455" customFormat="1" ht="13.5">
      <c r="A93" s="566"/>
      <c r="B93" s="467"/>
      <c r="C93" s="497"/>
      <c r="D93" s="691"/>
      <c r="E93" s="675"/>
      <c r="F93" s="675"/>
      <c r="G93" s="654"/>
      <c r="H93" s="502"/>
      <c r="I93" s="652"/>
      <c r="J93" s="497"/>
      <c r="K93" s="653"/>
      <c r="L93" s="502"/>
      <c r="M93" s="538"/>
      <c r="N93" s="392"/>
      <c r="O93" s="502"/>
    </row>
    <row r="94" spans="1:15" s="455" customFormat="1" ht="13.5">
      <c r="A94" s="566"/>
      <c r="B94" s="467"/>
      <c r="C94" s="497"/>
      <c r="D94" s="691"/>
      <c r="E94" s="675"/>
      <c r="F94" s="675"/>
      <c r="G94" s="654"/>
      <c r="H94" s="502"/>
      <c r="I94" s="652"/>
      <c r="J94" s="497"/>
      <c r="K94" s="653"/>
      <c r="L94" s="502"/>
      <c r="M94" s="538"/>
      <c r="N94" s="392"/>
      <c r="O94" s="502"/>
    </row>
    <row r="95" spans="1:15" s="455" customFormat="1" ht="13.5">
      <c r="A95" s="566"/>
      <c r="B95" s="467"/>
      <c r="C95" s="497"/>
      <c r="D95" s="691"/>
      <c r="E95" s="675"/>
      <c r="F95" s="675"/>
      <c r="G95" s="654"/>
      <c r="H95" s="502"/>
      <c r="I95" s="652"/>
      <c r="J95" s="497"/>
      <c r="K95" s="653"/>
      <c r="L95" s="502"/>
      <c r="M95" s="538"/>
      <c r="N95" s="392"/>
      <c r="O95" s="502"/>
    </row>
    <row r="96" spans="1:15" s="455" customFormat="1" ht="13.5">
      <c r="C96" s="1385"/>
      <c r="D96" s="314"/>
      <c r="E96" s="991"/>
      <c r="F96" s="662"/>
      <c r="G96" s="309"/>
      <c r="H96" s="497"/>
      <c r="I96" s="774"/>
      <c r="J96" s="774"/>
      <c r="K96" s="774"/>
      <c r="L96" s="499"/>
      <c r="M96" s="1028"/>
      <c r="N96" s="499"/>
    </row>
    <row r="97" spans="3:15" s="455" customFormat="1" ht="13.5">
      <c r="C97" s="314"/>
      <c r="D97" s="314"/>
      <c r="E97" s="991"/>
      <c r="F97" s="662"/>
      <c r="G97" s="309"/>
      <c r="H97" s="497"/>
      <c r="I97" s="774"/>
      <c r="J97" s="774"/>
      <c r="K97" s="1471"/>
      <c r="L97" s="499"/>
      <c r="M97" s="1028"/>
      <c r="N97" s="499"/>
    </row>
    <row r="98" spans="3:15" s="455" customFormat="1" ht="13.5">
      <c r="C98" s="1027"/>
      <c r="D98" s="314"/>
      <c r="E98" s="991"/>
      <c r="F98" s="662"/>
      <c r="G98" s="309"/>
      <c r="H98" s="497"/>
      <c r="I98" s="1056"/>
      <c r="J98" s="985"/>
      <c r="K98" s="985"/>
      <c r="L98" s="499"/>
      <c r="M98" s="1028"/>
      <c r="N98" s="499"/>
    </row>
    <row r="99" spans="3:15" s="455" customFormat="1" ht="13.5">
      <c r="C99" s="499"/>
      <c r="D99" s="309"/>
      <c r="E99" s="391"/>
      <c r="F99" s="499"/>
      <c r="G99" s="497"/>
      <c r="H99" s="498"/>
      <c r="I99" s="498"/>
      <c r="J99" s="498"/>
      <c r="K99" s="499"/>
      <c r="L99" s="1472"/>
      <c r="M99" s="309"/>
      <c r="N99" s="499"/>
    </row>
    <row r="100" spans="3:15" s="455" customFormat="1" ht="13.5">
      <c r="C100" s="497"/>
      <c r="D100" s="691"/>
      <c r="E100" s="675"/>
      <c r="F100" s="675"/>
      <c r="G100" s="654"/>
      <c r="H100" s="502"/>
      <c r="I100" s="652"/>
      <c r="J100" s="497"/>
      <c r="K100" s="653"/>
      <c r="L100" s="502"/>
      <c r="M100" s="538"/>
      <c r="N100" s="392"/>
      <c r="O100" s="502"/>
    </row>
    <row r="101" spans="3:15" s="455" customFormat="1" ht="13.5">
      <c r="C101" s="497"/>
      <c r="D101" s="691"/>
      <c r="E101" s="675"/>
      <c r="F101" s="675"/>
      <c r="G101" s="654"/>
      <c r="H101" s="502"/>
      <c r="I101" s="652"/>
      <c r="J101" s="497"/>
      <c r="K101" s="653"/>
      <c r="L101" s="502"/>
      <c r="M101" s="538"/>
      <c r="N101" s="392"/>
      <c r="O101" s="502"/>
    </row>
    <row r="102" spans="3:15" s="455" customFormat="1" ht="13.5">
      <c r="C102" s="497"/>
      <c r="D102" s="691"/>
      <c r="E102" s="675"/>
      <c r="F102" s="675"/>
      <c r="G102" s="654"/>
      <c r="H102" s="502"/>
      <c r="I102" s="652"/>
      <c r="J102" s="497"/>
      <c r="K102" s="653"/>
      <c r="L102" s="502"/>
      <c r="M102" s="538"/>
      <c r="N102" s="392"/>
      <c r="O102" s="502"/>
    </row>
    <row r="103" spans="3:15" s="455" customFormat="1" ht="13.5">
      <c r="C103" s="497"/>
      <c r="D103" s="691"/>
      <c r="E103" s="675"/>
      <c r="F103" s="675"/>
      <c r="G103" s="654"/>
      <c r="H103" s="502"/>
      <c r="I103" s="652"/>
      <c r="J103" s="497"/>
      <c r="K103" s="653"/>
      <c r="L103" s="502"/>
      <c r="M103" s="538"/>
      <c r="N103" s="392"/>
      <c r="O103" s="502"/>
    </row>
    <row r="104" spans="3:15" s="455" customFormat="1" ht="13.5">
      <c r="C104" s="497"/>
      <c r="D104" s="691"/>
      <c r="E104" s="675"/>
      <c r="F104" s="675"/>
      <c r="G104" s="654"/>
      <c r="H104" s="502"/>
      <c r="I104" s="652"/>
      <c r="J104" s="497"/>
      <c r="K104" s="653"/>
      <c r="L104" s="502"/>
      <c r="M104" s="538"/>
      <c r="N104" s="392"/>
      <c r="O104" s="502"/>
    </row>
    <row r="105" spans="3:15" s="455" customFormat="1" ht="13.5">
      <c r="C105" s="497"/>
      <c r="D105" s="691"/>
      <c r="E105" s="675"/>
      <c r="F105" s="675"/>
      <c r="G105" s="654"/>
      <c r="H105" s="502"/>
      <c r="I105" s="652"/>
      <c r="J105" s="497"/>
      <c r="K105" s="653"/>
      <c r="L105" s="502"/>
      <c r="M105" s="538"/>
      <c r="N105" s="392"/>
      <c r="O105" s="502"/>
    </row>
    <row r="106" spans="3:15" s="455" customFormat="1" ht="13.5">
      <c r="C106" s="497"/>
      <c r="D106" s="691"/>
      <c r="E106" s="675"/>
      <c r="F106" s="1473"/>
      <c r="G106" s="654"/>
      <c r="H106" s="502"/>
      <c r="I106" s="652"/>
      <c r="J106" s="497"/>
      <c r="K106" s="653"/>
      <c r="L106" s="502"/>
      <c r="M106" s="538"/>
      <c r="N106" s="392"/>
      <c r="O106" s="502"/>
    </row>
    <row r="107" spans="3:15" s="355" customFormat="1" ht="13.5">
      <c r="C107" s="400"/>
      <c r="D107" s="400"/>
      <c r="E107" s="401"/>
      <c r="F107" s="402"/>
      <c r="G107" s="402"/>
      <c r="H107" s="403"/>
      <c r="I107" s="403"/>
      <c r="J107" s="403"/>
      <c r="K107" s="402"/>
      <c r="L107" s="404"/>
      <c r="M107" s="402"/>
      <c r="N107" s="405"/>
    </row>
    <row r="108" spans="3:15" s="355" customFormat="1" ht="13.5">
      <c r="C108" s="400"/>
      <c r="D108" s="400"/>
      <c r="E108" s="401"/>
      <c r="F108" s="402"/>
      <c r="G108" s="402"/>
      <c r="H108" s="403"/>
      <c r="I108" s="403"/>
      <c r="J108" s="403"/>
      <c r="K108" s="402"/>
      <c r="L108" s="404"/>
      <c r="M108" s="402"/>
      <c r="N108" s="405"/>
    </row>
    <row r="109" spans="3:15" s="355" customFormat="1" ht="13.5">
      <c r="C109" s="400"/>
      <c r="D109" s="400"/>
      <c r="E109" s="401"/>
      <c r="F109" s="402"/>
      <c r="G109" s="402"/>
      <c r="H109" s="403"/>
      <c r="I109" s="403"/>
      <c r="J109" s="403"/>
      <c r="K109" s="402"/>
      <c r="L109" s="404"/>
      <c r="M109" s="402"/>
      <c r="N109" s="405"/>
    </row>
    <row r="110" spans="3:15" s="355" customFormat="1" ht="13.5">
      <c r="C110" s="400"/>
      <c r="D110" s="400"/>
      <c r="E110" s="401"/>
      <c r="F110" s="402"/>
      <c r="G110" s="402"/>
      <c r="H110" s="403"/>
      <c r="I110" s="403"/>
      <c r="J110" s="403"/>
      <c r="K110" s="402"/>
      <c r="L110" s="404"/>
      <c r="M110" s="402"/>
      <c r="N110" s="405"/>
    </row>
    <row r="111" spans="3:15" s="355" customFormat="1" ht="13.5">
      <c r="C111" s="400"/>
      <c r="D111" s="400"/>
      <c r="E111" s="401"/>
      <c r="F111" s="402"/>
      <c r="G111" s="402"/>
      <c r="H111" s="403"/>
      <c r="I111" s="403"/>
      <c r="J111" s="403"/>
      <c r="K111" s="402"/>
      <c r="L111" s="404"/>
      <c r="M111" s="402"/>
      <c r="N111" s="405"/>
    </row>
    <row r="112" spans="3:15" s="355" customFormat="1" ht="13.5">
      <c r="C112" s="400"/>
      <c r="D112" s="400"/>
      <c r="E112" s="401"/>
      <c r="F112" s="402"/>
      <c r="G112" s="402"/>
      <c r="H112" s="403"/>
      <c r="I112" s="403"/>
      <c r="J112" s="403"/>
      <c r="K112" s="402"/>
      <c r="L112" s="404"/>
      <c r="M112" s="402"/>
      <c r="N112" s="405"/>
    </row>
    <row r="113" spans="3:14" s="355" customFormat="1" ht="13.5">
      <c r="C113" s="400"/>
      <c r="D113" s="400"/>
      <c r="E113" s="401"/>
      <c r="F113" s="402"/>
      <c r="G113" s="402"/>
      <c r="H113" s="403"/>
      <c r="I113" s="403"/>
      <c r="J113" s="403"/>
      <c r="K113" s="402"/>
      <c r="L113" s="404"/>
      <c r="M113" s="402"/>
      <c r="N113" s="405"/>
    </row>
    <row r="114" spans="3:14" s="355" customFormat="1" ht="13.5">
      <c r="C114" s="400"/>
      <c r="D114" s="400"/>
      <c r="E114" s="401"/>
      <c r="F114" s="402"/>
      <c r="G114" s="402"/>
      <c r="H114" s="403"/>
      <c r="I114" s="403"/>
      <c r="J114" s="403"/>
      <c r="K114" s="402"/>
      <c r="L114" s="404"/>
      <c r="M114" s="402"/>
      <c r="N114" s="405"/>
    </row>
    <row r="115" spans="3:14" s="355" customFormat="1" ht="13.5">
      <c r="C115" s="400"/>
      <c r="D115" s="400"/>
      <c r="E115" s="401"/>
      <c r="F115" s="402"/>
      <c r="G115" s="402"/>
      <c r="H115" s="403"/>
      <c r="I115" s="403"/>
      <c r="J115" s="403"/>
      <c r="K115" s="402"/>
      <c r="L115" s="404"/>
      <c r="M115" s="402"/>
      <c r="N115" s="405"/>
    </row>
    <row r="116" spans="3:14" s="355" customFormat="1" ht="13.5">
      <c r="C116" s="400"/>
      <c r="D116" s="400"/>
      <c r="E116" s="401"/>
      <c r="F116" s="402"/>
      <c r="G116" s="402"/>
      <c r="H116" s="403"/>
      <c r="I116" s="403"/>
      <c r="J116" s="403"/>
      <c r="K116" s="402"/>
      <c r="L116" s="404"/>
      <c r="M116" s="402"/>
      <c r="N116" s="405"/>
    </row>
    <row r="117" spans="3:14" s="355" customFormat="1" ht="13.5">
      <c r="C117" s="400"/>
      <c r="D117" s="400"/>
      <c r="E117" s="401"/>
      <c r="F117" s="402"/>
      <c r="G117" s="402"/>
      <c r="H117" s="403"/>
      <c r="I117" s="403"/>
      <c r="J117" s="403"/>
      <c r="K117" s="402"/>
      <c r="L117" s="404"/>
      <c r="M117" s="402"/>
      <c r="N117" s="405"/>
    </row>
    <row r="118" spans="3:14" s="355" customFormat="1" ht="13.5">
      <c r="C118" s="400"/>
      <c r="D118" s="400"/>
      <c r="E118" s="401"/>
      <c r="F118" s="402"/>
      <c r="G118" s="402"/>
      <c r="H118" s="403"/>
      <c r="I118" s="403"/>
      <c r="J118" s="403"/>
      <c r="K118" s="402"/>
      <c r="L118" s="404"/>
      <c r="M118" s="402"/>
      <c r="N118" s="405"/>
    </row>
    <row r="119" spans="3:14" s="355" customFormat="1" ht="13.5">
      <c r="C119" s="400"/>
      <c r="D119" s="400"/>
      <c r="E119" s="401"/>
      <c r="F119" s="402"/>
      <c r="G119" s="402"/>
      <c r="H119" s="403"/>
      <c r="I119" s="403"/>
      <c r="J119" s="403"/>
      <c r="K119" s="402"/>
      <c r="L119" s="404"/>
      <c r="M119" s="407"/>
      <c r="N119" s="405"/>
    </row>
    <row r="120" spans="3:14" s="355" customFormat="1" ht="13.5">
      <c r="C120" s="400"/>
      <c r="D120" s="400"/>
      <c r="E120" s="401"/>
      <c r="F120" s="402"/>
      <c r="G120" s="403"/>
      <c r="H120" s="403"/>
      <c r="I120" s="403"/>
      <c r="J120" s="403"/>
      <c r="K120" s="408"/>
      <c r="L120" s="404"/>
      <c r="M120" s="407"/>
      <c r="N120" s="405"/>
    </row>
    <row r="121" spans="3:14" s="355" customFormat="1" ht="13.5">
      <c r="C121" s="352"/>
      <c r="D121" s="352"/>
      <c r="E121" s="352"/>
      <c r="F121" s="352"/>
      <c r="G121" s="352"/>
      <c r="H121" s="352"/>
      <c r="I121" s="352"/>
      <c r="J121" s="352"/>
      <c r="K121" s="352"/>
      <c r="L121" s="1403">
        <f>SUM(L5:L119)</f>
        <v>0</v>
      </c>
      <c r="M121" s="352"/>
      <c r="N121" s="352"/>
    </row>
    <row r="122" spans="3:14" ht="14.25" customHeight="1">
      <c r="C122" s="31"/>
      <c r="D122" s="27"/>
      <c r="E122" s="20"/>
      <c r="F122" s="28"/>
      <c r="G122" s="28"/>
      <c r="H122" s="26"/>
      <c r="I122" s="26"/>
      <c r="J122" s="26"/>
      <c r="K122" s="28"/>
      <c r="L122" s="179"/>
      <c r="M122" s="28"/>
      <c r="N122" s="27"/>
    </row>
    <row r="123" spans="3:14" s="1" customFormat="1" ht="14.25" customHeight="1">
      <c r="C123" s="31"/>
      <c r="D123" s="27"/>
      <c r="E123" s="21"/>
      <c r="F123" s="28"/>
      <c r="G123" s="28"/>
      <c r="H123" s="26"/>
      <c r="I123" s="26"/>
      <c r="J123" s="26"/>
      <c r="K123" s="28"/>
      <c r="L123" s="179"/>
      <c r="M123" s="28"/>
      <c r="N123" s="27"/>
    </row>
    <row r="124" spans="3:14" s="1" customFormat="1" ht="14.25" customHeight="1">
      <c r="C124" s="30"/>
      <c r="D124" s="25"/>
      <c r="E124" s="21"/>
      <c r="F124" s="22"/>
      <c r="G124" s="22"/>
      <c r="H124" s="23"/>
      <c r="I124" s="23"/>
      <c r="J124" s="23"/>
      <c r="K124" s="22"/>
      <c r="L124" s="180"/>
      <c r="M124" s="22"/>
      <c r="N124" s="25"/>
    </row>
  </sheetData>
  <mergeCells count="12">
    <mergeCell ref="C2:G2"/>
    <mergeCell ref="H2:J2"/>
    <mergeCell ref="K2:L2"/>
    <mergeCell ref="M2:M3"/>
    <mergeCell ref="N2:N3"/>
    <mergeCell ref="C75:C76"/>
    <mergeCell ref="C77:C79"/>
    <mergeCell ref="C38:C39"/>
    <mergeCell ref="C40:C41"/>
    <mergeCell ref="C43:C44"/>
    <mergeCell ref="C45:C46"/>
    <mergeCell ref="C47:C48"/>
  </mergeCell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D6D4C-7065-4E33-A142-70E05FEB6264}">
  <sheetPr>
    <tabColor rgb="FF00B0F0"/>
  </sheetPr>
  <dimension ref="A1:O133"/>
  <sheetViews>
    <sheetView topLeftCell="B1" zoomScale="90" zoomScaleNormal="90" workbookViewId="0">
      <pane ySplit="4" topLeftCell="A25" activePane="bottomLeft" state="frozen"/>
      <selection pane="bottomLeft" activeCell="E29" sqref="E29"/>
    </sheetView>
  </sheetViews>
  <sheetFormatPr defaultRowHeight="15"/>
  <cols>
    <col min="2" max="2" width="17.28515625" customWidth="1"/>
    <col min="3" max="3" width="21.42578125" customWidth="1"/>
    <col min="4" max="4" width="49.7109375" bestFit="1"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style="99" customWidth="1"/>
    <col min="13" max="13" width="16.28515625" customWidth="1"/>
    <col min="14" max="14" width="12.85546875" customWidth="1"/>
    <col min="17" max="17" width="73.7109375" bestFit="1" customWidth="1"/>
  </cols>
  <sheetData>
    <row r="1" spans="1:15" s="355" customFormat="1" ht="13.5">
      <c r="L1" s="32"/>
    </row>
    <row r="2" spans="1:15" s="355" customFormat="1" ht="13.5">
      <c r="C2" s="2601" t="s">
        <v>30</v>
      </c>
      <c r="D2" s="2602"/>
      <c r="E2" s="2602"/>
      <c r="F2" s="2602"/>
      <c r="G2" s="2603"/>
      <c r="H2" s="2604" t="s">
        <v>29</v>
      </c>
      <c r="I2" s="2605"/>
      <c r="J2" s="2606"/>
      <c r="K2" s="2601" t="s">
        <v>28</v>
      </c>
      <c r="L2" s="2603"/>
      <c r="M2" s="2594" t="s">
        <v>27</v>
      </c>
      <c r="N2" s="2594" t="s">
        <v>26</v>
      </c>
    </row>
    <row r="3" spans="1:15" s="355" customFormat="1" ht="94.5">
      <c r="C3" s="618" t="s">
        <v>25</v>
      </c>
      <c r="D3" s="852" t="s">
        <v>24</v>
      </c>
      <c r="E3" s="991" t="s">
        <v>23</v>
      </c>
      <c r="F3" s="618" t="s">
        <v>22</v>
      </c>
      <c r="G3" s="532" t="s">
        <v>1303</v>
      </c>
      <c r="H3" s="532" t="s">
        <v>20</v>
      </c>
      <c r="I3" s="532" t="s">
        <v>19</v>
      </c>
      <c r="J3" s="532" t="s">
        <v>18</v>
      </c>
      <c r="K3" s="618" t="s">
        <v>17</v>
      </c>
      <c r="L3" s="605" t="s">
        <v>16</v>
      </c>
      <c r="M3" s="2594"/>
      <c r="N3" s="2594"/>
    </row>
    <row r="4" spans="1:15" s="355" customFormat="1" ht="27">
      <c r="C4" s="1076" t="s">
        <v>15</v>
      </c>
      <c r="D4" s="1076" t="s">
        <v>14</v>
      </c>
      <c r="E4" s="1076" t="s">
        <v>13</v>
      </c>
      <c r="F4" s="1076" t="s">
        <v>12</v>
      </c>
      <c r="G4" s="1076" t="s">
        <v>11</v>
      </c>
      <c r="H4" s="1076" t="s">
        <v>10</v>
      </c>
      <c r="I4" s="1076" t="s">
        <v>9</v>
      </c>
      <c r="J4" s="1076" t="s">
        <v>8</v>
      </c>
      <c r="K4" s="1076" t="s">
        <v>7</v>
      </c>
      <c r="L4" s="1077" t="s">
        <v>6</v>
      </c>
      <c r="M4" s="1076" t="s">
        <v>5</v>
      </c>
      <c r="N4" s="1076" t="s">
        <v>4</v>
      </c>
    </row>
    <row r="5" spans="1:15" s="455" customFormat="1" ht="25.5" customHeight="1">
      <c r="A5" s="471"/>
      <c r="B5" s="483" t="s">
        <v>2574</v>
      </c>
      <c r="C5" s="2756" t="s">
        <v>2911</v>
      </c>
      <c r="D5" s="1712" t="s">
        <v>2</v>
      </c>
      <c r="E5" s="1922"/>
      <c r="F5" s="1919"/>
      <c r="G5" s="1725"/>
      <c r="H5" s="1801"/>
      <c r="I5" s="1801"/>
      <c r="J5" s="1712" t="s">
        <v>2216</v>
      </c>
      <c r="K5" s="1920"/>
      <c r="M5" s="1715" t="s">
        <v>2446</v>
      </c>
    </row>
    <row r="6" spans="1:15" s="455" customFormat="1" ht="13.5">
      <c r="A6" s="471"/>
      <c r="B6" s="483" t="s">
        <v>2574</v>
      </c>
      <c r="C6" s="2757"/>
      <c r="D6" s="1921" t="s">
        <v>2910</v>
      </c>
      <c r="E6" s="1884"/>
      <c r="F6" s="1724"/>
      <c r="G6" s="1725"/>
      <c r="H6" s="1801"/>
      <c r="I6" s="1801"/>
      <c r="J6" s="1836"/>
      <c r="L6" s="1943">
        <v>800000</v>
      </c>
      <c r="M6" s="1721"/>
    </row>
    <row r="7" spans="1:15" s="455" customFormat="1">
      <c r="A7" s="471"/>
      <c r="B7" s="483" t="s">
        <v>2574</v>
      </c>
      <c r="C7" s="2757"/>
      <c r="D7" s="1883"/>
      <c r="E7" s="1885"/>
      <c r="F7" s="1724"/>
      <c r="G7" s="1725"/>
      <c r="H7" s="1801"/>
      <c r="I7" s="1801"/>
      <c r="J7" s="1837"/>
      <c r="L7" s="1943"/>
      <c r="M7" s="1721"/>
    </row>
    <row r="8" spans="1:15" s="455" customFormat="1" ht="13.5">
      <c r="A8" s="471"/>
      <c r="B8" s="483" t="s">
        <v>2574</v>
      </c>
      <c r="C8" s="2757"/>
      <c r="D8" s="1811"/>
      <c r="E8" s="1885"/>
      <c r="F8" s="1724"/>
      <c r="G8" s="1725"/>
      <c r="H8" s="1801"/>
      <c r="I8" s="1801"/>
      <c r="J8" s="1837"/>
      <c r="L8" s="1943"/>
      <c r="M8" s="1721"/>
    </row>
    <row r="9" spans="1:15" s="455" customFormat="1" ht="13.5">
      <c r="A9" s="471"/>
      <c r="B9" s="483" t="s">
        <v>2574</v>
      </c>
      <c r="C9" s="2757"/>
      <c r="D9" s="1811"/>
      <c r="E9" s="1885"/>
      <c r="F9" s="1724"/>
      <c r="G9" s="1725"/>
      <c r="H9" s="1801"/>
      <c r="I9" s="1801"/>
      <c r="J9" s="1837"/>
      <c r="L9" s="1943"/>
      <c r="M9" s="1721"/>
    </row>
    <row r="10" spans="1:15" s="455" customFormat="1" ht="13.5">
      <c r="A10" s="471"/>
      <c r="B10" s="483" t="s">
        <v>2574</v>
      </c>
      <c r="C10" s="2757"/>
      <c r="D10" s="1944"/>
      <c r="E10" s="1881"/>
      <c r="F10" s="1724"/>
      <c r="G10" s="1725"/>
      <c r="H10" s="1801"/>
      <c r="I10" s="1801"/>
      <c r="J10" s="1801"/>
      <c r="L10" s="1943"/>
      <c r="M10" s="1721"/>
    </row>
    <row r="11" spans="1:15" s="455" customFormat="1" ht="13.5">
      <c r="A11" s="471"/>
      <c r="B11" s="483" t="s">
        <v>2574</v>
      </c>
      <c r="C11" s="2758"/>
      <c r="D11" s="1811"/>
      <c r="E11" s="1885"/>
      <c r="F11" s="1724"/>
      <c r="G11" s="1725"/>
      <c r="H11" s="1801"/>
      <c r="I11" s="1801"/>
      <c r="J11" s="1801"/>
      <c r="L11" s="1943"/>
      <c r="M11" s="1721"/>
    </row>
    <row r="12" spans="1:15" s="455" customFormat="1" ht="13.5">
      <c r="A12" s="471"/>
      <c r="B12" s="483" t="s">
        <v>2574</v>
      </c>
      <c r="C12" s="314"/>
      <c r="D12" s="309"/>
      <c r="E12" s="309"/>
      <c r="F12" s="497"/>
      <c r="G12" s="985"/>
      <c r="H12" s="985"/>
      <c r="I12" s="985"/>
      <c r="J12" s="499"/>
      <c r="L12" s="1464"/>
    </row>
    <row r="13" spans="1:15" s="455" customFormat="1" ht="27">
      <c r="A13" s="471"/>
      <c r="B13" s="483" t="s">
        <v>2574</v>
      </c>
      <c r="C13" s="2756" t="s">
        <v>2911</v>
      </c>
      <c r="D13" s="1712"/>
      <c r="E13" s="1922"/>
      <c r="F13" s="1919"/>
      <c r="G13" s="1725"/>
      <c r="H13" s="1801"/>
      <c r="I13" s="1801"/>
      <c r="J13" s="1712" t="s">
        <v>2216</v>
      </c>
      <c r="L13" s="1920"/>
      <c r="M13" s="1715" t="s">
        <v>2446</v>
      </c>
    </row>
    <row r="14" spans="1:15" s="455" customFormat="1" ht="13.5">
      <c r="A14" s="471"/>
      <c r="B14" s="483" t="s">
        <v>2574</v>
      </c>
      <c r="C14" s="2757"/>
      <c r="D14" s="1800" t="s">
        <v>2910</v>
      </c>
      <c r="E14" s="1884"/>
      <c r="F14" s="1724"/>
      <c r="G14" s="1725"/>
      <c r="H14" s="1801"/>
      <c r="I14" s="1801"/>
      <c r="J14" s="1836"/>
      <c r="L14" s="1943">
        <v>800000</v>
      </c>
      <c r="M14" s="1721"/>
    </row>
    <row r="15" spans="1:15" s="455" customFormat="1">
      <c r="A15" s="471"/>
      <c r="B15" s="483" t="s">
        <v>2574</v>
      </c>
      <c r="C15" s="2757"/>
      <c r="D15" s="1796"/>
      <c r="E15" s="1885"/>
      <c r="F15" s="1724"/>
      <c r="G15" s="1725"/>
      <c r="H15" s="1801"/>
      <c r="I15" s="1801"/>
      <c r="J15" s="1801"/>
      <c r="K15" s="1802"/>
      <c r="L15" s="1837"/>
      <c r="M15" s="1943"/>
      <c r="N15" s="1721"/>
      <c r="O15" s="1720"/>
    </row>
    <row r="16" spans="1:15" s="455" customFormat="1">
      <c r="A16" s="471"/>
      <c r="B16" s="483" t="s">
        <v>2574</v>
      </c>
      <c r="C16" s="2757"/>
      <c r="D16" s="1726"/>
      <c r="E16" s="1885"/>
      <c r="F16" s="1724"/>
      <c r="G16" s="1725"/>
      <c r="H16" s="1801"/>
      <c r="I16" s="1801"/>
      <c r="J16" s="1801"/>
      <c r="K16" s="1802"/>
      <c r="L16" s="1837"/>
      <c r="M16" s="1943"/>
      <c r="N16" s="1721"/>
      <c r="O16" s="1720"/>
    </row>
    <row r="17" spans="1:15" s="455" customFormat="1">
      <c r="A17" s="471"/>
      <c r="B17" s="483" t="s">
        <v>2574</v>
      </c>
      <c r="C17" s="2757"/>
      <c r="D17" s="1726"/>
      <c r="E17" s="1885"/>
      <c r="F17" s="1724"/>
      <c r="G17" s="1725"/>
      <c r="H17" s="1801"/>
      <c r="I17" s="1801"/>
      <c r="J17" s="1801"/>
      <c r="K17" s="1802"/>
      <c r="L17" s="1837"/>
      <c r="M17" s="1943"/>
      <c r="N17" s="1721"/>
      <c r="O17" s="1720"/>
    </row>
    <row r="18" spans="1:15" s="455" customFormat="1">
      <c r="A18" s="471"/>
      <c r="B18" s="454"/>
      <c r="C18" s="2757"/>
      <c r="D18" s="1726"/>
      <c r="E18" s="1881"/>
      <c r="F18" s="1724"/>
      <c r="G18" s="1725"/>
      <c r="H18" s="1801"/>
      <c r="I18" s="1801"/>
      <c r="J18" s="1801"/>
      <c r="K18" s="1802"/>
      <c r="L18" s="1801"/>
      <c r="M18" s="1943"/>
      <c r="N18" s="1721"/>
      <c r="O18" s="1720"/>
    </row>
    <row r="19" spans="1:15" s="455" customFormat="1">
      <c r="A19" s="471"/>
      <c r="B19" s="454"/>
      <c r="C19" s="2758"/>
      <c r="D19" s="1726"/>
      <c r="E19" s="1885"/>
      <c r="F19" s="1724"/>
      <c r="G19" s="1725"/>
      <c r="H19" s="1801"/>
      <c r="I19" s="1801"/>
      <c r="J19" s="1801"/>
      <c r="K19" s="1802"/>
      <c r="L19" s="1801"/>
      <c r="M19" s="1943"/>
      <c r="N19" s="1721"/>
      <c r="O19" s="1720"/>
    </row>
    <row r="20" spans="1:15" s="455" customFormat="1" ht="38.25">
      <c r="A20" s="471"/>
      <c r="B20" s="454" t="s">
        <v>2929</v>
      </c>
      <c r="C20" s="1999" t="s">
        <v>2945</v>
      </c>
      <c r="D20" s="2000" t="s">
        <v>637</v>
      </c>
      <c r="E20" s="2015"/>
      <c r="F20" s="2001" t="s">
        <v>609</v>
      </c>
      <c r="G20" s="2001" t="s">
        <v>1</v>
      </c>
      <c r="H20" s="2002"/>
      <c r="I20" s="2002"/>
      <c r="J20" s="2002"/>
      <c r="K20" s="2003" t="s">
        <v>748</v>
      </c>
      <c r="L20" s="1673"/>
      <c r="M20" s="2002" t="s">
        <v>2924</v>
      </c>
      <c r="N20" s="2003" t="s">
        <v>703</v>
      </c>
      <c r="O20" s="1720"/>
    </row>
    <row r="21" spans="1:15" s="455" customFormat="1" ht="30">
      <c r="A21" s="471"/>
      <c r="B21" s="454" t="s">
        <v>2929</v>
      </c>
      <c r="C21" s="2004"/>
      <c r="D21" s="2024" t="s">
        <v>2946</v>
      </c>
      <c r="E21" s="2017">
        <v>6</v>
      </c>
      <c r="F21" s="2011" t="s">
        <v>2567</v>
      </c>
      <c r="G21" s="2006"/>
      <c r="H21" s="2008" t="s">
        <v>2213</v>
      </c>
      <c r="I21" s="2009">
        <v>46174</v>
      </c>
      <c r="J21" s="2010" t="s">
        <v>2215</v>
      </c>
      <c r="K21" s="2011"/>
      <c r="L21" s="2012">
        <v>660000</v>
      </c>
      <c r="M21" s="2013"/>
      <c r="N21" s="2011"/>
      <c r="O21" s="1720"/>
    </row>
    <row r="22" spans="1:15" s="455" customFormat="1">
      <c r="A22" s="471"/>
      <c r="B22" s="454"/>
      <c r="C22" s="2004"/>
      <c r="D22" s="2025"/>
      <c r="E22" s="2026"/>
      <c r="F22" s="2006"/>
      <c r="G22" s="2006"/>
      <c r="H22" s="2008"/>
      <c r="I22" s="2008"/>
      <c r="J22" s="1588" t="s">
        <v>2927</v>
      </c>
      <c r="K22" s="2011"/>
      <c r="L22" s="2014"/>
      <c r="M22" s="2013"/>
      <c r="N22" s="2011"/>
      <c r="O22" s="1993"/>
    </row>
    <row r="23" spans="1:15" s="455" customFormat="1">
      <c r="A23" s="471"/>
      <c r="B23" s="454"/>
      <c r="C23" s="2004"/>
      <c r="D23" s="2025"/>
      <c r="E23" s="2026"/>
      <c r="F23" s="2027"/>
      <c r="G23" s="1725"/>
      <c r="H23" s="1801"/>
      <c r="I23" s="1801"/>
      <c r="J23" s="1801"/>
      <c r="K23" s="1813"/>
      <c r="L23" s="2028"/>
      <c r="M23" s="1967"/>
      <c r="N23" s="1821"/>
      <c r="O23" s="1993"/>
    </row>
    <row r="24" spans="1:15" s="455" customFormat="1">
      <c r="A24" s="471"/>
      <c r="B24" s="454"/>
      <c r="C24" s="2004"/>
      <c r="D24" s="2025"/>
      <c r="E24" s="2026"/>
      <c r="F24" s="2027"/>
      <c r="G24" s="1725"/>
      <c r="H24" s="1801"/>
      <c r="I24" s="1801"/>
      <c r="J24" s="1801"/>
      <c r="K24" s="1813"/>
      <c r="L24" s="2028"/>
      <c r="M24" s="1967"/>
      <c r="N24" s="1821"/>
      <c r="O24" s="1993"/>
    </row>
    <row r="25" spans="1:15" s="455" customFormat="1">
      <c r="A25" s="471"/>
      <c r="B25" s="454"/>
      <c r="C25" s="2004"/>
      <c r="D25" s="2025"/>
      <c r="E25" s="2026"/>
      <c r="F25" s="2027"/>
      <c r="G25" s="1725"/>
      <c r="H25" s="1801"/>
      <c r="I25" s="1801"/>
      <c r="J25" s="1801"/>
      <c r="K25" s="1813"/>
      <c r="L25" s="2028"/>
      <c r="M25" s="1967"/>
      <c r="N25" s="1821"/>
      <c r="O25" s="1993"/>
    </row>
    <row r="26" spans="1:15" s="455" customFormat="1">
      <c r="A26" s="471"/>
      <c r="B26" s="454"/>
      <c r="C26" s="2004"/>
      <c r="D26" s="2025"/>
      <c r="E26" s="2026"/>
      <c r="F26" s="2027"/>
      <c r="G26" s="1725"/>
      <c r="H26" s="1801"/>
      <c r="I26" s="1801"/>
      <c r="J26" s="1801"/>
      <c r="K26" s="1813"/>
      <c r="L26" s="2028"/>
      <c r="M26" s="1967"/>
      <c r="N26" s="1821"/>
      <c r="O26" s="1993"/>
    </row>
    <row r="27" spans="1:15" s="455" customFormat="1">
      <c r="A27" s="471"/>
      <c r="B27" s="454"/>
      <c r="C27" s="2004"/>
      <c r="D27" s="2025"/>
      <c r="E27" s="2026"/>
      <c r="F27" s="2027"/>
      <c r="G27" s="1725"/>
      <c r="H27" s="1801"/>
      <c r="I27" s="1801"/>
      <c r="J27" s="1801"/>
      <c r="K27" s="1813"/>
      <c r="L27" s="2028"/>
      <c r="M27" s="1967"/>
      <c r="N27" s="1821"/>
      <c r="O27" s="1993"/>
    </row>
    <row r="28" spans="1:15" s="455" customFormat="1">
      <c r="A28" s="471"/>
      <c r="B28" s="454"/>
      <c r="C28" s="2004"/>
      <c r="D28" s="2025"/>
      <c r="E28" s="2026"/>
      <c r="F28" s="2027"/>
      <c r="G28" s="1725"/>
      <c r="H28" s="1801"/>
      <c r="I28" s="1801"/>
      <c r="J28" s="1801"/>
      <c r="K28" s="1813"/>
      <c r="L28" s="2028"/>
      <c r="M28" s="1967"/>
      <c r="N28" s="1821"/>
      <c r="O28" s="1993"/>
    </row>
    <row r="29" spans="1:15" s="455" customFormat="1">
      <c r="A29" s="471"/>
      <c r="B29" s="454"/>
      <c r="C29" s="2004"/>
      <c r="D29" s="2025"/>
      <c r="E29" s="2026"/>
      <c r="F29" s="2027"/>
      <c r="G29" s="1725"/>
      <c r="H29" s="1801"/>
      <c r="I29" s="1801"/>
      <c r="J29" s="1801"/>
      <c r="K29" s="1813"/>
      <c r="L29" s="2028"/>
      <c r="M29" s="1967"/>
      <c r="N29" s="1821"/>
      <c r="O29" s="1993"/>
    </row>
    <row r="30" spans="1:15" s="455" customFormat="1">
      <c r="A30" s="471"/>
      <c r="B30" s="454"/>
      <c r="C30" s="2004"/>
      <c r="D30" s="2025"/>
      <c r="E30" s="2026"/>
      <c r="F30" s="2027"/>
      <c r="G30" s="1725"/>
      <c r="H30" s="1801"/>
      <c r="I30" s="1801"/>
      <c r="J30" s="1801"/>
      <c r="K30" s="1813"/>
      <c r="L30" s="2028"/>
      <c r="M30" s="1967"/>
      <c r="N30" s="1821"/>
      <c r="O30" s="1993"/>
    </row>
    <row r="31" spans="1:15" s="455" customFormat="1">
      <c r="A31" s="471"/>
      <c r="B31" s="454"/>
      <c r="C31" s="1909"/>
      <c r="D31" s="1712"/>
      <c r="E31" s="1922"/>
      <c r="F31" s="1919"/>
      <c r="G31" s="1725"/>
      <c r="H31" s="1801"/>
      <c r="I31" s="1801"/>
      <c r="J31" s="1801"/>
      <c r="K31" s="1712"/>
      <c r="L31" s="1920"/>
      <c r="M31" s="1715"/>
      <c r="N31" s="1716"/>
    </row>
    <row r="32" spans="1:15" s="455" customFormat="1">
      <c r="A32" s="471"/>
      <c r="B32" s="454"/>
      <c r="C32" s="1951"/>
      <c r="D32" s="1963"/>
      <c r="E32" s="1884"/>
      <c r="F32" s="1724"/>
      <c r="G32" s="1725"/>
      <c r="H32" s="1801"/>
      <c r="I32" s="1801"/>
      <c r="J32" s="1801"/>
      <c r="K32" s="1836"/>
      <c r="L32" s="1943"/>
      <c r="M32" s="1721"/>
      <c r="N32" s="1720"/>
    </row>
    <row r="33" spans="1:15" s="455" customFormat="1">
      <c r="A33" s="471"/>
      <c r="B33" s="454"/>
      <c r="C33" s="1951"/>
      <c r="D33" s="1963"/>
      <c r="E33" s="1885"/>
      <c r="F33" s="1724"/>
      <c r="G33" s="1725"/>
      <c r="H33" s="1801"/>
      <c r="I33" s="1801"/>
      <c r="J33" s="1801"/>
      <c r="K33" s="1802"/>
      <c r="L33" s="1837"/>
      <c r="M33" s="1943"/>
      <c r="N33" s="1721"/>
      <c r="O33" s="1720"/>
    </row>
    <row r="34" spans="1:15" s="455" customFormat="1">
      <c r="A34" s="471"/>
      <c r="B34" s="454"/>
      <c r="C34" s="1951"/>
      <c r="D34" s="1726"/>
      <c r="E34" s="1885"/>
      <c r="F34" s="1724"/>
      <c r="G34" s="1725"/>
      <c r="H34" s="1801"/>
      <c r="I34" s="1801"/>
      <c r="J34" s="1801"/>
      <c r="L34" s="2029">
        <f>SUM(L5:L32)</f>
        <v>2260000</v>
      </c>
      <c r="M34" s="1943"/>
      <c r="N34" s="1721"/>
      <c r="O34" s="1720"/>
    </row>
    <row r="35" spans="1:15" s="455" customFormat="1">
      <c r="A35" s="471"/>
      <c r="B35" s="454"/>
      <c r="C35" s="1951"/>
      <c r="D35" s="1726"/>
      <c r="E35" s="1885"/>
      <c r="F35" s="1724"/>
      <c r="G35" s="1725"/>
      <c r="H35" s="1801"/>
      <c r="I35" s="1801"/>
      <c r="J35" s="1801"/>
      <c r="K35" s="1802"/>
      <c r="L35" s="1837"/>
      <c r="M35" s="1943"/>
      <c r="N35" s="1721"/>
      <c r="O35" s="1720"/>
    </row>
    <row r="36" spans="1:15" s="455" customFormat="1">
      <c r="A36" s="471"/>
      <c r="B36" s="454"/>
      <c r="C36" s="1951"/>
      <c r="D36" s="1726"/>
      <c r="E36" s="1881"/>
      <c r="F36" s="1724"/>
      <c r="G36" s="1725"/>
      <c r="H36" s="1801"/>
      <c r="I36" s="1801"/>
      <c r="J36" s="1801"/>
      <c r="K36" s="1802"/>
      <c r="L36" s="1801"/>
      <c r="M36" s="1943"/>
      <c r="N36" s="1721"/>
      <c r="O36" s="1720"/>
    </row>
    <row r="37" spans="1:15" s="455" customFormat="1">
      <c r="A37" s="471"/>
      <c r="B37" s="454"/>
      <c r="C37" s="1913"/>
      <c r="D37" s="1726"/>
      <c r="E37" s="1885"/>
      <c r="F37" s="1724"/>
      <c r="G37" s="1725"/>
      <c r="H37" s="1801"/>
      <c r="I37" s="1801"/>
      <c r="J37" s="1801"/>
      <c r="K37" s="1802"/>
      <c r="L37" s="1801"/>
      <c r="M37" s="1943"/>
      <c r="N37" s="1721"/>
      <c r="O37" s="1720"/>
    </row>
    <row r="38" spans="1:15" s="455" customFormat="1" ht="13.5">
      <c r="A38" s="471"/>
      <c r="B38" s="454"/>
      <c r="C38" s="1961"/>
      <c r="D38" s="1595"/>
      <c r="E38" s="1598"/>
      <c r="F38" s="1596"/>
      <c r="G38" s="1591"/>
      <c r="H38" s="1594"/>
      <c r="I38" s="1594"/>
      <c r="J38" s="1594"/>
      <c r="K38" s="218"/>
      <c r="L38" s="1593"/>
      <c r="M38" s="1591"/>
      <c r="O38" s="1959"/>
    </row>
    <row r="39" spans="1:15" s="455" customFormat="1" ht="13.5">
      <c r="A39" s="471"/>
      <c r="B39" s="454"/>
      <c r="C39" s="1961"/>
      <c r="D39" s="1595"/>
      <c r="E39" s="1598"/>
      <c r="F39" s="1596"/>
      <c r="G39" s="1591"/>
      <c r="H39" s="1594"/>
      <c r="I39" s="1594"/>
      <c r="J39" s="1594"/>
      <c r="K39" s="218"/>
      <c r="L39" s="1593"/>
      <c r="M39" s="1591"/>
      <c r="O39" s="1959"/>
    </row>
    <row r="40" spans="1:15" s="455" customFormat="1" ht="13.5">
      <c r="A40" s="471"/>
      <c r="B40" s="454"/>
      <c r="C40" s="1961"/>
      <c r="D40" s="1595"/>
      <c r="E40" s="1598"/>
      <c r="F40" s="1596"/>
      <c r="G40" s="1591"/>
      <c r="H40" s="1594"/>
      <c r="I40" s="1594"/>
      <c r="J40" s="1594"/>
      <c r="K40" s="218"/>
      <c r="L40" s="1593"/>
      <c r="M40" s="1591"/>
      <c r="O40" s="1959"/>
    </row>
    <row r="41" spans="1:15" s="455" customFormat="1" ht="13.5">
      <c r="A41" s="471"/>
      <c r="B41" s="454"/>
      <c r="C41" s="1961"/>
      <c r="D41" s="1595"/>
      <c r="E41" s="1598"/>
      <c r="F41" s="1596"/>
      <c r="G41" s="1591"/>
      <c r="H41" s="1594"/>
      <c r="I41" s="1594"/>
      <c r="J41" s="1594"/>
      <c r="K41" s="218"/>
      <c r="L41" s="1593"/>
      <c r="M41" s="1591"/>
      <c r="O41" s="1959"/>
    </row>
    <row r="42" spans="1:15" s="455" customFormat="1" ht="13.5">
      <c r="A42" s="471"/>
      <c r="B42" s="454"/>
      <c r="C42" s="1961"/>
      <c r="D42" s="1595"/>
      <c r="E42" s="1598"/>
      <c r="F42" s="1596"/>
      <c r="G42" s="1591"/>
      <c r="H42" s="1594"/>
      <c r="I42" s="1594"/>
      <c r="J42" s="1594"/>
      <c r="K42" s="218"/>
      <c r="L42" s="1593"/>
      <c r="M42" s="1591"/>
      <c r="O42" s="1959"/>
    </row>
    <row r="43" spans="1:15" s="455" customFormat="1" ht="13.5">
      <c r="A43" s="471"/>
      <c r="B43" s="454"/>
      <c r="C43" s="1961"/>
      <c r="D43" s="1595"/>
      <c r="E43" s="1598"/>
      <c r="F43" s="1596"/>
      <c r="G43" s="1591"/>
      <c r="H43" s="1594"/>
      <c r="I43" s="1594"/>
      <c r="J43" s="1594"/>
      <c r="K43" s="218"/>
      <c r="L43" s="1593"/>
      <c r="M43" s="1591"/>
      <c r="O43" s="1959"/>
    </row>
    <row r="44" spans="1:15" s="455" customFormat="1" ht="13.5">
      <c r="A44" s="471"/>
      <c r="B44" s="454"/>
      <c r="C44" s="1961"/>
      <c r="D44" s="1595"/>
      <c r="E44" s="1598"/>
      <c r="F44" s="1596"/>
      <c r="G44" s="1591"/>
      <c r="H44" s="1594"/>
      <c r="I44" s="1594"/>
      <c r="J44" s="1594"/>
      <c r="K44" s="218"/>
      <c r="L44" s="1593"/>
      <c r="M44" s="1591"/>
      <c r="O44" s="1959"/>
    </row>
    <row r="45" spans="1:15" s="455" customFormat="1" ht="13.5">
      <c r="A45" s="471"/>
      <c r="B45" s="454"/>
      <c r="C45" s="1961"/>
      <c r="D45" s="1595"/>
      <c r="E45" s="1598"/>
      <c r="F45" s="1596"/>
      <c r="G45" s="1591"/>
      <c r="H45" s="1594"/>
      <c r="I45" s="1594"/>
      <c r="J45" s="1594"/>
      <c r="K45" s="218"/>
      <c r="L45" s="1593"/>
      <c r="M45" s="1591"/>
      <c r="O45" s="1959"/>
    </row>
    <row r="46" spans="1:15" s="455" customFormat="1" ht="13.5">
      <c r="A46" s="471"/>
      <c r="B46" s="454"/>
      <c r="C46" s="1961"/>
      <c r="D46" s="1595"/>
      <c r="E46" s="1598"/>
      <c r="F46" s="1596"/>
      <c r="G46" s="1591"/>
      <c r="H46" s="1594"/>
      <c r="I46" s="1594"/>
      <c r="J46" s="1594"/>
      <c r="K46" s="218"/>
      <c r="L46" s="1593"/>
      <c r="M46" s="1591"/>
      <c r="O46" s="1959"/>
    </row>
    <row r="47" spans="1:15" s="455" customFormat="1" ht="13.5">
      <c r="A47" s="471"/>
      <c r="B47" s="454"/>
      <c r="C47" s="2591"/>
      <c r="D47" s="309"/>
      <c r="E47" s="309"/>
      <c r="F47" s="309"/>
      <c r="G47" s="497"/>
      <c r="H47" s="1056"/>
      <c r="I47" s="985"/>
      <c r="J47" s="985"/>
      <c r="K47" s="499"/>
      <c r="L47" s="1025"/>
      <c r="M47" s="499"/>
    </row>
    <row r="48" spans="1:15" s="455" customFormat="1" ht="13.5">
      <c r="A48" s="471"/>
      <c r="B48" s="454"/>
      <c r="C48" s="2593"/>
      <c r="D48" s="309"/>
      <c r="E48" s="309"/>
      <c r="F48" s="309"/>
      <c r="G48" s="497"/>
      <c r="H48" s="1056"/>
      <c r="I48" s="985"/>
      <c r="J48" s="985"/>
      <c r="K48" s="499"/>
      <c r="L48" s="1025"/>
      <c r="M48" s="499"/>
    </row>
    <row r="49" spans="1:14" s="455" customFormat="1" ht="13.5">
      <c r="A49" s="471"/>
      <c r="B49" s="454"/>
      <c r="C49" s="2591"/>
      <c r="D49" s="309"/>
      <c r="E49" s="309"/>
      <c r="F49" s="309"/>
      <c r="G49" s="497"/>
      <c r="H49" s="1056"/>
      <c r="I49" s="985"/>
      <c r="J49" s="985"/>
      <c r="K49" s="499"/>
      <c r="L49" s="1025"/>
      <c r="M49" s="499"/>
    </row>
    <row r="50" spans="1:14" s="455" customFormat="1" ht="13.5">
      <c r="A50" s="471"/>
      <c r="B50" s="454"/>
      <c r="C50" s="2593"/>
      <c r="D50" s="309"/>
      <c r="E50" s="309"/>
      <c r="F50" s="309"/>
      <c r="G50" s="497"/>
      <c r="H50" s="1056"/>
      <c r="I50" s="985"/>
      <c r="J50" s="985"/>
      <c r="K50" s="499"/>
      <c r="L50" s="1025"/>
      <c r="M50" s="499"/>
    </row>
    <row r="51" spans="1:14" s="455" customFormat="1" ht="13.5">
      <c r="A51" s="471"/>
      <c r="B51" s="454"/>
      <c r="C51" s="314"/>
      <c r="D51" s="309"/>
      <c r="E51" s="309"/>
      <c r="F51" s="309"/>
      <c r="G51" s="497"/>
      <c r="H51" s="1056"/>
      <c r="I51" s="985"/>
      <c r="J51" s="985"/>
      <c r="K51" s="499"/>
      <c r="L51" s="1025"/>
      <c r="M51" s="499"/>
      <c r="N51" s="1466"/>
    </row>
    <row r="52" spans="1:14" s="455" customFormat="1" ht="13.5">
      <c r="A52" s="471"/>
      <c r="B52" s="454"/>
      <c r="C52" s="2679"/>
      <c r="D52" s="309"/>
      <c r="E52" s="309"/>
      <c r="F52" s="309"/>
      <c r="G52" s="497"/>
      <c r="H52" s="985"/>
      <c r="I52" s="985"/>
      <c r="J52" s="985"/>
      <c r="K52" s="499"/>
      <c r="L52" s="1025"/>
      <c r="M52" s="499"/>
      <c r="N52" s="1466"/>
    </row>
    <row r="53" spans="1:14" s="455" customFormat="1" ht="13.5">
      <c r="A53" s="471"/>
      <c r="B53" s="454"/>
      <c r="C53" s="2679"/>
      <c r="D53" s="309"/>
      <c r="E53" s="309"/>
      <c r="F53" s="309"/>
      <c r="G53" s="497"/>
      <c r="H53" s="985"/>
      <c r="I53" s="985"/>
      <c r="J53" s="985"/>
      <c r="K53" s="499"/>
      <c r="L53" s="1025"/>
      <c r="M53" s="499"/>
      <c r="N53" s="1467"/>
    </row>
    <row r="54" spans="1:14" s="455" customFormat="1" ht="13.5">
      <c r="A54" s="471"/>
      <c r="B54" s="454"/>
      <c r="C54" s="2679"/>
      <c r="D54" s="309"/>
      <c r="E54" s="309"/>
      <c r="F54" s="309"/>
      <c r="G54" s="497"/>
      <c r="H54" s="985"/>
      <c r="I54" s="985"/>
      <c r="J54" s="985"/>
      <c r="K54" s="499"/>
      <c r="L54" s="1600">
        <f>SUM(L5:L52)</f>
        <v>4520000</v>
      </c>
      <c r="M54" s="499"/>
      <c r="N54" s="1468"/>
    </row>
    <row r="55" spans="1:14" s="455" customFormat="1" ht="13.5">
      <c r="A55" s="471"/>
      <c r="B55" s="454"/>
      <c r="C55" s="2679"/>
      <c r="D55" s="309"/>
      <c r="E55" s="309"/>
      <c r="F55" s="309"/>
      <c r="G55" s="497"/>
      <c r="H55" s="985"/>
      <c r="I55" s="985"/>
      <c r="J55" s="985"/>
      <c r="K55" s="499"/>
      <c r="L55" s="1025"/>
      <c r="M55" s="499"/>
      <c r="N55" s="1468"/>
    </row>
    <row r="56" spans="1:14" s="455" customFormat="1" ht="13.5">
      <c r="A56" s="471"/>
      <c r="B56" s="454"/>
      <c r="C56" s="2591"/>
      <c r="D56" s="309"/>
      <c r="E56" s="309"/>
      <c r="F56" s="309"/>
      <c r="G56" s="497"/>
      <c r="H56" s="985"/>
      <c r="I56" s="985"/>
      <c r="J56" s="985"/>
      <c r="K56" s="499"/>
      <c r="L56" s="1025"/>
      <c r="M56" s="499"/>
      <c r="N56" s="1468"/>
    </row>
    <row r="57" spans="1:14" s="455" customFormat="1" ht="13.5">
      <c r="A57" s="471"/>
      <c r="B57" s="454"/>
      <c r="C57" s="2593"/>
      <c r="D57" s="309"/>
      <c r="E57" s="309"/>
      <c r="F57" s="309"/>
      <c r="G57" s="497"/>
      <c r="H57" s="985"/>
      <c r="I57" s="985"/>
      <c r="J57" s="985"/>
      <c r="K57" s="499"/>
      <c r="L57" s="1025"/>
      <c r="M57" s="499"/>
      <c r="N57" s="1468"/>
    </row>
    <row r="58" spans="1:14" s="455" customFormat="1" ht="13.5">
      <c r="A58" s="471"/>
      <c r="B58" s="454"/>
      <c r="C58" s="392"/>
      <c r="D58" s="309"/>
      <c r="E58" s="309"/>
      <c r="F58" s="309"/>
      <c r="G58" s="497"/>
      <c r="H58" s="1056"/>
      <c r="I58" s="985"/>
      <c r="J58" s="985"/>
      <c r="K58" s="499"/>
      <c r="L58" s="1025"/>
      <c r="M58" s="499"/>
      <c r="N58" s="1465"/>
    </row>
    <row r="59" spans="1:14" s="455" customFormat="1" ht="13.5">
      <c r="A59" s="471"/>
      <c r="B59" s="454"/>
      <c r="C59" s="392"/>
      <c r="D59" s="309"/>
      <c r="E59" s="309"/>
      <c r="F59" s="309"/>
      <c r="G59" s="497"/>
      <c r="H59" s="985"/>
      <c r="I59" s="985"/>
      <c r="J59" s="985"/>
      <c r="K59" s="499"/>
      <c r="L59" s="1025"/>
      <c r="M59" s="499"/>
    </row>
    <row r="60" spans="1:14" s="455" customFormat="1" ht="13.5">
      <c r="A60" s="471"/>
      <c r="B60" s="454"/>
      <c r="C60" s="987"/>
      <c r="D60" s="314"/>
      <c r="E60" s="662"/>
      <c r="F60" s="309"/>
      <c r="G60" s="497"/>
      <c r="H60" s="985"/>
      <c r="I60" s="985"/>
      <c r="J60" s="985"/>
      <c r="K60" s="499"/>
      <c r="L60" s="1025"/>
      <c r="M60" s="499"/>
      <c r="N60" s="454"/>
    </row>
    <row r="61" spans="1:14" s="455" customFormat="1" ht="13.5">
      <c r="A61" s="471"/>
      <c r="B61" s="454"/>
      <c r="C61" s="987"/>
      <c r="D61" s="314"/>
      <c r="E61" s="662"/>
      <c r="F61" s="309"/>
      <c r="G61" s="497"/>
      <c r="H61" s="985"/>
      <c r="I61" s="985"/>
      <c r="J61" s="985"/>
      <c r="K61" s="499"/>
      <c r="L61" s="1025"/>
      <c r="M61" s="499"/>
      <c r="N61" s="458"/>
    </row>
    <row r="62" spans="1:14" s="455" customFormat="1" ht="13.5">
      <c r="A62" s="471"/>
      <c r="B62" s="454"/>
      <c r="C62" s="987"/>
      <c r="D62" s="314"/>
      <c r="E62" s="662"/>
      <c r="F62" s="309"/>
      <c r="G62" s="497"/>
      <c r="H62" s="985"/>
      <c r="I62" s="985"/>
      <c r="J62" s="985"/>
      <c r="K62" s="499"/>
      <c r="L62" s="1065"/>
      <c r="M62" s="499"/>
      <c r="N62" s="458"/>
    </row>
    <row r="63" spans="1:14" s="455" customFormat="1" ht="13.5">
      <c r="A63" s="471"/>
      <c r="B63" s="454"/>
      <c r="C63" s="987"/>
      <c r="D63" s="309"/>
      <c r="E63" s="662"/>
      <c r="F63" s="309"/>
      <c r="G63" s="497"/>
      <c r="H63" s="985"/>
      <c r="I63" s="985"/>
      <c r="J63" s="985"/>
      <c r="K63" s="499"/>
      <c r="L63" s="1065"/>
      <c r="M63" s="499"/>
      <c r="N63" s="458"/>
    </row>
    <row r="64" spans="1:14" s="455" customFormat="1" ht="13.5">
      <c r="A64" s="471"/>
      <c r="B64" s="454"/>
      <c r="C64" s="314"/>
      <c r="D64" s="314"/>
      <c r="E64" s="309"/>
      <c r="F64" s="309"/>
      <c r="G64" s="497"/>
      <c r="H64" s="985"/>
      <c r="I64" s="985"/>
      <c r="J64" s="985"/>
      <c r="K64" s="309"/>
      <c r="L64" s="1015"/>
      <c r="M64" s="499"/>
      <c r="N64" s="458"/>
    </row>
    <row r="65" spans="1:15" s="455" customFormat="1" ht="13.5">
      <c r="A65" s="471"/>
      <c r="B65" s="454"/>
      <c r="C65" s="314"/>
      <c r="D65" s="314"/>
      <c r="E65" s="309"/>
      <c r="F65" s="309"/>
      <c r="G65" s="497"/>
      <c r="H65" s="985"/>
      <c r="I65" s="985"/>
      <c r="J65" s="985"/>
      <c r="K65" s="309"/>
      <c r="L65" s="1015"/>
      <c r="M65" s="499"/>
      <c r="N65" s="460"/>
    </row>
    <row r="66" spans="1:15" s="455" customFormat="1" ht="13.5">
      <c r="A66" s="471"/>
      <c r="B66" s="454"/>
      <c r="C66" s="314"/>
      <c r="D66" s="314"/>
      <c r="E66" s="560"/>
      <c r="F66" s="309"/>
      <c r="G66" s="497"/>
      <c r="H66" s="985"/>
      <c r="I66" s="985"/>
      <c r="J66" s="985"/>
      <c r="K66" s="309"/>
      <c r="L66" s="1015"/>
      <c r="M66" s="499"/>
      <c r="N66" s="454"/>
    </row>
    <row r="67" spans="1:15" s="455" customFormat="1" ht="13.5">
      <c r="A67" s="471"/>
      <c r="B67" s="454"/>
      <c r="C67" s="987"/>
      <c r="D67" s="314"/>
      <c r="E67" s="662"/>
      <c r="F67" s="309"/>
      <c r="G67" s="497"/>
      <c r="H67" s="985"/>
      <c r="I67" s="985"/>
      <c r="J67" s="985"/>
      <c r="K67" s="499"/>
      <c r="L67" s="1065"/>
      <c r="M67" s="499"/>
      <c r="N67" s="458"/>
    </row>
    <row r="68" spans="1:15" s="455" customFormat="1" ht="13.5">
      <c r="A68" s="471"/>
      <c r="B68" s="454"/>
      <c r="C68" s="392"/>
      <c r="D68" s="309"/>
      <c r="E68" s="309"/>
      <c r="F68" s="662"/>
      <c r="G68" s="309"/>
      <c r="H68" s="497"/>
      <c r="I68" s="985"/>
      <c r="J68" s="985"/>
      <c r="K68" s="1066"/>
      <c r="L68" s="1067"/>
      <c r="M68" s="1025"/>
      <c r="N68" s="1068"/>
      <c r="O68" s="458"/>
    </row>
    <row r="69" spans="1:15" s="455" customFormat="1" ht="13.5">
      <c r="A69" s="471"/>
      <c r="B69" s="454"/>
      <c r="C69" s="471"/>
      <c r="D69" s="456"/>
      <c r="E69" s="459"/>
      <c r="F69" s="466"/>
      <c r="G69" s="471"/>
      <c r="H69" s="477"/>
      <c r="I69" s="526"/>
      <c r="J69" s="526"/>
      <c r="K69" s="526"/>
      <c r="L69" s="473"/>
      <c r="M69" s="529"/>
      <c r="N69" s="471"/>
      <c r="O69" s="458"/>
    </row>
    <row r="70" spans="1:15" s="455" customFormat="1" ht="13.5">
      <c r="A70" s="471"/>
      <c r="B70" s="454"/>
      <c r="C70" s="471"/>
      <c r="D70" s="456"/>
      <c r="E70" s="459"/>
      <c r="F70" s="466"/>
      <c r="G70" s="471"/>
      <c r="H70" s="477"/>
      <c r="I70" s="526"/>
      <c r="J70" s="526"/>
      <c r="K70" s="526"/>
      <c r="L70" s="473"/>
      <c r="M70" s="529"/>
      <c r="N70" s="471"/>
      <c r="O70" s="458"/>
    </row>
    <row r="71" spans="1:15" s="455" customFormat="1" ht="13.5">
      <c r="A71" s="471"/>
      <c r="B71" s="454"/>
      <c r="C71" s="314"/>
      <c r="D71" s="309"/>
      <c r="E71" s="309"/>
      <c r="F71" s="309"/>
      <c r="G71" s="309"/>
      <c r="H71" s="309"/>
      <c r="I71" s="309"/>
      <c r="J71" s="309"/>
      <c r="K71" s="309"/>
      <c r="L71" s="309"/>
      <c r="M71" s="309"/>
      <c r="N71" s="309"/>
    </row>
    <row r="72" spans="1:15" s="455" customFormat="1" ht="13.5">
      <c r="A72" s="471"/>
      <c r="B72" s="454"/>
      <c r="C72" s="314"/>
      <c r="D72" s="314"/>
      <c r="E72" s="309"/>
      <c r="F72" s="309"/>
      <c r="G72" s="497"/>
      <c r="H72" s="1056"/>
      <c r="I72" s="309"/>
      <c r="J72" s="309"/>
      <c r="K72" s="499"/>
      <c r="L72" s="1069"/>
      <c r="M72" s="309"/>
      <c r="N72" s="454"/>
    </row>
    <row r="73" spans="1:15" s="455" customFormat="1" ht="13.5">
      <c r="A73" s="471"/>
      <c r="B73" s="454"/>
      <c r="C73" s="314"/>
      <c r="D73" s="314"/>
      <c r="E73" s="309"/>
      <c r="F73" s="309"/>
      <c r="G73" s="497"/>
      <c r="H73" s="1056"/>
      <c r="I73" s="309"/>
      <c r="J73" s="309"/>
      <c r="K73" s="499"/>
      <c r="L73" s="1069"/>
      <c r="M73" s="499"/>
      <c r="N73" s="458"/>
    </row>
    <row r="74" spans="1:15" s="455" customFormat="1" ht="13.5">
      <c r="A74" s="471"/>
      <c r="B74" s="454"/>
      <c r="C74" s="314"/>
      <c r="D74" s="314"/>
      <c r="E74" s="309"/>
      <c r="F74" s="309"/>
      <c r="G74" s="497"/>
      <c r="H74" s="1056"/>
      <c r="I74" s="309"/>
      <c r="J74" s="309"/>
      <c r="K74" s="499"/>
      <c r="L74" s="1069"/>
      <c r="M74" s="499"/>
      <c r="N74" s="458"/>
    </row>
    <row r="75" spans="1:15" s="455" customFormat="1" ht="13.5">
      <c r="A75" s="471"/>
      <c r="B75" s="454"/>
      <c r="C75" s="314"/>
      <c r="D75" s="314"/>
      <c r="E75" s="662"/>
      <c r="F75" s="309"/>
      <c r="G75" s="497"/>
      <c r="H75" s="1056"/>
      <c r="I75" s="985"/>
      <c r="J75" s="985"/>
      <c r="K75" s="499"/>
      <c r="L75" s="1016"/>
      <c r="M75" s="499"/>
      <c r="N75" s="458"/>
    </row>
    <row r="76" spans="1:15" s="455" customFormat="1" ht="13.5">
      <c r="A76" s="471"/>
      <c r="B76" s="454"/>
      <c r="C76" s="314"/>
      <c r="D76" s="314"/>
      <c r="E76" s="662"/>
      <c r="F76" s="309"/>
      <c r="G76" s="497"/>
      <c r="H76" s="1056"/>
      <c r="I76" s="985"/>
      <c r="J76" s="985"/>
      <c r="K76" s="499"/>
      <c r="L76" s="1016"/>
      <c r="M76" s="499"/>
      <c r="N76" s="458"/>
    </row>
    <row r="77" spans="1:15" s="455" customFormat="1" ht="13.5">
      <c r="A77" s="471"/>
      <c r="B77" s="454"/>
      <c r="C77" s="314"/>
      <c r="D77" s="314"/>
      <c r="E77" s="662"/>
      <c r="F77" s="309"/>
      <c r="G77" s="497"/>
      <c r="H77" s="1056"/>
      <c r="I77" s="985"/>
      <c r="J77" s="985"/>
      <c r="K77" s="499"/>
      <c r="L77" s="1071"/>
      <c r="M77" s="499"/>
    </row>
    <row r="78" spans="1:15" s="455" customFormat="1" ht="13.5">
      <c r="A78" s="471"/>
      <c r="B78" s="454"/>
      <c r="C78" s="314"/>
      <c r="D78" s="314"/>
      <c r="E78" s="662"/>
      <c r="F78" s="309"/>
      <c r="G78" s="497"/>
      <c r="H78" s="1056"/>
      <c r="I78" s="985"/>
      <c r="J78" s="985"/>
      <c r="K78" s="499"/>
      <c r="L78" s="1071"/>
      <c r="M78" s="499"/>
    </row>
    <row r="79" spans="1:15" s="455" customFormat="1" ht="13.5">
      <c r="A79" s="471"/>
      <c r="B79" s="454"/>
      <c r="C79" s="314"/>
      <c r="D79" s="314"/>
      <c r="E79" s="662"/>
      <c r="F79" s="309"/>
      <c r="G79" s="497"/>
      <c r="H79" s="1056"/>
      <c r="I79" s="985"/>
      <c r="J79" s="985"/>
      <c r="K79" s="499"/>
      <c r="L79" s="1016"/>
      <c r="M79" s="499"/>
    </row>
    <row r="80" spans="1:15" s="455" customFormat="1" ht="13.5">
      <c r="A80" s="471"/>
      <c r="B80" s="454"/>
      <c r="C80" s="314"/>
      <c r="D80" s="314"/>
      <c r="E80" s="662"/>
      <c r="F80" s="309"/>
      <c r="G80" s="497"/>
      <c r="H80" s="1056"/>
      <c r="I80" s="985"/>
      <c r="J80" s="985"/>
      <c r="K80" s="499"/>
      <c r="L80" s="1016"/>
      <c r="M80" s="499"/>
    </row>
    <row r="81" spans="1:15" s="455" customFormat="1" ht="13.5">
      <c r="A81" s="471"/>
      <c r="B81" s="454"/>
      <c r="C81" s="314"/>
      <c r="D81" s="314"/>
      <c r="E81" s="662"/>
      <c r="F81" s="309"/>
      <c r="G81" s="497"/>
      <c r="H81" s="1056"/>
      <c r="I81" s="985"/>
      <c r="J81" s="985"/>
      <c r="K81" s="499"/>
      <c r="L81" s="1016"/>
      <c r="M81" s="499"/>
      <c r="N81" s="458"/>
    </row>
    <row r="82" spans="1:15" s="455" customFormat="1" ht="13.5">
      <c r="A82" s="471"/>
      <c r="B82" s="454"/>
      <c r="C82" s="314"/>
      <c r="D82" s="314"/>
      <c r="E82" s="662"/>
      <c r="F82" s="309"/>
      <c r="G82" s="497"/>
      <c r="H82" s="1056"/>
      <c r="I82" s="985"/>
      <c r="J82" s="985"/>
      <c r="K82" s="499"/>
      <c r="L82" s="1016"/>
      <c r="M82" s="499"/>
      <c r="N82" s="458"/>
    </row>
    <row r="83" spans="1:15" s="455" customFormat="1" ht="13.5">
      <c r="A83" s="471"/>
      <c r="B83" s="454"/>
      <c r="C83" s="314"/>
      <c r="D83" s="314"/>
      <c r="E83" s="662"/>
      <c r="F83" s="309"/>
      <c r="G83" s="497"/>
      <c r="H83" s="1056"/>
      <c r="I83" s="985"/>
      <c r="J83" s="985"/>
      <c r="K83" s="499"/>
      <c r="L83" s="1016"/>
      <c r="M83" s="499"/>
      <c r="N83" s="458"/>
    </row>
    <row r="84" spans="1:15" s="455" customFormat="1" ht="13.5">
      <c r="A84" s="471"/>
      <c r="B84" s="454"/>
      <c r="C84" s="2591"/>
      <c r="D84" s="314"/>
      <c r="E84" s="662"/>
      <c r="F84" s="309"/>
      <c r="G84" s="497"/>
      <c r="H84" s="1056"/>
      <c r="I84" s="985"/>
      <c r="J84" s="985"/>
      <c r="K84" s="499"/>
      <c r="L84" s="1016"/>
      <c r="M84" s="499"/>
    </row>
    <row r="85" spans="1:15" s="455" customFormat="1" ht="13.5">
      <c r="A85" s="471"/>
      <c r="B85" s="454"/>
      <c r="C85" s="2593"/>
      <c r="D85" s="314"/>
      <c r="E85" s="662"/>
      <c r="F85" s="309"/>
      <c r="G85" s="497"/>
      <c r="H85" s="1056"/>
      <c r="I85" s="985"/>
      <c r="J85" s="985"/>
      <c r="K85" s="499"/>
      <c r="L85" s="1016"/>
      <c r="M85" s="499"/>
      <c r="N85" s="454"/>
    </row>
    <row r="86" spans="1:15" s="455" customFormat="1" ht="13.5">
      <c r="A86" s="471"/>
      <c r="B86" s="454"/>
      <c r="C86" s="2591"/>
      <c r="D86" s="314"/>
      <c r="E86" s="662"/>
      <c r="F86" s="309"/>
      <c r="G86" s="497"/>
      <c r="H86" s="1056"/>
      <c r="I86" s="985"/>
      <c r="J86" s="985"/>
      <c r="K86" s="499"/>
      <c r="L86" s="1016"/>
      <c r="M86" s="499"/>
      <c r="N86" s="458"/>
    </row>
    <row r="87" spans="1:15" s="455" customFormat="1" ht="13.5">
      <c r="A87" s="471"/>
      <c r="B87" s="454"/>
      <c r="C87" s="2592"/>
      <c r="D87" s="314"/>
      <c r="E87" s="662"/>
      <c r="F87" s="309"/>
      <c r="G87" s="497"/>
      <c r="H87" s="1056"/>
      <c r="I87" s="985"/>
      <c r="J87" s="985"/>
      <c r="K87" s="499"/>
      <c r="L87" s="1016"/>
      <c r="M87" s="499"/>
      <c r="N87" s="458"/>
    </row>
    <row r="88" spans="1:15" s="455" customFormat="1" ht="13.5">
      <c r="A88" s="471"/>
      <c r="B88" s="454"/>
      <c r="C88" s="2593"/>
      <c r="D88" s="314"/>
      <c r="E88" s="662"/>
      <c r="F88" s="309"/>
      <c r="G88" s="497"/>
      <c r="H88" s="1056"/>
      <c r="I88" s="985"/>
      <c r="J88" s="985"/>
      <c r="K88" s="499"/>
      <c r="L88" s="1016"/>
      <c r="M88" s="499"/>
      <c r="N88" s="458"/>
    </row>
    <row r="89" spans="1:15" s="455" customFormat="1" ht="13.5">
      <c r="A89" s="471"/>
      <c r="B89" s="454"/>
      <c r="C89" s="314"/>
      <c r="D89" s="314"/>
      <c r="E89" s="662"/>
      <c r="F89" s="309"/>
      <c r="G89" s="497"/>
      <c r="H89" s="985"/>
      <c r="I89" s="985"/>
      <c r="J89" s="985"/>
      <c r="K89" s="499"/>
      <c r="L89" s="1016"/>
      <c r="M89" s="499"/>
      <c r="N89" s="458"/>
    </row>
    <row r="90" spans="1:15" s="455" customFormat="1" ht="13.5">
      <c r="A90" s="471"/>
      <c r="B90" s="454"/>
      <c r="C90" s="314"/>
      <c r="D90" s="314"/>
      <c r="E90" s="662"/>
      <c r="F90" s="309"/>
      <c r="G90" s="497"/>
      <c r="H90" s="985"/>
      <c r="I90" s="985"/>
      <c r="J90" s="985"/>
      <c r="K90" s="499"/>
      <c r="L90" s="1016"/>
      <c r="M90" s="499"/>
      <c r="N90" s="460"/>
    </row>
    <row r="91" spans="1:15" s="455" customFormat="1" ht="13.5">
      <c r="C91" s="314"/>
      <c r="D91" s="314"/>
      <c r="E91" s="662"/>
      <c r="F91" s="662"/>
      <c r="G91" s="309"/>
      <c r="H91" s="497"/>
      <c r="I91" s="1056"/>
      <c r="J91" s="985"/>
      <c r="K91" s="985"/>
      <c r="L91" s="499"/>
      <c r="M91" s="1025"/>
      <c r="N91" s="499"/>
    </row>
    <row r="92" spans="1:15" s="455" customFormat="1" ht="13.5">
      <c r="C92" s="902"/>
      <c r="D92" s="309"/>
      <c r="E92" s="662"/>
      <c r="F92" s="662"/>
      <c r="G92" s="309"/>
      <c r="H92" s="497"/>
      <c r="I92" s="653"/>
      <c r="J92" s="985"/>
      <c r="K92" s="1469"/>
      <c r="L92" s="499"/>
      <c r="M92" s="1025"/>
      <c r="N92" s="499"/>
    </row>
    <row r="93" spans="1:15" s="455" customFormat="1" ht="13.5">
      <c r="A93" s="566"/>
      <c r="B93" s="467"/>
      <c r="C93" s="499"/>
      <c r="D93" s="309"/>
      <c r="E93" s="391"/>
      <c r="F93" s="499"/>
      <c r="G93" s="497"/>
      <c r="H93" s="498"/>
      <c r="I93" s="498"/>
      <c r="J93" s="498"/>
      <c r="K93" s="499"/>
      <c r="L93" s="1470"/>
      <c r="M93" s="309"/>
      <c r="N93" s="499"/>
    </row>
    <row r="94" spans="1:15" s="455" customFormat="1" ht="13.5">
      <c r="A94" s="566"/>
      <c r="B94" s="467"/>
      <c r="C94" s="497"/>
      <c r="D94" s="691"/>
      <c r="E94" s="675"/>
      <c r="F94" s="675"/>
      <c r="G94" s="654"/>
      <c r="H94" s="502"/>
      <c r="I94" s="652"/>
      <c r="J94" s="497"/>
      <c r="K94" s="653"/>
      <c r="L94" s="502"/>
      <c r="M94" s="538"/>
      <c r="N94" s="392"/>
      <c r="O94" s="502"/>
    </row>
    <row r="95" spans="1:15" s="455" customFormat="1" ht="13.5">
      <c r="A95" s="566"/>
      <c r="B95" s="467"/>
      <c r="C95" s="497"/>
      <c r="D95" s="691"/>
      <c r="E95" s="675"/>
      <c r="F95" s="675"/>
      <c r="G95" s="654"/>
      <c r="H95" s="502"/>
      <c r="I95" s="652"/>
      <c r="J95" s="497"/>
      <c r="K95" s="653"/>
      <c r="L95" s="502"/>
      <c r="M95" s="538"/>
      <c r="N95" s="392"/>
      <c r="O95" s="502"/>
    </row>
    <row r="96" spans="1:15" s="455" customFormat="1" ht="13.5">
      <c r="A96" s="566"/>
      <c r="B96" s="467"/>
      <c r="C96" s="497"/>
      <c r="D96" s="691"/>
      <c r="E96" s="675"/>
      <c r="F96" s="675"/>
      <c r="G96" s="654"/>
      <c r="H96" s="502"/>
      <c r="I96" s="652"/>
      <c r="J96" s="497"/>
      <c r="K96" s="653"/>
      <c r="L96" s="502"/>
      <c r="M96" s="538"/>
      <c r="N96" s="392"/>
      <c r="O96" s="502"/>
    </row>
    <row r="97" spans="1:15" s="455" customFormat="1" ht="13.5">
      <c r="A97" s="566"/>
      <c r="B97" s="467"/>
      <c r="C97" s="497"/>
      <c r="D97" s="691"/>
      <c r="E97" s="675"/>
      <c r="F97" s="675"/>
      <c r="G97" s="654"/>
      <c r="H97" s="502"/>
      <c r="I97" s="652"/>
      <c r="J97" s="497"/>
      <c r="K97" s="653"/>
      <c r="L97" s="502"/>
      <c r="M97" s="538"/>
      <c r="N97" s="392"/>
      <c r="O97" s="502"/>
    </row>
    <row r="98" spans="1:15" s="455" customFormat="1" ht="13.5">
      <c r="C98" s="1384"/>
      <c r="D98" s="314"/>
      <c r="E98" s="662"/>
      <c r="F98" s="662"/>
      <c r="G98" s="309"/>
      <c r="H98" s="497"/>
      <c r="I98" s="653"/>
      <c r="J98" s="985"/>
      <c r="K98" s="1469"/>
      <c r="L98" s="499"/>
      <c r="M98" s="1025"/>
      <c r="N98" s="499"/>
    </row>
    <row r="99" spans="1:15" s="455" customFormat="1" ht="13.5">
      <c r="C99" s="1384"/>
      <c r="D99" s="314"/>
      <c r="E99" s="662"/>
      <c r="F99" s="662"/>
      <c r="G99" s="309"/>
      <c r="H99" s="497"/>
      <c r="I99" s="653"/>
      <c r="J99" s="985"/>
      <c r="K99" s="1469"/>
      <c r="L99" s="499"/>
      <c r="M99" s="1025"/>
      <c r="N99" s="499"/>
    </row>
    <row r="100" spans="1:15" s="455" customFormat="1" ht="13.5">
      <c r="A100" s="566"/>
      <c r="B100" s="467"/>
      <c r="C100" s="499"/>
      <c r="D100" s="309"/>
      <c r="E100" s="391"/>
      <c r="F100" s="499"/>
      <c r="G100" s="497"/>
      <c r="H100" s="498"/>
      <c r="I100" s="498"/>
      <c r="J100" s="498"/>
      <c r="K100" s="499"/>
      <c r="L100" s="1470"/>
      <c r="M100" s="309"/>
      <c r="N100" s="499"/>
    </row>
    <row r="101" spans="1:15" s="455" customFormat="1" ht="13.5">
      <c r="A101" s="566"/>
      <c r="B101" s="467"/>
      <c r="C101" s="497"/>
      <c r="D101" s="691"/>
      <c r="E101" s="675"/>
      <c r="F101" s="675"/>
      <c r="G101" s="654"/>
      <c r="H101" s="502"/>
      <c r="I101" s="652"/>
      <c r="J101" s="497"/>
      <c r="K101" s="653"/>
      <c r="L101" s="502"/>
      <c r="M101" s="538"/>
      <c r="N101" s="392"/>
      <c r="O101" s="502"/>
    </row>
    <row r="102" spans="1:15" s="455" customFormat="1" ht="13.5">
      <c r="A102" s="566"/>
      <c r="B102" s="467"/>
      <c r="C102" s="497"/>
      <c r="D102" s="691"/>
      <c r="E102" s="675"/>
      <c r="F102" s="675"/>
      <c r="G102" s="654"/>
      <c r="H102" s="502"/>
      <c r="I102" s="652"/>
      <c r="J102" s="497"/>
      <c r="K102" s="653"/>
      <c r="L102" s="502"/>
      <c r="M102" s="538"/>
      <c r="N102" s="392"/>
      <c r="O102" s="502"/>
    </row>
    <row r="103" spans="1:15" s="455" customFormat="1" ht="13.5">
      <c r="A103" s="566"/>
      <c r="B103" s="467"/>
      <c r="C103" s="497"/>
      <c r="D103" s="691"/>
      <c r="E103" s="675"/>
      <c r="F103" s="675"/>
      <c r="G103" s="654"/>
      <c r="H103" s="502"/>
      <c r="I103" s="652"/>
      <c r="J103" s="497"/>
      <c r="K103" s="653"/>
      <c r="L103" s="502"/>
      <c r="M103" s="538"/>
      <c r="N103" s="392"/>
      <c r="O103" s="502"/>
    </row>
    <row r="104" spans="1:15" s="455" customFormat="1" ht="13.5">
      <c r="A104" s="566"/>
      <c r="B104" s="467"/>
      <c r="C104" s="497"/>
      <c r="D104" s="691"/>
      <c r="E104" s="675"/>
      <c r="F104" s="675"/>
      <c r="G104" s="654"/>
      <c r="H104" s="502"/>
      <c r="I104" s="652"/>
      <c r="J104" s="497"/>
      <c r="K104" s="653"/>
      <c r="L104" s="502"/>
      <c r="M104" s="538"/>
      <c r="N104" s="392"/>
      <c r="O104" s="502"/>
    </row>
    <row r="105" spans="1:15" s="455" customFormat="1" ht="13.5">
      <c r="C105" s="1385"/>
      <c r="D105" s="314"/>
      <c r="E105" s="991"/>
      <c r="F105" s="662"/>
      <c r="G105" s="309"/>
      <c r="H105" s="497"/>
      <c r="I105" s="774"/>
      <c r="J105" s="774"/>
      <c r="K105" s="774"/>
      <c r="L105" s="499"/>
      <c r="M105" s="1028"/>
      <c r="N105" s="499"/>
    </row>
    <row r="106" spans="1:15" s="455" customFormat="1" ht="13.5">
      <c r="C106" s="314"/>
      <c r="D106" s="314"/>
      <c r="E106" s="991"/>
      <c r="F106" s="662"/>
      <c r="G106" s="309"/>
      <c r="H106" s="497"/>
      <c r="I106" s="774"/>
      <c r="J106" s="774"/>
      <c r="K106" s="1471"/>
      <c r="L106" s="499"/>
      <c r="M106" s="1028"/>
      <c r="N106" s="499"/>
    </row>
    <row r="107" spans="1:15" s="455" customFormat="1" ht="13.5">
      <c r="C107" s="1027"/>
      <c r="D107" s="314"/>
      <c r="E107" s="991"/>
      <c r="F107" s="662"/>
      <c r="G107" s="309"/>
      <c r="H107" s="497"/>
      <c r="I107" s="1056"/>
      <c r="J107" s="985"/>
      <c r="K107" s="985"/>
      <c r="L107" s="499"/>
      <c r="M107" s="1028"/>
      <c r="N107" s="499"/>
    </row>
    <row r="108" spans="1:15" s="455" customFormat="1" ht="13.5">
      <c r="C108" s="499"/>
      <c r="D108" s="309"/>
      <c r="E108" s="391"/>
      <c r="F108" s="499"/>
      <c r="G108" s="497"/>
      <c r="H108" s="498"/>
      <c r="I108" s="498"/>
      <c r="J108" s="498"/>
      <c r="K108" s="499"/>
      <c r="L108" s="1472"/>
      <c r="M108" s="309"/>
      <c r="N108" s="499"/>
    </row>
    <row r="109" spans="1:15" s="455" customFormat="1" ht="13.5">
      <c r="C109" s="497"/>
      <c r="D109" s="691"/>
      <c r="E109" s="675"/>
      <c r="F109" s="675"/>
      <c r="G109" s="654"/>
      <c r="H109" s="502"/>
      <c r="I109" s="652"/>
      <c r="J109" s="497"/>
      <c r="K109" s="653"/>
      <c r="L109" s="502"/>
      <c r="M109" s="538"/>
      <c r="N109" s="392"/>
      <c r="O109" s="502"/>
    </row>
    <row r="110" spans="1:15" s="455" customFormat="1" ht="13.5">
      <c r="C110" s="497"/>
      <c r="D110" s="691"/>
      <c r="E110" s="675"/>
      <c r="F110" s="675"/>
      <c r="G110" s="654"/>
      <c r="H110" s="502"/>
      <c r="I110" s="652"/>
      <c r="J110" s="497"/>
      <c r="K110" s="653"/>
      <c r="L110" s="502"/>
      <c r="M110" s="538"/>
      <c r="N110" s="392"/>
      <c r="O110" s="502"/>
    </row>
    <row r="111" spans="1:15" s="455" customFormat="1" ht="13.5">
      <c r="C111" s="497"/>
      <c r="D111" s="691"/>
      <c r="E111" s="675"/>
      <c r="F111" s="675"/>
      <c r="G111" s="654"/>
      <c r="H111" s="502"/>
      <c r="I111" s="652"/>
      <c r="J111" s="497"/>
      <c r="K111" s="653"/>
      <c r="L111" s="502"/>
      <c r="M111" s="538"/>
      <c r="N111" s="392"/>
      <c r="O111" s="502"/>
    </row>
    <row r="112" spans="1:15" s="455" customFormat="1" ht="13.5">
      <c r="C112" s="497"/>
      <c r="D112" s="691"/>
      <c r="E112" s="675"/>
      <c r="F112" s="675"/>
      <c r="G112" s="654"/>
      <c r="H112" s="502"/>
      <c r="I112" s="652"/>
      <c r="J112" s="497"/>
      <c r="K112" s="653"/>
      <c r="L112" s="502"/>
      <c r="M112" s="538"/>
      <c r="N112" s="392"/>
      <c r="O112" s="502"/>
    </row>
    <row r="113" spans="3:15" s="455" customFormat="1" ht="13.5">
      <c r="C113" s="497"/>
      <c r="D113" s="691"/>
      <c r="E113" s="675"/>
      <c r="F113" s="675"/>
      <c r="G113" s="654"/>
      <c r="H113" s="502"/>
      <c r="I113" s="652"/>
      <c r="J113" s="497"/>
      <c r="K113" s="653"/>
      <c r="L113" s="502"/>
      <c r="M113" s="538"/>
      <c r="N113" s="392"/>
      <c r="O113" s="502"/>
    </row>
    <row r="114" spans="3:15" s="455" customFormat="1" ht="13.5">
      <c r="C114" s="497"/>
      <c r="D114" s="691"/>
      <c r="E114" s="675"/>
      <c r="F114" s="675"/>
      <c r="G114" s="654"/>
      <c r="H114" s="502"/>
      <c r="I114" s="652"/>
      <c r="J114" s="497"/>
      <c r="K114" s="653"/>
      <c r="L114" s="502"/>
      <c r="M114" s="538"/>
      <c r="N114" s="392"/>
      <c r="O114" s="502"/>
    </row>
    <row r="115" spans="3:15" s="455" customFormat="1" ht="13.5">
      <c r="C115" s="497"/>
      <c r="D115" s="691"/>
      <c r="E115" s="675"/>
      <c r="F115" s="1473"/>
      <c r="G115" s="654"/>
      <c r="H115" s="502"/>
      <c r="I115" s="652"/>
      <c r="J115" s="497"/>
      <c r="K115" s="653"/>
      <c r="L115" s="502"/>
      <c r="M115" s="538"/>
      <c r="N115" s="392"/>
      <c r="O115" s="502"/>
    </row>
    <row r="116" spans="3:15" s="355" customFormat="1" ht="13.5">
      <c r="C116" s="400"/>
      <c r="D116" s="400"/>
      <c r="E116" s="401"/>
      <c r="F116" s="402"/>
      <c r="G116" s="402"/>
      <c r="H116" s="403"/>
      <c r="I116" s="403"/>
      <c r="J116" s="403"/>
      <c r="K116" s="402"/>
      <c r="L116" s="404"/>
      <c r="M116" s="402"/>
      <c r="N116" s="405"/>
    </row>
    <row r="117" spans="3:15" s="355" customFormat="1" ht="13.5">
      <c r="C117" s="400"/>
      <c r="D117" s="400"/>
      <c r="E117" s="401"/>
      <c r="F117" s="402"/>
      <c r="G117" s="402"/>
      <c r="H117" s="403"/>
      <c r="I117" s="403"/>
      <c r="J117" s="403"/>
      <c r="K117" s="402"/>
      <c r="L117" s="404"/>
      <c r="M117" s="402"/>
      <c r="N117" s="405"/>
    </row>
    <row r="118" spans="3:15" s="355" customFormat="1" ht="13.5">
      <c r="C118" s="400"/>
      <c r="D118" s="400"/>
      <c r="E118" s="401"/>
      <c r="F118" s="402"/>
      <c r="G118" s="402"/>
      <c r="H118" s="403"/>
      <c r="I118" s="403"/>
      <c r="J118" s="403"/>
      <c r="K118" s="402"/>
      <c r="L118" s="404"/>
      <c r="M118" s="402"/>
      <c r="N118" s="405"/>
    </row>
    <row r="119" spans="3:15" s="355" customFormat="1" ht="13.5">
      <c r="C119" s="400"/>
      <c r="D119" s="400"/>
      <c r="E119" s="401"/>
      <c r="F119" s="402"/>
      <c r="G119" s="402"/>
      <c r="H119" s="403"/>
      <c r="I119" s="403"/>
      <c r="J119" s="403"/>
      <c r="K119" s="402"/>
      <c r="L119" s="404"/>
      <c r="M119" s="402"/>
      <c r="N119" s="405"/>
    </row>
    <row r="120" spans="3:15" s="355" customFormat="1" ht="13.5">
      <c r="C120" s="400"/>
      <c r="D120" s="400"/>
      <c r="E120" s="401"/>
      <c r="F120" s="402"/>
      <c r="G120" s="402"/>
      <c r="H120" s="403"/>
      <c r="I120" s="403"/>
      <c r="J120" s="403"/>
      <c r="K120" s="402"/>
      <c r="L120" s="404"/>
      <c r="M120" s="402"/>
      <c r="N120" s="405"/>
    </row>
    <row r="121" spans="3:15" s="355" customFormat="1" ht="13.5">
      <c r="C121" s="400"/>
      <c r="D121" s="400"/>
      <c r="E121" s="401"/>
      <c r="F121" s="402"/>
      <c r="G121" s="402"/>
      <c r="H121" s="403"/>
      <c r="I121" s="403"/>
      <c r="J121" s="403"/>
      <c r="K121" s="402"/>
      <c r="L121" s="404"/>
      <c r="M121" s="402"/>
      <c r="N121" s="405"/>
    </row>
    <row r="122" spans="3:15" s="355" customFormat="1" ht="13.5">
      <c r="C122" s="400"/>
      <c r="D122" s="400"/>
      <c r="E122" s="401"/>
      <c r="F122" s="402"/>
      <c r="G122" s="402"/>
      <c r="H122" s="403"/>
      <c r="I122" s="403"/>
      <c r="J122" s="403"/>
      <c r="K122" s="402"/>
      <c r="L122" s="404"/>
      <c r="M122" s="402"/>
      <c r="N122" s="405"/>
    </row>
    <row r="123" spans="3:15" s="355" customFormat="1" ht="13.5">
      <c r="C123" s="400"/>
      <c r="D123" s="400"/>
      <c r="E123" s="401"/>
      <c r="F123" s="402"/>
      <c r="G123" s="402"/>
      <c r="H123" s="403"/>
      <c r="I123" s="403"/>
      <c r="J123" s="403"/>
      <c r="K123" s="402"/>
      <c r="L123" s="404"/>
      <c r="M123" s="402"/>
      <c r="N123" s="405"/>
    </row>
    <row r="124" spans="3:15" s="355" customFormat="1" ht="13.5">
      <c r="C124" s="400"/>
      <c r="D124" s="400"/>
      <c r="E124" s="401"/>
      <c r="F124" s="402"/>
      <c r="G124" s="402"/>
      <c r="H124" s="403"/>
      <c r="I124" s="403"/>
      <c r="J124" s="403"/>
      <c r="K124" s="402"/>
      <c r="L124" s="404"/>
      <c r="M124" s="402"/>
      <c r="N124" s="405"/>
    </row>
    <row r="125" spans="3:15" s="355" customFormat="1" ht="13.5">
      <c r="C125" s="400"/>
      <c r="D125" s="400"/>
      <c r="E125" s="401"/>
      <c r="F125" s="402"/>
      <c r="G125" s="402"/>
      <c r="H125" s="403"/>
      <c r="I125" s="403"/>
      <c r="J125" s="403"/>
      <c r="K125" s="402"/>
      <c r="L125" s="404"/>
      <c r="M125" s="402"/>
      <c r="N125" s="405"/>
    </row>
    <row r="126" spans="3:15" s="355" customFormat="1" ht="13.5">
      <c r="C126" s="400"/>
      <c r="D126" s="400"/>
      <c r="E126" s="401"/>
      <c r="F126" s="402"/>
      <c r="G126" s="402"/>
      <c r="H126" s="403"/>
      <c r="I126" s="403"/>
      <c r="J126" s="403"/>
      <c r="K126" s="402"/>
      <c r="L126" s="404"/>
      <c r="M126" s="402"/>
      <c r="N126" s="405"/>
    </row>
    <row r="127" spans="3:15" s="355" customFormat="1" ht="13.5">
      <c r="C127" s="400"/>
      <c r="D127" s="400"/>
      <c r="E127" s="401"/>
      <c r="F127" s="402"/>
      <c r="G127" s="402"/>
      <c r="H127" s="403"/>
      <c r="I127" s="403"/>
      <c r="J127" s="403"/>
      <c r="K127" s="402"/>
      <c r="L127" s="404"/>
      <c r="M127" s="402"/>
      <c r="N127" s="405"/>
    </row>
    <row r="128" spans="3:15" s="355" customFormat="1" ht="13.5">
      <c r="C128" s="400"/>
      <c r="D128" s="400"/>
      <c r="E128" s="401"/>
      <c r="F128" s="402"/>
      <c r="G128" s="402"/>
      <c r="H128" s="403"/>
      <c r="I128" s="403"/>
      <c r="J128" s="403"/>
      <c r="K128" s="402"/>
      <c r="L128" s="404"/>
      <c r="M128" s="407"/>
      <c r="N128" s="405"/>
    </row>
    <row r="129" spans="3:14" s="355" customFormat="1" ht="13.5">
      <c r="C129" s="400"/>
      <c r="D129" s="400"/>
      <c r="E129" s="401"/>
      <c r="F129" s="402"/>
      <c r="G129" s="403"/>
      <c r="H129" s="403"/>
      <c r="I129" s="403"/>
      <c r="J129" s="403"/>
      <c r="K129" s="408"/>
      <c r="L129" s="404"/>
      <c r="M129" s="407"/>
      <c r="N129" s="405"/>
    </row>
    <row r="130" spans="3:14" s="355" customFormat="1" ht="13.5">
      <c r="C130" s="352"/>
      <c r="D130" s="352"/>
      <c r="E130" s="352"/>
      <c r="F130" s="352"/>
      <c r="G130" s="352"/>
      <c r="H130" s="352"/>
      <c r="I130" s="352"/>
      <c r="J130" s="352"/>
      <c r="K130" s="352"/>
      <c r="L130" s="1403">
        <f>SUM(L5:L128)</f>
        <v>9040000</v>
      </c>
      <c r="M130" s="352"/>
      <c r="N130" s="352"/>
    </row>
    <row r="131" spans="3:14" ht="14.25" customHeight="1">
      <c r="C131" s="31"/>
      <c r="D131" s="27"/>
      <c r="E131" s="20"/>
      <c r="F131" s="28"/>
      <c r="G131" s="28"/>
      <c r="H131" s="26"/>
      <c r="I131" s="26"/>
      <c r="J131" s="26"/>
      <c r="K131" s="28"/>
      <c r="L131" s="179"/>
      <c r="M131" s="28"/>
      <c r="N131" s="27"/>
    </row>
    <row r="132" spans="3:14" s="1" customFormat="1" ht="14.25" customHeight="1">
      <c r="C132" s="31"/>
      <c r="D132" s="27"/>
      <c r="E132" s="21"/>
      <c r="F132" s="28"/>
      <c r="G132" s="28"/>
      <c r="H132" s="26"/>
      <c r="I132" s="26"/>
      <c r="J132" s="26"/>
      <c r="K132" s="28"/>
      <c r="L132" s="179"/>
      <c r="M132" s="28"/>
      <c r="N132" s="27"/>
    </row>
    <row r="133" spans="3:14" s="1" customFormat="1" ht="14.25" customHeight="1">
      <c r="C133" s="30"/>
      <c r="D133" s="25"/>
      <c r="E133" s="21"/>
      <c r="F133" s="22"/>
      <c r="G133" s="22"/>
      <c r="H133" s="23"/>
      <c r="I133" s="23"/>
      <c r="J133" s="23"/>
      <c r="K133" s="22"/>
      <c r="L133" s="180"/>
      <c r="M133" s="22"/>
      <c r="N133" s="25"/>
    </row>
  </sheetData>
  <mergeCells count="14">
    <mergeCell ref="C2:G2"/>
    <mergeCell ref="H2:J2"/>
    <mergeCell ref="K2:L2"/>
    <mergeCell ref="M2:M3"/>
    <mergeCell ref="N2:N3"/>
    <mergeCell ref="C54:C55"/>
    <mergeCell ref="C56:C57"/>
    <mergeCell ref="C84:C85"/>
    <mergeCell ref="C86:C88"/>
    <mergeCell ref="C5:C11"/>
    <mergeCell ref="C13:C19"/>
    <mergeCell ref="C47:C48"/>
    <mergeCell ref="C49:C50"/>
    <mergeCell ref="C52:C53"/>
  </mergeCell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50014-302D-44D8-A9F7-8AB4D5C39756}">
  <sheetPr>
    <tabColor rgb="FF00B0F0"/>
  </sheetPr>
  <dimension ref="A1:O137"/>
  <sheetViews>
    <sheetView topLeftCell="D1" zoomScale="90" zoomScaleNormal="90" workbookViewId="0">
      <pane ySplit="4" topLeftCell="A42" activePane="bottomLeft" state="frozen"/>
      <selection pane="bottomLeft" activeCell="L58" sqref="L58"/>
    </sheetView>
  </sheetViews>
  <sheetFormatPr defaultRowHeight="15"/>
  <cols>
    <col min="2" max="2" width="17.28515625" customWidth="1"/>
    <col min="3" max="3" width="21.42578125" customWidth="1"/>
    <col min="4" max="4" width="49.7109375" bestFit="1"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style="99" customWidth="1"/>
    <col min="13" max="13" width="16.28515625" customWidth="1"/>
    <col min="14" max="14" width="12.85546875" customWidth="1"/>
    <col min="17" max="17" width="73.7109375" bestFit="1" customWidth="1"/>
  </cols>
  <sheetData>
    <row r="1" spans="1:15" s="355" customFormat="1" ht="13.5">
      <c r="L1" s="32"/>
    </row>
    <row r="2" spans="1:15" s="355" customFormat="1" ht="13.5">
      <c r="C2" s="2601" t="s">
        <v>30</v>
      </c>
      <c r="D2" s="2602"/>
      <c r="E2" s="2602"/>
      <c r="F2" s="2602"/>
      <c r="G2" s="2603"/>
      <c r="H2" s="2604" t="s">
        <v>29</v>
      </c>
      <c r="I2" s="2605"/>
      <c r="J2" s="2606"/>
      <c r="K2" s="2601" t="s">
        <v>28</v>
      </c>
      <c r="L2" s="2603"/>
      <c r="M2" s="2594" t="s">
        <v>27</v>
      </c>
      <c r="N2" s="2594" t="s">
        <v>26</v>
      </c>
    </row>
    <row r="3" spans="1:15" s="355" customFormat="1" ht="94.5">
      <c r="C3" s="618" t="s">
        <v>25</v>
      </c>
      <c r="D3" s="852" t="s">
        <v>24</v>
      </c>
      <c r="E3" s="991" t="s">
        <v>23</v>
      </c>
      <c r="F3" s="618" t="s">
        <v>22</v>
      </c>
      <c r="G3" s="532" t="s">
        <v>1303</v>
      </c>
      <c r="H3" s="532" t="s">
        <v>20</v>
      </c>
      <c r="I3" s="532" t="s">
        <v>19</v>
      </c>
      <c r="J3" s="532" t="s">
        <v>18</v>
      </c>
      <c r="K3" s="618" t="s">
        <v>17</v>
      </c>
      <c r="L3" s="605" t="s">
        <v>16</v>
      </c>
      <c r="M3" s="2594"/>
      <c r="N3" s="2594"/>
    </row>
    <row r="4" spans="1:15" s="355" customFormat="1" ht="27">
      <c r="C4" s="1076" t="s">
        <v>15</v>
      </c>
      <c r="D4" s="1076" t="s">
        <v>14</v>
      </c>
      <c r="E4" s="1076" t="s">
        <v>13</v>
      </c>
      <c r="F4" s="1076" t="s">
        <v>12</v>
      </c>
      <c r="G4" s="1076" t="s">
        <v>11</v>
      </c>
      <c r="H4" s="1076" t="s">
        <v>10</v>
      </c>
      <c r="I4" s="1076" t="s">
        <v>9</v>
      </c>
      <c r="J4" s="1076" t="s">
        <v>8</v>
      </c>
      <c r="K4" s="1076" t="s">
        <v>7</v>
      </c>
      <c r="L4" s="1077" t="s">
        <v>6</v>
      </c>
      <c r="M4" s="1076" t="s">
        <v>5</v>
      </c>
      <c r="N4" s="1076" t="s">
        <v>4</v>
      </c>
    </row>
    <row r="5" spans="1:15" s="455" customFormat="1" ht="25.5" customHeight="1">
      <c r="A5" s="471"/>
      <c r="B5" s="483" t="s">
        <v>1561</v>
      </c>
      <c r="C5" s="1489" t="s">
        <v>1565</v>
      </c>
      <c r="D5" s="1490" t="s">
        <v>2</v>
      </c>
      <c r="E5" s="1491" t="s">
        <v>1756</v>
      </c>
      <c r="F5" s="1492" t="s">
        <v>1566</v>
      </c>
      <c r="G5" s="1493" t="s">
        <v>674</v>
      </c>
      <c r="H5" s="1494" t="s">
        <v>652</v>
      </c>
      <c r="I5" s="1477" t="s">
        <v>653</v>
      </c>
      <c r="J5" s="1482" t="s">
        <v>1558</v>
      </c>
      <c r="K5" s="1495" t="s">
        <v>748</v>
      </c>
      <c r="L5" s="1496">
        <v>5000</v>
      </c>
      <c r="M5" s="1345"/>
      <c r="O5" s="1345"/>
    </row>
    <row r="6" spans="1:15" s="455" customFormat="1" ht="13.5">
      <c r="A6" s="471"/>
      <c r="B6" s="483"/>
      <c r="C6" s="1489"/>
      <c r="D6" s="1490"/>
      <c r="E6" s="1491"/>
      <c r="F6" s="1492"/>
      <c r="G6" s="1493"/>
      <c r="H6" s="1345"/>
      <c r="I6" s="1494"/>
      <c r="J6" s="1477"/>
      <c r="K6" s="1482"/>
      <c r="L6" s="1495"/>
      <c r="M6" s="1496"/>
      <c r="N6" s="1345"/>
      <c r="O6" s="1345"/>
    </row>
    <row r="7" spans="1:15" s="455" customFormat="1" ht="13.5">
      <c r="A7" s="471"/>
      <c r="B7" s="454" t="s">
        <v>589</v>
      </c>
      <c r="C7" s="168" t="s">
        <v>1595</v>
      </c>
      <c r="D7" s="164" t="s">
        <v>2</v>
      </c>
      <c r="E7" s="1514" t="s">
        <v>1596</v>
      </c>
      <c r="F7" s="212" t="s">
        <v>593</v>
      </c>
      <c r="G7" s="170" t="s">
        <v>1</v>
      </c>
      <c r="H7" s="171" t="s">
        <v>675</v>
      </c>
      <c r="I7" s="171" t="s">
        <v>972</v>
      </c>
      <c r="J7" s="172" t="s">
        <v>594</v>
      </c>
      <c r="K7" s="1506" t="s">
        <v>1597</v>
      </c>
      <c r="L7" s="177">
        <v>15000</v>
      </c>
      <c r="M7" s="173" t="s">
        <v>632</v>
      </c>
      <c r="N7" s="168"/>
      <c r="O7" s="2676"/>
    </row>
    <row r="8" spans="1:15" s="455" customFormat="1" ht="13.5">
      <c r="A8" s="471"/>
      <c r="B8" s="454" t="s">
        <v>589</v>
      </c>
      <c r="C8" s="168" t="s">
        <v>1598</v>
      </c>
      <c r="D8" s="164"/>
      <c r="E8" s="169"/>
      <c r="F8" s="168"/>
      <c r="G8" s="1515"/>
      <c r="H8" s="168"/>
      <c r="I8" s="168"/>
      <c r="J8" s="168"/>
      <c r="K8" s="168"/>
      <c r="L8" s="1516"/>
      <c r="M8" s="164"/>
      <c r="N8" s="168"/>
      <c r="O8" s="2677"/>
    </row>
    <row r="9" spans="1:15" s="455" customFormat="1" ht="13.5">
      <c r="A9" s="471"/>
      <c r="B9" s="454"/>
      <c r="C9" s="902"/>
      <c r="D9" s="902"/>
      <c r="E9" s="902"/>
      <c r="F9" s="1380"/>
      <c r="G9" s="636"/>
      <c r="H9" s="1462"/>
      <c r="I9" s="1462"/>
      <c r="J9" s="1462"/>
      <c r="K9" s="1380"/>
      <c r="L9" s="1463"/>
      <c r="M9" s="1172"/>
      <c r="N9" s="460"/>
      <c r="O9" s="2678"/>
    </row>
    <row r="10" spans="1:15" s="455" customFormat="1" ht="13.5">
      <c r="A10" s="471"/>
      <c r="B10" s="454"/>
      <c r="C10" s="314"/>
      <c r="D10" s="309"/>
      <c r="E10" s="309"/>
      <c r="F10" s="309"/>
      <c r="G10" s="309"/>
      <c r="H10" s="309"/>
      <c r="I10" s="309"/>
      <c r="J10" s="309"/>
      <c r="K10" s="309"/>
      <c r="L10" s="309"/>
      <c r="M10" s="309"/>
      <c r="N10" s="309"/>
      <c r="O10" s="625"/>
    </row>
    <row r="11" spans="1:15" s="455" customFormat="1" ht="63.75">
      <c r="A11" s="471"/>
      <c r="B11" s="454" t="s">
        <v>1677</v>
      </c>
      <c r="C11" s="1556" t="s">
        <v>1039</v>
      </c>
      <c r="D11" s="1533" t="s">
        <v>1681</v>
      </c>
      <c r="E11" s="1557" t="s">
        <v>1757</v>
      </c>
      <c r="F11" s="1558" t="s">
        <v>422</v>
      </c>
      <c r="G11" s="1535"/>
      <c r="H11" s="1551" t="s">
        <v>652</v>
      </c>
      <c r="I11" s="1551" t="s">
        <v>1654</v>
      </c>
      <c r="J11" s="1551" t="s">
        <v>1655</v>
      </c>
      <c r="K11" s="1530" t="s">
        <v>748</v>
      </c>
      <c r="L11" s="1546">
        <v>50000</v>
      </c>
      <c r="M11" s="1535"/>
      <c r="O11" s="1535"/>
    </row>
    <row r="12" spans="1:15" s="455" customFormat="1" ht="13.5">
      <c r="A12" s="471"/>
      <c r="B12" s="454"/>
      <c r="C12" s="314"/>
      <c r="D12" s="309"/>
      <c r="E12" s="309"/>
      <c r="F12" s="497"/>
      <c r="G12" s="985"/>
      <c r="H12" s="985"/>
      <c r="I12" s="985"/>
      <c r="J12" s="499"/>
      <c r="K12" s="1025"/>
      <c r="L12" s="499"/>
      <c r="M12" s="1464"/>
    </row>
    <row r="13" spans="1:15" s="455" customFormat="1" ht="63.75">
      <c r="A13" s="471"/>
      <c r="B13" s="454" t="s">
        <v>1724</v>
      </c>
      <c r="C13" s="1589" t="s">
        <v>1039</v>
      </c>
      <c r="D13" s="1595" t="s">
        <v>1681</v>
      </c>
      <c r="E13" s="1598" t="s">
        <v>1287</v>
      </c>
      <c r="F13" s="1596" t="s">
        <v>422</v>
      </c>
      <c r="G13" s="1591"/>
      <c r="H13" s="1594" t="s">
        <v>652</v>
      </c>
      <c r="I13" s="1594" t="s">
        <v>653</v>
      </c>
      <c r="J13" s="1594" t="s">
        <v>1686</v>
      </c>
      <c r="K13" s="218" t="s">
        <v>748</v>
      </c>
      <c r="L13" s="1593">
        <v>25000</v>
      </c>
      <c r="M13" s="1591"/>
      <c r="O13" s="1591"/>
    </row>
    <row r="14" spans="1:15" s="455" customFormat="1" ht="13.5">
      <c r="A14" s="471"/>
      <c r="B14" s="454"/>
      <c r="C14" s="1961"/>
      <c r="D14" s="1595"/>
      <c r="E14" s="1598"/>
      <c r="F14" s="1596"/>
      <c r="G14" s="1591"/>
      <c r="H14" s="1594"/>
      <c r="I14" s="1594"/>
      <c r="J14" s="1594"/>
      <c r="K14" s="218"/>
      <c r="L14" s="1593"/>
      <c r="M14" s="1591"/>
      <c r="O14" s="1959"/>
    </row>
    <row r="15" spans="1:15" s="455" customFormat="1" ht="27">
      <c r="A15" s="471"/>
      <c r="B15" s="454" t="s">
        <v>2699</v>
      </c>
      <c r="C15" s="2756" t="s">
        <v>2909</v>
      </c>
      <c r="D15" s="1712" t="s">
        <v>2894</v>
      </c>
      <c r="E15" s="1922"/>
      <c r="F15" s="1919"/>
      <c r="G15" s="1725"/>
      <c r="H15" s="1801"/>
      <c r="I15" s="1801"/>
      <c r="J15" s="1801"/>
      <c r="K15" s="1712" t="s">
        <v>2216</v>
      </c>
      <c r="L15" s="1920"/>
      <c r="M15" s="1715" t="s">
        <v>2446</v>
      </c>
      <c r="N15" s="1716"/>
    </row>
    <row r="16" spans="1:15" s="455" customFormat="1">
      <c r="A16" s="471"/>
      <c r="B16" s="454" t="s">
        <v>2699</v>
      </c>
      <c r="C16" s="2757"/>
      <c r="D16" s="1962" t="s">
        <v>2908</v>
      </c>
      <c r="E16" s="1884"/>
      <c r="F16" s="1724"/>
      <c r="G16" s="1725"/>
      <c r="H16" s="1801"/>
      <c r="I16" s="1801"/>
      <c r="J16" s="1801"/>
      <c r="K16" s="1836"/>
      <c r="L16" s="1943">
        <v>150000</v>
      </c>
      <c r="M16" s="1721"/>
      <c r="N16" s="1720"/>
    </row>
    <row r="17" spans="1:15" s="455" customFormat="1">
      <c r="A17" s="471"/>
      <c r="B17" s="454" t="s">
        <v>2699</v>
      </c>
      <c r="C17" s="2757"/>
      <c r="D17" s="1963"/>
      <c r="E17" s="1885"/>
      <c r="F17" s="1724"/>
      <c r="G17" s="1725"/>
      <c r="H17" s="1801"/>
      <c r="I17" s="1801"/>
      <c r="J17" s="1801"/>
      <c r="K17" s="1802"/>
      <c r="L17" s="1837"/>
      <c r="M17" s="1943"/>
      <c r="N17" s="1721"/>
      <c r="O17" s="1720"/>
    </row>
    <row r="18" spans="1:15" s="455" customFormat="1">
      <c r="A18" s="471"/>
      <c r="B18" s="454" t="s">
        <v>2699</v>
      </c>
      <c r="C18" s="2757"/>
      <c r="D18" s="1726"/>
      <c r="E18" s="1885"/>
      <c r="F18" s="1724"/>
      <c r="G18" s="1725"/>
      <c r="H18" s="1801"/>
      <c r="I18" s="1801"/>
      <c r="J18" s="1801"/>
      <c r="K18" s="1802"/>
      <c r="L18" s="1837"/>
      <c r="M18" s="1943"/>
      <c r="N18" s="1721"/>
      <c r="O18" s="1720"/>
    </row>
    <row r="19" spans="1:15" s="455" customFormat="1">
      <c r="A19" s="471"/>
      <c r="B19" s="454" t="s">
        <v>2699</v>
      </c>
      <c r="C19" s="2757"/>
      <c r="D19" s="1726"/>
      <c r="E19" s="1885"/>
      <c r="F19" s="1724"/>
      <c r="G19" s="1725"/>
      <c r="H19" s="1801"/>
      <c r="I19" s="1801"/>
      <c r="J19" s="1801"/>
      <c r="K19" s="1802"/>
      <c r="L19" s="1837"/>
      <c r="M19" s="1943"/>
      <c r="N19" s="1721"/>
      <c r="O19" s="1720"/>
    </row>
    <row r="20" spans="1:15" s="455" customFormat="1">
      <c r="A20" s="471"/>
      <c r="B20" s="454"/>
      <c r="C20" s="2757"/>
      <c r="D20" s="1726"/>
      <c r="E20" s="1881"/>
      <c r="F20" s="1724"/>
      <c r="G20" s="1725"/>
      <c r="H20" s="1801"/>
      <c r="I20" s="1801"/>
      <c r="J20" s="1801"/>
      <c r="K20" s="1802"/>
      <c r="L20" s="1801"/>
      <c r="M20" s="1943"/>
      <c r="N20" s="1721"/>
      <c r="O20" s="1720"/>
    </row>
    <row r="21" spans="1:15" s="455" customFormat="1">
      <c r="A21" s="471"/>
      <c r="B21" s="454"/>
      <c r="C21" s="2758"/>
      <c r="D21" s="1726"/>
      <c r="E21" s="1885"/>
      <c r="F21" s="1724"/>
      <c r="G21" s="1725"/>
      <c r="H21" s="1801"/>
      <c r="I21" s="1801"/>
      <c r="J21" s="1801"/>
      <c r="K21" s="1802"/>
      <c r="L21" s="1801"/>
      <c r="M21" s="1943"/>
      <c r="N21" s="1721"/>
      <c r="O21" s="1720"/>
    </row>
    <row r="22" spans="1:15" s="455" customFormat="1" ht="27.6" customHeight="1">
      <c r="A22" s="471"/>
      <c r="B22" s="454" t="s">
        <v>2699</v>
      </c>
      <c r="C22" s="1909" t="s">
        <v>2909</v>
      </c>
      <c r="D22" s="1712" t="s">
        <v>2894</v>
      </c>
      <c r="E22" s="1922"/>
      <c r="F22" s="1919"/>
      <c r="G22" s="1725"/>
      <c r="H22" s="1801"/>
      <c r="I22" s="1801"/>
      <c r="J22" s="1801"/>
      <c r="K22" s="1712" t="s">
        <v>2216</v>
      </c>
      <c r="L22" s="1920"/>
      <c r="M22" s="1715" t="s">
        <v>2446</v>
      </c>
      <c r="N22" s="1716"/>
    </row>
    <row r="23" spans="1:15" s="455" customFormat="1">
      <c r="A23" s="471"/>
      <c r="B23" s="454" t="s">
        <v>2699</v>
      </c>
      <c r="C23" s="1951"/>
      <c r="D23" s="2774" t="s">
        <v>2908</v>
      </c>
      <c r="E23" s="1884"/>
      <c r="F23" s="1724"/>
      <c r="G23" s="1725"/>
      <c r="H23" s="1801"/>
      <c r="I23" s="1801"/>
      <c r="J23" s="1801"/>
      <c r="K23" s="1836"/>
      <c r="L23" s="1943">
        <v>150000</v>
      </c>
      <c r="M23" s="1721"/>
      <c r="N23" s="1720"/>
    </row>
    <row r="24" spans="1:15" s="455" customFormat="1">
      <c r="A24" s="471"/>
      <c r="B24" s="454" t="s">
        <v>2699</v>
      </c>
      <c r="C24" s="1951"/>
      <c r="D24" s="2774"/>
      <c r="E24" s="1885"/>
      <c r="F24" s="1724"/>
      <c r="G24" s="1725"/>
      <c r="H24" s="1801"/>
      <c r="I24" s="1801"/>
      <c r="J24" s="1801"/>
      <c r="K24" s="1802"/>
      <c r="L24" s="1837"/>
      <c r="M24" s="1943"/>
      <c r="N24" s="1721"/>
      <c r="O24" s="1720"/>
    </row>
    <row r="25" spans="1:15" s="455" customFormat="1">
      <c r="A25" s="471"/>
      <c r="B25" s="454"/>
      <c r="C25" s="1951"/>
      <c r="D25" s="1726"/>
      <c r="E25" s="1885"/>
      <c r="F25" s="1724"/>
      <c r="G25" s="1725"/>
      <c r="H25" s="1801"/>
      <c r="I25" s="1801"/>
      <c r="J25" s="1801"/>
      <c r="K25" s="1802"/>
      <c r="L25" s="1837"/>
      <c r="M25" s="1943"/>
      <c r="N25" s="1721"/>
      <c r="O25" s="1720"/>
    </row>
    <row r="26" spans="1:15" s="455" customFormat="1" ht="38.25">
      <c r="A26" s="471"/>
      <c r="B26" s="454" t="s">
        <v>2929</v>
      </c>
      <c r="C26" s="1999" t="s">
        <v>2947</v>
      </c>
      <c r="D26" s="2000" t="s">
        <v>637</v>
      </c>
      <c r="E26" s="2015"/>
      <c r="F26" s="2001" t="s">
        <v>609</v>
      </c>
      <c r="G26" s="2001" t="s">
        <v>1</v>
      </c>
      <c r="H26" s="2002"/>
      <c r="I26" s="2002"/>
      <c r="J26" s="2002"/>
      <c r="K26" s="2003" t="s">
        <v>748</v>
      </c>
      <c r="L26" s="1673"/>
      <c r="M26" s="2002" t="s">
        <v>2924</v>
      </c>
      <c r="N26" s="2003" t="s">
        <v>703</v>
      </c>
      <c r="O26" s="1720"/>
    </row>
    <row r="27" spans="1:15" s="455" customFormat="1" ht="15.75" customHeight="1">
      <c r="A27" s="471"/>
      <c r="B27" s="454" t="s">
        <v>2929</v>
      </c>
      <c r="C27" s="2116"/>
      <c r="D27" s="2005" t="s">
        <v>2948</v>
      </c>
      <c r="E27" s="2017" t="s">
        <v>2949</v>
      </c>
      <c r="F27" s="2006"/>
      <c r="G27" s="2006"/>
      <c r="H27" s="2008" t="s">
        <v>2213</v>
      </c>
      <c r="I27" s="2009">
        <v>46174</v>
      </c>
      <c r="J27" s="2010" t="s">
        <v>2215</v>
      </c>
      <c r="K27" s="2011"/>
      <c r="L27" s="2012">
        <v>40000</v>
      </c>
      <c r="M27" s="2013"/>
      <c r="N27" s="2011"/>
      <c r="O27" s="1720"/>
    </row>
    <row r="28" spans="1:15" s="455" customFormat="1">
      <c r="A28" s="471"/>
      <c r="B28" s="454"/>
      <c r="C28" s="2116"/>
      <c r="D28" s="2005"/>
      <c r="E28" s="2017"/>
      <c r="F28" s="2006"/>
      <c r="G28" s="2006"/>
      <c r="H28" s="2008"/>
      <c r="I28" s="2008"/>
      <c r="J28" s="1588" t="s">
        <v>2927</v>
      </c>
      <c r="K28" s="2011"/>
      <c r="L28" s="2014"/>
      <c r="M28" s="2013"/>
      <c r="N28" s="2011"/>
      <c r="O28" s="1720"/>
    </row>
    <row r="29" spans="1:15" s="455" customFormat="1">
      <c r="A29" s="471"/>
      <c r="B29" s="454"/>
      <c r="C29" s="2116"/>
      <c r="D29" s="2005"/>
      <c r="E29" s="2017"/>
      <c r="F29" s="2006"/>
      <c r="G29" s="2006"/>
      <c r="H29" s="2008"/>
      <c r="I29" s="2008"/>
      <c r="J29" s="1588"/>
      <c r="K29" s="2011"/>
      <c r="L29" s="2014"/>
      <c r="M29" s="2213"/>
      <c r="N29" s="2011"/>
      <c r="O29" s="1720"/>
    </row>
    <row r="30" spans="1:15" s="455" customFormat="1">
      <c r="A30" s="471"/>
      <c r="B30" s="454"/>
      <c r="C30" s="2116"/>
      <c r="D30" s="2005"/>
      <c r="E30" s="2017"/>
      <c r="F30" s="2006"/>
      <c r="G30" s="2006"/>
      <c r="H30" s="2008"/>
      <c r="I30" s="2008"/>
      <c r="J30" s="1588"/>
      <c r="K30" s="2011"/>
      <c r="L30" s="2014"/>
      <c r="M30" s="2213"/>
      <c r="N30" s="2011"/>
      <c r="O30" s="1720"/>
    </row>
    <row r="31" spans="1:15" s="455" customFormat="1" ht="45">
      <c r="A31" s="471"/>
      <c r="B31" s="454" t="s">
        <v>3584</v>
      </c>
      <c r="C31" s="2116"/>
      <c r="D31" s="2005" t="s">
        <v>3877</v>
      </c>
      <c r="E31" s="2017" t="s">
        <v>3878</v>
      </c>
      <c r="F31" s="2011" t="s">
        <v>1104</v>
      </c>
      <c r="G31" s="2006" t="s">
        <v>828</v>
      </c>
      <c r="H31" s="2008" t="s">
        <v>3879</v>
      </c>
      <c r="I31" s="2008" t="s">
        <v>3588</v>
      </c>
      <c r="J31" s="2008" t="s">
        <v>1322</v>
      </c>
      <c r="K31" s="2003" t="s">
        <v>3589</v>
      </c>
      <c r="L31" s="2014">
        <v>28000</v>
      </c>
      <c r="M31" s="2213" t="s">
        <v>99</v>
      </c>
      <c r="N31" s="2011"/>
      <c r="O31" s="1720"/>
    </row>
    <row r="32" spans="1:15" s="455" customFormat="1">
      <c r="A32" s="471"/>
      <c r="B32" s="454"/>
      <c r="C32" s="2116"/>
      <c r="D32" s="2005"/>
      <c r="E32" s="2017"/>
      <c r="F32" s="2006"/>
      <c r="G32" s="2006"/>
      <c r="H32" s="2008"/>
      <c r="I32" s="2008"/>
      <c r="J32" s="1588"/>
      <c r="K32" s="2011"/>
      <c r="L32" s="2014"/>
      <c r="M32" s="2213"/>
      <c r="N32" s="2011"/>
      <c r="O32" s="1720"/>
    </row>
    <row r="33" spans="1:15" s="455" customFormat="1">
      <c r="A33" s="471"/>
      <c r="B33" s="454"/>
      <c r="C33" s="2116"/>
      <c r="D33" s="2005"/>
      <c r="E33" s="2017"/>
      <c r="F33" s="2006"/>
      <c r="G33" s="2006"/>
      <c r="H33" s="2008"/>
      <c r="I33" s="2008"/>
      <c r="J33" s="1588"/>
      <c r="K33" s="2011"/>
      <c r="L33" s="2014"/>
      <c r="M33" s="2213"/>
      <c r="N33" s="2011"/>
      <c r="O33" s="1720"/>
    </row>
    <row r="34" spans="1:15" s="455" customFormat="1">
      <c r="A34" s="471"/>
      <c r="B34" s="454"/>
      <c r="C34" s="2116"/>
      <c r="D34" s="2005"/>
      <c r="E34" s="2017"/>
      <c r="F34" s="2006"/>
      <c r="G34" s="2006"/>
      <c r="H34" s="2008"/>
      <c r="I34" s="2008"/>
      <c r="J34" s="1588"/>
      <c r="K34" s="2011"/>
      <c r="L34" s="2014"/>
      <c r="M34" s="2213"/>
      <c r="N34" s="2011"/>
      <c r="O34" s="1720"/>
    </row>
    <row r="35" spans="1:15" s="455" customFormat="1">
      <c r="A35" s="471"/>
      <c r="B35" s="454"/>
      <c r="C35" s="2116"/>
      <c r="D35" s="2005"/>
      <c r="E35" s="2017"/>
      <c r="F35" s="2006"/>
      <c r="G35" s="2006"/>
      <c r="H35" s="2008"/>
      <c r="I35" s="2008"/>
      <c r="J35" s="1588"/>
      <c r="K35" s="2011"/>
      <c r="L35" s="2014"/>
      <c r="M35" s="2213"/>
      <c r="N35" s="2011"/>
      <c r="O35" s="1720"/>
    </row>
    <row r="36" spans="1:15" s="455" customFormat="1">
      <c r="A36" s="471"/>
      <c r="B36" s="454"/>
      <c r="C36" s="2116"/>
      <c r="D36" s="2005"/>
      <c r="E36" s="2017"/>
      <c r="F36" s="2006"/>
      <c r="G36" s="2006"/>
      <c r="H36" s="2008"/>
      <c r="I36" s="2008"/>
      <c r="J36" s="1588"/>
      <c r="K36" s="2011"/>
      <c r="L36" s="2014"/>
      <c r="M36" s="2213"/>
      <c r="N36" s="2011"/>
      <c r="O36" s="1720"/>
    </row>
    <row r="37" spans="1:15" s="455" customFormat="1">
      <c r="A37" s="471"/>
      <c r="B37" s="454"/>
      <c r="C37" s="2116"/>
      <c r="D37" s="2005"/>
      <c r="E37" s="2017"/>
      <c r="F37" s="2006"/>
      <c r="G37" s="2006"/>
      <c r="H37" s="2008"/>
      <c r="I37" s="2008"/>
      <c r="J37" s="1588"/>
      <c r="K37" s="2011"/>
      <c r="L37" s="2014"/>
      <c r="M37" s="2213"/>
      <c r="N37" s="2011"/>
      <c r="O37" s="1720"/>
    </row>
    <row r="38" spans="1:15" s="455" customFormat="1">
      <c r="A38" s="471"/>
      <c r="B38" s="454"/>
      <c r="C38" s="2116"/>
      <c r="D38" s="2005"/>
      <c r="E38" s="2017"/>
      <c r="F38" s="2006"/>
      <c r="G38" s="2006"/>
      <c r="H38" s="2008"/>
      <c r="I38" s="2008"/>
      <c r="J38" s="1588"/>
      <c r="K38" s="2011"/>
      <c r="L38" s="2014"/>
      <c r="M38" s="2213"/>
      <c r="N38" s="2011"/>
      <c r="O38" s="1720"/>
    </row>
    <row r="39" spans="1:15" s="455" customFormat="1">
      <c r="A39" s="471"/>
      <c r="B39" s="454"/>
      <c r="C39" s="2116"/>
      <c r="D39" s="2005"/>
      <c r="E39" s="2017"/>
      <c r="F39" s="1724"/>
      <c r="G39" s="1725"/>
      <c r="H39" s="1801"/>
      <c r="I39" s="1801"/>
      <c r="J39" s="1801"/>
      <c r="K39" s="1802"/>
      <c r="L39" s="1801"/>
      <c r="M39" s="1943"/>
      <c r="N39" s="1721"/>
      <c r="O39" s="1720"/>
    </row>
    <row r="40" spans="1:15" s="455" customFormat="1">
      <c r="A40" s="471"/>
      <c r="B40" s="454"/>
      <c r="C40" s="2116"/>
      <c r="D40" s="2005"/>
      <c r="E40" s="2017"/>
      <c r="F40" s="1724"/>
      <c r="G40" s="1725"/>
      <c r="H40" s="1801"/>
      <c r="I40" s="1801"/>
      <c r="J40" s="1801"/>
      <c r="K40" s="1802"/>
      <c r="L40" s="1801"/>
      <c r="M40" s="1943"/>
      <c r="N40" s="1721"/>
      <c r="O40" s="1720"/>
    </row>
    <row r="41" spans="1:15" s="455" customFormat="1">
      <c r="A41" s="471"/>
      <c r="B41" s="454"/>
      <c r="C41" s="1912"/>
      <c r="D41" s="1726"/>
      <c r="E41" s="1885"/>
      <c r="F41" s="1724"/>
      <c r="G41" s="1725"/>
      <c r="H41" s="1801"/>
      <c r="I41" s="1801"/>
      <c r="J41" s="1801"/>
      <c r="K41" s="1802"/>
      <c r="L41" s="1801"/>
      <c r="M41" s="1943"/>
      <c r="N41" s="1721"/>
      <c r="O41" s="1720"/>
    </row>
    <row r="42" spans="1:15" s="455" customFormat="1" ht="13.5">
      <c r="A42" s="471"/>
      <c r="B42" s="454"/>
      <c r="F42" s="2016"/>
      <c r="G42" s="1591"/>
      <c r="H42" s="1594"/>
      <c r="I42" s="1594"/>
      <c r="J42" s="1594"/>
      <c r="K42" s="218"/>
      <c r="L42" s="1593"/>
      <c r="M42" s="1591"/>
      <c r="O42" s="1959"/>
    </row>
    <row r="43" spans="1:15" s="455" customFormat="1" ht="13.5">
      <c r="A43" s="471"/>
      <c r="B43" s="454"/>
      <c r="F43" s="2018"/>
      <c r="G43" s="1591"/>
      <c r="H43" s="1594"/>
      <c r="I43" s="1594"/>
      <c r="J43" s="1594"/>
      <c r="K43" s="218"/>
      <c r="L43" s="1991">
        <f>SUM(L5:L41)</f>
        <v>463000</v>
      </c>
      <c r="M43" s="1591"/>
      <c r="O43" s="1959"/>
    </row>
    <row r="44" spans="1:15" s="455" customFormat="1" ht="14.25">
      <c r="A44" s="471"/>
      <c r="B44" s="454"/>
      <c r="C44" s="2004"/>
      <c r="D44" s="2005"/>
      <c r="E44" s="2017"/>
      <c r="F44" s="2018"/>
      <c r="G44" s="1591"/>
      <c r="H44" s="1594"/>
      <c r="I44" s="1594"/>
      <c r="J44" s="1594"/>
      <c r="K44" s="218"/>
      <c r="L44" s="1593"/>
      <c r="M44" s="1591"/>
      <c r="O44" s="1959"/>
    </row>
    <row r="45" spans="1:15" s="455" customFormat="1" ht="13.5">
      <c r="A45" s="471"/>
      <c r="B45" s="454"/>
      <c r="C45" s="1961"/>
      <c r="D45" s="1595"/>
      <c r="E45" s="1598"/>
      <c r="F45" s="1596"/>
      <c r="G45" s="1591"/>
      <c r="H45" s="1594"/>
      <c r="I45" s="1594"/>
      <c r="J45" s="1594"/>
      <c r="K45" s="218"/>
      <c r="L45" s="1593"/>
      <c r="M45" s="1591"/>
      <c r="O45" s="1959"/>
    </row>
    <row r="46" spans="1:15" s="455" customFormat="1" ht="13.5">
      <c r="A46" s="471"/>
      <c r="B46" s="454"/>
      <c r="C46" s="1961"/>
      <c r="D46" s="1595"/>
      <c r="E46" s="1598"/>
      <c r="F46" s="1596"/>
      <c r="G46" s="1591"/>
      <c r="H46" s="1594"/>
      <c r="I46" s="1594"/>
      <c r="J46" s="1594"/>
      <c r="K46" s="218"/>
      <c r="L46" s="1593"/>
      <c r="M46" s="1591"/>
      <c r="O46" s="1959"/>
    </row>
    <row r="47" spans="1:15" s="455" customFormat="1" ht="13.5">
      <c r="A47" s="471"/>
      <c r="B47" s="454"/>
      <c r="C47" s="1961"/>
      <c r="D47" s="1595"/>
      <c r="E47" s="1598"/>
      <c r="F47" s="1596"/>
      <c r="G47" s="1591"/>
      <c r="H47" s="1594"/>
      <c r="I47" s="1594"/>
      <c r="J47" s="1594"/>
      <c r="K47" s="218"/>
      <c r="L47" s="1593"/>
      <c r="M47" s="1591"/>
      <c r="O47" s="1959"/>
    </row>
    <row r="48" spans="1:15" s="455" customFormat="1" ht="13.5">
      <c r="A48" s="471"/>
      <c r="B48" s="454"/>
      <c r="C48" s="1961"/>
      <c r="D48" s="1595"/>
      <c r="E48" s="1598"/>
      <c r="F48" s="1596"/>
      <c r="G48" s="1591"/>
      <c r="H48" s="1594"/>
      <c r="I48" s="1594"/>
      <c r="J48" s="1594"/>
      <c r="K48" s="218"/>
      <c r="L48" s="1593"/>
      <c r="M48" s="1591"/>
      <c r="O48" s="1959"/>
    </row>
    <row r="49" spans="1:15" s="455" customFormat="1" ht="13.5">
      <c r="A49" s="471"/>
      <c r="B49" s="454"/>
      <c r="C49" s="1961"/>
      <c r="D49" s="1595"/>
      <c r="E49" s="1598"/>
      <c r="F49" s="1596"/>
      <c r="G49" s="1591"/>
      <c r="H49" s="1594"/>
      <c r="I49" s="1594"/>
      <c r="J49" s="1594"/>
      <c r="K49" s="218"/>
      <c r="L49" s="1593"/>
      <c r="M49" s="1591"/>
      <c r="O49" s="1959"/>
    </row>
    <row r="50" spans="1:15" s="455" customFormat="1" ht="13.5">
      <c r="A50" s="471"/>
      <c r="B50" s="454"/>
      <c r="C50" s="1961"/>
      <c r="D50" s="1595"/>
      <c r="E50" s="1598"/>
      <c r="F50" s="1596"/>
      <c r="G50" s="1591"/>
      <c r="H50" s="1594"/>
      <c r="I50" s="1594"/>
      <c r="J50" s="1594"/>
      <c r="K50" s="218"/>
      <c r="L50" s="1593"/>
      <c r="M50" s="1591"/>
      <c r="O50" s="1959"/>
    </row>
    <row r="51" spans="1:15" s="455" customFormat="1" ht="13.5">
      <c r="A51" s="471"/>
      <c r="B51" s="454"/>
      <c r="C51" s="2591"/>
      <c r="D51" s="309"/>
      <c r="E51" s="309"/>
      <c r="F51" s="309"/>
      <c r="G51" s="497"/>
      <c r="H51" s="1056"/>
      <c r="I51" s="985"/>
      <c r="J51" s="985"/>
      <c r="K51" s="499"/>
      <c r="L51" s="1025"/>
      <c r="M51" s="499"/>
    </row>
    <row r="52" spans="1:15" s="455" customFormat="1" ht="13.5">
      <c r="A52" s="471"/>
      <c r="B52" s="454"/>
      <c r="C52" s="2593"/>
      <c r="D52" s="309"/>
      <c r="E52" s="309"/>
      <c r="F52" s="309"/>
      <c r="G52" s="497"/>
      <c r="H52" s="1056"/>
      <c r="I52" s="985"/>
      <c r="J52" s="985"/>
      <c r="K52" s="499"/>
      <c r="L52" s="1025"/>
      <c r="M52" s="499"/>
    </row>
    <row r="53" spans="1:15" s="455" customFormat="1" ht="13.5">
      <c r="A53" s="471"/>
      <c r="B53" s="454"/>
      <c r="C53" s="2591"/>
      <c r="D53" s="309"/>
      <c r="E53" s="309"/>
      <c r="F53" s="309"/>
      <c r="G53" s="497"/>
      <c r="H53" s="1056"/>
      <c r="I53" s="985"/>
      <c r="J53" s="985"/>
      <c r="K53" s="499"/>
      <c r="L53" s="1025"/>
      <c r="M53" s="499"/>
    </row>
    <row r="54" spans="1:15" s="455" customFormat="1" ht="13.5">
      <c r="A54" s="471"/>
      <c r="B54" s="454"/>
      <c r="C54" s="2593"/>
      <c r="D54" s="309"/>
      <c r="E54" s="309"/>
      <c r="F54" s="309"/>
      <c r="G54" s="497"/>
      <c r="H54" s="1056"/>
      <c r="I54" s="985"/>
      <c r="J54" s="985"/>
      <c r="K54" s="499"/>
      <c r="L54" s="1025"/>
      <c r="M54" s="499"/>
    </row>
    <row r="55" spans="1:15" s="455" customFormat="1" ht="13.5">
      <c r="A55" s="471"/>
      <c r="B55" s="454"/>
      <c r="C55" s="314"/>
      <c r="D55" s="309"/>
      <c r="E55" s="309"/>
      <c r="F55" s="309"/>
      <c r="G55" s="497"/>
      <c r="H55" s="1056"/>
      <c r="I55" s="985"/>
      <c r="J55" s="985"/>
      <c r="K55" s="499"/>
      <c r="L55" s="1025"/>
      <c r="M55" s="499"/>
      <c r="N55" s="1466"/>
    </row>
    <row r="56" spans="1:15" s="455" customFormat="1" ht="13.5">
      <c r="A56" s="471"/>
      <c r="B56" s="454"/>
      <c r="C56" s="2679"/>
      <c r="D56" s="309"/>
      <c r="E56" s="309"/>
      <c r="F56" s="309"/>
      <c r="G56" s="497"/>
      <c r="H56" s="985"/>
      <c r="I56" s="985"/>
      <c r="J56" s="985"/>
      <c r="K56" s="499"/>
      <c r="L56" s="1025"/>
      <c r="M56" s="499"/>
      <c r="N56" s="1466"/>
    </row>
    <row r="57" spans="1:15" s="455" customFormat="1" ht="13.5">
      <c r="A57" s="471"/>
      <c r="B57" s="454"/>
      <c r="C57" s="2679"/>
      <c r="D57" s="309"/>
      <c r="E57" s="309"/>
      <c r="F57" s="309"/>
      <c r="G57" s="497"/>
      <c r="H57" s="985"/>
      <c r="I57" s="985"/>
      <c r="J57" s="985"/>
      <c r="K57" s="499"/>
      <c r="L57" s="1025"/>
      <c r="M57" s="499"/>
      <c r="N57" s="1467"/>
    </row>
    <row r="58" spans="1:15" s="455" customFormat="1" ht="13.5">
      <c r="A58" s="471"/>
      <c r="B58" s="454"/>
      <c r="C58" s="2679"/>
      <c r="D58" s="309"/>
      <c r="E58" s="309"/>
      <c r="F58" s="309"/>
      <c r="G58" s="497"/>
      <c r="H58" s="985"/>
      <c r="I58" s="985"/>
      <c r="J58" s="985"/>
      <c r="K58" s="499"/>
      <c r="L58" s="1600"/>
      <c r="M58" s="499"/>
      <c r="N58" s="1468"/>
    </row>
    <row r="59" spans="1:15" s="455" customFormat="1" ht="13.5">
      <c r="A59" s="471"/>
      <c r="B59" s="454"/>
      <c r="C59" s="2679"/>
      <c r="D59" s="309"/>
      <c r="E59" s="309"/>
      <c r="F59" s="309"/>
      <c r="G59" s="497"/>
      <c r="H59" s="985"/>
      <c r="I59" s="985"/>
      <c r="J59" s="985"/>
      <c r="K59" s="499"/>
      <c r="L59" s="1025"/>
      <c r="M59" s="499"/>
      <c r="N59" s="1468"/>
    </row>
    <row r="60" spans="1:15" s="455" customFormat="1" ht="13.5">
      <c r="A60" s="471"/>
      <c r="B60" s="454"/>
      <c r="C60" s="2591"/>
      <c r="D60" s="309"/>
      <c r="E60" s="309"/>
      <c r="F60" s="309"/>
      <c r="G60" s="497"/>
      <c r="H60" s="985"/>
      <c r="I60" s="985"/>
      <c r="J60" s="985"/>
      <c r="K60" s="499"/>
      <c r="L60" s="1025"/>
      <c r="M60" s="499"/>
      <c r="N60" s="1468"/>
    </row>
    <row r="61" spans="1:15" s="455" customFormat="1" ht="13.5">
      <c r="A61" s="471"/>
      <c r="B61" s="454"/>
      <c r="C61" s="2593"/>
      <c r="D61" s="309"/>
      <c r="E61" s="309"/>
      <c r="F61" s="309"/>
      <c r="G61" s="497"/>
      <c r="H61" s="985"/>
      <c r="I61" s="985"/>
      <c r="J61" s="985"/>
      <c r="K61" s="499"/>
      <c r="L61" s="1025"/>
      <c r="M61" s="499"/>
      <c r="N61" s="1468"/>
    </row>
    <row r="62" spans="1:15" s="455" customFormat="1" ht="13.5">
      <c r="A62" s="471"/>
      <c r="B62" s="454"/>
      <c r="C62" s="392"/>
      <c r="D62" s="309"/>
      <c r="E62" s="309"/>
      <c r="F62" s="309"/>
      <c r="G62" s="497"/>
      <c r="H62" s="1056"/>
      <c r="I62" s="985"/>
      <c r="J62" s="985"/>
      <c r="K62" s="499"/>
      <c r="L62" s="1025"/>
      <c r="M62" s="499"/>
      <c r="N62" s="1465"/>
    </row>
    <row r="63" spans="1:15" s="455" customFormat="1" ht="13.5">
      <c r="A63" s="471"/>
      <c r="B63" s="454"/>
      <c r="C63" s="392"/>
      <c r="D63" s="309"/>
      <c r="E63" s="309"/>
      <c r="F63" s="309"/>
      <c r="G63" s="497"/>
      <c r="H63" s="985"/>
      <c r="I63" s="985"/>
      <c r="J63" s="985"/>
      <c r="K63" s="499"/>
      <c r="L63" s="1025"/>
      <c r="M63" s="499"/>
    </row>
    <row r="64" spans="1:15" s="455" customFormat="1" ht="13.5">
      <c r="A64" s="471"/>
      <c r="B64" s="454"/>
      <c r="C64" s="987"/>
      <c r="D64" s="314"/>
      <c r="E64" s="662"/>
      <c r="F64" s="309"/>
      <c r="G64" s="497"/>
      <c r="H64" s="985"/>
      <c r="I64" s="985"/>
      <c r="J64" s="985"/>
      <c r="K64" s="499"/>
      <c r="L64" s="1025"/>
      <c r="M64" s="499"/>
      <c r="N64" s="454"/>
    </row>
    <row r="65" spans="1:15" s="455" customFormat="1" ht="13.5">
      <c r="A65" s="471"/>
      <c r="B65" s="454"/>
      <c r="C65" s="987"/>
      <c r="D65" s="314"/>
      <c r="E65" s="662"/>
      <c r="F65" s="309"/>
      <c r="G65" s="497"/>
      <c r="H65" s="985"/>
      <c r="I65" s="985"/>
      <c r="J65" s="985"/>
      <c r="K65" s="499"/>
      <c r="L65" s="1025"/>
      <c r="M65" s="499"/>
      <c r="N65" s="458"/>
    </row>
    <row r="66" spans="1:15" s="455" customFormat="1" ht="13.5">
      <c r="A66" s="471"/>
      <c r="B66" s="454"/>
      <c r="C66" s="987"/>
      <c r="D66" s="314"/>
      <c r="E66" s="662"/>
      <c r="F66" s="309"/>
      <c r="G66" s="497"/>
      <c r="H66" s="985"/>
      <c r="I66" s="985"/>
      <c r="J66" s="985"/>
      <c r="K66" s="499"/>
      <c r="L66" s="1065"/>
      <c r="M66" s="499"/>
      <c r="N66" s="458"/>
    </row>
    <row r="67" spans="1:15" s="455" customFormat="1" ht="13.5">
      <c r="A67" s="471"/>
      <c r="B67" s="454"/>
      <c r="C67" s="987"/>
      <c r="D67" s="309"/>
      <c r="E67" s="662"/>
      <c r="F67" s="309"/>
      <c r="G67" s="497"/>
      <c r="H67" s="985"/>
      <c r="I67" s="985"/>
      <c r="J67" s="985"/>
      <c r="K67" s="499"/>
      <c r="L67" s="1065"/>
      <c r="M67" s="499"/>
      <c r="N67" s="458"/>
    </row>
    <row r="68" spans="1:15" s="455" customFormat="1" ht="13.5">
      <c r="A68" s="471"/>
      <c r="B68" s="454"/>
      <c r="C68" s="314"/>
      <c r="D68" s="314"/>
      <c r="E68" s="309"/>
      <c r="F68" s="309"/>
      <c r="G68" s="497"/>
      <c r="H68" s="985"/>
      <c r="I68" s="985"/>
      <c r="J68" s="985"/>
      <c r="K68" s="309"/>
      <c r="L68" s="1015"/>
      <c r="M68" s="499"/>
      <c r="N68" s="458"/>
    </row>
    <row r="69" spans="1:15" s="455" customFormat="1" ht="13.5">
      <c r="A69" s="471"/>
      <c r="B69" s="454"/>
      <c r="C69" s="314"/>
      <c r="D69" s="314"/>
      <c r="E69" s="309"/>
      <c r="F69" s="309"/>
      <c r="G69" s="497"/>
      <c r="H69" s="985"/>
      <c r="I69" s="985"/>
      <c r="J69" s="985"/>
      <c r="K69" s="309"/>
      <c r="L69" s="1015"/>
      <c r="M69" s="499"/>
      <c r="N69" s="460"/>
    </row>
    <row r="70" spans="1:15" s="455" customFormat="1" ht="13.5">
      <c r="A70" s="471"/>
      <c r="B70" s="454"/>
      <c r="C70" s="314"/>
      <c r="D70" s="314"/>
      <c r="E70" s="560"/>
      <c r="F70" s="309"/>
      <c r="G70" s="497"/>
      <c r="H70" s="985"/>
      <c r="I70" s="985"/>
      <c r="J70" s="985"/>
      <c r="K70" s="309"/>
      <c r="L70" s="1015"/>
      <c r="M70" s="499"/>
      <c r="N70" s="454"/>
    </row>
    <row r="71" spans="1:15" s="455" customFormat="1" ht="13.5">
      <c r="A71" s="471"/>
      <c r="B71" s="454"/>
      <c r="C71" s="987"/>
      <c r="D71" s="314"/>
      <c r="E71" s="662"/>
      <c r="F71" s="309"/>
      <c r="G71" s="497"/>
      <c r="H71" s="985"/>
      <c r="I71" s="985"/>
      <c r="J71" s="985"/>
      <c r="K71" s="499"/>
      <c r="L71" s="1065"/>
      <c r="M71" s="499"/>
      <c r="N71" s="458"/>
    </row>
    <row r="72" spans="1:15" s="455" customFormat="1" ht="13.5">
      <c r="A72" s="471"/>
      <c r="B72" s="454"/>
      <c r="C72" s="392"/>
      <c r="D72" s="309"/>
      <c r="E72" s="309"/>
      <c r="F72" s="662"/>
      <c r="G72" s="309"/>
      <c r="H72" s="497"/>
      <c r="I72" s="985"/>
      <c r="J72" s="985"/>
      <c r="K72" s="1066"/>
      <c r="L72" s="1067"/>
      <c r="M72" s="1025"/>
      <c r="N72" s="1068"/>
      <c r="O72" s="458"/>
    </row>
    <row r="73" spans="1:15" s="455" customFormat="1" ht="13.5">
      <c r="A73" s="471"/>
      <c r="B73" s="454"/>
      <c r="C73" s="471"/>
      <c r="D73" s="456"/>
      <c r="E73" s="459"/>
      <c r="F73" s="466"/>
      <c r="G73" s="471"/>
      <c r="H73" s="477"/>
      <c r="I73" s="526"/>
      <c r="J73" s="526"/>
      <c r="K73" s="526"/>
      <c r="L73" s="473"/>
      <c r="M73" s="529"/>
      <c r="N73" s="471"/>
      <c r="O73" s="458"/>
    </row>
    <row r="74" spans="1:15" s="455" customFormat="1" ht="13.5">
      <c r="A74" s="471"/>
      <c r="B74" s="454"/>
      <c r="C74" s="471"/>
      <c r="D74" s="456"/>
      <c r="E74" s="459"/>
      <c r="F74" s="466"/>
      <c r="G74" s="471"/>
      <c r="H74" s="477"/>
      <c r="I74" s="526"/>
      <c r="J74" s="526"/>
      <c r="K74" s="526"/>
      <c r="L74" s="473"/>
      <c r="M74" s="529"/>
      <c r="N74" s="471"/>
      <c r="O74" s="458"/>
    </row>
    <row r="75" spans="1:15" s="455" customFormat="1" ht="13.5">
      <c r="A75" s="471"/>
      <c r="B75" s="454"/>
      <c r="C75" s="314"/>
      <c r="D75" s="309"/>
      <c r="E75" s="309"/>
      <c r="F75" s="309"/>
      <c r="G75" s="309"/>
      <c r="H75" s="309"/>
      <c r="I75" s="309"/>
      <c r="J75" s="309"/>
      <c r="K75" s="309"/>
      <c r="L75" s="309"/>
      <c r="M75" s="309"/>
      <c r="N75" s="309"/>
    </row>
    <row r="76" spans="1:15" s="455" customFormat="1" ht="13.5">
      <c r="A76" s="471"/>
      <c r="B76" s="454"/>
      <c r="C76" s="314"/>
      <c r="D76" s="314"/>
      <c r="E76" s="309"/>
      <c r="F76" s="309"/>
      <c r="G76" s="497"/>
      <c r="H76" s="1056"/>
      <c r="I76" s="309"/>
      <c r="J76" s="309"/>
      <c r="K76" s="499"/>
      <c r="L76" s="1069"/>
      <c r="M76" s="309"/>
      <c r="N76" s="454"/>
    </row>
    <row r="77" spans="1:15" s="455" customFormat="1" ht="13.5">
      <c r="A77" s="471"/>
      <c r="B77" s="454"/>
      <c r="C77" s="314"/>
      <c r="D77" s="314"/>
      <c r="E77" s="309"/>
      <c r="F77" s="309"/>
      <c r="G77" s="497"/>
      <c r="H77" s="1056"/>
      <c r="I77" s="309"/>
      <c r="J77" s="309"/>
      <c r="K77" s="499"/>
      <c r="L77" s="1069"/>
      <c r="M77" s="499"/>
      <c r="N77" s="458"/>
    </row>
    <row r="78" spans="1:15" s="455" customFormat="1" ht="13.5">
      <c r="A78" s="471"/>
      <c r="B78" s="454"/>
      <c r="C78" s="314"/>
      <c r="D78" s="314"/>
      <c r="E78" s="309"/>
      <c r="F78" s="309"/>
      <c r="G78" s="497"/>
      <c r="H78" s="1056"/>
      <c r="I78" s="309"/>
      <c r="J78" s="309"/>
      <c r="K78" s="499"/>
      <c r="L78" s="1069"/>
      <c r="M78" s="499"/>
      <c r="N78" s="458"/>
    </row>
    <row r="79" spans="1:15" s="455" customFormat="1" ht="13.5">
      <c r="A79" s="471"/>
      <c r="B79" s="454"/>
      <c r="C79" s="314"/>
      <c r="D79" s="314"/>
      <c r="E79" s="662"/>
      <c r="F79" s="309"/>
      <c r="G79" s="497"/>
      <c r="H79" s="1056"/>
      <c r="I79" s="985"/>
      <c r="J79" s="985"/>
      <c r="K79" s="499"/>
      <c r="L79" s="1016"/>
      <c r="M79" s="499"/>
      <c r="N79" s="458"/>
    </row>
    <row r="80" spans="1:15" s="455" customFormat="1" ht="13.5">
      <c r="A80" s="471"/>
      <c r="B80" s="454"/>
      <c r="C80" s="314"/>
      <c r="D80" s="314"/>
      <c r="E80" s="662"/>
      <c r="F80" s="309"/>
      <c r="G80" s="497"/>
      <c r="H80" s="1056"/>
      <c r="I80" s="985"/>
      <c r="J80" s="985"/>
      <c r="K80" s="499"/>
      <c r="L80" s="1016"/>
      <c r="M80" s="499"/>
      <c r="N80" s="458"/>
    </row>
    <row r="81" spans="1:14" s="455" customFormat="1" ht="13.5">
      <c r="A81" s="471"/>
      <c r="B81" s="454"/>
      <c r="C81" s="314"/>
      <c r="D81" s="314"/>
      <c r="E81" s="662"/>
      <c r="F81" s="309"/>
      <c r="G81" s="497"/>
      <c r="H81" s="1056"/>
      <c r="I81" s="985"/>
      <c r="J81" s="985"/>
      <c r="K81" s="499"/>
      <c r="L81" s="1071"/>
      <c r="M81" s="499"/>
    </row>
    <row r="82" spans="1:14" s="455" customFormat="1" ht="13.5">
      <c r="A82" s="471"/>
      <c r="B82" s="454"/>
      <c r="C82" s="314"/>
      <c r="D82" s="314"/>
      <c r="E82" s="662"/>
      <c r="F82" s="309"/>
      <c r="G82" s="497"/>
      <c r="H82" s="1056"/>
      <c r="I82" s="985"/>
      <c r="J82" s="985"/>
      <c r="K82" s="499"/>
      <c r="L82" s="1071"/>
      <c r="M82" s="499"/>
    </row>
    <row r="83" spans="1:14" s="455" customFormat="1" ht="13.5">
      <c r="A83" s="471"/>
      <c r="B83" s="454"/>
      <c r="C83" s="314"/>
      <c r="D83" s="314"/>
      <c r="E83" s="662"/>
      <c r="F83" s="309"/>
      <c r="G83" s="497"/>
      <c r="H83" s="1056"/>
      <c r="I83" s="985"/>
      <c r="J83" s="985"/>
      <c r="K83" s="499"/>
      <c r="L83" s="1016"/>
      <c r="M83" s="499"/>
    </row>
    <row r="84" spans="1:14" s="455" customFormat="1" ht="13.5">
      <c r="A84" s="471"/>
      <c r="B84" s="454"/>
      <c r="C84" s="314"/>
      <c r="D84" s="314"/>
      <c r="E84" s="662"/>
      <c r="F84" s="309"/>
      <c r="G84" s="497"/>
      <c r="H84" s="1056"/>
      <c r="I84" s="985"/>
      <c r="J84" s="985"/>
      <c r="K84" s="499"/>
      <c r="L84" s="1016"/>
      <c r="M84" s="499"/>
    </row>
    <row r="85" spans="1:14" s="455" customFormat="1" ht="13.5">
      <c r="A85" s="471"/>
      <c r="B85" s="454"/>
      <c r="C85" s="314"/>
      <c r="D85" s="314"/>
      <c r="E85" s="662"/>
      <c r="F85" s="309"/>
      <c r="G85" s="497"/>
      <c r="H85" s="1056"/>
      <c r="I85" s="985"/>
      <c r="J85" s="985"/>
      <c r="K85" s="499"/>
      <c r="L85" s="1016"/>
      <c r="M85" s="499"/>
      <c r="N85" s="458"/>
    </row>
    <row r="86" spans="1:14" s="455" customFormat="1" ht="13.5">
      <c r="A86" s="471"/>
      <c r="B86" s="454"/>
      <c r="C86" s="314"/>
      <c r="D86" s="314"/>
      <c r="E86" s="662"/>
      <c r="F86" s="309"/>
      <c r="G86" s="497"/>
      <c r="H86" s="1056"/>
      <c r="I86" s="985"/>
      <c r="J86" s="985"/>
      <c r="K86" s="499"/>
      <c r="L86" s="1016"/>
      <c r="M86" s="499"/>
      <c r="N86" s="458"/>
    </row>
    <row r="87" spans="1:14" s="455" customFormat="1" ht="13.5">
      <c r="A87" s="471"/>
      <c r="B87" s="454"/>
      <c r="C87" s="314"/>
      <c r="D87" s="314"/>
      <c r="E87" s="662"/>
      <c r="F87" s="309"/>
      <c r="G87" s="497"/>
      <c r="H87" s="1056"/>
      <c r="I87" s="985"/>
      <c r="J87" s="985"/>
      <c r="K87" s="499"/>
      <c r="L87" s="1016"/>
      <c r="M87" s="499"/>
      <c r="N87" s="458"/>
    </row>
    <row r="88" spans="1:14" s="455" customFormat="1" ht="13.5">
      <c r="A88" s="471"/>
      <c r="B88" s="454"/>
      <c r="C88" s="2591"/>
      <c r="D88" s="314"/>
      <c r="E88" s="662"/>
      <c r="F88" s="309"/>
      <c r="G88" s="497"/>
      <c r="H88" s="1056"/>
      <c r="I88" s="985"/>
      <c r="J88" s="985"/>
      <c r="K88" s="499"/>
      <c r="L88" s="1016"/>
      <c r="M88" s="499"/>
    </row>
    <row r="89" spans="1:14" s="455" customFormat="1" ht="13.5">
      <c r="A89" s="471"/>
      <c r="B89" s="454"/>
      <c r="C89" s="2593"/>
      <c r="D89" s="314"/>
      <c r="E89" s="662"/>
      <c r="F89" s="309"/>
      <c r="G89" s="497"/>
      <c r="H89" s="1056"/>
      <c r="I89" s="985"/>
      <c r="J89" s="985"/>
      <c r="K89" s="499"/>
      <c r="L89" s="1016"/>
      <c r="M89" s="499"/>
      <c r="N89" s="454"/>
    </row>
    <row r="90" spans="1:14" s="455" customFormat="1" ht="13.5">
      <c r="A90" s="471"/>
      <c r="B90" s="454"/>
      <c r="C90" s="2591"/>
      <c r="D90" s="314"/>
      <c r="E90" s="662"/>
      <c r="F90" s="309"/>
      <c r="G90" s="497"/>
      <c r="H90" s="1056"/>
      <c r="I90" s="985"/>
      <c r="J90" s="985"/>
      <c r="K90" s="499"/>
      <c r="L90" s="1016"/>
      <c r="M90" s="499"/>
      <c r="N90" s="458"/>
    </row>
    <row r="91" spans="1:14" s="455" customFormat="1" ht="13.5">
      <c r="A91" s="471"/>
      <c r="B91" s="454"/>
      <c r="C91" s="2592"/>
      <c r="D91" s="314"/>
      <c r="E91" s="662"/>
      <c r="F91" s="309"/>
      <c r="G91" s="497"/>
      <c r="H91" s="1056"/>
      <c r="I91" s="985"/>
      <c r="J91" s="985"/>
      <c r="K91" s="499"/>
      <c r="L91" s="1016"/>
      <c r="M91" s="499"/>
      <c r="N91" s="458"/>
    </row>
    <row r="92" spans="1:14" s="455" customFormat="1" ht="13.5">
      <c r="A92" s="471"/>
      <c r="B92" s="454"/>
      <c r="C92" s="2593"/>
      <c r="D92" s="314"/>
      <c r="E92" s="662"/>
      <c r="F92" s="309"/>
      <c r="G92" s="497"/>
      <c r="H92" s="1056"/>
      <c r="I92" s="985"/>
      <c r="J92" s="985"/>
      <c r="K92" s="499"/>
      <c r="L92" s="1016"/>
      <c r="M92" s="499"/>
      <c r="N92" s="458"/>
    </row>
    <row r="93" spans="1:14" s="455" customFormat="1" ht="13.5">
      <c r="A93" s="471"/>
      <c r="B93" s="454"/>
      <c r="C93" s="314"/>
      <c r="D93" s="314"/>
      <c r="E93" s="662"/>
      <c r="F93" s="309"/>
      <c r="G93" s="497"/>
      <c r="H93" s="985"/>
      <c r="I93" s="985"/>
      <c r="J93" s="985"/>
      <c r="K93" s="499"/>
      <c r="L93" s="1016"/>
      <c r="M93" s="499"/>
      <c r="N93" s="458"/>
    </row>
    <row r="94" spans="1:14" s="455" customFormat="1" ht="13.5">
      <c r="A94" s="471"/>
      <c r="B94" s="454"/>
      <c r="C94" s="314"/>
      <c r="D94" s="314"/>
      <c r="E94" s="662"/>
      <c r="F94" s="309"/>
      <c r="G94" s="497"/>
      <c r="H94" s="985"/>
      <c r="I94" s="985"/>
      <c r="J94" s="985"/>
      <c r="K94" s="499"/>
      <c r="L94" s="1016"/>
      <c r="M94" s="499"/>
      <c r="N94" s="460"/>
    </row>
    <row r="95" spans="1:14" s="455" customFormat="1" ht="13.5">
      <c r="C95" s="314"/>
      <c r="D95" s="314"/>
      <c r="E95" s="662"/>
      <c r="F95" s="662"/>
      <c r="G95" s="309"/>
      <c r="H95" s="497"/>
      <c r="I95" s="1056"/>
      <c r="J95" s="985"/>
      <c r="K95" s="985"/>
      <c r="L95" s="499"/>
      <c r="M95" s="1025"/>
      <c r="N95" s="499"/>
    </row>
    <row r="96" spans="1:14" s="455" customFormat="1" ht="13.5">
      <c r="C96" s="902"/>
      <c r="D96" s="309"/>
      <c r="E96" s="662"/>
      <c r="F96" s="662"/>
      <c r="G96" s="309"/>
      <c r="H96" s="497"/>
      <c r="I96" s="653"/>
      <c r="J96" s="985"/>
      <c r="K96" s="1469"/>
      <c r="L96" s="499"/>
      <c r="M96" s="1025"/>
      <c r="N96" s="499"/>
    </row>
    <row r="97" spans="1:15" s="455" customFormat="1" ht="13.5">
      <c r="A97" s="566"/>
      <c r="B97" s="467"/>
      <c r="C97" s="499"/>
      <c r="D97" s="309"/>
      <c r="E97" s="391"/>
      <c r="F97" s="499"/>
      <c r="G97" s="497"/>
      <c r="H97" s="498"/>
      <c r="I97" s="498"/>
      <c r="J97" s="498"/>
      <c r="K97" s="499"/>
      <c r="L97" s="1470"/>
      <c r="M97" s="309"/>
      <c r="N97" s="499"/>
    </row>
    <row r="98" spans="1:15" s="455" customFormat="1" ht="13.5">
      <c r="A98" s="566"/>
      <c r="B98" s="467"/>
      <c r="C98" s="497"/>
      <c r="D98" s="691"/>
      <c r="E98" s="675"/>
      <c r="F98" s="675"/>
      <c r="G98" s="654"/>
      <c r="H98" s="502"/>
      <c r="I98" s="652"/>
      <c r="J98" s="497"/>
      <c r="K98" s="653"/>
      <c r="L98" s="502"/>
      <c r="M98" s="538"/>
      <c r="N98" s="392"/>
      <c r="O98" s="502"/>
    </row>
    <row r="99" spans="1:15" s="455" customFormat="1" ht="13.5">
      <c r="A99" s="566"/>
      <c r="B99" s="467"/>
      <c r="C99" s="497"/>
      <c r="D99" s="691"/>
      <c r="E99" s="675"/>
      <c r="F99" s="675"/>
      <c r="G99" s="654"/>
      <c r="H99" s="502"/>
      <c r="I99" s="652"/>
      <c r="J99" s="497"/>
      <c r="K99" s="653"/>
      <c r="L99" s="502"/>
      <c r="M99" s="538"/>
      <c r="N99" s="392"/>
      <c r="O99" s="502"/>
    </row>
    <row r="100" spans="1:15" s="455" customFormat="1" ht="13.5">
      <c r="A100" s="566"/>
      <c r="B100" s="467"/>
      <c r="C100" s="497"/>
      <c r="D100" s="691"/>
      <c r="E100" s="675"/>
      <c r="F100" s="675"/>
      <c r="G100" s="654"/>
      <c r="H100" s="502"/>
      <c r="I100" s="652"/>
      <c r="J100" s="497"/>
      <c r="K100" s="653"/>
      <c r="L100" s="502"/>
      <c r="M100" s="538"/>
      <c r="N100" s="392"/>
      <c r="O100" s="502"/>
    </row>
    <row r="101" spans="1:15" s="455" customFormat="1" ht="13.5">
      <c r="A101" s="566"/>
      <c r="B101" s="467"/>
      <c r="C101" s="497"/>
      <c r="D101" s="691"/>
      <c r="E101" s="675"/>
      <c r="F101" s="675"/>
      <c r="G101" s="654"/>
      <c r="H101" s="502"/>
      <c r="I101" s="652"/>
      <c r="J101" s="497"/>
      <c r="K101" s="653"/>
      <c r="L101" s="502"/>
      <c r="M101" s="538"/>
      <c r="N101" s="392"/>
      <c r="O101" s="502"/>
    </row>
    <row r="102" spans="1:15" s="455" customFormat="1" ht="13.5">
      <c r="C102" s="1384"/>
      <c r="D102" s="314"/>
      <c r="E102" s="662"/>
      <c r="F102" s="662"/>
      <c r="G102" s="309"/>
      <c r="H102" s="497"/>
      <c r="I102" s="653"/>
      <c r="J102" s="985"/>
      <c r="K102" s="1469"/>
      <c r="L102" s="499"/>
      <c r="M102" s="1025"/>
      <c r="N102" s="499"/>
    </row>
    <row r="103" spans="1:15" s="455" customFormat="1" ht="13.5">
      <c r="C103" s="1384"/>
      <c r="D103" s="314"/>
      <c r="E103" s="662"/>
      <c r="F103" s="662"/>
      <c r="G103" s="309"/>
      <c r="H103" s="497"/>
      <c r="I103" s="653"/>
      <c r="J103" s="985"/>
      <c r="K103" s="1469"/>
      <c r="L103" s="499"/>
      <c r="M103" s="1025"/>
      <c r="N103" s="499"/>
    </row>
    <row r="104" spans="1:15" s="455" customFormat="1" ht="13.5">
      <c r="A104" s="566"/>
      <c r="B104" s="467"/>
      <c r="C104" s="499"/>
      <c r="D104" s="309"/>
      <c r="E104" s="391"/>
      <c r="F104" s="499"/>
      <c r="G104" s="497"/>
      <c r="H104" s="498"/>
      <c r="I104" s="498"/>
      <c r="J104" s="498"/>
      <c r="K104" s="499"/>
      <c r="L104" s="1470"/>
      <c r="M104" s="309"/>
      <c r="N104" s="499"/>
    </row>
    <row r="105" spans="1:15" s="455" customFormat="1" ht="13.5">
      <c r="A105" s="566"/>
      <c r="B105" s="467"/>
      <c r="C105" s="497"/>
      <c r="D105" s="691"/>
      <c r="E105" s="675"/>
      <c r="F105" s="675"/>
      <c r="G105" s="654"/>
      <c r="H105" s="502"/>
      <c r="I105" s="652"/>
      <c r="J105" s="497"/>
      <c r="K105" s="653"/>
      <c r="L105" s="502"/>
      <c r="M105" s="538"/>
      <c r="N105" s="392"/>
      <c r="O105" s="502"/>
    </row>
    <row r="106" spans="1:15" s="455" customFormat="1" ht="13.5">
      <c r="A106" s="566"/>
      <c r="B106" s="467"/>
      <c r="C106" s="497"/>
      <c r="D106" s="691"/>
      <c r="E106" s="675"/>
      <c r="F106" s="675"/>
      <c r="G106" s="654"/>
      <c r="H106" s="502"/>
      <c r="I106" s="652"/>
      <c r="J106" s="497"/>
      <c r="K106" s="653"/>
      <c r="L106" s="502"/>
      <c r="M106" s="538"/>
      <c r="N106" s="392"/>
      <c r="O106" s="502"/>
    </row>
    <row r="107" spans="1:15" s="455" customFormat="1" ht="13.5">
      <c r="A107" s="566"/>
      <c r="B107" s="467"/>
      <c r="C107" s="497"/>
      <c r="D107" s="691"/>
      <c r="E107" s="675"/>
      <c r="F107" s="675"/>
      <c r="G107" s="654"/>
      <c r="H107" s="502"/>
      <c r="I107" s="652"/>
      <c r="J107" s="497"/>
      <c r="K107" s="653"/>
      <c r="L107" s="502"/>
      <c r="M107" s="538"/>
      <c r="N107" s="392"/>
      <c r="O107" s="502"/>
    </row>
    <row r="108" spans="1:15" s="455" customFormat="1" ht="13.5">
      <c r="A108" s="566"/>
      <c r="B108" s="467"/>
      <c r="C108" s="497"/>
      <c r="D108" s="691"/>
      <c r="E108" s="675"/>
      <c r="F108" s="675"/>
      <c r="G108" s="654"/>
      <c r="H108" s="502"/>
      <c r="I108" s="652"/>
      <c r="J108" s="497"/>
      <c r="K108" s="653"/>
      <c r="L108" s="502"/>
      <c r="M108" s="538"/>
      <c r="N108" s="392"/>
      <c r="O108" s="502"/>
    </row>
    <row r="109" spans="1:15" s="455" customFormat="1" ht="13.5">
      <c r="C109" s="1385"/>
      <c r="D109" s="314"/>
      <c r="E109" s="991"/>
      <c r="F109" s="662"/>
      <c r="G109" s="309"/>
      <c r="H109" s="497"/>
      <c r="I109" s="774"/>
      <c r="J109" s="774"/>
      <c r="K109" s="774"/>
      <c r="L109" s="499"/>
      <c r="M109" s="1028"/>
      <c r="N109" s="499"/>
    </row>
    <row r="110" spans="1:15" s="455" customFormat="1" ht="13.5">
      <c r="C110" s="314"/>
      <c r="D110" s="314"/>
      <c r="E110" s="991"/>
      <c r="F110" s="662"/>
      <c r="G110" s="309"/>
      <c r="H110" s="497"/>
      <c r="I110" s="774"/>
      <c r="J110" s="774"/>
      <c r="K110" s="1471"/>
      <c r="L110" s="499"/>
      <c r="M110" s="1028"/>
      <c r="N110" s="499"/>
    </row>
    <row r="111" spans="1:15" s="455" customFormat="1" ht="13.5">
      <c r="C111" s="1027"/>
      <c r="D111" s="314"/>
      <c r="E111" s="991"/>
      <c r="F111" s="662"/>
      <c r="G111" s="309"/>
      <c r="H111" s="497"/>
      <c r="I111" s="1056"/>
      <c r="J111" s="985"/>
      <c r="K111" s="985"/>
      <c r="L111" s="499"/>
      <c r="M111" s="1028"/>
      <c r="N111" s="499"/>
    </row>
    <row r="112" spans="1:15" s="455" customFormat="1" ht="13.5">
      <c r="C112" s="499"/>
      <c r="D112" s="309"/>
      <c r="E112" s="391"/>
      <c r="F112" s="499"/>
      <c r="G112" s="497"/>
      <c r="H112" s="498"/>
      <c r="I112" s="498"/>
      <c r="J112" s="498"/>
      <c r="K112" s="499"/>
      <c r="L112" s="1472"/>
      <c r="M112" s="309"/>
      <c r="N112" s="499"/>
    </row>
    <row r="113" spans="3:15" s="455" customFormat="1" ht="13.5">
      <c r="C113" s="497"/>
      <c r="D113" s="691"/>
      <c r="E113" s="675"/>
      <c r="F113" s="675"/>
      <c r="G113" s="654"/>
      <c r="H113" s="502"/>
      <c r="I113" s="652"/>
      <c r="J113" s="497"/>
      <c r="K113" s="653"/>
      <c r="L113" s="502"/>
      <c r="M113" s="538"/>
      <c r="N113" s="392"/>
      <c r="O113" s="502"/>
    </row>
    <row r="114" spans="3:15" s="455" customFormat="1" ht="13.5">
      <c r="C114" s="497"/>
      <c r="D114" s="691"/>
      <c r="E114" s="675"/>
      <c r="F114" s="675"/>
      <c r="G114" s="654"/>
      <c r="H114" s="502"/>
      <c r="I114" s="652"/>
      <c r="J114" s="497"/>
      <c r="K114" s="653"/>
      <c r="L114" s="502"/>
      <c r="M114" s="538"/>
      <c r="N114" s="392"/>
      <c r="O114" s="502"/>
    </row>
    <row r="115" spans="3:15" s="455" customFormat="1" ht="13.5">
      <c r="C115" s="497"/>
      <c r="D115" s="691"/>
      <c r="E115" s="675"/>
      <c r="F115" s="675"/>
      <c r="G115" s="654"/>
      <c r="H115" s="502"/>
      <c r="I115" s="652"/>
      <c r="J115" s="497"/>
      <c r="K115" s="653"/>
      <c r="L115" s="502"/>
      <c r="M115" s="538"/>
      <c r="N115" s="392"/>
      <c r="O115" s="502"/>
    </row>
    <row r="116" spans="3:15" s="455" customFormat="1" ht="13.5">
      <c r="C116" s="497"/>
      <c r="D116" s="691"/>
      <c r="E116" s="675"/>
      <c r="F116" s="675"/>
      <c r="G116" s="654"/>
      <c r="H116" s="502"/>
      <c r="I116" s="652"/>
      <c r="J116" s="497"/>
      <c r="K116" s="653"/>
      <c r="L116" s="502"/>
      <c r="M116" s="538"/>
      <c r="N116" s="392"/>
      <c r="O116" s="502"/>
    </row>
    <row r="117" spans="3:15" s="455" customFormat="1" ht="13.5">
      <c r="C117" s="497"/>
      <c r="D117" s="691"/>
      <c r="E117" s="675"/>
      <c r="F117" s="675"/>
      <c r="G117" s="654"/>
      <c r="H117" s="502"/>
      <c r="I117" s="652"/>
      <c r="J117" s="497"/>
      <c r="K117" s="653"/>
      <c r="L117" s="502"/>
      <c r="M117" s="538"/>
      <c r="N117" s="392"/>
      <c r="O117" s="502"/>
    </row>
    <row r="118" spans="3:15" s="455" customFormat="1" ht="13.5">
      <c r="C118" s="497"/>
      <c r="D118" s="691"/>
      <c r="E118" s="675"/>
      <c r="F118" s="675"/>
      <c r="G118" s="654"/>
      <c r="H118" s="502"/>
      <c r="I118" s="652"/>
      <c r="J118" s="497"/>
      <c r="K118" s="653"/>
      <c r="L118" s="502"/>
      <c r="M118" s="538"/>
      <c r="N118" s="392"/>
      <c r="O118" s="502"/>
    </row>
    <row r="119" spans="3:15" s="455" customFormat="1" ht="13.5">
      <c r="C119" s="497"/>
      <c r="D119" s="691"/>
      <c r="E119" s="675"/>
      <c r="F119" s="1473"/>
      <c r="G119" s="654"/>
      <c r="H119" s="502"/>
      <c r="I119" s="652"/>
      <c r="J119" s="497"/>
      <c r="K119" s="653"/>
      <c r="L119" s="502"/>
      <c r="M119" s="538"/>
      <c r="N119" s="392"/>
      <c r="O119" s="502"/>
    </row>
    <row r="120" spans="3:15" s="355" customFormat="1" ht="13.5">
      <c r="C120" s="400"/>
      <c r="D120" s="400"/>
      <c r="E120" s="401"/>
      <c r="F120" s="402"/>
      <c r="G120" s="402"/>
      <c r="H120" s="403"/>
      <c r="I120" s="403"/>
      <c r="J120" s="403"/>
      <c r="K120" s="402"/>
      <c r="L120" s="404"/>
      <c r="M120" s="402"/>
      <c r="N120" s="405"/>
    </row>
    <row r="121" spans="3:15" s="355" customFormat="1" ht="13.5">
      <c r="C121" s="400"/>
      <c r="D121" s="400"/>
      <c r="E121" s="401"/>
      <c r="F121" s="402"/>
      <c r="G121" s="402"/>
      <c r="H121" s="403"/>
      <c r="I121" s="403"/>
      <c r="J121" s="403"/>
      <c r="K121" s="402"/>
      <c r="L121" s="404"/>
      <c r="M121" s="402"/>
      <c r="N121" s="405"/>
    </row>
    <row r="122" spans="3:15" s="355" customFormat="1" ht="13.5">
      <c r="C122" s="400"/>
      <c r="D122" s="400"/>
      <c r="E122" s="401"/>
      <c r="F122" s="402"/>
      <c r="G122" s="402"/>
      <c r="H122" s="403"/>
      <c r="I122" s="403"/>
      <c r="J122" s="403"/>
      <c r="K122" s="402"/>
      <c r="L122" s="404"/>
      <c r="M122" s="402"/>
      <c r="N122" s="405"/>
    </row>
    <row r="123" spans="3:15" s="355" customFormat="1" ht="13.5">
      <c r="C123" s="400"/>
      <c r="D123" s="400"/>
      <c r="E123" s="401"/>
      <c r="F123" s="402"/>
      <c r="G123" s="402"/>
      <c r="H123" s="403"/>
      <c r="I123" s="403"/>
      <c r="J123" s="403"/>
      <c r="K123" s="402"/>
      <c r="L123" s="404"/>
      <c r="M123" s="402"/>
      <c r="N123" s="405"/>
    </row>
    <row r="124" spans="3:15" s="355" customFormat="1" ht="13.5">
      <c r="C124" s="400"/>
      <c r="D124" s="400"/>
      <c r="E124" s="401"/>
      <c r="F124" s="402"/>
      <c r="G124" s="402"/>
      <c r="H124" s="403"/>
      <c r="I124" s="403"/>
      <c r="J124" s="403"/>
      <c r="K124" s="402"/>
      <c r="L124" s="404"/>
      <c r="M124" s="402"/>
      <c r="N124" s="405"/>
    </row>
    <row r="125" spans="3:15" s="355" customFormat="1" ht="13.5">
      <c r="C125" s="400"/>
      <c r="D125" s="400"/>
      <c r="E125" s="401"/>
      <c r="F125" s="402"/>
      <c r="G125" s="402"/>
      <c r="H125" s="403"/>
      <c r="I125" s="403"/>
      <c r="J125" s="403"/>
      <c r="K125" s="402"/>
      <c r="L125" s="404"/>
      <c r="M125" s="402"/>
      <c r="N125" s="405"/>
    </row>
    <row r="126" spans="3:15" s="355" customFormat="1" ht="13.5">
      <c r="C126" s="400"/>
      <c r="D126" s="400"/>
      <c r="E126" s="401"/>
      <c r="F126" s="402"/>
      <c r="G126" s="402"/>
      <c r="H126" s="403"/>
      <c r="I126" s="403"/>
      <c r="J126" s="403"/>
      <c r="K126" s="402"/>
      <c r="L126" s="404"/>
      <c r="M126" s="402"/>
      <c r="N126" s="405"/>
    </row>
    <row r="127" spans="3:15" s="355" customFormat="1" ht="13.5">
      <c r="C127" s="400"/>
      <c r="D127" s="400"/>
      <c r="E127" s="401"/>
      <c r="F127" s="402"/>
      <c r="G127" s="402"/>
      <c r="H127" s="403"/>
      <c r="I127" s="403"/>
      <c r="J127" s="403"/>
      <c r="K127" s="402"/>
      <c r="L127" s="404"/>
      <c r="M127" s="402"/>
      <c r="N127" s="405"/>
    </row>
    <row r="128" spans="3:15" s="355" customFormat="1" ht="13.5">
      <c r="C128" s="400"/>
      <c r="D128" s="400"/>
      <c r="E128" s="401"/>
      <c r="F128" s="402"/>
      <c r="G128" s="402"/>
      <c r="H128" s="403"/>
      <c r="I128" s="403"/>
      <c r="J128" s="403"/>
      <c r="K128" s="402"/>
      <c r="L128" s="404"/>
      <c r="M128" s="402"/>
      <c r="N128" s="405"/>
    </row>
    <row r="129" spans="3:14" s="355" customFormat="1" ht="13.5">
      <c r="C129" s="400"/>
      <c r="D129" s="400"/>
      <c r="E129" s="401"/>
      <c r="F129" s="402"/>
      <c r="G129" s="402"/>
      <c r="H129" s="403"/>
      <c r="I129" s="403"/>
      <c r="J129" s="403"/>
      <c r="K129" s="402"/>
      <c r="L129" s="404"/>
      <c r="M129" s="402"/>
      <c r="N129" s="405"/>
    </row>
    <row r="130" spans="3:14" s="355" customFormat="1" ht="13.5">
      <c r="C130" s="400"/>
      <c r="D130" s="400"/>
      <c r="E130" s="401"/>
      <c r="F130" s="402"/>
      <c r="G130" s="402"/>
      <c r="H130" s="403"/>
      <c r="I130" s="403"/>
      <c r="J130" s="403"/>
      <c r="K130" s="402"/>
      <c r="L130" s="404"/>
      <c r="M130" s="402"/>
      <c r="N130" s="405"/>
    </row>
    <row r="131" spans="3:14" s="355" customFormat="1" ht="13.5">
      <c r="C131" s="400"/>
      <c r="D131" s="400"/>
      <c r="E131" s="401"/>
      <c r="F131" s="402"/>
      <c r="G131" s="402"/>
      <c r="H131" s="403"/>
      <c r="I131" s="403"/>
      <c r="J131" s="403"/>
      <c r="K131" s="402"/>
      <c r="L131" s="404"/>
      <c r="M131" s="402"/>
      <c r="N131" s="405"/>
    </row>
    <row r="132" spans="3:14" s="355" customFormat="1" ht="13.5">
      <c r="C132" s="400"/>
      <c r="D132" s="400"/>
      <c r="E132" s="401"/>
      <c r="F132" s="402"/>
      <c r="G132" s="402"/>
      <c r="H132" s="403"/>
      <c r="I132" s="403"/>
      <c r="J132" s="403"/>
      <c r="K132" s="402"/>
      <c r="L132" s="404"/>
      <c r="M132" s="407"/>
      <c r="N132" s="405"/>
    </row>
    <row r="133" spans="3:14" s="355" customFormat="1" ht="13.5">
      <c r="C133" s="400"/>
      <c r="D133" s="400"/>
      <c r="E133" s="401"/>
      <c r="F133" s="402"/>
      <c r="G133" s="403"/>
      <c r="H133" s="403"/>
      <c r="I133" s="403"/>
      <c r="J133" s="403"/>
      <c r="K133" s="408"/>
      <c r="L133" s="404"/>
      <c r="M133" s="407"/>
      <c r="N133" s="405"/>
    </row>
    <row r="134" spans="3:14" s="355" customFormat="1" ht="13.5">
      <c r="C134" s="352"/>
      <c r="D134" s="352"/>
      <c r="E134" s="352"/>
      <c r="F134" s="352"/>
      <c r="G134" s="352"/>
      <c r="H134" s="352"/>
      <c r="I134" s="352"/>
      <c r="J134" s="352"/>
      <c r="K134" s="352"/>
      <c r="L134" s="1403">
        <f>SUM(L5:L132)</f>
        <v>926000</v>
      </c>
      <c r="M134" s="352"/>
      <c r="N134" s="352"/>
    </row>
    <row r="135" spans="3:14" ht="14.25" customHeight="1">
      <c r="C135" s="31"/>
      <c r="D135" s="27"/>
      <c r="E135" s="20"/>
      <c r="F135" s="28"/>
      <c r="G135" s="28"/>
      <c r="H135" s="26"/>
      <c r="I135" s="26"/>
      <c r="J135" s="26"/>
      <c r="K135" s="28"/>
      <c r="L135" s="179"/>
      <c r="M135" s="28"/>
      <c r="N135" s="27"/>
    </row>
    <row r="136" spans="3:14" s="1" customFormat="1" ht="14.25" customHeight="1">
      <c r="C136" s="31"/>
      <c r="D136" s="27"/>
      <c r="E136" s="21"/>
      <c r="F136" s="28"/>
      <c r="G136" s="28"/>
      <c r="H136" s="26"/>
      <c r="I136" s="26"/>
      <c r="J136" s="26"/>
      <c r="K136" s="28"/>
      <c r="L136" s="179"/>
      <c r="M136" s="28"/>
      <c r="N136" s="27"/>
    </row>
    <row r="137" spans="3:14" s="1" customFormat="1" ht="14.25" customHeight="1">
      <c r="C137" s="30"/>
      <c r="D137" s="25"/>
      <c r="E137" s="21"/>
      <c r="F137" s="22"/>
      <c r="G137" s="22"/>
      <c r="H137" s="23"/>
      <c r="I137" s="23"/>
      <c r="J137" s="23"/>
      <c r="K137" s="22"/>
      <c r="L137" s="180"/>
      <c r="M137" s="22"/>
      <c r="N137" s="25"/>
    </row>
  </sheetData>
  <mergeCells count="15">
    <mergeCell ref="C2:G2"/>
    <mergeCell ref="H2:J2"/>
    <mergeCell ref="K2:L2"/>
    <mergeCell ref="M2:M3"/>
    <mergeCell ref="N2:N3"/>
    <mergeCell ref="C88:C89"/>
    <mergeCell ref="C90:C92"/>
    <mergeCell ref="O7:O9"/>
    <mergeCell ref="C51:C52"/>
    <mergeCell ref="C53:C54"/>
    <mergeCell ref="C56:C57"/>
    <mergeCell ref="C58:C59"/>
    <mergeCell ref="C60:C61"/>
    <mergeCell ref="C15:C21"/>
    <mergeCell ref="D23:D24"/>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23992-A110-4B07-9702-826B26F8A912}">
  <sheetPr>
    <tabColor rgb="FF00B0F0"/>
  </sheetPr>
  <dimension ref="A1:P130"/>
  <sheetViews>
    <sheetView topLeftCell="B1" zoomScale="70" zoomScaleNormal="70" workbookViewId="0">
      <pane ySplit="4" topLeftCell="A48" activePane="bottomLeft" state="frozen"/>
      <selection pane="bottomLeft" activeCell="B55" sqref="B55:B61"/>
    </sheetView>
  </sheetViews>
  <sheetFormatPr defaultRowHeight="16.5"/>
  <cols>
    <col min="1" max="1" width="21.7109375" style="299" customWidth="1"/>
    <col min="2" max="2" width="19.28515625" style="299" customWidth="1"/>
    <col min="3" max="3" width="21.42578125" style="299" customWidth="1"/>
    <col min="4" max="4" width="49.7109375" style="299" bestFit="1" customWidth="1"/>
    <col min="5" max="5" width="26" style="299" customWidth="1"/>
    <col min="6" max="6" width="16.7109375" style="299" customWidth="1"/>
    <col min="7" max="7" width="11.7109375" style="299" customWidth="1"/>
    <col min="8" max="8" width="13.7109375" style="299" customWidth="1"/>
    <col min="9" max="9" width="9.140625" style="299"/>
    <col min="10" max="10" width="12.5703125" style="299" customWidth="1"/>
    <col min="11" max="11" width="28.7109375" style="299" customWidth="1"/>
    <col min="12" max="12" width="20.5703125" style="2256" customWidth="1"/>
    <col min="13" max="13" width="16.28515625" style="299" customWidth="1"/>
    <col min="14" max="14" width="12.85546875" style="299" customWidth="1"/>
    <col min="15" max="16" width="9.140625" style="299"/>
    <col min="17" max="17" width="73.7109375" style="299" bestFit="1" customWidth="1"/>
    <col min="18" max="16384" width="9.140625" style="299"/>
  </cols>
  <sheetData>
    <row r="1" spans="1:15" s="355" customFormat="1" ht="13.5">
      <c r="L1" s="32"/>
    </row>
    <row r="2" spans="1:15" s="355" customFormat="1" ht="13.5">
      <c r="C2" s="2601" t="s">
        <v>30</v>
      </c>
      <c r="D2" s="2602"/>
      <c r="E2" s="2602"/>
      <c r="F2" s="2602"/>
      <c r="G2" s="2603"/>
      <c r="H2" s="2604" t="s">
        <v>29</v>
      </c>
      <c r="I2" s="2605"/>
      <c r="J2" s="2606"/>
      <c r="K2" s="2601" t="s">
        <v>28</v>
      </c>
      <c r="L2" s="2603"/>
      <c r="M2" s="2594" t="s">
        <v>27</v>
      </c>
      <c r="N2" s="2594" t="s">
        <v>26</v>
      </c>
    </row>
    <row r="3" spans="1:15" s="355" customFormat="1" ht="94.5">
      <c r="C3" s="618" t="s">
        <v>25</v>
      </c>
      <c r="D3" s="852" t="s">
        <v>24</v>
      </c>
      <c r="E3" s="991" t="s">
        <v>23</v>
      </c>
      <c r="F3" s="618" t="s">
        <v>22</v>
      </c>
      <c r="G3" s="532" t="s">
        <v>1303</v>
      </c>
      <c r="H3" s="532" t="s">
        <v>20</v>
      </c>
      <c r="I3" s="532" t="s">
        <v>19</v>
      </c>
      <c r="J3" s="532" t="s">
        <v>18</v>
      </c>
      <c r="K3" s="618" t="s">
        <v>17</v>
      </c>
      <c r="L3" s="605" t="s">
        <v>16</v>
      </c>
      <c r="M3" s="2594"/>
      <c r="N3" s="2594"/>
    </row>
    <row r="4" spans="1:15" s="355" customFormat="1" ht="27">
      <c r="C4" s="1076" t="s">
        <v>15</v>
      </c>
      <c r="D4" s="1076" t="s">
        <v>14</v>
      </c>
      <c r="E4" s="1076" t="s">
        <v>13</v>
      </c>
      <c r="F4" s="1076" t="s">
        <v>12</v>
      </c>
      <c r="G4" s="1076" t="s">
        <v>11</v>
      </c>
      <c r="H4" s="1076" t="s">
        <v>10</v>
      </c>
      <c r="I4" s="1076" t="s">
        <v>9</v>
      </c>
      <c r="J4" s="1076" t="s">
        <v>8</v>
      </c>
      <c r="K4" s="1076" t="s">
        <v>7</v>
      </c>
      <c r="L4" s="1077" t="s">
        <v>6</v>
      </c>
      <c r="M4" s="1076" t="s">
        <v>5</v>
      </c>
      <c r="N4" s="1076" t="s">
        <v>4</v>
      </c>
    </row>
    <row r="5" spans="1:15" s="455" customFormat="1" ht="25.5" customHeight="1">
      <c r="A5" s="2468"/>
      <c r="B5" s="2469" t="s">
        <v>1561</v>
      </c>
      <c r="C5" s="2775" t="s">
        <v>1562</v>
      </c>
      <c r="D5" s="2470" t="s">
        <v>2</v>
      </c>
      <c r="E5" s="2775" t="s">
        <v>1564</v>
      </c>
      <c r="F5" s="2777" t="s">
        <v>674</v>
      </c>
      <c r="G5" s="1313"/>
      <c r="H5" s="2471" t="s">
        <v>652</v>
      </c>
      <c r="I5" s="2779" t="s">
        <v>653</v>
      </c>
      <c r="J5" s="2472" t="s">
        <v>1558</v>
      </c>
      <c r="K5" s="2473" t="s">
        <v>748</v>
      </c>
      <c r="L5" s="2549">
        <v>10000</v>
      </c>
      <c r="M5" s="2474"/>
      <c r="N5" s="2474"/>
    </row>
    <row r="6" spans="1:15" s="455" customFormat="1">
      <c r="A6" s="2468"/>
      <c r="B6" s="2469" t="s">
        <v>1561</v>
      </c>
      <c r="C6" s="2776"/>
      <c r="D6" s="2475" t="s">
        <v>1563</v>
      </c>
      <c r="E6" s="2776"/>
      <c r="F6" s="2778"/>
      <c r="G6" s="1313"/>
      <c r="H6" s="2476"/>
      <c r="I6" s="2780"/>
      <c r="J6" s="2477"/>
      <c r="K6" s="2478"/>
      <c r="L6" s="2550"/>
      <c r="M6" s="2479"/>
      <c r="N6" s="2479"/>
    </row>
    <row r="7" spans="1:15" s="455" customFormat="1">
      <c r="A7" s="2468"/>
      <c r="B7" s="2480"/>
      <c r="C7" s="2481"/>
      <c r="D7" s="2481"/>
      <c r="E7" s="2481"/>
      <c r="F7" s="2482"/>
      <c r="G7" s="2316"/>
      <c r="H7" s="2483"/>
      <c r="I7" s="2483"/>
      <c r="J7" s="2483"/>
      <c r="K7" s="2482"/>
      <c r="L7" s="2484"/>
      <c r="M7" s="2485"/>
      <c r="N7" s="2399"/>
      <c r="O7" s="2676"/>
    </row>
    <row r="8" spans="1:15" s="455" customFormat="1">
      <c r="A8" s="2468"/>
      <c r="B8" s="2480"/>
      <c r="C8" s="2481"/>
      <c r="D8" s="2481"/>
      <c r="E8" s="2481"/>
      <c r="F8" s="2482"/>
      <c r="G8" s="2316"/>
      <c r="H8" s="2483"/>
      <c r="I8" s="2483"/>
      <c r="J8" s="2483"/>
      <c r="K8" s="2482"/>
      <c r="L8" s="2484"/>
      <c r="M8" s="2485"/>
      <c r="N8" s="2399"/>
      <c r="O8" s="2677"/>
    </row>
    <row r="9" spans="1:15" s="455" customFormat="1">
      <c r="A9" s="2468"/>
      <c r="B9" s="2480" t="s">
        <v>589</v>
      </c>
      <c r="C9" s="2551" t="s">
        <v>1580</v>
      </c>
      <c r="D9" s="2486"/>
      <c r="E9" s="2487"/>
      <c r="F9" s="2488" t="s">
        <v>1581</v>
      </c>
      <c r="G9" s="2489"/>
      <c r="H9" s="2490"/>
      <c r="I9" s="2490"/>
      <c r="J9" s="2486"/>
      <c r="K9" s="2486"/>
      <c r="L9" s="2491"/>
      <c r="M9" s="2492"/>
      <c r="N9" s="2486"/>
      <c r="O9" s="2678"/>
    </row>
    <row r="10" spans="1:15" s="455" customFormat="1">
      <c r="A10" s="2468"/>
      <c r="B10" s="2480" t="s">
        <v>589</v>
      </c>
      <c r="C10" s="2493" t="s">
        <v>1582</v>
      </c>
      <c r="D10" s="2488" t="s">
        <v>2</v>
      </c>
      <c r="E10" s="2494" t="s">
        <v>1583</v>
      </c>
      <c r="F10" s="2488" t="s">
        <v>612</v>
      </c>
      <c r="G10" s="2495" t="s">
        <v>1</v>
      </c>
      <c r="H10" s="2496" t="s">
        <v>675</v>
      </c>
      <c r="I10" s="2496" t="s">
        <v>972</v>
      </c>
      <c r="J10" s="2497" t="s">
        <v>577</v>
      </c>
      <c r="K10" s="2488" t="s">
        <v>1584</v>
      </c>
      <c r="L10" s="2498">
        <v>100000</v>
      </c>
      <c r="M10" s="2493" t="s">
        <v>579</v>
      </c>
      <c r="N10" s="2493" t="s">
        <v>580</v>
      </c>
      <c r="O10" s="625"/>
    </row>
    <row r="11" spans="1:15" s="455" customFormat="1">
      <c r="A11" s="2468"/>
      <c r="B11" s="2480" t="s">
        <v>589</v>
      </c>
      <c r="C11" s="2493" t="s">
        <v>1585</v>
      </c>
      <c r="D11" s="2488"/>
      <c r="E11" s="2494" t="s">
        <v>1586</v>
      </c>
      <c r="F11" s="2488"/>
      <c r="G11" s="2495"/>
      <c r="H11" s="2496"/>
      <c r="I11" s="2496"/>
      <c r="J11" s="2493"/>
      <c r="K11" s="2499" t="s">
        <v>1587</v>
      </c>
      <c r="L11" s="2498"/>
      <c r="M11" s="2488" t="s">
        <v>602</v>
      </c>
      <c r="N11" s="2493" t="s">
        <v>585</v>
      </c>
    </row>
    <row r="12" spans="1:15" s="455" customFormat="1">
      <c r="A12" s="2468"/>
      <c r="B12" s="2480"/>
      <c r="C12" s="2500"/>
      <c r="D12" s="2501"/>
      <c r="E12" s="2501"/>
      <c r="F12" s="2501"/>
      <c r="G12" s="2502"/>
      <c r="H12" s="2503"/>
      <c r="I12" s="2503"/>
      <c r="J12" s="2503"/>
      <c r="K12" s="2504"/>
      <c r="L12" s="2505"/>
      <c r="M12" s="2504"/>
      <c r="N12" s="2506"/>
    </row>
    <row r="13" spans="1:15" s="455" customFormat="1">
      <c r="A13" s="2468"/>
      <c r="B13" s="2480"/>
      <c r="C13" s="2500"/>
      <c r="D13" s="2501"/>
      <c r="E13" s="2501"/>
      <c r="F13" s="2501"/>
      <c r="G13" s="2502"/>
      <c r="H13" s="2503"/>
      <c r="I13" s="2503"/>
      <c r="J13" s="2503"/>
      <c r="K13" s="2504"/>
      <c r="L13" s="2505"/>
      <c r="M13" s="2504"/>
      <c r="N13" s="2506"/>
    </row>
    <row r="14" spans="1:15" s="455" customFormat="1" ht="33">
      <c r="A14" s="2468"/>
      <c r="B14" s="2480" t="s">
        <v>2574</v>
      </c>
      <c r="C14" s="2507"/>
      <c r="D14" s="2507" t="s">
        <v>2</v>
      </c>
      <c r="E14" s="2270"/>
      <c r="F14" s="2508" t="s">
        <v>422</v>
      </c>
      <c r="G14" s="2509" t="s">
        <v>1</v>
      </c>
      <c r="H14" s="2509">
        <v>46054</v>
      </c>
      <c r="I14" s="2510">
        <v>46082</v>
      </c>
      <c r="J14" s="2510">
        <v>46082</v>
      </c>
      <c r="K14" s="2511" t="s">
        <v>2216</v>
      </c>
      <c r="L14" s="2552"/>
      <c r="M14" s="2512" t="s">
        <v>2446</v>
      </c>
      <c r="N14" s="2513"/>
    </row>
    <row r="15" spans="1:15" s="455" customFormat="1">
      <c r="A15" s="2468"/>
      <c r="B15" s="2480" t="s">
        <v>2574</v>
      </c>
      <c r="C15" s="2781" t="s">
        <v>4003</v>
      </c>
      <c r="D15" s="2514" t="s">
        <v>2831</v>
      </c>
      <c r="E15" s="2515">
        <v>2000</v>
      </c>
      <c r="F15" s="2516" t="s">
        <v>2832</v>
      </c>
      <c r="G15" s="2517"/>
      <c r="H15" s="2312"/>
      <c r="I15" s="2312"/>
      <c r="J15" s="2312"/>
      <c r="K15" s="2312"/>
      <c r="L15" s="2518">
        <v>110000</v>
      </c>
      <c r="M15" s="1313"/>
      <c r="N15" s="2519"/>
      <c r="O15" s="405"/>
    </row>
    <row r="16" spans="1:15" s="455" customFormat="1">
      <c r="A16" s="2468"/>
      <c r="B16" s="2480" t="s">
        <v>2574</v>
      </c>
      <c r="C16" s="2782"/>
      <c r="D16" s="2514" t="s">
        <v>2833</v>
      </c>
      <c r="E16" s="2515">
        <v>1658</v>
      </c>
      <c r="F16" s="2516" t="s">
        <v>2754</v>
      </c>
      <c r="G16" s="2517"/>
      <c r="H16" s="2520"/>
      <c r="I16" s="2520"/>
      <c r="J16" s="2520"/>
      <c r="K16" s="2521"/>
      <c r="L16" s="2518">
        <v>94500</v>
      </c>
      <c r="M16" s="1313"/>
      <c r="N16" s="2519"/>
      <c r="O16" s="405"/>
    </row>
    <row r="17" spans="1:15" s="455" customFormat="1">
      <c r="A17" s="2468"/>
      <c r="B17" s="2480" t="s">
        <v>2574</v>
      </c>
      <c r="C17" s="2782"/>
      <c r="D17" s="2514" t="s">
        <v>2834</v>
      </c>
      <c r="E17" s="2522">
        <v>20</v>
      </c>
      <c r="F17" s="2523" t="s">
        <v>2832</v>
      </c>
      <c r="G17" s="2517"/>
      <c r="H17" s="2520"/>
      <c r="I17" s="2520"/>
      <c r="J17" s="2520"/>
      <c r="K17" s="2521"/>
      <c r="L17" s="2518">
        <v>4000</v>
      </c>
      <c r="M17" s="1313"/>
      <c r="N17" s="2519"/>
      <c r="O17" s="405"/>
    </row>
    <row r="18" spans="1:15" s="455" customFormat="1">
      <c r="A18" s="2468"/>
      <c r="B18" s="2480" t="s">
        <v>2574</v>
      </c>
      <c r="C18" s="2782"/>
      <c r="D18" s="2514" t="s">
        <v>2835</v>
      </c>
      <c r="E18" s="2522">
        <v>20</v>
      </c>
      <c r="F18" s="2523" t="s">
        <v>2832</v>
      </c>
      <c r="G18" s="2517"/>
      <c r="H18" s="2520"/>
      <c r="I18" s="2520"/>
      <c r="J18" s="2520"/>
      <c r="K18" s="2521"/>
      <c r="L18" s="2518">
        <v>4000</v>
      </c>
      <c r="M18" s="1313"/>
      <c r="N18" s="2519"/>
      <c r="O18" s="405"/>
    </row>
    <row r="19" spans="1:15" s="455" customFormat="1">
      <c r="A19" s="2468"/>
      <c r="B19" s="2480" t="s">
        <v>2574</v>
      </c>
      <c r="C19" s="2782"/>
      <c r="D19" s="2524" t="s">
        <v>2836</v>
      </c>
      <c r="E19" s="2522"/>
      <c r="F19" s="2525"/>
      <c r="G19" s="2517"/>
      <c r="H19" s="2520"/>
      <c r="I19" s="2520"/>
      <c r="J19" s="2520"/>
      <c r="K19" s="2521"/>
      <c r="L19" s="2520"/>
      <c r="M19" s="2526"/>
      <c r="N19" s="2519"/>
      <c r="O19" s="405"/>
    </row>
    <row r="20" spans="1:15" s="455" customFormat="1">
      <c r="A20" s="2468"/>
      <c r="B20" s="2480" t="s">
        <v>2574</v>
      </c>
      <c r="C20" s="2783"/>
      <c r="D20" s="2528"/>
      <c r="E20" s="2524"/>
      <c r="F20" s="2525"/>
      <c r="G20" s="2517"/>
      <c r="H20" s="2520"/>
      <c r="I20" s="2520"/>
      <c r="J20" s="2520"/>
      <c r="K20" s="2521"/>
      <c r="L20" s="2520"/>
      <c r="M20" s="2526"/>
      <c r="N20" s="2519"/>
      <c r="O20" s="405"/>
    </row>
    <row r="21" spans="1:15" s="455" customFormat="1">
      <c r="A21" s="2468"/>
      <c r="B21" s="2480"/>
      <c r="C21" s="2500"/>
      <c r="D21" s="2501"/>
      <c r="E21" s="2501"/>
      <c r="F21" s="2501"/>
      <c r="G21" s="2502"/>
      <c r="H21" s="2503"/>
      <c r="I21" s="2503"/>
      <c r="J21" s="2503"/>
      <c r="K21" s="2504"/>
      <c r="L21" s="2505"/>
      <c r="M21" s="2504"/>
      <c r="N21" s="2506"/>
    </row>
    <row r="22" spans="1:15" s="455" customFormat="1">
      <c r="A22" s="2468"/>
      <c r="B22" s="2480"/>
      <c r="C22" s="2500"/>
      <c r="D22" s="2501"/>
      <c r="E22" s="2501"/>
      <c r="F22" s="2501"/>
      <c r="G22" s="2502"/>
      <c r="H22" s="2503"/>
      <c r="I22" s="2503"/>
      <c r="J22" s="2503"/>
      <c r="K22" s="2504"/>
      <c r="L22" s="2505"/>
      <c r="M22" s="2504"/>
      <c r="N22" s="2506"/>
    </row>
    <row r="23" spans="1:15" s="455" customFormat="1" ht="33">
      <c r="A23" s="2468"/>
      <c r="B23" s="2480" t="s">
        <v>2574</v>
      </c>
      <c r="C23" s="2529"/>
      <c r="D23" s="2507" t="s">
        <v>2</v>
      </c>
      <c r="E23" s="2270"/>
      <c r="F23" s="2508" t="s">
        <v>422</v>
      </c>
      <c r="G23" s="2509" t="s">
        <v>1</v>
      </c>
      <c r="H23" s="2509">
        <v>46113</v>
      </c>
      <c r="I23" s="2510">
        <v>46143</v>
      </c>
      <c r="J23" s="2510">
        <v>46143</v>
      </c>
      <c r="K23" s="2511" t="s">
        <v>2216</v>
      </c>
      <c r="L23" s="2552"/>
      <c r="M23" s="2512" t="s">
        <v>2446</v>
      </c>
      <c r="N23" s="2513"/>
    </row>
    <row r="24" spans="1:15" s="455" customFormat="1">
      <c r="A24" s="2468"/>
      <c r="B24" s="2480" t="s">
        <v>2574</v>
      </c>
      <c r="C24" s="2781" t="s">
        <v>4003</v>
      </c>
      <c r="D24" s="2514" t="s">
        <v>2831</v>
      </c>
      <c r="E24" s="2530">
        <v>1781.82</v>
      </c>
      <c r="F24" s="2516" t="s">
        <v>2832</v>
      </c>
      <c r="G24" s="2517"/>
      <c r="H24" s="2312"/>
      <c r="I24" s="2312"/>
      <c r="J24" s="2312"/>
      <c r="K24" s="2312"/>
      <c r="L24" s="2518">
        <v>98000</v>
      </c>
      <c r="M24" s="1313"/>
      <c r="N24" s="2519"/>
      <c r="O24" s="405"/>
    </row>
    <row r="25" spans="1:15" s="455" customFormat="1">
      <c r="A25" s="2468"/>
      <c r="B25" s="2480" t="s">
        <v>2574</v>
      </c>
      <c r="C25" s="2782"/>
      <c r="D25" s="2514" t="s">
        <v>2833</v>
      </c>
      <c r="E25" s="2515">
        <v>1921.05</v>
      </c>
      <c r="F25" s="2516" t="s">
        <v>2754</v>
      </c>
      <c r="G25" s="2517"/>
      <c r="H25" s="2520"/>
      <c r="I25" s="2520"/>
      <c r="J25" s="2520"/>
      <c r="K25" s="2521"/>
      <c r="L25" s="2518">
        <v>109500</v>
      </c>
      <c r="M25" s="1313"/>
      <c r="N25" s="2519"/>
      <c r="O25" s="405"/>
    </row>
    <row r="26" spans="1:15" s="455" customFormat="1">
      <c r="A26" s="2468"/>
      <c r="B26" s="2480" t="s">
        <v>2574</v>
      </c>
      <c r="C26" s="2782"/>
      <c r="D26" s="2514" t="s">
        <v>2834</v>
      </c>
      <c r="E26" s="2522">
        <v>20</v>
      </c>
      <c r="F26" s="2523" t="s">
        <v>2832</v>
      </c>
      <c r="G26" s="2517"/>
      <c r="H26" s="2520"/>
      <c r="I26" s="2520"/>
      <c r="J26" s="2520"/>
      <c r="K26" s="2521"/>
      <c r="L26" s="2518">
        <v>3500</v>
      </c>
      <c r="M26" s="1313"/>
      <c r="N26" s="2519"/>
      <c r="O26" s="405"/>
    </row>
    <row r="27" spans="1:15" s="455" customFormat="1">
      <c r="A27" s="2468"/>
      <c r="B27" s="2480" t="s">
        <v>2574</v>
      </c>
      <c r="C27" s="2782"/>
      <c r="D27" s="2514" t="s">
        <v>2835</v>
      </c>
      <c r="E27" s="2522">
        <v>20</v>
      </c>
      <c r="F27" s="2523" t="s">
        <v>2832</v>
      </c>
      <c r="G27" s="2517"/>
      <c r="H27" s="2520"/>
      <c r="I27" s="2520"/>
      <c r="J27" s="2520"/>
      <c r="K27" s="2521"/>
      <c r="L27" s="2518">
        <v>1500</v>
      </c>
      <c r="M27" s="1313"/>
      <c r="N27" s="2519"/>
      <c r="O27" s="405"/>
    </row>
    <row r="28" spans="1:15" s="455" customFormat="1">
      <c r="A28" s="2468"/>
      <c r="B28" s="2480"/>
      <c r="C28" s="2782"/>
      <c r="D28" s="2524"/>
      <c r="E28" s="2522"/>
      <c r="F28" s="2525"/>
      <c r="G28" s="2517"/>
      <c r="H28" s="2520"/>
      <c r="I28" s="2520"/>
      <c r="J28" s="2520"/>
      <c r="K28" s="2521"/>
      <c r="L28" s="2520"/>
      <c r="M28" s="2526"/>
      <c r="N28" s="2519"/>
      <c r="O28" s="405"/>
    </row>
    <row r="29" spans="1:15" s="455" customFormat="1">
      <c r="A29" s="2468"/>
      <c r="B29" s="2480"/>
      <c r="C29" s="2783"/>
      <c r="D29" s="2531"/>
      <c r="E29" s="2524"/>
      <c r="F29" s="2525"/>
      <c r="G29" s="2517"/>
      <c r="H29" s="2520"/>
      <c r="I29" s="2520"/>
      <c r="J29" s="2520"/>
      <c r="K29" s="2521"/>
      <c r="L29" s="2520"/>
      <c r="M29" s="2526"/>
      <c r="N29" s="2519"/>
      <c r="O29" s="405"/>
    </row>
    <row r="30" spans="1:15" s="455" customFormat="1">
      <c r="A30" s="2468"/>
      <c r="B30" s="2480"/>
      <c r="C30" s="2527"/>
      <c r="D30" s="2531"/>
      <c r="E30" s="2524"/>
      <c r="F30" s="2525"/>
      <c r="G30" s="2517"/>
      <c r="H30" s="2520"/>
      <c r="I30" s="2520"/>
      <c r="J30" s="2520"/>
      <c r="K30" s="2521"/>
      <c r="L30" s="2520"/>
      <c r="M30" s="2526"/>
      <c r="N30" s="2532"/>
      <c r="O30" s="2460"/>
    </row>
    <row r="31" spans="1:15" s="455" customFormat="1" ht="66">
      <c r="A31" s="2468"/>
      <c r="B31" s="2480" t="s">
        <v>2929</v>
      </c>
      <c r="C31" s="2467" t="s">
        <v>2973</v>
      </c>
      <c r="D31" s="2465" t="s">
        <v>637</v>
      </c>
      <c r="E31" s="2533"/>
      <c r="F31" s="2534"/>
      <c r="G31" s="2463"/>
      <c r="H31" s="2463" t="s">
        <v>1</v>
      </c>
      <c r="I31" s="2465"/>
      <c r="J31" s="2465"/>
      <c r="K31" s="2466" t="s">
        <v>748</v>
      </c>
      <c r="L31" s="1313"/>
      <c r="M31" s="2465" t="s">
        <v>2924</v>
      </c>
      <c r="N31" s="2466" t="s">
        <v>703</v>
      </c>
    </row>
    <row r="32" spans="1:15" s="455" customFormat="1">
      <c r="A32" s="2468"/>
      <c r="B32" s="2480" t="s">
        <v>2929</v>
      </c>
      <c r="C32" s="2467"/>
      <c r="D32" s="2535" t="s">
        <v>1089</v>
      </c>
      <c r="E32" s="2536">
        <v>3650</v>
      </c>
      <c r="F32" s="2536" t="s">
        <v>3522</v>
      </c>
      <c r="G32" s="2463" t="s">
        <v>3529</v>
      </c>
      <c r="H32" s="2463"/>
      <c r="I32" s="2517" t="s">
        <v>2213</v>
      </c>
      <c r="J32" s="2537">
        <v>46174</v>
      </c>
      <c r="K32" s="2538" t="s">
        <v>2215</v>
      </c>
      <c r="L32" s="2204">
        <v>259150</v>
      </c>
      <c r="M32" s="2464"/>
      <c r="N32" s="2465"/>
      <c r="O32" s="2466"/>
    </row>
    <row r="33" spans="1:15" s="455" customFormat="1">
      <c r="A33" s="2468"/>
      <c r="B33" s="2480" t="s">
        <v>2929</v>
      </c>
      <c r="C33" s="2467"/>
      <c r="D33" s="2535" t="s">
        <v>3523</v>
      </c>
      <c r="E33" s="2536">
        <v>110</v>
      </c>
      <c r="F33" s="2536" t="s">
        <v>3522</v>
      </c>
      <c r="G33" s="2463" t="s">
        <v>1764</v>
      </c>
      <c r="H33" s="2463"/>
      <c r="I33" s="2517"/>
      <c r="J33" s="2517"/>
      <c r="K33" s="2539" t="s">
        <v>2927</v>
      </c>
      <c r="L33" s="2204">
        <v>8244</v>
      </c>
      <c r="M33" s="2464"/>
      <c r="N33" s="2465"/>
      <c r="O33" s="2466"/>
    </row>
    <row r="34" spans="1:15" s="455" customFormat="1">
      <c r="A34" s="2468"/>
      <c r="B34" s="2480" t="s">
        <v>2929</v>
      </c>
      <c r="C34" s="2467"/>
      <c r="D34" s="2535" t="s">
        <v>3524</v>
      </c>
      <c r="E34" s="2536">
        <v>120</v>
      </c>
      <c r="F34" s="2536" t="s">
        <v>3522</v>
      </c>
      <c r="G34" s="2463" t="s">
        <v>1764</v>
      </c>
      <c r="H34" s="2463"/>
      <c r="I34" s="2517"/>
      <c r="J34" s="2517"/>
      <c r="K34" s="2538"/>
      <c r="L34" s="2204">
        <v>18000</v>
      </c>
      <c r="M34" s="2464"/>
      <c r="N34" s="2465"/>
      <c r="O34" s="2466"/>
    </row>
    <row r="35" spans="1:15" s="455" customFormat="1">
      <c r="A35" s="2468"/>
      <c r="B35" s="2480" t="s">
        <v>2929</v>
      </c>
      <c r="C35" s="2467"/>
      <c r="D35" s="2535" t="s">
        <v>3525</v>
      </c>
      <c r="E35" s="2536">
        <v>49</v>
      </c>
      <c r="F35" s="2536" t="s">
        <v>2768</v>
      </c>
      <c r="G35" s="2463" t="s">
        <v>1764</v>
      </c>
      <c r="H35" s="2463"/>
      <c r="I35" s="2517"/>
      <c r="J35" s="2517"/>
      <c r="K35" s="2538"/>
      <c r="L35" s="2204">
        <v>17101</v>
      </c>
      <c r="M35" s="2464"/>
      <c r="N35" s="2465"/>
      <c r="O35" s="2466"/>
    </row>
    <row r="36" spans="1:15" s="455" customFormat="1">
      <c r="A36" s="2468"/>
      <c r="B36" s="2480" t="s">
        <v>2929</v>
      </c>
      <c r="C36" s="2467"/>
      <c r="D36" s="2535" t="s">
        <v>3526</v>
      </c>
      <c r="E36" s="2536">
        <v>40</v>
      </c>
      <c r="F36" s="2536" t="s">
        <v>2768</v>
      </c>
      <c r="G36" s="2463" t="s">
        <v>1764</v>
      </c>
      <c r="H36" s="2463"/>
      <c r="I36" s="2517"/>
      <c r="J36" s="2517"/>
      <c r="K36" s="2538"/>
      <c r="L36" s="2204">
        <v>24000</v>
      </c>
      <c r="M36" s="2464"/>
      <c r="N36" s="2465"/>
      <c r="O36" s="2466"/>
    </row>
    <row r="37" spans="1:15" s="455" customFormat="1">
      <c r="A37" s="2468"/>
      <c r="B37" s="2480" t="s">
        <v>2929</v>
      </c>
      <c r="C37" s="2467"/>
      <c r="D37" s="2535" t="s">
        <v>3527</v>
      </c>
      <c r="E37" s="2536">
        <v>58</v>
      </c>
      <c r="F37" s="2536" t="s">
        <v>3522</v>
      </c>
      <c r="G37" s="2463" t="s">
        <v>1764</v>
      </c>
      <c r="H37" s="2463"/>
      <c r="I37" s="2517"/>
      <c r="J37" s="2517"/>
      <c r="K37" s="2538"/>
      <c r="L37" s="2204">
        <v>17400</v>
      </c>
      <c r="M37" s="2464"/>
      <c r="N37" s="2465"/>
      <c r="O37" s="2466"/>
    </row>
    <row r="38" spans="1:15" s="455" customFormat="1">
      <c r="A38" s="2468"/>
      <c r="B38" s="2480" t="s">
        <v>2929</v>
      </c>
      <c r="C38" s="2467"/>
      <c r="D38" s="2535" t="s">
        <v>3528</v>
      </c>
      <c r="E38" s="2536">
        <v>60</v>
      </c>
      <c r="F38" s="2536" t="s">
        <v>3373</v>
      </c>
      <c r="G38" s="2463" t="s">
        <v>1764</v>
      </c>
      <c r="H38" s="2463"/>
      <c r="I38" s="2517"/>
      <c r="J38" s="2517"/>
      <c r="K38" s="2538"/>
      <c r="L38" s="2204">
        <v>27300</v>
      </c>
      <c r="M38" s="2464"/>
      <c r="N38" s="2465"/>
      <c r="O38" s="2466"/>
    </row>
    <row r="39" spans="1:15" s="455" customFormat="1">
      <c r="A39" s="2468"/>
      <c r="B39" s="2480"/>
      <c r="C39" s="2527"/>
      <c r="D39" s="2531"/>
      <c r="E39" s="2524"/>
      <c r="F39" s="2525"/>
      <c r="G39" s="2517"/>
      <c r="H39" s="2520"/>
      <c r="I39" s="2520"/>
      <c r="J39" s="2520"/>
      <c r="K39" s="2521"/>
      <c r="L39" s="2540"/>
      <c r="M39" s="2526"/>
      <c r="N39" s="2532"/>
      <c r="O39" s="2460"/>
    </row>
    <row r="40" spans="1:15" s="455" customFormat="1">
      <c r="A40" s="2468"/>
      <c r="B40" s="2480"/>
      <c r="C40" s="2527"/>
      <c r="D40" s="2531"/>
      <c r="E40" s="2524"/>
      <c r="F40" s="2525"/>
      <c r="G40" s="2517"/>
      <c r="H40" s="2520"/>
      <c r="I40" s="2520"/>
      <c r="J40" s="2520"/>
      <c r="K40" s="2521"/>
      <c r="L40" s="2520"/>
      <c r="M40" s="2526"/>
      <c r="N40" s="2532"/>
      <c r="O40" s="2460"/>
    </row>
    <row r="41" spans="1:15" s="455" customFormat="1">
      <c r="A41" s="2468"/>
      <c r="B41" s="2480"/>
      <c r="C41" s="2527"/>
      <c r="D41" s="2531"/>
      <c r="E41" s="2524"/>
      <c r="F41" s="2525"/>
      <c r="G41" s="2517"/>
      <c r="H41" s="2520"/>
      <c r="I41" s="2520"/>
      <c r="J41" s="2520"/>
      <c r="K41" s="2521"/>
      <c r="L41" s="2520"/>
      <c r="M41" s="2526"/>
      <c r="N41" s="2532"/>
      <c r="O41" s="2460"/>
    </row>
    <row r="42" spans="1:15" s="455" customFormat="1" ht="67.150000000000006" customHeight="1">
      <c r="A42" s="2468" t="s">
        <v>3561</v>
      </c>
      <c r="B42" s="2480" t="s">
        <v>3560</v>
      </c>
      <c r="C42" s="2314" t="s">
        <v>3555</v>
      </c>
      <c r="D42" s="2312" t="s">
        <v>2</v>
      </c>
      <c r="E42" s="2313" t="s">
        <v>3556</v>
      </c>
      <c r="F42" s="2314" t="s">
        <v>3</v>
      </c>
      <c r="G42" s="2314" t="s">
        <v>1</v>
      </c>
      <c r="H42" s="2315" t="s">
        <v>3557</v>
      </c>
      <c r="I42" s="2315" t="s">
        <v>3557</v>
      </c>
      <c r="J42" s="2315" t="s">
        <v>972</v>
      </c>
      <c r="K42" s="2316" t="s">
        <v>3558</v>
      </c>
      <c r="L42" s="2541">
        <v>69560</v>
      </c>
      <c r="M42" s="2317" t="s">
        <v>3559</v>
      </c>
      <c r="N42" s="2318" t="s">
        <v>703</v>
      </c>
      <c r="O42" s="2460"/>
    </row>
    <row r="43" spans="1:15" s="455" customFormat="1">
      <c r="A43" s="2468"/>
      <c r="B43" s="2480"/>
      <c r="C43" s="2527"/>
      <c r="D43" s="2531"/>
      <c r="E43" s="2524"/>
      <c r="F43" s="2525"/>
      <c r="G43" s="2517"/>
      <c r="H43" s="2520"/>
      <c r="I43" s="2520"/>
      <c r="J43" s="2520"/>
      <c r="K43" s="2521"/>
      <c r="L43" s="2520"/>
      <c r="M43" s="2526"/>
      <c r="N43" s="2532"/>
      <c r="O43" s="2460"/>
    </row>
    <row r="44" spans="1:15" s="455" customFormat="1">
      <c r="A44" s="2468"/>
      <c r="B44" s="2480"/>
      <c r="C44" s="2527"/>
      <c r="D44" s="2531"/>
      <c r="E44" s="2524"/>
      <c r="F44" s="2525"/>
      <c r="G44" s="2517"/>
      <c r="H44" s="2520"/>
      <c r="I44" s="2520"/>
      <c r="J44" s="2520"/>
      <c r="K44" s="2521"/>
      <c r="L44" s="2520"/>
      <c r="M44" s="2526"/>
      <c r="N44" s="2532"/>
      <c r="O44" s="2460"/>
    </row>
    <row r="45" spans="1:15" s="455" customFormat="1" ht="82.5">
      <c r="A45" s="2468" t="s">
        <v>3582</v>
      </c>
      <c r="B45" s="2468" t="s">
        <v>3582</v>
      </c>
      <c r="C45" s="2542" t="s">
        <v>3580</v>
      </c>
      <c r="D45" s="2543" t="s">
        <v>747</v>
      </c>
      <c r="E45" s="2544" t="s">
        <v>3556</v>
      </c>
      <c r="F45" s="2545" t="s">
        <v>3</v>
      </c>
      <c r="G45" s="2545" t="s">
        <v>1</v>
      </c>
      <c r="H45" s="2546" t="s">
        <v>675</v>
      </c>
      <c r="I45" s="2546" t="s">
        <v>675</v>
      </c>
      <c r="J45" s="2546" t="s">
        <v>653</v>
      </c>
      <c r="K45" s="2547" t="s">
        <v>3581</v>
      </c>
      <c r="L45" s="2269">
        <v>100000</v>
      </c>
      <c r="M45" s="2501" t="s">
        <v>659</v>
      </c>
      <c r="N45" s="2548" t="s">
        <v>703</v>
      </c>
      <c r="O45" s="2460"/>
    </row>
    <row r="46" spans="1:15" s="455" customFormat="1" ht="13.5">
      <c r="A46" s="471"/>
      <c r="B46" s="454"/>
      <c r="C46" s="2185"/>
      <c r="D46" s="2266"/>
      <c r="E46" s="2176"/>
      <c r="F46" s="2187"/>
      <c r="G46" s="2177"/>
      <c r="H46" s="2178"/>
      <c r="I46" s="2178"/>
      <c r="J46" s="2178"/>
      <c r="K46" s="2179"/>
      <c r="L46" s="2178"/>
      <c r="M46" s="2180"/>
      <c r="N46" s="2459"/>
      <c r="O46" s="2460"/>
    </row>
    <row r="47" spans="1:15" s="455" customFormat="1" ht="13.5">
      <c r="A47" s="471"/>
      <c r="B47" s="454"/>
      <c r="C47" s="2185"/>
      <c r="D47" s="2266"/>
      <c r="E47" s="2176"/>
      <c r="F47" s="2187"/>
      <c r="G47" s="2177"/>
      <c r="H47" s="2178"/>
      <c r="I47" s="2178"/>
      <c r="J47" s="2178"/>
      <c r="K47" s="2179"/>
      <c r="L47" s="2178"/>
      <c r="M47" s="2180"/>
      <c r="N47" s="2459"/>
      <c r="O47" s="2460"/>
    </row>
    <row r="48" spans="1:15" s="455" customFormat="1" ht="13.5">
      <c r="A48" s="471"/>
      <c r="B48" s="454"/>
      <c r="C48" s="314"/>
      <c r="D48" s="309"/>
      <c r="E48" s="309"/>
      <c r="F48" s="309"/>
      <c r="G48" s="497"/>
      <c r="H48" s="1056"/>
      <c r="I48" s="985"/>
      <c r="J48" s="985"/>
      <c r="K48" s="499"/>
      <c r="L48" s="1025"/>
      <c r="M48" s="499"/>
      <c r="N48" s="1466"/>
    </row>
    <row r="49" spans="1:16" s="455" customFormat="1" ht="13.5">
      <c r="A49" s="471"/>
      <c r="B49" s="454"/>
      <c r="C49" s="392"/>
      <c r="D49" s="309"/>
      <c r="E49" s="309"/>
      <c r="F49" s="309"/>
      <c r="G49" s="497"/>
      <c r="H49" s="985"/>
      <c r="I49" s="985"/>
      <c r="J49" s="985"/>
      <c r="K49" s="499"/>
      <c r="L49" s="1025"/>
      <c r="M49" s="499"/>
      <c r="N49" s="1466"/>
    </row>
    <row r="50" spans="1:16" s="455" customFormat="1" ht="13.5">
      <c r="A50" s="471"/>
      <c r="B50" s="454"/>
      <c r="C50" s="392"/>
      <c r="D50" s="309"/>
      <c r="E50" s="309"/>
      <c r="F50" s="309"/>
      <c r="G50" s="497"/>
      <c r="H50" s="985"/>
      <c r="I50" s="985"/>
      <c r="J50" s="985"/>
      <c r="K50" s="499"/>
      <c r="L50" s="1025"/>
      <c r="M50" s="499"/>
      <c r="N50" s="1467"/>
    </row>
    <row r="51" spans="1:16" s="455" customFormat="1" ht="13.5">
      <c r="A51" s="471"/>
      <c r="B51" s="454"/>
      <c r="C51" s="2679"/>
      <c r="D51" s="309"/>
      <c r="E51" s="309"/>
      <c r="F51" s="309"/>
      <c r="G51" s="497"/>
      <c r="H51" s="985"/>
      <c r="I51" s="985"/>
      <c r="J51" s="985"/>
      <c r="K51" s="499"/>
      <c r="M51" s="499"/>
      <c r="N51" s="1468"/>
    </row>
    <row r="52" spans="1:16" s="455" customFormat="1" ht="13.5">
      <c r="A52" s="471"/>
      <c r="B52" s="454"/>
      <c r="C52" s="2679"/>
      <c r="D52" s="309"/>
      <c r="E52" s="309"/>
      <c r="F52" s="309"/>
      <c r="G52" s="497"/>
      <c r="H52" s="985"/>
      <c r="I52" s="985"/>
      <c r="J52" s="985"/>
      <c r="K52" s="499"/>
      <c r="L52" s="1025"/>
      <c r="M52" s="499"/>
      <c r="N52" s="1468"/>
    </row>
    <row r="53" spans="1:16" s="455" customFormat="1" ht="13.5">
      <c r="A53" s="471"/>
      <c r="B53" s="454"/>
      <c r="C53" s="2679"/>
      <c r="D53" s="309"/>
      <c r="E53" s="309"/>
      <c r="F53" s="309"/>
      <c r="G53" s="497"/>
      <c r="H53" s="985"/>
      <c r="I53" s="985"/>
      <c r="J53" s="985"/>
      <c r="K53" s="499"/>
      <c r="L53" s="1025"/>
      <c r="M53" s="499"/>
      <c r="N53" s="458"/>
    </row>
    <row r="54" spans="1:16" s="455" customFormat="1" ht="40.5">
      <c r="A54" s="471"/>
      <c r="B54" s="454" t="s">
        <v>4006</v>
      </c>
      <c r="C54" s="2679"/>
      <c r="D54" s="2829" t="s">
        <v>3580</v>
      </c>
      <c r="E54" s="309"/>
      <c r="F54" s="2829" t="s">
        <v>4590</v>
      </c>
      <c r="G54" s="2829" t="s">
        <v>828</v>
      </c>
      <c r="H54" s="2829" t="s">
        <v>4591</v>
      </c>
      <c r="I54" s="2829" t="s">
        <v>4414</v>
      </c>
      <c r="J54" s="2829" t="s">
        <v>4592</v>
      </c>
      <c r="K54" s="2829" t="s">
        <v>4404</v>
      </c>
      <c r="L54" s="1025"/>
      <c r="M54" s="499"/>
      <c r="N54" s="458"/>
    </row>
    <row r="55" spans="1:16" s="455" customFormat="1" ht="87" customHeight="1">
      <c r="A55" s="471"/>
      <c r="B55" s="454" t="s">
        <v>4006</v>
      </c>
      <c r="C55" s="2859" t="s">
        <v>4587</v>
      </c>
      <c r="D55" s="1822" t="s">
        <v>4589</v>
      </c>
      <c r="E55" s="2860">
        <v>24600</v>
      </c>
      <c r="F55" s="2829" t="s">
        <v>4588</v>
      </c>
      <c r="G55" s="460"/>
      <c r="H55" s="460"/>
      <c r="I55" s="460"/>
      <c r="J55" s="460"/>
      <c r="K55" s="2829" t="s">
        <v>4405</v>
      </c>
      <c r="L55" s="2861">
        <v>1722000</v>
      </c>
      <c r="M55" s="460"/>
      <c r="N55" s="2829" t="s">
        <v>4593</v>
      </c>
      <c r="P55" s="2810"/>
    </row>
    <row r="56" spans="1:16" s="455" customFormat="1" ht="15">
      <c r="A56" s="471"/>
      <c r="B56" s="454" t="s">
        <v>4006</v>
      </c>
      <c r="C56" s="2859"/>
      <c r="D56" s="1822" t="s">
        <v>4594</v>
      </c>
      <c r="E56" s="2862">
        <v>795</v>
      </c>
      <c r="F56" s="2839" t="s">
        <v>4588</v>
      </c>
      <c r="G56" s="460"/>
      <c r="H56" s="2829" t="s">
        <v>2757</v>
      </c>
      <c r="I56" s="1912"/>
      <c r="J56" s="1912"/>
      <c r="K56" s="1912"/>
      <c r="L56" s="2861">
        <v>59625</v>
      </c>
      <c r="M56" s="460"/>
      <c r="N56" s="1912"/>
      <c r="P56" s="2810"/>
    </row>
    <row r="57" spans="1:16" s="455" customFormat="1" ht="15">
      <c r="A57" s="471"/>
      <c r="B57" s="454" t="s">
        <v>4006</v>
      </c>
      <c r="C57" s="2859"/>
      <c r="D57" s="1822" t="s">
        <v>2834</v>
      </c>
      <c r="E57" s="2862">
        <v>25</v>
      </c>
      <c r="F57" s="2839" t="s">
        <v>4588</v>
      </c>
      <c r="G57" s="460"/>
      <c r="H57" s="2829" t="s">
        <v>2757</v>
      </c>
      <c r="I57" s="1912"/>
      <c r="J57" s="1912"/>
      <c r="K57" s="1912"/>
      <c r="L57" s="2861">
        <v>11250</v>
      </c>
      <c r="M57" s="1912"/>
      <c r="N57" s="1912"/>
      <c r="P57" s="2810"/>
    </row>
    <row r="58" spans="1:16" s="455" customFormat="1" ht="15">
      <c r="A58" s="471"/>
      <c r="B58" s="454" t="s">
        <v>4006</v>
      </c>
      <c r="C58" s="2859"/>
      <c r="D58" s="1912" t="s">
        <v>4596</v>
      </c>
      <c r="E58" s="2862">
        <v>5</v>
      </c>
      <c r="F58" s="2839" t="s">
        <v>4595</v>
      </c>
      <c r="G58" s="460"/>
      <c r="H58" s="2829" t="s">
        <v>2757</v>
      </c>
      <c r="I58" s="1912"/>
      <c r="J58" s="1912"/>
      <c r="K58" s="1912"/>
      <c r="L58" s="2861">
        <v>2250</v>
      </c>
      <c r="M58" s="1912"/>
      <c r="N58" s="1912"/>
      <c r="P58" s="2810"/>
    </row>
    <row r="59" spans="1:16" s="455" customFormat="1" ht="15">
      <c r="A59" s="471"/>
      <c r="B59" s="454" t="s">
        <v>4006</v>
      </c>
      <c r="C59" s="2859"/>
      <c r="D59" s="2863" t="s">
        <v>4597</v>
      </c>
      <c r="E59" s="2862">
        <v>12</v>
      </c>
      <c r="F59" s="2839" t="s">
        <v>1967</v>
      </c>
      <c r="G59" s="460"/>
      <c r="H59" s="2829" t="s">
        <v>2757</v>
      </c>
      <c r="I59" s="1912"/>
      <c r="J59" s="1912"/>
      <c r="K59" s="1912"/>
      <c r="L59" s="2861">
        <v>3000</v>
      </c>
      <c r="M59" s="1912"/>
      <c r="N59" s="1912"/>
      <c r="P59" s="2810"/>
    </row>
    <row r="60" spans="1:16" s="455" customFormat="1" ht="15">
      <c r="A60" s="471"/>
      <c r="B60" s="454" t="s">
        <v>4006</v>
      </c>
      <c r="C60" s="2859"/>
      <c r="D60" s="2863" t="s">
        <v>4598</v>
      </c>
      <c r="E60" s="2862">
        <v>6</v>
      </c>
      <c r="F60" s="2839" t="s">
        <v>4588</v>
      </c>
      <c r="G60" s="460"/>
      <c r="H60" s="2829" t="s">
        <v>2757</v>
      </c>
      <c r="I60" s="1912"/>
      <c r="J60" s="1912"/>
      <c r="K60" s="1912"/>
      <c r="L60" s="2861">
        <v>1500</v>
      </c>
      <c r="M60" s="1912"/>
      <c r="N60" s="1912"/>
      <c r="P60" s="2810"/>
    </row>
    <row r="61" spans="1:16" s="455" customFormat="1" ht="27">
      <c r="A61" s="471"/>
      <c r="B61" s="454" t="s">
        <v>4006</v>
      </c>
      <c r="C61" s="2864"/>
      <c r="D61" s="1822" t="s">
        <v>4589</v>
      </c>
      <c r="E61" s="2860">
        <v>15800</v>
      </c>
      <c r="F61" s="2829" t="s">
        <v>4588</v>
      </c>
      <c r="G61" s="460"/>
      <c r="H61" s="2829" t="s">
        <v>422</v>
      </c>
      <c r="I61" s="1912"/>
      <c r="J61" s="1912" t="s">
        <v>4599</v>
      </c>
      <c r="K61" s="2829" t="s">
        <v>4599</v>
      </c>
      <c r="L61" s="2861">
        <v>1300000</v>
      </c>
      <c r="M61" s="1912"/>
      <c r="N61" s="1912"/>
      <c r="P61" s="2810"/>
    </row>
    <row r="62" spans="1:16" s="455" customFormat="1" ht="13.5">
      <c r="A62" s="471"/>
      <c r="B62" s="2288"/>
      <c r="C62" s="2855"/>
      <c r="D62" s="2855"/>
      <c r="E62" s="966"/>
      <c r="F62" s="966"/>
      <c r="G62" s="2856"/>
      <c r="H62" s="2857"/>
      <c r="I62" s="2857"/>
      <c r="J62" s="2857"/>
      <c r="K62" s="966"/>
      <c r="L62" s="2858"/>
      <c r="M62" s="1027"/>
      <c r="N62" s="463"/>
    </row>
    <row r="63" spans="1:16" s="455" customFormat="1" ht="13.5">
      <c r="A63" s="471"/>
      <c r="B63" s="454"/>
      <c r="C63" s="314"/>
      <c r="D63" s="314"/>
      <c r="E63" s="560"/>
      <c r="F63" s="309"/>
      <c r="G63" s="497"/>
      <c r="H63" s="985"/>
      <c r="I63" s="985"/>
      <c r="J63" s="985"/>
      <c r="K63" s="309"/>
      <c r="L63" s="1015"/>
      <c r="M63" s="499"/>
      <c r="N63" s="454"/>
    </row>
    <row r="64" spans="1:16" s="455" customFormat="1" ht="13.5">
      <c r="A64" s="471"/>
      <c r="B64" s="454"/>
      <c r="C64" s="987"/>
      <c r="D64" s="314"/>
      <c r="E64" s="662"/>
      <c r="F64" s="309"/>
      <c r="G64" s="497"/>
      <c r="H64" s="985"/>
      <c r="I64" s="985"/>
      <c r="J64" s="985"/>
      <c r="K64" s="499"/>
      <c r="L64" s="1065"/>
      <c r="M64" s="499"/>
      <c r="N64" s="458"/>
    </row>
    <row r="65" spans="1:15" s="455" customFormat="1" ht="13.5">
      <c r="A65" s="471"/>
      <c r="B65" s="454"/>
      <c r="C65" s="392"/>
      <c r="D65" s="309"/>
      <c r="E65" s="309"/>
      <c r="F65" s="662"/>
      <c r="G65" s="309"/>
      <c r="H65" s="497"/>
      <c r="I65" s="985"/>
      <c r="J65" s="985"/>
      <c r="K65" s="1066"/>
      <c r="L65" s="1067"/>
      <c r="M65" s="1025"/>
      <c r="N65" s="1068"/>
      <c r="O65" s="458"/>
    </row>
    <row r="66" spans="1:15" s="455" customFormat="1" ht="13.5">
      <c r="A66" s="471"/>
      <c r="B66" s="454"/>
      <c r="C66" s="471"/>
      <c r="D66" s="456"/>
      <c r="E66" s="459"/>
      <c r="F66" s="466"/>
      <c r="G66" s="471"/>
      <c r="H66" s="477"/>
      <c r="I66" s="526"/>
      <c r="J66" s="526"/>
      <c r="K66" s="526"/>
      <c r="L66" s="473"/>
      <c r="M66" s="529"/>
      <c r="N66" s="471"/>
      <c r="O66" s="458"/>
    </row>
    <row r="67" spans="1:15" s="455" customFormat="1" ht="13.5">
      <c r="A67" s="471"/>
      <c r="B67" s="454"/>
      <c r="C67" s="471"/>
      <c r="D67" s="456"/>
      <c r="E67" s="459"/>
      <c r="F67" s="466"/>
      <c r="G67" s="471"/>
      <c r="H67" s="477"/>
      <c r="I67" s="526"/>
      <c r="J67" s="526"/>
      <c r="K67" s="526"/>
      <c r="L67" s="473"/>
      <c r="M67" s="529"/>
      <c r="N67" s="471"/>
      <c r="O67" s="458"/>
    </row>
    <row r="68" spans="1:15" s="455" customFormat="1" ht="13.5">
      <c r="A68" s="471"/>
      <c r="B68" s="454"/>
      <c r="C68" s="314"/>
      <c r="D68" s="309"/>
      <c r="E68" s="309"/>
      <c r="F68" s="309"/>
      <c r="G68" s="309"/>
      <c r="H68" s="309"/>
      <c r="I68" s="309"/>
      <c r="J68" s="309"/>
      <c r="K68" s="309"/>
      <c r="L68" s="309"/>
      <c r="M68" s="309"/>
      <c r="N68" s="309"/>
    </row>
    <row r="69" spans="1:15" s="455" customFormat="1" ht="15">
      <c r="A69" s="471"/>
      <c r="B69" s="454"/>
      <c r="C69" s="314"/>
      <c r="D69" s="314"/>
      <c r="E69" s="309"/>
      <c r="F69" s="309"/>
      <c r="G69" s="497"/>
      <c r="H69" s="1056"/>
      <c r="I69" s="309"/>
      <c r="J69" s="309"/>
      <c r="K69" s="499"/>
      <c r="L69" s="2553">
        <f>SUM(L5:L68)</f>
        <v>4175380</v>
      </c>
      <c r="M69" s="309"/>
      <c r="N69" s="454"/>
    </row>
    <row r="70" spans="1:15" s="455" customFormat="1" ht="13.5">
      <c r="A70" s="471"/>
      <c r="B70" s="454"/>
      <c r="C70" s="314"/>
      <c r="D70" s="314"/>
      <c r="E70" s="309"/>
      <c r="F70" s="309"/>
      <c r="G70" s="497"/>
      <c r="H70" s="1056"/>
      <c r="I70" s="309"/>
      <c r="J70" s="309"/>
      <c r="K70" s="499"/>
      <c r="L70" s="1069"/>
      <c r="M70" s="499"/>
      <c r="N70" s="458"/>
    </row>
    <row r="71" spans="1:15" s="455" customFormat="1" ht="13.5">
      <c r="A71" s="471"/>
      <c r="B71" s="454"/>
      <c r="C71" s="314"/>
      <c r="D71" s="314"/>
      <c r="E71" s="309"/>
      <c r="F71" s="309"/>
      <c r="G71" s="497"/>
      <c r="H71" s="1056"/>
      <c r="I71" s="309"/>
      <c r="J71" s="309"/>
      <c r="K71" s="499"/>
      <c r="L71" s="1069"/>
      <c r="M71" s="499"/>
      <c r="N71" s="458"/>
    </row>
    <row r="72" spans="1:15" s="455" customFormat="1" ht="13.5">
      <c r="A72" s="471"/>
      <c r="B72" s="454"/>
      <c r="C72" s="314"/>
      <c r="D72" s="314"/>
      <c r="E72" s="662"/>
      <c r="F72" s="309"/>
      <c r="G72" s="497"/>
      <c r="H72" s="1056"/>
      <c r="I72" s="985"/>
      <c r="J72" s="985"/>
      <c r="K72" s="499"/>
      <c r="L72" s="1016"/>
      <c r="M72" s="499"/>
      <c r="N72" s="458"/>
    </row>
    <row r="73" spans="1:15" s="455" customFormat="1" ht="13.5">
      <c r="A73" s="471"/>
      <c r="B73" s="454"/>
      <c r="C73" s="314"/>
      <c r="D73" s="314"/>
      <c r="E73" s="662"/>
      <c r="F73" s="309"/>
      <c r="G73" s="497"/>
      <c r="H73" s="1056"/>
      <c r="I73" s="985"/>
      <c r="J73" s="985"/>
      <c r="K73" s="499"/>
      <c r="L73" s="1016"/>
      <c r="M73" s="499"/>
      <c r="N73" s="458"/>
    </row>
    <row r="74" spans="1:15" s="455" customFormat="1" ht="13.5">
      <c r="A74" s="471"/>
      <c r="B74" s="454"/>
      <c r="C74" s="314"/>
      <c r="D74" s="314"/>
      <c r="E74" s="662"/>
      <c r="F74" s="309"/>
      <c r="G74" s="497"/>
      <c r="H74" s="1056"/>
      <c r="I74" s="985"/>
      <c r="J74" s="985"/>
      <c r="K74" s="499"/>
      <c r="L74" s="1071"/>
      <c r="M74" s="499"/>
    </row>
    <row r="75" spans="1:15" s="455" customFormat="1" ht="13.5">
      <c r="A75" s="471"/>
      <c r="B75" s="454"/>
      <c r="C75" s="314"/>
      <c r="D75" s="314"/>
      <c r="E75" s="662"/>
      <c r="F75" s="309"/>
      <c r="G75" s="497"/>
      <c r="H75" s="1056"/>
      <c r="I75" s="985"/>
      <c r="J75" s="985"/>
      <c r="K75" s="499"/>
      <c r="L75" s="1071"/>
      <c r="M75" s="499"/>
    </row>
    <row r="76" spans="1:15" s="455" customFormat="1" ht="13.5">
      <c r="A76" s="471"/>
      <c r="B76" s="454"/>
      <c r="C76" s="314"/>
      <c r="D76" s="314"/>
      <c r="E76" s="662"/>
      <c r="F76" s="309"/>
      <c r="G76" s="497"/>
      <c r="H76" s="1056"/>
      <c r="I76" s="985"/>
      <c r="J76" s="985"/>
      <c r="K76" s="499"/>
      <c r="L76" s="1016"/>
      <c r="M76" s="499"/>
    </row>
    <row r="77" spans="1:15" s="455" customFormat="1" ht="13.5">
      <c r="A77" s="471"/>
      <c r="B77" s="454"/>
      <c r="C77" s="314"/>
      <c r="D77" s="314"/>
      <c r="E77" s="662"/>
      <c r="F77" s="309"/>
      <c r="G77" s="497"/>
      <c r="H77" s="1056"/>
      <c r="I77" s="985"/>
      <c r="J77" s="985"/>
      <c r="K77" s="499"/>
      <c r="L77" s="1016"/>
      <c r="M77" s="499"/>
    </row>
    <row r="78" spans="1:15" s="455" customFormat="1" ht="13.5">
      <c r="A78" s="471"/>
      <c r="B78" s="454"/>
      <c r="C78" s="314"/>
      <c r="D78" s="314"/>
      <c r="E78" s="662"/>
      <c r="F78" s="309"/>
      <c r="G78" s="497"/>
      <c r="H78" s="1056"/>
      <c r="I78" s="985"/>
      <c r="J78" s="985"/>
      <c r="K78" s="499"/>
      <c r="L78" s="1016"/>
      <c r="M78" s="499"/>
      <c r="N78" s="458"/>
    </row>
    <row r="79" spans="1:15" s="455" customFormat="1" ht="13.5">
      <c r="A79" s="471"/>
      <c r="B79" s="454"/>
      <c r="C79" s="314"/>
      <c r="D79" s="314"/>
      <c r="E79" s="662"/>
      <c r="F79" s="309"/>
      <c r="G79" s="497"/>
      <c r="H79" s="1056"/>
      <c r="I79" s="985"/>
      <c r="J79" s="985"/>
      <c r="K79" s="499"/>
      <c r="L79" s="1016"/>
      <c r="M79" s="499"/>
      <c r="N79" s="458"/>
    </row>
    <row r="80" spans="1:15" s="455" customFormat="1" ht="13.5">
      <c r="A80" s="471"/>
      <c r="B80" s="454"/>
      <c r="C80" s="314"/>
      <c r="D80" s="314"/>
      <c r="E80" s="662"/>
      <c r="F80" s="309"/>
      <c r="G80" s="497"/>
      <c r="H80" s="1056"/>
      <c r="I80" s="985"/>
      <c r="J80" s="985"/>
      <c r="K80" s="499"/>
      <c r="L80" s="1016"/>
      <c r="M80" s="499"/>
      <c r="N80" s="458"/>
    </row>
    <row r="81" spans="1:15" s="455" customFormat="1" ht="13.5">
      <c r="A81" s="471"/>
      <c r="B81" s="454"/>
      <c r="C81" s="2591"/>
      <c r="D81" s="314"/>
      <c r="E81" s="662"/>
      <c r="F81" s="309"/>
      <c r="G81" s="497"/>
      <c r="H81" s="1056"/>
      <c r="I81" s="985"/>
      <c r="J81" s="985"/>
      <c r="K81" s="499"/>
      <c r="L81" s="1016"/>
      <c r="M81" s="499"/>
    </row>
    <row r="82" spans="1:15" s="455" customFormat="1" ht="13.5">
      <c r="A82" s="471"/>
      <c r="B82" s="454"/>
      <c r="C82" s="2593"/>
      <c r="D82" s="314"/>
      <c r="E82" s="662"/>
      <c r="F82" s="309"/>
      <c r="G82" s="497"/>
      <c r="H82" s="1056"/>
      <c r="I82" s="985"/>
      <c r="J82" s="985"/>
      <c r="K82" s="499"/>
      <c r="L82" s="1016"/>
      <c r="M82" s="499"/>
      <c r="N82" s="454"/>
    </row>
    <row r="83" spans="1:15" s="455" customFormat="1" ht="13.5">
      <c r="A83" s="471"/>
      <c r="B83" s="454"/>
      <c r="C83" s="2591"/>
      <c r="D83" s="314"/>
      <c r="E83" s="662"/>
      <c r="F83" s="309"/>
      <c r="G83" s="497"/>
      <c r="H83" s="1056"/>
      <c r="I83" s="985"/>
      <c r="J83" s="985"/>
      <c r="K83" s="499"/>
      <c r="L83" s="1016"/>
      <c r="M83" s="499"/>
      <c r="N83" s="458"/>
    </row>
    <row r="84" spans="1:15" s="455" customFormat="1" ht="13.5">
      <c r="A84" s="471"/>
      <c r="B84" s="454"/>
      <c r="C84" s="2592"/>
      <c r="D84" s="314"/>
      <c r="E84" s="662"/>
      <c r="F84" s="309"/>
      <c r="G84" s="497"/>
      <c r="H84" s="1056"/>
      <c r="I84" s="985"/>
      <c r="J84" s="985"/>
      <c r="K84" s="499"/>
      <c r="L84" s="1016"/>
      <c r="M84" s="499"/>
      <c r="N84" s="458"/>
    </row>
    <row r="85" spans="1:15" s="455" customFormat="1" ht="13.5">
      <c r="A85" s="471"/>
      <c r="B85" s="454"/>
      <c r="C85" s="2593"/>
      <c r="D85" s="314"/>
      <c r="E85" s="662"/>
      <c r="F85" s="309"/>
      <c r="G85" s="497"/>
      <c r="H85" s="1056"/>
      <c r="I85" s="985"/>
      <c r="J85" s="985"/>
      <c r="K85" s="499"/>
      <c r="L85" s="1016"/>
      <c r="M85" s="499"/>
      <c r="N85" s="458"/>
    </row>
    <row r="86" spans="1:15" s="455" customFormat="1" ht="13.5">
      <c r="A86" s="471"/>
      <c r="B86" s="454"/>
      <c r="C86" s="314"/>
      <c r="D86" s="314"/>
      <c r="E86" s="662"/>
      <c r="F86" s="309"/>
      <c r="G86" s="497"/>
      <c r="H86" s="985"/>
      <c r="I86" s="985"/>
      <c r="J86" s="985"/>
      <c r="K86" s="499"/>
      <c r="L86" s="1016"/>
      <c r="M86" s="499"/>
      <c r="N86" s="458"/>
    </row>
    <row r="87" spans="1:15" s="455" customFormat="1" ht="13.5">
      <c r="A87" s="471"/>
      <c r="B87" s="454"/>
      <c r="C87" s="314"/>
      <c r="D87" s="314"/>
      <c r="E87" s="662"/>
      <c r="F87" s="309"/>
      <c r="G87" s="497"/>
      <c r="H87" s="985"/>
      <c r="I87" s="985"/>
      <c r="J87" s="985"/>
      <c r="K87" s="499"/>
      <c r="L87" s="1016"/>
      <c r="M87" s="499"/>
      <c r="N87" s="460"/>
    </row>
    <row r="88" spans="1:15" s="455" customFormat="1" ht="13.5">
      <c r="C88" s="314"/>
      <c r="D88" s="314"/>
      <c r="E88" s="662"/>
      <c r="F88" s="662"/>
      <c r="G88" s="309"/>
      <c r="H88" s="497"/>
      <c r="I88" s="1056"/>
      <c r="J88" s="985"/>
      <c r="K88" s="985"/>
      <c r="L88" s="499"/>
      <c r="M88" s="1025"/>
      <c r="N88" s="499"/>
    </row>
    <row r="89" spans="1:15" s="455" customFormat="1" ht="13.5">
      <c r="C89" s="902"/>
      <c r="D89" s="309"/>
      <c r="E89" s="662"/>
      <c r="F89" s="662"/>
      <c r="G89" s="309"/>
      <c r="H89" s="497"/>
      <c r="I89" s="653"/>
      <c r="J89" s="985"/>
      <c r="K89" s="1469"/>
      <c r="L89" s="499"/>
      <c r="M89" s="1025"/>
      <c r="N89" s="499"/>
    </row>
    <row r="90" spans="1:15" s="455" customFormat="1" ht="13.5">
      <c r="A90" s="566"/>
      <c r="B90" s="467"/>
      <c r="C90" s="499"/>
      <c r="D90" s="309"/>
      <c r="E90" s="391"/>
      <c r="F90" s="499"/>
      <c r="G90" s="497"/>
      <c r="H90" s="498"/>
      <c r="I90" s="498"/>
      <c r="J90" s="498"/>
      <c r="K90" s="499"/>
      <c r="L90" s="1470"/>
      <c r="M90" s="309"/>
      <c r="N90" s="499"/>
    </row>
    <row r="91" spans="1:15" s="455" customFormat="1" ht="13.5">
      <c r="A91" s="566"/>
      <c r="B91" s="467"/>
      <c r="C91" s="497"/>
      <c r="D91" s="691"/>
      <c r="E91" s="675"/>
      <c r="F91" s="675"/>
      <c r="G91" s="654"/>
      <c r="H91" s="502"/>
      <c r="I91" s="652"/>
      <c r="J91" s="497"/>
      <c r="K91" s="653"/>
      <c r="L91" s="502"/>
      <c r="M91" s="538"/>
      <c r="N91" s="392"/>
      <c r="O91" s="502"/>
    </row>
    <row r="92" spans="1:15" s="455" customFormat="1" ht="13.5">
      <c r="A92" s="566"/>
      <c r="B92" s="467"/>
      <c r="C92" s="497"/>
      <c r="D92" s="691"/>
      <c r="E92" s="675"/>
      <c r="F92" s="675"/>
      <c r="G92" s="654"/>
      <c r="H92" s="502"/>
      <c r="I92" s="652"/>
      <c r="J92" s="497"/>
      <c r="K92" s="653"/>
      <c r="L92" s="502"/>
      <c r="M92" s="538"/>
      <c r="N92" s="392"/>
      <c r="O92" s="502"/>
    </row>
    <row r="93" spans="1:15" s="455" customFormat="1" ht="13.5">
      <c r="A93" s="566"/>
      <c r="B93" s="467"/>
      <c r="C93" s="497"/>
      <c r="D93" s="691"/>
      <c r="E93" s="675"/>
      <c r="F93" s="675"/>
      <c r="G93" s="654"/>
      <c r="H93" s="502"/>
      <c r="I93" s="652"/>
      <c r="J93" s="497"/>
      <c r="K93" s="653"/>
      <c r="L93" s="502"/>
      <c r="M93" s="538"/>
      <c r="N93" s="392"/>
      <c r="O93" s="502"/>
    </row>
    <row r="94" spans="1:15" s="455" customFormat="1" ht="13.5">
      <c r="A94" s="566"/>
      <c r="B94" s="467"/>
      <c r="C94" s="497"/>
      <c r="D94" s="691"/>
      <c r="E94" s="675"/>
      <c r="F94" s="675"/>
      <c r="G94" s="654"/>
      <c r="H94" s="502"/>
      <c r="I94" s="652"/>
      <c r="J94" s="497"/>
      <c r="K94" s="653"/>
      <c r="L94" s="502"/>
      <c r="M94" s="538"/>
      <c r="N94" s="392"/>
      <c r="O94" s="502"/>
    </row>
    <row r="95" spans="1:15" s="455" customFormat="1" ht="13.5">
      <c r="C95" s="1384"/>
      <c r="D95" s="314"/>
      <c r="E95" s="662"/>
      <c r="F95" s="662"/>
      <c r="G95" s="309"/>
      <c r="H95" s="497"/>
      <c r="I95" s="653"/>
      <c r="J95" s="985"/>
      <c r="K95" s="1469"/>
      <c r="L95" s="499"/>
      <c r="M95" s="1025"/>
      <c r="N95" s="499"/>
    </row>
    <row r="96" spans="1:15" s="455" customFormat="1" ht="13.5">
      <c r="C96" s="1384"/>
      <c r="D96" s="314"/>
      <c r="E96" s="662"/>
      <c r="F96" s="662"/>
      <c r="G96" s="309"/>
      <c r="H96" s="497"/>
      <c r="I96" s="653"/>
      <c r="J96" s="985"/>
      <c r="K96" s="1469"/>
      <c r="L96" s="499"/>
      <c r="M96" s="1025"/>
      <c r="N96" s="499"/>
    </row>
    <row r="97" spans="1:15" s="455" customFormat="1" ht="13.5">
      <c r="A97" s="566"/>
      <c r="B97" s="467"/>
      <c r="C97" s="499"/>
      <c r="D97" s="309"/>
      <c r="E97" s="391"/>
      <c r="F97" s="499"/>
      <c r="G97" s="497"/>
      <c r="H97" s="498"/>
      <c r="I97" s="498"/>
      <c r="J97" s="498"/>
      <c r="K97" s="499"/>
      <c r="L97" s="1470"/>
      <c r="M97" s="309"/>
      <c r="N97" s="499"/>
    </row>
    <row r="98" spans="1:15" s="455" customFormat="1" ht="13.5">
      <c r="A98" s="566"/>
      <c r="B98" s="467"/>
      <c r="C98" s="497"/>
      <c r="D98" s="691"/>
      <c r="E98" s="675"/>
      <c r="F98" s="675"/>
      <c r="G98" s="654"/>
      <c r="H98" s="502"/>
      <c r="I98" s="652"/>
      <c r="J98" s="497"/>
      <c r="K98" s="653"/>
      <c r="L98" s="502"/>
      <c r="M98" s="538"/>
      <c r="N98" s="392"/>
      <c r="O98" s="502"/>
    </row>
    <row r="99" spans="1:15" s="455" customFormat="1" ht="13.5">
      <c r="A99" s="566"/>
      <c r="B99" s="467"/>
      <c r="C99" s="497"/>
      <c r="D99" s="691"/>
      <c r="E99" s="675"/>
      <c r="F99" s="675"/>
      <c r="G99" s="654"/>
      <c r="H99" s="502"/>
      <c r="I99" s="652"/>
      <c r="J99" s="497"/>
      <c r="K99" s="653"/>
      <c r="L99" s="502"/>
      <c r="M99" s="538"/>
      <c r="N99" s="392"/>
      <c r="O99" s="502"/>
    </row>
    <row r="100" spans="1:15" s="455" customFormat="1" ht="13.5">
      <c r="A100" s="566"/>
      <c r="B100" s="467"/>
      <c r="C100" s="497"/>
      <c r="D100" s="691"/>
      <c r="E100" s="675"/>
      <c r="F100" s="675"/>
      <c r="G100" s="654"/>
      <c r="H100" s="502"/>
      <c r="I100" s="652"/>
      <c r="J100" s="497"/>
      <c r="K100" s="653"/>
      <c r="L100" s="502"/>
      <c r="M100" s="538"/>
      <c r="N100" s="392"/>
      <c r="O100" s="502"/>
    </row>
    <row r="101" spans="1:15" s="455" customFormat="1" ht="13.5">
      <c r="A101" s="566"/>
      <c r="B101" s="467"/>
      <c r="C101" s="497"/>
      <c r="D101" s="691"/>
      <c r="E101" s="675"/>
      <c r="F101" s="675"/>
      <c r="G101" s="654"/>
      <c r="H101" s="502"/>
      <c r="I101" s="652"/>
      <c r="J101" s="497"/>
      <c r="K101" s="653"/>
      <c r="L101" s="502"/>
      <c r="M101" s="538"/>
      <c r="N101" s="392"/>
      <c r="O101" s="502"/>
    </row>
    <row r="102" spans="1:15" s="455" customFormat="1" ht="13.5">
      <c r="C102" s="1385"/>
      <c r="D102" s="314"/>
      <c r="E102" s="991"/>
      <c r="F102" s="662"/>
      <c r="G102" s="309"/>
      <c r="H102" s="497"/>
      <c r="I102" s="774"/>
      <c r="J102" s="774"/>
      <c r="K102" s="774"/>
      <c r="L102" s="499"/>
      <c r="M102" s="1028"/>
      <c r="N102" s="499"/>
    </row>
    <row r="103" spans="1:15" s="455" customFormat="1" ht="13.5">
      <c r="C103" s="314"/>
      <c r="D103" s="314"/>
      <c r="E103" s="991"/>
      <c r="F103" s="662"/>
      <c r="G103" s="309"/>
      <c r="H103" s="497"/>
      <c r="I103" s="774"/>
      <c r="J103" s="774"/>
      <c r="K103" s="1471"/>
      <c r="L103" s="499"/>
      <c r="M103" s="1028"/>
      <c r="N103" s="499"/>
    </row>
    <row r="104" spans="1:15" s="455" customFormat="1" ht="13.5">
      <c r="C104" s="1027"/>
      <c r="D104" s="314"/>
      <c r="E104" s="991"/>
      <c r="F104" s="662"/>
      <c r="G104" s="309"/>
      <c r="H104" s="497"/>
      <c r="I104" s="1056"/>
      <c r="J104" s="985"/>
      <c r="K104" s="985"/>
      <c r="L104" s="499"/>
      <c r="M104" s="1028"/>
      <c r="N104" s="499"/>
    </row>
    <row r="105" spans="1:15" s="455" customFormat="1" ht="13.5">
      <c r="C105" s="499"/>
      <c r="D105" s="309"/>
      <c r="E105" s="391"/>
      <c r="F105" s="499"/>
      <c r="G105" s="497"/>
      <c r="H105" s="498"/>
      <c r="I105" s="498"/>
      <c r="J105" s="498"/>
      <c r="K105" s="499"/>
      <c r="L105" s="1472"/>
      <c r="M105" s="309"/>
      <c r="N105" s="499"/>
    </row>
    <row r="106" spans="1:15" s="455" customFormat="1" ht="13.5">
      <c r="C106" s="497"/>
      <c r="D106" s="691"/>
      <c r="E106" s="675"/>
      <c r="F106" s="675"/>
      <c r="G106" s="654"/>
      <c r="H106" s="502"/>
      <c r="I106" s="652"/>
      <c r="J106" s="497"/>
      <c r="K106" s="653"/>
      <c r="L106" s="502"/>
      <c r="M106" s="538"/>
      <c r="N106" s="392"/>
      <c r="O106" s="502"/>
    </row>
    <row r="107" spans="1:15" s="455" customFormat="1" ht="13.5">
      <c r="C107" s="497"/>
      <c r="D107" s="691"/>
      <c r="E107" s="675"/>
      <c r="F107" s="675"/>
      <c r="G107" s="654"/>
      <c r="H107" s="502"/>
      <c r="I107" s="652"/>
      <c r="J107" s="497"/>
      <c r="K107" s="653"/>
      <c r="L107" s="502"/>
      <c r="M107" s="538"/>
      <c r="N107" s="392"/>
      <c r="O107" s="502"/>
    </row>
    <row r="108" spans="1:15" s="455" customFormat="1" ht="13.5">
      <c r="C108" s="497"/>
      <c r="D108" s="691"/>
      <c r="E108" s="675"/>
      <c r="F108" s="675"/>
      <c r="G108" s="654"/>
      <c r="H108" s="502"/>
      <c r="I108" s="652"/>
      <c r="J108" s="497"/>
      <c r="K108" s="653"/>
      <c r="L108" s="502"/>
      <c r="M108" s="538"/>
      <c r="N108" s="392"/>
      <c r="O108" s="502"/>
    </row>
    <row r="109" spans="1:15" s="455" customFormat="1" ht="13.5">
      <c r="C109" s="497"/>
      <c r="D109" s="691"/>
      <c r="E109" s="675"/>
      <c r="F109" s="675"/>
      <c r="G109" s="654"/>
      <c r="H109" s="502"/>
      <c r="I109" s="652"/>
      <c r="J109" s="497"/>
      <c r="K109" s="653"/>
      <c r="L109" s="502"/>
      <c r="M109" s="538"/>
      <c r="N109" s="392"/>
      <c r="O109" s="502"/>
    </row>
    <row r="110" spans="1:15" s="455" customFormat="1" ht="13.5">
      <c r="C110" s="497"/>
      <c r="D110" s="691"/>
      <c r="E110" s="675"/>
      <c r="F110" s="675"/>
      <c r="G110" s="654"/>
      <c r="H110" s="502"/>
      <c r="I110" s="652"/>
      <c r="J110" s="497"/>
      <c r="K110" s="653"/>
      <c r="L110" s="502"/>
      <c r="M110" s="538"/>
      <c r="N110" s="392"/>
      <c r="O110" s="502"/>
    </row>
    <row r="111" spans="1:15" s="455" customFormat="1" ht="13.5">
      <c r="C111" s="497"/>
      <c r="D111" s="691"/>
      <c r="E111" s="675"/>
      <c r="F111" s="675"/>
      <c r="G111" s="654"/>
      <c r="H111" s="502"/>
      <c r="I111" s="652"/>
      <c r="J111" s="497"/>
      <c r="K111" s="653"/>
      <c r="L111" s="502"/>
      <c r="M111" s="538"/>
      <c r="N111" s="392"/>
      <c r="O111" s="502"/>
    </row>
    <row r="112" spans="1:15" s="455" customFormat="1" ht="13.5">
      <c r="C112" s="497"/>
      <c r="D112" s="691"/>
      <c r="E112" s="675"/>
      <c r="F112" s="1473"/>
      <c r="G112" s="654"/>
      <c r="H112" s="502"/>
      <c r="I112" s="652"/>
      <c r="J112" s="497"/>
      <c r="K112" s="653"/>
      <c r="L112" s="502"/>
      <c r="M112" s="538"/>
      <c r="N112" s="392"/>
      <c r="O112" s="502"/>
    </row>
    <row r="113" spans="3:14" s="355" customFormat="1" ht="13.5">
      <c r="C113" s="400"/>
      <c r="D113" s="400"/>
      <c r="E113" s="401"/>
      <c r="F113" s="402"/>
      <c r="G113" s="402"/>
      <c r="H113" s="403"/>
      <c r="I113" s="403"/>
      <c r="J113" s="403"/>
      <c r="K113" s="402"/>
      <c r="L113" s="404"/>
      <c r="M113" s="402"/>
      <c r="N113" s="405"/>
    </row>
    <row r="114" spans="3:14" s="355" customFormat="1" ht="13.5">
      <c r="C114" s="400"/>
      <c r="D114" s="400"/>
      <c r="E114" s="401"/>
      <c r="F114" s="402"/>
      <c r="G114" s="402"/>
      <c r="H114" s="403"/>
      <c r="I114" s="403"/>
      <c r="J114" s="403"/>
      <c r="K114" s="402"/>
      <c r="L114" s="404"/>
      <c r="M114" s="402"/>
      <c r="N114" s="405"/>
    </row>
    <row r="115" spans="3:14" s="355" customFormat="1" ht="13.5">
      <c r="C115" s="400"/>
      <c r="D115" s="400"/>
      <c r="E115" s="401"/>
      <c r="F115" s="402"/>
      <c r="G115" s="402"/>
      <c r="H115" s="403"/>
      <c r="I115" s="403"/>
      <c r="J115" s="403"/>
      <c r="K115" s="402"/>
      <c r="L115" s="404"/>
      <c r="M115" s="402"/>
      <c r="N115" s="405"/>
    </row>
    <row r="116" spans="3:14" s="355" customFormat="1" ht="13.5">
      <c r="C116" s="400"/>
      <c r="D116" s="400"/>
      <c r="E116" s="401"/>
      <c r="F116" s="402"/>
      <c r="G116" s="402"/>
      <c r="H116" s="403"/>
      <c r="I116" s="403"/>
      <c r="J116" s="403"/>
      <c r="K116" s="402"/>
      <c r="L116" s="404"/>
      <c r="M116" s="402"/>
      <c r="N116" s="405"/>
    </row>
    <row r="117" spans="3:14" s="355" customFormat="1" ht="13.5">
      <c r="C117" s="400"/>
      <c r="D117" s="400"/>
      <c r="E117" s="401"/>
      <c r="F117" s="402"/>
      <c r="G117" s="402"/>
      <c r="H117" s="403"/>
      <c r="I117" s="403"/>
      <c r="J117" s="403"/>
      <c r="K117" s="402"/>
      <c r="L117" s="404"/>
      <c r="M117" s="402"/>
      <c r="N117" s="405"/>
    </row>
    <row r="118" spans="3:14" s="355" customFormat="1" ht="13.5">
      <c r="C118" s="400"/>
      <c r="D118" s="400"/>
      <c r="E118" s="401"/>
      <c r="F118" s="402"/>
      <c r="G118" s="402"/>
      <c r="H118" s="403"/>
      <c r="I118" s="403"/>
      <c r="J118" s="403"/>
      <c r="K118" s="402"/>
      <c r="L118" s="404"/>
      <c r="M118" s="402"/>
      <c r="N118" s="405"/>
    </row>
    <row r="119" spans="3:14" s="355" customFormat="1" ht="13.5">
      <c r="C119" s="400"/>
      <c r="D119" s="400"/>
      <c r="E119" s="401"/>
      <c r="F119" s="402"/>
      <c r="G119" s="402"/>
      <c r="H119" s="403"/>
      <c r="I119" s="403"/>
      <c r="J119" s="403"/>
      <c r="K119" s="402"/>
      <c r="L119" s="404"/>
      <c r="M119" s="402"/>
      <c r="N119" s="405"/>
    </row>
    <row r="120" spans="3:14" s="355" customFormat="1" ht="13.5">
      <c r="C120" s="400"/>
      <c r="D120" s="400"/>
      <c r="E120" s="401"/>
      <c r="F120" s="402"/>
      <c r="G120" s="402"/>
      <c r="H120" s="403"/>
      <c r="I120" s="403"/>
      <c r="J120" s="403"/>
      <c r="K120" s="402"/>
      <c r="L120" s="404"/>
      <c r="M120" s="402"/>
      <c r="N120" s="405"/>
    </row>
    <row r="121" spans="3:14" s="355" customFormat="1" ht="13.5">
      <c r="C121" s="400"/>
      <c r="D121" s="400"/>
      <c r="E121" s="401"/>
      <c r="F121" s="402"/>
      <c r="G121" s="402"/>
      <c r="H121" s="403"/>
      <c r="I121" s="403"/>
      <c r="J121" s="403"/>
      <c r="K121" s="402"/>
      <c r="L121" s="404"/>
      <c r="M121" s="402"/>
      <c r="N121" s="405"/>
    </row>
    <row r="122" spans="3:14" s="355" customFormat="1" ht="13.5">
      <c r="C122" s="400"/>
      <c r="D122" s="400"/>
      <c r="E122" s="401"/>
      <c r="F122" s="402"/>
      <c r="G122" s="402"/>
      <c r="H122" s="403"/>
      <c r="I122" s="403"/>
      <c r="J122" s="403"/>
      <c r="K122" s="402"/>
      <c r="L122" s="404"/>
      <c r="M122" s="402"/>
      <c r="N122" s="405"/>
    </row>
    <row r="123" spans="3:14" s="355" customFormat="1" ht="13.5">
      <c r="C123" s="400"/>
      <c r="D123" s="400"/>
      <c r="E123" s="401"/>
      <c r="F123" s="402"/>
      <c r="G123" s="402"/>
      <c r="H123" s="403"/>
      <c r="I123" s="403"/>
      <c r="J123" s="403"/>
      <c r="K123" s="402"/>
      <c r="L123" s="404"/>
      <c r="M123" s="402"/>
      <c r="N123" s="405"/>
    </row>
    <row r="124" spans="3:14" s="355" customFormat="1" ht="13.5">
      <c r="C124" s="400"/>
      <c r="D124" s="400"/>
      <c r="E124" s="401"/>
      <c r="F124" s="402"/>
      <c r="G124" s="402"/>
      <c r="H124" s="403"/>
      <c r="I124" s="403"/>
      <c r="J124" s="403"/>
      <c r="K124" s="402"/>
      <c r="L124" s="404"/>
      <c r="M124" s="402"/>
      <c r="N124" s="405"/>
    </row>
    <row r="125" spans="3:14" s="355" customFormat="1" ht="13.5">
      <c r="C125" s="400"/>
      <c r="D125" s="400"/>
      <c r="E125" s="401"/>
      <c r="F125" s="402"/>
      <c r="G125" s="402"/>
      <c r="H125" s="403"/>
      <c r="I125" s="403"/>
      <c r="J125" s="403"/>
      <c r="K125" s="402"/>
      <c r="L125" s="404"/>
      <c r="M125" s="407"/>
      <c r="N125" s="405"/>
    </row>
    <row r="126" spans="3:14" s="355" customFormat="1" ht="13.5">
      <c r="C126" s="400"/>
      <c r="D126" s="400"/>
      <c r="E126" s="401"/>
      <c r="F126" s="402"/>
      <c r="G126" s="403"/>
      <c r="H126" s="403"/>
      <c r="I126" s="403"/>
      <c r="J126" s="403"/>
      <c r="K126" s="408"/>
      <c r="L126" s="404"/>
      <c r="M126" s="407"/>
      <c r="N126" s="405"/>
    </row>
    <row r="127" spans="3:14" s="355" customFormat="1" ht="13.5">
      <c r="C127" s="352"/>
      <c r="D127" s="352"/>
      <c r="E127" s="352"/>
      <c r="F127" s="352"/>
      <c r="G127" s="352"/>
      <c r="H127" s="352"/>
      <c r="I127" s="352"/>
      <c r="J127" s="352"/>
      <c r="K127" s="352"/>
      <c r="L127" s="1403">
        <f>SUM(L5:L125)</f>
        <v>8350760</v>
      </c>
      <c r="M127" s="352"/>
      <c r="N127" s="352"/>
    </row>
    <row r="128" spans="3:14" ht="14.25" customHeight="1">
      <c r="C128" s="367"/>
      <c r="D128" s="368"/>
      <c r="E128" s="369"/>
      <c r="F128" s="370"/>
      <c r="G128" s="370"/>
      <c r="H128" s="371"/>
      <c r="I128" s="371"/>
      <c r="J128" s="371"/>
      <c r="K128" s="370"/>
      <c r="L128" s="372"/>
      <c r="M128" s="370"/>
      <c r="N128" s="368"/>
    </row>
    <row r="129" spans="3:14" s="2255" customFormat="1" ht="14.25" customHeight="1">
      <c r="C129" s="367"/>
      <c r="D129" s="368"/>
      <c r="E129" s="373"/>
      <c r="F129" s="370"/>
      <c r="G129" s="370"/>
      <c r="H129" s="371"/>
      <c r="I129" s="371"/>
      <c r="J129" s="371"/>
      <c r="K129" s="370"/>
      <c r="L129" s="372"/>
      <c r="M129" s="370"/>
      <c r="N129" s="368"/>
    </row>
    <row r="130" spans="3:14" s="2255" customFormat="1" ht="14.25" customHeight="1">
      <c r="C130" s="374"/>
      <c r="D130" s="375"/>
      <c r="E130" s="373"/>
      <c r="F130" s="376"/>
      <c r="G130" s="376"/>
      <c r="H130" s="377"/>
      <c r="I130" s="377"/>
      <c r="J130" s="377"/>
      <c r="K130" s="376"/>
      <c r="L130" s="378"/>
      <c r="M130" s="376"/>
      <c r="N130" s="375"/>
    </row>
  </sheetData>
  <mergeCells count="17">
    <mergeCell ref="C81:C82"/>
    <mergeCell ref="C83:C85"/>
    <mergeCell ref="C5:C6"/>
    <mergeCell ref="F5:F6"/>
    <mergeCell ref="O7:O9"/>
    <mergeCell ref="C51:C52"/>
    <mergeCell ref="C53:C54"/>
    <mergeCell ref="E5:E6"/>
    <mergeCell ref="I5:I6"/>
    <mergeCell ref="C15:C20"/>
    <mergeCell ref="C24:C29"/>
    <mergeCell ref="C55:C60"/>
    <mergeCell ref="C2:G2"/>
    <mergeCell ref="H2:J2"/>
    <mergeCell ref="K2:L2"/>
    <mergeCell ref="M2:M3"/>
    <mergeCell ref="N2:N3"/>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FEF08-ECC4-49AC-A8E6-DA8C63A09583}">
  <sheetPr>
    <tabColor rgb="FF00B0F0"/>
  </sheetPr>
  <dimension ref="A1:O123"/>
  <sheetViews>
    <sheetView zoomScale="70" zoomScaleNormal="70" workbookViewId="0">
      <pane ySplit="4" topLeftCell="A22" activePane="bottomLeft" state="frozen"/>
      <selection pane="bottomLeft" activeCell="L44" sqref="L44"/>
    </sheetView>
  </sheetViews>
  <sheetFormatPr defaultRowHeight="15"/>
  <cols>
    <col min="1" max="1" width="11.28515625" customWidth="1"/>
    <col min="3" max="3" width="21.42578125" customWidth="1"/>
    <col min="4" max="4" width="49.7109375" bestFit="1"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style="99" customWidth="1"/>
    <col min="13" max="13" width="16.28515625" customWidth="1"/>
    <col min="14" max="14" width="12.85546875" customWidth="1"/>
    <col min="17" max="17" width="73.7109375" bestFit="1" customWidth="1"/>
  </cols>
  <sheetData>
    <row r="1" spans="1:15" s="355" customFormat="1" ht="13.5">
      <c r="L1" s="32"/>
    </row>
    <row r="2" spans="1:15" s="355" customFormat="1" ht="13.5">
      <c r="C2" s="2601" t="s">
        <v>30</v>
      </c>
      <c r="D2" s="2602"/>
      <c r="E2" s="2602"/>
      <c r="F2" s="2602"/>
      <c r="G2" s="2603"/>
      <c r="H2" s="2604" t="s">
        <v>29</v>
      </c>
      <c r="I2" s="2605"/>
      <c r="J2" s="2606"/>
      <c r="K2" s="2601" t="s">
        <v>28</v>
      </c>
      <c r="L2" s="2603"/>
      <c r="M2" s="2594" t="s">
        <v>27</v>
      </c>
      <c r="N2" s="2594" t="s">
        <v>26</v>
      </c>
    </row>
    <row r="3" spans="1:15" s="355" customFormat="1" ht="94.5">
      <c r="C3" s="618" t="s">
        <v>25</v>
      </c>
      <c r="D3" s="852" t="s">
        <v>24</v>
      </c>
      <c r="E3" s="991" t="s">
        <v>23</v>
      </c>
      <c r="F3" s="618" t="s">
        <v>22</v>
      </c>
      <c r="G3" s="532" t="s">
        <v>1303</v>
      </c>
      <c r="H3" s="532" t="s">
        <v>20</v>
      </c>
      <c r="I3" s="532" t="s">
        <v>19</v>
      </c>
      <c r="J3" s="532" t="s">
        <v>18</v>
      </c>
      <c r="K3" s="618" t="s">
        <v>17</v>
      </c>
      <c r="L3" s="605" t="s">
        <v>16</v>
      </c>
      <c r="M3" s="2594"/>
      <c r="N3" s="2594"/>
    </row>
    <row r="4" spans="1:15" s="355" customFormat="1" ht="27">
      <c r="C4" s="1076" t="s">
        <v>15</v>
      </c>
      <c r="D4" s="1076" t="s">
        <v>14</v>
      </c>
      <c r="E4" s="1076" t="s">
        <v>13</v>
      </c>
      <c r="F4" s="1076" t="s">
        <v>12</v>
      </c>
      <c r="G4" s="1076" t="s">
        <v>11</v>
      </c>
      <c r="H4" s="1076" t="s">
        <v>10</v>
      </c>
      <c r="I4" s="1076" t="s">
        <v>9</v>
      </c>
      <c r="J4" s="1076" t="s">
        <v>8</v>
      </c>
      <c r="K4" s="1076" t="s">
        <v>7</v>
      </c>
      <c r="L4" s="1077" t="s">
        <v>6</v>
      </c>
      <c r="M4" s="1076" t="s">
        <v>5</v>
      </c>
      <c r="N4" s="1076" t="s">
        <v>4</v>
      </c>
    </row>
    <row r="5" spans="1:15" s="455" customFormat="1" ht="25.5" customHeight="1">
      <c r="A5" s="471"/>
      <c r="B5" s="483" t="s">
        <v>1675</v>
      </c>
      <c r="C5" s="1542" t="s">
        <v>1641</v>
      </c>
      <c r="D5" s="1533" t="s">
        <v>2</v>
      </c>
      <c r="E5" s="1543"/>
      <c r="F5" s="1544"/>
      <c r="G5" s="1545"/>
      <c r="H5" s="1535"/>
      <c r="I5" s="1538"/>
      <c r="J5" s="1538"/>
      <c r="K5" s="1530" t="s">
        <v>748</v>
      </c>
      <c r="L5" s="1546">
        <v>580000</v>
      </c>
      <c r="N5" s="1535"/>
      <c r="O5" s="1535"/>
    </row>
    <row r="6" spans="1:15" s="455" customFormat="1" ht="13.5">
      <c r="A6" s="471"/>
      <c r="B6" s="483"/>
      <c r="C6" s="1479"/>
      <c r="D6" s="1480"/>
      <c r="E6" s="1541"/>
      <c r="F6" s="1483"/>
      <c r="G6" s="1476"/>
      <c r="H6" s="1484"/>
      <c r="I6" s="1485"/>
      <c r="J6" s="1486"/>
      <c r="K6" s="1487"/>
      <c r="L6" s="1478"/>
      <c r="N6" s="1478"/>
      <c r="O6" s="1481"/>
    </row>
    <row r="7" spans="1:15" s="455" customFormat="1" ht="127.5">
      <c r="A7" s="471"/>
      <c r="B7" s="454" t="s">
        <v>1677</v>
      </c>
      <c r="C7" s="1542" t="s">
        <v>1641</v>
      </c>
      <c r="D7" s="1533" t="s">
        <v>2</v>
      </c>
      <c r="E7" s="1543"/>
      <c r="F7" s="1544"/>
      <c r="G7" s="1545"/>
      <c r="H7" s="1535"/>
      <c r="I7" s="1538"/>
      <c r="J7" s="1538"/>
      <c r="K7" s="1530" t="s">
        <v>748</v>
      </c>
      <c r="L7" s="1546">
        <v>650000</v>
      </c>
      <c r="N7" s="1535"/>
      <c r="O7" s="1535"/>
    </row>
    <row r="8" spans="1:15" s="455" customFormat="1" ht="13.5">
      <c r="A8" s="471"/>
      <c r="B8" s="454"/>
      <c r="C8" s="902"/>
      <c r="D8" s="902"/>
      <c r="E8" s="902"/>
      <c r="F8" s="1380"/>
      <c r="G8" s="636"/>
      <c r="H8" s="1462"/>
      <c r="I8" s="1462"/>
      <c r="J8" s="1462"/>
      <c r="K8" s="1463"/>
      <c r="L8" s="1172"/>
      <c r="N8" s="460"/>
      <c r="O8" s="1527"/>
    </row>
    <row r="9" spans="1:15" s="455" customFormat="1" ht="13.5">
      <c r="A9" s="471"/>
      <c r="B9" s="454"/>
      <c r="C9" s="168"/>
      <c r="D9" s="1503"/>
      <c r="E9" s="169"/>
      <c r="F9" s="1503"/>
      <c r="G9" s="170"/>
      <c r="H9" s="171"/>
      <c r="I9" s="171"/>
      <c r="J9" s="172"/>
      <c r="K9" s="1504"/>
      <c r="L9" s="168"/>
      <c r="N9" s="1503"/>
      <c r="O9" s="1528"/>
    </row>
    <row r="10" spans="1:15" s="455" customFormat="1" ht="13.5">
      <c r="A10" s="471"/>
      <c r="B10" s="454"/>
      <c r="C10" s="168"/>
      <c r="D10" s="1503"/>
      <c r="E10" s="169"/>
      <c r="F10" s="1503"/>
      <c r="G10" s="1503"/>
      <c r="H10" s="1503"/>
      <c r="I10" s="1503"/>
      <c r="J10" s="1503"/>
      <c r="K10" s="1504"/>
      <c r="L10" s="164"/>
      <c r="N10" s="1503"/>
      <c r="O10" s="625"/>
    </row>
    <row r="11" spans="1:15" s="455" customFormat="1" ht="63.75">
      <c r="A11" s="471"/>
      <c r="B11" s="454" t="s">
        <v>1724</v>
      </c>
      <c r="C11" s="1589" t="s">
        <v>1725</v>
      </c>
      <c r="D11" s="1595" t="s">
        <v>2</v>
      </c>
      <c r="E11" s="1596"/>
      <c r="F11" s="1597"/>
      <c r="G11" s="1590"/>
      <c r="H11" s="1591"/>
      <c r="I11" s="1592"/>
      <c r="J11" s="1592"/>
      <c r="K11" s="218" t="s">
        <v>748</v>
      </c>
      <c r="L11" s="1593">
        <v>287500</v>
      </c>
      <c r="N11" s="1591"/>
      <c r="O11" s="1591"/>
    </row>
    <row r="12" spans="1:15" s="455" customFormat="1" ht="13.5">
      <c r="A12" s="471"/>
      <c r="B12" s="454"/>
      <c r="C12" s="314"/>
      <c r="D12" s="309"/>
      <c r="E12" s="309"/>
      <c r="F12" s="309"/>
      <c r="G12" s="497"/>
      <c r="H12" s="985"/>
      <c r="I12" s="985"/>
      <c r="J12" s="985"/>
      <c r="K12" s="499"/>
      <c r="L12" s="1025"/>
      <c r="M12" s="499"/>
      <c r="N12" s="1464"/>
    </row>
    <row r="13" spans="1:15" s="455" customFormat="1" ht="41.45" customHeight="1">
      <c r="A13" s="471"/>
      <c r="B13" s="454" t="s">
        <v>2699</v>
      </c>
      <c r="C13" s="2756" t="s">
        <v>2902</v>
      </c>
      <c r="D13" s="1712" t="s">
        <v>2</v>
      </c>
      <c r="E13" s="1922"/>
      <c r="F13" s="1919"/>
      <c r="G13" s="1725"/>
      <c r="H13" s="1801"/>
      <c r="I13" s="1801"/>
      <c r="J13" s="1801"/>
      <c r="K13" s="1801"/>
      <c r="L13" s="1920"/>
      <c r="M13" s="1715" t="s">
        <v>2446</v>
      </c>
      <c r="N13" s="1716"/>
    </row>
    <row r="14" spans="1:15" s="455" customFormat="1" ht="13.9" customHeight="1">
      <c r="A14" s="471"/>
      <c r="B14" s="454" t="s">
        <v>2699</v>
      </c>
      <c r="C14" s="2757"/>
      <c r="D14" s="2759" t="s">
        <v>2903</v>
      </c>
      <c r="E14" s="1885"/>
      <c r="F14" s="1724"/>
      <c r="G14" s="1725"/>
      <c r="H14" s="1801"/>
      <c r="I14" s="1801"/>
      <c r="J14" s="1801"/>
      <c r="K14" s="1712" t="s">
        <v>2216</v>
      </c>
      <c r="L14" s="1943">
        <v>125000</v>
      </c>
      <c r="M14" s="1721"/>
      <c r="N14" s="1720"/>
    </row>
    <row r="15" spans="1:15" s="455" customFormat="1">
      <c r="A15" s="471"/>
      <c r="B15" s="454" t="s">
        <v>2699</v>
      </c>
      <c r="C15" s="2757"/>
      <c r="D15" s="2759"/>
      <c r="E15" s="1885"/>
      <c r="F15" s="1724"/>
      <c r="G15" s="1725"/>
      <c r="H15" s="1801"/>
      <c r="I15" s="1801"/>
      <c r="J15" s="1801"/>
      <c r="K15" s="1836"/>
      <c r="L15" s="1943"/>
      <c r="M15" s="1721"/>
      <c r="N15" s="1720"/>
    </row>
    <row r="16" spans="1:15" s="455" customFormat="1">
      <c r="A16" s="471"/>
      <c r="B16" s="454"/>
      <c r="C16" s="1951"/>
      <c r="D16" s="1726"/>
      <c r="E16" s="1885"/>
      <c r="F16" s="1724"/>
      <c r="G16" s="1725"/>
      <c r="H16" s="1801"/>
      <c r="I16" s="1801"/>
      <c r="J16" s="1801"/>
      <c r="K16" s="1802"/>
      <c r="L16" s="1801"/>
      <c r="M16" s="1943"/>
      <c r="N16" s="1721"/>
      <c r="O16" s="1720"/>
    </row>
    <row r="17" spans="1:15" s="455" customFormat="1" ht="27">
      <c r="A17" s="471"/>
      <c r="B17" s="454" t="s">
        <v>2699</v>
      </c>
      <c r="C17" s="2756" t="s">
        <v>2902</v>
      </c>
      <c r="D17" s="1712" t="s">
        <v>2</v>
      </c>
      <c r="E17" s="1922"/>
      <c r="F17" s="1919"/>
      <c r="G17" s="1725"/>
      <c r="H17" s="1801"/>
      <c r="I17" s="1801"/>
      <c r="J17" s="1801"/>
      <c r="K17" s="1801"/>
      <c r="L17" s="1920"/>
      <c r="M17" s="1715" t="s">
        <v>2446</v>
      </c>
      <c r="N17" s="1716"/>
    </row>
    <row r="18" spans="1:15" s="455" customFormat="1" ht="13.9" customHeight="1">
      <c r="A18" s="471"/>
      <c r="B18" s="454" t="s">
        <v>2699</v>
      </c>
      <c r="C18" s="2757"/>
      <c r="D18" s="2759" t="s">
        <v>2903</v>
      </c>
      <c r="E18" s="1885"/>
      <c r="F18" s="1724"/>
      <c r="G18" s="1725"/>
      <c r="H18" s="1801"/>
      <c r="I18" s="1801"/>
      <c r="J18" s="1801"/>
      <c r="K18" s="1712" t="s">
        <v>2216</v>
      </c>
      <c r="L18" s="1943">
        <v>175000</v>
      </c>
      <c r="M18" s="1721"/>
      <c r="N18" s="1720"/>
    </row>
    <row r="19" spans="1:15" s="455" customFormat="1">
      <c r="A19" s="471"/>
      <c r="B19" s="454" t="s">
        <v>2699</v>
      </c>
      <c r="C19" s="2757"/>
      <c r="D19" s="2759"/>
      <c r="E19" s="1885"/>
      <c r="F19" s="1724"/>
      <c r="G19" s="1725"/>
      <c r="H19" s="1801"/>
      <c r="I19" s="1801"/>
      <c r="J19" s="1801"/>
      <c r="K19" s="1836"/>
      <c r="L19" s="1943"/>
      <c r="M19" s="1721"/>
      <c r="N19" s="1720"/>
    </row>
    <row r="20" spans="1:15" s="455" customFormat="1">
      <c r="A20" s="471"/>
      <c r="B20" s="454" t="s">
        <v>2699</v>
      </c>
      <c r="C20" s="2757"/>
      <c r="D20" s="1726"/>
      <c r="E20" s="1885"/>
      <c r="F20" s="1724"/>
      <c r="G20" s="1725"/>
      <c r="H20" s="1801"/>
      <c r="I20" s="1801"/>
      <c r="J20" s="1801"/>
      <c r="K20" s="1802"/>
      <c r="L20" s="1801"/>
      <c r="M20" s="1943"/>
      <c r="N20" s="1721"/>
      <c r="O20" s="1720"/>
    </row>
    <row r="21" spans="1:15" s="455" customFormat="1">
      <c r="A21" s="471"/>
      <c r="B21" s="454" t="s">
        <v>2699</v>
      </c>
      <c r="C21" s="2757"/>
      <c r="D21" s="1726"/>
      <c r="E21" s="1885"/>
      <c r="F21" s="1724"/>
      <c r="G21" s="1725"/>
      <c r="H21" s="1801"/>
      <c r="I21" s="1801"/>
      <c r="J21" s="1801"/>
      <c r="K21" s="1802"/>
      <c r="L21" s="1801"/>
      <c r="M21" s="1943"/>
      <c r="N21" s="1721"/>
      <c r="O21" s="1720"/>
    </row>
    <row r="22" spans="1:15" s="455" customFormat="1">
      <c r="A22" s="471"/>
      <c r="B22" s="454" t="s">
        <v>2699</v>
      </c>
      <c r="C22" s="2757"/>
      <c r="D22" s="1726"/>
      <c r="E22" s="1881"/>
      <c r="F22" s="1724"/>
      <c r="G22" s="1725"/>
      <c r="H22" s="1801"/>
      <c r="I22" s="1801"/>
      <c r="J22" s="1801"/>
      <c r="K22" s="1802"/>
      <c r="L22" s="1801"/>
      <c r="M22" s="1943"/>
      <c r="N22" s="1721"/>
      <c r="O22" s="1720"/>
    </row>
    <row r="23" spans="1:15" s="455" customFormat="1">
      <c r="A23" s="471"/>
      <c r="B23" s="454" t="s">
        <v>2699</v>
      </c>
      <c r="C23" s="2758"/>
      <c r="D23" s="1726"/>
      <c r="E23" s="1885"/>
      <c r="F23" s="1724"/>
      <c r="G23" s="1725"/>
      <c r="H23" s="1801"/>
      <c r="I23" s="1801"/>
      <c r="J23" s="1801"/>
      <c r="K23" s="1802"/>
      <c r="L23" s="1801"/>
      <c r="M23" s="1943"/>
      <c r="N23" s="1721"/>
      <c r="O23" s="1720"/>
    </row>
    <row r="24" spans="1:15" s="455" customFormat="1">
      <c r="A24" s="471"/>
      <c r="B24" s="454"/>
      <c r="C24" s="1951"/>
      <c r="D24" s="1726"/>
      <c r="E24" s="1881"/>
      <c r="F24" s="1724"/>
      <c r="G24" s="1725"/>
      <c r="H24" s="1801"/>
      <c r="I24" s="1801"/>
      <c r="J24" s="1801"/>
      <c r="K24" s="1802"/>
      <c r="L24" s="1801"/>
      <c r="M24" s="1943"/>
      <c r="N24" s="1721"/>
      <c r="O24" s="1720"/>
    </row>
    <row r="25" spans="1:15" s="455" customFormat="1">
      <c r="A25" s="471"/>
      <c r="B25" s="454"/>
      <c r="C25" s="1951"/>
      <c r="D25" s="1726"/>
      <c r="E25" s="1881"/>
      <c r="F25" s="1724"/>
      <c r="G25" s="1725"/>
      <c r="H25" s="1801"/>
      <c r="I25" s="1801"/>
      <c r="J25" s="1801"/>
      <c r="K25" s="1802"/>
      <c r="L25" s="1801"/>
      <c r="M25" s="1943"/>
      <c r="N25" s="1721"/>
      <c r="O25" s="1720"/>
    </row>
    <row r="26" spans="1:15" s="455" customFormat="1">
      <c r="A26" s="471"/>
      <c r="B26" s="454"/>
      <c r="C26" s="1951"/>
      <c r="D26" s="1726"/>
      <c r="E26" s="1881"/>
      <c r="F26" s="1724"/>
      <c r="G26" s="1725"/>
      <c r="H26" s="1801"/>
      <c r="I26" s="1801"/>
      <c r="J26" s="1801"/>
      <c r="K26" s="1802"/>
      <c r="L26" s="1801"/>
      <c r="M26" s="1943"/>
      <c r="N26" s="1721"/>
      <c r="O26" s="1720"/>
    </row>
    <row r="27" spans="1:15" s="455" customFormat="1" ht="42.75">
      <c r="A27" s="471" t="s">
        <v>3571</v>
      </c>
      <c r="B27" s="454" t="s">
        <v>3560</v>
      </c>
      <c r="C27" s="2135" t="s">
        <v>746</v>
      </c>
      <c r="D27" s="2136" t="s">
        <v>3569</v>
      </c>
      <c r="E27" s="2137" t="s">
        <v>746</v>
      </c>
      <c r="F27" s="2138"/>
      <c r="G27" s="2138" t="s">
        <v>1</v>
      </c>
      <c r="H27" s="2139" t="s">
        <v>3557</v>
      </c>
      <c r="I27" s="2139" t="s">
        <v>3557</v>
      </c>
      <c r="J27" s="2139" t="s">
        <v>599</v>
      </c>
      <c r="K27" s="2140" t="s">
        <v>3570</v>
      </c>
      <c r="L27" s="2141">
        <v>200000</v>
      </c>
      <c r="M27" s="2142"/>
      <c r="N27" s="2143" t="s">
        <v>703</v>
      </c>
      <c r="O27" s="1720"/>
    </row>
    <row r="28" spans="1:15" s="455" customFormat="1">
      <c r="A28" s="471"/>
      <c r="B28" s="454"/>
      <c r="C28" s="1951"/>
      <c r="D28" s="1726"/>
      <c r="E28" s="1881"/>
      <c r="F28" s="1724"/>
      <c r="G28" s="1725"/>
      <c r="H28" s="1801"/>
      <c r="I28" s="1801"/>
      <c r="J28" s="1801"/>
      <c r="K28" s="1802"/>
      <c r="L28" s="1801"/>
      <c r="M28" s="1943"/>
      <c r="N28" s="1721"/>
      <c r="O28" s="1720"/>
    </row>
    <row r="29" spans="1:15" s="455" customFormat="1">
      <c r="A29" s="471"/>
      <c r="B29" s="454"/>
      <c r="C29" s="1951"/>
      <c r="D29" s="1726"/>
      <c r="E29" s="1881"/>
      <c r="F29" s="1724"/>
      <c r="G29" s="1725"/>
      <c r="H29" s="1801"/>
      <c r="I29" s="1801"/>
      <c r="J29" s="1801"/>
      <c r="K29" s="1802"/>
      <c r="L29" s="1801"/>
      <c r="M29" s="1943"/>
      <c r="N29" s="1721"/>
      <c r="O29" s="1720"/>
    </row>
    <row r="30" spans="1:15" s="455" customFormat="1" ht="56.25">
      <c r="A30" s="471" t="s">
        <v>3582</v>
      </c>
      <c r="B30" s="454" t="s">
        <v>3582</v>
      </c>
      <c r="C30" s="2144" t="s">
        <v>746</v>
      </c>
      <c r="D30" s="2145" t="s">
        <v>3569</v>
      </c>
      <c r="E30" s="2144" t="s">
        <v>746</v>
      </c>
      <c r="F30" s="2146" t="s">
        <v>3</v>
      </c>
      <c r="G30" s="2146" t="s">
        <v>1</v>
      </c>
      <c r="H30" s="2147" t="s">
        <v>675</v>
      </c>
      <c r="I30" s="2147" t="s">
        <v>675</v>
      </c>
      <c r="J30" s="2147" t="s">
        <v>675</v>
      </c>
      <c r="K30" s="2148" t="s">
        <v>3570</v>
      </c>
      <c r="L30" s="2149">
        <v>100000</v>
      </c>
      <c r="M30" s="2150" t="s">
        <v>659</v>
      </c>
      <c r="N30" s="1565" t="s">
        <v>703</v>
      </c>
      <c r="O30" s="1720"/>
    </row>
    <row r="31" spans="1:15" s="455" customFormat="1">
      <c r="A31" s="471"/>
      <c r="B31" s="454"/>
      <c r="C31" s="1951"/>
      <c r="D31" s="1726"/>
      <c r="E31" s="1881"/>
      <c r="F31" s="1724"/>
      <c r="G31" s="1725"/>
      <c r="H31" s="1801"/>
      <c r="I31" s="1801"/>
      <c r="J31" s="1801"/>
      <c r="K31" s="1802"/>
      <c r="L31" s="1801"/>
      <c r="M31" s="1943"/>
      <c r="N31" s="1721"/>
      <c r="O31" s="1720"/>
    </row>
    <row r="32" spans="1:15" s="455" customFormat="1">
      <c r="A32" s="471"/>
      <c r="B32" s="454"/>
      <c r="C32" s="1951"/>
      <c r="D32" s="1726"/>
      <c r="E32" s="1881"/>
      <c r="F32" s="1724"/>
      <c r="G32" s="1725"/>
      <c r="H32" s="1801"/>
      <c r="I32" s="1801"/>
      <c r="J32" s="1801"/>
      <c r="K32" s="1802"/>
      <c r="L32" s="1801"/>
      <c r="M32" s="1943"/>
      <c r="N32" s="1721"/>
      <c r="O32" s="1720"/>
    </row>
    <row r="33" spans="1:15" s="455" customFormat="1">
      <c r="A33" s="471"/>
      <c r="B33" s="454"/>
      <c r="C33" s="1951"/>
      <c r="D33" s="1726"/>
      <c r="E33" s="1881"/>
      <c r="F33" s="1724"/>
      <c r="G33" s="1725"/>
      <c r="H33" s="1801"/>
      <c r="I33" s="1801"/>
      <c r="J33" s="1801"/>
      <c r="K33" s="1802"/>
      <c r="L33" s="1801"/>
      <c r="M33" s="1943"/>
      <c r="N33" s="1721"/>
      <c r="O33" s="1720"/>
    </row>
    <row r="34" spans="1:15" s="455" customFormat="1">
      <c r="A34" s="471"/>
      <c r="B34" s="454"/>
      <c r="C34" s="1951"/>
      <c r="D34" s="1726"/>
      <c r="E34" s="1881"/>
      <c r="F34" s="1724"/>
      <c r="G34" s="1725"/>
      <c r="H34" s="1801"/>
      <c r="I34" s="1801"/>
      <c r="J34" s="1801"/>
      <c r="K34" s="1802"/>
      <c r="L34" s="1801"/>
      <c r="M34" s="1943"/>
      <c r="N34" s="1721"/>
      <c r="O34" s="1720"/>
    </row>
    <row r="35" spans="1:15" s="455" customFormat="1">
      <c r="A35" s="471"/>
      <c r="B35" s="454"/>
      <c r="C35" s="1951"/>
      <c r="D35" s="1726"/>
      <c r="E35" s="1881"/>
      <c r="F35" s="1724"/>
      <c r="G35" s="1725"/>
      <c r="H35" s="1801"/>
      <c r="I35" s="1801"/>
      <c r="J35" s="1801"/>
      <c r="K35" s="1802"/>
      <c r="L35" s="1997"/>
      <c r="M35" s="1943"/>
      <c r="N35" s="1721"/>
      <c r="O35" s="1720"/>
    </row>
    <row r="36" spans="1:15" s="455" customFormat="1">
      <c r="A36" s="471"/>
      <c r="B36" s="454"/>
      <c r="C36" s="1951"/>
      <c r="D36" s="1726"/>
      <c r="E36" s="1881"/>
      <c r="F36" s="1724"/>
      <c r="G36" s="1725"/>
      <c r="H36" s="1801"/>
      <c r="I36" s="1801"/>
      <c r="J36" s="1801"/>
      <c r="K36" s="1802"/>
      <c r="L36" s="1801"/>
      <c r="M36" s="1943"/>
      <c r="N36" s="1721"/>
      <c r="O36" s="1720"/>
    </row>
    <row r="37" spans="1:15" s="455" customFormat="1">
      <c r="A37" s="471"/>
      <c r="B37" s="454"/>
      <c r="C37" s="1951"/>
      <c r="D37" s="1726"/>
      <c r="E37" s="1881"/>
      <c r="F37" s="1724"/>
      <c r="G37" s="1725"/>
      <c r="H37" s="1801"/>
      <c r="I37" s="1801"/>
      <c r="J37" s="1801"/>
      <c r="K37" s="1802"/>
      <c r="L37" s="1801"/>
      <c r="M37" s="1943"/>
      <c r="N37" s="1721"/>
      <c r="O37" s="1720"/>
    </row>
    <row r="38" spans="1:15" s="455" customFormat="1">
      <c r="A38" s="471"/>
      <c r="B38" s="454"/>
      <c r="C38" s="1951"/>
      <c r="D38" s="1726"/>
      <c r="E38" s="1881"/>
      <c r="F38" s="1724"/>
      <c r="G38" s="1725"/>
      <c r="H38" s="1801"/>
      <c r="I38" s="1801"/>
      <c r="J38" s="1801"/>
      <c r="K38" s="1802"/>
      <c r="L38" s="1801"/>
      <c r="M38" s="1943"/>
      <c r="N38" s="1721"/>
      <c r="O38" s="1720"/>
    </row>
    <row r="39" spans="1:15" s="455" customFormat="1">
      <c r="A39" s="471"/>
      <c r="B39" s="454"/>
      <c r="C39" s="1951"/>
      <c r="D39" s="1726"/>
      <c r="E39" s="1881"/>
      <c r="F39" s="1724"/>
      <c r="G39" s="1725"/>
      <c r="H39" s="1801"/>
      <c r="I39" s="1801"/>
      <c r="J39" s="1801"/>
      <c r="K39" s="1802"/>
      <c r="L39" s="1801"/>
      <c r="M39" s="1943"/>
      <c r="N39" s="1721"/>
      <c r="O39" s="1720"/>
    </row>
    <row r="40" spans="1:15" s="455" customFormat="1">
      <c r="A40" s="471"/>
      <c r="B40" s="454"/>
      <c r="C40" s="1951"/>
      <c r="D40" s="1726"/>
      <c r="E40" s="1881"/>
      <c r="F40" s="1724"/>
      <c r="G40" s="1725"/>
      <c r="H40" s="1801"/>
      <c r="I40" s="1801"/>
      <c r="J40" s="1801"/>
      <c r="K40" s="1802"/>
      <c r="L40" s="1801"/>
      <c r="M40" s="1943"/>
      <c r="N40" s="1721"/>
      <c r="O40" s="1720"/>
    </row>
    <row r="41" spans="1:15" s="455" customFormat="1">
      <c r="A41" s="471"/>
      <c r="B41" s="454"/>
      <c r="C41" s="1951"/>
      <c r="D41" s="1726"/>
      <c r="E41" s="1881"/>
      <c r="F41" s="1724"/>
      <c r="G41" s="1725"/>
      <c r="H41" s="1801"/>
      <c r="I41" s="1801"/>
      <c r="J41" s="1801"/>
      <c r="K41" s="1802"/>
      <c r="L41" s="1801"/>
      <c r="M41" s="1943"/>
      <c r="N41" s="1721"/>
      <c r="O41" s="1720"/>
    </row>
    <row r="42" spans="1:15" s="455" customFormat="1">
      <c r="A42" s="471"/>
      <c r="B42" s="454"/>
      <c r="C42" s="1913"/>
      <c r="D42" s="1726"/>
      <c r="E42" s="1885"/>
      <c r="F42" s="1724"/>
      <c r="G42" s="1725"/>
      <c r="H42" s="1801"/>
      <c r="I42" s="1801"/>
      <c r="J42" s="1801"/>
      <c r="K42" s="1802"/>
      <c r="L42" s="1801"/>
      <c r="M42" s="1943"/>
      <c r="N42" s="1721"/>
      <c r="O42" s="1720"/>
    </row>
    <row r="43" spans="1:15" s="455" customFormat="1" ht="13.5">
      <c r="A43" s="471"/>
      <c r="B43" s="454"/>
      <c r="C43" s="392"/>
      <c r="D43" s="309"/>
      <c r="E43" s="309"/>
      <c r="F43" s="309"/>
      <c r="G43" s="497"/>
      <c r="H43" s="985"/>
      <c r="I43" s="985"/>
      <c r="J43" s="985"/>
      <c r="K43" s="499"/>
      <c r="L43" s="1025"/>
      <c r="M43" s="499"/>
      <c r="N43" s="1467"/>
    </row>
    <row r="44" spans="1:15" s="455" customFormat="1" ht="17.25">
      <c r="A44" s="471"/>
      <c r="B44" s="454"/>
      <c r="C44" s="392"/>
      <c r="D44" s="309"/>
      <c r="E44" s="309"/>
      <c r="F44" s="309"/>
      <c r="G44" s="497"/>
      <c r="H44" s="985"/>
      <c r="I44" s="985"/>
      <c r="J44" s="985"/>
      <c r="K44" s="499"/>
      <c r="L44" s="2462">
        <f>SUM(L5:L42)</f>
        <v>2117500</v>
      </c>
      <c r="M44" s="499"/>
      <c r="N44" s="1468"/>
    </row>
    <row r="45" spans="1:15" s="455" customFormat="1" ht="13.5">
      <c r="A45" s="471"/>
      <c r="B45" s="454"/>
      <c r="C45" s="392"/>
      <c r="D45" s="309"/>
      <c r="E45" s="309"/>
      <c r="F45" s="309"/>
      <c r="G45" s="497"/>
      <c r="H45" s="985"/>
      <c r="I45" s="985"/>
      <c r="J45" s="985"/>
      <c r="K45" s="499"/>
      <c r="L45" s="1025"/>
      <c r="M45" s="499"/>
      <c r="N45" s="1468"/>
    </row>
    <row r="46" spans="1:15" s="455" customFormat="1" ht="13.5">
      <c r="A46" s="471"/>
      <c r="B46" s="454"/>
      <c r="C46" s="1524"/>
      <c r="D46" s="309"/>
      <c r="E46" s="309"/>
      <c r="F46" s="309"/>
      <c r="G46" s="497"/>
      <c r="H46" s="985"/>
      <c r="I46" s="985"/>
      <c r="J46" s="985"/>
      <c r="K46" s="499"/>
      <c r="L46" s="1025"/>
      <c r="M46" s="499"/>
      <c r="N46" s="1468"/>
    </row>
    <row r="47" spans="1:15" s="455" customFormat="1" ht="13.5">
      <c r="A47" s="471"/>
      <c r="B47" s="454"/>
      <c r="C47" s="1525"/>
      <c r="D47" s="309"/>
      <c r="E47" s="309"/>
      <c r="F47" s="309"/>
      <c r="G47" s="497"/>
      <c r="H47" s="985"/>
      <c r="I47" s="985"/>
      <c r="J47" s="985"/>
      <c r="K47" s="499"/>
      <c r="L47" s="1025"/>
      <c r="M47" s="499"/>
      <c r="N47" s="1468"/>
    </row>
    <row r="48" spans="1:15" s="455" customFormat="1" ht="13.5">
      <c r="A48" s="471"/>
      <c r="B48" s="454"/>
      <c r="C48" s="392"/>
      <c r="D48" s="309"/>
      <c r="E48" s="309"/>
      <c r="F48" s="309"/>
      <c r="G48" s="497"/>
      <c r="H48" s="1056"/>
      <c r="I48" s="985"/>
      <c r="J48" s="985"/>
      <c r="K48" s="499"/>
      <c r="L48" s="1025"/>
      <c r="M48" s="499"/>
      <c r="N48" s="1465"/>
    </row>
    <row r="49" spans="1:15" s="455" customFormat="1" ht="13.5">
      <c r="A49" s="471"/>
      <c r="B49" s="454"/>
      <c r="C49" s="392"/>
      <c r="D49" s="309"/>
      <c r="E49" s="309"/>
      <c r="F49" s="309"/>
      <c r="G49" s="497"/>
      <c r="H49" s="985"/>
      <c r="I49" s="985"/>
      <c r="J49" s="985"/>
      <c r="K49" s="499"/>
      <c r="L49" s="1025"/>
      <c r="M49" s="499"/>
    </row>
    <row r="50" spans="1:15" s="455" customFormat="1" ht="13.5">
      <c r="A50" s="471"/>
      <c r="B50" s="454"/>
      <c r="C50" s="987"/>
      <c r="D50" s="314"/>
      <c r="E50" s="662"/>
      <c r="F50" s="309"/>
      <c r="G50" s="497"/>
      <c r="H50" s="985"/>
      <c r="I50" s="985"/>
      <c r="J50" s="985"/>
      <c r="K50" s="499"/>
      <c r="L50" s="1025"/>
      <c r="M50" s="499"/>
      <c r="N50" s="454"/>
    </row>
    <row r="51" spans="1:15" s="455" customFormat="1" ht="13.5">
      <c r="A51" s="471"/>
      <c r="B51" s="454"/>
      <c r="C51" s="987"/>
      <c r="D51" s="314"/>
      <c r="E51" s="662"/>
      <c r="F51" s="309"/>
      <c r="G51" s="497"/>
      <c r="H51" s="985"/>
      <c r="I51" s="985"/>
      <c r="J51" s="985"/>
      <c r="K51" s="499"/>
      <c r="L51" s="1025"/>
      <c r="M51" s="499"/>
      <c r="N51" s="458"/>
    </row>
    <row r="52" spans="1:15" s="455" customFormat="1" ht="13.5">
      <c r="A52" s="471"/>
      <c r="B52" s="454"/>
      <c r="C52" s="987"/>
      <c r="D52" s="314"/>
      <c r="E52" s="662"/>
      <c r="F52" s="309"/>
      <c r="G52" s="497"/>
      <c r="H52" s="985"/>
      <c r="I52" s="985"/>
      <c r="J52" s="985"/>
      <c r="K52" s="499"/>
      <c r="L52" s="1065"/>
      <c r="M52" s="499"/>
      <c r="N52" s="458"/>
    </row>
    <row r="53" spans="1:15" s="455" customFormat="1" ht="13.5">
      <c r="A53" s="471"/>
      <c r="B53" s="454"/>
      <c r="C53" s="987"/>
      <c r="D53" s="309"/>
      <c r="E53" s="662"/>
      <c r="F53" s="309"/>
      <c r="G53" s="497"/>
      <c r="H53" s="985"/>
      <c r="I53" s="985"/>
      <c r="J53" s="985"/>
      <c r="K53" s="499"/>
      <c r="L53" s="1065"/>
      <c r="M53" s="499"/>
      <c r="N53" s="458"/>
    </row>
    <row r="54" spans="1:15" s="455" customFormat="1" ht="13.5">
      <c r="A54" s="471"/>
      <c r="B54" s="454"/>
      <c r="C54" s="314"/>
      <c r="D54" s="314"/>
      <c r="E54" s="309"/>
      <c r="F54" s="309"/>
      <c r="G54" s="497"/>
      <c r="H54" s="985"/>
      <c r="I54" s="985"/>
      <c r="J54" s="985"/>
      <c r="K54" s="309"/>
      <c r="L54" s="1015"/>
      <c r="M54" s="499"/>
      <c r="N54" s="458"/>
    </row>
    <row r="55" spans="1:15" s="455" customFormat="1" ht="13.5">
      <c r="A55" s="471"/>
      <c r="B55" s="454"/>
      <c r="C55" s="314"/>
      <c r="D55" s="314"/>
      <c r="E55" s="309"/>
      <c r="F55" s="309"/>
      <c r="G55" s="497"/>
      <c r="H55" s="985"/>
      <c r="I55" s="985"/>
      <c r="J55" s="985"/>
      <c r="K55" s="309"/>
      <c r="L55" s="1015"/>
      <c r="M55" s="499"/>
      <c r="N55" s="460"/>
    </row>
    <row r="56" spans="1:15" s="455" customFormat="1" ht="13.5">
      <c r="A56" s="471"/>
      <c r="B56" s="454"/>
      <c r="C56" s="314"/>
      <c r="D56" s="314"/>
      <c r="E56" s="560"/>
      <c r="F56" s="309"/>
      <c r="G56" s="497"/>
      <c r="H56" s="985"/>
      <c r="I56" s="985"/>
      <c r="J56" s="985"/>
      <c r="K56" s="309"/>
      <c r="L56" s="1015"/>
      <c r="M56" s="499"/>
      <c r="N56" s="454"/>
    </row>
    <row r="57" spans="1:15" s="455" customFormat="1" ht="13.5">
      <c r="A57" s="471"/>
      <c r="B57" s="454"/>
      <c r="C57" s="987"/>
      <c r="D57" s="314"/>
      <c r="E57" s="662"/>
      <c r="F57" s="309"/>
      <c r="G57" s="497"/>
      <c r="H57" s="985"/>
      <c r="I57" s="985"/>
      <c r="J57" s="985"/>
      <c r="K57" s="499"/>
      <c r="L57" s="1065"/>
      <c r="M57" s="499"/>
      <c r="N57" s="458"/>
    </row>
    <row r="58" spans="1:15" s="455" customFormat="1" ht="13.5">
      <c r="A58" s="471"/>
      <c r="B58" s="454"/>
      <c r="C58" s="392"/>
      <c r="D58" s="309"/>
      <c r="E58" s="309"/>
      <c r="F58" s="662"/>
      <c r="G58" s="309"/>
      <c r="H58" s="497"/>
      <c r="I58" s="985"/>
      <c r="J58" s="985"/>
      <c r="K58" s="1066"/>
      <c r="L58" s="1067"/>
      <c r="M58" s="1025"/>
      <c r="N58" s="1068"/>
      <c r="O58" s="458"/>
    </row>
    <row r="59" spans="1:15" s="455" customFormat="1" ht="13.5">
      <c r="A59" s="471"/>
      <c r="B59" s="454"/>
      <c r="C59" s="471"/>
      <c r="D59" s="456"/>
      <c r="E59" s="459"/>
      <c r="F59" s="466"/>
      <c r="G59" s="471"/>
      <c r="H59" s="477"/>
      <c r="I59" s="526"/>
      <c r="J59" s="526"/>
      <c r="K59" s="526"/>
      <c r="L59" s="473"/>
      <c r="M59" s="529"/>
      <c r="N59" s="471"/>
      <c r="O59" s="458"/>
    </row>
    <row r="60" spans="1:15" s="455" customFormat="1" ht="13.5">
      <c r="A60" s="471"/>
      <c r="B60" s="454"/>
      <c r="C60" s="471"/>
      <c r="D60" s="456"/>
      <c r="E60" s="459"/>
      <c r="F60" s="466"/>
      <c r="G60" s="471"/>
      <c r="H60" s="477"/>
      <c r="I60" s="526"/>
      <c r="J60" s="526"/>
      <c r="K60" s="526"/>
      <c r="L60" s="473"/>
      <c r="M60" s="529"/>
      <c r="N60" s="471"/>
      <c r="O60" s="458"/>
    </row>
    <row r="61" spans="1:15" s="455" customFormat="1" ht="13.5">
      <c r="A61" s="471"/>
      <c r="B61" s="454"/>
      <c r="C61" s="314"/>
      <c r="D61" s="309"/>
      <c r="E61" s="309"/>
      <c r="F61" s="309"/>
      <c r="G61" s="309"/>
      <c r="H61" s="309"/>
      <c r="I61" s="309"/>
      <c r="J61" s="309"/>
      <c r="K61" s="309"/>
      <c r="L61" s="309"/>
      <c r="M61" s="309"/>
      <c r="N61" s="309"/>
    </row>
    <row r="62" spans="1:15" s="455" customFormat="1" ht="13.5">
      <c r="A62" s="471"/>
      <c r="B62" s="454"/>
      <c r="C62" s="314"/>
      <c r="D62" s="314"/>
      <c r="E62" s="309"/>
      <c r="F62" s="309"/>
      <c r="G62" s="497"/>
      <c r="H62" s="1056"/>
      <c r="I62" s="309"/>
      <c r="J62" s="309"/>
      <c r="K62" s="499"/>
      <c r="L62" s="1069"/>
      <c r="M62" s="309"/>
      <c r="N62" s="454"/>
    </row>
    <row r="63" spans="1:15" s="455" customFormat="1" ht="13.5">
      <c r="A63" s="471"/>
      <c r="B63" s="454"/>
      <c r="C63" s="314"/>
      <c r="D63" s="314"/>
      <c r="E63" s="309"/>
      <c r="F63" s="309"/>
      <c r="G63" s="497"/>
      <c r="H63" s="1056"/>
      <c r="I63" s="309"/>
      <c r="J63" s="309"/>
      <c r="K63" s="499"/>
      <c r="L63" s="1069"/>
      <c r="M63" s="499"/>
      <c r="N63" s="458"/>
    </row>
    <row r="64" spans="1:15" s="455" customFormat="1" ht="13.5">
      <c r="A64" s="471"/>
      <c r="B64" s="454"/>
      <c r="C64" s="314"/>
      <c r="D64" s="314"/>
      <c r="E64" s="309"/>
      <c r="F64" s="309"/>
      <c r="G64" s="497"/>
      <c r="H64" s="1056"/>
      <c r="I64" s="309"/>
      <c r="J64" s="309"/>
      <c r="K64" s="499"/>
      <c r="L64" s="1069"/>
      <c r="M64" s="499"/>
      <c r="N64" s="458"/>
    </row>
    <row r="65" spans="1:14" s="455" customFormat="1" ht="13.5">
      <c r="A65" s="471"/>
      <c r="B65" s="454"/>
      <c r="C65" s="314"/>
      <c r="D65" s="314"/>
      <c r="E65" s="662"/>
      <c r="F65" s="309"/>
      <c r="G65" s="497"/>
      <c r="H65" s="1056"/>
      <c r="I65" s="985"/>
      <c r="J65" s="985"/>
      <c r="K65" s="499"/>
      <c r="L65" s="1016"/>
      <c r="M65" s="499"/>
      <c r="N65" s="458"/>
    </row>
    <row r="66" spans="1:14" s="455" customFormat="1" ht="13.5">
      <c r="A66" s="471"/>
      <c r="B66" s="454"/>
      <c r="C66" s="314"/>
      <c r="D66" s="314"/>
      <c r="E66" s="662"/>
      <c r="F66" s="309"/>
      <c r="G66" s="497"/>
      <c r="H66" s="1056"/>
      <c r="I66" s="985"/>
      <c r="J66" s="985"/>
      <c r="K66" s="499"/>
      <c r="L66" s="1016"/>
      <c r="M66" s="499"/>
      <c r="N66" s="458"/>
    </row>
    <row r="67" spans="1:14" s="455" customFormat="1" ht="13.5">
      <c r="A67" s="471"/>
      <c r="B67" s="454"/>
      <c r="C67" s="314"/>
      <c r="D67" s="314"/>
      <c r="E67" s="662"/>
      <c r="F67" s="309"/>
      <c r="G67" s="497"/>
      <c r="H67" s="1056"/>
      <c r="I67" s="985"/>
      <c r="J67" s="985"/>
      <c r="K67" s="499"/>
      <c r="L67" s="1071"/>
      <c r="M67" s="499"/>
    </row>
    <row r="68" spans="1:14" s="455" customFormat="1" ht="13.5">
      <c r="A68" s="471"/>
      <c r="B68" s="454"/>
      <c r="C68" s="314"/>
      <c r="D68" s="314"/>
      <c r="E68" s="662"/>
      <c r="F68" s="309"/>
      <c r="G68" s="497"/>
      <c r="H68" s="1056"/>
      <c r="I68" s="985"/>
      <c r="J68" s="985"/>
      <c r="K68" s="499"/>
      <c r="L68" s="1071"/>
      <c r="M68" s="499"/>
    </row>
    <row r="69" spans="1:14" s="455" customFormat="1" ht="13.5">
      <c r="A69" s="471"/>
      <c r="B69" s="454"/>
      <c r="C69" s="314"/>
      <c r="D69" s="314"/>
      <c r="E69" s="662"/>
      <c r="F69" s="309"/>
      <c r="G69" s="497"/>
      <c r="H69" s="1056"/>
      <c r="I69" s="985"/>
      <c r="J69" s="985"/>
      <c r="K69" s="499"/>
      <c r="L69" s="1016"/>
      <c r="M69" s="499"/>
    </row>
    <row r="70" spans="1:14" s="455" customFormat="1" ht="13.5">
      <c r="A70" s="471"/>
      <c r="B70" s="454"/>
      <c r="C70" s="314"/>
      <c r="D70" s="314"/>
      <c r="E70" s="662"/>
      <c r="F70" s="309"/>
      <c r="G70" s="497"/>
      <c r="H70" s="1056"/>
      <c r="I70" s="985"/>
      <c r="J70" s="985"/>
      <c r="K70" s="499"/>
      <c r="L70" s="1016"/>
      <c r="M70" s="499"/>
    </row>
    <row r="71" spans="1:14" s="455" customFormat="1" ht="13.5">
      <c r="A71" s="471"/>
      <c r="B71" s="454"/>
      <c r="C71" s="314"/>
      <c r="D71" s="314"/>
      <c r="E71" s="662"/>
      <c r="F71" s="309"/>
      <c r="G71" s="497"/>
      <c r="H71" s="1056"/>
      <c r="I71" s="985"/>
      <c r="J71" s="985"/>
      <c r="K71" s="499"/>
      <c r="L71" s="1016"/>
      <c r="M71" s="499"/>
      <c r="N71" s="458"/>
    </row>
    <row r="72" spans="1:14" s="455" customFormat="1" ht="13.5">
      <c r="A72" s="471"/>
      <c r="B72" s="454"/>
      <c r="C72" s="314"/>
      <c r="D72" s="314"/>
      <c r="E72" s="662"/>
      <c r="F72" s="309"/>
      <c r="G72" s="497"/>
      <c r="H72" s="1056"/>
      <c r="I72" s="985"/>
      <c r="J72" s="985"/>
      <c r="K72" s="499"/>
      <c r="L72" s="1016"/>
      <c r="M72" s="499"/>
      <c r="N72" s="458"/>
    </row>
    <row r="73" spans="1:14" s="455" customFormat="1" ht="13.5">
      <c r="A73" s="471"/>
      <c r="B73" s="454"/>
      <c r="C73" s="314"/>
      <c r="D73" s="314"/>
      <c r="E73" s="662"/>
      <c r="F73" s="309"/>
      <c r="G73" s="497"/>
      <c r="H73" s="1056"/>
      <c r="I73" s="985"/>
      <c r="J73" s="985"/>
      <c r="K73" s="499"/>
      <c r="L73" s="1016"/>
      <c r="M73" s="499"/>
      <c r="N73" s="458"/>
    </row>
    <row r="74" spans="1:14" s="455" customFormat="1" ht="13.5">
      <c r="A74" s="471"/>
      <c r="B74" s="454"/>
      <c r="C74" s="2591"/>
      <c r="D74" s="314"/>
      <c r="E74" s="662"/>
      <c r="F74" s="309"/>
      <c r="G74" s="497"/>
      <c r="H74" s="1056"/>
      <c r="I74" s="985"/>
      <c r="J74" s="985"/>
      <c r="K74" s="499"/>
      <c r="L74" s="1016"/>
      <c r="M74" s="499"/>
    </row>
    <row r="75" spans="1:14" s="455" customFormat="1" ht="13.5">
      <c r="A75" s="471"/>
      <c r="B75" s="454"/>
      <c r="C75" s="2593"/>
      <c r="D75" s="314"/>
      <c r="E75" s="662"/>
      <c r="F75" s="309"/>
      <c r="G75" s="497"/>
      <c r="H75" s="1056"/>
      <c r="I75" s="985"/>
      <c r="J75" s="985"/>
      <c r="K75" s="499"/>
      <c r="L75" s="1016"/>
      <c r="M75" s="499"/>
      <c r="N75" s="454"/>
    </row>
    <row r="76" spans="1:14" s="455" customFormat="1" ht="13.5">
      <c r="A76" s="471"/>
      <c r="B76" s="454"/>
      <c r="C76" s="2591"/>
      <c r="D76" s="314"/>
      <c r="E76" s="662"/>
      <c r="F76" s="309"/>
      <c r="G76" s="497"/>
      <c r="H76" s="1056"/>
      <c r="I76" s="985"/>
      <c r="J76" s="985"/>
      <c r="K76" s="499"/>
      <c r="L76" s="1016"/>
      <c r="M76" s="499"/>
      <c r="N76" s="458"/>
    </row>
    <row r="77" spans="1:14" s="455" customFormat="1" ht="13.5">
      <c r="A77" s="471"/>
      <c r="B77" s="454"/>
      <c r="C77" s="2592"/>
      <c r="D77" s="314"/>
      <c r="E77" s="662"/>
      <c r="F77" s="309"/>
      <c r="G77" s="497"/>
      <c r="H77" s="1056"/>
      <c r="I77" s="985"/>
      <c r="J77" s="985"/>
      <c r="K77" s="499"/>
      <c r="L77" s="1016"/>
      <c r="M77" s="499"/>
      <c r="N77" s="458"/>
    </row>
    <row r="78" spans="1:14" s="455" customFormat="1" ht="13.5">
      <c r="A78" s="471"/>
      <c r="B78" s="454"/>
      <c r="C78" s="2593"/>
      <c r="D78" s="314"/>
      <c r="E78" s="662"/>
      <c r="F78" s="309"/>
      <c r="G78" s="497"/>
      <c r="H78" s="1056"/>
      <c r="I78" s="985"/>
      <c r="J78" s="985"/>
      <c r="K78" s="499"/>
      <c r="L78" s="1016"/>
      <c r="M78" s="499"/>
      <c r="N78" s="458"/>
    </row>
    <row r="79" spans="1:14" s="455" customFormat="1" ht="13.5">
      <c r="A79" s="471"/>
      <c r="B79" s="454"/>
      <c r="C79" s="314"/>
      <c r="D79" s="314"/>
      <c r="E79" s="662"/>
      <c r="F79" s="309"/>
      <c r="G79" s="497"/>
      <c r="H79" s="985"/>
      <c r="I79" s="985"/>
      <c r="J79" s="985"/>
      <c r="K79" s="499"/>
      <c r="L79" s="1016"/>
      <c r="M79" s="499"/>
      <c r="N79" s="458"/>
    </row>
    <row r="80" spans="1:14" s="455" customFormat="1" ht="13.5">
      <c r="A80" s="471"/>
      <c r="B80" s="454"/>
      <c r="C80" s="314"/>
      <c r="D80" s="314"/>
      <c r="E80" s="662"/>
      <c r="F80" s="309"/>
      <c r="G80" s="497"/>
      <c r="H80" s="985"/>
      <c r="I80" s="985"/>
      <c r="J80" s="985"/>
      <c r="K80" s="499"/>
      <c r="L80" s="1016"/>
      <c r="M80" s="499"/>
      <c r="N80" s="460"/>
    </row>
    <row r="81" spans="1:15" s="455" customFormat="1" ht="13.5">
      <c r="C81" s="314"/>
      <c r="D81" s="314"/>
      <c r="E81" s="662"/>
      <c r="F81" s="662"/>
      <c r="G81" s="309"/>
      <c r="H81" s="497"/>
      <c r="I81" s="1056"/>
      <c r="J81" s="985"/>
      <c r="K81" s="985"/>
      <c r="L81" s="499"/>
      <c r="M81" s="1025"/>
      <c r="N81" s="499"/>
    </row>
    <row r="82" spans="1:15" s="455" customFormat="1" ht="13.5">
      <c r="C82" s="902"/>
      <c r="D82" s="309"/>
      <c r="E82" s="662"/>
      <c r="F82" s="662"/>
      <c r="G82" s="309"/>
      <c r="H82" s="497"/>
      <c r="I82" s="653"/>
      <c r="J82" s="985"/>
      <c r="K82" s="1469"/>
      <c r="L82" s="499"/>
      <c r="M82" s="1025"/>
      <c r="N82" s="499"/>
    </row>
    <row r="83" spans="1:15" s="455" customFormat="1" ht="13.5">
      <c r="A83" s="566"/>
      <c r="B83" s="467"/>
      <c r="C83" s="499"/>
      <c r="D83" s="309"/>
      <c r="E83" s="391"/>
      <c r="F83" s="499"/>
      <c r="G83" s="497"/>
      <c r="H83" s="498"/>
      <c r="I83" s="498"/>
      <c r="J83" s="498"/>
      <c r="K83" s="499"/>
      <c r="L83" s="1470"/>
      <c r="M83" s="309"/>
      <c r="N83" s="499"/>
    </row>
    <row r="84" spans="1:15" s="455" customFormat="1" ht="13.5">
      <c r="A84" s="566"/>
      <c r="B84" s="467"/>
      <c r="C84" s="497"/>
      <c r="D84" s="691"/>
      <c r="E84" s="675"/>
      <c r="F84" s="675"/>
      <c r="G84" s="654"/>
      <c r="H84" s="502"/>
      <c r="I84" s="652"/>
      <c r="J84" s="497"/>
      <c r="K84" s="653"/>
      <c r="L84" s="502"/>
      <c r="M84" s="538"/>
      <c r="N84" s="392"/>
      <c r="O84" s="502"/>
    </row>
    <row r="85" spans="1:15" s="455" customFormat="1" ht="13.5">
      <c r="A85" s="566"/>
      <c r="B85" s="467"/>
      <c r="C85" s="497"/>
      <c r="D85" s="691"/>
      <c r="E85" s="675"/>
      <c r="F85" s="675"/>
      <c r="G85" s="654"/>
      <c r="H85" s="502"/>
      <c r="I85" s="652"/>
      <c r="J85" s="497"/>
      <c r="K85" s="653"/>
      <c r="L85" s="502"/>
      <c r="M85" s="538"/>
      <c r="N85" s="392"/>
      <c r="O85" s="502"/>
    </row>
    <row r="86" spans="1:15" s="455" customFormat="1" ht="13.5">
      <c r="A86" s="566"/>
      <c r="B86" s="467"/>
      <c r="C86" s="497"/>
      <c r="D86" s="691"/>
      <c r="E86" s="675"/>
      <c r="F86" s="675"/>
      <c r="G86" s="654"/>
      <c r="H86" s="502"/>
      <c r="I86" s="652"/>
      <c r="J86" s="497"/>
      <c r="K86" s="653"/>
      <c r="L86" s="502"/>
      <c r="M86" s="538"/>
      <c r="N86" s="392"/>
      <c r="O86" s="502"/>
    </row>
    <row r="87" spans="1:15" s="455" customFormat="1" ht="13.5">
      <c r="A87" s="566"/>
      <c r="B87" s="467"/>
      <c r="C87" s="497"/>
      <c r="D87" s="691"/>
      <c r="E87" s="675"/>
      <c r="F87" s="675"/>
      <c r="G87" s="654"/>
      <c r="H87" s="502"/>
      <c r="I87" s="652"/>
      <c r="J87" s="497"/>
      <c r="K87" s="653"/>
      <c r="L87" s="502"/>
      <c r="M87" s="538"/>
      <c r="N87" s="392"/>
      <c r="O87" s="502"/>
    </row>
    <row r="88" spans="1:15" s="455" customFormat="1" ht="13.5">
      <c r="C88" s="1384"/>
      <c r="D88" s="314"/>
      <c r="E88" s="662"/>
      <c r="F88" s="662"/>
      <c r="G88" s="309"/>
      <c r="H88" s="497"/>
      <c r="I88" s="653"/>
      <c r="J88" s="985"/>
      <c r="K88" s="1469"/>
      <c r="L88" s="499"/>
      <c r="M88" s="1025"/>
      <c r="N88" s="499"/>
    </row>
    <row r="89" spans="1:15" s="455" customFormat="1" ht="13.5">
      <c r="C89" s="1384"/>
      <c r="D89" s="314"/>
      <c r="E89" s="662"/>
      <c r="F89" s="662"/>
      <c r="G89" s="309"/>
      <c r="H89" s="497"/>
      <c r="I89" s="653"/>
      <c r="J89" s="985"/>
      <c r="K89" s="1469"/>
      <c r="L89" s="499"/>
      <c r="M89" s="1025"/>
      <c r="N89" s="499"/>
    </row>
    <row r="90" spans="1:15" s="455" customFormat="1" ht="13.5">
      <c r="A90" s="566"/>
      <c r="B90" s="467"/>
      <c r="C90" s="499"/>
      <c r="D90" s="309"/>
      <c r="E90" s="391"/>
      <c r="F90" s="499"/>
      <c r="G90" s="497"/>
      <c r="H90" s="498"/>
      <c r="I90" s="498"/>
      <c r="J90" s="498"/>
      <c r="K90" s="499"/>
      <c r="L90" s="1470"/>
      <c r="M90" s="309"/>
      <c r="N90" s="499"/>
    </row>
    <row r="91" spans="1:15" s="455" customFormat="1" ht="13.5">
      <c r="A91" s="566"/>
      <c r="B91" s="467"/>
      <c r="C91" s="497"/>
      <c r="D91" s="691"/>
      <c r="E91" s="675"/>
      <c r="F91" s="675"/>
      <c r="G91" s="654"/>
      <c r="H91" s="502"/>
      <c r="I91" s="652"/>
      <c r="J91" s="497"/>
      <c r="K91" s="653"/>
      <c r="L91" s="502"/>
      <c r="M91" s="538"/>
      <c r="N91" s="392"/>
      <c r="O91" s="502"/>
    </row>
    <row r="92" spans="1:15" s="455" customFormat="1" ht="13.5">
      <c r="A92" s="566"/>
      <c r="B92" s="467"/>
      <c r="C92" s="497"/>
      <c r="D92" s="691"/>
      <c r="E92" s="675"/>
      <c r="F92" s="675"/>
      <c r="G92" s="654"/>
      <c r="H92" s="502"/>
      <c r="I92" s="652"/>
      <c r="J92" s="497"/>
      <c r="K92" s="653"/>
      <c r="L92" s="502"/>
      <c r="M92" s="538"/>
      <c r="N92" s="392"/>
      <c r="O92" s="502"/>
    </row>
    <row r="93" spans="1:15" s="455" customFormat="1" ht="13.5">
      <c r="A93" s="566"/>
      <c r="B93" s="467"/>
      <c r="C93" s="497"/>
      <c r="D93" s="691"/>
      <c r="E93" s="675"/>
      <c r="F93" s="675"/>
      <c r="G93" s="654"/>
      <c r="H93" s="502"/>
      <c r="I93" s="652"/>
      <c r="J93" s="497"/>
      <c r="K93" s="653"/>
      <c r="L93" s="502"/>
      <c r="M93" s="538"/>
      <c r="N93" s="392"/>
      <c r="O93" s="502"/>
    </row>
    <row r="94" spans="1:15" s="455" customFormat="1" ht="13.5">
      <c r="A94" s="566"/>
      <c r="B94" s="467"/>
      <c r="C94" s="497"/>
      <c r="D94" s="691"/>
      <c r="E94" s="675"/>
      <c r="F94" s="675"/>
      <c r="G94" s="654"/>
      <c r="H94" s="502"/>
      <c r="I94" s="652"/>
      <c r="J94" s="497"/>
      <c r="K94" s="653"/>
      <c r="L94" s="502"/>
      <c r="M94" s="538"/>
      <c r="N94" s="392"/>
      <c r="O94" s="502"/>
    </row>
    <row r="95" spans="1:15" s="455" customFormat="1" ht="13.5">
      <c r="C95" s="1385"/>
      <c r="D95" s="314"/>
      <c r="E95" s="991"/>
      <c r="F95" s="662"/>
      <c r="G95" s="309"/>
      <c r="H95" s="497"/>
      <c r="I95" s="774"/>
      <c r="J95" s="774"/>
      <c r="K95" s="774"/>
      <c r="L95" s="499"/>
      <c r="M95" s="1028"/>
      <c r="N95" s="499"/>
    </row>
    <row r="96" spans="1:15" s="455" customFormat="1" ht="13.5">
      <c r="C96" s="314"/>
      <c r="D96" s="314"/>
      <c r="E96" s="991"/>
      <c r="F96" s="662"/>
      <c r="G96" s="309"/>
      <c r="H96" s="497"/>
      <c r="I96" s="774"/>
      <c r="J96" s="774"/>
      <c r="K96" s="1471"/>
      <c r="L96" s="499"/>
      <c r="M96" s="1028"/>
      <c r="N96" s="499"/>
    </row>
    <row r="97" spans="3:15" s="455" customFormat="1" ht="13.5">
      <c r="C97" s="1027"/>
      <c r="D97" s="314"/>
      <c r="E97" s="991"/>
      <c r="F97" s="662"/>
      <c r="G97" s="309"/>
      <c r="H97" s="497"/>
      <c r="I97" s="1056"/>
      <c r="J97" s="985"/>
      <c r="K97" s="985"/>
      <c r="L97" s="499"/>
      <c r="M97" s="1028"/>
      <c r="N97" s="499"/>
    </row>
    <row r="98" spans="3:15" s="455" customFormat="1" ht="13.5">
      <c r="C98" s="499"/>
      <c r="D98" s="309"/>
      <c r="E98" s="391"/>
      <c r="F98" s="499"/>
      <c r="G98" s="497"/>
      <c r="H98" s="498"/>
      <c r="I98" s="498"/>
      <c r="J98" s="498"/>
      <c r="K98" s="499"/>
      <c r="L98" s="1472"/>
      <c r="M98" s="309"/>
      <c r="N98" s="499"/>
    </row>
    <row r="99" spans="3:15" s="455" customFormat="1" ht="13.5">
      <c r="C99" s="497"/>
      <c r="D99" s="691"/>
      <c r="E99" s="675"/>
      <c r="F99" s="675"/>
      <c r="G99" s="654"/>
      <c r="H99" s="502"/>
      <c r="I99" s="652"/>
      <c r="J99" s="497"/>
      <c r="K99" s="653"/>
      <c r="L99" s="502"/>
      <c r="M99" s="538"/>
      <c r="N99" s="392"/>
      <c r="O99" s="502"/>
    </row>
    <row r="100" spans="3:15" s="455" customFormat="1" ht="13.5">
      <c r="C100" s="497"/>
      <c r="D100" s="691"/>
      <c r="E100" s="675"/>
      <c r="F100" s="675"/>
      <c r="G100" s="654"/>
      <c r="H100" s="502"/>
      <c r="I100" s="652"/>
      <c r="J100" s="497"/>
      <c r="K100" s="653"/>
      <c r="L100" s="502"/>
      <c r="M100" s="538"/>
      <c r="N100" s="392"/>
      <c r="O100" s="502"/>
    </row>
    <row r="101" spans="3:15" s="455" customFormat="1" ht="13.5">
      <c r="C101" s="497"/>
      <c r="D101" s="691"/>
      <c r="E101" s="675"/>
      <c r="F101" s="675"/>
      <c r="G101" s="654"/>
      <c r="H101" s="502"/>
      <c r="I101" s="652"/>
      <c r="J101" s="497"/>
      <c r="K101" s="653"/>
      <c r="L101" s="502"/>
      <c r="M101" s="538"/>
      <c r="N101" s="392"/>
      <c r="O101" s="502"/>
    </row>
    <row r="102" spans="3:15" s="455" customFormat="1" ht="13.5">
      <c r="C102" s="497"/>
      <c r="D102" s="691"/>
      <c r="E102" s="675"/>
      <c r="F102" s="675"/>
      <c r="G102" s="654"/>
      <c r="H102" s="502"/>
      <c r="I102" s="652"/>
      <c r="J102" s="497"/>
      <c r="K102" s="653"/>
      <c r="L102" s="502"/>
      <c r="M102" s="538"/>
      <c r="N102" s="392"/>
      <c r="O102" s="502"/>
    </row>
    <row r="103" spans="3:15" s="455" customFormat="1" ht="13.5">
      <c r="C103" s="497"/>
      <c r="D103" s="691"/>
      <c r="E103" s="675"/>
      <c r="F103" s="675"/>
      <c r="G103" s="654"/>
      <c r="H103" s="502"/>
      <c r="I103" s="652"/>
      <c r="J103" s="497"/>
      <c r="K103" s="653"/>
      <c r="L103" s="502"/>
      <c r="M103" s="538"/>
      <c r="N103" s="392"/>
      <c r="O103" s="502"/>
    </row>
    <row r="104" spans="3:15" s="455" customFormat="1" ht="13.5">
      <c r="C104" s="497"/>
      <c r="D104" s="691"/>
      <c r="E104" s="675"/>
      <c r="F104" s="675"/>
      <c r="G104" s="654"/>
      <c r="H104" s="502"/>
      <c r="I104" s="652"/>
      <c r="J104" s="497"/>
      <c r="K104" s="653"/>
      <c r="L104" s="502"/>
      <c r="M104" s="538"/>
      <c r="N104" s="392"/>
      <c r="O104" s="502"/>
    </row>
    <row r="105" spans="3:15" s="455" customFormat="1" ht="13.5">
      <c r="C105" s="497"/>
      <c r="D105" s="691"/>
      <c r="E105" s="675"/>
      <c r="F105" s="1473"/>
      <c r="G105" s="654"/>
      <c r="H105" s="502"/>
      <c r="I105" s="652"/>
      <c r="J105" s="497"/>
      <c r="K105" s="653"/>
      <c r="L105" s="502"/>
      <c r="M105" s="538"/>
      <c r="N105" s="392"/>
      <c r="O105" s="502"/>
    </row>
    <row r="106" spans="3:15" s="355" customFormat="1" ht="13.5">
      <c r="C106" s="400"/>
      <c r="D106" s="400"/>
      <c r="E106" s="401"/>
      <c r="F106" s="402"/>
      <c r="G106" s="402"/>
      <c r="H106" s="403"/>
      <c r="I106" s="403"/>
      <c r="J106" s="403"/>
      <c r="K106" s="402"/>
      <c r="L106" s="404"/>
      <c r="M106" s="402"/>
      <c r="N106" s="405"/>
    </row>
    <row r="107" spans="3:15" s="355" customFormat="1" ht="13.5">
      <c r="C107" s="400"/>
      <c r="D107" s="400"/>
      <c r="E107" s="401"/>
      <c r="F107" s="402"/>
      <c r="G107" s="402"/>
      <c r="H107" s="403"/>
      <c r="I107" s="403"/>
      <c r="J107" s="403"/>
      <c r="K107" s="402"/>
      <c r="L107" s="404"/>
      <c r="M107" s="402"/>
      <c r="N107" s="405"/>
    </row>
    <row r="108" spans="3:15" s="355" customFormat="1" ht="13.5">
      <c r="C108" s="400"/>
      <c r="D108" s="400"/>
      <c r="E108" s="401"/>
      <c r="F108" s="402"/>
      <c r="G108" s="402"/>
      <c r="H108" s="403"/>
      <c r="I108" s="403"/>
      <c r="J108" s="403"/>
      <c r="K108" s="402"/>
      <c r="L108" s="404"/>
      <c r="M108" s="402"/>
      <c r="N108" s="405"/>
    </row>
    <row r="109" spans="3:15" s="355" customFormat="1" ht="13.5">
      <c r="C109" s="400"/>
      <c r="D109" s="400"/>
      <c r="E109" s="401"/>
      <c r="F109" s="402"/>
      <c r="G109" s="402"/>
      <c r="H109" s="403"/>
      <c r="I109" s="403"/>
      <c r="J109" s="403"/>
      <c r="K109" s="402"/>
      <c r="L109" s="404"/>
      <c r="M109" s="402"/>
      <c r="N109" s="405"/>
    </row>
    <row r="110" spans="3:15" s="355" customFormat="1" ht="13.5">
      <c r="C110" s="400"/>
      <c r="D110" s="400"/>
      <c r="E110" s="401"/>
      <c r="F110" s="402"/>
      <c r="G110" s="402"/>
      <c r="H110" s="403"/>
      <c r="I110" s="403"/>
      <c r="J110" s="403"/>
      <c r="K110" s="402"/>
      <c r="L110" s="404"/>
      <c r="M110" s="402"/>
      <c r="N110" s="405"/>
    </row>
    <row r="111" spans="3:15" s="355" customFormat="1" ht="13.5">
      <c r="C111" s="400"/>
      <c r="D111" s="400"/>
      <c r="E111" s="401"/>
      <c r="F111" s="402"/>
      <c r="G111" s="402"/>
      <c r="H111" s="403"/>
      <c r="I111" s="403"/>
      <c r="J111" s="403"/>
      <c r="K111" s="402"/>
      <c r="L111" s="404"/>
      <c r="M111" s="402"/>
      <c r="N111" s="405"/>
    </row>
    <row r="112" spans="3:15" s="355" customFormat="1" ht="13.5">
      <c r="C112" s="400"/>
      <c r="D112" s="400"/>
      <c r="E112" s="401"/>
      <c r="F112" s="402"/>
      <c r="G112" s="402"/>
      <c r="H112" s="403"/>
      <c r="I112" s="403"/>
      <c r="J112" s="403"/>
      <c r="K112" s="402"/>
      <c r="L112" s="404"/>
      <c r="M112" s="402"/>
      <c r="N112" s="405"/>
    </row>
    <row r="113" spans="3:14" s="355" customFormat="1" ht="13.5">
      <c r="C113" s="400"/>
      <c r="D113" s="400"/>
      <c r="E113" s="401"/>
      <c r="F113" s="402"/>
      <c r="G113" s="402"/>
      <c r="H113" s="403"/>
      <c r="I113" s="403"/>
      <c r="J113" s="403"/>
      <c r="K113" s="402"/>
      <c r="L113" s="404"/>
      <c r="M113" s="402"/>
      <c r="N113" s="405"/>
    </row>
    <row r="114" spans="3:14" s="355" customFormat="1" ht="13.5">
      <c r="C114" s="400"/>
      <c r="D114" s="400"/>
      <c r="E114" s="401"/>
      <c r="F114" s="402"/>
      <c r="G114" s="402"/>
      <c r="H114" s="403"/>
      <c r="I114" s="403"/>
      <c r="J114" s="403"/>
      <c r="K114" s="402"/>
      <c r="L114" s="404"/>
      <c r="M114" s="402"/>
      <c r="N114" s="405"/>
    </row>
    <row r="115" spans="3:14" s="355" customFormat="1" ht="13.5">
      <c r="C115" s="400"/>
      <c r="D115" s="400"/>
      <c r="E115" s="401"/>
      <c r="F115" s="402"/>
      <c r="G115" s="402"/>
      <c r="H115" s="403"/>
      <c r="I115" s="403"/>
      <c r="J115" s="403"/>
      <c r="K115" s="402"/>
      <c r="L115" s="404"/>
      <c r="M115" s="402"/>
      <c r="N115" s="405"/>
    </row>
    <row r="116" spans="3:14" s="355" customFormat="1" ht="13.5">
      <c r="C116" s="400"/>
      <c r="D116" s="400"/>
      <c r="E116" s="401"/>
      <c r="F116" s="402"/>
      <c r="G116" s="402"/>
      <c r="H116" s="403"/>
      <c r="I116" s="403"/>
      <c r="J116" s="403"/>
      <c r="K116" s="402"/>
      <c r="L116" s="404"/>
      <c r="M116" s="402"/>
      <c r="N116" s="405"/>
    </row>
    <row r="117" spans="3:14" s="355" customFormat="1" ht="13.5">
      <c r="C117" s="400"/>
      <c r="D117" s="400"/>
      <c r="E117" s="401"/>
      <c r="F117" s="402"/>
      <c r="G117" s="402"/>
      <c r="H117" s="403"/>
      <c r="I117" s="403"/>
      <c r="J117" s="403"/>
      <c r="K117" s="402"/>
      <c r="L117" s="404"/>
      <c r="M117" s="402"/>
      <c r="N117" s="405"/>
    </row>
    <row r="118" spans="3:14" s="355" customFormat="1" ht="13.5">
      <c r="C118" s="400"/>
      <c r="D118" s="400"/>
      <c r="E118" s="401"/>
      <c r="F118" s="402"/>
      <c r="G118" s="402"/>
      <c r="H118" s="403"/>
      <c r="I118" s="403"/>
      <c r="J118" s="403"/>
      <c r="K118" s="402"/>
      <c r="L118" s="404"/>
      <c r="M118" s="407"/>
      <c r="N118" s="405"/>
    </row>
    <row r="119" spans="3:14" s="355" customFormat="1" ht="13.5">
      <c r="C119" s="400"/>
      <c r="D119" s="400"/>
      <c r="E119" s="401"/>
      <c r="F119" s="402"/>
      <c r="G119" s="403"/>
      <c r="H119" s="403"/>
      <c r="I119" s="403"/>
      <c r="J119" s="403"/>
      <c r="K119" s="408"/>
      <c r="L119" s="404"/>
      <c r="M119" s="407"/>
      <c r="N119" s="405"/>
    </row>
    <row r="120" spans="3:14" s="355" customFormat="1" ht="13.5">
      <c r="C120" s="352"/>
      <c r="D120" s="352"/>
      <c r="E120" s="352"/>
      <c r="F120" s="352"/>
      <c r="G120" s="352"/>
      <c r="H120" s="352"/>
      <c r="I120" s="352"/>
      <c r="J120" s="352"/>
      <c r="K120" s="352"/>
      <c r="L120" s="1403">
        <f>SUM(L5:L118)</f>
        <v>4235000</v>
      </c>
      <c r="M120" s="352"/>
      <c r="N120" s="352"/>
    </row>
    <row r="121" spans="3:14" ht="14.25" customHeight="1">
      <c r="C121" s="31"/>
      <c r="D121" s="27"/>
      <c r="E121" s="20"/>
      <c r="F121" s="28"/>
      <c r="G121" s="28"/>
      <c r="H121" s="26"/>
      <c r="I121" s="26"/>
      <c r="J121" s="26"/>
      <c r="K121" s="28"/>
      <c r="L121" s="179"/>
      <c r="M121" s="28"/>
      <c r="N121" s="27"/>
    </row>
    <row r="122" spans="3:14" s="1" customFormat="1" ht="14.25" customHeight="1">
      <c r="C122" s="31"/>
      <c r="D122" s="27"/>
      <c r="E122" s="21"/>
      <c r="F122" s="28"/>
      <c r="G122" s="28"/>
      <c r="H122" s="26"/>
      <c r="I122" s="26"/>
      <c r="J122" s="26"/>
      <c r="K122" s="28"/>
      <c r="L122" s="179"/>
      <c r="M122" s="28"/>
      <c r="N122" s="27"/>
    </row>
    <row r="123" spans="3:14" s="1" customFormat="1" ht="14.25" customHeight="1">
      <c r="C123" s="30"/>
      <c r="D123" s="25"/>
      <c r="E123" s="21"/>
      <c r="F123" s="22"/>
      <c r="G123" s="22"/>
      <c r="H123" s="23"/>
      <c r="I123" s="23"/>
      <c r="J123" s="23"/>
      <c r="K123" s="22"/>
      <c r="L123" s="180"/>
      <c r="M123" s="22"/>
      <c r="N123" s="25"/>
    </row>
  </sheetData>
  <mergeCells count="11">
    <mergeCell ref="M2:M3"/>
    <mergeCell ref="N2:N3"/>
    <mergeCell ref="C74:C75"/>
    <mergeCell ref="C76:C78"/>
    <mergeCell ref="C2:G2"/>
    <mergeCell ref="H2:J2"/>
    <mergeCell ref="K2:L2"/>
    <mergeCell ref="D14:D15"/>
    <mergeCell ref="C13:C15"/>
    <mergeCell ref="C17:C23"/>
    <mergeCell ref="D18:D19"/>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9974F-CEE1-4BDD-A016-97F6F908B952}">
  <sheetPr>
    <tabColor rgb="FF00B0F0"/>
  </sheetPr>
  <dimension ref="A1:P136"/>
  <sheetViews>
    <sheetView zoomScale="70" zoomScaleNormal="70" workbookViewId="0">
      <pane ySplit="4" topLeftCell="A21" activePane="bottomLeft" state="frozen"/>
      <selection pane="bottomLeft" activeCell="B37" sqref="B37:B40"/>
    </sheetView>
  </sheetViews>
  <sheetFormatPr defaultRowHeight="15"/>
  <cols>
    <col min="2" max="2" width="16.140625" customWidth="1"/>
    <col min="3" max="3" width="29.28515625" customWidth="1"/>
    <col min="4" max="4" width="49.7109375" bestFit="1"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style="99" customWidth="1"/>
    <col min="13" max="13" width="16.28515625" customWidth="1"/>
    <col min="14" max="14" width="12.85546875" customWidth="1"/>
    <col min="17" max="17" width="73.7109375" bestFit="1" customWidth="1"/>
  </cols>
  <sheetData>
    <row r="1" spans="1:15" s="355" customFormat="1" ht="13.5">
      <c r="L1" s="32"/>
    </row>
    <row r="2" spans="1:15" s="355" customFormat="1" ht="13.5">
      <c r="C2" s="2601" t="s">
        <v>30</v>
      </c>
      <c r="D2" s="2602"/>
      <c r="E2" s="2602"/>
      <c r="F2" s="2602"/>
      <c r="G2" s="2603"/>
      <c r="H2" s="2604" t="s">
        <v>29</v>
      </c>
      <c r="I2" s="2605"/>
      <c r="J2" s="2606"/>
      <c r="K2" s="2601" t="s">
        <v>28</v>
      </c>
      <c r="L2" s="2603"/>
      <c r="M2" s="2594" t="s">
        <v>27</v>
      </c>
      <c r="N2" s="2594" t="s">
        <v>26</v>
      </c>
    </row>
    <row r="3" spans="1:15" s="355" customFormat="1" ht="94.5">
      <c r="C3" s="618" t="s">
        <v>25</v>
      </c>
      <c r="D3" s="852" t="s">
        <v>24</v>
      </c>
      <c r="E3" s="991" t="s">
        <v>23</v>
      </c>
      <c r="F3" s="618" t="s">
        <v>22</v>
      </c>
      <c r="G3" s="532" t="s">
        <v>1303</v>
      </c>
      <c r="H3" s="532" t="s">
        <v>20</v>
      </c>
      <c r="I3" s="532" t="s">
        <v>19</v>
      </c>
      <c r="J3" s="532" t="s">
        <v>18</v>
      </c>
      <c r="K3" s="618" t="s">
        <v>17</v>
      </c>
      <c r="L3" s="605" t="s">
        <v>16</v>
      </c>
      <c r="M3" s="2594"/>
      <c r="N3" s="2594"/>
    </row>
    <row r="4" spans="1:15" s="355" customFormat="1" ht="27">
      <c r="C4" s="1076" t="s">
        <v>15</v>
      </c>
      <c r="D4" s="1076" t="s">
        <v>14</v>
      </c>
      <c r="E4" s="1076" t="s">
        <v>13</v>
      </c>
      <c r="F4" s="1076" t="s">
        <v>12</v>
      </c>
      <c r="G4" s="1076" t="s">
        <v>11</v>
      </c>
      <c r="H4" s="1076" t="s">
        <v>10</v>
      </c>
      <c r="I4" s="1076" t="s">
        <v>9</v>
      </c>
      <c r="J4" s="1076" t="s">
        <v>8</v>
      </c>
      <c r="K4" s="1076" t="s">
        <v>7</v>
      </c>
      <c r="L4" s="1077" t="s">
        <v>6</v>
      </c>
      <c r="M4" s="1076" t="s">
        <v>5</v>
      </c>
      <c r="N4" s="1076" t="s">
        <v>4</v>
      </c>
    </row>
    <row r="5" spans="1:15" s="455" customFormat="1" ht="25.5" customHeight="1">
      <c r="A5" s="471"/>
      <c r="B5" s="483" t="s">
        <v>1561</v>
      </c>
      <c r="C5" s="1474" t="s">
        <v>1557</v>
      </c>
      <c r="D5" s="1475" t="s">
        <v>2</v>
      </c>
      <c r="E5" s="2784" t="s">
        <v>418</v>
      </c>
      <c r="F5" s="1488"/>
      <c r="L5" s="481"/>
    </row>
    <row r="6" spans="1:15" s="455" customFormat="1" ht="39">
      <c r="A6" s="471"/>
      <c r="B6" s="483" t="s">
        <v>1561</v>
      </c>
      <c r="C6" s="1479" t="s">
        <v>1559</v>
      </c>
      <c r="D6" s="1480" t="s">
        <v>1560</v>
      </c>
      <c r="E6" s="2785"/>
      <c r="F6" s="1483" t="s">
        <v>674</v>
      </c>
      <c r="G6" s="1476"/>
      <c r="H6" s="1484" t="s">
        <v>652</v>
      </c>
      <c r="I6" s="1485" t="s">
        <v>653</v>
      </c>
      <c r="J6" s="1486" t="s">
        <v>1558</v>
      </c>
      <c r="K6" s="1483" t="s">
        <v>748</v>
      </c>
      <c r="L6" s="1487">
        <v>100000</v>
      </c>
      <c r="M6" s="1478"/>
      <c r="N6" s="1478"/>
      <c r="O6" s="1481"/>
    </row>
    <row r="7" spans="1:15" s="455" customFormat="1" ht="13.5">
      <c r="A7" s="471"/>
      <c r="B7" s="454"/>
      <c r="C7" s="902"/>
      <c r="D7" s="902"/>
      <c r="E7" s="902"/>
      <c r="F7" s="1380"/>
      <c r="G7" s="636"/>
      <c r="H7" s="1462"/>
      <c r="I7" s="1462"/>
      <c r="J7" s="1462"/>
      <c r="K7" s="1380"/>
      <c r="L7" s="1625"/>
      <c r="M7" s="1172"/>
      <c r="N7" s="460"/>
      <c r="O7" s="2676"/>
    </row>
    <row r="8" spans="1:15" s="455" customFormat="1" ht="13.5">
      <c r="A8" s="471"/>
      <c r="B8" s="454"/>
      <c r="C8" s="902"/>
      <c r="D8" s="902"/>
      <c r="E8" s="902"/>
      <c r="F8" s="1380"/>
      <c r="G8" s="636"/>
      <c r="H8" s="1462"/>
      <c r="I8" s="1462"/>
      <c r="J8" s="1462"/>
      <c r="K8" s="1380"/>
      <c r="L8" s="1625"/>
      <c r="M8" s="1172"/>
      <c r="N8" s="460"/>
      <c r="O8" s="2677"/>
    </row>
    <row r="9" spans="1:15" s="455" customFormat="1" ht="13.5">
      <c r="A9" s="471"/>
      <c r="B9" s="454" t="s">
        <v>589</v>
      </c>
      <c r="C9" s="1605" t="s">
        <v>572</v>
      </c>
      <c r="D9" s="1638" t="s">
        <v>2</v>
      </c>
      <c r="E9" s="1637" t="s">
        <v>573</v>
      </c>
      <c r="F9" s="1638" t="s">
        <v>609</v>
      </c>
      <c r="G9" s="1602" t="s">
        <v>1</v>
      </c>
      <c r="H9" s="1603" t="s">
        <v>599</v>
      </c>
      <c r="I9" s="1603" t="s">
        <v>599</v>
      </c>
      <c r="J9" s="1604" t="s">
        <v>594</v>
      </c>
      <c r="K9" s="1638" t="s">
        <v>1575</v>
      </c>
      <c r="L9" s="1660">
        <v>80000</v>
      </c>
      <c r="M9" s="1605" t="s">
        <v>579</v>
      </c>
      <c r="N9" s="1503"/>
      <c r="O9" s="2678"/>
    </row>
    <row r="10" spans="1:15" s="455" customFormat="1" ht="13.5">
      <c r="A10" s="471"/>
      <c r="B10" s="454" t="s">
        <v>589</v>
      </c>
      <c r="C10" s="1605" t="s">
        <v>581</v>
      </c>
      <c r="D10" s="1638"/>
      <c r="E10" s="1637" t="s">
        <v>582</v>
      </c>
      <c r="F10" s="1638" t="s">
        <v>612</v>
      </c>
      <c r="G10" s="1638"/>
      <c r="H10" s="1638"/>
      <c r="I10" s="1638"/>
      <c r="J10" s="1638"/>
      <c r="K10" s="1638"/>
      <c r="L10" s="1660"/>
      <c r="M10" s="1601" t="s">
        <v>584</v>
      </c>
      <c r="N10" s="1503"/>
      <c r="O10" s="625"/>
    </row>
    <row r="11" spans="1:15" s="455" customFormat="1" ht="13.5">
      <c r="A11" s="471"/>
      <c r="B11" s="454" t="s">
        <v>589</v>
      </c>
      <c r="C11" s="1605" t="s">
        <v>586</v>
      </c>
      <c r="D11" s="1661"/>
      <c r="E11" s="1638"/>
      <c r="F11" s="1661"/>
      <c r="G11" s="1661"/>
      <c r="H11" s="1661"/>
      <c r="I11" s="1661"/>
      <c r="J11" s="1661"/>
      <c r="K11" s="1661"/>
      <c r="L11" s="1660"/>
      <c r="M11" s="1638" t="s">
        <v>587</v>
      </c>
      <c r="N11" s="1505"/>
    </row>
    <row r="12" spans="1:15" s="455" customFormat="1" ht="13.5">
      <c r="A12" s="471"/>
      <c r="B12" s="454"/>
      <c r="C12" s="314"/>
      <c r="D12" s="309"/>
      <c r="E12" s="309"/>
      <c r="F12" s="309"/>
      <c r="G12" s="497"/>
      <c r="H12" s="985"/>
      <c r="I12" s="985"/>
      <c r="J12" s="985"/>
      <c r="K12" s="499"/>
      <c r="L12" s="1016"/>
      <c r="M12" s="499"/>
      <c r="N12" s="1464"/>
    </row>
    <row r="13" spans="1:15" s="455" customFormat="1" ht="13.5">
      <c r="A13" s="471"/>
      <c r="B13" s="454"/>
      <c r="C13" s="1525"/>
      <c r="D13" s="309"/>
      <c r="E13" s="309"/>
      <c r="F13" s="309"/>
      <c r="G13" s="497"/>
      <c r="H13" s="1056"/>
      <c r="I13" s="985"/>
      <c r="J13" s="985"/>
      <c r="K13" s="499"/>
      <c r="L13" s="1016"/>
      <c r="M13" s="499"/>
    </row>
    <row r="14" spans="1:15" s="455" customFormat="1" ht="80.25" customHeight="1">
      <c r="A14" s="471"/>
      <c r="B14" s="454" t="s">
        <v>1675</v>
      </c>
      <c r="C14" s="1542" t="s">
        <v>1642</v>
      </c>
      <c r="D14" s="1533" t="s">
        <v>2</v>
      </c>
      <c r="E14" s="1543"/>
      <c r="F14" s="1543"/>
      <c r="G14" s="1545"/>
      <c r="H14" s="1535"/>
      <c r="I14" s="1538"/>
      <c r="J14" s="1538"/>
      <c r="K14" s="1530" t="s">
        <v>748</v>
      </c>
      <c r="L14" s="1662">
        <v>45000</v>
      </c>
      <c r="N14" s="1535"/>
      <c r="O14" s="1535"/>
    </row>
    <row r="15" spans="1:15" s="455" customFormat="1" ht="13.5">
      <c r="A15" s="471"/>
      <c r="B15" s="454"/>
      <c r="C15" s="392"/>
      <c r="D15" s="309"/>
      <c r="E15" s="309"/>
      <c r="F15" s="309"/>
      <c r="G15" s="497"/>
      <c r="H15" s="985"/>
      <c r="I15" s="985"/>
      <c r="J15" s="985"/>
      <c r="K15" s="1025"/>
      <c r="L15" s="1016"/>
      <c r="N15" s="1466"/>
    </row>
    <row r="16" spans="1:15" s="455" customFormat="1" ht="13.5">
      <c r="A16" s="471"/>
      <c r="B16" s="454"/>
      <c r="C16" s="392"/>
      <c r="D16" s="309"/>
      <c r="E16" s="309"/>
      <c r="F16" s="309"/>
      <c r="G16" s="497"/>
      <c r="H16" s="985"/>
      <c r="I16" s="985"/>
      <c r="J16" s="985"/>
      <c r="K16" s="1025"/>
      <c r="L16" s="1016"/>
      <c r="N16" s="1467"/>
    </row>
    <row r="17" spans="1:15" s="455" customFormat="1" ht="84.75" customHeight="1">
      <c r="A17" s="471"/>
      <c r="B17" s="454" t="s">
        <v>1677</v>
      </c>
      <c r="C17" s="1542" t="s">
        <v>1642</v>
      </c>
      <c r="D17" s="1533" t="s">
        <v>2</v>
      </c>
      <c r="E17" s="1543"/>
      <c r="F17" s="1543"/>
      <c r="G17" s="1545"/>
      <c r="H17" s="1535"/>
      <c r="I17" s="1538"/>
      <c r="J17" s="1538"/>
      <c r="K17" s="1530" t="s">
        <v>748</v>
      </c>
      <c r="L17" s="1662">
        <v>50000</v>
      </c>
      <c r="N17" s="1535"/>
      <c r="O17" s="1535"/>
    </row>
    <row r="18" spans="1:15" s="455" customFormat="1" ht="13.5">
      <c r="A18" s="471"/>
      <c r="B18" s="454"/>
      <c r="C18" s="392"/>
      <c r="D18" s="309"/>
      <c r="E18" s="309"/>
      <c r="F18" s="309"/>
      <c r="G18" s="497"/>
      <c r="H18" s="985"/>
      <c r="I18" s="985"/>
      <c r="J18" s="985"/>
      <c r="K18" s="1025"/>
      <c r="L18" s="1016"/>
      <c r="N18" s="1468"/>
    </row>
    <row r="19" spans="1:15" s="455" customFormat="1" ht="51">
      <c r="A19" s="471"/>
      <c r="B19" s="454" t="s">
        <v>1724</v>
      </c>
      <c r="C19" s="1589" t="s">
        <v>1726</v>
      </c>
      <c r="D19" s="1595" t="s">
        <v>2</v>
      </c>
      <c r="E19" s="1596"/>
      <c r="F19" s="1596"/>
      <c r="G19" s="1590"/>
      <c r="H19" s="1591"/>
      <c r="I19" s="1592"/>
      <c r="J19" s="1592"/>
      <c r="K19" s="218" t="s">
        <v>748</v>
      </c>
      <c r="L19" s="1663">
        <v>22500</v>
      </c>
      <c r="N19" s="1591"/>
      <c r="O19" s="1591"/>
    </row>
    <row r="20" spans="1:15" s="455" customFormat="1" ht="13.5">
      <c r="A20" s="471"/>
      <c r="B20" s="454"/>
      <c r="C20" s="1957"/>
      <c r="D20" s="1595"/>
      <c r="E20" s="1596"/>
      <c r="F20" s="1596"/>
      <c r="G20" s="1590"/>
      <c r="H20" s="1591"/>
      <c r="I20" s="1592"/>
      <c r="J20" s="1592"/>
      <c r="K20" s="218"/>
      <c r="L20" s="1663"/>
      <c r="N20" s="1958"/>
      <c r="O20" s="1959"/>
    </row>
    <row r="21" spans="1:15" s="455" customFormat="1" ht="13.5">
      <c r="A21" s="471"/>
      <c r="B21" s="454"/>
      <c r="C21" s="1957"/>
      <c r="D21" s="1595"/>
      <c r="E21" s="1596"/>
      <c r="F21" s="1596"/>
      <c r="G21" s="1590"/>
      <c r="H21" s="1591"/>
      <c r="I21" s="1592"/>
      <c r="J21" s="1592"/>
      <c r="K21" s="218"/>
      <c r="L21" s="1663"/>
      <c r="N21" s="1958"/>
      <c r="O21" s="1959"/>
    </row>
    <row r="22" spans="1:15" s="455" customFormat="1" ht="27">
      <c r="A22" s="471"/>
      <c r="B22" s="454" t="s">
        <v>2699</v>
      </c>
      <c r="C22" s="2756" t="s">
        <v>2904</v>
      </c>
      <c r="D22" s="1712" t="s">
        <v>2</v>
      </c>
      <c r="E22" s="1922"/>
      <c r="F22" s="1919"/>
      <c r="G22" s="1725"/>
      <c r="H22" s="1801"/>
      <c r="I22" s="1801"/>
      <c r="J22" s="1801"/>
      <c r="K22" s="1801"/>
      <c r="L22" s="1920"/>
      <c r="M22" s="1715" t="s">
        <v>2446</v>
      </c>
      <c r="N22" s="1716"/>
    </row>
    <row r="23" spans="1:15" s="455" customFormat="1" ht="13.9" customHeight="1">
      <c r="A23" s="471"/>
      <c r="B23" s="454" t="s">
        <v>2699</v>
      </c>
      <c r="C23" s="2757"/>
      <c r="D23" s="2759" t="s">
        <v>2905</v>
      </c>
      <c r="E23" s="1885"/>
      <c r="F23" s="1724"/>
      <c r="G23" s="1725"/>
      <c r="H23" s="1801"/>
      <c r="I23" s="1801"/>
      <c r="J23" s="1801"/>
      <c r="K23" s="1712" t="s">
        <v>2216</v>
      </c>
      <c r="L23" s="1943">
        <v>300000</v>
      </c>
      <c r="M23" s="1721"/>
      <c r="N23" s="1720"/>
    </row>
    <row r="24" spans="1:15" s="455" customFormat="1">
      <c r="A24" s="471"/>
      <c r="B24" s="454" t="s">
        <v>2699</v>
      </c>
      <c r="C24" s="2757"/>
      <c r="D24" s="2759"/>
      <c r="E24" s="1885"/>
      <c r="F24" s="1724"/>
      <c r="G24" s="1725"/>
      <c r="H24" s="1801"/>
      <c r="I24" s="1801"/>
      <c r="J24" s="1801"/>
      <c r="K24" s="1836"/>
      <c r="L24" s="1943"/>
      <c r="M24" s="1721"/>
      <c r="N24" s="1720"/>
    </row>
    <row r="25" spans="1:15" s="455" customFormat="1">
      <c r="A25" s="471"/>
      <c r="B25" s="454" t="s">
        <v>2699</v>
      </c>
      <c r="C25" s="2757"/>
      <c r="D25" s="1726"/>
      <c r="E25" s="1885"/>
      <c r="F25" s="1724"/>
      <c r="G25" s="1725"/>
      <c r="H25" s="1801"/>
      <c r="I25" s="1801"/>
      <c r="J25" s="1801"/>
      <c r="K25" s="1802"/>
      <c r="L25" s="1801"/>
      <c r="M25" s="1943"/>
      <c r="N25" s="1721"/>
      <c r="O25" s="1720"/>
    </row>
    <row r="26" spans="1:15" s="455" customFormat="1">
      <c r="A26" s="471"/>
      <c r="B26" s="454" t="s">
        <v>2699</v>
      </c>
      <c r="C26" s="2757"/>
      <c r="D26" s="1726"/>
      <c r="E26" s="1885"/>
      <c r="F26" s="1724"/>
      <c r="G26" s="1725"/>
      <c r="H26" s="1801"/>
      <c r="I26" s="1801"/>
      <c r="J26" s="1801"/>
      <c r="K26" s="1802"/>
      <c r="L26" s="1801"/>
      <c r="M26" s="1943"/>
      <c r="N26" s="1721"/>
      <c r="O26" s="1720"/>
    </row>
    <row r="27" spans="1:15" s="455" customFormat="1">
      <c r="A27" s="471"/>
      <c r="B27" s="454" t="s">
        <v>2699</v>
      </c>
      <c r="C27" s="2757"/>
      <c r="D27" s="1726"/>
      <c r="E27" s="1881"/>
      <c r="F27" s="1724"/>
      <c r="G27" s="1725"/>
      <c r="H27" s="1801"/>
      <c r="I27" s="1801"/>
      <c r="J27" s="1801"/>
      <c r="K27" s="1802"/>
      <c r="L27" s="1801"/>
      <c r="M27" s="1943"/>
      <c r="N27" s="1721"/>
      <c r="O27" s="1720"/>
    </row>
    <row r="28" spans="1:15" s="455" customFormat="1">
      <c r="A28" s="471"/>
      <c r="B28" s="454"/>
      <c r="C28" s="2758"/>
      <c r="D28" s="1726"/>
      <c r="E28" s="1885"/>
      <c r="F28" s="1724"/>
      <c r="G28" s="1725"/>
      <c r="H28" s="1801"/>
      <c r="I28" s="1801"/>
      <c r="J28" s="1801"/>
      <c r="K28" s="1802"/>
      <c r="L28" s="1801"/>
      <c r="M28" s="1943"/>
      <c r="N28" s="1721"/>
      <c r="O28" s="1720"/>
    </row>
    <row r="29" spans="1:15" s="455" customFormat="1" ht="13.5">
      <c r="A29" s="471"/>
      <c r="B29" s="454"/>
      <c r="C29" s="1957"/>
      <c r="D29" s="1595"/>
      <c r="E29" s="1596"/>
      <c r="F29" s="1596"/>
      <c r="G29" s="1590"/>
      <c r="H29" s="1591"/>
      <c r="I29" s="1592"/>
      <c r="J29" s="1592"/>
      <c r="K29" s="218"/>
      <c r="L29" s="1663"/>
      <c r="N29" s="1958"/>
      <c r="O29" s="1959"/>
    </row>
    <row r="30" spans="1:15" s="455" customFormat="1" ht="27">
      <c r="A30" s="471"/>
      <c r="B30" s="454" t="s">
        <v>2699</v>
      </c>
      <c r="C30" s="2756" t="s">
        <v>2904</v>
      </c>
      <c r="D30" s="1712" t="s">
        <v>2</v>
      </c>
      <c r="E30" s="1922"/>
      <c r="F30" s="1919"/>
      <c r="G30" s="1725"/>
      <c r="H30" s="1801"/>
      <c r="I30" s="1801"/>
      <c r="J30" s="1801"/>
      <c r="K30" s="1801"/>
      <c r="L30" s="1920"/>
      <c r="M30" s="1715" t="s">
        <v>2446</v>
      </c>
      <c r="N30" s="1716"/>
    </row>
    <row r="31" spans="1:15" s="455" customFormat="1" ht="13.9" customHeight="1">
      <c r="A31" s="471"/>
      <c r="B31" s="454" t="s">
        <v>2699</v>
      </c>
      <c r="C31" s="2757"/>
      <c r="D31" s="2590" t="s">
        <v>2905</v>
      </c>
      <c r="E31" s="1885"/>
      <c r="F31" s="1724"/>
      <c r="G31" s="1725"/>
      <c r="H31" s="1801"/>
      <c r="I31" s="1801"/>
      <c r="J31" s="1801"/>
      <c r="K31" s="1712" t="s">
        <v>2216</v>
      </c>
      <c r="L31" s="1943">
        <v>150000</v>
      </c>
      <c r="M31" s="1721"/>
      <c r="N31" s="1720"/>
    </row>
    <row r="32" spans="1:15" s="455" customFormat="1">
      <c r="A32" s="471"/>
      <c r="B32" s="454" t="s">
        <v>2699</v>
      </c>
      <c r="C32" s="2757"/>
      <c r="D32" s="2590"/>
      <c r="E32" s="1885"/>
      <c r="F32" s="1724"/>
      <c r="G32" s="1725"/>
      <c r="H32" s="1801"/>
      <c r="I32" s="1801"/>
      <c r="J32" s="1801"/>
      <c r="K32" s="1836"/>
      <c r="L32" s="1943"/>
      <c r="M32" s="1721"/>
      <c r="N32" s="1720"/>
    </row>
    <row r="33" spans="1:16" s="455" customFormat="1">
      <c r="A33" s="471"/>
      <c r="B33" s="454" t="s">
        <v>2699</v>
      </c>
      <c r="C33" s="2757"/>
      <c r="D33" s="1940"/>
      <c r="E33" s="1885"/>
      <c r="F33" s="1724"/>
      <c r="G33" s="1725"/>
      <c r="H33" s="1801"/>
      <c r="I33" s="1801"/>
      <c r="J33" s="1801"/>
      <c r="K33" s="1802"/>
      <c r="L33" s="1801"/>
      <c r="M33" s="1943"/>
      <c r="N33" s="1721"/>
      <c r="O33" s="1720"/>
    </row>
    <row r="34" spans="1:16" s="455" customFormat="1">
      <c r="A34" s="471"/>
      <c r="B34" s="454" t="s">
        <v>2699</v>
      </c>
      <c r="C34" s="2757"/>
      <c r="D34" s="1940"/>
      <c r="E34" s="1885"/>
      <c r="F34" s="1724"/>
      <c r="G34" s="1725"/>
      <c r="H34" s="1801"/>
      <c r="I34" s="1801"/>
      <c r="J34" s="1801"/>
      <c r="K34" s="1802"/>
      <c r="L34" s="1801"/>
      <c r="M34" s="1943"/>
      <c r="N34" s="1721"/>
      <c r="O34" s="1720"/>
    </row>
    <row r="35" spans="1:16" s="455" customFormat="1">
      <c r="A35" s="471"/>
      <c r="B35" s="454"/>
      <c r="C35" s="2757"/>
      <c r="D35" s="1940"/>
      <c r="E35" s="1881"/>
      <c r="F35" s="1724"/>
      <c r="G35" s="1725"/>
      <c r="H35" s="1801"/>
      <c r="I35" s="1801"/>
      <c r="J35" s="1801"/>
      <c r="K35" s="1802"/>
      <c r="L35" s="1801"/>
      <c r="M35" s="1943"/>
      <c r="N35" s="1721"/>
      <c r="O35" s="1720"/>
    </row>
    <row r="36" spans="1:16" s="455" customFormat="1">
      <c r="A36" s="471"/>
      <c r="B36" s="454"/>
      <c r="C36" s="2758"/>
      <c r="D36" s="1836" t="s">
        <v>749</v>
      </c>
      <c r="E36" s="1885"/>
      <c r="F36" s="1724"/>
      <c r="G36" s="1725"/>
      <c r="H36" s="1801"/>
      <c r="I36" s="1801"/>
      <c r="J36" s="1801"/>
      <c r="K36" s="1802"/>
      <c r="L36" s="1801"/>
      <c r="M36" s="1943"/>
      <c r="N36" s="1721"/>
      <c r="O36" s="1720"/>
    </row>
    <row r="37" spans="1:16" s="455" customFormat="1" ht="27">
      <c r="A37" s="471"/>
      <c r="B37" s="454" t="s">
        <v>4006</v>
      </c>
      <c r="C37" s="2878" t="s">
        <v>4724</v>
      </c>
      <c r="D37" s="2942" t="s">
        <v>4725</v>
      </c>
      <c r="E37" s="2941" t="s">
        <v>487</v>
      </c>
      <c r="F37" s="2122" t="s">
        <v>661</v>
      </c>
      <c r="G37" s="1712" t="s">
        <v>828</v>
      </c>
      <c r="H37" s="2943" t="s">
        <v>2213</v>
      </c>
      <c r="I37" s="1713" t="s">
        <v>4414</v>
      </c>
      <c r="J37" s="2943" t="s">
        <v>4726</v>
      </c>
      <c r="K37" s="1712" t="s">
        <v>2216</v>
      </c>
      <c r="L37" s="2954">
        <v>2293105</v>
      </c>
      <c r="O37" s="2944"/>
      <c r="P37" s="2945"/>
    </row>
    <row r="38" spans="1:16" s="455" customFormat="1" ht="27">
      <c r="A38" s="471"/>
      <c r="B38" s="454" t="s">
        <v>4006</v>
      </c>
      <c r="C38" s="2946"/>
      <c r="D38" s="2948" t="s">
        <v>4727</v>
      </c>
      <c r="E38" s="2947"/>
      <c r="F38" s="2122"/>
      <c r="G38" s="1837"/>
      <c r="H38" s="2123"/>
      <c r="I38" s="1837"/>
      <c r="J38" s="2100"/>
      <c r="K38" s="1838"/>
      <c r="L38" s="2954"/>
      <c r="O38" s="2949"/>
      <c r="P38" s="2586"/>
    </row>
    <row r="39" spans="1:16" s="455" customFormat="1">
      <c r="A39" s="471"/>
      <c r="B39" s="454" t="s">
        <v>4006</v>
      </c>
      <c r="C39" s="2946"/>
      <c r="D39" s="2951" t="s">
        <v>4728</v>
      </c>
      <c r="E39" s="2950"/>
      <c r="F39" s="2122"/>
      <c r="G39" s="1837"/>
      <c r="H39" s="2123"/>
      <c r="I39" s="1837"/>
      <c r="J39" s="2100"/>
      <c r="K39" s="1838"/>
      <c r="L39" s="2954"/>
      <c r="O39" s="2949"/>
      <c r="P39" s="2586"/>
    </row>
    <row r="40" spans="1:16" s="455" customFormat="1" ht="27">
      <c r="A40" s="471"/>
      <c r="B40" s="454" t="s">
        <v>4006</v>
      </c>
      <c r="C40" s="2946"/>
      <c r="D40" s="2942" t="s">
        <v>4725</v>
      </c>
      <c r="E40" s="2952" t="s">
        <v>487</v>
      </c>
      <c r="F40" s="2122" t="s">
        <v>422</v>
      </c>
      <c r="G40" s="1837"/>
      <c r="H40" s="2100">
        <v>46023</v>
      </c>
      <c r="I40" s="1838">
        <v>46174</v>
      </c>
      <c r="J40" s="2953" t="s">
        <v>4726</v>
      </c>
      <c r="K40" s="1838"/>
      <c r="L40" s="2954">
        <v>100517</v>
      </c>
      <c r="O40" s="2955"/>
      <c r="P40" s="2586"/>
    </row>
    <row r="41" spans="1:16" s="455" customFormat="1" ht="13.5">
      <c r="A41" s="471"/>
      <c r="B41" s="454"/>
      <c r="C41" s="1957"/>
      <c r="D41" s="1595"/>
      <c r="E41" s="1596"/>
      <c r="F41" s="1596"/>
      <c r="G41" s="1590"/>
      <c r="H41" s="1591"/>
      <c r="I41" s="1592"/>
      <c r="J41" s="1592"/>
      <c r="K41" s="218"/>
      <c r="L41" s="1663"/>
      <c r="N41" s="1958"/>
      <c r="O41" s="1959"/>
    </row>
    <row r="42" spans="1:16" s="455" customFormat="1" ht="13.5">
      <c r="A42" s="471"/>
      <c r="B42" s="454"/>
      <c r="C42" s="1957"/>
      <c r="D42" s="1595"/>
      <c r="E42" s="1596"/>
      <c r="F42" s="1596"/>
      <c r="G42" s="1590"/>
      <c r="H42" s="1591"/>
      <c r="I42" s="1592"/>
      <c r="J42" s="1592"/>
      <c r="K42" s="218"/>
      <c r="L42" s="1663"/>
      <c r="N42" s="1958"/>
      <c r="O42" s="1959"/>
    </row>
    <row r="43" spans="1:16" s="455" customFormat="1" ht="13.5">
      <c r="A43" s="471"/>
      <c r="B43" s="454"/>
      <c r="C43" s="1957"/>
      <c r="D43" s="1595"/>
      <c r="E43" s="1596"/>
      <c r="F43" s="1596"/>
      <c r="G43" s="1590"/>
      <c r="H43" s="1591"/>
      <c r="I43" s="1592"/>
      <c r="J43" s="1592"/>
      <c r="K43" s="218"/>
      <c r="L43" s="1663"/>
      <c r="N43" s="1958"/>
      <c r="O43" s="1959"/>
    </row>
    <row r="44" spans="1:16" s="455" customFormat="1" ht="13.5">
      <c r="A44" s="471"/>
      <c r="B44" s="454"/>
      <c r="C44" s="1957"/>
      <c r="D44" s="1595"/>
      <c r="E44" s="1596"/>
      <c r="F44" s="1596"/>
      <c r="G44" s="1590"/>
      <c r="H44" s="1591"/>
      <c r="I44" s="1592"/>
      <c r="J44" s="1592"/>
      <c r="K44" s="218"/>
      <c r="L44" s="1663"/>
      <c r="N44" s="1958"/>
      <c r="O44" s="1959"/>
    </row>
    <row r="45" spans="1:16" s="455" customFormat="1" ht="13.5">
      <c r="A45" s="471"/>
      <c r="B45" s="454"/>
      <c r="C45" s="1957"/>
      <c r="D45" s="1595"/>
      <c r="E45" s="1596"/>
      <c r="F45" s="1596"/>
      <c r="G45" s="1590"/>
      <c r="H45" s="1591"/>
      <c r="I45" s="1592"/>
      <c r="J45" s="1592"/>
      <c r="K45" s="218"/>
      <c r="L45" s="1998">
        <f>SUM(L5:L43)</f>
        <v>3141122</v>
      </c>
      <c r="N45" s="1958"/>
      <c r="O45" s="1959"/>
    </row>
    <row r="46" spans="1:16" s="455" customFormat="1" ht="13.5">
      <c r="A46" s="471"/>
      <c r="B46" s="454"/>
      <c r="C46" s="1957"/>
      <c r="D46" s="1595"/>
      <c r="E46" s="1596"/>
      <c r="F46" s="1596"/>
      <c r="G46" s="1590"/>
      <c r="H46" s="1591"/>
      <c r="I46" s="1592"/>
      <c r="J46" s="1592"/>
      <c r="K46" s="218"/>
      <c r="L46" s="1663"/>
      <c r="N46" s="1958"/>
      <c r="O46" s="1959"/>
    </row>
    <row r="47" spans="1:16" s="455" customFormat="1" ht="13.5">
      <c r="A47" s="471"/>
      <c r="B47" s="454"/>
      <c r="C47" s="1957"/>
      <c r="D47" s="1595"/>
      <c r="E47" s="1596"/>
      <c r="F47" s="1596"/>
      <c r="G47" s="1590"/>
      <c r="H47" s="1591"/>
      <c r="I47" s="1592"/>
      <c r="J47" s="1592"/>
      <c r="K47" s="218"/>
      <c r="L47" s="1663"/>
      <c r="N47" s="1958"/>
      <c r="O47" s="1959"/>
    </row>
    <row r="48" spans="1:16" s="455" customFormat="1" ht="13.5">
      <c r="A48" s="471"/>
      <c r="B48" s="454"/>
      <c r="C48" s="1957"/>
      <c r="D48" s="1595"/>
      <c r="E48" s="1596"/>
      <c r="F48" s="1596"/>
      <c r="G48" s="1590"/>
      <c r="H48" s="1591"/>
      <c r="I48" s="1592"/>
      <c r="J48" s="1592"/>
      <c r="K48" s="218"/>
      <c r="L48" s="1663"/>
      <c r="N48" s="1958"/>
      <c r="O48" s="1959"/>
    </row>
    <row r="49" spans="1:15" s="455" customFormat="1" ht="13.5">
      <c r="A49" s="471"/>
      <c r="B49" s="454"/>
      <c r="C49" s="1957"/>
      <c r="D49" s="1595"/>
      <c r="E49" s="1596"/>
      <c r="F49" s="1596"/>
      <c r="G49" s="1590"/>
      <c r="H49" s="1591"/>
      <c r="I49" s="1592"/>
      <c r="J49" s="1592"/>
      <c r="K49" s="218"/>
      <c r="L49" s="1663"/>
      <c r="N49" s="1958"/>
      <c r="O49" s="1959"/>
    </row>
    <row r="50" spans="1:15" s="455" customFormat="1" ht="13.5">
      <c r="A50" s="471"/>
      <c r="B50" s="454"/>
      <c r="C50" s="1957"/>
      <c r="D50" s="1595"/>
      <c r="E50" s="1596"/>
      <c r="F50" s="1596"/>
      <c r="G50" s="1590"/>
      <c r="H50" s="1591"/>
      <c r="I50" s="1592"/>
      <c r="J50" s="1592"/>
      <c r="K50" s="218"/>
      <c r="L50" s="1663"/>
      <c r="N50" s="1958"/>
      <c r="O50" s="1959"/>
    </row>
    <row r="51" spans="1:15" s="455" customFormat="1" ht="13.5">
      <c r="A51" s="471"/>
      <c r="B51" s="454"/>
      <c r="C51" s="1957"/>
      <c r="D51" s="1595"/>
      <c r="E51" s="1596"/>
      <c r="F51" s="1596"/>
      <c r="G51" s="1590"/>
      <c r="H51" s="1591"/>
      <c r="I51" s="1592"/>
      <c r="J51" s="1592"/>
      <c r="K51" s="218"/>
      <c r="L51" s="1663"/>
      <c r="N51" s="1958"/>
      <c r="O51" s="1959"/>
    </row>
    <row r="52" spans="1:15" s="455" customFormat="1" ht="13.5">
      <c r="A52" s="471"/>
      <c r="B52" s="454"/>
      <c r="C52" s="1957"/>
      <c r="D52" s="1595"/>
      <c r="E52" s="1596"/>
      <c r="F52" s="1596"/>
      <c r="G52" s="1590"/>
      <c r="H52" s="1591"/>
      <c r="I52" s="1592"/>
      <c r="J52" s="1592"/>
      <c r="K52" s="218"/>
      <c r="L52" s="1663"/>
      <c r="N52" s="1958"/>
      <c r="O52" s="1959"/>
    </row>
    <row r="53" spans="1:15" s="455" customFormat="1" ht="13.5">
      <c r="A53" s="471"/>
      <c r="B53" s="454"/>
      <c r="C53" s="1957"/>
      <c r="D53" s="1595"/>
      <c r="E53" s="1596"/>
      <c r="F53" s="1596"/>
      <c r="G53" s="1590"/>
      <c r="H53" s="1591"/>
      <c r="I53" s="1592"/>
      <c r="J53" s="1592"/>
      <c r="K53" s="218"/>
      <c r="L53" s="1663"/>
      <c r="N53" s="1958"/>
      <c r="O53" s="1959"/>
    </row>
    <row r="54" spans="1:15" s="455" customFormat="1" ht="13.5">
      <c r="A54" s="471"/>
      <c r="B54" s="454"/>
      <c r="C54" s="1957"/>
      <c r="D54" s="1595"/>
      <c r="E54" s="1596"/>
      <c r="F54" s="1596"/>
      <c r="G54" s="1590"/>
      <c r="H54" s="1591"/>
      <c r="I54" s="1592"/>
      <c r="J54" s="1592"/>
      <c r="K54" s="218"/>
      <c r="L54" s="1663"/>
      <c r="N54" s="1958"/>
      <c r="O54" s="1959"/>
    </row>
    <row r="55" spans="1:15" s="455" customFormat="1" ht="13.5">
      <c r="A55" s="471"/>
      <c r="B55" s="454"/>
      <c r="C55" s="1957"/>
      <c r="D55" s="1595"/>
      <c r="E55" s="1596"/>
      <c r="F55" s="1596"/>
      <c r="G55" s="1590"/>
      <c r="H55" s="1591"/>
      <c r="I55" s="1592"/>
      <c r="J55" s="1592"/>
      <c r="K55" s="218"/>
      <c r="L55" s="1663"/>
      <c r="N55" s="1958"/>
      <c r="O55" s="1959"/>
    </row>
    <row r="56" spans="1:15" s="455" customFormat="1" ht="13.5">
      <c r="A56" s="471"/>
      <c r="B56" s="454"/>
      <c r="C56" s="1957"/>
      <c r="D56" s="1595"/>
      <c r="E56" s="1596"/>
      <c r="F56" s="1596"/>
      <c r="G56" s="1590"/>
      <c r="H56" s="1591"/>
      <c r="I56" s="1592"/>
      <c r="J56" s="1592"/>
      <c r="K56" s="218"/>
      <c r="L56" s="1663"/>
      <c r="N56" s="1958"/>
      <c r="O56" s="1959"/>
    </row>
    <row r="57" spans="1:15" s="455" customFormat="1" ht="13.5">
      <c r="A57" s="471"/>
      <c r="B57" s="454"/>
      <c r="C57" s="1957"/>
      <c r="D57" s="1595"/>
      <c r="E57" s="1596"/>
      <c r="F57" s="1596"/>
      <c r="G57" s="1590"/>
      <c r="H57" s="1591"/>
      <c r="I57" s="1592"/>
      <c r="J57" s="1592"/>
      <c r="K57" s="218"/>
      <c r="L57" s="1663"/>
      <c r="N57" s="1958"/>
      <c r="O57" s="1959"/>
    </row>
    <row r="58" spans="1:15" s="455" customFormat="1" ht="13.5">
      <c r="A58" s="471"/>
      <c r="B58" s="454"/>
      <c r="C58" s="1957"/>
      <c r="D58" s="1595"/>
      <c r="E58" s="1596"/>
      <c r="F58" s="1596"/>
      <c r="G58" s="1590"/>
      <c r="H58" s="1591"/>
      <c r="I58" s="1592"/>
      <c r="J58" s="1592"/>
      <c r="K58" s="218"/>
      <c r="L58" s="1663"/>
      <c r="N58" s="1958"/>
      <c r="O58" s="1959"/>
    </row>
    <row r="59" spans="1:15" s="455" customFormat="1" ht="13.5">
      <c r="A59" s="471"/>
      <c r="B59" s="454"/>
      <c r="C59" s="1957"/>
      <c r="D59" s="1595"/>
      <c r="E59" s="1596"/>
      <c r="F59" s="1596"/>
      <c r="G59" s="1590"/>
      <c r="H59" s="1591"/>
      <c r="I59" s="1592"/>
      <c r="J59" s="1592"/>
      <c r="K59" s="218"/>
      <c r="L59" s="1663"/>
      <c r="N59" s="1958"/>
      <c r="O59" s="1959"/>
    </row>
    <row r="60" spans="1:15" s="455" customFormat="1" ht="13.5">
      <c r="A60" s="471"/>
      <c r="B60" s="454"/>
      <c r="C60" s="1525"/>
      <c r="D60" s="309"/>
      <c r="E60" s="309"/>
      <c r="F60" s="309"/>
      <c r="G60" s="497"/>
      <c r="H60" s="985"/>
      <c r="I60" s="985"/>
      <c r="J60" s="985"/>
      <c r="K60" s="499"/>
      <c r="L60" s="1016"/>
      <c r="M60" s="499"/>
      <c r="N60" s="1468"/>
    </row>
    <row r="61" spans="1:15" s="455" customFormat="1" ht="13.5">
      <c r="A61" s="471"/>
      <c r="B61" s="454"/>
      <c r="C61" s="392"/>
      <c r="D61" s="309"/>
      <c r="E61" s="309"/>
      <c r="F61" s="309"/>
      <c r="G61" s="497"/>
      <c r="H61" s="1056"/>
      <c r="I61" s="985"/>
      <c r="J61" s="985"/>
      <c r="K61" s="499"/>
      <c r="L61" s="1016"/>
      <c r="M61" s="499"/>
      <c r="N61" s="1465"/>
    </row>
    <row r="62" spans="1:15" s="455" customFormat="1" ht="13.5">
      <c r="A62" s="471"/>
      <c r="B62" s="454"/>
      <c r="C62" s="392"/>
      <c r="D62" s="309"/>
      <c r="E62" s="309"/>
      <c r="F62" s="309"/>
      <c r="G62" s="497"/>
      <c r="H62" s="985"/>
      <c r="I62" s="985"/>
      <c r="J62" s="985"/>
      <c r="K62" s="499"/>
      <c r="L62" s="1016"/>
      <c r="M62" s="499"/>
    </row>
    <row r="63" spans="1:15" s="455" customFormat="1" ht="13.5">
      <c r="A63" s="471"/>
      <c r="B63" s="454"/>
      <c r="C63" s="987"/>
      <c r="D63" s="314"/>
      <c r="E63" s="662"/>
      <c r="F63" s="309"/>
      <c r="G63" s="497"/>
      <c r="H63" s="985"/>
      <c r="I63" s="985"/>
      <c r="J63" s="985"/>
      <c r="K63" s="499"/>
      <c r="L63" s="1016"/>
      <c r="M63" s="499"/>
      <c r="N63" s="454"/>
    </row>
    <row r="64" spans="1:15" s="455" customFormat="1" ht="13.5">
      <c r="A64" s="471"/>
      <c r="B64" s="454"/>
      <c r="C64" s="987"/>
      <c r="D64" s="314"/>
      <c r="E64" s="662"/>
      <c r="F64" s="309"/>
      <c r="G64" s="497"/>
      <c r="H64" s="985"/>
      <c r="I64" s="985"/>
      <c r="J64" s="985"/>
      <c r="K64" s="499"/>
      <c r="L64" s="1016"/>
      <c r="M64" s="499"/>
      <c r="N64" s="458"/>
    </row>
    <row r="65" spans="1:15" s="455" customFormat="1" ht="13.5">
      <c r="A65" s="471"/>
      <c r="B65" s="454"/>
      <c r="C65" s="987"/>
      <c r="D65" s="314"/>
      <c r="E65" s="662"/>
      <c r="F65" s="309"/>
      <c r="G65" s="497"/>
      <c r="H65" s="985"/>
      <c r="I65" s="985"/>
      <c r="J65" s="985"/>
      <c r="K65" s="499"/>
      <c r="L65" s="1016"/>
      <c r="M65" s="499"/>
      <c r="N65" s="458"/>
    </row>
    <row r="66" spans="1:15" s="455" customFormat="1" ht="13.5">
      <c r="A66" s="471"/>
      <c r="B66" s="454"/>
      <c r="C66" s="987"/>
      <c r="D66" s="309"/>
      <c r="E66" s="662"/>
      <c r="F66" s="309"/>
      <c r="G66" s="497"/>
      <c r="H66" s="985"/>
      <c r="I66" s="985"/>
      <c r="J66" s="985"/>
      <c r="K66" s="499"/>
      <c r="L66" s="1016"/>
      <c r="M66" s="499"/>
      <c r="N66" s="458"/>
    </row>
    <row r="67" spans="1:15" s="455" customFormat="1" ht="13.5">
      <c r="A67" s="471"/>
      <c r="B67" s="454"/>
      <c r="C67" s="314"/>
      <c r="D67" s="314"/>
      <c r="E67" s="309"/>
      <c r="F67" s="309"/>
      <c r="G67" s="497"/>
      <c r="H67" s="985"/>
      <c r="I67" s="985"/>
      <c r="J67" s="985"/>
      <c r="K67" s="309"/>
      <c r="L67" s="1069"/>
      <c r="M67" s="499"/>
      <c r="N67" s="458"/>
    </row>
    <row r="68" spans="1:15" s="455" customFormat="1" ht="13.5">
      <c r="A68" s="471"/>
      <c r="B68" s="454"/>
      <c r="C68" s="314"/>
      <c r="D68" s="314"/>
      <c r="E68" s="309"/>
      <c r="F68" s="309"/>
      <c r="G68" s="497"/>
      <c r="H68" s="985"/>
      <c r="I68" s="985"/>
      <c r="J68" s="985"/>
      <c r="K68" s="309"/>
      <c r="L68" s="1069"/>
      <c r="M68" s="499"/>
      <c r="N68" s="460"/>
    </row>
    <row r="69" spans="1:15" s="455" customFormat="1" ht="13.5">
      <c r="A69" s="471"/>
      <c r="B69" s="454"/>
      <c r="C69" s="314"/>
      <c r="D69" s="314"/>
      <c r="E69" s="560"/>
      <c r="F69" s="309"/>
      <c r="G69" s="497"/>
      <c r="H69" s="985"/>
      <c r="I69" s="985"/>
      <c r="J69" s="985"/>
      <c r="K69" s="309"/>
      <c r="L69" s="1630">
        <f>SUM(L6:L66)</f>
        <v>6282244</v>
      </c>
      <c r="M69" s="499"/>
      <c r="N69" s="454"/>
    </row>
    <row r="70" spans="1:15" s="455" customFormat="1" ht="13.5">
      <c r="A70" s="471"/>
      <c r="B70" s="454"/>
      <c r="C70" s="987"/>
      <c r="D70" s="314"/>
      <c r="E70" s="662"/>
      <c r="F70" s="309"/>
      <c r="G70" s="497"/>
      <c r="H70" s="985"/>
      <c r="I70" s="985"/>
      <c r="J70" s="985"/>
      <c r="K70" s="499"/>
      <c r="L70" s="1016"/>
      <c r="M70" s="499"/>
      <c r="N70" s="458"/>
    </row>
    <row r="71" spans="1:15" s="455" customFormat="1" ht="13.5">
      <c r="A71" s="471"/>
      <c r="B71" s="454"/>
      <c r="C71" s="392"/>
      <c r="D71" s="309"/>
      <c r="E71" s="309"/>
      <c r="F71" s="662"/>
      <c r="G71" s="309"/>
      <c r="H71" s="497"/>
      <c r="I71" s="985"/>
      <c r="J71" s="985"/>
      <c r="K71" s="1066"/>
      <c r="L71" s="1664"/>
      <c r="M71" s="1025"/>
      <c r="N71" s="1068"/>
      <c r="O71" s="458"/>
    </row>
    <row r="72" spans="1:15" s="455" customFormat="1" ht="13.5">
      <c r="A72" s="471"/>
      <c r="B72" s="454"/>
      <c r="C72" s="471"/>
      <c r="D72" s="456"/>
      <c r="E72" s="459"/>
      <c r="F72" s="466"/>
      <c r="G72" s="471"/>
      <c r="H72" s="477"/>
      <c r="I72" s="526"/>
      <c r="J72" s="526"/>
      <c r="K72" s="526"/>
      <c r="L72" s="473"/>
      <c r="M72" s="529"/>
      <c r="N72" s="471"/>
      <c r="O72" s="458"/>
    </row>
    <row r="73" spans="1:15" s="455" customFormat="1" ht="13.5">
      <c r="A73" s="471"/>
      <c r="B73" s="454"/>
      <c r="C73" s="471"/>
      <c r="D73" s="456"/>
      <c r="E73" s="459"/>
      <c r="F73" s="466"/>
      <c r="G73" s="471"/>
      <c r="H73" s="477"/>
      <c r="I73" s="526"/>
      <c r="J73" s="526"/>
      <c r="K73" s="526"/>
      <c r="L73" s="473"/>
      <c r="M73" s="529"/>
      <c r="N73" s="471"/>
      <c r="O73" s="458"/>
    </row>
    <row r="74" spans="1:15" s="455" customFormat="1" ht="13.5">
      <c r="A74" s="471"/>
      <c r="B74" s="454"/>
      <c r="C74" s="314"/>
      <c r="D74" s="309"/>
      <c r="E74" s="309"/>
      <c r="F74" s="309"/>
      <c r="G74" s="309"/>
      <c r="H74" s="309"/>
      <c r="I74" s="309"/>
      <c r="J74" s="309"/>
      <c r="K74" s="309"/>
      <c r="L74" s="1069"/>
      <c r="M74" s="309"/>
      <c r="N74" s="309"/>
    </row>
    <row r="75" spans="1:15" s="455" customFormat="1" ht="13.5">
      <c r="A75" s="471"/>
      <c r="B75" s="454"/>
      <c r="C75" s="314"/>
      <c r="D75" s="314"/>
      <c r="E75" s="309"/>
      <c r="F75" s="309"/>
      <c r="G75" s="497"/>
      <c r="H75" s="1056"/>
      <c r="I75" s="309"/>
      <c r="J75" s="309"/>
      <c r="K75" s="499"/>
      <c r="L75" s="1069"/>
      <c r="M75" s="309"/>
      <c r="N75" s="454"/>
    </row>
    <row r="76" spans="1:15" s="455" customFormat="1" ht="13.5">
      <c r="A76" s="471"/>
      <c r="B76" s="454"/>
      <c r="C76" s="314"/>
      <c r="D76" s="314"/>
      <c r="E76" s="309"/>
      <c r="F76" s="309"/>
      <c r="G76" s="497"/>
      <c r="H76" s="1056"/>
      <c r="I76" s="309"/>
      <c r="J76" s="309"/>
      <c r="K76" s="499"/>
      <c r="L76" s="1069"/>
      <c r="M76" s="499"/>
      <c r="N76" s="458"/>
    </row>
    <row r="77" spans="1:15" s="455" customFormat="1" ht="13.5">
      <c r="A77" s="471"/>
      <c r="B77" s="454"/>
      <c r="C77" s="314"/>
      <c r="D77" s="314"/>
      <c r="E77" s="309"/>
      <c r="F77" s="309"/>
      <c r="G77" s="497"/>
      <c r="H77" s="1056"/>
      <c r="I77" s="309"/>
      <c r="J77" s="309"/>
      <c r="K77" s="499"/>
      <c r="L77" s="1069"/>
      <c r="M77" s="499"/>
      <c r="N77" s="458"/>
    </row>
    <row r="78" spans="1:15" s="455" customFormat="1" ht="13.5">
      <c r="A78" s="471"/>
      <c r="B78" s="454"/>
      <c r="C78" s="314"/>
      <c r="D78" s="314"/>
      <c r="E78" s="662"/>
      <c r="F78" s="309"/>
      <c r="G78" s="497"/>
      <c r="H78" s="1056"/>
      <c r="I78" s="985"/>
      <c r="J78" s="985"/>
      <c r="K78" s="499"/>
      <c r="L78" s="1016"/>
      <c r="M78" s="499"/>
      <c r="N78" s="458"/>
    </row>
    <row r="79" spans="1:15" s="455" customFormat="1" ht="13.5">
      <c r="A79" s="471"/>
      <c r="B79" s="454"/>
      <c r="C79" s="314"/>
      <c r="D79" s="314"/>
      <c r="E79" s="662"/>
      <c r="F79" s="309"/>
      <c r="G79" s="497"/>
      <c r="H79" s="1056"/>
      <c r="I79" s="985"/>
      <c r="J79" s="985"/>
      <c r="K79" s="499"/>
      <c r="L79" s="1016"/>
      <c r="M79" s="499"/>
      <c r="N79" s="458"/>
    </row>
    <row r="80" spans="1:15" s="455" customFormat="1" ht="13.5">
      <c r="A80" s="471"/>
      <c r="B80" s="454"/>
      <c r="C80" s="314"/>
      <c r="D80" s="314"/>
      <c r="E80" s="662"/>
      <c r="F80" s="309"/>
      <c r="G80" s="497"/>
      <c r="H80" s="1056"/>
      <c r="I80" s="985"/>
      <c r="J80" s="985"/>
      <c r="K80" s="499"/>
      <c r="L80" s="1071"/>
      <c r="M80" s="499"/>
    </row>
    <row r="81" spans="1:14" s="455" customFormat="1" ht="13.5">
      <c r="A81" s="471"/>
      <c r="B81" s="454"/>
      <c r="C81" s="314"/>
      <c r="D81" s="314"/>
      <c r="E81" s="662"/>
      <c r="F81" s="309"/>
      <c r="G81" s="497"/>
      <c r="H81" s="1056"/>
      <c r="I81" s="985"/>
      <c r="J81" s="985"/>
      <c r="K81" s="499"/>
      <c r="L81" s="1071"/>
      <c r="M81" s="499"/>
    </row>
    <row r="82" spans="1:14" s="455" customFormat="1" ht="13.5">
      <c r="A82" s="471"/>
      <c r="B82" s="454"/>
      <c r="C82" s="314"/>
      <c r="D82" s="314"/>
      <c r="E82" s="662"/>
      <c r="F82" s="309"/>
      <c r="G82" s="497"/>
      <c r="H82" s="1056"/>
      <c r="I82" s="985"/>
      <c r="J82" s="985"/>
      <c r="K82" s="499"/>
      <c r="L82" s="1016"/>
      <c r="M82" s="499"/>
    </row>
    <row r="83" spans="1:14" s="455" customFormat="1" ht="13.5">
      <c r="A83" s="471"/>
      <c r="B83" s="454"/>
      <c r="C83" s="314"/>
      <c r="D83" s="314"/>
      <c r="E83" s="662"/>
      <c r="F83" s="309"/>
      <c r="G83" s="497"/>
      <c r="H83" s="1056"/>
      <c r="I83" s="985"/>
      <c r="J83" s="985"/>
      <c r="K83" s="499"/>
      <c r="L83" s="1016"/>
      <c r="M83" s="499"/>
    </row>
    <row r="84" spans="1:14" s="455" customFormat="1" ht="13.5">
      <c r="A84" s="471"/>
      <c r="B84" s="454"/>
      <c r="C84" s="314"/>
      <c r="D84" s="314"/>
      <c r="E84" s="662"/>
      <c r="F84" s="309"/>
      <c r="G84" s="497"/>
      <c r="H84" s="1056"/>
      <c r="I84" s="985"/>
      <c r="J84" s="985"/>
      <c r="K84" s="499"/>
      <c r="L84" s="1016"/>
      <c r="M84" s="499"/>
      <c r="N84" s="458"/>
    </row>
    <row r="85" spans="1:14" s="455" customFormat="1" ht="13.5">
      <c r="A85" s="471"/>
      <c r="B85" s="454"/>
      <c r="C85" s="314"/>
      <c r="D85" s="314"/>
      <c r="E85" s="662"/>
      <c r="F85" s="309"/>
      <c r="G85" s="497"/>
      <c r="H85" s="1056"/>
      <c r="I85" s="985"/>
      <c r="J85" s="985"/>
      <c r="K85" s="499"/>
      <c r="L85" s="1016"/>
      <c r="M85" s="499"/>
      <c r="N85" s="458"/>
    </row>
    <row r="86" spans="1:14" s="455" customFormat="1" ht="13.5">
      <c r="A86" s="471"/>
      <c r="B86" s="454"/>
      <c r="C86" s="314"/>
      <c r="D86" s="314"/>
      <c r="E86" s="662"/>
      <c r="F86" s="309"/>
      <c r="G86" s="497"/>
      <c r="H86" s="1056"/>
      <c r="I86" s="985"/>
      <c r="J86" s="985"/>
      <c r="K86" s="499"/>
      <c r="L86" s="1016"/>
      <c r="M86" s="499"/>
      <c r="N86" s="458"/>
    </row>
    <row r="87" spans="1:14" s="455" customFormat="1" ht="13.5">
      <c r="A87" s="471"/>
      <c r="B87" s="454"/>
      <c r="C87" s="2591"/>
      <c r="D87" s="314"/>
      <c r="E87" s="662"/>
      <c r="F87" s="309"/>
      <c r="G87" s="497"/>
      <c r="H87" s="1056"/>
      <c r="I87" s="985"/>
      <c r="J87" s="985"/>
      <c r="K87" s="499"/>
      <c r="L87" s="1016"/>
      <c r="M87" s="499"/>
    </row>
    <row r="88" spans="1:14" s="455" customFormat="1" ht="13.5">
      <c r="A88" s="471"/>
      <c r="B88" s="454"/>
      <c r="C88" s="2593"/>
      <c r="D88" s="314"/>
      <c r="E88" s="662"/>
      <c r="F88" s="309"/>
      <c r="G88" s="497"/>
      <c r="H88" s="1056"/>
      <c r="I88" s="985"/>
      <c r="J88" s="985"/>
      <c r="K88" s="499"/>
      <c r="L88" s="1016"/>
      <c r="M88" s="499"/>
      <c r="N88" s="454"/>
    </row>
    <row r="89" spans="1:14" s="455" customFormat="1" ht="13.5">
      <c r="A89" s="471"/>
      <c r="B89" s="454"/>
      <c r="C89" s="2591"/>
      <c r="D89" s="314"/>
      <c r="E89" s="662"/>
      <c r="F89" s="309"/>
      <c r="G89" s="497"/>
      <c r="H89" s="1056"/>
      <c r="I89" s="985"/>
      <c r="J89" s="985"/>
      <c r="K89" s="499"/>
      <c r="L89" s="1016"/>
      <c r="M89" s="499"/>
      <c r="N89" s="458"/>
    </row>
    <row r="90" spans="1:14" s="455" customFormat="1" ht="13.5">
      <c r="A90" s="471"/>
      <c r="B90" s="454"/>
      <c r="C90" s="2592"/>
      <c r="D90" s="314"/>
      <c r="E90" s="662"/>
      <c r="F90" s="309"/>
      <c r="G90" s="497"/>
      <c r="H90" s="1056"/>
      <c r="I90" s="985"/>
      <c r="J90" s="985"/>
      <c r="K90" s="499"/>
      <c r="L90" s="1016"/>
      <c r="M90" s="499"/>
      <c r="N90" s="458"/>
    </row>
    <row r="91" spans="1:14" s="455" customFormat="1" ht="13.5">
      <c r="A91" s="471"/>
      <c r="B91" s="454"/>
      <c r="C91" s="2593"/>
      <c r="D91" s="314"/>
      <c r="E91" s="662"/>
      <c r="F91" s="309"/>
      <c r="G91" s="497"/>
      <c r="H91" s="1056"/>
      <c r="I91" s="985"/>
      <c r="J91" s="985"/>
      <c r="K91" s="499"/>
      <c r="L91" s="1016"/>
      <c r="M91" s="499"/>
      <c r="N91" s="458"/>
    </row>
    <row r="92" spans="1:14" s="455" customFormat="1" ht="13.5">
      <c r="A92" s="471"/>
      <c r="B92" s="454"/>
      <c r="C92" s="314"/>
      <c r="D92" s="314"/>
      <c r="E92" s="662"/>
      <c r="F92" s="309"/>
      <c r="G92" s="497"/>
      <c r="H92" s="985"/>
      <c r="I92" s="985"/>
      <c r="J92" s="985"/>
      <c r="K92" s="499"/>
      <c r="L92" s="1016"/>
      <c r="M92" s="499"/>
      <c r="N92" s="458"/>
    </row>
    <row r="93" spans="1:14" s="455" customFormat="1" ht="13.5">
      <c r="A93" s="471"/>
      <c r="B93" s="454"/>
      <c r="C93" s="314"/>
      <c r="D93" s="314"/>
      <c r="E93" s="662"/>
      <c r="F93" s="309"/>
      <c r="G93" s="497"/>
      <c r="H93" s="985"/>
      <c r="I93" s="985"/>
      <c r="J93" s="985"/>
      <c r="K93" s="499"/>
      <c r="L93" s="1016"/>
      <c r="M93" s="499"/>
      <c r="N93" s="460"/>
    </row>
    <row r="94" spans="1:14" s="455" customFormat="1" ht="13.5">
      <c r="C94" s="314"/>
      <c r="D94" s="314"/>
      <c r="E94" s="662"/>
      <c r="F94" s="662"/>
      <c r="G94" s="309"/>
      <c r="H94" s="497"/>
      <c r="I94" s="1056"/>
      <c r="J94" s="985"/>
      <c r="K94" s="985"/>
      <c r="L94" s="1016"/>
      <c r="M94" s="1025"/>
      <c r="N94" s="499"/>
    </row>
    <row r="95" spans="1:14" s="455" customFormat="1" ht="13.5">
      <c r="C95" s="902"/>
      <c r="D95" s="309"/>
      <c r="E95" s="662"/>
      <c r="F95" s="662"/>
      <c r="G95" s="309"/>
      <c r="H95" s="497"/>
      <c r="I95" s="653"/>
      <c r="J95" s="985"/>
      <c r="K95" s="1469"/>
      <c r="L95" s="1016"/>
      <c r="M95" s="1025"/>
      <c r="N95" s="499"/>
    </row>
    <row r="96" spans="1:14" s="455" customFormat="1" ht="13.5">
      <c r="A96" s="566"/>
      <c r="B96" s="467"/>
      <c r="C96" s="499"/>
      <c r="D96" s="309"/>
      <c r="E96" s="391"/>
      <c r="F96" s="499"/>
      <c r="G96" s="497"/>
      <c r="H96" s="498"/>
      <c r="I96" s="498"/>
      <c r="J96" s="498"/>
      <c r="K96" s="499"/>
      <c r="L96" s="1665"/>
      <c r="M96" s="309"/>
      <c r="N96" s="499"/>
    </row>
    <row r="97" spans="1:15" s="455" customFormat="1" ht="13.5">
      <c r="A97" s="566"/>
      <c r="B97" s="467"/>
      <c r="C97" s="497"/>
      <c r="D97" s="691"/>
      <c r="E97" s="675"/>
      <c r="F97" s="675"/>
      <c r="G97" s="654"/>
      <c r="H97" s="502"/>
      <c r="I97" s="652"/>
      <c r="J97" s="497"/>
      <c r="K97" s="653"/>
      <c r="L97" s="40"/>
      <c r="M97" s="538"/>
      <c r="N97" s="392"/>
      <c r="O97" s="502"/>
    </row>
    <row r="98" spans="1:15" s="455" customFormat="1" ht="13.5">
      <c r="A98" s="566"/>
      <c r="B98" s="467"/>
      <c r="C98" s="497"/>
      <c r="D98" s="691"/>
      <c r="E98" s="675"/>
      <c r="F98" s="675"/>
      <c r="G98" s="654"/>
      <c r="H98" s="502"/>
      <c r="I98" s="652"/>
      <c r="J98" s="497"/>
      <c r="K98" s="653"/>
      <c r="L98" s="40"/>
      <c r="M98" s="538"/>
      <c r="N98" s="392"/>
      <c r="O98" s="502"/>
    </row>
    <row r="99" spans="1:15" s="455" customFormat="1" ht="13.5">
      <c r="A99" s="566"/>
      <c r="B99" s="467"/>
      <c r="C99" s="497"/>
      <c r="D99" s="691"/>
      <c r="E99" s="675"/>
      <c r="F99" s="675"/>
      <c r="G99" s="654"/>
      <c r="H99" s="502"/>
      <c r="I99" s="652"/>
      <c r="J99" s="497"/>
      <c r="K99" s="653"/>
      <c r="L99" s="40"/>
      <c r="M99" s="538"/>
      <c r="N99" s="392"/>
      <c r="O99" s="502"/>
    </row>
    <row r="100" spans="1:15" s="455" customFormat="1" ht="13.5">
      <c r="A100" s="566"/>
      <c r="B100" s="467"/>
      <c r="C100" s="497"/>
      <c r="D100" s="691"/>
      <c r="E100" s="675"/>
      <c r="F100" s="675"/>
      <c r="G100" s="654"/>
      <c r="H100" s="502"/>
      <c r="I100" s="652"/>
      <c r="J100" s="497"/>
      <c r="K100" s="653"/>
      <c r="L100" s="40"/>
      <c r="M100" s="538"/>
      <c r="N100" s="392"/>
      <c r="O100" s="502"/>
    </row>
    <row r="101" spans="1:15" s="455" customFormat="1" ht="13.5">
      <c r="C101" s="1384"/>
      <c r="D101" s="314"/>
      <c r="E101" s="662"/>
      <c r="F101" s="662"/>
      <c r="G101" s="309"/>
      <c r="H101" s="497"/>
      <c r="I101" s="653"/>
      <c r="J101" s="985"/>
      <c r="K101" s="1469"/>
      <c r="L101" s="1016"/>
      <c r="M101" s="1025"/>
      <c r="N101" s="499"/>
    </row>
    <row r="102" spans="1:15" s="455" customFormat="1" ht="13.5">
      <c r="C102" s="1384"/>
      <c r="D102" s="314"/>
      <c r="E102" s="662"/>
      <c r="F102" s="662"/>
      <c r="G102" s="309"/>
      <c r="H102" s="497"/>
      <c r="I102" s="653"/>
      <c r="J102" s="985"/>
      <c r="K102" s="1469"/>
      <c r="L102" s="1016"/>
      <c r="M102" s="1025"/>
      <c r="N102" s="499"/>
    </row>
    <row r="103" spans="1:15" s="455" customFormat="1" ht="13.5">
      <c r="A103" s="566"/>
      <c r="B103" s="467"/>
      <c r="C103" s="499"/>
      <c r="D103" s="309"/>
      <c r="E103" s="391"/>
      <c r="F103" s="499"/>
      <c r="G103" s="497"/>
      <c r="H103" s="498"/>
      <c r="I103" s="498"/>
      <c r="J103" s="498"/>
      <c r="K103" s="499"/>
      <c r="L103" s="1665"/>
      <c r="M103" s="309"/>
      <c r="N103" s="499"/>
    </row>
    <row r="104" spans="1:15" s="455" customFormat="1" ht="13.5">
      <c r="A104" s="566"/>
      <c r="B104" s="467"/>
      <c r="C104" s="497"/>
      <c r="D104" s="691"/>
      <c r="E104" s="675"/>
      <c r="F104" s="675"/>
      <c r="G104" s="654"/>
      <c r="H104" s="502"/>
      <c r="I104" s="652"/>
      <c r="J104" s="497"/>
      <c r="K104" s="653"/>
      <c r="L104" s="40"/>
      <c r="M104" s="538"/>
      <c r="N104" s="392"/>
      <c r="O104" s="502"/>
    </row>
    <row r="105" spans="1:15" s="455" customFormat="1" ht="13.5">
      <c r="A105" s="566"/>
      <c r="B105" s="467"/>
      <c r="C105" s="497"/>
      <c r="D105" s="691"/>
      <c r="E105" s="675"/>
      <c r="F105" s="675"/>
      <c r="G105" s="654"/>
      <c r="H105" s="502"/>
      <c r="I105" s="652"/>
      <c r="J105" s="497"/>
      <c r="K105" s="653"/>
      <c r="L105" s="40"/>
      <c r="M105" s="538"/>
      <c r="N105" s="392"/>
      <c r="O105" s="502"/>
    </row>
    <row r="106" spans="1:15" s="455" customFormat="1" ht="13.5">
      <c r="A106" s="566"/>
      <c r="B106" s="467"/>
      <c r="C106" s="497"/>
      <c r="D106" s="691"/>
      <c r="E106" s="675"/>
      <c r="F106" s="675"/>
      <c r="G106" s="654"/>
      <c r="H106" s="502"/>
      <c r="I106" s="652"/>
      <c r="J106" s="497"/>
      <c r="K106" s="653"/>
      <c r="L106" s="40"/>
      <c r="M106" s="538"/>
      <c r="N106" s="392"/>
      <c r="O106" s="502"/>
    </row>
    <row r="107" spans="1:15" s="455" customFormat="1" ht="13.5">
      <c r="A107" s="566"/>
      <c r="B107" s="467"/>
      <c r="C107" s="497"/>
      <c r="D107" s="691"/>
      <c r="E107" s="675"/>
      <c r="F107" s="675"/>
      <c r="G107" s="654"/>
      <c r="H107" s="502"/>
      <c r="I107" s="652"/>
      <c r="J107" s="497"/>
      <c r="K107" s="653"/>
      <c r="L107" s="40"/>
      <c r="M107" s="538"/>
      <c r="N107" s="392"/>
      <c r="O107" s="502"/>
    </row>
    <row r="108" spans="1:15" s="455" customFormat="1" ht="13.5">
      <c r="C108" s="1385"/>
      <c r="D108" s="314"/>
      <c r="E108" s="991"/>
      <c r="F108" s="662"/>
      <c r="G108" s="309"/>
      <c r="H108" s="497"/>
      <c r="I108" s="774"/>
      <c r="J108" s="774"/>
      <c r="K108" s="774"/>
      <c r="L108" s="1016"/>
      <c r="M108" s="1028"/>
      <c r="N108" s="499"/>
    </row>
    <row r="109" spans="1:15" s="455" customFormat="1" ht="13.5">
      <c r="C109" s="314"/>
      <c r="D109" s="314"/>
      <c r="E109" s="991"/>
      <c r="F109" s="662"/>
      <c r="G109" s="309"/>
      <c r="H109" s="497"/>
      <c r="I109" s="774"/>
      <c r="J109" s="774"/>
      <c r="K109" s="1471"/>
      <c r="L109" s="1016"/>
      <c r="M109" s="1028"/>
      <c r="N109" s="499"/>
    </row>
    <row r="110" spans="1:15" s="455" customFormat="1" ht="13.5">
      <c r="C110" s="1027"/>
      <c r="D110" s="314"/>
      <c r="E110" s="991"/>
      <c r="F110" s="662"/>
      <c r="G110" s="309"/>
      <c r="H110" s="497"/>
      <c r="I110" s="1056"/>
      <c r="J110" s="985"/>
      <c r="K110" s="985"/>
      <c r="L110" s="1016"/>
      <c r="M110" s="1028"/>
      <c r="N110" s="499"/>
    </row>
    <row r="111" spans="1:15" s="455" customFormat="1" ht="13.5">
      <c r="C111" s="499"/>
      <c r="D111" s="309"/>
      <c r="E111" s="391"/>
      <c r="F111" s="499"/>
      <c r="G111" s="497"/>
      <c r="H111" s="498"/>
      <c r="I111" s="498"/>
      <c r="J111" s="498"/>
      <c r="K111" s="499"/>
      <c r="L111" s="700"/>
      <c r="M111" s="309"/>
      <c r="N111" s="499"/>
    </row>
    <row r="112" spans="1:15" s="455" customFormat="1" ht="13.5">
      <c r="C112" s="497"/>
      <c r="D112" s="691"/>
      <c r="E112" s="675"/>
      <c r="F112" s="675"/>
      <c r="G112" s="654"/>
      <c r="H112" s="502"/>
      <c r="I112" s="652"/>
      <c r="J112" s="497"/>
      <c r="K112" s="653"/>
      <c r="L112" s="40"/>
      <c r="M112" s="538"/>
      <c r="N112" s="392"/>
      <c r="O112" s="502"/>
    </row>
    <row r="113" spans="3:15" s="455" customFormat="1" ht="13.5">
      <c r="C113" s="497"/>
      <c r="D113" s="691"/>
      <c r="E113" s="675"/>
      <c r="F113" s="675"/>
      <c r="G113" s="654"/>
      <c r="H113" s="502"/>
      <c r="I113" s="652"/>
      <c r="J113" s="497"/>
      <c r="K113" s="653"/>
      <c r="L113" s="40"/>
      <c r="M113" s="538"/>
      <c r="N113" s="392"/>
      <c r="O113" s="502"/>
    </row>
    <row r="114" spans="3:15" s="455" customFormat="1" ht="13.5">
      <c r="C114" s="497"/>
      <c r="D114" s="691"/>
      <c r="E114" s="675"/>
      <c r="F114" s="675"/>
      <c r="G114" s="654"/>
      <c r="H114" s="502"/>
      <c r="I114" s="652"/>
      <c r="J114" s="497"/>
      <c r="K114" s="653"/>
      <c r="L114" s="40"/>
      <c r="M114" s="538"/>
      <c r="N114" s="392"/>
      <c r="O114" s="502"/>
    </row>
    <row r="115" spans="3:15" s="455" customFormat="1" ht="13.5">
      <c r="C115" s="497"/>
      <c r="D115" s="691"/>
      <c r="E115" s="675"/>
      <c r="F115" s="675"/>
      <c r="G115" s="654"/>
      <c r="H115" s="502"/>
      <c r="I115" s="652"/>
      <c r="J115" s="497"/>
      <c r="K115" s="653"/>
      <c r="L115" s="40"/>
      <c r="M115" s="538"/>
      <c r="N115" s="392"/>
      <c r="O115" s="502"/>
    </row>
    <row r="116" spans="3:15" s="455" customFormat="1" ht="13.5">
      <c r="C116" s="497"/>
      <c r="D116" s="691"/>
      <c r="E116" s="675"/>
      <c r="F116" s="675"/>
      <c r="G116" s="654"/>
      <c r="H116" s="502"/>
      <c r="I116" s="652"/>
      <c r="J116" s="497"/>
      <c r="K116" s="653"/>
      <c r="L116" s="40"/>
      <c r="M116" s="538"/>
      <c r="N116" s="392"/>
      <c r="O116" s="502"/>
    </row>
    <row r="117" spans="3:15" s="455" customFormat="1" ht="13.5">
      <c r="C117" s="497"/>
      <c r="D117" s="691"/>
      <c r="E117" s="675"/>
      <c r="F117" s="675"/>
      <c r="G117" s="654"/>
      <c r="H117" s="502"/>
      <c r="I117" s="652"/>
      <c r="J117" s="497"/>
      <c r="K117" s="653"/>
      <c r="L117" s="40"/>
      <c r="M117" s="538"/>
      <c r="N117" s="392"/>
      <c r="O117" s="502"/>
    </row>
    <row r="118" spans="3:15" s="455" customFormat="1" ht="13.5">
      <c r="C118" s="497"/>
      <c r="D118" s="691"/>
      <c r="E118" s="675"/>
      <c r="F118" s="1473"/>
      <c r="G118" s="654"/>
      <c r="H118" s="502"/>
      <c r="I118" s="652"/>
      <c r="J118" s="497"/>
      <c r="K118" s="653"/>
      <c r="L118" s="40"/>
      <c r="M118" s="538"/>
      <c r="N118" s="392"/>
      <c r="O118" s="502"/>
    </row>
    <row r="119" spans="3:15" s="355" customFormat="1" ht="13.5">
      <c r="C119" s="400"/>
      <c r="D119" s="400"/>
      <c r="E119" s="401"/>
      <c r="F119" s="402"/>
      <c r="G119" s="402"/>
      <c r="H119" s="403"/>
      <c r="I119" s="403"/>
      <c r="J119" s="403"/>
      <c r="K119" s="402"/>
      <c r="L119" s="404"/>
      <c r="M119" s="402"/>
      <c r="N119" s="405"/>
    </row>
    <row r="120" spans="3:15" s="355" customFormat="1" ht="13.5">
      <c r="C120" s="400"/>
      <c r="D120" s="400"/>
      <c r="E120" s="401"/>
      <c r="F120" s="402"/>
      <c r="G120" s="402"/>
      <c r="H120" s="403"/>
      <c r="I120" s="403"/>
      <c r="J120" s="403"/>
      <c r="K120" s="402"/>
      <c r="L120" s="404"/>
      <c r="M120" s="402"/>
      <c r="N120" s="405"/>
    </row>
    <row r="121" spans="3:15" s="355" customFormat="1" ht="13.5">
      <c r="C121" s="400"/>
      <c r="D121" s="400"/>
      <c r="E121" s="401"/>
      <c r="F121" s="402"/>
      <c r="G121" s="402"/>
      <c r="H121" s="403"/>
      <c r="I121" s="403"/>
      <c r="J121" s="403"/>
      <c r="K121" s="402"/>
      <c r="L121" s="404"/>
      <c r="M121" s="402"/>
      <c r="N121" s="405"/>
    </row>
    <row r="122" spans="3:15" s="355" customFormat="1" ht="13.5">
      <c r="C122" s="400"/>
      <c r="D122" s="400"/>
      <c r="E122" s="401"/>
      <c r="F122" s="402"/>
      <c r="G122" s="402"/>
      <c r="H122" s="403"/>
      <c r="I122" s="403"/>
      <c r="J122" s="403"/>
      <c r="K122" s="402"/>
      <c r="L122" s="404"/>
      <c r="M122" s="402"/>
      <c r="N122" s="405"/>
    </row>
    <row r="123" spans="3:15" s="355" customFormat="1" ht="13.5">
      <c r="C123" s="400"/>
      <c r="D123" s="400"/>
      <c r="E123" s="401"/>
      <c r="F123" s="402"/>
      <c r="G123" s="402"/>
      <c r="H123" s="403"/>
      <c r="I123" s="403"/>
      <c r="J123" s="403"/>
      <c r="K123" s="402"/>
      <c r="L123" s="404"/>
      <c r="M123" s="402"/>
      <c r="N123" s="405"/>
    </row>
    <row r="124" spans="3:15" s="355" customFormat="1" ht="13.5">
      <c r="C124" s="400"/>
      <c r="D124" s="400"/>
      <c r="E124" s="401"/>
      <c r="F124" s="402"/>
      <c r="G124" s="402"/>
      <c r="H124" s="403"/>
      <c r="I124" s="403"/>
      <c r="J124" s="403"/>
      <c r="K124" s="402"/>
      <c r="L124" s="404"/>
      <c r="M124" s="402"/>
      <c r="N124" s="405"/>
    </row>
    <row r="125" spans="3:15" s="355" customFormat="1" ht="13.5">
      <c r="C125" s="400"/>
      <c r="D125" s="400"/>
      <c r="E125" s="401"/>
      <c r="F125" s="402"/>
      <c r="G125" s="402"/>
      <c r="H125" s="403"/>
      <c r="I125" s="403"/>
      <c r="J125" s="403"/>
      <c r="K125" s="402"/>
      <c r="L125" s="404"/>
      <c r="M125" s="402"/>
      <c r="N125" s="405"/>
    </row>
    <row r="126" spans="3:15" s="355" customFormat="1" ht="13.5">
      <c r="C126" s="400"/>
      <c r="D126" s="400"/>
      <c r="E126" s="401"/>
      <c r="F126" s="402"/>
      <c r="G126" s="402"/>
      <c r="H126" s="403"/>
      <c r="I126" s="403"/>
      <c r="J126" s="403"/>
      <c r="K126" s="402"/>
      <c r="L126" s="404"/>
      <c r="M126" s="402"/>
      <c r="N126" s="405"/>
    </row>
    <row r="127" spans="3:15" s="355" customFormat="1" ht="13.5">
      <c r="C127" s="400"/>
      <c r="D127" s="400"/>
      <c r="E127" s="401"/>
      <c r="F127" s="402"/>
      <c r="G127" s="402"/>
      <c r="H127" s="403"/>
      <c r="I127" s="403"/>
      <c r="J127" s="403"/>
      <c r="K127" s="402"/>
      <c r="L127" s="404"/>
      <c r="M127" s="402"/>
      <c r="N127" s="405"/>
    </row>
    <row r="128" spans="3:15" s="355" customFormat="1" ht="13.5">
      <c r="C128" s="400"/>
      <c r="D128" s="400"/>
      <c r="E128" s="401"/>
      <c r="F128" s="402"/>
      <c r="G128" s="402"/>
      <c r="H128" s="403"/>
      <c r="I128" s="403"/>
      <c r="J128" s="403"/>
      <c r="K128" s="402"/>
      <c r="L128" s="404"/>
      <c r="M128" s="402"/>
      <c r="N128" s="405"/>
    </row>
    <row r="129" spans="3:14" s="355" customFormat="1" ht="13.5">
      <c r="C129" s="400"/>
      <c r="D129" s="400"/>
      <c r="E129" s="401"/>
      <c r="F129" s="402"/>
      <c r="G129" s="402"/>
      <c r="H129" s="403"/>
      <c r="I129" s="403"/>
      <c r="J129" s="403"/>
      <c r="K129" s="402"/>
      <c r="L129" s="404"/>
      <c r="M129" s="402"/>
      <c r="N129" s="405"/>
    </row>
    <row r="130" spans="3:14" s="355" customFormat="1" ht="13.5">
      <c r="C130" s="400"/>
      <c r="D130" s="400"/>
      <c r="E130" s="401"/>
      <c r="F130" s="402"/>
      <c r="G130" s="402"/>
      <c r="H130" s="403"/>
      <c r="I130" s="403"/>
      <c r="J130" s="403"/>
      <c r="K130" s="402"/>
      <c r="L130" s="404"/>
      <c r="M130" s="402"/>
      <c r="N130" s="405"/>
    </row>
    <row r="131" spans="3:14" s="355" customFormat="1" ht="13.5">
      <c r="C131" s="400"/>
      <c r="D131" s="400"/>
      <c r="E131" s="401"/>
      <c r="F131" s="402"/>
      <c r="G131" s="402"/>
      <c r="H131" s="403"/>
      <c r="I131" s="403"/>
      <c r="J131" s="403"/>
      <c r="K131" s="402"/>
      <c r="L131" s="404"/>
      <c r="M131" s="407"/>
      <c r="N131" s="405"/>
    </row>
    <row r="132" spans="3:14" s="355" customFormat="1" ht="13.5">
      <c r="C132" s="400"/>
      <c r="D132" s="400"/>
      <c r="E132" s="401"/>
      <c r="F132" s="402"/>
      <c r="G132" s="403"/>
      <c r="H132" s="403"/>
      <c r="I132" s="403"/>
      <c r="J132" s="403"/>
      <c r="K132" s="408"/>
      <c r="L132" s="404"/>
      <c r="M132" s="407"/>
      <c r="N132" s="405"/>
    </row>
    <row r="133" spans="3:14" s="355" customFormat="1" ht="13.5">
      <c r="C133" s="352"/>
      <c r="D133" s="352"/>
      <c r="E133" s="352"/>
      <c r="F133" s="352"/>
      <c r="G133" s="352"/>
      <c r="H133" s="352"/>
      <c r="I133" s="352"/>
      <c r="J133" s="352"/>
      <c r="K133" s="352"/>
      <c r="L133" s="775">
        <f>SUM(L5:L131)</f>
        <v>12564488</v>
      </c>
      <c r="M133" s="352"/>
      <c r="N133" s="352"/>
    </row>
    <row r="134" spans="3:14" ht="14.25" customHeight="1">
      <c r="C134" s="31"/>
      <c r="D134" s="27"/>
      <c r="E134" s="20"/>
      <c r="F134" s="28"/>
      <c r="G134" s="28"/>
      <c r="H134" s="26"/>
      <c r="I134" s="26"/>
      <c r="J134" s="26"/>
      <c r="K134" s="28"/>
      <c r="L134" s="179"/>
      <c r="M134" s="28"/>
      <c r="N134" s="27"/>
    </row>
    <row r="135" spans="3:14" s="1" customFormat="1" ht="14.25" customHeight="1">
      <c r="C135" s="31"/>
      <c r="D135" s="27"/>
      <c r="E135" s="21"/>
      <c r="F135" s="28"/>
      <c r="G135" s="28"/>
      <c r="H135" s="26"/>
      <c r="I135" s="26"/>
      <c r="J135" s="26"/>
      <c r="K135" s="28"/>
      <c r="L135" s="179"/>
      <c r="M135" s="28"/>
      <c r="N135" s="27"/>
    </row>
    <row r="136" spans="3:14" s="1" customFormat="1" ht="14.25" customHeight="1">
      <c r="C136" s="30"/>
      <c r="D136" s="25"/>
      <c r="E136" s="21"/>
      <c r="F136" s="22"/>
      <c r="G136" s="22"/>
      <c r="H136" s="23"/>
      <c r="I136" s="23"/>
      <c r="J136" s="23"/>
      <c r="K136" s="22"/>
      <c r="L136" s="180"/>
      <c r="M136" s="22"/>
      <c r="N136" s="25"/>
    </row>
  </sheetData>
  <mergeCells count="15">
    <mergeCell ref="C87:C88"/>
    <mergeCell ref="C89:C91"/>
    <mergeCell ref="E5:E6"/>
    <mergeCell ref="O7:O9"/>
    <mergeCell ref="C2:G2"/>
    <mergeCell ref="H2:J2"/>
    <mergeCell ref="K2:L2"/>
    <mergeCell ref="M2:M3"/>
    <mergeCell ref="N2:N3"/>
    <mergeCell ref="C22:C28"/>
    <mergeCell ref="D23:D24"/>
    <mergeCell ref="C30:C36"/>
    <mergeCell ref="D31:D32"/>
    <mergeCell ref="C37:C40"/>
    <mergeCell ref="E37:E39"/>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7BEE-042A-4325-9F7F-D66EE777E0AF}">
  <sheetPr>
    <tabColor rgb="FF00B0F0"/>
  </sheetPr>
  <dimension ref="A2:O150"/>
  <sheetViews>
    <sheetView zoomScale="70" zoomScaleNormal="70" workbookViewId="0">
      <pane ySplit="4" topLeftCell="A32" activePane="bottomLeft" state="frozen"/>
      <selection pane="bottomLeft" activeCell="L39" sqref="L39"/>
    </sheetView>
  </sheetViews>
  <sheetFormatPr defaultRowHeight="13.5"/>
  <cols>
    <col min="1" max="1" width="14.5703125" style="355" customWidth="1"/>
    <col min="2" max="2" width="16.140625" style="355" customWidth="1"/>
    <col min="3" max="3" width="29.28515625" style="355" customWidth="1"/>
    <col min="4" max="4" width="49.7109375" style="355" bestFit="1" customWidth="1"/>
    <col min="5" max="5" width="26" style="355" customWidth="1"/>
    <col min="6" max="6" width="16.7109375" style="355" customWidth="1"/>
    <col min="7" max="7" width="11.7109375" style="355" customWidth="1"/>
    <col min="8" max="8" width="13.7109375" style="355" customWidth="1"/>
    <col min="9" max="9" width="14.85546875" style="355" customWidth="1"/>
    <col min="10" max="10" width="17.85546875" style="355" customWidth="1"/>
    <col min="11" max="11" width="18.5703125" style="355" customWidth="1"/>
    <col min="12" max="12" width="15.5703125" style="32" customWidth="1"/>
    <col min="13" max="13" width="16.28515625" style="355" customWidth="1"/>
    <col min="14" max="14" width="28.42578125" style="355" customWidth="1"/>
    <col min="15" max="16" width="9.140625" style="355"/>
    <col min="17" max="17" width="73.7109375" style="355" bestFit="1" customWidth="1"/>
    <col min="18" max="16384" width="9.140625" style="355"/>
  </cols>
  <sheetData>
    <row r="2" spans="1:15">
      <c r="C2" s="2601" t="s">
        <v>30</v>
      </c>
      <c r="D2" s="2602"/>
      <c r="E2" s="2602"/>
      <c r="F2" s="2602"/>
      <c r="G2" s="2603"/>
      <c r="H2" s="2604" t="s">
        <v>29</v>
      </c>
      <c r="I2" s="2605"/>
      <c r="J2" s="2606"/>
      <c r="K2" s="2601" t="s">
        <v>28</v>
      </c>
      <c r="L2" s="2603"/>
      <c r="M2" s="2594" t="s">
        <v>27</v>
      </c>
      <c r="N2" s="2594" t="s">
        <v>26</v>
      </c>
    </row>
    <row r="3" spans="1:15" ht="94.5">
      <c r="C3" s="618" t="s">
        <v>25</v>
      </c>
      <c r="D3" s="852" t="s">
        <v>24</v>
      </c>
      <c r="E3" s="991" t="s">
        <v>23</v>
      </c>
      <c r="F3" s="618" t="s">
        <v>22</v>
      </c>
      <c r="G3" s="532" t="s">
        <v>1303</v>
      </c>
      <c r="H3" s="532" t="s">
        <v>20</v>
      </c>
      <c r="I3" s="532" t="s">
        <v>19</v>
      </c>
      <c r="J3" s="532" t="s">
        <v>18</v>
      </c>
      <c r="K3" s="618" t="s">
        <v>17</v>
      </c>
      <c r="L3" s="605" t="s">
        <v>16</v>
      </c>
      <c r="M3" s="2594"/>
      <c r="N3" s="2594"/>
    </row>
    <row r="4" spans="1:15">
      <c r="C4" s="1076" t="s">
        <v>15</v>
      </c>
      <c r="D4" s="1076" t="s">
        <v>14</v>
      </c>
      <c r="E4" s="1076" t="s">
        <v>13</v>
      </c>
      <c r="F4" s="1076" t="s">
        <v>12</v>
      </c>
      <c r="G4" s="1076" t="s">
        <v>11</v>
      </c>
      <c r="H4" s="1076" t="s">
        <v>10</v>
      </c>
      <c r="I4" s="1076" t="s">
        <v>9</v>
      </c>
      <c r="J4" s="1076" t="s">
        <v>8</v>
      </c>
      <c r="K4" s="1076" t="s">
        <v>7</v>
      </c>
      <c r="L4" s="1077" t="s">
        <v>6</v>
      </c>
      <c r="M4" s="1076" t="s">
        <v>5</v>
      </c>
      <c r="N4" s="1076" t="s">
        <v>4</v>
      </c>
    </row>
    <row r="5" spans="1:15" s="455" customFormat="1">
      <c r="A5" s="471"/>
      <c r="B5" s="483"/>
      <c r="C5" s="2311"/>
      <c r="D5" s="1618"/>
      <c r="E5" s="755"/>
      <c r="F5" s="755"/>
      <c r="L5" s="481"/>
    </row>
    <row r="6" spans="1:15" s="455" customFormat="1" ht="49.15" customHeight="1">
      <c r="A6" s="471" t="s">
        <v>3564</v>
      </c>
      <c r="B6" s="483" t="s">
        <v>3560</v>
      </c>
      <c r="C6" s="2786" t="s">
        <v>3572</v>
      </c>
      <c r="D6" s="852" t="s">
        <v>2</v>
      </c>
      <c r="E6" s="1091" t="s">
        <v>3573</v>
      </c>
      <c r="F6" s="618" t="s">
        <v>3</v>
      </c>
      <c r="G6" s="618" t="s">
        <v>1</v>
      </c>
      <c r="H6" s="2336" t="s">
        <v>972</v>
      </c>
      <c r="I6" s="2336" t="s">
        <v>972</v>
      </c>
      <c r="J6" s="2336" t="s">
        <v>972</v>
      </c>
      <c r="K6" s="636" t="s">
        <v>3574</v>
      </c>
      <c r="L6" s="2337">
        <v>250000</v>
      </c>
      <c r="M6" s="376" t="s">
        <v>3559</v>
      </c>
      <c r="N6" s="375" t="s">
        <v>703</v>
      </c>
      <c r="O6" s="2338"/>
    </row>
    <row r="7" spans="1:15" s="455" customFormat="1" ht="63.75">
      <c r="A7" s="471" t="s">
        <v>3564</v>
      </c>
      <c r="B7" s="483" t="s">
        <v>3560</v>
      </c>
      <c r="C7" s="2787"/>
      <c r="D7" s="852" t="s">
        <v>2</v>
      </c>
      <c r="E7" s="2339" t="s">
        <v>3575</v>
      </c>
      <c r="F7" s="618" t="s">
        <v>3</v>
      </c>
      <c r="G7" s="618" t="s">
        <v>1</v>
      </c>
      <c r="H7" s="2336" t="s">
        <v>972</v>
      </c>
      <c r="I7" s="2336" t="s">
        <v>972</v>
      </c>
      <c r="J7" s="2336" t="s">
        <v>972</v>
      </c>
      <c r="K7" s="636" t="s">
        <v>3574</v>
      </c>
      <c r="L7" s="2337">
        <v>99960</v>
      </c>
      <c r="M7" s="376" t="s">
        <v>3559</v>
      </c>
      <c r="N7" s="375" t="s">
        <v>703</v>
      </c>
      <c r="O7" s="1526"/>
    </row>
    <row r="8" spans="1:15" s="455" customFormat="1" ht="63.75">
      <c r="A8" s="471" t="s">
        <v>3564</v>
      </c>
      <c r="B8" s="483" t="s">
        <v>3560</v>
      </c>
      <c r="C8" s="2787"/>
      <c r="D8" s="852" t="s">
        <v>2</v>
      </c>
      <c r="E8" s="1091" t="s">
        <v>3576</v>
      </c>
      <c r="F8" s="618" t="s">
        <v>3</v>
      </c>
      <c r="G8" s="618" t="s">
        <v>1</v>
      </c>
      <c r="H8" s="2336" t="s">
        <v>972</v>
      </c>
      <c r="I8" s="2336" t="s">
        <v>972</v>
      </c>
      <c r="J8" s="2336" t="s">
        <v>972</v>
      </c>
      <c r="K8" s="636" t="s">
        <v>3574</v>
      </c>
      <c r="L8" s="2337">
        <v>100000</v>
      </c>
      <c r="M8" s="376" t="s">
        <v>3559</v>
      </c>
      <c r="N8" s="375" t="s">
        <v>703</v>
      </c>
      <c r="O8" s="1527"/>
    </row>
    <row r="9" spans="1:15" s="455" customFormat="1" ht="63.75">
      <c r="A9" s="471" t="s">
        <v>3564</v>
      </c>
      <c r="B9" s="483" t="s">
        <v>3560</v>
      </c>
      <c r="C9" s="2787"/>
      <c r="D9" s="852" t="s">
        <v>2</v>
      </c>
      <c r="E9" s="1091" t="s">
        <v>3577</v>
      </c>
      <c r="F9" s="618" t="s">
        <v>3</v>
      </c>
      <c r="G9" s="618" t="s">
        <v>1</v>
      </c>
      <c r="H9" s="2336" t="s">
        <v>972</v>
      </c>
      <c r="I9" s="2336" t="s">
        <v>972</v>
      </c>
      <c r="J9" s="2336" t="s">
        <v>972</v>
      </c>
      <c r="K9" s="636" t="s">
        <v>3574</v>
      </c>
      <c r="L9" s="2337">
        <v>99450</v>
      </c>
      <c r="M9" s="376" t="s">
        <v>3559</v>
      </c>
      <c r="N9" s="375" t="s">
        <v>703</v>
      </c>
      <c r="O9" s="1528"/>
    </row>
    <row r="10" spans="1:15" s="455" customFormat="1" ht="63.75">
      <c r="A10" s="471" t="s">
        <v>3564</v>
      </c>
      <c r="B10" s="483" t="s">
        <v>3560</v>
      </c>
      <c r="C10" s="2788"/>
      <c r="D10" s="852" t="s">
        <v>3578</v>
      </c>
      <c r="E10" s="1091" t="s">
        <v>3579</v>
      </c>
      <c r="F10" s="376"/>
      <c r="G10" s="376"/>
      <c r="H10" s="2336" t="s">
        <v>972</v>
      </c>
      <c r="I10" s="2336" t="s">
        <v>972</v>
      </c>
      <c r="J10" s="2336" t="s">
        <v>599</v>
      </c>
      <c r="K10" s="636" t="s">
        <v>3574</v>
      </c>
      <c r="L10" s="2337">
        <v>200000</v>
      </c>
      <c r="M10" s="376" t="s">
        <v>3559</v>
      </c>
      <c r="N10" s="375" t="s">
        <v>703</v>
      </c>
      <c r="O10" s="625"/>
    </row>
    <row r="11" spans="1:15" s="455" customFormat="1" ht="40.5">
      <c r="A11" s="471" t="s">
        <v>3564</v>
      </c>
      <c r="B11" s="483" t="s">
        <v>3560</v>
      </c>
      <c r="C11" s="393"/>
      <c r="D11" s="2319"/>
      <c r="E11" s="1640"/>
      <c r="F11" s="2319"/>
      <c r="G11" s="2319"/>
      <c r="H11" s="2319"/>
      <c r="I11" s="2319"/>
      <c r="J11" s="2319"/>
      <c r="K11" s="2319"/>
      <c r="L11" s="2320"/>
      <c r="M11" s="1640"/>
      <c r="N11" s="2319"/>
    </row>
    <row r="12" spans="1:15" s="455" customFormat="1">
      <c r="A12" s="471"/>
      <c r="B12" s="483"/>
      <c r="C12" s="2321"/>
      <c r="D12" s="2322"/>
      <c r="E12" s="2323"/>
      <c r="F12" s="2322"/>
      <c r="G12" s="2322"/>
      <c r="H12" s="2322"/>
      <c r="I12" s="2322"/>
      <c r="J12" s="2322"/>
      <c r="K12" s="2324"/>
      <c r="L12" s="2325"/>
      <c r="M12" s="2323"/>
      <c r="N12" s="2322"/>
    </row>
    <row r="13" spans="1:15" s="455" customFormat="1">
      <c r="A13" s="471"/>
      <c r="B13" s="483"/>
      <c r="C13" s="2321"/>
      <c r="D13" s="2322"/>
      <c r="E13" s="2323"/>
      <c r="F13" s="2322"/>
      <c r="G13" s="2322"/>
      <c r="H13" s="2322"/>
      <c r="I13" s="2322"/>
      <c r="J13" s="2322"/>
      <c r="K13" s="2324"/>
      <c r="L13" s="2325"/>
      <c r="M13" s="2323"/>
      <c r="N13" s="2322"/>
    </row>
    <row r="14" spans="1:15" s="455" customFormat="1">
      <c r="A14" s="471"/>
      <c r="B14" s="483"/>
      <c r="C14" s="2321"/>
      <c r="D14" s="2322"/>
      <c r="E14" s="2323"/>
      <c r="F14" s="2322"/>
      <c r="G14" s="2322"/>
      <c r="H14" s="2322"/>
      <c r="I14" s="2322"/>
      <c r="J14" s="2322"/>
      <c r="K14" s="2324"/>
      <c r="L14" s="2325"/>
      <c r="M14" s="2323"/>
      <c r="N14" s="2322"/>
    </row>
    <row r="15" spans="1:15" s="455" customFormat="1">
      <c r="A15" s="471"/>
      <c r="B15" s="483"/>
      <c r="C15" s="2321"/>
      <c r="D15" s="2322"/>
      <c r="E15" s="2323"/>
      <c r="F15" s="2322"/>
      <c r="G15" s="2322"/>
      <c r="H15" s="2322"/>
      <c r="I15" s="2322"/>
      <c r="J15" s="2322"/>
      <c r="K15" s="2324"/>
      <c r="L15" s="2325"/>
      <c r="M15" s="2323"/>
      <c r="N15" s="2322"/>
    </row>
    <row r="16" spans="1:15" s="455" customFormat="1" ht="40.5">
      <c r="A16" s="471" t="s">
        <v>3582</v>
      </c>
      <c r="B16" s="471" t="s">
        <v>3582</v>
      </c>
      <c r="C16" s="569" t="s">
        <v>816</v>
      </c>
      <c r="D16" s="531" t="s">
        <v>3530</v>
      </c>
      <c r="E16" s="2340" t="s">
        <v>3583</v>
      </c>
      <c r="F16" s="1442" t="s">
        <v>3</v>
      </c>
      <c r="G16" s="1442" t="s">
        <v>1</v>
      </c>
      <c r="H16" s="307" t="s">
        <v>675</v>
      </c>
      <c r="I16" s="307" t="s">
        <v>653</v>
      </c>
      <c r="J16" s="307" t="s">
        <v>653</v>
      </c>
      <c r="K16" s="2281" t="s">
        <v>3574</v>
      </c>
      <c r="L16" s="411">
        <v>355600</v>
      </c>
      <c r="M16" s="309" t="s">
        <v>659</v>
      </c>
      <c r="N16" s="308" t="s">
        <v>703</v>
      </c>
    </row>
    <row r="17" spans="1:15" s="455" customFormat="1">
      <c r="A17" s="471"/>
      <c r="B17" s="454"/>
      <c r="C17" s="1525"/>
      <c r="D17" s="309"/>
      <c r="E17" s="309"/>
      <c r="F17" s="309"/>
      <c r="G17" s="497"/>
      <c r="H17" s="1056"/>
      <c r="I17" s="985"/>
      <c r="J17" s="985"/>
      <c r="K17" s="499"/>
      <c r="L17" s="1016"/>
      <c r="M17" s="499"/>
    </row>
    <row r="18" spans="1:15" s="455" customFormat="1" ht="21.75" customHeight="1">
      <c r="A18" s="471"/>
      <c r="B18" s="454" t="s">
        <v>3943</v>
      </c>
      <c r="C18" s="537" t="s">
        <v>3944</v>
      </c>
      <c r="D18" s="309" t="s">
        <v>3945</v>
      </c>
      <c r="E18" s="662" t="s">
        <v>3946</v>
      </c>
      <c r="F18" s="1442" t="s">
        <v>3</v>
      </c>
      <c r="G18" s="2341" t="s">
        <v>828</v>
      </c>
      <c r="H18" s="2343" t="s">
        <v>3948</v>
      </c>
      <c r="I18" s="2343" t="s">
        <v>3948</v>
      </c>
      <c r="J18" s="1056" t="s">
        <v>3953</v>
      </c>
      <c r="K18" s="2344" t="s">
        <v>3574</v>
      </c>
      <c r="L18" s="664">
        <v>180050</v>
      </c>
      <c r="M18" s="460"/>
      <c r="N18" s="2346"/>
      <c r="O18" s="654"/>
    </row>
    <row r="19" spans="1:15" s="455" customFormat="1">
      <c r="A19" s="471"/>
      <c r="B19" s="454" t="s">
        <v>3943</v>
      </c>
      <c r="C19" s="392"/>
      <c r="D19" s="309" t="s">
        <v>3945</v>
      </c>
      <c r="E19" s="309" t="s">
        <v>3947</v>
      </c>
      <c r="F19" s="1442" t="s">
        <v>3</v>
      </c>
      <c r="G19" s="497" t="s">
        <v>828</v>
      </c>
      <c r="H19" s="985" t="s">
        <v>3949</v>
      </c>
      <c r="I19" s="985" t="s">
        <v>3951</v>
      </c>
      <c r="J19" s="985" t="s">
        <v>3950</v>
      </c>
      <c r="K19" s="2345" t="s">
        <v>3574</v>
      </c>
      <c r="L19" s="1016">
        <v>150000</v>
      </c>
      <c r="M19" s="460"/>
      <c r="N19" s="1466"/>
    </row>
    <row r="20" spans="1:15" s="455" customFormat="1">
      <c r="A20" s="471"/>
      <c r="B20" s="454" t="s">
        <v>3943</v>
      </c>
      <c r="C20" s="392"/>
      <c r="D20" s="309" t="s">
        <v>3945</v>
      </c>
      <c r="E20" s="309" t="s">
        <v>3947</v>
      </c>
      <c r="F20" s="1442" t="s">
        <v>3</v>
      </c>
      <c r="G20" s="497" t="s">
        <v>828</v>
      </c>
      <c r="H20" s="985" t="s">
        <v>3950</v>
      </c>
      <c r="I20" s="985" t="s">
        <v>3952</v>
      </c>
      <c r="J20" s="985" t="s">
        <v>3954</v>
      </c>
      <c r="K20" s="2345" t="s">
        <v>3574</v>
      </c>
      <c r="L20" s="1016">
        <v>124800</v>
      </c>
      <c r="M20" s="460"/>
      <c r="N20" s="1467"/>
    </row>
    <row r="21" spans="1:15" s="455" customFormat="1">
      <c r="A21" s="471"/>
      <c r="B21" s="454"/>
      <c r="C21" s="392"/>
      <c r="D21" s="309"/>
      <c r="E21" s="309"/>
      <c r="F21" s="1442"/>
      <c r="G21" s="497"/>
      <c r="H21" s="985"/>
      <c r="I21" s="985"/>
      <c r="J21" s="985"/>
      <c r="K21" s="2345"/>
      <c r="L21" s="1016"/>
      <c r="M21" s="460"/>
      <c r="N21" s="1467"/>
    </row>
    <row r="22" spans="1:15" s="455" customFormat="1">
      <c r="A22" s="471"/>
      <c r="B22" s="454"/>
      <c r="C22" s="392"/>
      <c r="D22" s="309"/>
      <c r="E22" s="309"/>
      <c r="F22" s="1442"/>
      <c r="G22" s="497"/>
      <c r="H22" s="985"/>
      <c r="I22" s="985"/>
      <c r="J22" s="985"/>
      <c r="K22" s="2345"/>
      <c r="L22" s="1016"/>
      <c r="M22" s="460"/>
      <c r="N22" s="1467"/>
    </row>
    <row r="23" spans="1:15" s="455" customFormat="1">
      <c r="A23" s="471"/>
      <c r="B23" s="454"/>
      <c r="C23" s="392"/>
      <c r="D23" s="309"/>
      <c r="E23" s="309"/>
      <c r="F23" s="1442"/>
      <c r="G23" s="497"/>
      <c r="H23" s="985"/>
      <c r="I23" s="985"/>
      <c r="J23" s="985"/>
      <c r="K23" s="2345"/>
      <c r="L23" s="1016"/>
      <c r="M23" s="460"/>
      <c r="N23" s="1467"/>
    </row>
    <row r="24" spans="1:15" s="455" customFormat="1" ht="75" customHeight="1">
      <c r="A24" s="471">
        <v>1021</v>
      </c>
      <c r="B24" s="454" t="s">
        <v>3955</v>
      </c>
      <c r="C24" s="392" t="s">
        <v>3956</v>
      </c>
      <c r="D24" s="309" t="s">
        <v>823</v>
      </c>
      <c r="E24" s="309"/>
      <c r="F24" s="460"/>
      <c r="G24" s="460"/>
      <c r="H24" s="460"/>
      <c r="I24" s="460"/>
      <c r="J24" s="460"/>
      <c r="K24" s="460"/>
      <c r="L24" s="460"/>
      <c r="M24" s="460"/>
      <c r="N24" s="460"/>
    </row>
    <row r="25" spans="1:15" s="455" customFormat="1" ht="38.25" customHeight="1">
      <c r="A25" s="471">
        <v>1021</v>
      </c>
      <c r="B25" s="454" t="s">
        <v>3955</v>
      </c>
      <c r="C25" s="392"/>
      <c r="D25" s="314" t="s">
        <v>3945</v>
      </c>
      <c r="E25" s="309"/>
      <c r="F25" s="1442" t="s">
        <v>3</v>
      </c>
      <c r="G25" s="497"/>
      <c r="H25" s="2343" t="s">
        <v>3948</v>
      </c>
      <c r="I25" s="985" t="s">
        <v>3959</v>
      </c>
      <c r="J25" s="985" t="s">
        <v>3960</v>
      </c>
      <c r="K25" s="2345" t="s">
        <v>3962</v>
      </c>
      <c r="L25" s="1016">
        <v>500000</v>
      </c>
      <c r="M25" s="460"/>
      <c r="N25" s="2366" t="s">
        <v>3973</v>
      </c>
    </row>
    <row r="26" spans="1:15" s="455" customFormat="1" ht="44.25" customHeight="1">
      <c r="A26" s="471">
        <v>1021</v>
      </c>
      <c r="B26" s="454" t="s">
        <v>3955</v>
      </c>
      <c r="C26" s="460"/>
      <c r="D26" s="392" t="s">
        <v>3957</v>
      </c>
      <c r="E26" s="309"/>
      <c r="F26" s="1442" t="s">
        <v>3</v>
      </c>
      <c r="G26" s="497"/>
      <c r="H26" s="985" t="s">
        <v>3949</v>
      </c>
      <c r="I26" s="985" t="s">
        <v>3951</v>
      </c>
      <c r="J26" s="985" t="s">
        <v>3961</v>
      </c>
      <c r="K26" s="2345" t="s">
        <v>3962</v>
      </c>
      <c r="L26" s="1016">
        <v>50000</v>
      </c>
      <c r="M26" s="460"/>
      <c r="N26" s="2366" t="s">
        <v>3974</v>
      </c>
    </row>
    <row r="27" spans="1:15" s="455" customFormat="1" ht="27">
      <c r="A27" s="471">
        <v>1021</v>
      </c>
      <c r="B27" s="454" t="s">
        <v>3955</v>
      </c>
      <c r="D27" s="392" t="s">
        <v>3958</v>
      </c>
      <c r="E27" s="309"/>
      <c r="F27" s="1442" t="s">
        <v>3</v>
      </c>
      <c r="G27" s="497"/>
      <c r="H27" s="2343" t="s">
        <v>3948</v>
      </c>
      <c r="I27" s="985" t="s">
        <v>3959</v>
      </c>
      <c r="J27" s="985" t="s">
        <v>3960</v>
      </c>
      <c r="K27" s="2345" t="s">
        <v>3962</v>
      </c>
      <c r="L27" s="1016">
        <v>50000</v>
      </c>
      <c r="M27" s="460"/>
      <c r="N27" s="2366" t="s">
        <v>3975</v>
      </c>
    </row>
    <row r="28" spans="1:15" s="455" customFormat="1" ht="21.75" customHeight="1">
      <c r="A28" s="471"/>
      <c r="B28" s="454"/>
      <c r="C28" s="392"/>
      <c r="D28" s="309"/>
      <c r="E28" s="309"/>
      <c r="F28" s="1442"/>
      <c r="G28" s="497"/>
      <c r="H28" s="985"/>
      <c r="I28" s="985"/>
      <c r="J28" s="985"/>
      <c r="K28" s="2345"/>
      <c r="L28" s="1016"/>
      <c r="M28" s="460"/>
      <c r="N28" s="1467"/>
    </row>
    <row r="29" spans="1:15" s="455" customFormat="1" ht="21.75" customHeight="1">
      <c r="A29" s="471"/>
      <c r="B29" s="454"/>
      <c r="C29" s="392"/>
      <c r="D29" s="309"/>
      <c r="E29" s="309"/>
      <c r="F29" s="1442"/>
      <c r="G29" s="497"/>
      <c r="H29" s="985"/>
      <c r="I29" s="985"/>
      <c r="J29" s="985"/>
      <c r="K29" s="2345"/>
      <c r="L29" s="1016"/>
      <c r="M29" s="460"/>
      <c r="N29" s="1467"/>
    </row>
    <row r="30" spans="1:15" s="455" customFormat="1" ht="32.25" customHeight="1">
      <c r="A30" s="471">
        <v>1016</v>
      </c>
      <c r="B30" s="454" t="s">
        <v>3955</v>
      </c>
      <c r="C30" s="392"/>
      <c r="D30" s="314" t="s">
        <v>823</v>
      </c>
      <c r="E30" s="309"/>
      <c r="F30" s="1442"/>
      <c r="G30" s="497"/>
      <c r="H30" s="985"/>
      <c r="I30" s="985"/>
      <c r="J30" s="985"/>
      <c r="K30" s="2345"/>
      <c r="L30" s="1016"/>
      <c r="M30" s="454"/>
      <c r="N30" s="1467"/>
    </row>
    <row r="31" spans="1:15" s="455" customFormat="1" ht="44.25" customHeight="1">
      <c r="A31" s="471">
        <v>1016</v>
      </c>
      <c r="B31" s="454" t="s">
        <v>3955</v>
      </c>
      <c r="C31" s="2326"/>
      <c r="D31" s="314" t="s">
        <v>3945</v>
      </c>
      <c r="E31" s="662"/>
      <c r="F31" s="1442" t="s">
        <v>3</v>
      </c>
      <c r="G31" s="662"/>
      <c r="H31" s="2370" t="s">
        <v>3948</v>
      </c>
      <c r="I31" s="1056" t="s">
        <v>3987</v>
      </c>
      <c r="J31" s="1056" t="s">
        <v>3989</v>
      </c>
      <c r="K31" s="2345" t="s">
        <v>3962</v>
      </c>
      <c r="L31" s="664">
        <v>300000</v>
      </c>
      <c r="M31" s="454"/>
      <c r="N31" s="2366" t="s">
        <v>3973</v>
      </c>
      <c r="O31" s="654"/>
    </row>
    <row r="32" spans="1:15" s="455" customFormat="1" ht="32.25" customHeight="1">
      <c r="A32" s="471">
        <v>1016</v>
      </c>
      <c r="B32" s="454" t="s">
        <v>3955</v>
      </c>
      <c r="C32" s="392"/>
      <c r="D32" s="392" t="s">
        <v>3985</v>
      </c>
      <c r="E32" s="309"/>
      <c r="F32" s="1442" t="s">
        <v>3</v>
      </c>
      <c r="G32" s="497"/>
      <c r="H32" s="985" t="s">
        <v>3951</v>
      </c>
      <c r="I32" s="985" t="s">
        <v>3950</v>
      </c>
      <c r="J32" s="985" t="s">
        <v>3990</v>
      </c>
      <c r="K32" s="2345" t="s">
        <v>3962</v>
      </c>
      <c r="L32" s="1016">
        <v>300000</v>
      </c>
      <c r="M32" s="454"/>
      <c r="N32" s="2366" t="s">
        <v>3975</v>
      </c>
    </row>
    <row r="33" spans="1:15" s="455" customFormat="1" ht="32.25" customHeight="1">
      <c r="A33" s="471">
        <v>1016</v>
      </c>
      <c r="B33" s="454" t="s">
        <v>3955</v>
      </c>
      <c r="C33" s="410"/>
      <c r="D33" s="392" t="s">
        <v>3957</v>
      </c>
      <c r="E33" s="304"/>
      <c r="F33" s="1442" t="s">
        <v>3</v>
      </c>
      <c r="G33" s="304"/>
      <c r="H33" s="2371" t="s">
        <v>3969</v>
      </c>
      <c r="I33" s="992" t="s">
        <v>3988</v>
      </c>
      <c r="J33" s="992" t="s">
        <v>3991</v>
      </c>
      <c r="K33" s="2345" t="s">
        <v>3962</v>
      </c>
      <c r="L33" s="1704">
        <v>200000</v>
      </c>
      <c r="M33" s="483"/>
      <c r="N33" s="318"/>
      <c r="O33" s="306"/>
    </row>
    <row r="34" spans="1:15" s="455" customFormat="1" ht="32.25" customHeight="1">
      <c r="A34" s="471">
        <v>1016</v>
      </c>
      <c r="B34" s="454" t="s">
        <v>3955</v>
      </c>
      <c r="C34" s="2328"/>
      <c r="D34" s="454" t="s">
        <v>3986</v>
      </c>
      <c r="E34" s="304"/>
      <c r="F34" s="1442" t="s">
        <v>3</v>
      </c>
      <c r="G34" s="304"/>
      <c r="H34" s="2371" t="s">
        <v>3969</v>
      </c>
      <c r="I34" s="992" t="s">
        <v>3987</v>
      </c>
      <c r="J34" s="992" t="s">
        <v>3992</v>
      </c>
      <c r="K34" s="2345" t="s">
        <v>3962</v>
      </c>
      <c r="L34" s="1704">
        <v>100000</v>
      </c>
      <c r="M34" s="483"/>
      <c r="N34" s="2372"/>
      <c r="O34" s="1914"/>
    </row>
    <row r="35" spans="1:15" s="455" customFormat="1">
      <c r="A35" s="471"/>
      <c r="B35" s="454"/>
      <c r="C35" s="2328"/>
      <c r="D35" s="454"/>
      <c r="E35" s="304"/>
      <c r="F35" s="304"/>
      <c r="G35" s="304"/>
      <c r="H35" s="318"/>
      <c r="I35" s="320"/>
      <c r="J35" s="320"/>
      <c r="K35" s="308"/>
      <c r="L35" s="2327"/>
      <c r="M35" s="483"/>
      <c r="N35" s="2372"/>
      <c r="O35" s="1914"/>
    </row>
    <row r="36" spans="1:15" s="455" customFormat="1">
      <c r="A36" s="471"/>
      <c r="B36" s="454"/>
      <c r="C36" s="2328"/>
      <c r="D36" s="460"/>
      <c r="E36" s="304"/>
      <c r="F36" s="304"/>
      <c r="G36" s="1616"/>
      <c r="H36" s="306"/>
      <c r="I36" s="320"/>
      <c r="J36" s="320"/>
      <c r="K36" s="308"/>
      <c r="L36" s="2327"/>
      <c r="N36" s="2329"/>
      <c r="O36" s="1914"/>
    </row>
    <row r="37" spans="1:15" s="455" customFormat="1">
      <c r="A37" s="471"/>
      <c r="B37" s="454"/>
      <c r="C37" s="2328"/>
      <c r="D37" s="460"/>
      <c r="E37" s="304"/>
      <c r="F37" s="304"/>
      <c r="G37" s="1616"/>
      <c r="H37" s="306"/>
      <c r="I37" s="320"/>
      <c r="J37" s="320"/>
      <c r="K37" s="308"/>
      <c r="L37" s="2327"/>
      <c r="N37" s="2329"/>
      <c r="O37" s="1914"/>
    </row>
    <row r="38" spans="1:15" s="455" customFormat="1">
      <c r="A38" s="471"/>
      <c r="B38" s="454"/>
      <c r="C38" s="2328"/>
      <c r="D38" s="309"/>
      <c r="E38" s="304"/>
      <c r="F38" s="304"/>
      <c r="G38" s="1616"/>
      <c r="H38" s="306"/>
      <c r="I38" s="320"/>
      <c r="J38" s="320"/>
      <c r="K38" s="308"/>
      <c r="L38" s="2327"/>
      <c r="N38" s="2329"/>
      <c r="O38" s="1914"/>
    </row>
    <row r="39" spans="1:15" s="455" customFormat="1">
      <c r="A39" s="471"/>
      <c r="B39" s="454"/>
      <c r="C39" s="2167"/>
      <c r="D39" s="2172"/>
      <c r="E39" s="2330"/>
      <c r="F39" s="2237"/>
      <c r="G39" s="2177"/>
      <c r="H39" s="2178"/>
      <c r="I39" s="2178"/>
      <c r="J39" s="2178"/>
      <c r="K39" s="2178"/>
      <c r="L39" s="2342">
        <f>SUM(L6:L38)</f>
        <v>3059860</v>
      </c>
      <c r="M39" s="2174"/>
      <c r="N39" s="2234"/>
    </row>
    <row r="40" spans="1:15" s="455" customFormat="1">
      <c r="A40" s="471"/>
      <c r="B40" s="454"/>
      <c r="C40" s="2331"/>
      <c r="D40" s="410"/>
      <c r="E40" s="2176"/>
      <c r="F40" s="2187"/>
      <c r="G40" s="2177"/>
      <c r="H40" s="2178"/>
      <c r="I40" s="2178"/>
      <c r="J40" s="2178"/>
      <c r="K40" s="2172"/>
      <c r="L40" s="2332"/>
      <c r="M40" s="2181"/>
      <c r="N40" s="405"/>
    </row>
    <row r="41" spans="1:15" s="455" customFormat="1">
      <c r="A41" s="471"/>
      <c r="B41" s="454"/>
      <c r="C41" s="2331"/>
      <c r="D41" s="410"/>
      <c r="E41" s="2176"/>
      <c r="F41" s="2187"/>
      <c r="G41" s="2177"/>
      <c r="H41" s="2178"/>
      <c r="I41" s="2178"/>
      <c r="J41" s="2178"/>
      <c r="K41" s="2265"/>
      <c r="L41" s="2332"/>
      <c r="M41" s="2181"/>
      <c r="N41" s="405"/>
    </row>
    <row r="42" spans="1:15" s="455" customFormat="1">
      <c r="A42" s="471"/>
      <c r="B42" s="454"/>
      <c r="C42" s="2331"/>
      <c r="D42" s="2267"/>
      <c r="E42" s="2176"/>
      <c r="F42" s="2187"/>
      <c r="G42" s="2177"/>
      <c r="H42" s="2178"/>
      <c r="I42" s="2178"/>
      <c r="J42" s="2178"/>
      <c r="K42" s="2179"/>
      <c r="L42" s="2178"/>
      <c r="M42" s="2332"/>
      <c r="N42" s="2181"/>
      <c r="O42" s="405"/>
    </row>
    <row r="43" spans="1:15" s="455" customFormat="1">
      <c r="A43" s="471"/>
      <c r="B43" s="454"/>
      <c r="C43" s="2331"/>
      <c r="D43" s="2267"/>
      <c r="E43" s="2176"/>
      <c r="F43" s="2187"/>
      <c r="G43" s="2177"/>
      <c r="H43" s="2178"/>
      <c r="I43" s="2178"/>
      <c r="J43" s="2178"/>
      <c r="K43" s="2179"/>
      <c r="L43" s="2178"/>
      <c r="M43" s="2332"/>
      <c r="N43" s="2181"/>
      <c r="O43" s="405"/>
    </row>
    <row r="44" spans="1:15" s="455" customFormat="1">
      <c r="A44" s="471"/>
      <c r="B44" s="454"/>
      <c r="C44" s="2331"/>
      <c r="D44" s="2267"/>
      <c r="E44" s="2279"/>
      <c r="F44" s="2187"/>
      <c r="G44" s="2177"/>
      <c r="H44" s="2178"/>
      <c r="I44" s="2178"/>
      <c r="J44" s="2178"/>
      <c r="K44" s="2179"/>
      <c r="L44" s="2178"/>
      <c r="M44" s="2332"/>
      <c r="N44" s="2181"/>
      <c r="O44" s="405"/>
    </row>
    <row r="45" spans="1:15" s="455" customFormat="1">
      <c r="A45" s="471"/>
      <c r="B45" s="454"/>
      <c r="C45" s="2190"/>
      <c r="D45" s="2267"/>
      <c r="E45" s="2176"/>
      <c r="F45" s="2187"/>
      <c r="G45" s="2177"/>
      <c r="H45" s="2178"/>
      <c r="I45" s="2178"/>
      <c r="J45" s="2178"/>
      <c r="K45" s="2179"/>
      <c r="L45" s="2178"/>
      <c r="M45" s="2332"/>
      <c r="N45" s="2181"/>
      <c r="O45" s="405"/>
    </row>
    <row r="46" spans="1:15" s="455" customFormat="1">
      <c r="A46" s="471"/>
      <c r="B46" s="454"/>
      <c r="C46" s="2328"/>
      <c r="D46" s="309"/>
      <c r="E46" s="304"/>
      <c r="F46" s="304"/>
      <c r="G46" s="1616"/>
      <c r="H46" s="306"/>
      <c r="I46" s="320"/>
      <c r="J46" s="320"/>
      <c r="K46" s="308"/>
      <c r="L46" s="2327"/>
      <c r="N46" s="2329"/>
      <c r="O46" s="1914"/>
    </row>
    <row r="47" spans="1:15" s="455" customFormat="1">
      <c r="A47" s="471"/>
      <c r="B47" s="454"/>
      <c r="C47" s="2167"/>
      <c r="D47" s="2172"/>
      <c r="E47" s="2330"/>
      <c r="F47" s="2237"/>
      <c r="G47" s="2177"/>
      <c r="H47" s="2178"/>
      <c r="I47" s="2178"/>
      <c r="J47" s="2178"/>
      <c r="K47" s="2178"/>
      <c r="L47" s="2238"/>
      <c r="M47" s="2174"/>
      <c r="N47" s="2234"/>
    </row>
    <row r="48" spans="1:15" s="455" customFormat="1">
      <c r="A48" s="471"/>
      <c r="B48" s="454"/>
      <c r="C48" s="2331"/>
      <c r="D48" s="2333"/>
      <c r="E48" s="2176"/>
      <c r="F48" s="2187"/>
      <c r="G48" s="2177"/>
      <c r="H48" s="2178"/>
      <c r="I48" s="2178"/>
      <c r="J48" s="2178"/>
      <c r="K48" s="2172"/>
      <c r="L48" s="2332"/>
      <c r="M48" s="2181"/>
      <c r="N48" s="405"/>
    </row>
    <row r="49" spans="1:15" s="455" customFormat="1">
      <c r="A49" s="471"/>
      <c r="B49" s="454"/>
      <c r="C49" s="2331"/>
      <c r="D49" s="2333"/>
      <c r="E49" s="2176"/>
      <c r="F49" s="2187"/>
      <c r="G49" s="2177"/>
      <c r="H49" s="2178"/>
      <c r="I49" s="2178"/>
      <c r="J49" s="2178"/>
      <c r="K49" s="2265"/>
      <c r="L49" s="2332"/>
      <c r="M49" s="2181"/>
      <c r="N49" s="405"/>
    </row>
    <row r="50" spans="1:15" s="455" customFormat="1">
      <c r="A50" s="471"/>
      <c r="B50" s="454"/>
      <c r="C50" s="2331"/>
      <c r="D50" s="2334"/>
      <c r="E50" s="2176"/>
      <c r="F50" s="2187"/>
      <c r="G50" s="2177"/>
      <c r="H50" s="2178"/>
      <c r="I50" s="2178"/>
      <c r="J50" s="2178"/>
      <c r="K50" s="2179"/>
      <c r="L50" s="2178"/>
      <c r="M50" s="2332"/>
      <c r="N50" s="2181"/>
      <c r="O50" s="405"/>
    </row>
    <row r="51" spans="1:15" s="455" customFormat="1">
      <c r="A51" s="471"/>
      <c r="B51" s="454"/>
      <c r="C51" s="2331"/>
      <c r="D51" s="2334"/>
      <c r="E51" s="2176"/>
      <c r="F51" s="2187"/>
      <c r="G51" s="2177"/>
      <c r="H51" s="2178"/>
      <c r="I51" s="2178"/>
      <c r="J51" s="2178"/>
      <c r="K51" s="2179"/>
      <c r="L51" s="2178"/>
      <c r="M51" s="2332"/>
      <c r="N51" s="2181"/>
      <c r="O51" s="405"/>
    </row>
    <row r="52" spans="1:15" s="455" customFormat="1">
      <c r="A52" s="471"/>
      <c r="B52" s="454"/>
      <c r="C52" s="2331"/>
      <c r="D52" s="2334"/>
      <c r="E52" s="2279"/>
      <c r="F52" s="2187"/>
      <c r="G52" s="2177"/>
      <c r="H52" s="2178"/>
      <c r="I52" s="2178"/>
      <c r="J52" s="2178"/>
      <c r="K52" s="2179"/>
      <c r="L52" s="2178"/>
      <c r="M52" s="2332"/>
      <c r="N52" s="2181"/>
      <c r="O52" s="405"/>
    </row>
    <row r="53" spans="1:15" s="455" customFormat="1">
      <c r="A53" s="471"/>
      <c r="B53" s="454"/>
      <c r="C53" s="2190"/>
      <c r="D53" s="2266"/>
      <c r="E53" s="2176"/>
      <c r="F53" s="2187"/>
      <c r="G53" s="2177"/>
      <c r="H53" s="2178"/>
      <c r="I53" s="2178"/>
      <c r="J53" s="2178"/>
      <c r="K53" s="2179"/>
      <c r="L53" s="2178"/>
      <c r="M53" s="2332"/>
      <c r="N53" s="2181"/>
      <c r="O53" s="405"/>
    </row>
    <row r="54" spans="1:15" s="455" customFormat="1">
      <c r="A54" s="471"/>
      <c r="B54" s="454"/>
      <c r="C54" s="2328"/>
      <c r="D54" s="309"/>
      <c r="E54" s="304"/>
      <c r="F54" s="304"/>
      <c r="G54" s="1616"/>
      <c r="H54" s="306"/>
      <c r="I54" s="320"/>
      <c r="J54" s="320"/>
      <c r="K54" s="308"/>
      <c r="L54" s="2327"/>
      <c r="N54" s="2329"/>
      <c r="O54" s="1914"/>
    </row>
    <row r="55" spans="1:15" s="455" customFormat="1">
      <c r="A55" s="471"/>
      <c r="B55" s="454"/>
      <c r="C55" s="2328"/>
      <c r="D55" s="309"/>
      <c r="E55" s="304"/>
      <c r="F55" s="304"/>
      <c r="G55" s="1616"/>
      <c r="H55" s="306"/>
      <c r="I55" s="320"/>
      <c r="J55" s="320"/>
      <c r="K55" s="308"/>
      <c r="L55" s="2327"/>
      <c r="N55" s="2329"/>
      <c r="O55" s="1914"/>
    </row>
    <row r="56" spans="1:15" s="455" customFormat="1">
      <c r="A56" s="471"/>
      <c r="B56" s="454"/>
      <c r="C56" s="2328"/>
      <c r="D56" s="309"/>
      <c r="E56" s="304"/>
      <c r="F56" s="304"/>
      <c r="G56" s="1616"/>
      <c r="H56" s="306"/>
      <c r="I56" s="320"/>
      <c r="J56" s="320"/>
      <c r="K56" s="308"/>
      <c r="L56" s="2327"/>
      <c r="N56" s="2329"/>
      <c r="O56" s="1914"/>
    </row>
    <row r="57" spans="1:15" s="455" customFormat="1">
      <c r="A57" s="471"/>
      <c r="B57" s="454"/>
      <c r="C57" s="2328"/>
      <c r="D57" s="309"/>
      <c r="E57" s="304"/>
      <c r="F57" s="304"/>
      <c r="G57" s="1616"/>
      <c r="H57" s="306"/>
      <c r="I57" s="320"/>
      <c r="J57" s="320"/>
      <c r="K57" s="308"/>
      <c r="L57" s="2327"/>
      <c r="N57" s="2329"/>
      <c r="O57" s="1914"/>
    </row>
    <row r="58" spans="1:15" s="455" customFormat="1">
      <c r="A58" s="471"/>
      <c r="B58" s="454"/>
      <c r="C58" s="2328"/>
      <c r="D58" s="309"/>
      <c r="E58" s="304"/>
      <c r="F58" s="304"/>
      <c r="G58" s="1616"/>
      <c r="H58" s="306"/>
      <c r="I58" s="320"/>
      <c r="J58" s="320"/>
      <c r="K58" s="308"/>
      <c r="L58" s="2327"/>
      <c r="N58" s="2329"/>
      <c r="O58" s="1914"/>
    </row>
    <row r="59" spans="1:15" s="455" customFormat="1">
      <c r="A59" s="471"/>
      <c r="B59" s="454"/>
      <c r="C59" s="2328"/>
      <c r="D59" s="309"/>
      <c r="E59" s="304"/>
      <c r="F59" s="304"/>
      <c r="G59" s="1616"/>
      <c r="H59" s="306"/>
      <c r="I59" s="320"/>
      <c r="J59" s="320"/>
      <c r="K59" s="308"/>
      <c r="L59" s="2335"/>
      <c r="N59" s="2329"/>
      <c r="O59" s="1914"/>
    </row>
    <row r="60" spans="1:15" s="455" customFormat="1">
      <c r="A60" s="471"/>
      <c r="B60" s="454"/>
      <c r="C60" s="2328"/>
      <c r="D60" s="309"/>
      <c r="E60" s="304"/>
      <c r="F60" s="304"/>
      <c r="G60" s="1616"/>
      <c r="H60" s="306"/>
      <c r="I60" s="320"/>
      <c r="J60" s="320"/>
      <c r="K60" s="308"/>
      <c r="L60" s="2327"/>
      <c r="N60" s="2329"/>
      <c r="O60" s="1914"/>
    </row>
    <row r="61" spans="1:15" s="455" customFormat="1">
      <c r="A61" s="471"/>
      <c r="B61" s="454"/>
      <c r="C61" s="2328"/>
      <c r="D61" s="309"/>
      <c r="E61" s="304"/>
      <c r="F61" s="304"/>
      <c r="G61" s="1616"/>
      <c r="H61" s="306"/>
      <c r="I61" s="320"/>
      <c r="J61" s="320"/>
      <c r="K61" s="308"/>
      <c r="L61" s="2327"/>
      <c r="N61" s="2329"/>
      <c r="O61" s="1914"/>
    </row>
    <row r="62" spans="1:15" s="455" customFormat="1">
      <c r="A62" s="471"/>
      <c r="B62" s="454"/>
      <c r="C62" s="2328"/>
      <c r="D62" s="309"/>
      <c r="E62" s="304"/>
      <c r="F62" s="304"/>
      <c r="G62" s="1616"/>
      <c r="H62" s="306"/>
      <c r="I62" s="320"/>
      <c r="J62" s="320"/>
      <c r="K62" s="308"/>
      <c r="L62" s="2327"/>
      <c r="N62" s="2329"/>
      <c r="O62" s="1914"/>
    </row>
    <row r="63" spans="1:15" s="455" customFormat="1">
      <c r="A63" s="471"/>
      <c r="B63" s="454"/>
      <c r="C63" s="2328"/>
      <c r="D63" s="309"/>
      <c r="E63" s="304"/>
      <c r="F63" s="304"/>
      <c r="G63" s="1616"/>
      <c r="H63" s="306"/>
      <c r="I63" s="320"/>
      <c r="J63" s="320"/>
      <c r="K63" s="308"/>
      <c r="L63" s="2327"/>
      <c r="N63" s="2329"/>
      <c r="O63" s="1914"/>
    </row>
    <row r="64" spans="1:15" s="455" customFormat="1">
      <c r="A64" s="471"/>
      <c r="B64" s="454"/>
      <c r="C64" s="2328"/>
      <c r="D64" s="309"/>
      <c r="E64" s="304"/>
      <c r="F64" s="304"/>
      <c r="G64" s="1616"/>
      <c r="H64" s="306"/>
      <c r="I64" s="320"/>
      <c r="J64" s="320"/>
      <c r="K64" s="308"/>
      <c r="L64" s="2327"/>
      <c r="N64" s="2329"/>
      <c r="O64" s="1914"/>
    </row>
    <row r="65" spans="1:15" s="455" customFormat="1">
      <c r="A65" s="471"/>
      <c r="B65" s="454"/>
      <c r="C65" s="2328"/>
      <c r="D65" s="309"/>
      <c r="E65" s="304"/>
      <c r="F65" s="304"/>
      <c r="G65" s="1616"/>
      <c r="H65" s="306"/>
      <c r="I65" s="320"/>
      <c r="J65" s="320"/>
      <c r="K65" s="308"/>
      <c r="L65" s="2327"/>
      <c r="N65" s="2329"/>
      <c r="O65" s="1914"/>
    </row>
    <row r="66" spans="1:15" s="455" customFormat="1">
      <c r="A66" s="471"/>
      <c r="B66" s="454"/>
      <c r="C66" s="2328"/>
      <c r="D66" s="309"/>
      <c r="E66" s="304"/>
      <c r="F66" s="304"/>
      <c r="G66" s="1616"/>
      <c r="H66" s="306"/>
      <c r="I66" s="320"/>
      <c r="J66" s="320"/>
      <c r="K66" s="308"/>
      <c r="L66" s="2327"/>
      <c r="N66" s="2329"/>
      <c r="O66" s="1914"/>
    </row>
    <row r="67" spans="1:15" s="455" customFormat="1">
      <c r="A67" s="471"/>
      <c r="B67" s="454"/>
      <c r="C67" s="2328"/>
      <c r="D67" s="309"/>
      <c r="E67" s="304"/>
      <c r="F67" s="304"/>
      <c r="G67" s="1616"/>
      <c r="H67" s="306"/>
      <c r="I67" s="320"/>
      <c r="J67" s="320"/>
      <c r="K67" s="308"/>
      <c r="L67" s="2327"/>
      <c r="N67" s="2329"/>
      <c r="O67" s="1914"/>
    </row>
    <row r="68" spans="1:15" s="455" customFormat="1">
      <c r="A68" s="471"/>
      <c r="B68" s="454"/>
      <c r="C68" s="2328"/>
      <c r="D68" s="309"/>
      <c r="E68" s="304"/>
      <c r="F68" s="304"/>
      <c r="G68" s="1616"/>
      <c r="H68" s="306"/>
      <c r="I68" s="320"/>
      <c r="J68" s="320"/>
      <c r="K68" s="308"/>
      <c r="L68" s="2327"/>
      <c r="N68" s="2329"/>
      <c r="O68" s="1914"/>
    </row>
    <row r="69" spans="1:15" s="455" customFormat="1">
      <c r="A69" s="471"/>
      <c r="B69" s="454"/>
      <c r="C69" s="2328"/>
      <c r="D69" s="309"/>
      <c r="E69" s="304"/>
      <c r="F69" s="304"/>
      <c r="G69" s="1616"/>
      <c r="H69" s="306"/>
      <c r="I69" s="320"/>
      <c r="J69" s="320"/>
      <c r="K69" s="308"/>
      <c r="L69" s="2327"/>
      <c r="N69" s="2329"/>
      <c r="O69" s="1914"/>
    </row>
    <row r="70" spans="1:15" s="455" customFormat="1">
      <c r="A70" s="471"/>
      <c r="B70" s="454"/>
      <c r="C70" s="2328"/>
      <c r="D70" s="309"/>
      <c r="E70" s="304"/>
      <c r="F70" s="304"/>
      <c r="G70" s="1616"/>
      <c r="H70" s="306"/>
      <c r="I70" s="320"/>
      <c r="J70" s="320"/>
      <c r="K70" s="308"/>
      <c r="L70" s="2327"/>
      <c r="N70" s="2329"/>
      <c r="O70" s="1914"/>
    </row>
    <row r="71" spans="1:15" s="455" customFormat="1">
      <c r="A71" s="471"/>
      <c r="B71" s="454"/>
      <c r="C71" s="2328"/>
      <c r="D71" s="309"/>
      <c r="E71" s="304"/>
      <c r="F71" s="304"/>
      <c r="G71" s="1616"/>
      <c r="H71" s="306"/>
      <c r="I71" s="320"/>
      <c r="J71" s="320"/>
      <c r="K71" s="308"/>
      <c r="L71" s="2327"/>
      <c r="N71" s="2329"/>
      <c r="O71" s="1914"/>
    </row>
    <row r="72" spans="1:15" s="455" customFormat="1">
      <c r="A72" s="471"/>
      <c r="B72" s="454"/>
      <c r="C72" s="2328"/>
      <c r="D72" s="309"/>
      <c r="E72" s="304"/>
      <c r="F72" s="304"/>
      <c r="G72" s="1616"/>
      <c r="H72" s="306"/>
      <c r="I72" s="320"/>
      <c r="J72" s="320"/>
      <c r="K72" s="308"/>
      <c r="L72" s="2327"/>
      <c r="N72" s="2329"/>
      <c r="O72" s="1914"/>
    </row>
    <row r="73" spans="1:15" s="455" customFormat="1">
      <c r="A73" s="471"/>
      <c r="B73" s="454"/>
      <c r="C73" s="2328"/>
      <c r="D73" s="309"/>
      <c r="E73" s="304"/>
      <c r="F73" s="304"/>
      <c r="G73" s="1616"/>
      <c r="H73" s="306"/>
      <c r="I73" s="320"/>
      <c r="J73" s="320"/>
      <c r="K73" s="308"/>
      <c r="L73" s="2327"/>
      <c r="N73" s="2329"/>
      <c r="O73" s="1914"/>
    </row>
    <row r="74" spans="1:15" s="455" customFormat="1">
      <c r="A74" s="471"/>
      <c r="B74" s="454"/>
      <c r="C74" s="1525"/>
      <c r="D74" s="309"/>
      <c r="E74" s="309"/>
      <c r="F74" s="309"/>
      <c r="G74" s="497"/>
      <c r="H74" s="985"/>
      <c r="I74" s="985"/>
      <c r="J74" s="985"/>
      <c r="K74" s="499"/>
      <c r="L74" s="1016"/>
      <c r="M74" s="499"/>
      <c r="N74" s="1468"/>
    </row>
    <row r="75" spans="1:15" s="455" customFormat="1">
      <c r="A75" s="471"/>
      <c r="B75" s="454"/>
      <c r="C75" s="392"/>
      <c r="D75" s="309"/>
      <c r="E75" s="309"/>
      <c r="F75" s="309"/>
      <c r="G75" s="497"/>
      <c r="H75" s="1056"/>
      <c r="I75" s="985"/>
      <c r="J75" s="985"/>
      <c r="K75" s="499"/>
      <c r="L75" s="1016"/>
      <c r="M75" s="499"/>
      <c r="N75" s="1465"/>
    </row>
    <row r="76" spans="1:15" s="455" customFormat="1">
      <c r="A76" s="471"/>
      <c r="B76" s="454"/>
      <c r="C76" s="392"/>
      <c r="D76" s="309"/>
      <c r="E76" s="309"/>
      <c r="F76" s="309"/>
      <c r="G76" s="497"/>
      <c r="H76" s="985"/>
      <c r="I76" s="985"/>
      <c r="J76" s="985"/>
      <c r="K76" s="499"/>
      <c r="L76" s="1016"/>
      <c r="M76" s="499"/>
    </row>
    <row r="77" spans="1:15" s="455" customFormat="1">
      <c r="A77" s="471"/>
      <c r="B77" s="454"/>
      <c r="C77" s="987"/>
      <c r="D77" s="314"/>
      <c r="E77" s="662"/>
      <c r="F77" s="309"/>
      <c r="G77" s="497"/>
      <c r="H77" s="985"/>
      <c r="I77" s="985"/>
      <c r="J77" s="985"/>
      <c r="K77" s="499"/>
      <c r="L77" s="1016"/>
      <c r="M77" s="499"/>
      <c r="N77" s="454"/>
    </row>
    <row r="78" spans="1:15" s="455" customFormat="1">
      <c r="A78" s="471"/>
      <c r="B78" s="454"/>
      <c r="C78" s="987"/>
      <c r="D78" s="314"/>
      <c r="E78" s="662"/>
      <c r="F78" s="309"/>
      <c r="G78" s="497"/>
      <c r="H78" s="985"/>
      <c r="I78" s="985"/>
      <c r="J78" s="985"/>
      <c r="K78" s="499"/>
      <c r="L78" s="1016"/>
      <c r="M78" s="499"/>
      <c r="N78" s="458"/>
    </row>
    <row r="79" spans="1:15" s="455" customFormat="1">
      <c r="A79" s="471"/>
      <c r="B79" s="454"/>
      <c r="C79" s="987"/>
      <c r="D79" s="314"/>
      <c r="E79" s="662"/>
      <c r="F79" s="309"/>
      <c r="G79" s="497"/>
      <c r="H79" s="985"/>
      <c r="I79" s="985"/>
      <c r="J79" s="985"/>
      <c r="K79" s="499"/>
      <c r="L79" s="1016"/>
      <c r="M79" s="499"/>
      <c r="N79" s="458"/>
    </row>
    <row r="80" spans="1:15" s="455" customFormat="1">
      <c r="A80" s="471"/>
      <c r="B80" s="454"/>
      <c r="C80" s="987"/>
      <c r="D80" s="309"/>
      <c r="E80" s="662"/>
      <c r="F80" s="309"/>
      <c r="G80" s="497"/>
      <c r="H80" s="985"/>
      <c r="I80" s="985"/>
      <c r="J80" s="985"/>
      <c r="K80" s="499"/>
      <c r="L80" s="1016"/>
      <c r="M80" s="499"/>
      <c r="N80" s="458"/>
    </row>
    <row r="81" spans="1:15" s="455" customFormat="1">
      <c r="A81" s="471"/>
      <c r="B81" s="454"/>
      <c r="C81" s="314"/>
      <c r="D81" s="314"/>
      <c r="E81" s="309"/>
      <c r="F81" s="309"/>
      <c r="G81" s="497"/>
      <c r="H81" s="985"/>
      <c r="I81" s="985"/>
      <c r="J81" s="985"/>
      <c r="K81" s="309"/>
      <c r="L81" s="1069"/>
      <c r="M81" s="499"/>
      <c r="N81" s="458"/>
    </row>
    <row r="82" spans="1:15" s="455" customFormat="1">
      <c r="A82" s="471"/>
      <c r="B82" s="454"/>
      <c r="C82" s="314"/>
      <c r="D82" s="314"/>
      <c r="E82" s="309"/>
      <c r="F82" s="309"/>
      <c r="G82" s="497"/>
      <c r="H82" s="985"/>
      <c r="I82" s="985"/>
      <c r="J82" s="985"/>
      <c r="K82" s="309"/>
      <c r="L82" s="1069"/>
      <c r="M82" s="499"/>
      <c r="N82" s="460"/>
    </row>
    <row r="83" spans="1:15" s="455" customFormat="1">
      <c r="A83" s="471"/>
      <c r="B83" s="454"/>
      <c r="C83" s="314"/>
      <c r="D83" s="314"/>
      <c r="E83" s="560"/>
      <c r="F83" s="309"/>
      <c r="G83" s="497"/>
      <c r="H83" s="985"/>
      <c r="I83" s="985"/>
      <c r="J83" s="985"/>
      <c r="K83" s="309"/>
      <c r="L83" s="1630">
        <f>SUM(L6:L80)</f>
        <v>6119720</v>
      </c>
      <c r="M83" s="499"/>
      <c r="N83" s="454"/>
    </row>
    <row r="84" spans="1:15" s="455" customFormat="1">
      <c r="A84" s="471"/>
      <c r="B84" s="454"/>
      <c r="C84" s="987"/>
      <c r="D84" s="314"/>
      <c r="E84" s="662"/>
      <c r="F84" s="309"/>
      <c r="G84" s="497"/>
      <c r="H84" s="985"/>
      <c r="I84" s="985"/>
      <c r="J84" s="985"/>
      <c r="K84" s="499"/>
      <c r="L84" s="1016"/>
      <c r="M84" s="499"/>
      <c r="N84" s="458"/>
    </row>
    <row r="85" spans="1:15" s="455" customFormat="1">
      <c r="A85" s="471"/>
      <c r="B85" s="454"/>
      <c r="C85" s="392"/>
      <c r="D85" s="309"/>
      <c r="E85" s="309"/>
      <c r="F85" s="662"/>
      <c r="G85" s="309"/>
      <c r="H85" s="497"/>
      <c r="I85" s="985"/>
      <c r="J85" s="985"/>
      <c r="K85" s="1066"/>
      <c r="L85" s="1664"/>
      <c r="M85" s="1025"/>
      <c r="N85" s="1068"/>
      <c r="O85" s="458"/>
    </row>
    <row r="86" spans="1:15" s="455" customFormat="1">
      <c r="A86" s="471"/>
      <c r="B86" s="454"/>
      <c r="C86" s="471"/>
      <c r="D86" s="456"/>
      <c r="E86" s="459"/>
      <c r="F86" s="466"/>
      <c r="G86" s="471"/>
      <c r="H86" s="477"/>
      <c r="I86" s="526"/>
      <c r="J86" s="526"/>
      <c r="K86" s="526"/>
      <c r="L86" s="473"/>
      <c r="M86" s="529"/>
      <c r="N86" s="471"/>
      <c r="O86" s="458"/>
    </row>
    <row r="87" spans="1:15" s="455" customFormat="1">
      <c r="A87" s="471"/>
      <c r="B87" s="454"/>
      <c r="C87" s="471"/>
      <c r="D87" s="456"/>
      <c r="E87" s="459"/>
      <c r="F87" s="466"/>
      <c r="G87" s="471"/>
      <c r="H87" s="477"/>
      <c r="I87" s="526"/>
      <c r="J87" s="526"/>
      <c r="K87" s="526"/>
      <c r="L87" s="473"/>
      <c r="M87" s="529"/>
      <c r="N87" s="471"/>
      <c r="O87" s="458"/>
    </row>
    <row r="88" spans="1:15" s="455" customFormat="1">
      <c r="A88" s="471"/>
      <c r="B88" s="454"/>
      <c r="C88" s="314"/>
      <c r="D88" s="309"/>
      <c r="E88" s="309"/>
      <c r="F88" s="309"/>
      <c r="G88" s="309"/>
      <c r="H88" s="309"/>
      <c r="I88" s="309"/>
      <c r="J88" s="309"/>
      <c r="K88" s="309"/>
      <c r="L88" s="1069"/>
      <c r="M88" s="309"/>
      <c r="N88" s="309"/>
    </row>
    <row r="89" spans="1:15" s="455" customFormat="1">
      <c r="A89" s="471"/>
      <c r="B89" s="454"/>
      <c r="C89" s="314"/>
      <c r="D89" s="314"/>
      <c r="E89" s="309"/>
      <c r="F89" s="309"/>
      <c r="G89" s="497"/>
      <c r="H89" s="1056"/>
      <c r="I89" s="309"/>
      <c r="J89" s="309"/>
      <c r="K89" s="499"/>
      <c r="L89" s="1069"/>
      <c r="M89" s="309"/>
      <c r="N89" s="454"/>
    </row>
    <row r="90" spans="1:15" s="455" customFormat="1">
      <c r="A90" s="471"/>
      <c r="B90" s="454"/>
      <c r="C90" s="314"/>
      <c r="D90" s="314"/>
      <c r="E90" s="309"/>
      <c r="F90" s="309"/>
      <c r="G90" s="497"/>
      <c r="H90" s="1056"/>
      <c r="I90" s="309"/>
      <c r="J90" s="309"/>
      <c r="K90" s="499"/>
      <c r="L90" s="1069"/>
      <c r="M90" s="499"/>
      <c r="N90" s="458"/>
    </row>
    <row r="91" spans="1:15" s="455" customFormat="1">
      <c r="A91" s="471"/>
      <c r="B91" s="454"/>
      <c r="C91" s="314"/>
      <c r="D91" s="314"/>
      <c r="E91" s="309"/>
      <c r="F91" s="309"/>
      <c r="G91" s="497"/>
      <c r="H91" s="1056"/>
      <c r="I91" s="309"/>
      <c r="J91" s="309"/>
      <c r="K91" s="499"/>
      <c r="L91" s="1069"/>
      <c r="M91" s="499"/>
      <c r="N91" s="458"/>
    </row>
    <row r="92" spans="1:15" s="455" customFormat="1">
      <c r="A92" s="471"/>
      <c r="B92" s="454"/>
      <c r="C92" s="314"/>
      <c r="D92" s="314"/>
      <c r="E92" s="662"/>
      <c r="F92" s="309"/>
      <c r="G92" s="497"/>
      <c r="H92" s="1056"/>
      <c r="I92" s="985"/>
      <c r="J92" s="985"/>
      <c r="K92" s="499"/>
      <c r="L92" s="1016"/>
      <c r="M92" s="499"/>
      <c r="N92" s="458"/>
    </row>
    <row r="93" spans="1:15" s="455" customFormat="1">
      <c r="A93" s="471"/>
      <c r="B93" s="454"/>
      <c r="C93" s="314"/>
      <c r="D93" s="314"/>
      <c r="E93" s="662"/>
      <c r="F93" s="309"/>
      <c r="G93" s="497"/>
      <c r="H93" s="1056"/>
      <c r="I93" s="985"/>
      <c r="J93" s="985"/>
      <c r="K93" s="499"/>
      <c r="L93" s="1016"/>
      <c r="M93" s="499"/>
      <c r="N93" s="458"/>
    </row>
    <row r="94" spans="1:15" s="455" customFormat="1">
      <c r="A94" s="471"/>
      <c r="B94" s="454"/>
      <c r="C94" s="314"/>
      <c r="D94" s="314"/>
      <c r="E94" s="662"/>
      <c r="F94" s="309"/>
      <c r="G94" s="497"/>
      <c r="H94" s="1056"/>
      <c r="I94" s="985"/>
      <c r="J94" s="985"/>
      <c r="K94" s="499"/>
      <c r="L94" s="1071"/>
      <c r="M94" s="499"/>
    </row>
    <row r="95" spans="1:15" s="455" customFormat="1">
      <c r="A95" s="471"/>
      <c r="B95" s="454"/>
      <c r="C95" s="314"/>
      <c r="D95" s="314"/>
      <c r="E95" s="662"/>
      <c r="F95" s="309"/>
      <c r="G95" s="497"/>
      <c r="H95" s="1056"/>
      <c r="I95" s="985"/>
      <c r="J95" s="985"/>
      <c r="K95" s="499"/>
      <c r="L95" s="1071"/>
      <c r="M95" s="499"/>
    </row>
    <row r="96" spans="1:15" s="455" customFormat="1">
      <c r="A96" s="471"/>
      <c r="B96" s="454"/>
      <c r="C96" s="314"/>
      <c r="D96" s="314"/>
      <c r="E96" s="662"/>
      <c r="F96" s="309"/>
      <c r="G96" s="497"/>
      <c r="H96" s="1056"/>
      <c r="I96" s="985"/>
      <c r="J96" s="985"/>
      <c r="K96" s="499"/>
      <c r="L96" s="1016"/>
      <c r="M96" s="499"/>
    </row>
    <row r="97" spans="1:15" s="455" customFormat="1">
      <c r="A97" s="471"/>
      <c r="B97" s="454"/>
      <c r="C97" s="314"/>
      <c r="D97" s="314"/>
      <c r="E97" s="662"/>
      <c r="F97" s="309"/>
      <c r="G97" s="497"/>
      <c r="H97" s="1056"/>
      <c r="I97" s="985"/>
      <c r="J97" s="985"/>
      <c r="K97" s="499"/>
      <c r="L97" s="1016"/>
      <c r="M97" s="499"/>
    </row>
    <row r="98" spans="1:15" s="455" customFormat="1">
      <c r="A98" s="471"/>
      <c r="B98" s="454"/>
      <c r="C98" s="314"/>
      <c r="D98" s="314"/>
      <c r="E98" s="662"/>
      <c r="F98" s="309"/>
      <c r="G98" s="497"/>
      <c r="H98" s="1056"/>
      <c r="I98" s="985"/>
      <c r="J98" s="985"/>
      <c r="K98" s="499"/>
      <c r="L98" s="1016"/>
      <c r="M98" s="499"/>
      <c r="N98" s="458"/>
    </row>
    <row r="99" spans="1:15" s="455" customFormat="1">
      <c r="A99" s="471"/>
      <c r="B99" s="454"/>
      <c r="C99" s="314"/>
      <c r="D99" s="314"/>
      <c r="E99" s="662"/>
      <c r="F99" s="309"/>
      <c r="G99" s="497"/>
      <c r="H99" s="1056"/>
      <c r="I99" s="985"/>
      <c r="J99" s="985"/>
      <c r="K99" s="499"/>
      <c r="L99" s="1016"/>
      <c r="M99" s="499"/>
      <c r="N99" s="458"/>
    </row>
    <row r="100" spans="1:15" s="455" customFormat="1">
      <c r="A100" s="471"/>
      <c r="B100" s="454"/>
      <c r="C100" s="314"/>
      <c r="D100" s="314"/>
      <c r="E100" s="662"/>
      <c r="F100" s="309"/>
      <c r="G100" s="497"/>
      <c r="H100" s="1056"/>
      <c r="I100" s="985"/>
      <c r="J100" s="985"/>
      <c r="K100" s="499"/>
      <c r="L100" s="1016"/>
      <c r="M100" s="499"/>
      <c r="N100" s="458"/>
    </row>
    <row r="101" spans="1:15" s="455" customFormat="1">
      <c r="A101" s="471"/>
      <c r="B101" s="454"/>
      <c r="C101" s="2591"/>
      <c r="D101" s="314"/>
      <c r="E101" s="662"/>
      <c r="F101" s="309"/>
      <c r="G101" s="497"/>
      <c r="H101" s="1056"/>
      <c r="I101" s="985"/>
      <c r="J101" s="985"/>
      <c r="K101" s="499"/>
      <c r="L101" s="1016"/>
      <c r="M101" s="499"/>
    </row>
    <row r="102" spans="1:15" s="455" customFormat="1">
      <c r="A102" s="471"/>
      <c r="B102" s="454"/>
      <c r="C102" s="2593"/>
      <c r="D102" s="314"/>
      <c r="E102" s="662"/>
      <c r="F102" s="309"/>
      <c r="G102" s="497"/>
      <c r="H102" s="1056"/>
      <c r="I102" s="985"/>
      <c r="J102" s="985"/>
      <c r="K102" s="499"/>
      <c r="L102" s="1016"/>
      <c r="M102" s="499"/>
      <c r="N102" s="454"/>
    </row>
    <row r="103" spans="1:15" s="455" customFormat="1">
      <c r="A103" s="471"/>
      <c r="B103" s="454"/>
      <c r="C103" s="2591"/>
      <c r="D103" s="314"/>
      <c r="E103" s="662"/>
      <c r="F103" s="309"/>
      <c r="G103" s="497"/>
      <c r="H103" s="1056"/>
      <c r="I103" s="985"/>
      <c r="J103" s="985"/>
      <c r="K103" s="499"/>
      <c r="L103" s="1016"/>
      <c r="M103" s="499"/>
      <c r="N103" s="458"/>
    </row>
    <row r="104" spans="1:15" s="455" customFormat="1">
      <c r="A104" s="471"/>
      <c r="B104" s="454"/>
      <c r="C104" s="2592"/>
      <c r="D104" s="314"/>
      <c r="E104" s="662"/>
      <c r="F104" s="309"/>
      <c r="G104" s="497"/>
      <c r="H104" s="1056"/>
      <c r="I104" s="985"/>
      <c r="J104" s="985"/>
      <c r="K104" s="499"/>
      <c r="L104" s="1016"/>
      <c r="M104" s="499"/>
      <c r="N104" s="458"/>
    </row>
    <row r="105" spans="1:15" s="455" customFormat="1">
      <c r="A105" s="471"/>
      <c r="B105" s="454"/>
      <c r="C105" s="2593"/>
      <c r="D105" s="314"/>
      <c r="E105" s="662"/>
      <c r="F105" s="309"/>
      <c r="G105" s="497"/>
      <c r="H105" s="1056"/>
      <c r="I105" s="985"/>
      <c r="J105" s="985"/>
      <c r="K105" s="499"/>
      <c r="L105" s="1016"/>
      <c r="M105" s="499"/>
      <c r="N105" s="458"/>
    </row>
    <row r="106" spans="1:15" s="455" customFormat="1">
      <c r="A106" s="471"/>
      <c r="B106" s="454"/>
      <c r="C106" s="314"/>
      <c r="D106" s="314"/>
      <c r="E106" s="662"/>
      <c r="F106" s="309"/>
      <c r="G106" s="497"/>
      <c r="H106" s="985"/>
      <c r="I106" s="985"/>
      <c r="J106" s="985"/>
      <c r="K106" s="499"/>
      <c r="L106" s="1016"/>
      <c r="M106" s="499"/>
      <c r="N106" s="458"/>
    </row>
    <row r="107" spans="1:15" s="455" customFormat="1">
      <c r="A107" s="471"/>
      <c r="B107" s="454"/>
      <c r="C107" s="314"/>
      <c r="D107" s="314"/>
      <c r="E107" s="662"/>
      <c r="F107" s="309"/>
      <c r="G107" s="497"/>
      <c r="H107" s="985"/>
      <c r="I107" s="985"/>
      <c r="J107" s="985"/>
      <c r="K107" s="499"/>
      <c r="L107" s="1016"/>
      <c r="M107" s="499"/>
      <c r="N107" s="460"/>
    </row>
    <row r="108" spans="1:15" s="455" customFormat="1">
      <c r="C108" s="314"/>
      <c r="D108" s="314"/>
      <c r="E108" s="662"/>
      <c r="F108" s="662"/>
      <c r="G108" s="309"/>
      <c r="H108" s="497"/>
      <c r="I108" s="1056"/>
      <c r="J108" s="985"/>
      <c r="K108" s="985"/>
      <c r="L108" s="1016"/>
      <c r="M108" s="1025"/>
      <c r="N108" s="499"/>
    </row>
    <row r="109" spans="1:15" s="455" customFormat="1">
      <c r="C109" s="902"/>
      <c r="D109" s="309"/>
      <c r="E109" s="662"/>
      <c r="F109" s="662"/>
      <c r="G109" s="309"/>
      <c r="H109" s="497"/>
      <c r="I109" s="653"/>
      <c r="J109" s="985"/>
      <c r="K109" s="1469"/>
      <c r="L109" s="1016"/>
      <c r="M109" s="1025"/>
      <c r="N109" s="499"/>
    </row>
    <row r="110" spans="1:15" s="455" customFormat="1">
      <c r="A110" s="566"/>
      <c r="B110" s="467"/>
      <c r="C110" s="499"/>
      <c r="D110" s="309"/>
      <c r="E110" s="391"/>
      <c r="F110" s="499"/>
      <c r="G110" s="497"/>
      <c r="H110" s="498"/>
      <c r="I110" s="498"/>
      <c r="J110" s="498"/>
      <c r="K110" s="499"/>
      <c r="L110" s="1665"/>
      <c r="M110" s="309"/>
      <c r="N110" s="499"/>
    </row>
    <row r="111" spans="1:15" s="455" customFormat="1">
      <c r="A111" s="566"/>
      <c r="B111" s="467"/>
      <c r="C111" s="497"/>
      <c r="D111" s="691"/>
      <c r="E111" s="675"/>
      <c r="F111" s="675"/>
      <c r="G111" s="654"/>
      <c r="H111" s="502"/>
      <c r="I111" s="652"/>
      <c r="J111" s="497"/>
      <c r="K111" s="653"/>
      <c r="L111" s="40"/>
      <c r="M111" s="538"/>
      <c r="N111" s="392"/>
      <c r="O111" s="502"/>
    </row>
    <row r="112" spans="1:15" s="455" customFormat="1">
      <c r="A112" s="566"/>
      <c r="B112" s="467"/>
      <c r="C112" s="497"/>
      <c r="D112" s="691"/>
      <c r="E112" s="675"/>
      <c r="F112" s="675"/>
      <c r="G112" s="654"/>
      <c r="H112" s="502"/>
      <c r="I112" s="652"/>
      <c r="J112" s="497"/>
      <c r="K112" s="653"/>
      <c r="L112" s="40"/>
      <c r="M112" s="538"/>
      <c r="N112" s="392"/>
      <c r="O112" s="502"/>
    </row>
    <row r="113" spans="1:15" s="455" customFormat="1">
      <c r="A113" s="566"/>
      <c r="B113" s="467"/>
      <c r="C113" s="497"/>
      <c r="D113" s="691"/>
      <c r="E113" s="675"/>
      <c r="F113" s="675"/>
      <c r="G113" s="654"/>
      <c r="H113" s="502"/>
      <c r="I113" s="652"/>
      <c r="J113" s="497"/>
      <c r="K113" s="653"/>
      <c r="L113" s="40"/>
      <c r="M113" s="538"/>
      <c r="N113" s="392"/>
      <c r="O113" s="502"/>
    </row>
    <row r="114" spans="1:15" s="455" customFormat="1">
      <c r="A114" s="566"/>
      <c r="B114" s="467"/>
      <c r="C114" s="497"/>
      <c r="D114" s="691"/>
      <c r="E114" s="675"/>
      <c r="F114" s="675"/>
      <c r="G114" s="654"/>
      <c r="H114" s="502"/>
      <c r="I114" s="652"/>
      <c r="J114" s="497"/>
      <c r="K114" s="653"/>
      <c r="L114" s="40"/>
      <c r="M114" s="538"/>
      <c r="N114" s="392"/>
      <c r="O114" s="502"/>
    </row>
    <row r="115" spans="1:15" s="455" customFormat="1">
      <c r="C115" s="1384"/>
      <c r="D115" s="314"/>
      <c r="E115" s="662"/>
      <c r="F115" s="662"/>
      <c r="G115" s="309"/>
      <c r="H115" s="497"/>
      <c r="I115" s="653"/>
      <c r="J115" s="985"/>
      <c r="K115" s="1469"/>
      <c r="L115" s="1016"/>
      <c r="M115" s="1025"/>
      <c r="N115" s="499"/>
    </row>
    <row r="116" spans="1:15" s="455" customFormat="1">
      <c r="C116" s="1384"/>
      <c r="D116" s="314"/>
      <c r="E116" s="662"/>
      <c r="F116" s="662"/>
      <c r="G116" s="309"/>
      <c r="H116" s="497"/>
      <c r="I116" s="653"/>
      <c r="J116" s="985"/>
      <c r="K116" s="1469"/>
      <c r="L116" s="1016"/>
      <c r="M116" s="1025"/>
      <c r="N116" s="499"/>
    </row>
    <row r="117" spans="1:15" s="455" customFormat="1">
      <c r="A117" s="566"/>
      <c r="B117" s="467"/>
      <c r="C117" s="499"/>
      <c r="D117" s="309"/>
      <c r="E117" s="391"/>
      <c r="F117" s="499"/>
      <c r="G117" s="497"/>
      <c r="H117" s="498"/>
      <c r="I117" s="498"/>
      <c r="J117" s="498"/>
      <c r="K117" s="499"/>
      <c r="L117" s="1665"/>
      <c r="M117" s="309"/>
      <c r="N117" s="499"/>
    </row>
    <row r="118" spans="1:15" s="455" customFormat="1">
      <c r="A118" s="566"/>
      <c r="B118" s="467"/>
      <c r="C118" s="497"/>
      <c r="D118" s="691"/>
      <c r="E118" s="675"/>
      <c r="F118" s="675"/>
      <c r="G118" s="654"/>
      <c r="H118" s="502"/>
      <c r="I118" s="652"/>
      <c r="J118" s="497"/>
      <c r="K118" s="653"/>
      <c r="L118" s="40"/>
      <c r="M118" s="538"/>
      <c r="N118" s="392"/>
      <c r="O118" s="502"/>
    </row>
    <row r="119" spans="1:15" s="455" customFormat="1">
      <c r="A119" s="566"/>
      <c r="B119" s="467"/>
      <c r="C119" s="497"/>
      <c r="D119" s="691"/>
      <c r="E119" s="675"/>
      <c r="F119" s="675"/>
      <c r="G119" s="654"/>
      <c r="H119" s="502"/>
      <c r="I119" s="652"/>
      <c r="J119" s="497"/>
      <c r="K119" s="653"/>
      <c r="L119" s="40"/>
      <c r="M119" s="538"/>
      <c r="N119" s="392"/>
      <c r="O119" s="502"/>
    </row>
    <row r="120" spans="1:15" s="455" customFormat="1">
      <c r="A120" s="566"/>
      <c r="B120" s="467"/>
      <c r="C120" s="497"/>
      <c r="D120" s="691"/>
      <c r="E120" s="675"/>
      <c r="F120" s="675"/>
      <c r="G120" s="654"/>
      <c r="H120" s="502"/>
      <c r="I120" s="652"/>
      <c r="J120" s="497"/>
      <c r="K120" s="653"/>
      <c r="L120" s="40"/>
      <c r="M120" s="538"/>
      <c r="N120" s="392"/>
      <c r="O120" s="502"/>
    </row>
    <row r="121" spans="1:15" s="455" customFormat="1">
      <c r="A121" s="566"/>
      <c r="B121" s="467"/>
      <c r="C121" s="497"/>
      <c r="D121" s="691"/>
      <c r="E121" s="675"/>
      <c r="F121" s="675"/>
      <c r="G121" s="654"/>
      <c r="H121" s="502"/>
      <c r="I121" s="652"/>
      <c r="J121" s="497"/>
      <c r="K121" s="653"/>
      <c r="L121" s="40"/>
      <c r="M121" s="538"/>
      <c r="N121" s="392"/>
      <c r="O121" s="502"/>
    </row>
    <row r="122" spans="1:15" s="455" customFormat="1">
      <c r="C122" s="1385"/>
      <c r="D122" s="314"/>
      <c r="E122" s="991"/>
      <c r="F122" s="662"/>
      <c r="G122" s="309"/>
      <c r="H122" s="497"/>
      <c r="I122" s="774"/>
      <c r="J122" s="774"/>
      <c r="K122" s="774"/>
      <c r="L122" s="1016"/>
      <c r="M122" s="1028"/>
      <c r="N122" s="499"/>
    </row>
    <row r="123" spans="1:15" s="455" customFormat="1">
      <c r="C123" s="314"/>
      <c r="D123" s="314"/>
      <c r="E123" s="991"/>
      <c r="F123" s="662"/>
      <c r="G123" s="309"/>
      <c r="H123" s="497"/>
      <c r="I123" s="774"/>
      <c r="J123" s="774"/>
      <c r="K123" s="1471"/>
      <c r="L123" s="1016"/>
      <c r="M123" s="1028"/>
      <c r="N123" s="499"/>
    </row>
    <row r="124" spans="1:15" s="455" customFormat="1">
      <c r="C124" s="1027"/>
      <c r="D124" s="314"/>
      <c r="E124" s="991"/>
      <c r="F124" s="662"/>
      <c r="G124" s="309"/>
      <c r="H124" s="497"/>
      <c r="I124" s="1056"/>
      <c r="J124" s="985"/>
      <c r="K124" s="985"/>
      <c r="L124" s="1016"/>
      <c r="M124" s="1028"/>
      <c r="N124" s="499"/>
    </row>
    <row r="125" spans="1:15" s="455" customFormat="1">
      <c r="C125" s="499"/>
      <c r="D125" s="309"/>
      <c r="E125" s="391"/>
      <c r="F125" s="499"/>
      <c r="G125" s="497"/>
      <c r="H125" s="498"/>
      <c r="I125" s="498"/>
      <c r="J125" s="498"/>
      <c r="K125" s="499"/>
      <c r="L125" s="700"/>
      <c r="M125" s="309"/>
      <c r="N125" s="499"/>
    </row>
    <row r="126" spans="1:15" s="455" customFormat="1">
      <c r="C126" s="497"/>
      <c r="D126" s="691"/>
      <c r="E126" s="675"/>
      <c r="F126" s="675"/>
      <c r="G126" s="654"/>
      <c r="H126" s="502"/>
      <c r="I126" s="652"/>
      <c r="J126" s="497"/>
      <c r="K126" s="653"/>
      <c r="L126" s="40"/>
      <c r="M126" s="538"/>
      <c r="N126" s="392"/>
      <c r="O126" s="502"/>
    </row>
    <row r="127" spans="1:15" s="455" customFormat="1">
      <c r="C127" s="497"/>
      <c r="D127" s="691"/>
      <c r="E127" s="675"/>
      <c r="F127" s="675"/>
      <c r="G127" s="654"/>
      <c r="H127" s="502"/>
      <c r="I127" s="652"/>
      <c r="J127" s="497"/>
      <c r="K127" s="653"/>
      <c r="L127" s="40"/>
      <c r="M127" s="538"/>
      <c r="N127" s="392"/>
      <c r="O127" s="502"/>
    </row>
    <row r="128" spans="1:15" s="455" customFormat="1">
      <c r="C128" s="497"/>
      <c r="D128" s="691"/>
      <c r="E128" s="675"/>
      <c r="F128" s="675"/>
      <c r="G128" s="654"/>
      <c r="H128" s="502"/>
      <c r="I128" s="652"/>
      <c r="J128" s="497"/>
      <c r="K128" s="653"/>
      <c r="L128" s="40"/>
      <c r="M128" s="538"/>
      <c r="N128" s="392"/>
      <c r="O128" s="502"/>
    </row>
    <row r="129" spans="3:15" s="455" customFormat="1">
      <c r="C129" s="497"/>
      <c r="D129" s="691"/>
      <c r="E129" s="675"/>
      <c r="F129" s="675"/>
      <c r="G129" s="654"/>
      <c r="H129" s="502"/>
      <c r="I129" s="652"/>
      <c r="J129" s="497"/>
      <c r="K129" s="653"/>
      <c r="L129" s="40"/>
      <c r="M129" s="538"/>
      <c r="N129" s="392"/>
      <c r="O129" s="502"/>
    </row>
    <row r="130" spans="3:15" s="455" customFormat="1">
      <c r="C130" s="497"/>
      <c r="D130" s="691"/>
      <c r="E130" s="675"/>
      <c r="F130" s="675"/>
      <c r="G130" s="654"/>
      <c r="H130" s="502"/>
      <c r="I130" s="652"/>
      <c r="J130" s="497"/>
      <c r="K130" s="653"/>
      <c r="L130" s="40"/>
      <c r="M130" s="538"/>
      <c r="N130" s="392"/>
      <c r="O130" s="502"/>
    </row>
    <row r="131" spans="3:15" s="455" customFormat="1">
      <c r="C131" s="497"/>
      <c r="D131" s="691"/>
      <c r="E131" s="675"/>
      <c r="F131" s="675"/>
      <c r="G131" s="654"/>
      <c r="H131" s="502"/>
      <c r="I131" s="652"/>
      <c r="J131" s="497"/>
      <c r="K131" s="653"/>
      <c r="L131" s="40"/>
      <c r="M131" s="538"/>
      <c r="N131" s="392"/>
      <c r="O131" s="502"/>
    </row>
    <row r="132" spans="3:15" s="455" customFormat="1">
      <c r="C132" s="497"/>
      <c r="D132" s="691"/>
      <c r="E132" s="675"/>
      <c r="F132" s="1473"/>
      <c r="G132" s="654"/>
      <c r="H132" s="502"/>
      <c r="I132" s="652"/>
      <c r="J132" s="497"/>
      <c r="K132" s="653"/>
      <c r="L132" s="40"/>
      <c r="M132" s="538"/>
      <c r="N132" s="392"/>
      <c r="O132" s="502"/>
    </row>
    <row r="133" spans="3:15">
      <c r="C133" s="400"/>
      <c r="D133" s="400"/>
      <c r="E133" s="401"/>
      <c r="F133" s="402"/>
      <c r="G133" s="402"/>
      <c r="H133" s="403"/>
      <c r="I133" s="403"/>
      <c r="J133" s="403"/>
      <c r="K133" s="402"/>
      <c r="L133" s="404"/>
      <c r="M133" s="402"/>
      <c r="N133" s="405"/>
    </row>
    <row r="134" spans="3:15">
      <c r="C134" s="400"/>
      <c r="D134" s="400"/>
      <c r="E134" s="401"/>
      <c r="F134" s="402"/>
      <c r="G134" s="402"/>
      <c r="H134" s="403"/>
      <c r="I134" s="403"/>
      <c r="J134" s="403"/>
      <c r="K134" s="402"/>
      <c r="L134" s="404"/>
      <c r="M134" s="402"/>
      <c r="N134" s="405"/>
    </row>
    <row r="135" spans="3:15">
      <c r="C135" s="400"/>
      <c r="D135" s="400"/>
      <c r="E135" s="401"/>
      <c r="F135" s="402"/>
      <c r="G135" s="402"/>
      <c r="H135" s="403"/>
      <c r="I135" s="403"/>
      <c r="J135" s="403"/>
      <c r="K135" s="402"/>
      <c r="L135" s="404"/>
      <c r="M135" s="402"/>
      <c r="N135" s="405"/>
    </row>
    <row r="136" spans="3:15">
      <c r="C136" s="400"/>
      <c r="D136" s="400"/>
      <c r="E136" s="401"/>
      <c r="F136" s="402"/>
      <c r="G136" s="402"/>
      <c r="H136" s="403"/>
      <c r="I136" s="403"/>
      <c r="J136" s="403"/>
      <c r="K136" s="402"/>
      <c r="L136" s="404"/>
      <c r="M136" s="402"/>
      <c r="N136" s="405"/>
    </row>
    <row r="137" spans="3:15">
      <c r="C137" s="400"/>
      <c r="D137" s="400"/>
      <c r="E137" s="401"/>
      <c r="F137" s="402"/>
      <c r="G137" s="402"/>
      <c r="H137" s="403"/>
      <c r="I137" s="403"/>
      <c r="J137" s="403"/>
      <c r="K137" s="402"/>
      <c r="L137" s="404"/>
      <c r="M137" s="402"/>
      <c r="N137" s="405"/>
    </row>
    <row r="138" spans="3:15">
      <c r="C138" s="400"/>
      <c r="D138" s="400"/>
      <c r="E138" s="401"/>
      <c r="F138" s="402"/>
      <c r="G138" s="402"/>
      <c r="H138" s="403"/>
      <c r="I138" s="403"/>
      <c r="J138" s="403"/>
      <c r="K138" s="402"/>
      <c r="L138" s="404"/>
      <c r="M138" s="402"/>
      <c r="N138" s="405"/>
    </row>
    <row r="139" spans="3:15">
      <c r="C139" s="400"/>
      <c r="D139" s="400"/>
      <c r="E139" s="401"/>
      <c r="F139" s="402"/>
      <c r="G139" s="402"/>
      <c r="H139" s="403"/>
      <c r="I139" s="403"/>
      <c r="J139" s="403"/>
      <c r="K139" s="402"/>
      <c r="L139" s="404"/>
      <c r="M139" s="402"/>
      <c r="N139" s="405"/>
    </row>
    <row r="140" spans="3:15">
      <c r="C140" s="400"/>
      <c r="D140" s="400"/>
      <c r="E140" s="401"/>
      <c r="F140" s="402"/>
      <c r="G140" s="402"/>
      <c r="H140" s="403"/>
      <c r="I140" s="403"/>
      <c r="J140" s="403"/>
      <c r="K140" s="402"/>
      <c r="L140" s="404"/>
      <c r="M140" s="402"/>
      <c r="N140" s="405"/>
    </row>
    <row r="141" spans="3:15">
      <c r="C141" s="400"/>
      <c r="D141" s="400"/>
      <c r="E141" s="401"/>
      <c r="F141" s="402"/>
      <c r="G141" s="402"/>
      <c r="H141" s="403"/>
      <c r="I141" s="403"/>
      <c r="J141" s="403"/>
      <c r="K141" s="402"/>
      <c r="L141" s="404"/>
      <c r="M141" s="402"/>
      <c r="N141" s="405"/>
    </row>
    <row r="142" spans="3:15">
      <c r="C142" s="400"/>
      <c r="D142" s="400"/>
      <c r="E142" s="401"/>
      <c r="F142" s="402"/>
      <c r="G142" s="402"/>
      <c r="H142" s="403"/>
      <c r="I142" s="403"/>
      <c r="J142" s="403"/>
      <c r="K142" s="402"/>
      <c r="L142" s="404"/>
      <c r="M142" s="402"/>
      <c r="N142" s="405"/>
    </row>
    <row r="143" spans="3:15">
      <c r="C143" s="400"/>
      <c r="D143" s="400"/>
      <c r="E143" s="401"/>
      <c r="F143" s="402"/>
      <c r="G143" s="402"/>
      <c r="H143" s="403"/>
      <c r="I143" s="403"/>
      <c r="J143" s="403"/>
      <c r="K143" s="402"/>
      <c r="L143" s="404"/>
      <c r="M143" s="402"/>
      <c r="N143" s="405"/>
    </row>
    <row r="144" spans="3:15">
      <c r="C144" s="400"/>
      <c r="D144" s="400"/>
      <c r="E144" s="401"/>
      <c r="F144" s="402"/>
      <c r="G144" s="402"/>
      <c r="H144" s="403"/>
      <c r="I144" s="403"/>
      <c r="J144" s="403"/>
      <c r="K144" s="402"/>
      <c r="L144" s="404"/>
      <c r="M144" s="402"/>
      <c r="N144" s="405"/>
    </row>
    <row r="145" spans="3:14">
      <c r="C145" s="400"/>
      <c r="D145" s="400"/>
      <c r="E145" s="401"/>
      <c r="F145" s="402"/>
      <c r="G145" s="402"/>
      <c r="H145" s="403"/>
      <c r="I145" s="403"/>
      <c r="J145" s="403"/>
      <c r="K145" s="402"/>
      <c r="L145" s="404"/>
      <c r="M145" s="407"/>
      <c r="N145" s="405"/>
    </row>
    <row r="146" spans="3:14">
      <c r="C146" s="400"/>
      <c r="D146" s="400"/>
      <c r="E146" s="401"/>
      <c r="F146" s="402"/>
      <c r="G146" s="403"/>
      <c r="H146" s="403"/>
      <c r="I146" s="403"/>
      <c r="J146" s="403"/>
      <c r="K146" s="408"/>
      <c r="L146" s="404"/>
      <c r="M146" s="407"/>
      <c r="N146" s="405"/>
    </row>
    <row r="147" spans="3:14">
      <c r="C147" s="352"/>
      <c r="D147" s="352"/>
      <c r="E147" s="352"/>
      <c r="F147" s="352"/>
      <c r="G147" s="352"/>
      <c r="H147" s="352"/>
      <c r="I147" s="352"/>
      <c r="J147" s="352"/>
      <c r="K147" s="352"/>
      <c r="L147" s="775">
        <f>SUM(L5:L145)</f>
        <v>12239440</v>
      </c>
      <c r="M147" s="352"/>
      <c r="N147" s="352"/>
    </row>
    <row r="148" spans="3:14" ht="14.25" customHeight="1">
      <c r="C148" s="367"/>
      <c r="D148" s="368"/>
      <c r="E148" s="369"/>
      <c r="F148" s="370"/>
      <c r="G148" s="370"/>
      <c r="H148" s="371"/>
      <c r="I148" s="371"/>
      <c r="J148" s="371"/>
      <c r="K148" s="370"/>
      <c r="L148" s="372"/>
      <c r="M148" s="370"/>
      <c r="N148" s="368"/>
    </row>
    <row r="149" spans="3:14" s="302" customFormat="1" ht="14.25" customHeight="1">
      <c r="C149" s="367"/>
      <c r="D149" s="368"/>
      <c r="E149" s="373"/>
      <c r="F149" s="370"/>
      <c r="G149" s="370"/>
      <c r="H149" s="371"/>
      <c r="I149" s="371"/>
      <c r="J149" s="371"/>
      <c r="K149" s="370"/>
      <c r="L149" s="372"/>
      <c r="M149" s="370"/>
      <c r="N149" s="368"/>
    </row>
    <row r="150" spans="3:14" s="302" customFormat="1" ht="14.25" customHeight="1">
      <c r="C150" s="374"/>
      <c r="D150" s="375"/>
      <c r="E150" s="373"/>
      <c r="F150" s="376"/>
      <c r="G150" s="376"/>
      <c r="H150" s="377"/>
      <c r="I150" s="377"/>
      <c r="J150" s="377"/>
      <c r="K150" s="376"/>
      <c r="L150" s="378"/>
      <c r="M150" s="376"/>
      <c r="N150" s="375"/>
    </row>
  </sheetData>
  <mergeCells count="8">
    <mergeCell ref="M2:M3"/>
    <mergeCell ref="N2:N3"/>
    <mergeCell ref="C101:C102"/>
    <mergeCell ref="C103:C105"/>
    <mergeCell ref="C6:C10"/>
    <mergeCell ref="C2:G2"/>
    <mergeCell ref="H2:J2"/>
    <mergeCell ref="K2:L2"/>
  </mergeCell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7F4A2-8808-4C2A-9B85-E09F2CA1BB86}">
  <sheetPr>
    <tabColor rgb="FF00B0F0"/>
  </sheetPr>
  <dimension ref="A1:O112"/>
  <sheetViews>
    <sheetView zoomScale="70" zoomScaleNormal="70" workbookViewId="0">
      <pane ySplit="4" topLeftCell="A5" activePane="bottomLeft" state="frozen"/>
      <selection pane="bottomLeft" activeCell="A36" sqref="A16:XFD36"/>
    </sheetView>
  </sheetViews>
  <sheetFormatPr defaultRowHeight="15"/>
  <cols>
    <col min="1" max="1" width="14.5703125" customWidth="1"/>
    <col min="2" max="2" width="16.140625" customWidth="1"/>
    <col min="3" max="3" width="29.28515625" customWidth="1"/>
    <col min="4" max="4" width="49.7109375" bestFit="1"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style="99" customWidth="1"/>
    <col min="13" max="13" width="16.28515625" customWidth="1"/>
    <col min="14" max="14" width="12.85546875" customWidth="1"/>
    <col min="17" max="17" width="73.7109375" bestFit="1" customWidth="1"/>
  </cols>
  <sheetData>
    <row r="1" spans="1:15" s="355" customFormat="1" ht="13.5">
      <c r="L1" s="32"/>
    </row>
    <row r="2" spans="1:15" s="355" customFormat="1" ht="13.5">
      <c r="C2" s="2601" t="s">
        <v>30</v>
      </c>
      <c r="D2" s="2602"/>
      <c r="E2" s="2602"/>
      <c r="F2" s="2602"/>
      <c r="G2" s="2603"/>
      <c r="H2" s="2604" t="s">
        <v>29</v>
      </c>
      <c r="I2" s="2605"/>
      <c r="J2" s="2606"/>
      <c r="K2" s="2601" t="s">
        <v>28</v>
      </c>
      <c r="L2" s="2603"/>
      <c r="M2" s="2594" t="s">
        <v>27</v>
      </c>
      <c r="N2" s="2594" t="s">
        <v>26</v>
      </c>
    </row>
    <row r="3" spans="1:15" s="355" customFormat="1" ht="94.5">
      <c r="C3" s="618" t="s">
        <v>25</v>
      </c>
      <c r="D3" s="852" t="s">
        <v>24</v>
      </c>
      <c r="E3" s="991" t="s">
        <v>23</v>
      </c>
      <c r="F3" s="618" t="s">
        <v>22</v>
      </c>
      <c r="G3" s="532" t="s">
        <v>1303</v>
      </c>
      <c r="H3" s="532" t="s">
        <v>20</v>
      </c>
      <c r="I3" s="532" t="s">
        <v>19</v>
      </c>
      <c r="J3" s="532" t="s">
        <v>18</v>
      </c>
      <c r="K3" s="618" t="s">
        <v>17</v>
      </c>
      <c r="L3" s="605" t="s">
        <v>16</v>
      </c>
      <c r="M3" s="2594"/>
      <c r="N3" s="2594"/>
    </row>
    <row r="4" spans="1:15" s="355" customFormat="1" ht="27">
      <c r="C4" s="1076" t="s">
        <v>15</v>
      </c>
      <c r="D4" s="1076" t="s">
        <v>14</v>
      </c>
      <c r="E4" s="1076" t="s">
        <v>13</v>
      </c>
      <c r="F4" s="1076" t="s">
        <v>12</v>
      </c>
      <c r="G4" s="1076" t="s">
        <v>11</v>
      </c>
      <c r="H4" s="1076" t="s">
        <v>10</v>
      </c>
      <c r="I4" s="1076" t="s">
        <v>9</v>
      </c>
      <c r="J4" s="1076" t="s">
        <v>8</v>
      </c>
      <c r="K4" s="1076" t="s">
        <v>7</v>
      </c>
      <c r="L4" s="1077" t="s">
        <v>6</v>
      </c>
      <c r="M4" s="1076" t="s">
        <v>5</v>
      </c>
      <c r="N4" s="1076" t="s">
        <v>4</v>
      </c>
    </row>
    <row r="5" spans="1:15" s="455" customFormat="1" ht="13.5">
      <c r="A5" s="471"/>
      <c r="B5" s="483"/>
      <c r="C5" s="1474"/>
      <c r="D5" s="1475"/>
      <c r="E5" s="1488"/>
      <c r="F5" s="1488"/>
      <c r="L5" s="481"/>
    </row>
    <row r="6" spans="1:15" s="455" customFormat="1" ht="49.15" customHeight="1">
      <c r="A6" s="471" t="s">
        <v>3564</v>
      </c>
      <c r="B6" s="483" t="s">
        <v>3560</v>
      </c>
      <c r="C6" s="2135" t="s">
        <v>3566</v>
      </c>
      <c r="D6" s="2136" t="s">
        <v>3567</v>
      </c>
      <c r="E6" s="2137" t="s">
        <v>3566</v>
      </c>
      <c r="F6" s="2138"/>
      <c r="G6" s="2138" t="s">
        <v>1</v>
      </c>
      <c r="H6" s="2139" t="s">
        <v>3557</v>
      </c>
      <c r="I6" s="2139" t="s">
        <v>3557</v>
      </c>
      <c r="J6" s="2139" t="s">
        <v>972</v>
      </c>
      <c r="K6" s="2140" t="s">
        <v>3568</v>
      </c>
      <c r="L6" s="2141">
        <v>200000</v>
      </c>
      <c r="M6" s="2142"/>
      <c r="N6" s="2143" t="s">
        <v>703</v>
      </c>
      <c r="O6" s="1481"/>
    </row>
    <row r="7" spans="1:15" s="455" customFormat="1" ht="13.5">
      <c r="A7" s="471"/>
      <c r="B7" s="454"/>
      <c r="C7" s="902"/>
      <c r="D7" s="902"/>
      <c r="E7" s="902"/>
      <c r="F7" s="1380"/>
      <c r="G7" s="636"/>
      <c r="H7" s="1462"/>
      <c r="I7" s="1462"/>
      <c r="J7" s="1462"/>
      <c r="K7" s="1380"/>
      <c r="L7" s="1625"/>
      <c r="M7" s="1172"/>
      <c r="N7" s="460"/>
      <c r="O7" s="1526"/>
    </row>
    <row r="8" spans="1:15" s="455" customFormat="1" ht="13.5">
      <c r="A8" s="471"/>
      <c r="B8" s="454"/>
      <c r="C8" s="902"/>
      <c r="D8" s="902"/>
      <c r="E8" s="902"/>
      <c r="F8" s="1380"/>
      <c r="G8" s="636"/>
      <c r="H8" s="1462"/>
      <c r="I8" s="1462"/>
      <c r="J8" s="1462"/>
      <c r="K8" s="1380"/>
      <c r="L8" s="1625"/>
      <c r="M8" s="1172"/>
      <c r="N8" s="460"/>
      <c r="O8" s="1527"/>
    </row>
    <row r="9" spans="1:15" s="455" customFormat="1" ht="13.5">
      <c r="A9" s="471"/>
      <c r="B9" s="454"/>
      <c r="C9" s="1605"/>
      <c r="D9" s="1638"/>
      <c r="E9" s="1637"/>
      <c r="F9" s="1638"/>
      <c r="G9" s="1602"/>
      <c r="H9" s="1603"/>
      <c r="I9" s="1603"/>
      <c r="J9" s="1604"/>
      <c r="K9" s="1638"/>
      <c r="L9" s="1660"/>
      <c r="M9" s="1605"/>
      <c r="N9" s="1503"/>
      <c r="O9" s="1528"/>
    </row>
    <row r="10" spans="1:15" s="455" customFormat="1" ht="13.5">
      <c r="A10" s="471"/>
      <c r="B10" s="454"/>
      <c r="C10" s="1605"/>
      <c r="D10" s="1638"/>
      <c r="E10" s="1637"/>
      <c r="F10" s="1638"/>
      <c r="G10" s="1638"/>
      <c r="H10" s="1638"/>
      <c r="I10" s="1638"/>
      <c r="J10" s="1638"/>
      <c r="K10" s="1638"/>
      <c r="L10" s="1660"/>
      <c r="M10" s="1601"/>
      <c r="N10" s="1503"/>
      <c r="O10" s="625"/>
    </row>
    <row r="11" spans="1:15" s="455" customFormat="1" ht="13.5">
      <c r="A11" s="471"/>
      <c r="B11" s="454"/>
      <c r="C11" s="1605"/>
      <c r="D11" s="1661"/>
      <c r="E11" s="1638"/>
      <c r="F11" s="1661"/>
      <c r="G11" s="1661"/>
      <c r="H11" s="1661"/>
      <c r="I11" s="1661"/>
      <c r="J11" s="1661"/>
      <c r="K11" s="1661"/>
      <c r="L11" s="1660"/>
      <c r="M11" s="1638"/>
      <c r="N11" s="1505"/>
    </row>
    <row r="12" spans="1:15" s="455" customFormat="1" ht="13.5">
      <c r="A12" s="471"/>
      <c r="B12" s="454"/>
      <c r="C12" s="314"/>
      <c r="D12" s="309"/>
      <c r="E12" s="309"/>
      <c r="F12" s="309"/>
      <c r="G12" s="497"/>
      <c r="H12" s="985"/>
      <c r="I12" s="985"/>
      <c r="J12" s="985"/>
      <c r="K12" s="499"/>
      <c r="L12" s="1016"/>
      <c r="M12" s="499"/>
      <c r="N12" s="1464"/>
    </row>
    <row r="13" spans="1:15" s="455" customFormat="1" ht="13.5">
      <c r="A13" s="471"/>
      <c r="B13" s="454"/>
      <c r="C13" s="1525"/>
      <c r="D13" s="309"/>
      <c r="E13" s="309"/>
      <c r="F13" s="309"/>
      <c r="G13" s="497"/>
      <c r="H13" s="1056"/>
      <c r="I13" s="985"/>
      <c r="J13" s="985"/>
      <c r="K13" s="499"/>
      <c r="L13" s="1016"/>
      <c r="M13" s="499"/>
    </row>
    <row r="14" spans="1:15" s="455" customFormat="1" ht="13.5">
      <c r="A14" s="471"/>
      <c r="B14" s="454"/>
      <c r="C14" s="1542"/>
      <c r="D14" s="1533"/>
      <c r="E14" s="1543"/>
      <c r="F14" s="1543"/>
      <c r="G14" s="1545"/>
      <c r="H14" s="1535"/>
      <c r="I14" s="1538"/>
      <c r="J14" s="1538"/>
      <c r="K14" s="1530"/>
      <c r="L14" s="1662"/>
      <c r="N14" s="1535"/>
      <c r="O14" s="1535"/>
    </row>
    <row r="15" spans="1:15" s="455" customFormat="1" ht="13.5">
      <c r="A15" s="471"/>
      <c r="B15" s="454"/>
      <c r="C15" s="392"/>
      <c r="D15" s="309"/>
      <c r="E15" s="309"/>
      <c r="F15" s="309"/>
      <c r="G15" s="497"/>
      <c r="H15" s="985"/>
      <c r="I15" s="985"/>
      <c r="J15" s="985"/>
      <c r="K15" s="1025"/>
      <c r="L15" s="1016"/>
      <c r="N15" s="1466"/>
    </row>
    <row r="16" spans="1:15" s="455" customFormat="1" ht="13.5">
      <c r="A16" s="471"/>
      <c r="B16" s="454"/>
      <c r="C16" s="1957"/>
      <c r="D16" s="1595"/>
      <c r="E16" s="1596"/>
      <c r="F16" s="1596"/>
      <c r="G16" s="1590"/>
      <c r="H16" s="1591"/>
      <c r="I16" s="1592"/>
      <c r="J16" s="1592"/>
      <c r="K16" s="218"/>
      <c r="L16" s="1663"/>
      <c r="N16" s="1958"/>
      <c r="O16" s="1959"/>
    </row>
    <row r="17" spans="1:15" s="455" customFormat="1" ht="13.5">
      <c r="A17" s="471"/>
      <c r="B17" s="454"/>
      <c r="C17" s="1957"/>
      <c r="D17" s="1595"/>
      <c r="E17" s="1596"/>
      <c r="F17" s="1596"/>
      <c r="G17" s="1590"/>
      <c r="H17" s="1591"/>
      <c r="I17" s="1592"/>
      <c r="J17" s="1592"/>
      <c r="K17" s="218"/>
      <c r="L17" s="1663"/>
      <c r="N17" s="1958"/>
      <c r="O17" s="1959"/>
    </row>
    <row r="18" spans="1:15" s="455" customFormat="1" ht="13.5">
      <c r="A18" s="471"/>
      <c r="B18" s="454"/>
      <c r="C18" s="1957"/>
      <c r="D18" s="1595"/>
      <c r="E18" s="1596"/>
      <c r="F18" s="1596"/>
      <c r="G18" s="1590"/>
      <c r="H18" s="1591"/>
      <c r="I18" s="1592"/>
      <c r="J18" s="1592"/>
      <c r="K18" s="218"/>
      <c r="L18" s="1663"/>
      <c r="N18" s="1958"/>
      <c r="O18" s="1959"/>
    </row>
    <row r="19" spans="1:15" s="455" customFormat="1" ht="13.5">
      <c r="A19" s="471"/>
      <c r="B19" s="454"/>
      <c r="C19" s="1957"/>
      <c r="D19" s="1595"/>
      <c r="E19" s="1596"/>
      <c r="F19" s="1596"/>
      <c r="G19" s="1590"/>
      <c r="H19" s="1591"/>
      <c r="I19" s="1592"/>
      <c r="J19" s="1592"/>
      <c r="K19" s="218"/>
      <c r="L19" s="1663"/>
      <c r="N19" s="1958"/>
      <c r="O19" s="1959"/>
    </row>
    <row r="20" spans="1:15" s="455" customFormat="1" ht="13.5">
      <c r="A20" s="471"/>
      <c r="B20" s="454"/>
      <c r="C20" s="1957"/>
      <c r="D20" s="1595"/>
      <c r="E20" s="1596"/>
      <c r="F20" s="1596"/>
      <c r="G20" s="1590"/>
      <c r="H20" s="1591"/>
      <c r="I20" s="1592"/>
      <c r="J20" s="1592"/>
      <c r="K20" s="218"/>
      <c r="L20" s="1663"/>
      <c r="N20" s="1958"/>
      <c r="O20" s="1959"/>
    </row>
    <row r="21" spans="1:15" s="455" customFormat="1" ht="13.5">
      <c r="A21" s="471"/>
      <c r="B21" s="454"/>
      <c r="C21" s="1957"/>
      <c r="D21" s="1595"/>
      <c r="E21" s="1596"/>
      <c r="F21" s="1596"/>
      <c r="G21" s="1590"/>
      <c r="H21" s="1591"/>
      <c r="I21" s="1592"/>
      <c r="J21" s="1592"/>
      <c r="K21" s="218"/>
      <c r="L21" s="1998">
        <f>SUM(L5:L19)</f>
        <v>200000</v>
      </c>
      <c r="N21" s="1958"/>
      <c r="O21" s="1959"/>
    </row>
    <row r="22" spans="1:15" s="455" customFormat="1" ht="13.5">
      <c r="A22" s="471"/>
      <c r="B22" s="454"/>
      <c r="C22" s="1957"/>
      <c r="D22" s="1595"/>
      <c r="E22" s="1596"/>
      <c r="F22" s="1596"/>
      <c r="G22" s="1590"/>
      <c r="H22" s="1591"/>
      <c r="I22" s="1592"/>
      <c r="J22" s="1592"/>
      <c r="K22" s="218"/>
      <c r="L22" s="1663"/>
      <c r="N22" s="1958"/>
      <c r="O22" s="1959"/>
    </row>
    <row r="23" spans="1:15" s="455" customFormat="1" ht="13.5">
      <c r="A23" s="471"/>
      <c r="B23" s="454"/>
      <c r="C23" s="1957"/>
      <c r="D23" s="1595"/>
      <c r="E23" s="1596"/>
      <c r="F23" s="1596"/>
      <c r="G23" s="1590"/>
      <c r="H23" s="1591"/>
      <c r="I23" s="1592"/>
      <c r="J23" s="1592"/>
      <c r="K23" s="218"/>
      <c r="L23" s="1663"/>
      <c r="N23" s="1958"/>
      <c r="O23" s="1959"/>
    </row>
    <row r="24" spans="1:15" s="455" customFormat="1" ht="13.5">
      <c r="A24" s="471"/>
      <c r="B24" s="454"/>
      <c r="C24" s="1957"/>
      <c r="D24" s="1595"/>
      <c r="E24" s="1596"/>
      <c r="F24" s="1596"/>
      <c r="G24" s="1590"/>
      <c r="H24" s="1591"/>
      <c r="I24" s="1592"/>
      <c r="J24" s="1592"/>
      <c r="K24" s="218"/>
      <c r="L24" s="1663"/>
      <c r="N24" s="1958"/>
      <c r="O24" s="1959"/>
    </row>
    <row r="25" spans="1:15" s="455" customFormat="1" ht="13.5">
      <c r="A25" s="471"/>
      <c r="B25" s="454"/>
      <c r="C25" s="1957"/>
      <c r="D25" s="1595"/>
      <c r="E25" s="1596"/>
      <c r="F25" s="1596"/>
      <c r="G25" s="1590"/>
      <c r="H25" s="1591"/>
      <c r="I25" s="1592"/>
      <c r="J25" s="1592"/>
      <c r="K25" s="218"/>
      <c r="L25" s="1663"/>
      <c r="N25" s="1958"/>
      <c r="O25" s="1959"/>
    </row>
    <row r="26" spans="1:15" s="455" customFormat="1" ht="13.5">
      <c r="A26" s="471"/>
      <c r="B26" s="454"/>
      <c r="C26" s="1957"/>
      <c r="D26" s="1595"/>
      <c r="E26" s="1596"/>
      <c r="F26" s="1596"/>
      <c r="G26" s="1590"/>
      <c r="H26" s="1591"/>
      <c r="I26" s="1592"/>
      <c r="J26" s="1592"/>
      <c r="K26" s="218"/>
      <c r="L26" s="1663"/>
      <c r="N26" s="1958"/>
      <c r="O26" s="1959"/>
    </row>
    <row r="27" spans="1:15" s="455" customFormat="1" ht="13.5">
      <c r="A27" s="471"/>
      <c r="B27" s="454"/>
      <c r="C27" s="1957"/>
      <c r="D27" s="1595"/>
      <c r="E27" s="1596"/>
      <c r="F27" s="1596"/>
      <c r="G27" s="1590"/>
      <c r="H27" s="1591"/>
      <c r="I27" s="1592"/>
      <c r="J27" s="1592"/>
      <c r="K27" s="218"/>
      <c r="L27" s="1663"/>
      <c r="N27" s="1958"/>
      <c r="O27" s="1959"/>
    </row>
    <row r="28" spans="1:15" s="455" customFormat="1" ht="13.5">
      <c r="A28" s="471"/>
      <c r="B28" s="454"/>
      <c r="C28" s="1957"/>
      <c r="D28" s="1595"/>
      <c r="E28" s="1596"/>
      <c r="F28" s="1596"/>
      <c r="G28" s="1590"/>
      <c r="H28" s="1591"/>
      <c r="I28" s="1592"/>
      <c r="J28" s="1592"/>
      <c r="K28" s="218"/>
      <c r="L28" s="1663"/>
      <c r="N28" s="1958"/>
      <c r="O28" s="1959"/>
    </row>
    <row r="29" spans="1:15" s="455" customFormat="1" ht="13.5">
      <c r="A29" s="471"/>
      <c r="B29" s="454"/>
      <c r="C29" s="1957"/>
      <c r="D29" s="1595"/>
      <c r="E29" s="1596"/>
      <c r="F29" s="1596"/>
      <c r="G29" s="1590"/>
      <c r="H29" s="1591"/>
      <c r="I29" s="1592"/>
      <c r="J29" s="1592"/>
      <c r="K29" s="218"/>
      <c r="L29" s="1663"/>
      <c r="N29" s="1958"/>
      <c r="O29" s="1959"/>
    </row>
    <row r="30" spans="1:15" s="455" customFormat="1" ht="13.5">
      <c r="A30" s="471"/>
      <c r="B30" s="454"/>
      <c r="C30" s="1957"/>
      <c r="D30" s="1595"/>
      <c r="E30" s="1596"/>
      <c r="F30" s="1596"/>
      <c r="G30" s="1590"/>
      <c r="H30" s="1591"/>
      <c r="I30" s="1592"/>
      <c r="J30" s="1592"/>
      <c r="K30" s="218"/>
      <c r="L30" s="1663"/>
      <c r="N30" s="1958"/>
      <c r="O30" s="1959"/>
    </row>
    <row r="31" spans="1:15" s="455" customFormat="1" ht="13.5">
      <c r="A31" s="471"/>
      <c r="B31" s="454"/>
      <c r="C31" s="1957"/>
      <c r="D31" s="1595"/>
      <c r="E31" s="1596"/>
      <c r="F31" s="1596"/>
      <c r="G31" s="1590"/>
      <c r="H31" s="1591"/>
      <c r="I31" s="1592"/>
      <c r="J31" s="1592"/>
      <c r="K31" s="218"/>
      <c r="L31" s="1663"/>
      <c r="N31" s="1958"/>
      <c r="O31" s="1959"/>
    </row>
    <row r="32" spans="1:15" s="455" customFormat="1" ht="13.5">
      <c r="A32" s="471"/>
      <c r="B32" s="454"/>
      <c r="C32" s="1957"/>
      <c r="D32" s="1595"/>
      <c r="E32" s="1596"/>
      <c r="F32" s="1596"/>
      <c r="G32" s="1590"/>
      <c r="H32" s="1591"/>
      <c r="I32" s="1592"/>
      <c r="J32" s="1592"/>
      <c r="K32" s="218"/>
      <c r="L32" s="1663"/>
      <c r="N32" s="1958"/>
      <c r="O32" s="1959"/>
    </row>
    <row r="33" spans="1:15" s="455" customFormat="1" ht="13.5">
      <c r="A33" s="471"/>
      <c r="B33" s="454"/>
      <c r="C33" s="1957"/>
      <c r="D33" s="1595"/>
      <c r="E33" s="1596"/>
      <c r="F33" s="1596"/>
      <c r="G33" s="1590"/>
      <c r="H33" s="1591"/>
      <c r="I33" s="1592"/>
      <c r="J33" s="1592"/>
      <c r="K33" s="218"/>
      <c r="L33" s="1663"/>
      <c r="N33" s="1958"/>
      <c r="O33" s="1959"/>
    </row>
    <row r="34" spans="1:15" s="455" customFormat="1" ht="13.5">
      <c r="A34" s="471"/>
      <c r="B34" s="454"/>
      <c r="C34" s="1957"/>
      <c r="D34" s="1595"/>
      <c r="E34" s="1596"/>
      <c r="F34" s="1596"/>
      <c r="G34" s="1590"/>
      <c r="H34" s="1591"/>
      <c r="I34" s="1592"/>
      <c r="J34" s="1592"/>
      <c r="K34" s="218"/>
      <c r="L34" s="1663"/>
      <c r="N34" s="1958"/>
      <c r="O34" s="1959"/>
    </row>
    <row r="35" spans="1:15" s="455" customFormat="1" ht="13.5">
      <c r="A35" s="471"/>
      <c r="B35" s="454"/>
      <c r="C35" s="1957"/>
      <c r="D35" s="1595"/>
      <c r="E35" s="1596"/>
      <c r="F35" s="1596"/>
      <c r="G35" s="1590"/>
      <c r="H35" s="1591"/>
      <c r="I35" s="1592"/>
      <c r="J35" s="1592"/>
      <c r="K35" s="218"/>
      <c r="L35" s="1663"/>
      <c r="N35" s="1958"/>
      <c r="O35" s="1959"/>
    </row>
    <row r="36" spans="1:15" s="455" customFormat="1" ht="13.5">
      <c r="A36" s="471"/>
      <c r="B36" s="454"/>
      <c r="C36" s="1525"/>
      <c r="D36" s="309"/>
      <c r="E36" s="309"/>
      <c r="F36" s="309"/>
      <c r="G36" s="497"/>
      <c r="H36" s="985"/>
      <c r="I36" s="985"/>
      <c r="J36" s="985"/>
      <c r="K36" s="499"/>
      <c r="L36" s="1016"/>
      <c r="M36" s="499"/>
      <c r="N36" s="1468"/>
    </row>
    <row r="37" spans="1:15" s="455" customFormat="1" ht="13.5">
      <c r="A37" s="471"/>
      <c r="B37" s="454"/>
      <c r="C37" s="392"/>
      <c r="D37" s="309"/>
      <c r="E37" s="309"/>
      <c r="F37" s="309"/>
      <c r="G37" s="497"/>
      <c r="H37" s="1056"/>
      <c r="I37" s="985"/>
      <c r="J37" s="985"/>
      <c r="K37" s="499"/>
      <c r="L37" s="1016"/>
      <c r="M37" s="499"/>
      <c r="N37" s="1465"/>
    </row>
    <row r="38" spans="1:15" s="455" customFormat="1" ht="13.5">
      <c r="A38" s="471"/>
      <c r="B38" s="454"/>
      <c r="C38" s="392"/>
      <c r="D38" s="309"/>
      <c r="E38" s="309"/>
      <c r="F38" s="309"/>
      <c r="G38" s="497"/>
      <c r="H38" s="985"/>
      <c r="I38" s="985"/>
      <c r="J38" s="985"/>
      <c r="K38" s="499"/>
      <c r="L38" s="1016"/>
      <c r="M38" s="499"/>
    </row>
    <row r="39" spans="1:15" s="455" customFormat="1" ht="13.5">
      <c r="A39" s="471"/>
      <c r="B39" s="454"/>
      <c r="C39" s="987"/>
      <c r="D39" s="314"/>
      <c r="E39" s="662"/>
      <c r="F39" s="309"/>
      <c r="G39" s="497"/>
      <c r="H39" s="985"/>
      <c r="I39" s="985"/>
      <c r="J39" s="985"/>
      <c r="K39" s="499"/>
      <c r="L39" s="1016"/>
      <c r="M39" s="499"/>
      <c r="N39" s="454"/>
    </row>
    <row r="40" spans="1:15" s="455" customFormat="1" ht="13.5">
      <c r="A40" s="471"/>
      <c r="B40" s="454"/>
      <c r="C40" s="987"/>
      <c r="D40" s="314"/>
      <c r="E40" s="662"/>
      <c r="F40" s="309"/>
      <c r="G40" s="497"/>
      <c r="H40" s="985"/>
      <c r="I40" s="985"/>
      <c r="J40" s="985"/>
      <c r="K40" s="499"/>
      <c r="L40" s="1016"/>
      <c r="M40" s="499"/>
      <c r="N40" s="458"/>
    </row>
    <row r="41" spans="1:15" s="455" customFormat="1" ht="13.5">
      <c r="A41" s="471"/>
      <c r="B41" s="454"/>
      <c r="C41" s="987"/>
      <c r="D41" s="314"/>
      <c r="E41" s="662"/>
      <c r="F41" s="309"/>
      <c r="G41" s="497"/>
      <c r="H41" s="985"/>
      <c r="I41" s="985"/>
      <c r="J41" s="985"/>
      <c r="K41" s="499"/>
      <c r="L41" s="1016"/>
      <c r="M41" s="499"/>
      <c r="N41" s="458"/>
    </row>
    <row r="42" spans="1:15" s="455" customFormat="1" ht="13.5">
      <c r="A42" s="471"/>
      <c r="B42" s="454"/>
      <c r="C42" s="987"/>
      <c r="D42" s="309"/>
      <c r="E42" s="662"/>
      <c r="F42" s="309"/>
      <c r="G42" s="497"/>
      <c r="H42" s="985"/>
      <c r="I42" s="985"/>
      <c r="J42" s="985"/>
      <c r="K42" s="499"/>
      <c r="L42" s="1016"/>
      <c r="M42" s="499"/>
      <c r="N42" s="458"/>
    </row>
    <row r="43" spans="1:15" s="455" customFormat="1" ht="13.5">
      <c r="A43" s="471"/>
      <c r="B43" s="454"/>
      <c r="C43" s="314"/>
      <c r="D43" s="314"/>
      <c r="E43" s="309"/>
      <c r="F43" s="309"/>
      <c r="G43" s="497"/>
      <c r="H43" s="985"/>
      <c r="I43" s="985"/>
      <c r="J43" s="985"/>
      <c r="K43" s="309"/>
      <c r="L43" s="1069"/>
      <c r="M43" s="499"/>
      <c r="N43" s="458"/>
    </row>
    <row r="44" spans="1:15" s="455" customFormat="1" ht="13.5">
      <c r="A44" s="471"/>
      <c r="B44" s="454"/>
      <c r="C44" s="314"/>
      <c r="D44" s="314"/>
      <c r="E44" s="309"/>
      <c r="F44" s="309"/>
      <c r="G44" s="497"/>
      <c r="H44" s="985"/>
      <c r="I44" s="985"/>
      <c r="J44" s="985"/>
      <c r="K44" s="309"/>
      <c r="L44" s="1069"/>
      <c r="M44" s="499"/>
      <c r="N44" s="460"/>
    </row>
    <row r="45" spans="1:15" s="455" customFormat="1" ht="13.5">
      <c r="A45" s="471"/>
      <c r="B45" s="454"/>
      <c r="C45" s="314"/>
      <c r="D45" s="314"/>
      <c r="E45" s="560"/>
      <c r="F45" s="309"/>
      <c r="G45" s="497"/>
      <c r="H45" s="985"/>
      <c r="I45" s="985"/>
      <c r="J45" s="985"/>
      <c r="K45" s="309"/>
      <c r="L45" s="1630">
        <f>SUM(L6:L42)</f>
        <v>400000</v>
      </c>
      <c r="M45" s="499"/>
      <c r="N45" s="454"/>
    </row>
    <row r="46" spans="1:15" s="455" customFormat="1" ht="13.5">
      <c r="A46" s="471"/>
      <c r="B46" s="454"/>
      <c r="C46" s="987"/>
      <c r="D46" s="314"/>
      <c r="E46" s="662"/>
      <c r="F46" s="309"/>
      <c r="G46" s="497"/>
      <c r="H46" s="985"/>
      <c r="I46" s="985"/>
      <c r="J46" s="985"/>
      <c r="K46" s="499"/>
      <c r="L46" s="1016"/>
      <c r="M46" s="499"/>
      <c r="N46" s="458"/>
    </row>
    <row r="47" spans="1:15" s="455" customFormat="1" ht="13.5">
      <c r="A47" s="471"/>
      <c r="B47" s="454"/>
      <c r="C47" s="392"/>
      <c r="D47" s="309"/>
      <c r="E47" s="309"/>
      <c r="F47" s="662"/>
      <c r="G47" s="309"/>
      <c r="H47" s="497"/>
      <c r="I47" s="985"/>
      <c r="J47" s="985"/>
      <c r="K47" s="1066"/>
      <c r="L47" s="1664"/>
      <c r="M47" s="1025"/>
      <c r="N47" s="1068"/>
      <c r="O47" s="458"/>
    </row>
    <row r="48" spans="1:15" s="455" customFormat="1" ht="13.5">
      <c r="A48" s="471"/>
      <c r="B48" s="454"/>
      <c r="C48" s="471"/>
      <c r="D48" s="456"/>
      <c r="E48" s="459"/>
      <c r="F48" s="466"/>
      <c r="G48" s="471"/>
      <c r="H48" s="477"/>
      <c r="I48" s="526"/>
      <c r="J48" s="526"/>
      <c r="K48" s="526"/>
      <c r="L48" s="473"/>
      <c r="M48" s="529"/>
      <c r="N48" s="471"/>
      <c r="O48" s="458"/>
    </row>
    <row r="49" spans="1:15" s="455" customFormat="1" ht="13.5">
      <c r="A49" s="471"/>
      <c r="B49" s="454"/>
      <c r="C49" s="471"/>
      <c r="D49" s="456"/>
      <c r="E49" s="459"/>
      <c r="F49" s="466"/>
      <c r="G49" s="471"/>
      <c r="H49" s="477"/>
      <c r="I49" s="526"/>
      <c r="J49" s="526"/>
      <c r="K49" s="526"/>
      <c r="L49" s="473"/>
      <c r="M49" s="529"/>
      <c r="N49" s="471"/>
      <c r="O49" s="458"/>
    </row>
    <row r="50" spans="1:15" s="455" customFormat="1" ht="13.5">
      <c r="A50" s="471"/>
      <c r="B50" s="454"/>
      <c r="C50" s="314"/>
      <c r="D50" s="309"/>
      <c r="E50" s="309"/>
      <c r="F50" s="309"/>
      <c r="G50" s="309"/>
      <c r="H50" s="309"/>
      <c r="I50" s="309"/>
      <c r="J50" s="309"/>
      <c r="K50" s="309"/>
      <c r="L50" s="1069"/>
      <c r="M50" s="309"/>
      <c r="N50" s="309"/>
    </row>
    <row r="51" spans="1:15" s="455" customFormat="1" ht="13.5">
      <c r="A51" s="471"/>
      <c r="B51" s="454"/>
      <c r="C51" s="314"/>
      <c r="D51" s="314"/>
      <c r="E51" s="309"/>
      <c r="F51" s="309"/>
      <c r="G51" s="497"/>
      <c r="H51" s="1056"/>
      <c r="I51" s="309"/>
      <c r="J51" s="309"/>
      <c r="K51" s="499"/>
      <c r="L51" s="1069"/>
      <c r="M51" s="309"/>
      <c r="N51" s="454"/>
    </row>
    <row r="52" spans="1:15" s="455" customFormat="1" ht="13.5">
      <c r="A52" s="471"/>
      <c r="B52" s="454"/>
      <c r="C52" s="314"/>
      <c r="D52" s="314"/>
      <c r="E52" s="309"/>
      <c r="F52" s="309"/>
      <c r="G52" s="497"/>
      <c r="H52" s="1056"/>
      <c r="I52" s="309"/>
      <c r="J52" s="309"/>
      <c r="K52" s="499"/>
      <c r="L52" s="1069"/>
      <c r="M52" s="499"/>
      <c r="N52" s="458"/>
    </row>
    <row r="53" spans="1:15" s="455" customFormat="1" ht="13.5">
      <c r="A53" s="471"/>
      <c r="B53" s="454"/>
      <c r="C53" s="314"/>
      <c r="D53" s="314"/>
      <c r="E53" s="309"/>
      <c r="F53" s="309"/>
      <c r="G53" s="497"/>
      <c r="H53" s="1056"/>
      <c r="I53" s="309"/>
      <c r="J53" s="309"/>
      <c r="K53" s="499"/>
      <c r="L53" s="1069"/>
      <c r="M53" s="499"/>
      <c r="N53" s="458"/>
    </row>
    <row r="54" spans="1:15" s="455" customFormat="1" ht="13.5">
      <c r="A54" s="471"/>
      <c r="B54" s="454"/>
      <c r="C54" s="314"/>
      <c r="D54" s="314"/>
      <c r="E54" s="662"/>
      <c r="F54" s="309"/>
      <c r="G54" s="497"/>
      <c r="H54" s="1056"/>
      <c r="I54" s="985"/>
      <c r="J54" s="985"/>
      <c r="K54" s="499"/>
      <c r="L54" s="1016"/>
      <c r="M54" s="499"/>
      <c r="N54" s="458"/>
    </row>
    <row r="55" spans="1:15" s="455" customFormat="1" ht="13.5">
      <c r="A55" s="471"/>
      <c r="B55" s="454"/>
      <c r="C55" s="314"/>
      <c r="D55" s="314"/>
      <c r="E55" s="662"/>
      <c r="F55" s="309"/>
      <c r="G55" s="497"/>
      <c r="H55" s="1056"/>
      <c r="I55" s="985"/>
      <c r="J55" s="985"/>
      <c r="K55" s="499"/>
      <c r="L55" s="1016"/>
      <c r="M55" s="499"/>
      <c r="N55" s="458"/>
    </row>
    <row r="56" spans="1:15" s="455" customFormat="1" ht="13.5">
      <c r="A56" s="471"/>
      <c r="B56" s="454"/>
      <c r="C56" s="314"/>
      <c r="D56" s="314"/>
      <c r="E56" s="662"/>
      <c r="F56" s="309"/>
      <c r="G56" s="497"/>
      <c r="H56" s="1056"/>
      <c r="I56" s="985"/>
      <c r="J56" s="985"/>
      <c r="K56" s="499"/>
      <c r="L56" s="1071"/>
      <c r="M56" s="499"/>
    </row>
    <row r="57" spans="1:15" s="455" customFormat="1" ht="13.5">
      <c r="A57" s="471"/>
      <c r="B57" s="454"/>
      <c r="C57" s="314"/>
      <c r="D57" s="314"/>
      <c r="E57" s="662"/>
      <c r="F57" s="309"/>
      <c r="G57" s="497"/>
      <c r="H57" s="1056"/>
      <c r="I57" s="985"/>
      <c r="J57" s="985"/>
      <c r="K57" s="499"/>
      <c r="L57" s="1071"/>
      <c r="M57" s="499"/>
    </row>
    <row r="58" spans="1:15" s="455" customFormat="1" ht="13.5">
      <c r="A58" s="471"/>
      <c r="B58" s="454"/>
      <c r="C58" s="314"/>
      <c r="D58" s="314"/>
      <c r="E58" s="662"/>
      <c r="F58" s="309"/>
      <c r="G58" s="497"/>
      <c r="H58" s="1056"/>
      <c r="I58" s="985"/>
      <c r="J58" s="985"/>
      <c r="K58" s="499"/>
      <c r="L58" s="1016"/>
      <c r="M58" s="499"/>
    </row>
    <row r="59" spans="1:15" s="455" customFormat="1" ht="13.5">
      <c r="A59" s="471"/>
      <c r="B59" s="454"/>
      <c r="C59" s="314"/>
      <c r="D59" s="314"/>
      <c r="E59" s="662"/>
      <c r="F59" s="309"/>
      <c r="G59" s="497"/>
      <c r="H59" s="1056"/>
      <c r="I59" s="985"/>
      <c r="J59" s="985"/>
      <c r="K59" s="499"/>
      <c r="L59" s="1016"/>
      <c r="M59" s="499"/>
    </row>
    <row r="60" spans="1:15" s="455" customFormat="1" ht="13.5">
      <c r="A60" s="471"/>
      <c r="B60" s="454"/>
      <c r="C60" s="314"/>
      <c r="D60" s="314"/>
      <c r="E60" s="662"/>
      <c r="F60" s="309"/>
      <c r="G60" s="497"/>
      <c r="H60" s="1056"/>
      <c r="I60" s="985"/>
      <c r="J60" s="985"/>
      <c r="K60" s="499"/>
      <c r="L60" s="1016"/>
      <c r="M60" s="499"/>
      <c r="N60" s="458"/>
    </row>
    <row r="61" spans="1:15" s="455" customFormat="1" ht="13.5">
      <c r="A61" s="471"/>
      <c r="B61" s="454"/>
      <c r="C61" s="314"/>
      <c r="D61" s="314"/>
      <c r="E61" s="662"/>
      <c r="F61" s="309"/>
      <c r="G61" s="497"/>
      <c r="H61" s="1056"/>
      <c r="I61" s="985"/>
      <c r="J61" s="985"/>
      <c r="K61" s="499"/>
      <c r="L61" s="1016"/>
      <c r="M61" s="499"/>
      <c r="N61" s="458"/>
    </row>
    <row r="62" spans="1:15" s="455" customFormat="1" ht="13.5">
      <c r="A62" s="471"/>
      <c r="B62" s="454"/>
      <c r="C62" s="314"/>
      <c r="D62" s="314"/>
      <c r="E62" s="662"/>
      <c r="F62" s="309"/>
      <c r="G62" s="497"/>
      <c r="H62" s="1056"/>
      <c r="I62" s="985"/>
      <c r="J62" s="985"/>
      <c r="K62" s="499"/>
      <c r="L62" s="1016"/>
      <c r="M62" s="499"/>
      <c r="N62" s="458"/>
    </row>
    <row r="63" spans="1:15" s="455" customFormat="1" ht="13.5">
      <c r="A63" s="471"/>
      <c r="B63" s="454"/>
      <c r="C63" s="2591"/>
      <c r="D63" s="314"/>
      <c r="E63" s="662"/>
      <c r="F63" s="309"/>
      <c r="G63" s="497"/>
      <c r="H63" s="1056"/>
      <c r="I63" s="985"/>
      <c r="J63" s="985"/>
      <c r="K63" s="499"/>
      <c r="L63" s="1016"/>
      <c r="M63" s="499"/>
    </row>
    <row r="64" spans="1:15" s="455" customFormat="1" ht="13.5">
      <c r="A64" s="471"/>
      <c r="B64" s="454"/>
      <c r="C64" s="2593"/>
      <c r="D64" s="314"/>
      <c r="E64" s="662"/>
      <c r="F64" s="309"/>
      <c r="G64" s="497"/>
      <c r="H64" s="1056"/>
      <c r="I64" s="985"/>
      <c r="J64" s="985"/>
      <c r="K64" s="499"/>
      <c r="L64" s="1016"/>
      <c r="M64" s="499"/>
      <c r="N64" s="454"/>
    </row>
    <row r="65" spans="1:15" s="455" customFormat="1" ht="13.5">
      <c r="A65" s="471"/>
      <c r="B65" s="454"/>
      <c r="C65" s="2591"/>
      <c r="D65" s="314"/>
      <c r="E65" s="662"/>
      <c r="F65" s="309"/>
      <c r="G65" s="497"/>
      <c r="H65" s="1056"/>
      <c r="I65" s="985"/>
      <c r="J65" s="985"/>
      <c r="K65" s="499"/>
      <c r="L65" s="1016"/>
      <c r="M65" s="499"/>
      <c r="N65" s="458"/>
    </row>
    <row r="66" spans="1:15" s="455" customFormat="1" ht="13.5">
      <c r="A66" s="471"/>
      <c r="B66" s="454"/>
      <c r="C66" s="2592"/>
      <c r="D66" s="314"/>
      <c r="E66" s="662"/>
      <c r="F66" s="309"/>
      <c r="G66" s="497"/>
      <c r="H66" s="1056"/>
      <c r="I66" s="985"/>
      <c r="J66" s="985"/>
      <c r="K66" s="499"/>
      <c r="L66" s="1016"/>
      <c r="M66" s="499"/>
      <c r="N66" s="458"/>
    </row>
    <row r="67" spans="1:15" s="455" customFormat="1" ht="13.5">
      <c r="A67" s="471"/>
      <c r="B67" s="454"/>
      <c r="C67" s="2593"/>
      <c r="D67" s="314"/>
      <c r="E67" s="662"/>
      <c r="F67" s="309"/>
      <c r="G67" s="497"/>
      <c r="H67" s="1056"/>
      <c r="I67" s="985"/>
      <c r="J67" s="985"/>
      <c r="K67" s="499"/>
      <c r="L67" s="1016"/>
      <c r="M67" s="499"/>
      <c r="N67" s="458"/>
    </row>
    <row r="68" spans="1:15" s="455" customFormat="1" ht="13.5">
      <c r="A68" s="471"/>
      <c r="B68" s="454"/>
      <c r="C68" s="314"/>
      <c r="D68" s="314"/>
      <c r="E68" s="662"/>
      <c r="F68" s="309"/>
      <c r="G68" s="497"/>
      <c r="H68" s="985"/>
      <c r="I68" s="985"/>
      <c r="J68" s="985"/>
      <c r="K68" s="499"/>
      <c r="L68" s="1016"/>
      <c r="M68" s="499"/>
      <c r="N68" s="458"/>
    </row>
    <row r="69" spans="1:15" s="455" customFormat="1" ht="13.5">
      <c r="A69" s="471"/>
      <c r="B69" s="454"/>
      <c r="C69" s="314"/>
      <c r="D69" s="314"/>
      <c r="E69" s="662"/>
      <c r="F69" s="309"/>
      <c r="G69" s="497"/>
      <c r="H69" s="985"/>
      <c r="I69" s="985"/>
      <c r="J69" s="985"/>
      <c r="K69" s="499"/>
      <c r="L69" s="1016"/>
      <c r="M69" s="499"/>
      <c r="N69" s="460"/>
    </row>
    <row r="70" spans="1:15" s="455" customFormat="1" ht="13.5">
      <c r="C70" s="314"/>
      <c r="D70" s="314"/>
      <c r="E70" s="662"/>
      <c r="F70" s="662"/>
      <c r="G70" s="309"/>
      <c r="H70" s="497"/>
      <c r="I70" s="1056"/>
      <c r="J70" s="985"/>
      <c r="K70" s="985"/>
      <c r="L70" s="1016"/>
      <c r="M70" s="1025"/>
      <c r="N70" s="499"/>
    </row>
    <row r="71" spans="1:15" s="455" customFormat="1" ht="13.5">
      <c r="C71" s="902"/>
      <c r="D71" s="309"/>
      <c r="E71" s="662"/>
      <c r="F71" s="662"/>
      <c r="G71" s="309"/>
      <c r="H71" s="497"/>
      <c r="I71" s="653"/>
      <c r="J71" s="985"/>
      <c r="K71" s="1469"/>
      <c r="L71" s="1016"/>
      <c r="M71" s="1025"/>
      <c r="N71" s="499"/>
    </row>
    <row r="72" spans="1:15" s="455" customFormat="1" ht="13.5">
      <c r="A72" s="566"/>
      <c r="B72" s="467"/>
      <c r="C72" s="499"/>
      <c r="D72" s="309"/>
      <c r="E72" s="391"/>
      <c r="F72" s="499"/>
      <c r="G72" s="497"/>
      <c r="H72" s="498"/>
      <c r="I72" s="498"/>
      <c r="J72" s="498"/>
      <c r="K72" s="499"/>
      <c r="L72" s="1665"/>
      <c r="M72" s="309"/>
      <c r="N72" s="499"/>
    </row>
    <row r="73" spans="1:15" s="455" customFormat="1" ht="13.5">
      <c r="A73" s="566"/>
      <c r="B73" s="467"/>
      <c r="C73" s="497"/>
      <c r="D73" s="691"/>
      <c r="E73" s="675"/>
      <c r="F73" s="675"/>
      <c r="G73" s="654"/>
      <c r="H73" s="502"/>
      <c r="I73" s="652"/>
      <c r="J73" s="497"/>
      <c r="K73" s="653"/>
      <c r="L73" s="40"/>
      <c r="M73" s="538"/>
      <c r="N73" s="392"/>
      <c r="O73" s="502"/>
    </row>
    <row r="74" spans="1:15" s="455" customFormat="1" ht="13.5">
      <c r="A74" s="566"/>
      <c r="B74" s="467"/>
      <c r="C74" s="497"/>
      <c r="D74" s="691"/>
      <c r="E74" s="675"/>
      <c r="F74" s="675"/>
      <c r="G74" s="654"/>
      <c r="H74" s="502"/>
      <c r="I74" s="652"/>
      <c r="J74" s="497"/>
      <c r="K74" s="653"/>
      <c r="L74" s="40"/>
      <c r="M74" s="538"/>
      <c r="N74" s="392"/>
      <c r="O74" s="502"/>
    </row>
    <row r="75" spans="1:15" s="455" customFormat="1" ht="13.5">
      <c r="A75" s="566"/>
      <c r="B75" s="467"/>
      <c r="C75" s="497"/>
      <c r="D75" s="691"/>
      <c r="E75" s="675"/>
      <c r="F75" s="675"/>
      <c r="G75" s="654"/>
      <c r="H75" s="502"/>
      <c r="I75" s="652"/>
      <c r="J75" s="497"/>
      <c r="K75" s="653"/>
      <c r="L75" s="40"/>
      <c r="M75" s="538"/>
      <c r="N75" s="392"/>
      <c r="O75" s="502"/>
    </row>
    <row r="76" spans="1:15" s="455" customFormat="1" ht="13.5">
      <c r="A76" s="566"/>
      <c r="B76" s="467"/>
      <c r="C76" s="497"/>
      <c r="D76" s="691"/>
      <c r="E76" s="675"/>
      <c r="F76" s="675"/>
      <c r="G76" s="654"/>
      <c r="H76" s="502"/>
      <c r="I76" s="652"/>
      <c r="J76" s="497"/>
      <c r="K76" s="653"/>
      <c r="L76" s="40"/>
      <c r="M76" s="538"/>
      <c r="N76" s="392"/>
      <c r="O76" s="502"/>
    </row>
    <row r="77" spans="1:15" s="455" customFormat="1" ht="13.5">
      <c r="C77" s="1384"/>
      <c r="D77" s="314"/>
      <c r="E77" s="662"/>
      <c r="F77" s="662"/>
      <c r="G77" s="309"/>
      <c r="H77" s="497"/>
      <c r="I77" s="653"/>
      <c r="J77" s="985"/>
      <c r="K77" s="1469"/>
      <c r="L77" s="1016"/>
      <c r="M77" s="1025"/>
      <c r="N77" s="499"/>
    </row>
    <row r="78" spans="1:15" s="455" customFormat="1" ht="13.5">
      <c r="C78" s="1384"/>
      <c r="D78" s="314"/>
      <c r="E78" s="662"/>
      <c r="F78" s="662"/>
      <c r="G78" s="309"/>
      <c r="H78" s="497"/>
      <c r="I78" s="653"/>
      <c r="J78" s="985"/>
      <c r="K78" s="1469"/>
      <c r="L78" s="1016"/>
      <c r="M78" s="1025"/>
      <c r="N78" s="499"/>
    </row>
    <row r="79" spans="1:15" s="455" customFormat="1" ht="13.5">
      <c r="A79" s="566"/>
      <c r="B79" s="467"/>
      <c r="C79" s="499"/>
      <c r="D79" s="309"/>
      <c r="E79" s="391"/>
      <c r="F79" s="499"/>
      <c r="G79" s="497"/>
      <c r="H79" s="498"/>
      <c r="I79" s="498"/>
      <c r="J79" s="498"/>
      <c r="K79" s="499"/>
      <c r="L79" s="1665"/>
      <c r="M79" s="309"/>
      <c r="N79" s="499"/>
    </row>
    <row r="80" spans="1:15" s="455" customFormat="1" ht="13.5">
      <c r="A80" s="566"/>
      <c r="B80" s="467"/>
      <c r="C80" s="497"/>
      <c r="D80" s="691"/>
      <c r="E80" s="675"/>
      <c r="F80" s="675"/>
      <c r="G80" s="654"/>
      <c r="H80" s="502"/>
      <c r="I80" s="652"/>
      <c r="J80" s="497"/>
      <c r="K80" s="653"/>
      <c r="L80" s="40"/>
      <c r="M80" s="538"/>
      <c r="N80" s="392"/>
      <c r="O80" s="502"/>
    </row>
    <row r="81" spans="1:15" s="455" customFormat="1" ht="13.5">
      <c r="A81" s="566"/>
      <c r="B81" s="467"/>
      <c r="C81" s="497"/>
      <c r="D81" s="691"/>
      <c r="E81" s="675"/>
      <c r="F81" s="675"/>
      <c r="G81" s="654"/>
      <c r="H81" s="502"/>
      <c r="I81" s="652"/>
      <c r="J81" s="497"/>
      <c r="K81" s="653"/>
      <c r="L81" s="40"/>
      <c r="M81" s="538"/>
      <c r="N81" s="392"/>
      <c r="O81" s="502"/>
    </row>
    <row r="82" spans="1:15" s="455" customFormat="1" ht="13.5">
      <c r="A82" s="566"/>
      <c r="B82" s="467"/>
      <c r="C82" s="497"/>
      <c r="D82" s="691"/>
      <c r="E82" s="675"/>
      <c r="F82" s="675"/>
      <c r="G82" s="654"/>
      <c r="H82" s="502"/>
      <c r="I82" s="652"/>
      <c r="J82" s="497"/>
      <c r="K82" s="653"/>
      <c r="L82" s="40"/>
      <c r="M82" s="538"/>
      <c r="N82" s="392"/>
      <c r="O82" s="502"/>
    </row>
    <row r="83" spans="1:15" s="455" customFormat="1" ht="13.5">
      <c r="A83" s="566"/>
      <c r="B83" s="467"/>
      <c r="C83" s="497"/>
      <c r="D83" s="691"/>
      <c r="E83" s="675"/>
      <c r="F83" s="675"/>
      <c r="G83" s="654"/>
      <c r="H83" s="502"/>
      <c r="I83" s="652"/>
      <c r="J83" s="497"/>
      <c r="K83" s="653"/>
      <c r="L83" s="40"/>
      <c r="M83" s="538"/>
      <c r="N83" s="392"/>
      <c r="O83" s="502"/>
    </row>
    <row r="84" spans="1:15" s="455" customFormat="1" ht="13.5">
      <c r="C84" s="1385"/>
      <c r="D84" s="314"/>
      <c r="E84" s="991"/>
      <c r="F84" s="662"/>
      <c r="G84" s="309"/>
      <c r="H84" s="497"/>
      <c r="I84" s="774"/>
      <c r="J84" s="774"/>
      <c r="K84" s="774"/>
      <c r="L84" s="1016"/>
      <c r="M84" s="1028"/>
      <c r="N84" s="499"/>
    </row>
    <row r="85" spans="1:15" s="455" customFormat="1" ht="13.5">
      <c r="C85" s="314"/>
      <c r="D85" s="314"/>
      <c r="E85" s="991"/>
      <c r="F85" s="662"/>
      <c r="G85" s="309"/>
      <c r="H85" s="497"/>
      <c r="I85" s="774"/>
      <c r="J85" s="774"/>
      <c r="K85" s="1471"/>
      <c r="L85" s="1016"/>
      <c r="M85" s="1028"/>
      <c r="N85" s="499"/>
    </row>
    <row r="86" spans="1:15" s="455" customFormat="1" ht="13.5">
      <c r="C86" s="1027"/>
      <c r="D86" s="314"/>
      <c r="E86" s="991"/>
      <c r="F86" s="662"/>
      <c r="G86" s="309"/>
      <c r="H86" s="497"/>
      <c r="I86" s="1056"/>
      <c r="J86" s="985"/>
      <c r="K86" s="985"/>
      <c r="L86" s="1016"/>
      <c r="M86" s="1028"/>
      <c r="N86" s="499"/>
    </row>
    <row r="87" spans="1:15" s="455" customFormat="1" ht="13.5">
      <c r="C87" s="499"/>
      <c r="D87" s="309"/>
      <c r="E87" s="391"/>
      <c r="F87" s="499"/>
      <c r="G87" s="497"/>
      <c r="H87" s="498"/>
      <c r="I87" s="498"/>
      <c r="J87" s="498"/>
      <c r="K87" s="499"/>
      <c r="L87" s="700"/>
      <c r="M87" s="309"/>
      <c r="N87" s="499"/>
    </row>
    <row r="88" spans="1:15" s="455" customFormat="1" ht="13.5">
      <c r="C88" s="497"/>
      <c r="D88" s="691"/>
      <c r="E88" s="675"/>
      <c r="F88" s="675"/>
      <c r="G88" s="654"/>
      <c r="H88" s="502"/>
      <c r="I88" s="652"/>
      <c r="J88" s="497"/>
      <c r="K88" s="653"/>
      <c r="L88" s="40"/>
      <c r="M88" s="538"/>
      <c r="N88" s="392"/>
      <c r="O88" s="502"/>
    </row>
    <row r="89" spans="1:15" s="455" customFormat="1" ht="13.5">
      <c r="C89" s="497"/>
      <c r="D89" s="691"/>
      <c r="E89" s="675"/>
      <c r="F89" s="675"/>
      <c r="G89" s="654"/>
      <c r="H89" s="502"/>
      <c r="I89" s="652"/>
      <c r="J89" s="497"/>
      <c r="K89" s="653"/>
      <c r="L89" s="40"/>
      <c r="M89" s="538"/>
      <c r="N89" s="392"/>
      <c r="O89" s="502"/>
    </row>
    <row r="90" spans="1:15" s="455" customFormat="1" ht="13.5">
      <c r="C90" s="497"/>
      <c r="D90" s="691"/>
      <c r="E90" s="675"/>
      <c r="F90" s="675"/>
      <c r="G90" s="654"/>
      <c r="H90" s="502"/>
      <c r="I90" s="652"/>
      <c r="J90" s="497"/>
      <c r="K90" s="653"/>
      <c r="L90" s="40"/>
      <c r="M90" s="538"/>
      <c r="N90" s="392"/>
      <c r="O90" s="502"/>
    </row>
    <row r="91" spans="1:15" s="455" customFormat="1" ht="13.5">
      <c r="C91" s="497"/>
      <c r="D91" s="691"/>
      <c r="E91" s="675"/>
      <c r="F91" s="675"/>
      <c r="G91" s="654"/>
      <c r="H91" s="502"/>
      <c r="I91" s="652"/>
      <c r="J91" s="497"/>
      <c r="K91" s="653"/>
      <c r="L91" s="40"/>
      <c r="M91" s="538"/>
      <c r="N91" s="392"/>
      <c r="O91" s="502"/>
    </row>
    <row r="92" spans="1:15" s="455" customFormat="1" ht="13.5">
      <c r="C92" s="497"/>
      <c r="D92" s="691"/>
      <c r="E92" s="675"/>
      <c r="F92" s="675"/>
      <c r="G92" s="654"/>
      <c r="H92" s="502"/>
      <c r="I92" s="652"/>
      <c r="J92" s="497"/>
      <c r="K92" s="653"/>
      <c r="L92" s="40"/>
      <c r="M92" s="538"/>
      <c r="N92" s="392"/>
      <c r="O92" s="502"/>
    </row>
    <row r="93" spans="1:15" s="455" customFormat="1" ht="13.5">
      <c r="C93" s="497"/>
      <c r="D93" s="691"/>
      <c r="E93" s="675"/>
      <c r="F93" s="675"/>
      <c r="G93" s="654"/>
      <c r="H93" s="502"/>
      <c r="I93" s="652"/>
      <c r="J93" s="497"/>
      <c r="K93" s="653"/>
      <c r="L93" s="40"/>
      <c r="M93" s="538"/>
      <c r="N93" s="392"/>
      <c r="O93" s="502"/>
    </row>
    <row r="94" spans="1:15" s="455" customFormat="1" ht="13.5">
      <c r="C94" s="497"/>
      <c r="D94" s="691"/>
      <c r="E94" s="675"/>
      <c r="F94" s="1473"/>
      <c r="G94" s="654"/>
      <c r="H94" s="502"/>
      <c r="I94" s="652"/>
      <c r="J94" s="497"/>
      <c r="K94" s="653"/>
      <c r="L94" s="40"/>
      <c r="M94" s="538"/>
      <c r="N94" s="392"/>
      <c r="O94" s="502"/>
    </row>
    <row r="95" spans="1:15" s="355" customFormat="1" ht="13.5">
      <c r="C95" s="400"/>
      <c r="D95" s="400"/>
      <c r="E95" s="401"/>
      <c r="F95" s="402"/>
      <c r="G95" s="402"/>
      <c r="H95" s="403"/>
      <c r="I95" s="403"/>
      <c r="J95" s="403"/>
      <c r="K95" s="402"/>
      <c r="L95" s="404"/>
      <c r="M95" s="402"/>
      <c r="N95" s="405"/>
    </row>
    <row r="96" spans="1:15" s="355" customFormat="1" ht="13.5">
      <c r="C96" s="400"/>
      <c r="D96" s="400"/>
      <c r="E96" s="401"/>
      <c r="F96" s="402"/>
      <c r="G96" s="402"/>
      <c r="H96" s="403"/>
      <c r="I96" s="403"/>
      <c r="J96" s="403"/>
      <c r="K96" s="402"/>
      <c r="L96" s="404"/>
      <c r="M96" s="402"/>
      <c r="N96" s="405"/>
    </row>
    <row r="97" spans="3:14" s="355" customFormat="1" ht="13.5">
      <c r="C97" s="400"/>
      <c r="D97" s="400"/>
      <c r="E97" s="401"/>
      <c r="F97" s="402"/>
      <c r="G97" s="402"/>
      <c r="H97" s="403"/>
      <c r="I97" s="403"/>
      <c r="J97" s="403"/>
      <c r="K97" s="402"/>
      <c r="L97" s="404"/>
      <c r="M97" s="402"/>
      <c r="N97" s="405"/>
    </row>
    <row r="98" spans="3:14" s="355" customFormat="1" ht="13.5">
      <c r="C98" s="400"/>
      <c r="D98" s="400"/>
      <c r="E98" s="401"/>
      <c r="F98" s="402"/>
      <c r="G98" s="402"/>
      <c r="H98" s="403"/>
      <c r="I98" s="403"/>
      <c r="J98" s="403"/>
      <c r="K98" s="402"/>
      <c r="L98" s="404"/>
      <c r="M98" s="402"/>
      <c r="N98" s="405"/>
    </row>
    <row r="99" spans="3:14" s="355" customFormat="1" ht="13.5">
      <c r="C99" s="400"/>
      <c r="D99" s="400"/>
      <c r="E99" s="401"/>
      <c r="F99" s="402"/>
      <c r="G99" s="402"/>
      <c r="H99" s="403"/>
      <c r="I99" s="403"/>
      <c r="J99" s="403"/>
      <c r="K99" s="402"/>
      <c r="L99" s="404"/>
      <c r="M99" s="402"/>
      <c r="N99" s="405"/>
    </row>
    <row r="100" spans="3:14" s="355" customFormat="1" ht="13.5">
      <c r="C100" s="400"/>
      <c r="D100" s="400"/>
      <c r="E100" s="401"/>
      <c r="F100" s="402"/>
      <c r="G100" s="402"/>
      <c r="H100" s="403"/>
      <c r="I100" s="403"/>
      <c r="J100" s="403"/>
      <c r="K100" s="402"/>
      <c r="L100" s="404"/>
      <c r="M100" s="402"/>
      <c r="N100" s="405"/>
    </row>
    <row r="101" spans="3:14" s="355" customFormat="1" ht="13.5">
      <c r="C101" s="400"/>
      <c r="D101" s="400"/>
      <c r="E101" s="401"/>
      <c r="F101" s="402"/>
      <c r="G101" s="402"/>
      <c r="H101" s="403"/>
      <c r="I101" s="403"/>
      <c r="J101" s="403"/>
      <c r="K101" s="402"/>
      <c r="L101" s="404"/>
      <c r="M101" s="402"/>
      <c r="N101" s="405"/>
    </row>
    <row r="102" spans="3:14" s="355" customFormat="1" ht="13.5">
      <c r="C102" s="400"/>
      <c r="D102" s="400"/>
      <c r="E102" s="401"/>
      <c r="F102" s="402"/>
      <c r="G102" s="402"/>
      <c r="H102" s="403"/>
      <c r="I102" s="403"/>
      <c r="J102" s="403"/>
      <c r="K102" s="402"/>
      <c r="L102" s="404"/>
      <c r="M102" s="402"/>
      <c r="N102" s="405"/>
    </row>
    <row r="103" spans="3:14" s="355" customFormat="1" ht="13.5">
      <c r="C103" s="400"/>
      <c r="D103" s="400"/>
      <c r="E103" s="401"/>
      <c r="F103" s="402"/>
      <c r="G103" s="402"/>
      <c r="H103" s="403"/>
      <c r="I103" s="403"/>
      <c r="J103" s="403"/>
      <c r="K103" s="402"/>
      <c r="L103" s="404"/>
      <c r="M103" s="402"/>
      <c r="N103" s="405"/>
    </row>
    <row r="104" spans="3:14" s="355" customFormat="1" ht="13.5">
      <c r="C104" s="400"/>
      <c r="D104" s="400"/>
      <c r="E104" s="401"/>
      <c r="F104" s="402"/>
      <c r="G104" s="402"/>
      <c r="H104" s="403"/>
      <c r="I104" s="403"/>
      <c r="J104" s="403"/>
      <c r="K104" s="402"/>
      <c r="L104" s="404"/>
      <c r="M104" s="402"/>
      <c r="N104" s="405"/>
    </row>
    <row r="105" spans="3:14" s="355" customFormat="1" ht="13.5">
      <c r="C105" s="400"/>
      <c r="D105" s="400"/>
      <c r="E105" s="401"/>
      <c r="F105" s="402"/>
      <c r="G105" s="402"/>
      <c r="H105" s="403"/>
      <c r="I105" s="403"/>
      <c r="J105" s="403"/>
      <c r="K105" s="402"/>
      <c r="L105" s="404"/>
      <c r="M105" s="402"/>
      <c r="N105" s="405"/>
    </row>
    <row r="106" spans="3:14" s="355" customFormat="1" ht="13.5">
      <c r="C106" s="400"/>
      <c r="D106" s="400"/>
      <c r="E106" s="401"/>
      <c r="F106" s="402"/>
      <c r="G106" s="402"/>
      <c r="H106" s="403"/>
      <c r="I106" s="403"/>
      <c r="J106" s="403"/>
      <c r="K106" s="402"/>
      <c r="L106" s="404"/>
      <c r="M106" s="402"/>
      <c r="N106" s="405"/>
    </row>
    <row r="107" spans="3:14" s="355" customFormat="1" ht="13.5">
      <c r="C107" s="400"/>
      <c r="D107" s="400"/>
      <c r="E107" s="401"/>
      <c r="F107" s="402"/>
      <c r="G107" s="402"/>
      <c r="H107" s="403"/>
      <c r="I107" s="403"/>
      <c r="J107" s="403"/>
      <c r="K107" s="402"/>
      <c r="L107" s="404"/>
      <c r="M107" s="407"/>
      <c r="N107" s="405"/>
    </row>
    <row r="108" spans="3:14" s="355" customFormat="1" ht="13.5">
      <c r="C108" s="400"/>
      <c r="D108" s="400"/>
      <c r="E108" s="401"/>
      <c r="F108" s="402"/>
      <c r="G108" s="403"/>
      <c r="H108" s="403"/>
      <c r="I108" s="403"/>
      <c r="J108" s="403"/>
      <c r="K108" s="408"/>
      <c r="L108" s="404"/>
      <c r="M108" s="407"/>
      <c r="N108" s="405"/>
    </row>
    <row r="109" spans="3:14" s="355" customFormat="1" ht="13.5">
      <c r="C109" s="352"/>
      <c r="D109" s="352"/>
      <c r="E109" s="352"/>
      <c r="F109" s="352"/>
      <c r="G109" s="352"/>
      <c r="H109" s="352"/>
      <c r="I109" s="352"/>
      <c r="J109" s="352"/>
      <c r="K109" s="352"/>
      <c r="L109" s="775">
        <f>SUM(L5:L107)</f>
        <v>800000</v>
      </c>
      <c r="M109" s="352"/>
      <c r="N109" s="352"/>
    </row>
    <row r="110" spans="3:14" ht="14.25" customHeight="1">
      <c r="C110" s="31"/>
      <c r="D110" s="27"/>
      <c r="E110" s="20"/>
      <c r="F110" s="28"/>
      <c r="G110" s="28"/>
      <c r="H110" s="26"/>
      <c r="I110" s="26"/>
      <c r="J110" s="26"/>
      <c r="K110" s="28"/>
      <c r="L110" s="179"/>
      <c r="M110" s="28"/>
      <c r="N110" s="27"/>
    </row>
    <row r="111" spans="3:14" s="1" customFormat="1" ht="14.25" customHeight="1">
      <c r="C111" s="31"/>
      <c r="D111" s="27"/>
      <c r="E111" s="21"/>
      <c r="F111" s="28"/>
      <c r="G111" s="28"/>
      <c r="H111" s="26"/>
      <c r="I111" s="26"/>
      <c r="J111" s="26"/>
      <c r="K111" s="28"/>
      <c r="L111" s="179"/>
      <c r="M111" s="28"/>
      <c r="N111" s="27"/>
    </row>
    <row r="112" spans="3:14" s="1" customFormat="1" ht="14.25" customHeight="1">
      <c r="C112" s="30"/>
      <c r="D112" s="25"/>
      <c r="E112" s="21"/>
      <c r="F112" s="22"/>
      <c r="G112" s="22"/>
      <c r="H112" s="23"/>
      <c r="I112" s="23"/>
      <c r="J112" s="23"/>
      <c r="K112" s="22"/>
      <c r="L112" s="180"/>
      <c r="M112" s="22"/>
      <c r="N112" s="25"/>
    </row>
  </sheetData>
  <mergeCells count="7">
    <mergeCell ref="M2:M3"/>
    <mergeCell ref="N2:N3"/>
    <mergeCell ref="C65:C67"/>
    <mergeCell ref="C63:C64"/>
    <mergeCell ref="C2:G2"/>
    <mergeCell ref="H2:J2"/>
    <mergeCell ref="K2:L2"/>
  </mergeCell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735F2-C7C4-4EE2-87C7-6684B15837F1}">
  <sheetPr>
    <tabColor rgb="FF00B0F0"/>
  </sheetPr>
  <dimension ref="A1:O133"/>
  <sheetViews>
    <sheetView zoomScale="70" zoomScaleNormal="70" workbookViewId="0">
      <pane ySplit="4" topLeftCell="A5" activePane="bottomLeft" state="frozen"/>
      <selection pane="bottomLeft" activeCell="G16" sqref="G16"/>
    </sheetView>
  </sheetViews>
  <sheetFormatPr defaultRowHeight="15"/>
  <cols>
    <col min="2" max="2" width="16.140625" customWidth="1"/>
    <col min="3" max="3" width="29.28515625" customWidth="1"/>
    <col min="4" max="4" width="49.7109375" bestFit="1" customWidth="1"/>
    <col min="5" max="5" width="26" customWidth="1"/>
    <col min="6" max="6" width="16.7109375" customWidth="1"/>
    <col min="7" max="7" width="11.7109375" customWidth="1"/>
    <col min="8" max="8" width="13.7109375" customWidth="1"/>
    <col min="10" max="10" width="12.5703125" customWidth="1"/>
    <col min="11" max="11" width="18.5703125" customWidth="1"/>
    <col min="12" max="12" width="15.5703125" style="99" customWidth="1"/>
    <col min="13" max="13" width="16.28515625" customWidth="1"/>
    <col min="14" max="14" width="24.28515625" customWidth="1"/>
    <col min="17" max="17" width="73.7109375" bestFit="1" customWidth="1"/>
  </cols>
  <sheetData>
    <row r="1" spans="1:15" s="355" customFormat="1" ht="13.5">
      <c r="L1" s="32"/>
    </row>
    <row r="2" spans="1:15" s="355" customFormat="1" ht="13.5">
      <c r="C2" s="2601" t="s">
        <v>30</v>
      </c>
      <c r="D2" s="2602"/>
      <c r="E2" s="2602"/>
      <c r="F2" s="2602"/>
      <c r="G2" s="2603"/>
      <c r="H2" s="2604" t="s">
        <v>29</v>
      </c>
      <c r="I2" s="2605"/>
      <c r="J2" s="2606"/>
      <c r="K2" s="2601" t="s">
        <v>28</v>
      </c>
      <c r="L2" s="2603"/>
      <c r="M2" s="2594" t="s">
        <v>27</v>
      </c>
      <c r="N2" s="2594" t="s">
        <v>26</v>
      </c>
    </row>
    <row r="3" spans="1:15" s="355" customFormat="1" ht="94.5">
      <c r="C3" s="618" t="s">
        <v>25</v>
      </c>
      <c r="D3" s="852" t="s">
        <v>24</v>
      </c>
      <c r="E3" s="991" t="s">
        <v>23</v>
      </c>
      <c r="F3" s="618" t="s">
        <v>22</v>
      </c>
      <c r="G3" s="532" t="s">
        <v>1303</v>
      </c>
      <c r="H3" s="532" t="s">
        <v>20</v>
      </c>
      <c r="I3" s="532" t="s">
        <v>19</v>
      </c>
      <c r="J3" s="532" t="s">
        <v>18</v>
      </c>
      <c r="K3" s="618" t="s">
        <v>17</v>
      </c>
      <c r="L3" s="605" t="s">
        <v>16</v>
      </c>
      <c r="M3" s="2594"/>
      <c r="N3" s="2594"/>
    </row>
    <row r="4" spans="1:15" s="355" customFormat="1" ht="27">
      <c r="C4" s="1076" t="s">
        <v>15</v>
      </c>
      <c r="D4" s="1076" t="s">
        <v>14</v>
      </c>
      <c r="E4" s="1076" t="s">
        <v>13</v>
      </c>
      <c r="F4" s="1076" t="s">
        <v>12</v>
      </c>
      <c r="G4" s="1076" t="s">
        <v>11</v>
      </c>
      <c r="H4" s="1076" t="s">
        <v>10</v>
      </c>
      <c r="I4" s="1076" t="s">
        <v>9</v>
      </c>
      <c r="J4" s="1076" t="s">
        <v>8</v>
      </c>
      <c r="K4" s="1076" t="s">
        <v>7</v>
      </c>
      <c r="L4" s="1077" t="s">
        <v>6</v>
      </c>
      <c r="M4" s="1076" t="s">
        <v>5</v>
      </c>
      <c r="N4" s="1076" t="s">
        <v>4</v>
      </c>
    </row>
    <row r="5" spans="1:15" s="455" customFormat="1" ht="30" customHeight="1">
      <c r="A5" s="471">
        <v>1021</v>
      </c>
      <c r="B5" s="454" t="s">
        <v>3955</v>
      </c>
      <c r="C5" s="1497" t="s">
        <v>3963</v>
      </c>
      <c r="D5" s="1490"/>
      <c r="E5" s="2295"/>
      <c r="F5" s="2295"/>
      <c r="G5" s="460"/>
      <c r="H5" s="460"/>
      <c r="I5" s="460"/>
      <c r="J5" s="460"/>
      <c r="K5" s="460"/>
      <c r="L5" s="52"/>
      <c r="M5" s="460"/>
      <c r="N5" s="460"/>
    </row>
    <row r="6" spans="1:15" s="455" customFormat="1" ht="30" customHeight="1">
      <c r="A6" s="471">
        <v>1021</v>
      </c>
      <c r="B6" s="454" t="s">
        <v>3955</v>
      </c>
      <c r="C6" s="2360" t="s">
        <v>805</v>
      </c>
      <c r="D6" s="609" t="s">
        <v>3965</v>
      </c>
      <c r="E6" s="734"/>
      <c r="F6" s="953" t="s">
        <v>3</v>
      </c>
      <c r="G6" s="2361"/>
      <c r="H6" s="2362" t="s">
        <v>3967</v>
      </c>
      <c r="I6" s="2362" t="s">
        <v>3968</v>
      </c>
      <c r="J6" s="2363" t="s">
        <v>3970</v>
      </c>
      <c r="K6" s="953" t="s">
        <v>3971</v>
      </c>
      <c r="L6" s="2308">
        <v>200000</v>
      </c>
      <c r="M6" s="2364"/>
      <c r="N6" s="2360" t="s">
        <v>3972</v>
      </c>
      <c r="O6" s="2365"/>
    </row>
    <row r="7" spans="1:15" s="455" customFormat="1" ht="30" customHeight="1">
      <c r="A7" s="471">
        <v>1021</v>
      </c>
      <c r="B7" s="454" t="s">
        <v>3955</v>
      </c>
      <c r="C7" s="902" t="s">
        <v>3964</v>
      </c>
      <c r="D7" s="902" t="s">
        <v>3966</v>
      </c>
      <c r="E7" s="902"/>
      <c r="F7" s="1380" t="s">
        <v>3</v>
      </c>
      <c r="G7" s="636"/>
      <c r="H7" s="2362" t="s">
        <v>3967</v>
      </c>
      <c r="I7" s="2359" t="s">
        <v>3969</v>
      </c>
      <c r="J7" s="2359" t="s">
        <v>3969</v>
      </c>
      <c r="K7" s="953" t="s">
        <v>3971</v>
      </c>
      <c r="L7" s="1625">
        <v>16000</v>
      </c>
      <c r="M7" s="1172"/>
      <c r="N7" s="460"/>
      <c r="O7" s="1526"/>
    </row>
    <row r="8" spans="1:15" s="455" customFormat="1" ht="30" customHeight="1">
      <c r="A8" s="471"/>
      <c r="B8" s="454"/>
      <c r="C8" s="902"/>
      <c r="D8" s="902"/>
      <c r="E8" s="902"/>
      <c r="F8" s="1380"/>
      <c r="G8" s="636"/>
      <c r="H8" s="1462"/>
      <c r="I8" s="1462"/>
      <c r="J8" s="1462"/>
      <c r="K8" s="1380"/>
      <c r="L8" s="1625"/>
      <c r="M8" s="1172"/>
      <c r="N8" s="460"/>
      <c r="O8" s="1527"/>
    </row>
    <row r="9" spans="1:15" s="455" customFormat="1" ht="30" customHeight="1">
      <c r="A9" s="471"/>
      <c r="B9" s="454"/>
      <c r="C9" s="91"/>
      <c r="D9" s="2349"/>
      <c r="E9" s="2350"/>
      <c r="F9" s="2349"/>
      <c r="G9" s="2351"/>
      <c r="H9" s="2352"/>
      <c r="I9" s="2352"/>
      <c r="J9" s="2353"/>
      <c r="K9" s="2349"/>
      <c r="L9" s="2354"/>
      <c r="M9" s="91"/>
      <c r="N9" s="2355"/>
      <c r="O9" s="1528"/>
    </row>
    <row r="10" spans="1:15" s="455" customFormat="1" ht="30" customHeight="1">
      <c r="A10" s="471"/>
      <c r="B10" s="454"/>
      <c r="C10" s="91"/>
      <c r="D10" s="2349"/>
      <c r="E10" s="2350"/>
      <c r="F10" s="2349"/>
      <c r="G10" s="2349"/>
      <c r="H10" s="2349"/>
      <c r="I10" s="2349"/>
      <c r="J10" s="2349"/>
      <c r="K10" s="2349"/>
      <c r="L10" s="2354"/>
      <c r="M10" s="2351"/>
      <c r="N10" s="2355"/>
      <c r="O10" s="625"/>
    </row>
    <row r="11" spans="1:15" s="455" customFormat="1" ht="30" customHeight="1">
      <c r="A11" s="471"/>
      <c r="B11" s="454"/>
      <c r="C11" s="91"/>
      <c r="D11" s="2356"/>
      <c r="E11" s="2349"/>
      <c r="F11" s="2356"/>
      <c r="G11" s="2356"/>
      <c r="H11" s="2356"/>
      <c r="I11" s="2356"/>
      <c r="J11" s="2356"/>
      <c r="K11" s="2356"/>
      <c r="L11" s="2354"/>
      <c r="M11" s="2349"/>
      <c r="N11" s="2357"/>
    </row>
    <row r="12" spans="1:15" s="455" customFormat="1" ht="30" customHeight="1">
      <c r="A12" s="471"/>
      <c r="B12" s="454"/>
      <c r="C12" s="314"/>
      <c r="D12" s="309"/>
      <c r="E12" s="309"/>
      <c r="F12" s="309"/>
      <c r="G12" s="497"/>
      <c r="H12" s="985"/>
      <c r="I12" s="985"/>
      <c r="J12" s="985"/>
      <c r="K12" s="499"/>
      <c r="L12" s="1016"/>
      <c r="M12" s="499"/>
      <c r="N12" s="460"/>
    </row>
    <row r="13" spans="1:15" s="455" customFormat="1" ht="30" customHeight="1">
      <c r="A13" s="471"/>
      <c r="B13" s="454"/>
      <c r="C13" s="392"/>
      <c r="D13" s="309"/>
      <c r="E13" s="309"/>
      <c r="F13" s="309"/>
      <c r="G13" s="497"/>
      <c r="H13" s="1056"/>
      <c r="I13" s="985"/>
      <c r="J13" s="985"/>
      <c r="K13" s="499"/>
      <c r="L13" s="1016"/>
      <c r="M13" s="499"/>
      <c r="N13" s="460"/>
    </row>
    <row r="14" spans="1:15" s="455" customFormat="1" ht="30" customHeight="1">
      <c r="A14" s="471"/>
      <c r="B14" s="454"/>
      <c r="C14" s="1542"/>
      <c r="D14" s="1533"/>
      <c r="E14" s="1543"/>
      <c r="F14" s="1543"/>
      <c r="G14" s="1545"/>
      <c r="H14" s="1535"/>
      <c r="I14" s="1538"/>
      <c r="J14" s="1538"/>
      <c r="K14" s="1530"/>
      <c r="L14" s="2554">
        <f>SUM(L6:L13)</f>
        <v>216000</v>
      </c>
      <c r="M14" s="460"/>
      <c r="N14" s="1535"/>
      <c r="O14" s="2347"/>
    </row>
    <row r="15" spans="1:15" s="455" customFormat="1" ht="30" customHeight="1">
      <c r="A15" s="471"/>
      <c r="B15" s="454"/>
      <c r="C15" s="392"/>
      <c r="D15" s="309"/>
      <c r="E15" s="309"/>
      <c r="F15" s="309"/>
      <c r="G15" s="497"/>
      <c r="H15" s="985"/>
      <c r="I15" s="985"/>
      <c r="J15" s="985"/>
      <c r="K15" s="1025"/>
      <c r="L15" s="1016"/>
      <c r="M15" s="460"/>
      <c r="N15" s="2358"/>
    </row>
    <row r="16" spans="1:15" s="455" customFormat="1" ht="30" customHeight="1">
      <c r="A16" s="471"/>
      <c r="B16" s="454"/>
      <c r="C16" s="392"/>
      <c r="D16" s="309"/>
      <c r="E16" s="309"/>
      <c r="F16" s="309"/>
      <c r="G16" s="497"/>
      <c r="H16" s="985"/>
      <c r="I16" s="985"/>
      <c r="J16" s="985"/>
      <c r="K16" s="1025"/>
      <c r="L16" s="1016"/>
      <c r="M16" s="460"/>
      <c r="N16" s="454"/>
    </row>
    <row r="17" spans="1:15" s="455" customFormat="1" ht="30" customHeight="1">
      <c r="A17" s="471"/>
      <c r="B17" s="454"/>
      <c r="C17" s="1542"/>
      <c r="D17" s="1533"/>
      <c r="E17" s="1543"/>
      <c r="F17" s="1543"/>
      <c r="G17" s="1545"/>
      <c r="H17" s="1535"/>
      <c r="I17" s="1538"/>
      <c r="J17" s="1538"/>
      <c r="K17" s="1530"/>
      <c r="L17" s="1662"/>
      <c r="M17" s="460"/>
      <c r="N17" s="1535"/>
      <c r="O17" s="2347"/>
    </row>
    <row r="18" spans="1:15" s="455" customFormat="1" ht="30" customHeight="1">
      <c r="A18" s="471"/>
      <c r="B18" s="454"/>
      <c r="C18" s="392"/>
      <c r="D18" s="309"/>
      <c r="E18" s="309"/>
      <c r="F18" s="309"/>
      <c r="G18" s="497"/>
      <c r="H18" s="985"/>
      <c r="I18" s="985"/>
      <c r="J18" s="985"/>
      <c r="K18" s="1025"/>
      <c r="L18" s="1016"/>
      <c r="M18" s="460"/>
      <c r="N18" s="458"/>
    </row>
    <row r="19" spans="1:15" s="455" customFormat="1" ht="30" customHeight="1">
      <c r="A19" s="471"/>
      <c r="B19" s="454"/>
      <c r="C19" s="1589"/>
      <c r="D19" s="1595"/>
      <c r="E19" s="1596"/>
      <c r="F19" s="1596"/>
      <c r="G19" s="1590"/>
      <c r="H19" s="1591"/>
      <c r="I19" s="1592"/>
      <c r="J19" s="1592"/>
      <c r="K19" s="218"/>
      <c r="L19" s="1663"/>
      <c r="M19" s="460"/>
      <c r="N19" s="1591"/>
      <c r="O19" s="1958"/>
    </row>
    <row r="20" spans="1:15" s="455" customFormat="1" ht="30" customHeight="1">
      <c r="A20" s="471"/>
      <c r="B20" s="454"/>
      <c r="C20" s="1589"/>
      <c r="D20" s="1595"/>
      <c r="E20" s="1596"/>
      <c r="F20" s="1596"/>
      <c r="G20" s="1590"/>
      <c r="H20" s="1591"/>
      <c r="I20" s="1592"/>
      <c r="J20" s="1592"/>
      <c r="K20" s="218"/>
      <c r="L20" s="1663"/>
      <c r="M20" s="460"/>
      <c r="N20" s="1591"/>
      <c r="O20" s="1959"/>
    </row>
    <row r="21" spans="1:15" s="455" customFormat="1" ht="30" customHeight="1">
      <c r="A21" s="471"/>
      <c r="B21" s="454"/>
      <c r="C21" s="1589"/>
      <c r="D21" s="1595"/>
      <c r="E21" s="1596"/>
      <c r="F21" s="1596"/>
      <c r="G21" s="1590"/>
      <c r="H21" s="1591"/>
      <c r="I21" s="1592"/>
      <c r="J21" s="1592"/>
      <c r="K21" s="218"/>
      <c r="L21" s="1663"/>
      <c r="M21" s="460"/>
      <c r="N21" s="1591"/>
      <c r="O21" s="1959"/>
    </row>
    <row r="22" spans="1:15" s="455" customFormat="1" ht="30" customHeight="1">
      <c r="A22" s="471"/>
      <c r="B22" s="454"/>
      <c r="C22" s="1912"/>
      <c r="D22" s="1800"/>
      <c r="E22" s="1918"/>
      <c r="F22" s="1921"/>
      <c r="G22" s="1725"/>
      <c r="H22" s="1801"/>
      <c r="I22" s="1801"/>
      <c r="J22" s="1801"/>
      <c r="K22" s="1801"/>
      <c r="L22" s="2296"/>
      <c r="M22" s="2297"/>
      <c r="N22" s="1720"/>
    </row>
    <row r="23" spans="1:15" s="455" customFormat="1" ht="30" customHeight="1">
      <c r="A23" s="471"/>
      <c r="B23" s="454"/>
      <c r="C23" s="1912"/>
      <c r="D23" s="1796"/>
      <c r="E23" s="1885"/>
      <c r="F23" s="1724"/>
      <c r="G23" s="1725"/>
      <c r="H23" s="1801"/>
      <c r="I23" s="1801"/>
      <c r="J23" s="1801"/>
      <c r="K23" s="1800"/>
      <c r="L23" s="1950"/>
      <c r="M23" s="1721"/>
      <c r="N23" s="1720"/>
    </row>
    <row r="24" spans="1:15" s="455" customFormat="1" ht="30" customHeight="1">
      <c r="A24" s="626"/>
      <c r="B24" s="2288"/>
      <c r="C24" s="1951"/>
      <c r="D24" s="2348"/>
      <c r="E24" s="1881"/>
      <c r="F24" s="1809"/>
      <c r="G24" s="1789"/>
      <c r="H24" s="1842"/>
      <c r="I24" s="1842"/>
      <c r="J24" s="1842"/>
      <c r="K24" s="1836"/>
      <c r="L24" s="1943"/>
      <c r="M24" s="1845"/>
      <c r="N24" s="1846"/>
    </row>
    <row r="25" spans="1:15" s="455" customFormat="1" ht="30" customHeight="1">
      <c r="A25" s="471"/>
      <c r="B25" s="454"/>
      <c r="C25" s="1951"/>
      <c r="D25" s="1726"/>
      <c r="E25" s="1885"/>
      <c r="F25" s="1724"/>
      <c r="G25" s="1725"/>
      <c r="H25" s="1801"/>
      <c r="I25" s="1801"/>
      <c r="J25" s="1801"/>
      <c r="K25" s="1802"/>
      <c r="L25" s="1801"/>
      <c r="M25" s="1943"/>
      <c r="N25" s="1721"/>
      <c r="O25" s="1720"/>
    </row>
    <row r="26" spans="1:15" s="455" customFormat="1" ht="30" customHeight="1">
      <c r="A26" s="471"/>
      <c r="B26" s="454"/>
      <c r="C26" s="1951"/>
      <c r="D26" s="1726"/>
      <c r="E26" s="1885"/>
      <c r="F26" s="1724"/>
      <c r="G26" s="1725"/>
      <c r="H26" s="1801"/>
      <c r="I26" s="1801"/>
      <c r="J26" s="1801"/>
      <c r="K26" s="1802"/>
      <c r="L26" s="1801"/>
      <c r="M26" s="1943"/>
      <c r="N26" s="1721"/>
      <c r="O26" s="1720"/>
    </row>
    <row r="27" spans="1:15" s="455" customFormat="1" ht="30" customHeight="1">
      <c r="A27" s="471"/>
      <c r="B27" s="454"/>
      <c r="C27" s="1951"/>
      <c r="D27" s="1726"/>
      <c r="E27" s="1881"/>
      <c r="F27" s="1724"/>
      <c r="G27" s="1725"/>
      <c r="H27" s="1801"/>
      <c r="I27" s="1801"/>
      <c r="J27" s="1801"/>
      <c r="K27" s="1802"/>
      <c r="L27" s="1801"/>
      <c r="M27" s="1943"/>
      <c r="N27" s="1721"/>
      <c r="O27" s="1720"/>
    </row>
    <row r="28" spans="1:15" s="455" customFormat="1">
      <c r="A28" s="471"/>
      <c r="B28" s="454"/>
      <c r="C28" s="1913"/>
      <c r="D28" s="1726"/>
      <c r="E28" s="1885"/>
      <c r="F28" s="1724"/>
      <c r="G28" s="1725"/>
      <c r="H28" s="1801"/>
      <c r="I28" s="1801"/>
      <c r="J28" s="1801"/>
      <c r="K28" s="1802"/>
      <c r="L28" s="1801"/>
      <c r="M28" s="1943"/>
      <c r="N28" s="1721"/>
      <c r="O28" s="1720"/>
    </row>
    <row r="29" spans="1:15" s="455" customFormat="1" ht="13.5">
      <c r="A29" s="471"/>
      <c r="B29" s="454"/>
      <c r="C29" s="1957"/>
      <c r="D29" s="1595"/>
      <c r="E29" s="1596"/>
      <c r="F29" s="1596"/>
      <c r="G29" s="1590"/>
      <c r="H29" s="1591"/>
      <c r="I29" s="1592"/>
      <c r="J29" s="1592"/>
      <c r="K29" s="218"/>
      <c r="L29" s="1663"/>
      <c r="N29" s="1958"/>
      <c r="O29" s="1959"/>
    </row>
    <row r="30" spans="1:15" s="455" customFormat="1" ht="27" customHeight="1">
      <c r="A30" s="471"/>
      <c r="B30" s="454"/>
      <c r="C30" s="1909"/>
      <c r="D30" s="1712"/>
      <c r="E30" s="1922"/>
      <c r="F30" s="1919"/>
      <c r="G30" s="1725"/>
      <c r="H30" s="1801"/>
      <c r="I30" s="1801"/>
      <c r="J30" s="1801"/>
      <c r="K30" s="1801"/>
      <c r="L30" s="1920"/>
      <c r="M30" s="1715"/>
      <c r="N30" s="1716"/>
    </row>
    <row r="31" spans="1:15" s="455" customFormat="1" ht="13.9" customHeight="1">
      <c r="A31" s="471"/>
      <c r="B31" s="454"/>
      <c r="C31" s="1951"/>
      <c r="D31" s="2039"/>
      <c r="E31" s="1885"/>
      <c r="F31" s="1724"/>
      <c r="G31" s="1725"/>
      <c r="H31" s="1801"/>
      <c r="I31" s="1801"/>
      <c r="J31" s="1801"/>
      <c r="K31" s="1712"/>
      <c r="L31" s="1943"/>
      <c r="M31" s="1721"/>
      <c r="N31" s="1720"/>
    </row>
    <row r="32" spans="1:15" s="455" customFormat="1">
      <c r="A32" s="471"/>
      <c r="B32" s="454"/>
      <c r="C32" s="1951"/>
      <c r="D32" s="2039"/>
      <c r="E32" s="1885"/>
      <c r="F32" s="1724"/>
      <c r="G32" s="1725"/>
      <c r="H32" s="1801"/>
      <c r="I32" s="1801"/>
      <c r="J32" s="1801"/>
      <c r="K32" s="1836"/>
      <c r="L32" s="1943"/>
      <c r="M32" s="1721"/>
      <c r="N32" s="1720"/>
    </row>
    <row r="33" spans="1:15" s="455" customFormat="1">
      <c r="A33" s="471"/>
      <c r="B33" s="454"/>
      <c r="C33" s="1951"/>
      <c r="D33" s="1940"/>
      <c r="E33" s="1885"/>
      <c r="F33" s="1724"/>
      <c r="G33" s="1725"/>
      <c r="H33" s="1801"/>
      <c r="I33" s="1801"/>
      <c r="J33" s="1801"/>
      <c r="K33" s="1802"/>
      <c r="L33" s="1801"/>
      <c r="M33" s="1943"/>
      <c r="N33" s="1721"/>
      <c r="O33" s="1720"/>
    </row>
    <row r="34" spans="1:15" s="455" customFormat="1">
      <c r="A34" s="471"/>
      <c r="B34" s="454"/>
      <c r="C34" s="1951"/>
      <c r="D34" s="1940"/>
      <c r="E34" s="1885"/>
      <c r="F34" s="1724"/>
      <c r="G34" s="1725"/>
      <c r="H34" s="1801"/>
      <c r="I34" s="1801"/>
      <c r="J34" s="1801"/>
      <c r="K34" s="1802"/>
      <c r="L34" s="1801"/>
      <c r="M34" s="1943"/>
      <c r="N34" s="1721"/>
      <c r="O34" s="1720"/>
    </row>
    <row r="35" spans="1:15" s="455" customFormat="1">
      <c r="A35" s="471"/>
      <c r="B35" s="454"/>
      <c r="C35" s="1951"/>
      <c r="D35" s="1940"/>
      <c r="E35" s="1881"/>
      <c r="F35" s="1724"/>
      <c r="G35" s="1725"/>
      <c r="H35" s="1801"/>
      <c r="I35" s="1801"/>
      <c r="J35" s="1801"/>
      <c r="K35" s="1802"/>
      <c r="L35" s="1801"/>
      <c r="M35" s="1943"/>
      <c r="N35" s="1721"/>
      <c r="O35" s="1720"/>
    </row>
    <row r="36" spans="1:15" s="455" customFormat="1">
      <c r="A36" s="471"/>
      <c r="B36" s="454"/>
      <c r="C36" s="1913"/>
      <c r="D36" s="1923"/>
      <c r="E36" s="1885"/>
      <c r="F36" s="1724"/>
      <c r="G36" s="1725"/>
      <c r="H36" s="1801"/>
      <c r="I36" s="1801"/>
      <c r="J36" s="1801"/>
      <c r="K36" s="1802"/>
      <c r="L36" s="1801"/>
      <c r="M36" s="1943"/>
      <c r="N36" s="1721"/>
      <c r="O36" s="1720"/>
    </row>
    <row r="37" spans="1:15" s="455" customFormat="1" ht="13.5">
      <c r="A37" s="471"/>
      <c r="B37" s="454"/>
      <c r="C37" s="1957"/>
      <c r="D37" s="1595"/>
      <c r="E37" s="1596"/>
      <c r="F37" s="1596"/>
      <c r="G37" s="1590"/>
      <c r="H37" s="1591"/>
      <c r="I37" s="1592"/>
      <c r="J37" s="1592"/>
      <c r="K37" s="218"/>
      <c r="L37" s="1663"/>
      <c r="N37" s="1958"/>
      <c r="O37" s="1959"/>
    </row>
    <row r="38" spans="1:15" s="455" customFormat="1" ht="13.5">
      <c r="A38" s="471"/>
      <c r="B38" s="454"/>
      <c r="C38" s="1957"/>
      <c r="D38" s="1595"/>
      <c r="E38" s="1596"/>
      <c r="F38" s="1596"/>
      <c r="G38" s="1590"/>
      <c r="H38" s="1591"/>
      <c r="I38" s="1592"/>
      <c r="J38" s="1592"/>
      <c r="K38" s="218"/>
      <c r="L38" s="1663"/>
      <c r="N38" s="1958"/>
      <c r="O38" s="1959"/>
    </row>
    <row r="39" spans="1:15" s="455" customFormat="1" ht="13.5">
      <c r="A39" s="471"/>
      <c r="B39" s="454"/>
      <c r="C39" s="1957"/>
      <c r="D39" s="1595"/>
      <c r="E39" s="1596"/>
      <c r="F39" s="1596"/>
      <c r="G39" s="1590"/>
      <c r="H39" s="1591"/>
      <c r="I39" s="1592"/>
      <c r="J39" s="1592"/>
      <c r="K39" s="218"/>
      <c r="L39" s="1663"/>
      <c r="N39" s="1958"/>
      <c r="O39" s="1959"/>
    </row>
    <row r="40" spans="1:15" s="455" customFormat="1" ht="13.5">
      <c r="A40" s="471"/>
      <c r="B40" s="454"/>
      <c r="C40" s="1957"/>
      <c r="D40" s="1595"/>
      <c r="E40" s="1596"/>
      <c r="F40" s="1596"/>
      <c r="G40" s="1590"/>
      <c r="H40" s="1591"/>
      <c r="I40" s="1592"/>
      <c r="J40" s="1592"/>
      <c r="K40" s="218"/>
      <c r="L40" s="1663"/>
      <c r="N40" s="1958"/>
      <c r="O40" s="1959"/>
    </row>
    <row r="41" spans="1:15" s="455" customFormat="1" ht="13.5">
      <c r="A41" s="471"/>
      <c r="B41" s="454"/>
      <c r="C41" s="1957"/>
      <c r="D41" s="1595"/>
      <c r="E41" s="1596"/>
      <c r="F41" s="1596"/>
      <c r="G41" s="1590"/>
      <c r="H41" s="1591"/>
      <c r="I41" s="1592"/>
      <c r="J41" s="1592"/>
      <c r="K41" s="218"/>
      <c r="L41" s="1663"/>
      <c r="N41" s="1958"/>
      <c r="O41" s="1959"/>
    </row>
    <row r="42" spans="1:15" s="455" customFormat="1" ht="13.5">
      <c r="A42" s="471"/>
      <c r="B42" s="454"/>
      <c r="C42" s="1957"/>
      <c r="D42" s="1595"/>
      <c r="E42" s="1596"/>
      <c r="F42" s="1596"/>
      <c r="G42" s="1590"/>
      <c r="H42" s="1591"/>
      <c r="I42" s="1592"/>
      <c r="J42" s="1592"/>
      <c r="K42" s="218"/>
      <c r="L42" s="1998">
        <f>SUM(L5:L40)</f>
        <v>432000</v>
      </c>
      <c r="N42" s="1958"/>
      <c r="O42" s="1959"/>
    </row>
    <row r="43" spans="1:15" s="455" customFormat="1" ht="13.5">
      <c r="A43" s="471"/>
      <c r="B43" s="454"/>
      <c r="C43" s="1957"/>
      <c r="D43" s="1595"/>
      <c r="E43" s="1596"/>
      <c r="F43" s="1596"/>
      <c r="G43" s="1590"/>
      <c r="H43" s="1591"/>
      <c r="I43" s="1592"/>
      <c r="J43" s="1592"/>
      <c r="K43" s="218"/>
      <c r="L43" s="1663"/>
      <c r="N43" s="1958"/>
      <c r="O43" s="1959"/>
    </row>
    <row r="44" spans="1:15" s="455" customFormat="1" ht="13.5">
      <c r="A44" s="471"/>
      <c r="B44" s="454"/>
      <c r="C44" s="1957"/>
      <c r="D44" s="1595"/>
      <c r="E44" s="1596"/>
      <c r="F44" s="1596"/>
      <c r="G44" s="1590"/>
      <c r="H44" s="1591"/>
      <c r="I44" s="1592"/>
      <c r="J44" s="1592"/>
      <c r="K44" s="218"/>
      <c r="L44" s="1663"/>
      <c r="N44" s="1958"/>
      <c r="O44" s="1959"/>
    </row>
    <row r="45" spans="1:15" s="455" customFormat="1" ht="13.5">
      <c r="A45" s="471"/>
      <c r="B45" s="454"/>
      <c r="C45" s="1957"/>
      <c r="D45" s="1595"/>
      <c r="E45" s="1596"/>
      <c r="F45" s="1596"/>
      <c r="G45" s="1590"/>
      <c r="H45" s="1591"/>
      <c r="I45" s="1592"/>
      <c r="J45" s="1592"/>
      <c r="K45" s="218"/>
      <c r="L45" s="1663"/>
      <c r="N45" s="1958"/>
      <c r="O45" s="1959"/>
    </row>
    <row r="46" spans="1:15" s="455" customFormat="1" ht="13.5">
      <c r="A46" s="471"/>
      <c r="B46" s="454"/>
      <c r="C46" s="1957"/>
      <c r="D46" s="1595"/>
      <c r="E46" s="1596"/>
      <c r="F46" s="1596"/>
      <c r="G46" s="1590"/>
      <c r="H46" s="1591"/>
      <c r="I46" s="1592"/>
      <c r="J46" s="1592"/>
      <c r="K46" s="218"/>
      <c r="L46" s="1663"/>
      <c r="N46" s="1958"/>
      <c r="O46" s="1959"/>
    </row>
    <row r="47" spans="1:15" s="455" customFormat="1" ht="13.5">
      <c r="A47" s="471"/>
      <c r="B47" s="454"/>
      <c r="C47" s="1957"/>
      <c r="D47" s="1595"/>
      <c r="E47" s="1596"/>
      <c r="F47" s="1596"/>
      <c r="G47" s="1590"/>
      <c r="H47" s="1591"/>
      <c r="I47" s="1592"/>
      <c r="J47" s="1592"/>
      <c r="K47" s="218"/>
      <c r="L47" s="1663"/>
      <c r="N47" s="1958"/>
      <c r="O47" s="1959"/>
    </row>
    <row r="48" spans="1:15" s="455" customFormat="1" ht="13.5">
      <c r="A48" s="471"/>
      <c r="B48" s="454"/>
      <c r="C48" s="1957"/>
      <c r="D48" s="1595"/>
      <c r="E48" s="1596"/>
      <c r="F48" s="1596"/>
      <c r="G48" s="1590"/>
      <c r="H48" s="1591"/>
      <c r="I48" s="1592"/>
      <c r="J48" s="1592"/>
      <c r="K48" s="218"/>
      <c r="L48" s="1663"/>
      <c r="N48" s="1958"/>
      <c r="O48" s="1959"/>
    </row>
    <row r="49" spans="1:15" s="455" customFormat="1" ht="13.5">
      <c r="A49" s="471"/>
      <c r="B49" s="454"/>
      <c r="C49" s="1957"/>
      <c r="D49" s="1595"/>
      <c r="E49" s="1596"/>
      <c r="F49" s="1596"/>
      <c r="G49" s="1590"/>
      <c r="H49" s="1591"/>
      <c r="I49" s="1592"/>
      <c r="J49" s="1592"/>
      <c r="K49" s="218"/>
      <c r="L49" s="1663"/>
      <c r="N49" s="1958"/>
      <c r="O49" s="1959"/>
    </row>
    <row r="50" spans="1:15" s="455" customFormat="1" ht="13.5">
      <c r="A50" s="471"/>
      <c r="B50" s="454"/>
      <c r="C50" s="1957"/>
      <c r="D50" s="1595"/>
      <c r="E50" s="1596"/>
      <c r="F50" s="1596"/>
      <c r="G50" s="1590"/>
      <c r="H50" s="1591"/>
      <c r="I50" s="1592"/>
      <c r="J50" s="1592"/>
      <c r="K50" s="218"/>
      <c r="L50" s="1663"/>
      <c r="N50" s="1958"/>
      <c r="O50" s="1959"/>
    </row>
    <row r="51" spans="1:15" s="455" customFormat="1" ht="13.5">
      <c r="A51" s="471"/>
      <c r="B51" s="454"/>
      <c r="C51" s="1957"/>
      <c r="D51" s="1595"/>
      <c r="E51" s="1596"/>
      <c r="F51" s="1596"/>
      <c r="G51" s="1590"/>
      <c r="H51" s="1591"/>
      <c r="I51" s="1592"/>
      <c r="J51" s="1592"/>
      <c r="K51" s="218"/>
      <c r="L51" s="1663"/>
      <c r="N51" s="1958"/>
      <c r="O51" s="1959"/>
    </row>
    <row r="52" spans="1:15" s="455" customFormat="1" ht="13.5">
      <c r="A52" s="471"/>
      <c r="B52" s="454"/>
      <c r="C52" s="1957"/>
      <c r="D52" s="1595"/>
      <c r="E52" s="1596"/>
      <c r="F52" s="1596"/>
      <c r="G52" s="1590"/>
      <c r="H52" s="1591"/>
      <c r="I52" s="1592"/>
      <c r="J52" s="1592"/>
      <c r="K52" s="218"/>
      <c r="L52" s="1663"/>
      <c r="N52" s="1958"/>
      <c r="O52" s="1959"/>
    </row>
    <row r="53" spans="1:15" s="455" customFormat="1" ht="13.5">
      <c r="A53" s="471"/>
      <c r="B53" s="454"/>
      <c r="C53" s="1957"/>
      <c r="D53" s="1595"/>
      <c r="E53" s="1596"/>
      <c r="F53" s="1596"/>
      <c r="G53" s="1590"/>
      <c r="H53" s="1591"/>
      <c r="I53" s="1592"/>
      <c r="J53" s="1592"/>
      <c r="K53" s="218"/>
      <c r="L53" s="1663"/>
      <c r="N53" s="1958"/>
      <c r="O53" s="1959"/>
    </row>
    <row r="54" spans="1:15" s="455" customFormat="1" ht="13.5">
      <c r="A54" s="471"/>
      <c r="B54" s="454"/>
      <c r="C54" s="1957"/>
      <c r="D54" s="1595"/>
      <c r="E54" s="1596"/>
      <c r="F54" s="1596"/>
      <c r="G54" s="1590"/>
      <c r="H54" s="1591"/>
      <c r="I54" s="1592"/>
      <c r="J54" s="1592"/>
      <c r="K54" s="218"/>
      <c r="L54" s="1663"/>
      <c r="N54" s="1958"/>
      <c r="O54" s="1959"/>
    </row>
    <row r="55" spans="1:15" s="455" customFormat="1" ht="13.5">
      <c r="A55" s="471"/>
      <c r="B55" s="454"/>
      <c r="C55" s="1957"/>
      <c r="D55" s="1595"/>
      <c r="E55" s="1596"/>
      <c r="F55" s="1596"/>
      <c r="G55" s="1590"/>
      <c r="H55" s="1591"/>
      <c r="I55" s="1592"/>
      <c r="J55" s="1592"/>
      <c r="K55" s="218"/>
      <c r="L55" s="1663"/>
      <c r="N55" s="1958"/>
      <c r="O55" s="1959"/>
    </row>
    <row r="56" spans="1:15" s="455" customFormat="1" ht="13.5">
      <c r="A56" s="471"/>
      <c r="B56" s="454"/>
      <c r="C56" s="1957"/>
      <c r="D56" s="1595"/>
      <c r="E56" s="1596"/>
      <c r="F56" s="1596"/>
      <c r="G56" s="1590"/>
      <c r="H56" s="1591"/>
      <c r="I56" s="1592"/>
      <c r="J56" s="1592"/>
      <c r="K56" s="218"/>
      <c r="L56" s="1663"/>
      <c r="N56" s="1958"/>
      <c r="O56" s="1959"/>
    </row>
    <row r="57" spans="1:15" s="455" customFormat="1" ht="13.5">
      <c r="A57" s="471"/>
      <c r="B57" s="454"/>
      <c r="C57" s="1525"/>
      <c r="D57" s="309"/>
      <c r="E57" s="309"/>
      <c r="F57" s="309"/>
      <c r="G57" s="497"/>
      <c r="H57" s="985"/>
      <c r="I57" s="985"/>
      <c r="J57" s="985"/>
      <c r="K57" s="499"/>
      <c r="L57" s="1016"/>
      <c r="M57" s="499"/>
      <c r="N57" s="1468"/>
    </row>
    <row r="58" spans="1:15" s="455" customFormat="1" ht="13.5">
      <c r="A58" s="471"/>
      <c r="B58" s="454"/>
      <c r="C58" s="392"/>
      <c r="D58" s="309"/>
      <c r="E58" s="309"/>
      <c r="F58" s="309"/>
      <c r="G58" s="497"/>
      <c r="H58" s="1056"/>
      <c r="I58" s="985"/>
      <c r="J58" s="985"/>
      <c r="K58" s="499"/>
      <c r="L58" s="1016"/>
      <c r="M58" s="499"/>
      <c r="N58" s="1465"/>
    </row>
    <row r="59" spans="1:15" s="455" customFormat="1" ht="13.5">
      <c r="A59" s="471"/>
      <c r="B59" s="454"/>
      <c r="C59" s="392"/>
      <c r="D59" s="309"/>
      <c r="E59" s="309"/>
      <c r="F59" s="309"/>
      <c r="G59" s="497"/>
      <c r="H59" s="985"/>
      <c r="I59" s="985"/>
      <c r="J59" s="985"/>
      <c r="K59" s="499"/>
      <c r="L59" s="1016"/>
      <c r="M59" s="499"/>
    </row>
    <row r="60" spans="1:15" s="455" customFormat="1" ht="13.5">
      <c r="A60" s="471"/>
      <c r="B60" s="454"/>
      <c r="C60" s="987"/>
      <c r="D60" s="314"/>
      <c r="E60" s="662"/>
      <c r="F60" s="309"/>
      <c r="G60" s="497"/>
      <c r="H60" s="985"/>
      <c r="I60" s="985"/>
      <c r="J60" s="985"/>
      <c r="K60" s="499"/>
      <c r="L60" s="1016"/>
      <c r="M60" s="499"/>
      <c r="N60" s="454"/>
    </row>
    <row r="61" spans="1:15" s="455" customFormat="1" ht="13.5">
      <c r="A61" s="471"/>
      <c r="B61" s="454"/>
      <c r="C61" s="987"/>
      <c r="D61" s="314"/>
      <c r="E61" s="662"/>
      <c r="F61" s="309"/>
      <c r="G61" s="497"/>
      <c r="H61" s="985"/>
      <c r="I61" s="985"/>
      <c r="J61" s="985"/>
      <c r="K61" s="499"/>
      <c r="L61" s="1016"/>
      <c r="M61" s="499"/>
      <c r="N61" s="458"/>
    </row>
    <row r="62" spans="1:15" s="455" customFormat="1" ht="13.5">
      <c r="A62" s="471"/>
      <c r="B62" s="454"/>
      <c r="C62" s="987"/>
      <c r="D62" s="314"/>
      <c r="E62" s="662"/>
      <c r="F62" s="309"/>
      <c r="G62" s="497"/>
      <c r="H62" s="985"/>
      <c r="I62" s="985"/>
      <c r="J62" s="985"/>
      <c r="K62" s="499"/>
      <c r="L62" s="1016"/>
      <c r="M62" s="499"/>
      <c r="N62" s="458"/>
    </row>
    <row r="63" spans="1:15" s="455" customFormat="1" ht="13.5">
      <c r="A63" s="471"/>
      <c r="B63" s="454"/>
      <c r="C63" s="987"/>
      <c r="D63" s="309"/>
      <c r="E63" s="662"/>
      <c r="F63" s="309"/>
      <c r="G63" s="497"/>
      <c r="H63" s="985"/>
      <c r="I63" s="985"/>
      <c r="J63" s="985"/>
      <c r="K63" s="499"/>
      <c r="L63" s="1016"/>
      <c r="M63" s="499"/>
      <c r="N63" s="458"/>
    </row>
    <row r="64" spans="1:15" s="455" customFormat="1" ht="13.5">
      <c r="A64" s="471"/>
      <c r="B64" s="454"/>
      <c r="C64" s="314"/>
      <c r="D64" s="314"/>
      <c r="E64" s="309"/>
      <c r="F64" s="309"/>
      <c r="G64" s="497"/>
      <c r="H64" s="985"/>
      <c r="I64" s="985"/>
      <c r="J64" s="985"/>
      <c r="K64" s="309"/>
      <c r="L64" s="1069"/>
      <c r="M64" s="499"/>
      <c r="N64" s="458"/>
    </row>
    <row r="65" spans="1:15" s="455" customFormat="1" ht="13.5">
      <c r="A65" s="471"/>
      <c r="B65" s="454"/>
      <c r="C65" s="314"/>
      <c r="D65" s="314"/>
      <c r="E65" s="309"/>
      <c r="F65" s="309"/>
      <c r="G65" s="497"/>
      <c r="H65" s="985"/>
      <c r="I65" s="985"/>
      <c r="J65" s="985"/>
      <c r="K65" s="309"/>
      <c r="L65" s="1069"/>
      <c r="M65" s="499"/>
      <c r="N65" s="460"/>
    </row>
    <row r="66" spans="1:15" s="455" customFormat="1" ht="13.5">
      <c r="A66" s="471"/>
      <c r="B66" s="454"/>
      <c r="C66" s="314"/>
      <c r="D66" s="314"/>
      <c r="E66" s="560"/>
      <c r="F66" s="309"/>
      <c r="G66" s="497"/>
      <c r="H66" s="985"/>
      <c r="I66" s="985"/>
      <c r="J66" s="985"/>
      <c r="K66" s="309"/>
      <c r="L66" s="1630">
        <f>SUM(L6:L63)</f>
        <v>864000</v>
      </c>
      <c r="M66" s="499"/>
      <c r="N66" s="454"/>
    </row>
    <row r="67" spans="1:15" s="455" customFormat="1" ht="13.5">
      <c r="A67" s="471"/>
      <c r="B67" s="454"/>
      <c r="C67" s="987"/>
      <c r="D67" s="314"/>
      <c r="E67" s="662"/>
      <c r="F67" s="309"/>
      <c r="G67" s="497"/>
      <c r="H67" s="985"/>
      <c r="I67" s="985"/>
      <c r="J67" s="985"/>
      <c r="K67" s="499"/>
      <c r="L67" s="1016"/>
      <c r="M67" s="499"/>
      <c r="N67" s="458"/>
    </row>
    <row r="68" spans="1:15" s="455" customFormat="1" ht="13.5">
      <c r="A68" s="471"/>
      <c r="B68" s="454"/>
      <c r="C68" s="392"/>
      <c r="D68" s="309"/>
      <c r="E68" s="309"/>
      <c r="F68" s="662"/>
      <c r="G68" s="309"/>
      <c r="H68" s="497"/>
      <c r="I68" s="985"/>
      <c r="J68" s="985"/>
      <c r="K68" s="1066"/>
      <c r="L68" s="1664"/>
      <c r="M68" s="1025"/>
      <c r="N68" s="1068"/>
      <c r="O68" s="458"/>
    </row>
    <row r="69" spans="1:15" s="455" customFormat="1" ht="13.5">
      <c r="A69" s="471"/>
      <c r="B69" s="454"/>
      <c r="C69" s="471"/>
      <c r="D69" s="456"/>
      <c r="E69" s="459"/>
      <c r="F69" s="466"/>
      <c r="G69" s="471"/>
      <c r="H69" s="477"/>
      <c r="I69" s="526"/>
      <c r="J69" s="526"/>
      <c r="K69" s="526"/>
      <c r="L69" s="473"/>
      <c r="M69" s="529"/>
      <c r="N69" s="471"/>
      <c r="O69" s="458"/>
    </row>
    <row r="70" spans="1:15" s="455" customFormat="1" ht="13.5">
      <c r="A70" s="471"/>
      <c r="B70" s="454"/>
      <c r="C70" s="471"/>
      <c r="D70" s="456"/>
      <c r="E70" s="459"/>
      <c r="F70" s="466"/>
      <c r="G70" s="471"/>
      <c r="H70" s="477"/>
      <c r="I70" s="526"/>
      <c r="J70" s="526"/>
      <c r="K70" s="526"/>
      <c r="L70" s="473"/>
      <c r="M70" s="529"/>
      <c r="N70" s="471"/>
      <c r="O70" s="458"/>
    </row>
    <row r="71" spans="1:15" s="455" customFormat="1" ht="13.5">
      <c r="A71" s="471"/>
      <c r="B71" s="454"/>
      <c r="C71" s="314"/>
      <c r="D71" s="309"/>
      <c r="E71" s="309"/>
      <c r="F71" s="309"/>
      <c r="G71" s="309"/>
      <c r="H71" s="309"/>
      <c r="I71" s="309"/>
      <c r="J71" s="309"/>
      <c r="K71" s="309"/>
      <c r="L71" s="1069"/>
      <c r="M71" s="309"/>
      <c r="N71" s="309"/>
    </row>
    <row r="72" spans="1:15" s="455" customFormat="1" ht="13.5">
      <c r="A72" s="471"/>
      <c r="B72" s="454"/>
      <c r="C72" s="314"/>
      <c r="D72" s="314"/>
      <c r="E72" s="309"/>
      <c r="F72" s="309"/>
      <c r="G72" s="497"/>
      <c r="H72" s="1056"/>
      <c r="I72" s="309"/>
      <c r="J72" s="309"/>
      <c r="K72" s="499"/>
      <c r="L72" s="1069"/>
      <c r="M72" s="309"/>
      <c r="N72" s="454"/>
    </row>
    <row r="73" spans="1:15" s="455" customFormat="1" ht="13.5">
      <c r="A73" s="471"/>
      <c r="B73" s="454"/>
      <c r="C73" s="314"/>
      <c r="D73" s="314"/>
      <c r="E73" s="309"/>
      <c r="F73" s="309"/>
      <c r="G73" s="497"/>
      <c r="H73" s="1056"/>
      <c r="I73" s="309"/>
      <c r="J73" s="309"/>
      <c r="K73" s="499"/>
      <c r="L73" s="1069"/>
      <c r="M73" s="499"/>
      <c r="N73" s="458"/>
    </row>
    <row r="74" spans="1:15" s="455" customFormat="1" ht="13.5">
      <c r="A74" s="471"/>
      <c r="B74" s="454"/>
      <c r="C74" s="314"/>
      <c r="D74" s="314"/>
      <c r="E74" s="309"/>
      <c r="F74" s="309"/>
      <c r="G74" s="497"/>
      <c r="H74" s="1056"/>
      <c r="I74" s="309"/>
      <c r="J74" s="309"/>
      <c r="K74" s="499"/>
      <c r="L74" s="1069"/>
      <c r="M74" s="499"/>
      <c r="N74" s="458"/>
    </row>
    <row r="75" spans="1:15" s="455" customFormat="1" ht="13.5">
      <c r="A75" s="471"/>
      <c r="B75" s="454"/>
      <c r="C75" s="314"/>
      <c r="D75" s="314"/>
      <c r="E75" s="662"/>
      <c r="F75" s="309"/>
      <c r="G75" s="497"/>
      <c r="H75" s="1056"/>
      <c r="I75" s="985"/>
      <c r="J75" s="985"/>
      <c r="K75" s="499"/>
      <c r="L75" s="1016"/>
      <c r="M75" s="499"/>
      <c r="N75" s="458"/>
    </row>
    <row r="76" spans="1:15" s="455" customFormat="1" ht="13.5">
      <c r="A76" s="471"/>
      <c r="B76" s="454"/>
      <c r="C76" s="314"/>
      <c r="D76" s="314"/>
      <c r="E76" s="662"/>
      <c r="F76" s="309"/>
      <c r="G76" s="497"/>
      <c r="H76" s="1056"/>
      <c r="I76" s="985"/>
      <c r="J76" s="985"/>
      <c r="K76" s="499"/>
      <c r="L76" s="1016"/>
      <c r="M76" s="499"/>
      <c r="N76" s="458"/>
    </row>
    <row r="77" spans="1:15" s="455" customFormat="1" ht="13.5">
      <c r="A77" s="471"/>
      <c r="B77" s="454"/>
      <c r="C77" s="314"/>
      <c r="D77" s="314"/>
      <c r="E77" s="662"/>
      <c r="F77" s="309"/>
      <c r="G77" s="497"/>
      <c r="H77" s="1056"/>
      <c r="I77" s="985"/>
      <c r="J77" s="985"/>
      <c r="K77" s="499"/>
      <c r="L77" s="1071"/>
      <c r="M77" s="499"/>
    </row>
    <row r="78" spans="1:15" s="455" customFormat="1" ht="13.5">
      <c r="A78" s="471"/>
      <c r="B78" s="454"/>
      <c r="C78" s="314"/>
      <c r="D78" s="314"/>
      <c r="E78" s="662"/>
      <c r="F78" s="309"/>
      <c r="G78" s="497"/>
      <c r="H78" s="1056"/>
      <c r="I78" s="985"/>
      <c r="J78" s="985"/>
      <c r="K78" s="499"/>
      <c r="L78" s="1071"/>
      <c r="M78" s="499"/>
    </row>
    <row r="79" spans="1:15" s="455" customFormat="1" ht="13.5">
      <c r="A79" s="471"/>
      <c r="B79" s="454"/>
      <c r="C79" s="314"/>
      <c r="D79" s="314"/>
      <c r="E79" s="662"/>
      <c r="F79" s="309"/>
      <c r="G79" s="497"/>
      <c r="H79" s="1056"/>
      <c r="I79" s="985"/>
      <c r="J79" s="985"/>
      <c r="K79" s="499"/>
      <c r="L79" s="1016"/>
      <c r="M79" s="499"/>
    </row>
    <row r="80" spans="1:15" s="455" customFormat="1" ht="13.5">
      <c r="A80" s="471"/>
      <c r="B80" s="454"/>
      <c r="C80" s="314"/>
      <c r="D80" s="314"/>
      <c r="E80" s="662"/>
      <c r="F80" s="309"/>
      <c r="G80" s="497"/>
      <c r="H80" s="1056"/>
      <c r="I80" s="985"/>
      <c r="J80" s="985"/>
      <c r="K80" s="499"/>
      <c r="L80" s="1016"/>
      <c r="M80" s="499"/>
    </row>
    <row r="81" spans="1:15" s="455" customFormat="1" ht="13.5">
      <c r="A81" s="471"/>
      <c r="B81" s="454"/>
      <c r="C81" s="314"/>
      <c r="D81" s="314"/>
      <c r="E81" s="662"/>
      <c r="F81" s="309"/>
      <c r="G81" s="497"/>
      <c r="H81" s="1056"/>
      <c r="I81" s="985"/>
      <c r="J81" s="985"/>
      <c r="K81" s="499"/>
      <c r="L81" s="1016"/>
      <c r="M81" s="499"/>
      <c r="N81" s="458"/>
    </row>
    <row r="82" spans="1:15" s="455" customFormat="1" ht="13.5">
      <c r="A82" s="471"/>
      <c r="B82" s="454"/>
      <c r="C82" s="314"/>
      <c r="D82" s="314"/>
      <c r="E82" s="662"/>
      <c r="F82" s="309"/>
      <c r="G82" s="497"/>
      <c r="H82" s="1056"/>
      <c r="I82" s="985"/>
      <c r="J82" s="985"/>
      <c r="K82" s="499"/>
      <c r="L82" s="1016"/>
      <c r="M82" s="499"/>
      <c r="N82" s="458"/>
    </row>
    <row r="83" spans="1:15" s="455" customFormat="1" ht="13.5">
      <c r="A83" s="471"/>
      <c r="B83" s="454"/>
      <c r="C83" s="314"/>
      <c r="D83" s="314"/>
      <c r="E83" s="662"/>
      <c r="F83" s="309"/>
      <c r="G83" s="497"/>
      <c r="H83" s="1056"/>
      <c r="I83" s="985"/>
      <c r="J83" s="985"/>
      <c r="K83" s="499"/>
      <c r="L83" s="1016"/>
      <c r="M83" s="499"/>
      <c r="N83" s="458"/>
    </row>
    <row r="84" spans="1:15" s="455" customFormat="1" ht="13.5">
      <c r="A84" s="471"/>
      <c r="B84" s="454"/>
      <c r="C84" s="2591"/>
      <c r="D84" s="314"/>
      <c r="E84" s="662"/>
      <c r="F84" s="309"/>
      <c r="G84" s="497"/>
      <c r="H84" s="1056"/>
      <c r="I84" s="985"/>
      <c r="J84" s="985"/>
      <c r="K84" s="499"/>
      <c r="L84" s="1016"/>
      <c r="M84" s="499"/>
    </row>
    <row r="85" spans="1:15" s="455" customFormat="1" ht="13.5">
      <c r="A85" s="471"/>
      <c r="B85" s="454"/>
      <c r="C85" s="2593"/>
      <c r="D85" s="314"/>
      <c r="E85" s="662"/>
      <c r="F85" s="309"/>
      <c r="G85" s="497"/>
      <c r="H85" s="1056"/>
      <c r="I85" s="985"/>
      <c r="J85" s="985"/>
      <c r="K85" s="499"/>
      <c r="L85" s="1016"/>
      <c r="M85" s="499"/>
      <c r="N85" s="454"/>
    </row>
    <row r="86" spans="1:15" s="455" customFormat="1" ht="13.5">
      <c r="A86" s="471"/>
      <c r="B86" s="454"/>
      <c r="C86" s="2591"/>
      <c r="D86" s="314"/>
      <c r="E86" s="662"/>
      <c r="F86" s="309"/>
      <c r="G86" s="497"/>
      <c r="H86" s="1056"/>
      <c r="I86" s="985"/>
      <c r="J86" s="985"/>
      <c r="K86" s="499"/>
      <c r="L86" s="1016"/>
      <c r="M86" s="499"/>
      <c r="N86" s="458"/>
    </row>
    <row r="87" spans="1:15" s="455" customFormat="1" ht="13.5">
      <c r="A87" s="471"/>
      <c r="B87" s="454"/>
      <c r="C87" s="2592"/>
      <c r="D87" s="314"/>
      <c r="E87" s="662"/>
      <c r="F87" s="309"/>
      <c r="G87" s="497"/>
      <c r="H87" s="1056"/>
      <c r="I87" s="985"/>
      <c r="J87" s="985"/>
      <c r="K87" s="499"/>
      <c r="L87" s="1016"/>
      <c r="M87" s="499"/>
      <c r="N87" s="458"/>
    </row>
    <row r="88" spans="1:15" s="455" customFormat="1" ht="13.5">
      <c r="A88" s="471"/>
      <c r="B88" s="454"/>
      <c r="C88" s="2593"/>
      <c r="D88" s="314"/>
      <c r="E88" s="662"/>
      <c r="F88" s="309"/>
      <c r="G88" s="497"/>
      <c r="H88" s="1056"/>
      <c r="I88" s="985"/>
      <c r="J88" s="985"/>
      <c r="K88" s="499"/>
      <c r="L88" s="1016"/>
      <c r="M88" s="499"/>
      <c r="N88" s="458"/>
    </row>
    <row r="89" spans="1:15" s="455" customFormat="1" ht="13.5">
      <c r="A89" s="471"/>
      <c r="B89" s="454"/>
      <c r="C89" s="314"/>
      <c r="D89" s="314"/>
      <c r="E89" s="662"/>
      <c r="F89" s="309"/>
      <c r="G89" s="497"/>
      <c r="H89" s="985"/>
      <c r="I89" s="985"/>
      <c r="J89" s="985"/>
      <c r="K89" s="499"/>
      <c r="L89" s="1016"/>
      <c r="M89" s="499"/>
      <c r="N89" s="458"/>
    </row>
    <row r="90" spans="1:15" s="455" customFormat="1" ht="13.5">
      <c r="A90" s="471"/>
      <c r="B90" s="454"/>
      <c r="C90" s="314"/>
      <c r="D90" s="314"/>
      <c r="E90" s="662"/>
      <c r="F90" s="309"/>
      <c r="G90" s="497"/>
      <c r="H90" s="985"/>
      <c r="I90" s="985"/>
      <c r="J90" s="985"/>
      <c r="K90" s="499"/>
      <c r="L90" s="1016"/>
      <c r="M90" s="499"/>
      <c r="N90" s="460"/>
    </row>
    <row r="91" spans="1:15" s="455" customFormat="1" ht="13.5">
      <c r="C91" s="314"/>
      <c r="D91" s="314"/>
      <c r="E91" s="662"/>
      <c r="F91" s="662"/>
      <c r="G91" s="309"/>
      <c r="H91" s="497"/>
      <c r="I91" s="1056"/>
      <c r="J91" s="985"/>
      <c r="K91" s="985"/>
      <c r="L91" s="1016"/>
      <c r="M91" s="1025"/>
      <c r="N91" s="499"/>
    </row>
    <row r="92" spans="1:15" s="455" customFormat="1" ht="13.5">
      <c r="C92" s="902"/>
      <c r="D92" s="309"/>
      <c r="E92" s="662"/>
      <c r="F92" s="662"/>
      <c r="G92" s="309"/>
      <c r="H92" s="497"/>
      <c r="I92" s="653"/>
      <c r="J92" s="985"/>
      <c r="K92" s="1469"/>
      <c r="L92" s="1016"/>
      <c r="M92" s="1025"/>
      <c r="N92" s="499"/>
    </row>
    <row r="93" spans="1:15" s="455" customFormat="1" ht="13.5">
      <c r="A93" s="566"/>
      <c r="B93" s="467"/>
      <c r="C93" s="499"/>
      <c r="D93" s="309"/>
      <c r="E93" s="391"/>
      <c r="F93" s="499"/>
      <c r="G93" s="497"/>
      <c r="H93" s="498"/>
      <c r="I93" s="498"/>
      <c r="J93" s="498"/>
      <c r="K93" s="499"/>
      <c r="L93" s="1665"/>
      <c r="M93" s="309"/>
      <c r="N93" s="499"/>
    </row>
    <row r="94" spans="1:15" s="455" customFormat="1" ht="13.5">
      <c r="A94" s="566"/>
      <c r="B94" s="467"/>
      <c r="C94" s="497"/>
      <c r="D94" s="691"/>
      <c r="E94" s="675"/>
      <c r="F94" s="675"/>
      <c r="G94" s="654"/>
      <c r="H94" s="502"/>
      <c r="I94" s="652"/>
      <c r="J94" s="497"/>
      <c r="K94" s="653"/>
      <c r="L94" s="40"/>
      <c r="M94" s="538"/>
      <c r="N94" s="392"/>
      <c r="O94" s="502"/>
    </row>
    <row r="95" spans="1:15" s="455" customFormat="1" ht="13.5">
      <c r="A95" s="566"/>
      <c r="B95" s="467"/>
      <c r="C95" s="497"/>
      <c r="D95" s="691"/>
      <c r="E95" s="675"/>
      <c r="F95" s="675"/>
      <c r="G95" s="654"/>
      <c r="H95" s="502"/>
      <c r="I95" s="652"/>
      <c r="J95" s="497"/>
      <c r="K95" s="653"/>
      <c r="L95" s="40"/>
      <c r="M95" s="538"/>
      <c r="N95" s="392"/>
      <c r="O95" s="502"/>
    </row>
    <row r="96" spans="1:15" s="455" customFormat="1" ht="13.5">
      <c r="A96" s="566"/>
      <c r="B96" s="467"/>
      <c r="C96" s="497"/>
      <c r="D96" s="691"/>
      <c r="E96" s="675"/>
      <c r="F96" s="675"/>
      <c r="G96" s="654"/>
      <c r="H96" s="502"/>
      <c r="I96" s="652"/>
      <c r="J96" s="497"/>
      <c r="K96" s="653"/>
      <c r="L96" s="40"/>
      <c r="M96" s="538"/>
      <c r="N96" s="392"/>
      <c r="O96" s="502"/>
    </row>
    <row r="97" spans="1:15" s="455" customFormat="1" ht="13.5">
      <c r="A97" s="566"/>
      <c r="B97" s="467"/>
      <c r="C97" s="497"/>
      <c r="D97" s="691"/>
      <c r="E97" s="675"/>
      <c r="F97" s="675"/>
      <c r="G97" s="654"/>
      <c r="H97" s="502"/>
      <c r="I97" s="652"/>
      <c r="J97" s="497"/>
      <c r="K97" s="653"/>
      <c r="L97" s="40"/>
      <c r="M97" s="538"/>
      <c r="N97" s="392"/>
      <c r="O97" s="502"/>
    </row>
    <row r="98" spans="1:15" s="455" customFormat="1" ht="13.5">
      <c r="C98" s="1384"/>
      <c r="D98" s="314"/>
      <c r="E98" s="662"/>
      <c r="F98" s="662"/>
      <c r="G98" s="309"/>
      <c r="H98" s="497"/>
      <c r="I98" s="653"/>
      <c r="J98" s="985"/>
      <c r="K98" s="1469"/>
      <c r="L98" s="1016"/>
      <c r="M98" s="1025"/>
      <c r="N98" s="499"/>
    </row>
    <row r="99" spans="1:15" s="455" customFormat="1" ht="13.5">
      <c r="C99" s="1384"/>
      <c r="D99" s="314"/>
      <c r="E99" s="662"/>
      <c r="F99" s="662"/>
      <c r="G99" s="309"/>
      <c r="H99" s="497"/>
      <c r="I99" s="653"/>
      <c r="J99" s="985"/>
      <c r="K99" s="1469"/>
      <c r="L99" s="1016"/>
      <c r="M99" s="1025"/>
      <c r="N99" s="499"/>
    </row>
    <row r="100" spans="1:15" s="455" customFormat="1" ht="13.5">
      <c r="A100" s="566"/>
      <c r="B100" s="467"/>
      <c r="C100" s="499"/>
      <c r="D100" s="309"/>
      <c r="E100" s="391"/>
      <c r="F100" s="499"/>
      <c r="G100" s="497"/>
      <c r="H100" s="498"/>
      <c r="I100" s="498"/>
      <c r="J100" s="498"/>
      <c r="K100" s="499"/>
      <c r="L100" s="1665"/>
      <c r="M100" s="309"/>
      <c r="N100" s="499"/>
    </row>
    <row r="101" spans="1:15" s="455" customFormat="1" ht="13.5">
      <c r="A101" s="566"/>
      <c r="B101" s="467"/>
      <c r="C101" s="497"/>
      <c r="D101" s="691"/>
      <c r="E101" s="675"/>
      <c r="F101" s="675"/>
      <c r="G101" s="654"/>
      <c r="H101" s="502"/>
      <c r="I101" s="652"/>
      <c r="J101" s="497"/>
      <c r="K101" s="653"/>
      <c r="L101" s="40"/>
      <c r="M101" s="538"/>
      <c r="N101" s="392"/>
      <c r="O101" s="502"/>
    </row>
    <row r="102" spans="1:15" s="455" customFormat="1" ht="13.5">
      <c r="A102" s="566"/>
      <c r="B102" s="467"/>
      <c r="C102" s="497"/>
      <c r="D102" s="691"/>
      <c r="E102" s="675"/>
      <c r="F102" s="675"/>
      <c r="G102" s="654"/>
      <c r="H102" s="502"/>
      <c r="I102" s="652"/>
      <c r="J102" s="497"/>
      <c r="K102" s="653"/>
      <c r="L102" s="40"/>
      <c r="M102" s="538"/>
      <c r="N102" s="392"/>
      <c r="O102" s="502"/>
    </row>
    <row r="103" spans="1:15" s="455" customFormat="1" ht="13.5">
      <c r="A103" s="566"/>
      <c r="B103" s="467"/>
      <c r="C103" s="497"/>
      <c r="D103" s="691"/>
      <c r="E103" s="675"/>
      <c r="F103" s="675"/>
      <c r="G103" s="654"/>
      <c r="H103" s="502"/>
      <c r="I103" s="652"/>
      <c r="J103" s="497"/>
      <c r="K103" s="653"/>
      <c r="L103" s="40"/>
      <c r="M103" s="538"/>
      <c r="N103" s="392"/>
      <c r="O103" s="502"/>
    </row>
    <row r="104" spans="1:15" s="455" customFormat="1" ht="13.5">
      <c r="A104" s="566"/>
      <c r="B104" s="467"/>
      <c r="C104" s="497"/>
      <c r="D104" s="691"/>
      <c r="E104" s="675"/>
      <c r="F104" s="675"/>
      <c r="G104" s="654"/>
      <c r="H104" s="502"/>
      <c r="I104" s="652"/>
      <c r="J104" s="497"/>
      <c r="K104" s="653"/>
      <c r="L104" s="40"/>
      <c r="M104" s="538"/>
      <c r="N104" s="392"/>
      <c r="O104" s="502"/>
    </row>
    <row r="105" spans="1:15" s="455" customFormat="1" ht="13.5">
      <c r="C105" s="1385"/>
      <c r="D105" s="314"/>
      <c r="E105" s="991"/>
      <c r="F105" s="662"/>
      <c r="G105" s="309"/>
      <c r="H105" s="497"/>
      <c r="I105" s="774"/>
      <c r="J105" s="774"/>
      <c r="K105" s="774"/>
      <c r="L105" s="1016"/>
      <c r="M105" s="1028"/>
      <c r="N105" s="499"/>
    </row>
    <row r="106" spans="1:15" s="455" customFormat="1" ht="13.5">
      <c r="C106" s="314"/>
      <c r="D106" s="314"/>
      <c r="E106" s="991"/>
      <c r="F106" s="662"/>
      <c r="G106" s="309"/>
      <c r="H106" s="497"/>
      <c r="I106" s="774"/>
      <c r="J106" s="774"/>
      <c r="K106" s="1471"/>
      <c r="L106" s="1016"/>
      <c r="M106" s="1028"/>
      <c r="N106" s="499"/>
    </row>
    <row r="107" spans="1:15" s="455" customFormat="1" ht="13.5">
      <c r="C107" s="1027"/>
      <c r="D107" s="314"/>
      <c r="E107" s="991"/>
      <c r="F107" s="662"/>
      <c r="G107" s="309"/>
      <c r="H107" s="497"/>
      <c r="I107" s="1056"/>
      <c r="J107" s="985"/>
      <c r="K107" s="985"/>
      <c r="L107" s="1016"/>
      <c r="M107" s="1028"/>
      <c r="N107" s="499"/>
    </row>
    <row r="108" spans="1:15" s="455" customFormat="1" ht="13.5">
      <c r="C108" s="499"/>
      <c r="D108" s="309"/>
      <c r="E108" s="391"/>
      <c r="F108" s="499"/>
      <c r="G108" s="497"/>
      <c r="H108" s="498"/>
      <c r="I108" s="498"/>
      <c r="J108" s="498"/>
      <c r="K108" s="499"/>
      <c r="L108" s="700"/>
      <c r="M108" s="309"/>
      <c r="N108" s="499"/>
    </row>
    <row r="109" spans="1:15" s="455" customFormat="1" ht="13.5">
      <c r="C109" s="497"/>
      <c r="D109" s="691"/>
      <c r="E109" s="675"/>
      <c r="F109" s="675"/>
      <c r="G109" s="654"/>
      <c r="H109" s="502"/>
      <c r="I109" s="652"/>
      <c r="J109" s="497"/>
      <c r="K109" s="653"/>
      <c r="L109" s="40"/>
      <c r="M109" s="538"/>
      <c r="N109" s="392"/>
      <c r="O109" s="502"/>
    </row>
    <row r="110" spans="1:15" s="455" customFormat="1" ht="13.5">
      <c r="C110" s="497"/>
      <c r="D110" s="691"/>
      <c r="E110" s="675"/>
      <c r="F110" s="675"/>
      <c r="G110" s="654"/>
      <c r="H110" s="502"/>
      <c r="I110" s="652"/>
      <c r="J110" s="497"/>
      <c r="K110" s="653"/>
      <c r="L110" s="40"/>
      <c r="M110" s="538"/>
      <c r="N110" s="392"/>
      <c r="O110" s="502"/>
    </row>
    <row r="111" spans="1:15" s="455" customFormat="1" ht="13.5">
      <c r="C111" s="497"/>
      <c r="D111" s="691"/>
      <c r="E111" s="675"/>
      <c r="F111" s="675"/>
      <c r="G111" s="654"/>
      <c r="H111" s="502"/>
      <c r="I111" s="652"/>
      <c r="J111" s="497"/>
      <c r="K111" s="653"/>
      <c r="L111" s="40"/>
      <c r="M111" s="538"/>
      <c r="N111" s="392"/>
      <c r="O111" s="502"/>
    </row>
    <row r="112" spans="1:15" s="455" customFormat="1" ht="13.5">
      <c r="C112" s="497"/>
      <c r="D112" s="691"/>
      <c r="E112" s="675"/>
      <c r="F112" s="675"/>
      <c r="G112" s="654"/>
      <c r="H112" s="502"/>
      <c r="I112" s="652"/>
      <c r="J112" s="497"/>
      <c r="K112" s="653"/>
      <c r="L112" s="40"/>
      <c r="M112" s="538"/>
      <c r="N112" s="392"/>
      <c r="O112" s="502"/>
    </row>
    <row r="113" spans="3:15" s="455" customFormat="1" ht="13.5">
      <c r="C113" s="497"/>
      <c r="D113" s="691"/>
      <c r="E113" s="675"/>
      <c r="F113" s="675"/>
      <c r="G113" s="654"/>
      <c r="H113" s="502"/>
      <c r="I113" s="652"/>
      <c r="J113" s="497"/>
      <c r="K113" s="653"/>
      <c r="L113" s="40"/>
      <c r="M113" s="538"/>
      <c r="N113" s="392"/>
      <c r="O113" s="502"/>
    </row>
    <row r="114" spans="3:15" s="455" customFormat="1" ht="13.5">
      <c r="C114" s="497"/>
      <c r="D114" s="691"/>
      <c r="E114" s="675"/>
      <c r="F114" s="675"/>
      <c r="G114" s="654"/>
      <c r="H114" s="502"/>
      <c r="I114" s="652"/>
      <c r="J114" s="497"/>
      <c r="K114" s="653"/>
      <c r="L114" s="40"/>
      <c r="M114" s="538"/>
      <c r="N114" s="392"/>
      <c r="O114" s="502"/>
    </row>
    <row r="115" spans="3:15" s="455" customFormat="1" ht="13.5">
      <c r="C115" s="497"/>
      <c r="D115" s="691"/>
      <c r="E115" s="675"/>
      <c r="F115" s="1473"/>
      <c r="G115" s="654"/>
      <c r="H115" s="502"/>
      <c r="I115" s="652"/>
      <c r="J115" s="497"/>
      <c r="K115" s="653"/>
      <c r="L115" s="40"/>
      <c r="M115" s="538"/>
      <c r="N115" s="392"/>
      <c r="O115" s="502"/>
    </row>
    <row r="116" spans="3:15" s="355" customFormat="1" ht="13.5">
      <c r="C116" s="400"/>
      <c r="D116" s="400"/>
      <c r="E116" s="401"/>
      <c r="F116" s="402"/>
      <c r="G116" s="402"/>
      <c r="H116" s="403"/>
      <c r="I116" s="403"/>
      <c r="J116" s="403"/>
      <c r="K116" s="402"/>
      <c r="L116" s="404"/>
      <c r="M116" s="402"/>
      <c r="N116" s="405"/>
    </row>
    <row r="117" spans="3:15" s="355" customFormat="1" ht="13.5">
      <c r="C117" s="400"/>
      <c r="D117" s="400"/>
      <c r="E117" s="401"/>
      <c r="F117" s="402"/>
      <c r="G117" s="402"/>
      <c r="H117" s="403"/>
      <c r="I117" s="403"/>
      <c r="J117" s="403"/>
      <c r="K117" s="402"/>
      <c r="L117" s="404"/>
      <c r="M117" s="402"/>
      <c r="N117" s="405"/>
    </row>
    <row r="118" spans="3:15" s="355" customFormat="1" ht="13.5">
      <c r="C118" s="400"/>
      <c r="D118" s="400"/>
      <c r="E118" s="401"/>
      <c r="F118" s="402"/>
      <c r="G118" s="402"/>
      <c r="H118" s="403"/>
      <c r="I118" s="403"/>
      <c r="J118" s="403"/>
      <c r="K118" s="402"/>
      <c r="L118" s="404"/>
      <c r="M118" s="402"/>
      <c r="N118" s="405"/>
    </row>
    <row r="119" spans="3:15" s="355" customFormat="1" ht="13.5">
      <c r="C119" s="400"/>
      <c r="D119" s="400"/>
      <c r="E119" s="401"/>
      <c r="F119" s="402"/>
      <c r="G119" s="402"/>
      <c r="H119" s="403"/>
      <c r="I119" s="403"/>
      <c r="J119" s="403"/>
      <c r="K119" s="402"/>
      <c r="L119" s="404"/>
      <c r="M119" s="402"/>
      <c r="N119" s="405"/>
    </row>
    <row r="120" spans="3:15" s="355" customFormat="1" ht="13.5">
      <c r="C120" s="400"/>
      <c r="D120" s="400"/>
      <c r="E120" s="401"/>
      <c r="F120" s="402"/>
      <c r="G120" s="402"/>
      <c r="H120" s="403"/>
      <c r="I120" s="403"/>
      <c r="J120" s="403"/>
      <c r="K120" s="402"/>
      <c r="L120" s="404"/>
      <c r="M120" s="402"/>
      <c r="N120" s="405"/>
    </row>
    <row r="121" spans="3:15" s="355" customFormat="1" ht="13.5">
      <c r="C121" s="400"/>
      <c r="D121" s="400"/>
      <c r="E121" s="401"/>
      <c r="F121" s="402"/>
      <c r="G121" s="402"/>
      <c r="H121" s="403"/>
      <c r="I121" s="403"/>
      <c r="J121" s="403"/>
      <c r="K121" s="402"/>
      <c r="L121" s="404"/>
      <c r="M121" s="402"/>
      <c r="N121" s="405"/>
    </row>
    <row r="122" spans="3:15" s="355" customFormat="1" ht="13.5">
      <c r="C122" s="400"/>
      <c r="D122" s="400"/>
      <c r="E122" s="401"/>
      <c r="F122" s="402"/>
      <c r="G122" s="402"/>
      <c r="H122" s="403"/>
      <c r="I122" s="403"/>
      <c r="J122" s="403"/>
      <c r="K122" s="402"/>
      <c r="L122" s="404"/>
      <c r="M122" s="402"/>
      <c r="N122" s="405"/>
    </row>
    <row r="123" spans="3:15" s="355" customFormat="1" ht="13.5">
      <c r="C123" s="400"/>
      <c r="D123" s="400"/>
      <c r="E123" s="401"/>
      <c r="F123" s="402"/>
      <c r="G123" s="402"/>
      <c r="H123" s="403"/>
      <c r="I123" s="403"/>
      <c r="J123" s="403"/>
      <c r="K123" s="402"/>
      <c r="L123" s="404"/>
      <c r="M123" s="402"/>
      <c r="N123" s="405"/>
    </row>
    <row r="124" spans="3:15" s="355" customFormat="1" ht="13.5">
      <c r="C124" s="400"/>
      <c r="D124" s="400"/>
      <c r="E124" s="401"/>
      <c r="F124" s="402"/>
      <c r="G124" s="402"/>
      <c r="H124" s="403"/>
      <c r="I124" s="403"/>
      <c r="J124" s="403"/>
      <c r="K124" s="402"/>
      <c r="L124" s="404"/>
      <c r="M124" s="402"/>
      <c r="N124" s="405"/>
    </row>
    <row r="125" spans="3:15" s="355" customFormat="1" ht="13.5">
      <c r="C125" s="400"/>
      <c r="D125" s="400"/>
      <c r="E125" s="401"/>
      <c r="F125" s="402"/>
      <c r="G125" s="402"/>
      <c r="H125" s="403"/>
      <c r="I125" s="403"/>
      <c r="J125" s="403"/>
      <c r="K125" s="402"/>
      <c r="L125" s="404"/>
      <c r="M125" s="402"/>
      <c r="N125" s="405"/>
    </row>
    <row r="126" spans="3:15" s="355" customFormat="1" ht="13.5">
      <c r="C126" s="400"/>
      <c r="D126" s="400"/>
      <c r="E126" s="401"/>
      <c r="F126" s="402"/>
      <c r="G126" s="402"/>
      <c r="H126" s="403"/>
      <c r="I126" s="403"/>
      <c r="J126" s="403"/>
      <c r="K126" s="402"/>
      <c r="L126" s="404"/>
      <c r="M126" s="402"/>
      <c r="N126" s="405"/>
    </row>
    <row r="127" spans="3:15" s="355" customFormat="1" ht="13.5">
      <c r="C127" s="400"/>
      <c r="D127" s="400"/>
      <c r="E127" s="401"/>
      <c r="F127" s="402"/>
      <c r="G127" s="402"/>
      <c r="H127" s="403"/>
      <c r="I127" s="403"/>
      <c r="J127" s="403"/>
      <c r="K127" s="402"/>
      <c r="L127" s="404"/>
      <c r="M127" s="402"/>
      <c r="N127" s="405"/>
    </row>
    <row r="128" spans="3:15" s="355" customFormat="1" ht="13.5">
      <c r="C128" s="400"/>
      <c r="D128" s="400"/>
      <c r="E128" s="401"/>
      <c r="F128" s="402"/>
      <c r="G128" s="402"/>
      <c r="H128" s="403"/>
      <c r="I128" s="403"/>
      <c r="J128" s="403"/>
      <c r="K128" s="402"/>
      <c r="L128" s="404"/>
      <c r="M128" s="407"/>
      <c r="N128" s="405"/>
    </row>
    <row r="129" spans="3:14" s="355" customFormat="1" ht="13.5">
      <c r="C129" s="400"/>
      <c r="D129" s="400"/>
      <c r="E129" s="401"/>
      <c r="F129" s="402"/>
      <c r="G129" s="403"/>
      <c r="H129" s="403"/>
      <c r="I129" s="403"/>
      <c r="J129" s="403"/>
      <c r="K129" s="408"/>
      <c r="L129" s="404"/>
      <c r="M129" s="407"/>
      <c r="N129" s="405"/>
    </row>
    <row r="130" spans="3:14" s="355" customFormat="1" ht="13.5">
      <c r="C130" s="352"/>
      <c r="D130" s="352"/>
      <c r="E130" s="352"/>
      <c r="F130" s="352"/>
      <c r="G130" s="352"/>
      <c r="H130" s="352"/>
      <c r="I130" s="352"/>
      <c r="J130" s="352"/>
      <c r="K130" s="352"/>
      <c r="L130" s="775">
        <f>SUM(L5:L128)</f>
        <v>1728000</v>
      </c>
      <c r="M130" s="352"/>
      <c r="N130" s="352"/>
    </row>
    <row r="131" spans="3:14" ht="14.25" customHeight="1">
      <c r="C131" s="31"/>
      <c r="D131" s="27"/>
      <c r="E131" s="20"/>
      <c r="F131" s="28"/>
      <c r="G131" s="28"/>
      <c r="H131" s="26"/>
      <c r="I131" s="26"/>
      <c r="J131" s="26"/>
      <c r="K131" s="28"/>
      <c r="L131" s="179"/>
      <c r="M131" s="28"/>
      <c r="N131" s="27"/>
    </row>
    <row r="132" spans="3:14" s="1" customFormat="1" ht="14.25" customHeight="1">
      <c r="C132" s="31"/>
      <c r="D132" s="27"/>
      <c r="E132" s="21"/>
      <c r="F132" s="28"/>
      <c r="G132" s="28"/>
      <c r="H132" s="26"/>
      <c r="I132" s="26"/>
      <c r="J132" s="26"/>
      <c r="K132" s="28"/>
      <c r="L132" s="179"/>
      <c r="M132" s="28"/>
      <c r="N132" s="27"/>
    </row>
    <row r="133" spans="3:14" s="1" customFormat="1" ht="14.25" customHeight="1">
      <c r="C133" s="30"/>
      <c r="D133" s="25"/>
      <c r="E133" s="21"/>
      <c r="F133" s="22"/>
      <c r="G133" s="22"/>
      <c r="H133" s="23"/>
      <c r="I133" s="23"/>
      <c r="J133" s="23"/>
      <c r="K133" s="22"/>
      <c r="L133" s="180"/>
      <c r="M133" s="22"/>
      <c r="N133" s="25"/>
    </row>
  </sheetData>
  <mergeCells count="7">
    <mergeCell ref="M2:M3"/>
    <mergeCell ref="N2:N3"/>
    <mergeCell ref="C86:C88"/>
    <mergeCell ref="C84:C85"/>
    <mergeCell ref="C2:G2"/>
    <mergeCell ref="H2:J2"/>
    <mergeCell ref="K2:L2"/>
  </mergeCell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DE154-09A3-48FA-9497-7EF6A79202A4}">
  <sheetPr>
    <tabColor rgb="FF00B0F0"/>
  </sheetPr>
  <dimension ref="A2:P16"/>
  <sheetViews>
    <sheetView topLeftCell="D1" zoomScale="85" zoomScaleNormal="85" workbookViewId="0">
      <pane ySplit="4" topLeftCell="A5" activePane="bottomLeft" state="frozen"/>
      <selection activeCell="P237" sqref="P237"/>
      <selection pane="bottomLeft" activeCell="N13" sqref="N13"/>
    </sheetView>
  </sheetViews>
  <sheetFormatPr defaultRowHeight="15"/>
  <cols>
    <col min="3" max="3" width="36.42578125" customWidth="1"/>
    <col min="4" max="4" width="46.28515625" customWidth="1"/>
    <col min="5" max="5" width="26" customWidth="1"/>
    <col min="6" max="6" width="16.7109375" customWidth="1"/>
    <col min="7" max="7" width="18.140625" customWidth="1"/>
    <col min="8" max="8" width="13.7109375" customWidth="1"/>
    <col min="9" max="9" width="10.28515625" bestFit="1" customWidth="1"/>
    <col min="10" max="10" width="12.5703125" customWidth="1"/>
    <col min="11" max="11" width="18.5703125" customWidth="1"/>
    <col min="12" max="12" width="15.5703125" customWidth="1"/>
    <col min="13" max="13" width="16.28515625" customWidth="1"/>
    <col min="14" max="14" width="12.85546875" customWidth="1"/>
    <col min="15" max="15" width="14.140625" customWidth="1"/>
  </cols>
  <sheetData>
    <row r="2" spans="1:16">
      <c r="C2" s="2627" t="s">
        <v>30</v>
      </c>
      <c r="D2" s="2627"/>
      <c r="E2" s="2627"/>
      <c r="F2" s="2627"/>
      <c r="G2" s="2627"/>
      <c r="H2" s="2628" t="s">
        <v>29</v>
      </c>
      <c r="I2" s="2628"/>
      <c r="J2" s="2628"/>
      <c r="K2" s="2627" t="s">
        <v>28</v>
      </c>
      <c r="L2" s="2627"/>
      <c r="M2" s="2628" t="s">
        <v>27</v>
      </c>
      <c r="N2" s="2628" t="s">
        <v>26</v>
      </c>
    </row>
    <row r="3" spans="1:16" ht="60">
      <c r="C3" s="10" t="s">
        <v>25</v>
      </c>
      <c r="D3" s="13" t="s">
        <v>24</v>
      </c>
      <c r="E3" s="12" t="s">
        <v>23</v>
      </c>
      <c r="F3" s="10" t="s">
        <v>22</v>
      </c>
      <c r="G3" s="11" t="s">
        <v>21</v>
      </c>
      <c r="H3" s="11" t="s">
        <v>20</v>
      </c>
      <c r="I3" s="11" t="s">
        <v>19</v>
      </c>
      <c r="J3" s="11" t="s">
        <v>18</v>
      </c>
      <c r="K3" s="10" t="s">
        <v>17</v>
      </c>
      <c r="L3" s="10" t="s">
        <v>16</v>
      </c>
      <c r="M3" s="2628"/>
      <c r="N3" s="2628"/>
    </row>
    <row r="4" spans="1:16">
      <c r="C4" s="9" t="s">
        <v>15</v>
      </c>
      <c r="D4" s="9" t="s">
        <v>14</v>
      </c>
      <c r="E4" s="9" t="s">
        <v>13</v>
      </c>
      <c r="F4" s="9" t="s">
        <v>12</v>
      </c>
      <c r="G4" s="9" t="s">
        <v>11</v>
      </c>
      <c r="H4" s="9" t="s">
        <v>10</v>
      </c>
      <c r="I4" s="9" t="s">
        <v>9</v>
      </c>
      <c r="J4" s="9" t="s">
        <v>8</v>
      </c>
      <c r="K4" s="9" t="s">
        <v>7</v>
      </c>
      <c r="L4" s="9" t="s">
        <v>6</v>
      </c>
      <c r="M4" s="9" t="s">
        <v>5</v>
      </c>
      <c r="N4" s="9" t="s">
        <v>4</v>
      </c>
    </row>
    <row r="5" spans="1:16" ht="16.5">
      <c r="D5" s="2880" t="s">
        <v>4601</v>
      </c>
    </row>
    <row r="6" spans="1:16" ht="114" customHeight="1">
      <c r="A6" s="1"/>
      <c r="B6" t="s">
        <v>4006</v>
      </c>
      <c r="C6" s="2879" t="s">
        <v>4600</v>
      </c>
      <c r="D6" s="2882" t="s">
        <v>4602</v>
      </c>
      <c r="E6" s="2881" t="s">
        <v>4605</v>
      </c>
      <c r="F6" s="2883" t="s">
        <v>661</v>
      </c>
      <c r="G6" s="2880" t="s">
        <v>828</v>
      </c>
      <c r="H6" s="2883" t="s">
        <v>4603</v>
      </c>
      <c r="I6" s="2883" t="s">
        <v>4414</v>
      </c>
      <c r="J6" s="2883" t="s">
        <v>4414</v>
      </c>
      <c r="K6" s="2880" t="s">
        <v>2216</v>
      </c>
      <c r="L6" s="2884">
        <v>776250</v>
      </c>
      <c r="M6" s="2885" t="s">
        <v>4604</v>
      </c>
      <c r="P6" s="2886"/>
    </row>
    <row r="7" spans="1:16" ht="16.5">
      <c r="C7" s="2887"/>
      <c r="D7" s="2888"/>
      <c r="E7" s="2889"/>
      <c r="F7" s="2890"/>
      <c r="G7" s="2891"/>
      <c r="H7" s="2891"/>
      <c r="I7" s="2891"/>
      <c r="J7" s="2892"/>
      <c r="K7" s="2893"/>
      <c r="L7" s="2894"/>
      <c r="M7" s="2895"/>
      <c r="P7" s="2896"/>
    </row>
    <row r="16" spans="1:16">
      <c r="L16" s="2427">
        <f>SUM(L5:L14)</f>
        <v>776250</v>
      </c>
    </row>
  </sheetData>
  <mergeCells count="7">
    <mergeCell ref="C6:C7"/>
    <mergeCell ref="M6:M7"/>
    <mergeCell ref="C2:G2"/>
    <mergeCell ref="H2:J2"/>
    <mergeCell ref="K2:L2"/>
    <mergeCell ref="M2:M3"/>
    <mergeCell ref="N2:N3"/>
  </mergeCell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64159-3EA8-48CC-A08D-044B32D28139}">
  <sheetPr>
    <tabColor rgb="FF00B0F0"/>
  </sheetPr>
  <dimension ref="A2:P288"/>
  <sheetViews>
    <sheetView zoomScale="85" zoomScaleNormal="85" workbookViewId="0">
      <pane ySplit="4" topLeftCell="A262" activePane="bottomLeft" state="frozen"/>
      <selection activeCell="P237" sqref="P237"/>
      <selection pane="bottomLeft" activeCell="B99" sqref="B99:B281"/>
    </sheetView>
  </sheetViews>
  <sheetFormatPr defaultRowHeight="15"/>
  <cols>
    <col min="3" max="3" width="36.42578125" customWidth="1"/>
    <col min="4" max="4" width="46.28515625" customWidth="1"/>
    <col min="5" max="5" width="26" customWidth="1"/>
    <col min="6" max="6" width="16.7109375" customWidth="1"/>
    <col min="7" max="7" width="18.140625" customWidth="1"/>
    <col min="8" max="8" width="13.7109375" customWidth="1"/>
    <col min="9" max="9" width="10.28515625" bestFit="1" customWidth="1"/>
    <col min="10" max="10" width="12.5703125" customWidth="1"/>
    <col min="11" max="11" width="18.5703125" customWidth="1"/>
    <col min="12" max="12" width="15.5703125" customWidth="1"/>
    <col min="13" max="13" width="16.28515625" customWidth="1"/>
    <col min="14" max="14" width="12.85546875" customWidth="1"/>
    <col min="15" max="15" width="14.140625" customWidth="1"/>
  </cols>
  <sheetData>
    <row r="2" spans="1:15">
      <c r="C2" s="2627" t="s">
        <v>30</v>
      </c>
      <c r="D2" s="2627"/>
      <c r="E2" s="2627"/>
      <c r="F2" s="2627"/>
      <c r="G2" s="2627"/>
      <c r="H2" s="2628" t="s">
        <v>29</v>
      </c>
      <c r="I2" s="2628"/>
      <c r="J2" s="2628"/>
      <c r="K2" s="2627" t="s">
        <v>28</v>
      </c>
      <c r="L2" s="2627"/>
      <c r="M2" s="2628" t="s">
        <v>27</v>
      </c>
      <c r="N2" s="2628" t="s">
        <v>26</v>
      </c>
    </row>
    <row r="3" spans="1:15" ht="60">
      <c r="C3" s="10" t="s">
        <v>25</v>
      </c>
      <c r="D3" s="13" t="s">
        <v>24</v>
      </c>
      <c r="E3" s="12" t="s">
        <v>23</v>
      </c>
      <c r="F3" s="10" t="s">
        <v>22</v>
      </c>
      <c r="G3" s="11" t="s">
        <v>21</v>
      </c>
      <c r="H3" s="11" t="s">
        <v>20</v>
      </c>
      <c r="I3" s="11" t="s">
        <v>19</v>
      </c>
      <c r="J3" s="11" t="s">
        <v>18</v>
      </c>
      <c r="K3" s="10" t="s">
        <v>17</v>
      </c>
      <c r="L3" s="10" t="s">
        <v>16</v>
      </c>
      <c r="M3" s="2628"/>
      <c r="N3" s="2628"/>
    </row>
    <row r="4" spans="1:15">
      <c r="C4" s="9" t="s">
        <v>15</v>
      </c>
      <c r="D4" s="9" t="s">
        <v>14</v>
      </c>
      <c r="E4" s="9" t="s">
        <v>13</v>
      </c>
      <c r="F4" s="9" t="s">
        <v>12</v>
      </c>
      <c r="G4" s="9" t="s">
        <v>11</v>
      </c>
      <c r="H4" s="9" t="s">
        <v>10</v>
      </c>
      <c r="I4" s="9" t="s">
        <v>9</v>
      </c>
      <c r="J4" s="9" t="s">
        <v>8</v>
      </c>
      <c r="K4" s="9" t="s">
        <v>7</v>
      </c>
      <c r="L4" s="9" t="s">
        <v>6</v>
      </c>
      <c r="M4" s="9" t="s">
        <v>5</v>
      </c>
      <c r="N4" s="9" t="s">
        <v>4</v>
      </c>
    </row>
    <row r="5" spans="1:15" s="783" customFormat="1" ht="14.25" customHeight="1">
      <c r="A5" s="776"/>
      <c r="B5" s="776" t="s">
        <v>2574</v>
      </c>
      <c r="C5" s="2756" t="s">
        <v>2657</v>
      </c>
      <c r="D5" s="1712" t="s">
        <v>2</v>
      </c>
      <c r="E5" s="1874"/>
      <c r="F5" s="1875"/>
      <c r="G5" s="1712"/>
      <c r="H5" s="1713"/>
      <c r="I5" s="1713"/>
      <c r="J5" s="1713"/>
      <c r="K5" s="1712" t="s">
        <v>2216</v>
      </c>
      <c r="L5" s="1797"/>
      <c r="M5" s="1715" t="s">
        <v>2446</v>
      </c>
      <c r="N5" s="1716"/>
    </row>
    <row r="6" spans="1:15" s="783" customFormat="1" ht="14.25" customHeight="1">
      <c r="A6" s="776"/>
      <c r="B6" s="776" t="s">
        <v>2574</v>
      </c>
      <c r="C6" s="2757"/>
      <c r="D6" s="2590" t="s">
        <v>2625</v>
      </c>
      <c r="E6" s="1876"/>
      <c r="F6" s="1877" t="s">
        <v>422</v>
      </c>
      <c r="G6" s="1878" t="s">
        <v>1</v>
      </c>
      <c r="H6" s="1878">
        <v>46023</v>
      </c>
      <c r="I6" s="1878">
        <v>46054</v>
      </c>
      <c r="J6" s="1879">
        <v>46082</v>
      </c>
      <c r="K6" s="1836"/>
      <c r="L6" s="1721"/>
      <c r="N6" s="1720"/>
    </row>
    <row r="7" spans="1:15" s="783" customFormat="1" ht="14.25" customHeight="1">
      <c r="A7" s="776"/>
      <c r="B7" s="776" t="s">
        <v>2574</v>
      </c>
      <c r="C7" s="2757"/>
      <c r="D7" s="2590"/>
      <c r="E7" s="1880"/>
      <c r="F7" s="1881"/>
      <c r="G7" s="1882"/>
      <c r="H7" s="1842"/>
      <c r="I7" s="1842"/>
      <c r="J7" s="1842"/>
      <c r="K7" s="1843"/>
      <c r="L7" s="1797"/>
      <c r="N7" s="1721"/>
      <c r="O7" s="1720"/>
    </row>
    <row r="8" spans="1:15" s="783" customFormat="1" ht="14.25" customHeight="1">
      <c r="A8" s="776"/>
      <c r="B8" s="776" t="s">
        <v>2574</v>
      </c>
      <c r="C8" s="2757"/>
      <c r="D8" s="1883" t="s">
        <v>2626</v>
      </c>
      <c r="E8" s="1884">
        <v>50</v>
      </c>
      <c r="F8" s="1885" t="s">
        <v>2627</v>
      </c>
      <c r="G8" s="1886"/>
      <c r="H8" s="1801"/>
      <c r="I8" s="1801"/>
      <c r="J8" s="1801"/>
      <c r="K8" s="1802"/>
      <c r="L8" s="1797">
        <v>125000</v>
      </c>
      <c r="N8" s="1721"/>
      <c r="O8" s="1720"/>
    </row>
    <row r="9" spans="1:15" s="783" customFormat="1" ht="14.25" customHeight="1">
      <c r="A9" s="776"/>
      <c r="B9" s="776" t="s">
        <v>2574</v>
      </c>
      <c r="C9" s="2757"/>
      <c r="D9" s="1806" t="s">
        <v>2628</v>
      </c>
      <c r="E9" s="1884"/>
      <c r="F9" s="1885"/>
      <c r="G9" s="1725"/>
      <c r="H9" s="1801"/>
      <c r="I9" s="1801"/>
      <c r="J9" s="1801"/>
      <c r="K9" s="1802"/>
      <c r="L9" s="1797"/>
      <c r="N9" s="1721"/>
      <c r="O9" s="1720"/>
    </row>
    <row r="10" spans="1:15" s="783" customFormat="1" ht="14.25" customHeight="1">
      <c r="A10" s="776"/>
      <c r="B10" s="776" t="s">
        <v>2574</v>
      </c>
      <c r="C10" s="2757"/>
      <c r="D10" s="1806"/>
      <c r="E10" s="1884"/>
      <c r="F10" s="1885"/>
      <c r="G10" s="1725"/>
      <c r="H10" s="1801"/>
      <c r="I10" s="1801"/>
      <c r="J10" s="1801"/>
      <c r="K10" s="1802"/>
      <c r="L10" s="1797"/>
      <c r="N10" s="1721"/>
      <c r="O10" s="1720"/>
    </row>
    <row r="11" spans="1:15" s="783" customFormat="1" ht="14.25" customHeight="1">
      <c r="A11" s="776"/>
      <c r="B11" s="776" t="s">
        <v>2574</v>
      </c>
      <c r="C11" s="2758"/>
      <c r="D11" s="1883" t="s">
        <v>2629</v>
      </c>
      <c r="E11" s="1887">
        <v>500</v>
      </c>
      <c r="F11" s="1885" t="s">
        <v>2630</v>
      </c>
      <c r="G11" s="1725"/>
      <c r="H11" s="1801"/>
      <c r="I11" s="1801"/>
      <c r="J11" s="1801"/>
      <c r="K11" s="1802"/>
      <c r="L11" s="1797">
        <v>200000</v>
      </c>
      <c r="N11" s="1721"/>
      <c r="O11" s="1720"/>
    </row>
    <row r="12" spans="1:15" s="783" customFormat="1" ht="14.25" customHeight="1">
      <c r="A12" s="776"/>
      <c r="B12" s="776" t="s">
        <v>2574</v>
      </c>
      <c r="C12" s="1718" t="s">
        <v>2631</v>
      </c>
      <c r="D12" s="1806" t="s">
        <v>2632</v>
      </c>
      <c r="E12" s="1884"/>
      <c r="F12" s="1885"/>
      <c r="G12" s="1725"/>
      <c r="H12" s="1801"/>
      <c r="I12" s="1801"/>
      <c r="J12" s="1801"/>
      <c r="K12" s="1802"/>
      <c r="L12" s="1797"/>
      <c r="N12" s="1721"/>
      <c r="O12" s="1720"/>
    </row>
    <row r="13" spans="1:15" s="783" customFormat="1" ht="14.25" customHeight="1">
      <c r="A13" s="776"/>
      <c r="B13" s="776" t="s">
        <v>2574</v>
      </c>
      <c r="C13" s="1856"/>
      <c r="D13" s="1806"/>
      <c r="E13" s="1884"/>
      <c r="F13" s="1885"/>
      <c r="G13" s="1725"/>
      <c r="H13" s="1801"/>
      <c r="I13" s="1801"/>
      <c r="J13" s="1801"/>
      <c r="K13" s="1802"/>
      <c r="L13" s="1797"/>
      <c r="N13" s="1721"/>
      <c r="O13" s="1720"/>
    </row>
    <row r="14" spans="1:15" s="783" customFormat="1" ht="14.25" customHeight="1">
      <c r="A14" s="776"/>
      <c r="B14" s="776" t="s">
        <v>2574</v>
      </c>
      <c r="C14" s="1856"/>
      <c r="D14" s="1883" t="s">
        <v>2633</v>
      </c>
      <c r="E14" s="1887">
        <v>416</v>
      </c>
      <c r="F14" s="1885" t="s">
        <v>2630</v>
      </c>
      <c r="G14" s="1725"/>
      <c r="H14" s="1801"/>
      <c r="I14" s="1801"/>
      <c r="J14" s="1801"/>
      <c r="K14" s="1802"/>
      <c r="L14" s="1797">
        <v>104000</v>
      </c>
      <c r="N14" s="1721"/>
      <c r="O14" s="1720"/>
    </row>
    <row r="15" spans="1:15" s="783" customFormat="1" ht="14.25" customHeight="1">
      <c r="A15" s="776"/>
      <c r="B15" s="776" t="s">
        <v>2574</v>
      </c>
      <c r="C15" s="1856"/>
      <c r="D15" s="1806" t="s">
        <v>2634</v>
      </c>
      <c r="E15" s="1884"/>
      <c r="F15" s="1885"/>
      <c r="G15" s="1725"/>
      <c r="H15" s="1801"/>
      <c r="I15" s="1801"/>
      <c r="J15" s="1801"/>
      <c r="K15" s="1802"/>
      <c r="L15" s="1797"/>
      <c r="N15" s="1721"/>
      <c r="O15" s="1720"/>
    </row>
    <row r="16" spans="1:15" s="783" customFormat="1" ht="14.25" customHeight="1">
      <c r="A16" s="776"/>
      <c r="B16" s="776" t="s">
        <v>2574</v>
      </c>
      <c r="C16" s="1856"/>
      <c r="D16" s="1806" t="s">
        <v>2635</v>
      </c>
      <c r="E16" s="1888"/>
      <c r="F16" s="1885"/>
      <c r="G16" s="1725"/>
      <c r="H16" s="1801"/>
      <c r="I16" s="1801"/>
      <c r="J16" s="1801"/>
      <c r="K16" s="1802"/>
      <c r="L16" s="1797"/>
      <c r="N16" s="1721"/>
      <c r="O16" s="1720"/>
    </row>
    <row r="17" spans="1:15" s="783" customFormat="1" ht="14.25" customHeight="1">
      <c r="A17" s="776"/>
      <c r="B17" s="776" t="s">
        <v>2574</v>
      </c>
      <c r="C17" s="1856"/>
      <c r="D17" s="1806" t="s">
        <v>2636</v>
      </c>
      <c r="E17" s="1884"/>
      <c r="F17" s="1885"/>
      <c r="G17" s="1725"/>
      <c r="H17" s="1801"/>
      <c r="I17" s="1801"/>
      <c r="J17" s="1801"/>
      <c r="K17" s="1802"/>
      <c r="L17" s="1889"/>
      <c r="N17" s="1721"/>
      <c r="O17" s="1720"/>
    </row>
    <row r="18" spans="1:15" s="783" customFormat="1" ht="14.25" customHeight="1">
      <c r="A18" s="776"/>
      <c r="B18" s="776" t="s">
        <v>2574</v>
      </c>
      <c r="C18" s="1856"/>
      <c r="D18" s="1806" t="s">
        <v>2637</v>
      </c>
      <c r="E18" s="1884"/>
      <c r="F18" s="1885"/>
      <c r="G18" s="1725"/>
      <c r="H18" s="1801"/>
      <c r="I18" s="1801"/>
      <c r="J18" s="1801"/>
      <c r="K18" s="1802"/>
      <c r="L18" s="1889"/>
      <c r="N18" s="1721"/>
      <c r="O18" s="1720"/>
    </row>
    <row r="19" spans="1:15" s="783" customFormat="1" ht="14.25" customHeight="1">
      <c r="A19" s="776"/>
      <c r="B19" s="776" t="s">
        <v>2574</v>
      </c>
      <c r="C19" s="1856"/>
      <c r="D19" s="1806" t="s">
        <v>2638</v>
      </c>
      <c r="E19" s="1884"/>
      <c r="F19" s="1885"/>
      <c r="G19" s="1725"/>
      <c r="H19" s="1801"/>
      <c r="I19" s="1801"/>
      <c r="J19" s="1801"/>
      <c r="K19" s="1802"/>
      <c r="L19" s="1889"/>
      <c r="N19" s="1721"/>
      <c r="O19" s="1720"/>
    </row>
    <row r="20" spans="1:15" s="783" customFormat="1" ht="14.25" customHeight="1">
      <c r="A20" s="776"/>
      <c r="B20" s="776" t="s">
        <v>2574</v>
      </c>
      <c r="C20" s="1856"/>
      <c r="D20" s="1806" t="s">
        <v>2639</v>
      </c>
      <c r="E20" s="1884"/>
      <c r="F20" s="1885"/>
      <c r="G20" s="1725"/>
      <c r="H20" s="1801"/>
      <c r="I20" s="1801"/>
      <c r="J20" s="1801"/>
      <c r="K20" s="1802"/>
      <c r="L20" s="1889"/>
      <c r="N20" s="1721"/>
      <c r="O20" s="1720"/>
    </row>
    <row r="21" spans="1:15" s="783" customFormat="1" ht="14.25" customHeight="1">
      <c r="A21" s="776"/>
      <c r="B21" s="776" t="s">
        <v>2574</v>
      </c>
      <c r="C21" s="1856"/>
      <c r="D21" s="1883" t="s">
        <v>2640</v>
      </c>
      <c r="E21" s="1884">
        <v>300</v>
      </c>
      <c r="F21" s="1885" t="s">
        <v>2630</v>
      </c>
      <c r="G21" s="1725"/>
      <c r="H21" s="1801"/>
      <c r="I21" s="1801"/>
      <c r="J21" s="1801"/>
      <c r="K21" s="1802"/>
      <c r="L21" s="1889">
        <v>81000</v>
      </c>
      <c r="N21" s="1721"/>
      <c r="O21" s="1720"/>
    </row>
    <row r="22" spans="1:15" s="783" customFormat="1" ht="14.25" customHeight="1">
      <c r="A22" s="776"/>
      <c r="B22" s="776" t="s">
        <v>2574</v>
      </c>
      <c r="C22" s="1856"/>
      <c r="D22" s="1890" t="s">
        <v>2641</v>
      </c>
      <c r="E22" s="1884"/>
      <c r="F22" s="1724"/>
      <c r="G22" s="1725"/>
      <c r="H22" s="1801"/>
      <c r="I22" s="1801"/>
      <c r="J22" s="1801"/>
      <c r="K22" s="1802"/>
      <c r="L22" s="1727"/>
      <c r="N22" s="1721"/>
      <c r="O22" s="1720"/>
    </row>
    <row r="23" spans="1:15" s="783" customFormat="1" ht="14.25" customHeight="1">
      <c r="A23" s="776"/>
      <c r="B23" s="776" t="s">
        <v>2574</v>
      </c>
      <c r="C23" s="1856"/>
      <c r="D23" s="1883" t="s">
        <v>2642</v>
      </c>
      <c r="E23" s="1884">
        <v>75</v>
      </c>
      <c r="F23" s="1807" t="s">
        <v>2630</v>
      </c>
      <c r="G23" s="1725"/>
      <c r="H23" s="1801"/>
      <c r="I23" s="1801"/>
      <c r="J23" s="1801"/>
      <c r="K23" s="1802"/>
      <c r="L23" s="1727">
        <v>30000</v>
      </c>
      <c r="N23" s="1721"/>
      <c r="O23" s="1720"/>
    </row>
    <row r="24" spans="1:15" s="783" customFormat="1" ht="14.25" customHeight="1">
      <c r="A24" s="776"/>
      <c r="B24" s="776" t="s">
        <v>2574</v>
      </c>
      <c r="C24" s="1856"/>
      <c r="D24" s="1890" t="s">
        <v>2643</v>
      </c>
      <c r="E24" s="1884"/>
      <c r="F24" s="1724"/>
      <c r="G24" s="1725"/>
      <c r="H24" s="1801"/>
      <c r="I24" s="1801"/>
      <c r="J24" s="1801"/>
      <c r="K24" s="1802"/>
      <c r="L24" s="1727"/>
      <c r="N24" s="1721"/>
      <c r="O24" s="1720"/>
    </row>
    <row r="25" spans="1:15" s="783" customFormat="1" ht="14.25" customHeight="1">
      <c r="A25" s="776"/>
      <c r="B25" s="776" t="s">
        <v>2574</v>
      </c>
      <c r="C25" s="1856"/>
      <c r="D25" s="1883" t="s">
        <v>2644</v>
      </c>
      <c r="E25" s="1884">
        <v>190</v>
      </c>
      <c r="F25" s="1724" t="s">
        <v>2620</v>
      </c>
      <c r="G25" s="1725"/>
      <c r="H25" s="1801"/>
      <c r="I25" s="1801"/>
      <c r="J25" s="1801"/>
      <c r="K25" s="1802"/>
      <c r="L25" s="1727">
        <v>47500</v>
      </c>
      <c r="N25" s="1721"/>
      <c r="O25" s="1720"/>
    </row>
    <row r="26" spans="1:15" s="783" customFormat="1" ht="14.25" customHeight="1">
      <c r="A26" s="776"/>
      <c r="B26" s="776" t="s">
        <v>2574</v>
      </c>
      <c r="C26" s="1856"/>
      <c r="D26" s="1890" t="s">
        <v>2645</v>
      </c>
      <c r="E26" s="1884"/>
      <c r="F26" s="1807"/>
      <c r="G26" s="1725"/>
      <c r="H26" s="1801"/>
      <c r="I26" s="1801"/>
      <c r="J26" s="1801"/>
      <c r="K26" s="1802"/>
      <c r="L26" s="1727"/>
      <c r="N26" s="1721"/>
      <c r="O26" s="1720"/>
    </row>
    <row r="27" spans="1:15" s="783" customFormat="1" ht="14.25" customHeight="1">
      <c r="A27" s="776"/>
      <c r="B27" s="776" t="s">
        <v>2574</v>
      </c>
      <c r="C27" s="1856"/>
      <c r="D27" s="1883" t="s">
        <v>2646</v>
      </c>
      <c r="E27" s="1884">
        <v>100</v>
      </c>
      <c r="F27" s="1724" t="s">
        <v>2647</v>
      </c>
      <c r="G27" s="1725"/>
      <c r="H27" s="1801"/>
      <c r="I27" s="1801"/>
      <c r="J27" s="1801"/>
      <c r="K27" s="1802"/>
      <c r="L27" s="1727">
        <v>25000</v>
      </c>
      <c r="N27" s="1721"/>
      <c r="O27" s="1720"/>
    </row>
    <row r="28" spans="1:15" s="783" customFormat="1" ht="14.25" customHeight="1">
      <c r="A28" s="776"/>
      <c r="B28" s="776" t="s">
        <v>2574</v>
      </c>
      <c r="C28" s="1856"/>
      <c r="D28" s="1806" t="s">
        <v>2648</v>
      </c>
      <c r="E28" s="1884"/>
      <c r="F28" s="1724"/>
      <c r="G28" s="1725"/>
      <c r="H28" s="1801"/>
      <c r="I28" s="1801"/>
      <c r="J28" s="1801"/>
      <c r="K28" s="1802"/>
      <c r="L28" s="1727"/>
      <c r="N28" s="1721"/>
      <c r="O28" s="1720"/>
    </row>
    <row r="29" spans="1:15" s="783" customFormat="1" ht="14.25" customHeight="1">
      <c r="A29" s="776"/>
      <c r="B29" s="776" t="s">
        <v>2574</v>
      </c>
      <c r="C29" s="1856"/>
      <c r="D29" s="1883" t="s">
        <v>2649</v>
      </c>
      <c r="E29" s="1884">
        <v>100</v>
      </c>
      <c r="F29" s="1724" t="s">
        <v>2650</v>
      </c>
      <c r="G29" s="1725"/>
      <c r="H29" s="1801"/>
      <c r="I29" s="1801"/>
      <c r="J29" s="1801"/>
      <c r="K29" s="1802"/>
      <c r="L29" s="1727">
        <v>12500</v>
      </c>
      <c r="N29" s="1721"/>
      <c r="O29" s="1720"/>
    </row>
    <row r="30" spans="1:15" s="783" customFormat="1" ht="14.25" customHeight="1">
      <c r="A30" s="776"/>
      <c r="B30" s="776" t="s">
        <v>2574</v>
      </c>
      <c r="C30" s="1856"/>
      <c r="D30" s="1891" t="s">
        <v>2651</v>
      </c>
      <c r="E30" s="1884"/>
      <c r="F30" s="1724"/>
      <c r="G30" s="1725"/>
      <c r="H30" s="1801"/>
      <c r="I30" s="1801"/>
      <c r="J30" s="1801"/>
      <c r="K30" s="1802"/>
      <c r="L30" s="1801"/>
      <c r="M30" s="1727"/>
      <c r="N30" s="1721"/>
      <c r="O30" s="1720"/>
    </row>
    <row r="31" spans="1:15" s="783" customFormat="1" ht="14.25" customHeight="1">
      <c r="A31" s="776"/>
      <c r="B31" s="776" t="s">
        <v>2574</v>
      </c>
      <c r="C31" s="1856"/>
      <c r="D31" s="1806" t="s">
        <v>2652</v>
      </c>
      <c r="E31" s="1884">
        <v>40</v>
      </c>
      <c r="F31" s="1724" t="s">
        <v>2449</v>
      </c>
      <c r="G31" s="1725"/>
      <c r="H31" s="1801"/>
      <c r="I31" s="1801"/>
      <c r="J31" s="1801"/>
      <c r="K31" s="1802"/>
      <c r="L31" s="1801"/>
      <c r="M31" s="1727"/>
      <c r="N31" s="1721"/>
      <c r="O31" s="1720"/>
    </row>
    <row r="32" spans="1:15" s="783" customFormat="1" ht="14.25" customHeight="1">
      <c r="A32" s="776"/>
      <c r="B32" s="776" t="s">
        <v>2574</v>
      </c>
      <c r="C32" s="1856"/>
      <c r="D32" s="1806" t="s">
        <v>2653</v>
      </c>
      <c r="E32" s="1884">
        <v>10</v>
      </c>
      <c r="F32" s="1809" t="s">
        <v>2654</v>
      </c>
      <c r="G32" s="1725"/>
      <c r="H32" s="1801"/>
      <c r="I32" s="1801"/>
      <c r="J32" s="1801"/>
      <c r="K32" s="1802"/>
      <c r="L32" s="1801"/>
      <c r="M32" s="1727"/>
      <c r="N32" s="1721"/>
      <c r="O32" s="1720"/>
    </row>
    <row r="33" spans="1:15" s="783" customFormat="1" ht="14.25" customHeight="1">
      <c r="A33" s="776"/>
      <c r="B33" s="776" t="s">
        <v>2574</v>
      </c>
      <c r="C33" s="1856"/>
      <c r="D33" s="1806" t="s">
        <v>2655</v>
      </c>
      <c r="E33" s="1884">
        <v>4</v>
      </c>
      <c r="F33" s="1809" t="s">
        <v>1571</v>
      </c>
      <c r="G33" s="1725"/>
      <c r="H33" s="1801"/>
      <c r="I33" s="1801"/>
      <c r="J33" s="1801"/>
      <c r="K33" s="1802"/>
      <c r="L33" s="1801"/>
      <c r="M33" s="1727"/>
      <c r="N33" s="1721"/>
      <c r="O33" s="1720"/>
    </row>
    <row r="34" spans="1:15" s="783" customFormat="1" ht="14.25" customHeight="1">
      <c r="A34" s="776"/>
      <c r="B34" s="776"/>
      <c r="C34" s="1856"/>
      <c r="D34" s="1885"/>
      <c r="E34" s="1884"/>
      <c r="F34" s="1724"/>
      <c r="G34" s="1725"/>
      <c r="H34" s="1801"/>
      <c r="I34" s="1801"/>
      <c r="J34" s="1801"/>
      <c r="K34" s="1802"/>
      <c r="L34" s="1801"/>
      <c r="M34" s="1727"/>
      <c r="N34" s="1721"/>
      <c r="O34" s="1720"/>
    </row>
    <row r="35" spans="1:15" s="783" customFormat="1" ht="14.25" customHeight="1">
      <c r="A35" s="776"/>
      <c r="B35" s="776"/>
      <c r="C35" s="1804"/>
      <c r="D35" s="1806"/>
      <c r="E35" s="1799"/>
      <c r="F35" s="1807"/>
      <c r="G35" s="1725"/>
      <c r="H35" s="1712"/>
      <c r="I35" s="1801"/>
      <c r="J35" s="1801"/>
      <c r="K35" s="1802"/>
      <c r="L35" s="1727"/>
      <c r="N35" s="1721"/>
      <c r="O35" s="1720"/>
    </row>
    <row r="36" spans="1:15" s="783" customFormat="1" ht="14.25" customHeight="1">
      <c r="A36" s="776"/>
      <c r="B36" s="776" t="s">
        <v>2574</v>
      </c>
      <c r="C36" s="2756" t="s">
        <v>2657</v>
      </c>
      <c r="D36" s="1712" t="s">
        <v>2</v>
      </c>
      <c r="E36" s="1874"/>
      <c r="F36" s="1713" t="s">
        <v>422</v>
      </c>
      <c r="G36" s="1712"/>
      <c r="H36" s="1713"/>
      <c r="I36" s="1713"/>
      <c r="J36" s="1713"/>
      <c r="K36" s="1712" t="s">
        <v>2216</v>
      </c>
      <c r="L36" s="1803"/>
      <c r="M36" s="2789" t="s">
        <v>2446</v>
      </c>
      <c r="O36" s="1892"/>
    </row>
    <row r="37" spans="1:15" s="783" customFormat="1" ht="14.25" customHeight="1">
      <c r="A37" s="776"/>
      <c r="B37" s="776" t="s">
        <v>2574</v>
      </c>
      <c r="C37" s="2757"/>
      <c r="D37" s="2590" t="s">
        <v>2625</v>
      </c>
      <c r="E37" s="1876"/>
      <c r="F37" s="1835"/>
      <c r="G37" s="1836" t="s">
        <v>1</v>
      </c>
      <c r="H37" s="1879">
        <v>46113</v>
      </c>
      <c r="I37" s="1879">
        <v>46143</v>
      </c>
      <c r="J37" s="1879">
        <v>46174</v>
      </c>
      <c r="K37" s="1836"/>
      <c r="L37" s="1893"/>
      <c r="M37" s="2790"/>
      <c r="O37" s="1894"/>
    </row>
    <row r="38" spans="1:15" s="783" customFormat="1" ht="14.25" customHeight="1">
      <c r="A38" s="776"/>
      <c r="B38" s="776" t="s">
        <v>2574</v>
      </c>
      <c r="C38" s="2757"/>
      <c r="D38" s="2590"/>
      <c r="E38" s="1880"/>
      <c r="F38" s="1789"/>
      <c r="G38" s="1842"/>
      <c r="H38" s="1842"/>
      <c r="I38" s="1842"/>
      <c r="J38" s="1843"/>
      <c r="K38" s="1837"/>
      <c r="L38" s="1895"/>
      <c r="M38" s="1845"/>
      <c r="O38" s="1896"/>
    </row>
    <row r="39" spans="1:15" s="783" customFormat="1" ht="14.25" customHeight="1">
      <c r="A39" s="776"/>
      <c r="B39" s="776" t="s">
        <v>2574</v>
      </c>
      <c r="C39" s="2757"/>
      <c r="D39" s="1883" t="s">
        <v>2626</v>
      </c>
      <c r="E39" s="1884">
        <v>50</v>
      </c>
      <c r="F39" s="1885" t="s">
        <v>2627</v>
      </c>
      <c r="G39" s="1886"/>
      <c r="H39" s="1801"/>
      <c r="I39" s="1801"/>
      <c r="J39" s="1801"/>
      <c r="K39" s="1802"/>
      <c r="L39" s="1797">
        <v>125000</v>
      </c>
      <c r="N39" s="1721"/>
      <c r="O39" s="1897"/>
    </row>
    <row r="40" spans="1:15" s="783" customFormat="1" ht="14.25" customHeight="1">
      <c r="A40" s="776"/>
      <c r="B40" s="776" t="s">
        <v>2574</v>
      </c>
      <c r="C40" s="2757"/>
      <c r="D40" s="1806" t="s">
        <v>2628</v>
      </c>
      <c r="E40" s="1884"/>
      <c r="F40" s="1885"/>
      <c r="G40" s="1725"/>
      <c r="H40" s="1801"/>
      <c r="I40" s="1801"/>
      <c r="J40" s="1801"/>
      <c r="K40" s="1802"/>
      <c r="L40" s="1797"/>
      <c r="N40" s="1721"/>
      <c r="O40" s="1897"/>
    </row>
    <row r="41" spans="1:15" s="783" customFormat="1" ht="14.25" customHeight="1">
      <c r="A41" s="776"/>
      <c r="B41" s="776" t="s">
        <v>2574</v>
      </c>
      <c r="C41" s="2757"/>
      <c r="D41" s="1806"/>
      <c r="E41" s="1884"/>
      <c r="F41" s="1885"/>
      <c r="G41" s="1725"/>
      <c r="H41" s="1801"/>
      <c r="I41" s="1801"/>
      <c r="J41" s="1801"/>
      <c r="K41" s="1802"/>
      <c r="L41" s="1797"/>
      <c r="N41" s="1721"/>
      <c r="O41" s="1897"/>
    </row>
    <row r="42" spans="1:15" s="783" customFormat="1" ht="14.25" customHeight="1">
      <c r="A42" s="776"/>
      <c r="B42" s="776" t="s">
        <v>2574</v>
      </c>
      <c r="C42" s="2758"/>
      <c r="D42" s="1883" t="s">
        <v>2629</v>
      </c>
      <c r="E42" s="1887">
        <v>300</v>
      </c>
      <c r="F42" s="1885" t="s">
        <v>2630</v>
      </c>
      <c r="G42" s="1725"/>
      <c r="H42" s="1801"/>
      <c r="I42" s="1801"/>
      <c r="J42" s="1801"/>
      <c r="K42" s="1802"/>
      <c r="L42" s="1797">
        <v>120000</v>
      </c>
      <c r="N42" s="1720"/>
      <c r="O42" s="1898"/>
    </row>
    <row r="43" spans="1:15" s="783" customFormat="1" ht="14.25" customHeight="1">
      <c r="A43" s="776"/>
      <c r="B43" s="776" t="s">
        <v>2574</v>
      </c>
      <c r="C43" s="1718" t="s">
        <v>704</v>
      </c>
      <c r="D43" s="1806" t="s">
        <v>2632</v>
      </c>
      <c r="E43" s="1884"/>
      <c r="F43" s="1885"/>
      <c r="G43" s="1725"/>
      <c r="H43" s="1801"/>
      <c r="I43" s="1801"/>
      <c r="J43" s="1801"/>
      <c r="K43" s="1802"/>
      <c r="L43" s="1797"/>
      <c r="N43" s="1721"/>
      <c r="O43" s="1897"/>
    </row>
    <row r="44" spans="1:15" s="783" customFormat="1" ht="14.25" customHeight="1">
      <c r="A44" s="776"/>
      <c r="B44" s="776" t="s">
        <v>2574</v>
      </c>
      <c r="C44" s="1856"/>
      <c r="D44" s="1806"/>
      <c r="E44" s="1884"/>
      <c r="F44" s="1885"/>
      <c r="G44" s="1725"/>
      <c r="H44" s="1801"/>
      <c r="I44" s="1801"/>
      <c r="J44" s="1801"/>
      <c r="K44" s="1802"/>
      <c r="L44" s="1797"/>
      <c r="N44" s="1721"/>
      <c r="O44" s="1897"/>
    </row>
    <row r="45" spans="1:15" s="783" customFormat="1" ht="14.25" customHeight="1">
      <c r="A45" s="776"/>
      <c r="B45" s="776" t="s">
        <v>2574</v>
      </c>
      <c r="C45" s="1856"/>
      <c r="D45" s="1883" t="s">
        <v>2633</v>
      </c>
      <c r="E45" s="1887">
        <v>734</v>
      </c>
      <c r="F45" s="1885" t="s">
        <v>2630</v>
      </c>
      <c r="G45" s="1725"/>
      <c r="H45" s="1801"/>
      <c r="I45" s="1801"/>
      <c r="J45" s="1801"/>
      <c r="K45" s="1802"/>
      <c r="L45" s="1797">
        <v>183500</v>
      </c>
      <c r="N45" s="1721"/>
      <c r="O45" s="1897"/>
    </row>
    <row r="46" spans="1:15" s="783" customFormat="1" ht="14.25" customHeight="1">
      <c r="A46" s="776"/>
      <c r="B46" s="776" t="s">
        <v>2574</v>
      </c>
      <c r="C46" s="1856"/>
      <c r="D46" s="1806" t="s">
        <v>2634</v>
      </c>
      <c r="E46" s="1884"/>
      <c r="F46" s="1885"/>
      <c r="G46" s="1725"/>
      <c r="H46" s="1801"/>
      <c r="I46" s="1801"/>
      <c r="J46" s="1801"/>
      <c r="K46" s="1802"/>
      <c r="L46" s="1797"/>
      <c r="N46" s="1721"/>
      <c r="O46" s="1897"/>
    </row>
    <row r="47" spans="1:15" s="783" customFormat="1" ht="14.25" customHeight="1">
      <c r="A47" s="776"/>
      <c r="B47" s="776" t="s">
        <v>2574</v>
      </c>
      <c r="C47" s="1856"/>
      <c r="D47" s="1806" t="s">
        <v>2635</v>
      </c>
      <c r="E47" s="1888"/>
      <c r="F47" s="1885"/>
      <c r="G47" s="1725"/>
      <c r="H47" s="1801"/>
      <c r="I47" s="1801"/>
      <c r="J47" s="1801"/>
      <c r="K47" s="1802"/>
      <c r="L47" s="1797"/>
      <c r="N47" s="1721"/>
      <c r="O47" s="1897"/>
    </row>
    <row r="48" spans="1:15" s="783" customFormat="1" ht="14.25" customHeight="1">
      <c r="A48" s="776"/>
      <c r="B48" s="776" t="s">
        <v>2574</v>
      </c>
      <c r="C48" s="1856"/>
      <c r="D48" s="1806" t="s">
        <v>2636</v>
      </c>
      <c r="E48" s="1884"/>
      <c r="F48" s="1885"/>
      <c r="G48" s="1725"/>
      <c r="H48" s="1801"/>
      <c r="I48" s="1801"/>
      <c r="J48" s="1801"/>
      <c r="K48" s="1802"/>
      <c r="L48" s="1889"/>
      <c r="N48" s="1721"/>
      <c r="O48" s="1897"/>
    </row>
    <row r="49" spans="1:15" s="783" customFormat="1" ht="14.25" customHeight="1">
      <c r="A49" s="776"/>
      <c r="B49" s="776" t="s">
        <v>2574</v>
      </c>
      <c r="C49" s="1856"/>
      <c r="D49" s="1806" t="s">
        <v>2637</v>
      </c>
      <c r="E49" s="1884"/>
      <c r="F49" s="1885"/>
      <c r="G49" s="1725"/>
      <c r="H49" s="1801"/>
      <c r="I49" s="1801"/>
      <c r="J49" s="1801"/>
      <c r="K49" s="1802"/>
      <c r="L49" s="1889"/>
      <c r="N49" s="1721"/>
      <c r="O49" s="1897"/>
    </row>
    <row r="50" spans="1:15" s="783" customFormat="1" ht="14.25" customHeight="1">
      <c r="A50" s="776"/>
      <c r="B50" s="776" t="s">
        <v>2574</v>
      </c>
      <c r="C50" s="1856"/>
      <c r="D50" s="1806" t="s">
        <v>2638</v>
      </c>
      <c r="E50" s="1884"/>
      <c r="F50" s="1885"/>
      <c r="G50" s="1725"/>
      <c r="H50" s="1801"/>
      <c r="I50" s="1801"/>
      <c r="J50" s="1801"/>
      <c r="K50" s="1802"/>
      <c r="L50" s="1889"/>
      <c r="N50" s="1721"/>
      <c r="O50" s="1897"/>
    </row>
    <row r="51" spans="1:15" s="783" customFormat="1" ht="14.25" customHeight="1">
      <c r="A51" s="776"/>
      <c r="B51" s="776" t="s">
        <v>2574</v>
      </c>
      <c r="C51" s="1856"/>
      <c r="D51" s="1806" t="s">
        <v>2639</v>
      </c>
      <c r="E51" s="1884"/>
      <c r="F51" s="1885"/>
      <c r="G51" s="1725"/>
      <c r="H51" s="1801"/>
      <c r="I51" s="1801"/>
      <c r="J51" s="1801"/>
      <c r="K51" s="1802"/>
      <c r="L51" s="1889"/>
      <c r="N51" s="1721"/>
      <c r="O51" s="1897"/>
    </row>
    <row r="52" spans="1:15" s="783" customFormat="1" ht="14.25" customHeight="1">
      <c r="A52" s="776"/>
      <c r="B52" s="776" t="s">
        <v>2574</v>
      </c>
      <c r="C52" s="1856"/>
      <c r="D52" s="1883" t="s">
        <v>2640</v>
      </c>
      <c r="E52" s="1884">
        <v>350</v>
      </c>
      <c r="F52" s="1885" t="s">
        <v>2630</v>
      </c>
      <c r="G52" s="1725"/>
      <c r="H52" s="1801"/>
      <c r="I52" s="1801"/>
      <c r="J52" s="1801"/>
      <c r="K52" s="1802"/>
      <c r="L52" s="1889">
        <v>94500</v>
      </c>
      <c r="N52" s="1721"/>
      <c r="O52" s="1897"/>
    </row>
    <row r="53" spans="1:15" s="783" customFormat="1" ht="14.25" customHeight="1">
      <c r="A53" s="776"/>
      <c r="B53" s="776" t="s">
        <v>2574</v>
      </c>
      <c r="C53" s="1856"/>
      <c r="D53" s="1890" t="s">
        <v>2641</v>
      </c>
      <c r="E53" s="1884"/>
      <c r="F53" s="1724"/>
      <c r="G53" s="1725"/>
      <c r="H53" s="1801"/>
      <c r="I53" s="1801"/>
      <c r="J53" s="1801"/>
      <c r="K53" s="1802"/>
      <c r="L53" s="1727"/>
      <c r="N53" s="1721"/>
      <c r="O53" s="1897"/>
    </row>
    <row r="54" spans="1:15" s="783" customFormat="1" ht="14.25" customHeight="1">
      <c r="A54" s="776"/>
      <c r="B54" s="776" t="s">
        <v>2574</v>
      </c>
      <c r="C54" s="1856"/>
      <c r="D54" s="1883" t="s">
        <v>2642</v>
      </c>
      <c r="E54" s="1884">
        <v>75</v>
      </c>
      <c r="F54" s="1807" t="s">
        <v>2630</v>
      </c>
      <c r="G54" s="1725"/>
      <c r="H54" s="1801"/>
      <c r="I54" s="1801"/>
      <c r="J54" s="1801"/>
      <c r="K54" s="1802"/>
      <c r="L54" s="1727">
        <v>30000</v>
      </c>
      <c r="N54" s="1721"/>
      <c r="O54" s="1897"/>
    </row>
    <row r="55" spans="1:15" s="783" customFormat="1" ht="14.25" customHeight="1">
      <c r="A55" s="776"/>
      <c r="B55" s="776" t="s">
        <v>2574</v>
      </c>
      <c r="C55" s="1856"/>
      <c r="D55" s="1890" t="s">
        <v>2643</v>
      </c>
      <c r="E55" s="1884"/>
      <c r="F55" s="1724"/>
      <c r="G55" s="1725"/>
      <c r="H55" s="1801"/>
      <c r="I55" s="1801"/>
      <c r="J55" s="1801"/>
      <c r="K55" s="1802"/>
      <c r="L55" s="1727"/>
      <c r="N55" s="1721"/>
      <c r="O55" s="1897"/>
    </row>
    <row r="56" spans="1:15" s="783" customFormat="1" ht="14.25" customHeight="1">
      <c r="A56" s="776"/>
      <c r="B56" s="776" t="s">
        <v>2574</v>
      </c>
      <c r="C56" s="1856"/>
      <c r="D56" s="1883" t="s">
        <v>2644</v>
      </c>
      <c r="E56" s="1884">
        <v>50</v>
      </c>
      <c r="F56" s="1724" t="s">
        <v>2620</v>
      </c>
      <c r="G56" s="1725"/>
      <c r="H56" s="1801"/>
      <c r="I56" s="1801"/>
      <c r="J56" s="1801"/>
      <c r="K56" s="1802"/>
      <c r="L56" s="1727">
        <v>12500</v>
      </c>
      <c r="N56" s="1721"/>
      <c r="O56" s="1897"/>
    </row>
    <row r="57" spans="1:15" s="783" customFormat="1" ht="14.25" customHeight="1">
      <c r="A57" s="776"/>
      <c r="B57" s="776" t="s">
        <v>2574</v>
      </c>
      <c r="C57" s="1856"/>
      <c r="D57" s="1890" t="s">
        <v>2645</v>
      </c>
      <c r="E57" s="1884"/>
      <c r="F57" s="1807"/>
      <c r="G57" s="1725"/>
      <c r="H57" s="1801"/>
      <c r="I57" s="1801"/>
      <c r="J57" s="1801"/>
      <c r="K57" s="1802"/>
      <c r="L57" s="1727"/>
      <c r="N57" s="1721"/>
      <c r="O57" s="1897"/>
    </row>
    <row r="58" spans="1:15" s="783" customFormat="1" ht="14.25" customHeight="1">
      <c r="A58" s="776"/>
      <c r="B58" s="776" t="s">
        <v>2574</v>
      </c>
      <c r="C58" s="1856"/>
      <c r="D58" s="1883" t="s">
        <v>2646</v>
      </c>
      <c r="E58" s="1884">
        <v>200</v>
      </c>
      <c r="F58" s="1724" t="s">
        <v>2647</v>
      </c>
      <c r="G58" s="1725"/>
      <c r="H58" s="1801"/>
      <c r="I58" s="1801"/>
      <c r="J58" s="1801"/>
      <c r="K58" s="1802"/>
      <c r="L58" s="1727">
        <v>50000</v>
      </c>
      <c r="N58" s="1721"/>
      <c r="O58" s="1897"/>
    </row>
    <row r="59" spans="1:15" s="783" customFormat="1" ht="14.25" customHeight="1">
      <c r="A59" s="776"/>
      <c r="B59" s="776" t="s">
        <v>2574</v>
      </c>
      <c r="C59" s="1856"/>
      <c r="D59" s="1806" t="s">
        <v>2648</v>
      </c>
      <c r="E59" s="1884"/>
      <c r="F59" s="1724"/>
      <c r="G59" s="1725"/>
      <c r="H59" s="1801"/>
      <c r="I59" s="1801"/>
      <c r="J59" s="1801"/>
      <c r="K59" s="1802"/>
      <c r="L59" s="1727"/>
      <c r="N59" s="1721"/>
      <c r="O59" s="1897"/>
    </row>
    <row r="60" spans="1:15" s="783" customFormat="1" ht="14.25" customHeight="1">
      <c r="A60" s="776"/>
      <c r="B60" s="776" t="s">
        <v>2574</v>
      </c>
      <c r="C60" s="1856"/>
      <c r="D60" s="1883" t="s">
        <v>2649</v>
      </c>
      <c r="E60" s="1884"/>
      <c r="F60" s="1724"/>
      <c r="G60" s="1725"/>
      <c r="H60" s="1801"/>
      <c r="I60" s="1801"/>
      <c r="J60" s="1801"/>
      <c r="K60" s="1802"/>
      <c r="L60" s="1727"/>
      <c r="N60" s="1721"/>
      <c r="O60" s="1897"/>
    </row>
    <row r="61" spans="1:15" s="783" customFormat="1" ht="14.25" customHeight="1">
      <c r="A61" s="776"/>
      <c r="B61" s="776" t="s">
        <v>2574</v>
      </c>
      <c r="C61" s="1856"/>
      <c r="D61" s="1891" t="s">
        <v>2651</v>
      </c>
      <c r="E61" s="1884"/>
      <c r="F61" s="1724"/>
      <c r="G61" s="1725"/>
      <c r="H61" s="1801"/>
      <c r="I61" s="1801"/>
      <c r="J61" s="1801"/>
      <c r="K61" s="1802"/>
      <c r="L61" s="1727"/>
      <c r="N61" s="1721"/>
      <c r="O61" s="1897"/>
    </row>
    <row r="62" spans="1:15" s="783" customFormat="1" ht="14.25" customHeight="1">
      <c r="A62" s="776"/>
      <c r="B62" s="776" t="s">
        <v>2574</v>
      </c>
      <c r="C62" s="1856"/>
      <c r="D62" s="1806" t="s">
        <v>2652</v>
      </c>
      <c r="E62" s="1884">
        <v>10</v>
      </c>
      <c r="F62" s="1724" t="s">
        <v>2449</v>
      </c>
      <c r="G62" s="1725"/>
      <c r="H62" s="1801"/>
      <c r="I62" s="1801"/>
      <c r="J62" s="1801"/>
      <c r="K62" s="1802"/>
      <c r="L62" s="1727">
        <v>9500</v>
      </c>
      <c r="N62" s="1721"/>
      <c r="O62" s="1897"/>
    </row>
    <row r="63" spans="1:15" s="783" customFormat="1" ht="14.25" customHeight="1">
      <c r="A63" s="776"/>
      <c r="B63" s="776" t="s">
        <v>2574</v>
      </c>
      <c r="C63" s="1856"/>
      <c r="D63" s="1806" t="s">
        <v>2653</v>
      </c>
      <c r="E63" s="1884"/>
      <c r="F63" s="1809"/>
      <c r="G63" s="1725"/>
      <c r="H63" s="1801"/>
      <c r="I63" s="1801"/>
      <c r="J63" s="1801"/>
      <c r="K63" s="1802"/>
      <c r="L63" s="1727"/>
      <c r="N63" s="1721"/>
      <c r="O63" s="1897"/>
    </row>
    <row r="64" spans="1:15" s="783" customFormat="1" ht="14.25" customHeight="1">
      <c r="A64" s="776"/>
      <c r="B64" s="776" t="s">
        <v>2574</v>
      </c>
      <c r="C64" s="1856"/>
      <c r="D64" s="1806" t="s">
        <v>2655</v>
      </c>
      <c r="E64" s="1884"/>
      <c r="F64" s="1809"/>
      <c r="G64" s="1725"/>
      <c r="H64" s="1801"/>
      <c r="I64" s="1801"/>
      <c r="J64" s="1801"/>
      <c r="K64" s="1802"/>
      <c r="L64" s="1727"/>
      <c r="N64" s="1721"/>
      <c r="O64" s="1897"/>
    </row>
    <row r="65" spans="1:15" s="783" customFormat="1" ht="14.25" customHeight="1">
      <c r="A65" s="776"/>
      <c r="B65" s="776"/>
      <c r="C65" s="1856"/>
      <c r="D65" s="1885" t="s">
        <v>2656</v>
      </c>
      <c r="E65" s="1884"/>
      <c r="F65" s="1724"/>
      <c r="G65" s="1725"/>
      <c r="H65" s="1801"/>
      <c r="I65" s="1801"/>
      <c r="J65" s="1801"/>
      <c r="K65" s="1802"/>
      <c r="L65" s="1727"/>
      <c r="N65" s="1721"/>
      <c r="O65" s="1897"/>
    </row>
    <row r="66" spans="1:15" s="783" customFormat="1" ht="14.25" customHeight="1">
      <c r="A66" s="776"/>
      <c r="B66" s="776"/>
      <c r="C66" s="1804"/>
      <c r="D66" s="1806"/>
      <c r="E66" s="1799"/>
      <c r="F66" s="1724"/>
      <c r="G66" s="1725"/>
      <c r="H66" s="1712"/>
      <c r="I66" s="1801"/>
      <c r="J66" s="1801"/>
      <c r="K66" s="1802"/>
      <c r="N66" s="1721"/>
      <c r="O66" s="1720"/>
    </row>
    <row r="67" spans="1:15" s="783" customFormat="1" ht="14.25" customHeight="1">
      <c r="A67" s="776"/>
      <c r="B67" s="776"/>
      <c r="C67" s="1804"/>
      <c r="D67" s="1806"/>
      <c r="E67" s="1724"/>
      <c r="F67" s="1724"/>
      <c r="G67" s="1725"/>
      <c r="H67" s="1712"/>
      <c r="I67" s="1801"/>
      <c r="J67" s="1801"/>
      <c r="K67" s="1802"/>
      <c r="N67" s="1721"/>
      <c r="O67" s="1720"/>
    </row>
    <row r="68" spans="1:15" s="783" customFormat="1" ht="14.25" customHeight="1">
      <c r="A68" s="776"/>
      <c r="B68" s="776" t="s">
        <v>2929</v>
      </c>
      <c r="C68" s="2040" t="s">
        <v>2625</v>
      </c>
      <c r="D68" s="2041" t="s">
        <v>637</v>
      </c>
      <c r="E68" s="2045"/>
      <c r="F68" s="2046" t="s">
        <v>1764</v>
      </c>
      <c r="G68" s="2046" t="s">
        <v>1</v>
      </c>
      <c r="H68" s="2047"/>
      <c r="I68" s="2047"/>
      <c r="J68" s="2047"/>
      <c r="K68" s="2048" t="s">
        <v>748</v>
      </c>
      <c r="L68" s="2032"/>
      <c r="M68" s="2047" t="s">
        <v>2924</v>
      </c>
      <c r="N68" s="2048" t="s">
        <v>703</v>
      </c>
    </row>
    <row r="69" spans="1:15" s="783" customFormat="1" ht="14.25" customHeight="1">
      <c r="A69" s="776"/>
      <c r="B69" s="776" t="s">
        <v>2929</v>
      </c>
      <c r="C69" s="2042"/>
      <c r="D69" s="2043" t="s">
        <v>3530</v>
      </c>
      <c r="E69" s="2044">
        <v>37</v>
      </c>
      <c r="F69" s="2044" t="s">
        <v>2627</v>
      </c>
      <c r="G69" s="2049"/>
      <c r="H69" s="2008" t="s">
        <v>2213</v>
      </c>
      <c r="I69" s="2009">
        <v>46174</v>
      </c>
      <c r="J69" s="2010" t="s">
        <v>2215</v>
      </c>
      <c r="K69" s="2109"/>
      <c r="L69" s="2127">
        <v>88800</v>
      </c>
      <c r="M69" s="2110"/>
      <c r="N69" s="2050"/>
    </row>
    <row r="70" spans="1:15" s="783" customFormat="1" ht="14.25" customHeight="1">
      <c r="A70" s="776"/>
      <c r="B70" s="776" t="s">
        <v>2929</v>
      </c>
      <c r="C70" s="2042"/>
      <c r="D70" s="2043" t="s">
        <v>1500</v>
      </c>
      <c r="E70" s="2044">
        <v>151</v>
      </c>
      <c r="F70" s="2044" t="s">
        <v>1881</v>
      </c>
      <c r="G70" s="2049"/>
      <c r="H70" s="2008"/>
      <c r="I70" s="2008"/>
      <c r="J70" s="1588" t="s">
        <v>2927</v>
      </c>
      <c r="K70" s="2109"/>
      <c r="L70" s="2128">
        <v>46810</v>
      </c>
      <c r="M70" s="2110"/>
      <c r="N70" s="2050"/>
    </row>
    <row r="71" spans="1:15" s="783" customFormat="1" ht="14.25" customHeight="1">
      <c r="A71" s="776"/>
      <c r="B71" s="776" t="s">
        <v>2929</v>
      </c>
      <c r="C71" s="2042"/>
      <c r="D71" s="2043" t="s">
        <v>3531</v>
      </c>
      <c r="E71" s="2044">
        <v>151</v>
      </c>
      <c r="F71" s="2044" t="s">
        <v>1881</v>
      </c>
      <c r="G71" s="1725"/>
      <c r="H71" s="1712"/>
      <c r="I71" s="1801"/>
      <c r="J71" s="1801"/>
      <c r="K71" s="2114"/>
      <c r="L71" s="2128">
        <v>56625</v>
      </c>
      <c r="N71" s="1721"/>
      <c r="O71" s="1720"/>
    </row>
    <row r="72" spans="1:15" s="783" customFormat="1" ht="14.25" customHeight="1">
      <c r="A72" s="776"/>
      <c r="B72" s="776" t="s">
        <v>2929</v>
      </c>
      <c r="C72" s="2042"/>
      <c r="D72" s="2043" t="s">
        <v>1386</v>
      </c>
      <c r="E72" s="2044">
        <v>150</v>
      </c>
      <c r="F72" s="2044" t="s">
        <v>1881</v>
      </c>
      <c r="G72" s="1725"/>
      <c r="H72" s="1712"/>
      <c r="I72" s="1801"/>
      <c r="J72" s="1801"/>
      <c r="K72" s="2114"/>
      <c r="L72" s="2128">
        <v>27000</v>
      </c>
      <c r="N72" s="1721"/>
      <c r="O72" s="1720"/>
    </row>
    <row r="73" spans="1:15" s="783" customFormat="1" ht="14.25" customHeight="1">
      <c r="A73" s="776"/>
      <c r="B73" s="776" t="s">
        <v>2929</v>
      </c>
      <c r="C73" s="2042"/>
      <c r="D73" s="2043" t="s">
        <v>3532</v>
      </c>
      <c r="E73" s="2044">
        <v>180</v>
      </c>
      <c r="F73" s="2044" t="s">
        <v>1881</v>
      </c>
      <c r="G73" s="1725"/>
      <c r="H73" s="1712"/>
      <c r="I73" s="1801"/>
      <c r="J73" s="1801"/>
      <c r="K73" s="2114"/>
      <c r="L73" s="2128">
        <v>39600</v>
      </c>
      <c r="N73" s="1721"/>
      <c r="O73" s="1720"/>
    </row>
    <row r="74" spans="1:15" s="783" customFormat="1" ht="14.25" customHeight="1">
      <c r="A74" s="776"/>
      <c r="B74" s="776" t="s">
        <v>2929</v>
      </c>
      <c r="C74" s="2042"/>
      <c r="D74" s="2043" t="s">
        <v>3533</v>
      </c>
      <c r="E74" s="2044">
        <v>200</v>
      </c>
      <c r="F74" s="2044" t="s">
        <v>1881</v>
      </c>
      <c r="G74" s="1725"/>
      <c r="H74" s="1712"/>
      <c r="I74" s="1801"/>
      <c r="J74" s="1801"/>
      <c r="K74" s="2114"/>
      <c r="L74" s="2128">
        <v>170000</v>
      </c>
      <c r="N74" s="1721"/>
      <c r="O74" s="1720"/>
    </row>
    <row r="75" spans="1:15" s="783" customFormat="1" ht="14.25" customHeight="1">
      <c r="A75" s="776"/>
      <c r="B75" s="776" t="s">
        <v>2929</v>
      </c>
      <c r="C75" s="2042"/>
      <c r="D75" s="2043" t="s">
        <v>3534</v>
      </c>
      <c r="E75" s="2044">
        <v>120</v>
      </c>
      <c r="F75" s="2044" t="s">
        <v>3535</v>
      </c>
      <c r="G75" s="1725"/>
      <c r="H75" s="1712"/>
      <c r="I75" s="1801"/>
      <c r="J75" s="1801"/>
      <c r="K75" s="2114"/>
      <c r="L75" s="2128">
        <v>42000</v>
      </c>
      <c r="N75" s="1721"/>
      <c r="O75" s="1720"/>
    </row>
    <row r="76" spans="1:15" s="783" customFormat="1" ht="14.25" customHeight="1">
      <c r="A76" s="776"/>
      <c r="B76" s="776" t="s">
        <v>2929</v>
      </c>
      <c r="C76" s="2042"/>
      <c r="D76" s="2043" t="s">
        <v>3536</v>
      </c>
      <c r="E76" s="2044">
        <v>150</v>
      </c>
      <c r="F76" s="2044" t="s">
        <v>3535</v>
      </c>
      <c r="G76" s="1725"/>
      <c r="H76" s="1712"/>
      <c r="I76" s="1801"/>
      <c r="J76" s="1801"/>
      <c r="K76" s="2114"/>
      <c r="L76" s="2128">
        <v>12600</v>
      </c>
      <c r="N76" s="1721"/>
      <c r="O76" s="1720"/>
    </row>
    <row r="77" spans="1:15" s="783" customFormat="1" ht="14.25" customHeight="1">
      <c r="A77" s="776"/>
      <c r="B77" s="776" t="s">
        <v>2929</v>
      </c>
      <c r="C77" s="2042"/>
      <c r="D77" s="2043" t="s">
        <v>3537</v>
      </c>
      <c r="E77" s="2044">
        <v>200</v>
      </c>
      <c r="F77" s="2044" t="s">
        <v>3342</v>
      </c>
      <c r="G77" s="1725"/>
      <c r="H77" s="1712"/>
      <c r="I77" s="1801"/>
      <c r="J77" s="1801"/>
      <c r="K77" s="2114"/>
      <c r="L77" s="2128">
        <v>24000</v>
      </c>
      <c r="N77" s="1721"/>
      <c r="O77" s="1720"/>
    </row>
    <row r="78" spans="1:15" s="783" customFormat="1" ht="14.25" customHeight="1">
      <c r="A78" s="776"/>
      <c r="B78" s="776" t="s">
        <v>2929</v>
      </c>
      <c r="C78" s="2042"/>
      <c r="D78" s="2043" t="s">
        <v>3538</v>
      </c>
      <c r="E78" s="2044">
        <v>50</v>
      </c>
      <c r="F78" s="2044" t="s">
        <v>1881</v>
      </c>
      <c r="G78" s="1725"/>
      <c r="H78" s="1712"/>
      <c r="I78" s="1801"/>
      <c r="J78" s="1801"/>
      <c r="K78" s="2114"/>
      <c r="L78" s="2128">
        <v>10000</v>
      </c>
      <c r="N78" s="1721"/>
      <c r="O78" s="1720"/>
    </row>
    <row r="79" spans="1:15" s="783" customFormat="1" ht="14.25" customHeight="1">
      <c r="A79" s="776"/>
      <c r="B79" s="776" t="s">
        <v>2929</v>
      </c>
      <c r="C79" s="2042"/>
      <c r="D79" s="2043" t="s">
        <v>2179</v>
      </c>
      <c r="E79" s="2044">
        <v>80</v>
      </c>
      <c r="F79" s="2044" t="s">
        <v>1881</v>
      </c>
      <c r="G79" s="1725"/>
      <c r="H79" s="1712"/>
      <c r="I79" s="1801"/>
      <c r="J79" s="1801"/>
      <c r="K79" s="2114"/>
      <c r="L79" s="2128">
        <v>5600</v>
      </c>
      <c r="N79" s="1721"/>
      <c r="O79" s="1720"/>
    </row>
    <row r="80" spans="1:15" s="783" customFormat="1" ht="14.25" customHeight="1">
      <c r="A80" s="776"/>
      <c r="B80" s="776" t="s">
        <v>2929</v>
      </c>
      <c r="C80" s="2042"/>
      <c r="D80" s="2043" t="s">
        <v>3539</v>
      </c>
      <c r="E80" s="2044">
        <v>100</v>
      </c>
      <c r="F80" s="2044" t="s">
        <v>3342</v>
      </c>
      <c r="G80" s="1725"/>
      <c r="H80" s="1712"/>
      <c r="I80" s="1801"/>
      <c r="J80" s="1801"/>
      <c r="K80" s="2114"/>
      <c r="L80" s="2128">
        <v>6500</v>
      </c>
      <c r="N80" s="1721"/>
      <c r="O80" s="1720"/>
    </row>
    <row r="81" spans="1:15" s="783" customFormat="1" ht="14.25" customHeight="1">
      <c r="A81" s="776"/>
      <c r="B81" s="776" t="s">
        <v>2929</v>
      </c>
      <c r="C81" s="2042"/>
      <c r="D81" s="2043" t="s">
        <v>1446</v>
      </c>
      <c r="E81" s="2044">
        <v>30</v>
      </c>
      <c r="F81" s="2044" t="s">
        <v>1881</v>
      </c>
      <c r="G81" s="1725"/>
      <c r="H81" s="1712"/>
      <c r="I81" s="1801"/>
      <c r="J81" s="1801"/>
      <c r="K81" s="2114"/>
      <c r="L81" s="2128">
        <v>123.28</v>
      </c>
      <c r="N81" s="1721"/>
      <c r="O81" s="1720"/>
    </row>
    <row r="82" spans="1:15" s="783" customFormat="1" ht="14.25" customHeight="1">
      <c r="A82" s="776"/>
      <c r="B82" s="776" t="s">
        <v>2929</v>
      </c>
      <c r="C82" s="2042"/>
      <c r="D82" s="2043" t="s">
        <v>3540</v>
      </c>
      <c r="E82" s="2044">
        <v>150</v>
      </c>
      <c r="F82" s="2044" t="s">
        <v>3541</v>
      </c>
      <c r="G82" s="1725"/>
      <c r="H82" s="1712"/>
      <c r="I82" s="1801"/>
      <c r="J82" s="1801"/>
      <c r="K82" s="2114"/>
      <c r="L82" s="2128">
        <v>4500</v>
      </c>
      <c r="N82" s="1721"/>
      <c r="O82" s="1720"/>
    </row>
    <row r="83" spans="1:15" s="783" customFormat="1" ht="14.25" customHeight="1">
      <c r="A83" s="776"/>
      <c r="B83" s="776" t="s">
        <v>2929</v>
      </c>
      <c r="C83" s="2042"/>
      <c r="D83" s="2043" t="s">
        <v>3542</v>
      </c>
      <c r="E83" s="2044">
        <v>150</v>
      </c>
      <c r="F83" s="2044" t="s">
        <v>3541</v>
      </c>
      <c r="G83" s="1725"/>
      <c r="H83" s="1712"/>
      <c r="I83" s="1801"/>
      <c r="J83" s="1801"/>
      <c r="K83" s="2114"/>
      <c r="L83" s="2128">
        <v>3000</v>
      </c>
      <c r="N83" s="1721"/>
      <c r="O83" s="1720"/>
    </row>
    <row r="84" spans="1:15" s="783" customFormat="1" ht="14.25" customHeight="1">
      <c r="A84" s="776"/>
      <c r="B84" s="776" t="s">
        <v>2929</v>
      </c>
      <c r="C84" s="2042"/>
      <c r="D84" s="2043" t="s">
        <v>3543</v>
      </c>
      <c r="E84" s="2044">
        <v>20</v>
      </c>
      <c r="F84" s="2044" t="s">
        <v>1881</v>
      </c>
      <c r="G84" s="1725"/>
      <c r="H84" s="1712"/>
      <c r="I84" s="1801"/>
      <c r="J84" s="1801"/>
      <c r="K84" s="2114"/>
      <c r="L84" s="2128">
        <v>1000</v>
      </c>
      <c r="N84" s="1721"/>
      <c r="O84" s="1720"/>
    </row>
    <row r="85" spans="1:15" s="783" customFormat="1" ht="14.25" customHeight="1">
      <c r="A85" s="776"/>
      <c r="B85" s="776" t="s">
        <v>2929</v>
      </c>
      <c r="C85" s="2042"/>
      <c r="D85" s="2043" t="s">
        <v>3544</v>
      </c>
      <c r="E85" s="2044">
        <v>80</v>
      </c>
      <c r="F85" s="2044" t="s">
        <v>3545</v>
      </c>
      <c r="G85" s="1725"/>
      <c r="H85" s="1712"/>
      <c r="I85" s="1801"/>
      <c r="J85" s="1801"/>
      <c r="K85" s="2114"/>
      <c r="L85" s="2128">
        <v>2400</v>
      </c>
      <c r="N85" s="1721"/>
      <c r="O85" s="1720"/>
    </row>
    <row r="86" spans="1:15" s="783" customFormat="1" ht="14.25" customHeight="1">
      <c r="A86" s="776"/>
      <c r="B86" s="776" t="s">
        <v>2929</v>
      </c>
      <c r="C86" s="2042"/>
      <c r="D86" s="2043" t="s">
        <v>3546</v>
      </c>
      <c r="E86" s="2044"/>
      <c r="F86" s="2044"/>
      <c r="G86" s="1725"/>
      <c r="H86" s="1712"/>
      <c r="I86" s="1801"/>
      <c r="J86" s="1801"/>
      <c r="K86" s="2114"/>
      <c r="L86" s="2128">
        <v>0</v>
      </c>
      <c r="N86" s="1721"/>
      <c r="O86" s="1720"/>
    </row>
    <row r="87" spans="1:15" s="783" customFormat="1" ht="14.25" customHeight="1">
      <c r="A87" s="776"/>
      <c r="B87" s="776" t="s">
        <v>2929</v>
      </c>
      <c r="C87" s="2042"/>
      <c r="D87" s="2043" t="s">
        <v>3547</v>
      </c>
      <c r="E87" s="2044"/>
      <c r="F87" s="2044"/>
      <c r="G87" s="1725"/>
      <c r="H87" s="1800"/>
      <c r="I87" s="1801"/>
      <c r="J87" s="1801"/>
      <c r="K87" s="2114"/>
      <c r="L87" s="2128">
        <v>0</v>
      </c>
      <c r="N87" s="1721"/>
      <c r="O87" s="1720"/>
    </row>
    <row r="88" spans="1:15" s="783" customFormat="1" ht="14.25" customHeight="1">
      <c r="A88" s="776"/>
      <c r="B88" s="776" t="s">
        <v>2929</v>
      </c>
      <c r="C88" s="2042"/>
      <c r="D88" s="2043" t="s">
        <v>3548</v>
      </c>
      <c r="E88" s="2044"/>
      <c r="F88" s="2044"/>
      <c r="G88" s="1725"/>
      <c r="H88" s="1712"/>
      <c r="I88" s="1801"/>
      <c r="J88" s="1801"/>
      <c r="K88" s="2114"/>
      <c r="L88" s="2128">
        <v>0</v>
      </c>
      <c r="N88" s="1721"/>
      <c r="O88" s="1720"/>
    </row>
    <row r="89" spans="1:15" s="783" customFormat="1" ht="14.25" customHeight="1">
      <c r="A89" s="776"/>
      <c r="B89" s="776" t="s">
        <v>2929</v>
      </c>
      <c r="C89" s="2042"/>
      <c r="D89" s="2043" t="s">
        <v>3549</v>
      </c>
      <c r="E89" s="2044">
        <v>80</v>
      </c>
      <c r="F89" s="2044" t="s">
        <v>1972</v>
      </c>
      <c r="G89" s="1725"/>
      <c r="H89" s="1712"/>
      <c r="I89" s="1812"/>
      <c r="J89" s="1812"/>
      <c r="K89" s="2126"/>
      <c r="L89" s="2128">
        <v>800</v>
      </c>
      <c r="N89" s="1721"/>
      <c r="O89" s="1720"/>
    </row>
    <row r="90" spans="1:15" s="783" customFormat="1" ht="14.25" customHeight="1">
      <c r="A90" s="776"/>
      <c r="B90" s="776" t="s">
        <v>2929</v>
      </c>
      <c r="C90" s="2042"/>
      <c r="D90" s="2043" t="s">
        <v>3550</v>
      </c>
      <c r="E90" s="2044">
        <v>200</v>
      </c>
      <c r="F90" s="2044" t="s">
        <v>1972</v>
      </c>
      <c r="G90" s="1725"/>
      <c r="H90" s="1712"/>
      <c r="I90" s="1801"/>
      <c r="J90" s="1801"/>
      <c r="K90" s="2114"/>
      <c r="L90" s="2128">
        <v>0</v>
      </c>
      <c r="N90" s="1721"/>
      <c r="O90" s="1720"/>
    </row>
    <row r="91" spans="1:15" s="783" customFormat="1" ht="14.25" customHeight="1">
      <c r="A91" s="776"/>
      <c r="B91" s="776" t="s">
        <v>2929</v>
      </c>
      <c r="C91" s="2042"/>
      <c r="D91" s="2043" t="s">
        <v>3551</v>
      </c>
      <c r="E91" s="2044">
        <v>60</v>
      </c>
      <c r="F91" s="2044" t="s">
        <v>1881</v>
      </c>
      <c r="G91" s="1725"/>
      <c r="H91" s="1712"/>
      <c r="I91" s="1801"/>
      <c r="J91" s="1801"/>
      <c r="K91" s="2114"/>
      <c r="L91" s="2128">
        <v>2340</v>
      </c>
      <c r="N91" s="1721"/>
      <c r="O91" s="1720"/>
    </row>
    <row r="92" spans="1:15" s="783" customFormat="1" ht="14.25" customHeight="1">
      <c r="A92" s="776"/>
      <c r="B92" s="776" t="s">
        <v>2929</v>
      </c>
      <c r="C92" s="2042"/>
      <c r="D92" s="2043" t="s">
        <v>3552</v>
      </c>
      <c r="E92" s="2044">
        <v>40</v>
      </c>
      <c r="F92" s="2044" t="s">
        <v>3553</v>
      </c>
      <c r="G92" s="1725"/>
      <c r="H92" s="1712"/>
      <c r="I92" s="1801"/>
      <c r="J92" s="1801"/>
      <c r="K92" s="2114"/>
      <c r="L92" s="2128">
        <v>0</v>
      </c>
      <c r="N92" s="1721"/>
      <c r="O92" s="1720"/>
    </row>
    <row r="93" spans="1:15" s="783" customFormat="1" ht="14.25" customHeight="1">
      <c r="A93" s="776"/>
      <c r="B93" s="776" t="s">
        <v>2929</v>
      </c>
      <c r="C93" s="2042"/>
      <c r="D93" s="2043" t="s">
        <v>3554</v>
      </c>
      <c r="E93" s="2044">
        <v>150</v>
      </c>
      <c r="F93" s="2044" t="s">
        <v>1885</v>
      </c>
      <c r="G93" s="1725"/>
      <c r="H93" s="1712"/>
      <c r="I93" s="1801"/>
      <c r="J93" s="1801"/>
      <c r="K93" s="2114"/>
      <c r="L93" s="2128">
        <v>900</v>
      </c>
      <c r="N93" s="1721"/>
      <c r="O93" s="1720"/>
    </row>
    <row r="94" spans="1:15" s="783" customFormat="1" ht="14.25" customHeight="1">
      <c r="A94" s="776"/>
      <c r="B94" s="776"/>
      <c r="C94" s="1804"/>
      <c r="D94" s="1816"/>
      <c r="E94" s="1724"/>
      <c r="F94" s="1724"/>
      <c r="G94" s="1725"/>
      <c r="H94" s="1712"/>
      <c r="I94" s="1801"/>
      <c r="J94" s="1801"/>
      <c r="K94" s="1802"/>
      <c r="N94" s="1721"/>
      <c r="O94" s="1720"/>
    </row>
    <row r="95" spans="1:15" s="783" customFormat="1" ht="14.25" customHeight="1">
      <c r="A95" s="776"/>
      <c r="B95" s="776"/>
      <c r="C95" s="1804"/>
      <c r="D95" s="1811"/>
      <c r="E95" s="1724"/>
      <c r="F95" s="1724"/>
      <c r="G95" s="1725"/>
      <c r="H95" s="1712"/>
      <c r="I95" s="1801"/>
      <c r="J95" s="1801"/>
      <c r="K95" s="1802"/>
      <c r="N95" s="1721"/>
      <c r="O95" s="1720"/>
    </row>
    <row r="96" spans="1:15" s="783" customFormat="1" ht="14.25" customHeight="1">
      <c r="A96" s="776"/>
      <c r="B96" s="776"/>
      <c r="C96" s="1804"/>
      <c r="D96" s="1811"/>
      <c r="E96" s="1724"/>
      <c r="F96" s="1724"/>
      <c r="G96" s="1725"/>
      <c r="H96" s="1712"/>
      <c r="I96" s="1801"/>
      <c r="J96" s="1801"/>
      <c r="K96" s="1802"/>
      <c r="N96" s="1721"/>
      <c r="O96" s="1720"/>
    </row>
    <row r="97" spans="1:16" s="783" customFormat="1" ht="14.25" customHeight="1">
      <c r="A97" s="776"/>
      <c r="B97" s="776"/>
      <c r="C97" s="1804"/>
      <c r="D97" s="1811"/>
      <c r="E97" s="1724"/>
      <c r="F97" s="1724"/>
      <c r="G97" s="1725"/>
      <c r="H97" s="1712"/>
      <c r="I97" s="1801"/>
      <c r="J97" s="1801"/>
      <c r="K97" s="1802"/>
      <c r="N97" s="1721"/>
      <c r="O97" s="1720"/>
    </row>
    <row r="98" spans="1:16" s="783" customFormat="1" ht="14.25" customHeight="1" thickBot="1">
      <c r="A98" s="1260"/>
      <c r="B98" s="777"/>
      <c r="C98" s="2865"/>
      <c r="D98" s="2866"/>
      <c r="E98" s="2867"/>
      <c r="F98" s="2865"/>
      <c r="G98" s="2868"/>
      <c r="H98" s="2869"/>
      <c r="I98" s="2869"/>
      <c r="J98" s="2869"/>
      <c r="K98" s="2865"/>
      <c r="M98" s="2865"/>
      <c r="N98" s="2870"/>
      <c r="O98" s="785"/>
    </row>
    <row r="99" spans="1:16" ht="14.25" customHeight="1">
      <c r="A99" s="125"/>
      <c r="B99" s="77" t="s">
        <v>4006</v>
      </c>
      <c r="C99" s="2859" t="s">
        <v>4412</v>
      </c>
      <c r="D99" s="2829" t="s">
        <v>2</v>
      </c>
      <c r="E99" s="2843" t="s">
        <v>4413</v>
      </c>
      <c r="F99" s="2829" t="s">
        <v>661</v>
      </c>
      <c r="G99" s="2829" t="s">
        <v>4012</v>
      </c>
      <c r="H99" s="2830">
        <v>46023</v>
      </c>
      <c r="I99" s="2829" t="s">
        <v>4414</v>
      </c>
      <c r="J99" s="2829" t="s">
        <v>4586</v>
      </c>
      <c r="K99" s="2829" t="s">
        <v>4411</v>
      </c>
      <c r="L99" s="19"/>
      <c r="M99" s="2829" t="s">
        <v>4415</v>
      </c>
      <c r="N99" s="19"/>
      <c r="P99" s="2807"/>
    </row>
    <row r="100" spans="1:16" ht="14.25" customHeight="1">
      <c r="A100" s="125"/>
      <c r="B100" s="77" t="s">
        <v>4006</v>
      </c>
      <c r="C100" s="2859"/>
      <c r="D100" s="1912" t="s">
        <v>4416</v>
      </c>
      <c r="E100" s="2829"/>
      <c r="F100" s="2829"/>
      <c r="G100" s="19"/>
      <c r="H100" s="19"/>
      <c r="I100" s="19"/>
      <c r="J100" s="19"/>
      <c r="K100" s="19"/>
      <c r="L100" s="19"/>
      <c r="M100" s="19"/>
      <c r="N100" s="19"/>
    </row>
    <row r="101" spans="1:16" ht="22.5" customHeight="1">
      <c r="A101" s="125"/>
      <c r="B101" s="77" t="s">
        <v>4006</v>
      </c>
      <c r="C101" s="2859"/>
      <c r="D101" s="1822" t="s">
        <v>4418</v>
      </c>
      <c r="E101" s="2829">
        <v>2825</v>
      </c>
      <c r="F101" s="2839" t="s">
        <v>4417</v>
      </c>
      <c r="G101" s="2829" t="s">
        <v>661</v>
      </c>
      <c r="H101" s="19"/>
      <c r="I101" s="2829"/>
      <c r="J101" s="2829"/>
      <c r="K101" s="2829"/>
      <c r="L101" s="2871">
        <v>702650</v>
      </c>
      <c r="M101" s="1912"/>
      <c r="N101" s="2872" t="s">
        <v>4419</v>
      </c>
    </row>
    <row r="102" spans="1:16" ht="14.25" customHeight="1">
      <c r="A102" s="125"/>
      <c r="B102" s="77" t="s">
        <v>4006</v>
      </c>
      <c r="C102" s="2859"/>
      <c r="D102" s="1822" t="s">
        <v>4420</v>
      </c>
      <c r="E102" s="2829">
        <v>2825</v>
      </c>
      <c r="F102" s="2839" t="s">
        <v>4417</v>
      </c>
      <c r="G102" s="19"/>
      <c r="H102" s="2829" t="s">
        <v>2757</v>
      </c>
      <c r="I102" s="1912"/>
      <c r="J102" s="1912"/>
      <c r="K102" s="1912"/>
      <c r="L102" s="2871">
        <v>956900</v>
      </c>
      <c r="M102" s="1912"/>
      <c r="N102" s="2872" t="s">
        <v>2757</v>
      </c>
    </row>
    <row r="103" spans="1:16" ht="14.25" customHeight="1">
      <c r="A103" s="125"/>
      <c r="B103" s="77" t="s">
        <v>4006</v>
      </c>
      <c r="C103" s="2859"/>
      <c r="D103" s="1822" t="s">
        <v>4421</v>
      </c>
      <c r="E103" s="2829">
        <v>160</v>
      </c>
      <c r="F103" s="2839" t="s">
        <v>4417</v>
      </c>
      <c r="G103" s="19"/>
      <c r="H103" s="2829" t="s">
        <v>2757</v>
      </c>
      <c r="I103" s="1912"/>
      <c r="J103" s="1912"/>
      <c r="K103" s="1912"/>
      <c r="L103" s="2871">
        <v>60620</v>
      </c>
      <c r="M103" s="1912"/>
      <c r="N103" s="2872" t="s">
        <v>2757</v>
      </c>
    </row>
    <row r="104" spans="1:16">
      <c r="A104" s="125"/>
      <c r="B104" s="77" t="s">
        <v>4006</v>
      </c>
      <c r="C104" s="2859"/>
      <c r="D104" s="1822" t="s">
        <v>4422</v>
      </c>
      <c r="E104" s="2829">
        <v>2825</v>
      </c>
      <c r="F104" s="2839" t="s">
        <v>4417</v>
      </c>
      <c r="G104" s="19"/>
      <c r="H104" s="2829" t="s">
        <v>2757</v>
      </c>
      <c r="I104" s="1912"/>
      <c r="J104" s="1912"/>
      <c r="K104" s="1912"/>
      <c r="L104" s="2871">
        <v>928650</v>
      </c>
      <c r="M104" s="1912"/>
      <c r="N104" s="2872" t="s">
        <v>2757</v>
      </c>
    </row>
    <row r="105" spans="1:16">
      <c r="A105" s="125"/>
      <c r="B105" s="77" t="s">
        <v>4006</v>
      </c>
      <c r="C105" s="2859"/>
      <c r="D105" s="1822" t="s">
        <v>4423</v>
      </c>
      <c r="E105" s="2829">
        <v>1000</v>
      </c>
      <c r="F105" s="2839" t="s">
        <v>4417</v>
      </c>
      <c r="G105" s="19"/>
      <c r="H105" s="2829" t="s">
        <v>2757</v>
      </c>
      <c r="I105" s="1912"/>
      <c r="J105" s="1912"/>
      <c r="K105" s="1912"/>
      <c r="L105" s="2871">
        <v>330000</v>
      </c>
      <c r="M105" s="1912"/>
      <c r="N105" s="2872" t="s">
        <v>2757</v>
      </c>
    </row>
    <row r="106" spans="1:16">
      <c r="A106" s="19"/>
      <c r="B106" s="77" t="s">
        <v>4006</v>
      </c>
      <c r="C106" s="2873"/>
      <c r="D106" s="1822" t="s">
        <v>3533</v>
      </c>
      <c r="E106" s="2829">
        <v>80</v>
      </c>
      <c r="F106" s="2839" t="s">
        <v>4417</v>
      </c>
      <c r="G106" s="19"/>
      <c r="H106" s="2829" t="s">
        <v>2757</v>
      </c>
      <c r="I106" s="1912"/>
      <c r="J106" s="1912"/>
      <c r="K106" s="1912"/>
      <c r="L106" s="2871">
        <v>27910</v>
      </c>
      <c r="M106" s="1912"/>
      <c r="N106" s="2872" t="s">
        <v>2757</v>
      </c>
    </row>
    <row r="107" spans="1:16">
      <c r="A107" s="125"/>
      <c r="B107" s="77" t="s">
        <v>4006</v>
      </c>
      <c r="C107" s="2873"/>
      <c r="D107" s="1822" t="s">
        <v>4424</v>
      </c>
      <c r="E107" s="2829">
        <v>500</v>
      </c>
      <c r="F107" s="2839" t="s">
        <v>4417</v>
      </c>
      <c r="G107" s="19"/>
      <c r="H107" s="2829" t="s">
        <v>2757</v>
      </c>
      <c r="I107" s="1912"/>
      <c r="J107" s="1912"/>
      <c r="K107" s="1912"/>
      <c r="L107" s="2871">
        <v>124700</v>
      </c>
      <c r="M107" s="1912"/>
      <c r="N107" s="2872" t="s">
        <v>2757</v>
      </c>
    </row>
    <row r="108" spans="1:16">
      <c r="A108" s="125"/>
      <c r="B108" s="77" t="s">
        <v>4006</v>
      </c>
      <c r="C108" s="2873"/>
      <c r="D108" s="1822" t="s">
        <v>4425</v>
      </c>
      <c r="E108" s="2829">
        <v>50</v>
      </c>
      <c r="F108" s="2839" t="s">
        <v>4417</v>
      </c>
      <c r="G108" s="19"/>
      <c r="H108" s="2829" t="s">
        <v>2757</v>
      </c>
      <c r="I108" s="1912"/>
      <c r="J108" s="1912"/>
      <c r="K108" s="1912"/>
      <c r="L108" s="2871">
        <v>19000</v>
      </c>
      <c r="M108" s="1912"/>
      <c r="N108" s="2872" t="s">
        <v>2757</v>
      </c>
    </row>
    <row r="109" spans="1:16">
      <c r="A109" s="125"/>
      <c r="B109" s="77" t="s">
        <v>4006</v>
      </c>
      <c r="C109" s="2873"/>
      <c r="D109" s="1822" t="s">
        <v>4426</v>
      </c>
      <c r="E109" s="2829">
        <v>2018</v>
      </c>
      <c r="F109" s="2839" t="s">
        <v>4417</v>
      </c>
      <c r="G109" s="19"/>
      <c r="H109" s="2829" t="s">
        <v>2757</v>
      </c>
      <c r="I109" s="1912"/>
      <c r="J109" s="1912"/>
      <c r="K109" s="1912"/>
      <c r="L109" s="2871">
        <v>1009000</v>
      </c>
      <c r="M109" s="1912"/>
      <c r="N109" s="2872" t="s">
        <v>2757</v>
      </c>
    </row>
    <row r="110" spans="1:16">
      <c r="A110" s="125"/>
      <c r="B110" s="77" t="s">
        <v>4006</v>
      </c>
      <c r="C110" s="2873"/>
      <c r="D110" s="1822" t="s">
        <v>4427</v>
      </c>
      <c r="E110" s="2829">
        <v>200</v>
      </c>
      <c r="F110" s="2839" t="s">
        <v>4417</v>
      </c>
      <c r="G110" s="19"/>
      <c r="H110" s="2829" t="s">
        <v>2757</v>
      </c>
      <c r="I110" s="1912"/>
      <c r="J110" s="1912"/>
      <c r="K110" s="1912"/>
      <c r="L110" s="2871">
        <v>44000</v>
      </c>
      <c r="M110" s="1912"/>
      <c r="N110" s="2872" t="s">
        <v>2757</v>
      </c>
    </row>
    <row r="111" spans="1:16">
      <c r="A111" s="125"/>
      <c r="B111" s="77" t="s">
        <v>4006</v>
      </c>
      <c r="C111" s="2873"/>
      <c r="D111" s="1822" t="s">
        <v>4428</v>
      </c>
      <c r="E111" s="2829">
        <v>200</v>
      </c>
      <c r="F111" s="2839" t="s">
        <v>4417</v>
      </c>
      <c r="G111" s="19"/>
      <c r="H111" s="2829" t="s">
        <v>2757</v>
      </c>
      <c r="I111" s="1912"/>
      <c r="J111" s="1912"/>
      <c r="K111" s="1912"/>
      <c r="L111" s="2871">
        <v>44000</v>
      </c>
      <c r="M111" s="1912"/>
      <c r="N111" s="2872" t="s">
        <v>2757</v>
      </c>
    </row>
    <row r="112" spans="1:16">
      <c r="A112" s="125"/>
      <c r="B112" s="77" t="s">
        <v>4006</v>
      </c>
      <c r="C112" s="2873"/>
      <c r="D112" s="1822" t="s">
        <v>4429</v>
      </c>
      <c r="E112" s="2829">
        <v>350</v>
      </c>
      <c r="F112" s="2839" t="s">
        <v>4417</v>
      </c>
      <c r="G112" s="19"/>
      <c r="H112" s="2829" t="s">
        <v>2757</v>
      </c>
      <c r="I112" s="1912"/>
      <c r="J112" s="1912"/>
      <c r="K112" s="1912"/>
      <c r="L112" s="2871">
        <v>77000</v>
      </c>
      <c r="M112" s="1912"/>
      <c r="N112" s="2872" t="s">
        <v>2757</v>
      </c>
    </row>
    <row r="113" spans="1:14">
      <c r="A113" s="125"/>
      <c r="B113" s="77" t="s">
        <v>4006</v>
      </c>
      <c r="C113" s="2873"/>
      <c r="D113" s="1822" t="s">
        <v>4430</v>
      </c>
      <c r="E113" s="2829">
        <v>9518</v>
      </c>
      <c r="F113" s="2839" t="s">
        <v>4417</v>
      </c>
      <c r="G113" s="19"/>
      <c r="H113" s="2829" t="s">
        <v>2757</v>
      </c>
      <c r="I113" s="1912"/>
      <c r="J113" s="1912"/>
      <c r="K113" s="1912"/>
      <c r="L113" s="2871">
        <v>2093960</v>
      </c>
      <c r="M113" s="1912"/>
      <c r="N113" s="2872" t="s">
        <v>2757</v>
      </c>
    </row>
    <row r="114" spans="1:14">
      <c r="A114" s="125"/>
      <c r="B114" s="77" t="s">
        <v>4006</v>
      </c>
      <c r="C114" s="2873"/>
      <c r="D114" s="1822" t="s">
        <v>4431</v>
      </c>
      <c r="E114" s="2829">
        <v>390</v>
      </c>
      <c r="F114" s="2839" t="s">
        <v>4417</v>
      </c>
      <c r="G114" s="19"/>
      <c r="H114" s="2829" t="s">
        <v>2757</v>
      </c>
      <c r="I114" s="1912"/>
      <c r="J114" s="1912"/>
      <c r="K114" s="1912"/>
      <c r="L114" s="2871">
        <v>93000</v>
      </c>
      <c r="M114" s="1912"/>
      <c r="N114" s="2872" t="s">
        <v>2757</v>
      </c>
    </row>
    <row r="115" spans="1:14">
      <c r="A115" s="125"/>
      <c r="B115" s="77" t="s">
        <v>4006</v>
      </c>
      <c r="C115" s="2873"/>
      <c r="D115" s="1822" t="s">
        <v>4432</v>
      </c>
      <c r="E115" s="2829">
        <v>5</v>
      </c>
      <c r="F115" s="2839" t="s">
        <v>4417</v>
      </c>
      <c r="G115" s="19"/>
      <c r="H115" s="2829" t="s">
        <v>2757</v>
      </c>
      <c r="I115" s="1912"/>
      <c r="J115" s="1912"/>
      <c r="K115" s="1912"/>
      <c r="L115" s="2871">
        <v>1100</v>
      </c>
      <c r="M115" s="1912"/>
      <c r="N115" s="2872" t="s">
        <v>2757</v>
      </c>
    </row>
    <row r="116" spans="1:14">
      <c r="A116" s="125"/>
      <c r="B116" s="77" t="s">
        <v>4006</v>
      </c>
      <c r="C116" s="2873"/>
      <c r="D116" s="1822" t="s">
        <v>4433</v>
      </c>
      <c r="E116" s="2829">
        <v>5</v>
      </c>
      <c r="F116" s="2839" t="s">
        <v>1841</v>
      </c>
      <c r="G116" s="19"/>
      <c r="H116" s="2829" t="s">
        <v>2757</v>
      </c>
      <c r="I116" s="1912"/>
      <c r="J116" s="1912"/>
      <c r="K116" s="1912"/>
      <c r="L116" s="2871">
        <v>1300</v>
      </c>
      <c r="M116" s="1912"/>
      <c r="N116" s="2872" t="s">
        <v>2757</v>
      </c>
    </row>
    <row r="117" spans="1:14">
      <c r="A117" s="125"/>
      <c r="B117" s="77" t="s">
        <v>4006</v>
      </c>
      <c r="C117" s="2873"/>
      <c r="D117" s="2843" t="s">
        <v>4434</v>
      </c>
      <c r="E117" s="2829"/>
      <c r="F117" s="2839"/>
      <c r="G117" s="19"/>
      <c r="H117" s="2829" t="s">
        <v>2757</v>
      </c>
      <c r="I117" s="1912"/>
      <c r="J117" s="1912"/>
      <c r="K117" s="1912"/>
      <c r="L117" s="2871"/>
      <c r="M117" s="1912"/>
      <c r="N117" s="2872"/>
    </row>
    <row r="118" spans="1:14" ht="30">
      <c r="A118" s="19"/>
      <c r="B118" s="77" t="s">
        <v>4006</v>
      </c>
      <c r="C118" s="2873"/>
      <c r="D118" s="1822" t="s">
        <v>4436</v>
      </c>
      <c r="E118" s="2829">
        <v>400</v>
      </c>
      <c r="F118" s="2839" t="s">
        <v>4435</v>
      </c>
      <c r="G118" s="19"/>
      <c r="H118" s="2829" t="s">
        <v>661</v>
      </c>
      <c r="I118" s="1912"/>
      <c r="J118" s="1912"/>
      <c r="K118" s="1912"/>
      <c r="L118" s="2871">
        <v>1040000</v>
      </c>
      <c r="M118" s="1912"/>
      <c r="N118" s="2872" t="s">
        <v>4437</v>
      </c>
    </row>
    <row r="119" spans="1:14">
      <c r="A119" s="19"/>
      <c r="B119" s="77" t="s">
        <v>4006</v>
      </c>
      <c r="C119" s="2873"/>
      <c r="D119" s="1822" t="s">
        <v>4438</v>
      </c>
      <c r="E119" s="2829">
        <v>5</v>
      </c>
      <c r="F119" s="2839" t="s">
        <v>4417</v>
      </c>
      <c r="G119" s="19"/>
      <c r="H119" s="2829" t="s">
        <v>2757</v>
      </c>
      <c r="I119" s="1912"/>
      <c r="J119" s="1912"/>
      <c r="K119" s="1912"/>
      <c r="L119" s="2871">
        <v>310.5</v>
      </c>
      <c r="M119" s="1912"/>
      <c r="N119" s="2872" t="s">
        <v>2757</v>
      </c>
    </row>
    <row r="120" spans="1:14">
      <c r="A120" s="125"/>
      <c r="B120" s="77" t="s">
        <v>4006</v>
      </c>
      <c r="C120" s="2873"/>
      <c r="D120" s="1822" t="s">
        <v>4439</v>
      </c>
      <c r="E120" s="2829">
        <v>60</v>
      </c>
      <c r="F120" s="2839" t="s">
        <v>4417</v>
      </c>
      <c r="G120" s="19"/>
      <c r="H120" s="2829" t="s">
        <v>2757</v>
      </c>
      <c r="I120" s="1912"/>
      <c r="J120" s="1912"/>
      <c r="K120" s="1912"/>
      <c r="L120" s="2871">
        <v>2904</v>
      </c>
      <c r="M120" s="1912"/>
      <c r="N120" s="2872" t="s">
        <v>2757</v>
      </c>
    </row>
    <row r="121" spans="1:14">
      <c r="A121" s="125"/>
      <c r="B121" s="77" t="s">
        <v>4006</v>
      </c>
      <c r="C121" s="2873"/>
      <c r="D121" s="2874" t="s">
        <v>4440</v>
      </c>
      <c r="E121" s="2829"/>
      <c r="F121" s="2839"/>
      <c r="G121" s="19"/>
      <c r="H121" s="2829"/>
      <c r="I121" s="1912"/>
      <c r="J121" s="1912"/>
      <c r="K121" s="1912"/>
      <c r="L121" s="2871"/>
      <c r="M121" s="1912"/>
      <c r="N121" s="2872" t="s">
        <v>2757</v>
      </c>
    </row>
    <row r="122" spans="1:14" ht="27">
      <c r="A122" s="125"/>
      <c r="B122" s="77" t="s">
        <v>4006</v>
      </c>
      <c r="C122" s="2873"/>
      <c r="D122" s="1822" t="s">
        <v>4441</v>
      </c>
      <c r="E122" s="2829">
        <v>10</v>
      </c>
      <c r="F122" s="2839" t="s">
        <v>1841</v>
      </c>
      <c r="G122" s="19"/>
      <c r="H122" s="2829" t="s">
        <v>661</v>
      </c>
      <c r="I122" s="1912"/>
      <c r="J122" s="1912"/>
      <c r="K122" s="1912"/>
      <c r="L122" s="2871">
        <v>203.5</v>
      </c>
      <c r="M122" s="1912"/>
      <c r="N122" s="2872" t="s">
        <v>2757</v>
      </c>
    </row>
    <row r="123" spans="1:14">
      <c r="A123" s="125"/>
      <c r="B123" s="77" t="s">
        <v>4006</v>
      </c>
      <c r="C123" s="2873"/>
      <c r="D123" s="1822" t="s">
        <v>4442</v>
      </c>
      <c r="E123" s="2829">
        <v>10</v>
      </c>
      <c r="F123" s="2839" t="s">
        <v>1841</v>
      </c>
      <c r="G123" s="19"/>
      <c r="H123" s="2829" t="s">
        <v>2757</v>
      </c>
      <c r="I123" s="1912"/>
      <c r="J123" s="1912"/>
      <c r="K123" s="1912"/>
      <c r="L123" s="2871">
        <v>169.5</v>
      </c>
      <c r="M123" s="1912"/>
      <c r="N123" s="2872" t="s">
        <v>2757</v>
      </c>
    </row>
    <row r="124" spans="1:14">
      <c r="A124" s="125"/>
      <c r="B124" s="77" t="s">
        <v>4006</v>
      </c>
      <c r="C124" s="2875"/>
      <c r="D124" s="1822" t="s">
        <v>4443</v>
      </c>
      <c r="E124" s="2829">
        <v>200</v>
      </c>
      <c r="F124" s="2839" t="s">
        <v>1967</v>
      </c>
      <c r="G124" s="19"/>
      <c r="H124" s="2829" t="s">
        <v>2757</v>
      </c>
      <c r="I124" s="1912"/>
      <c r="J124" s="1912"/>
      <c r="K124" s="1912"/>
      <c r="L124" s="2871">
        <v>6390</v>
      </c>
      <c r="M124" s="1912"/>
      <c r="N124" s="2872" t="s">
        <v>2757</v>
      </c>
    </row>
    <row r="125" spans="1:14">
      <c r="A125" s="19"/>
      <c r="B125" s="77" t="s">
        <v>4006</v>
      </c>
      <c r="C125" s="2875"/>
      <c r="D125" s="1822" t="s">
        <v>4444</v>
      </c>
      <c r="E125" s="2829">
        <v>75</v>
      </c>
      <c r="F125" s="2839" t="s">
        <v>4417</v>
      </c>
      <c r="G125" s="19"/>
      <c r="H125" s="2829" t="s">
        <v>2757</v>
      </c>
      <c r="I125" s="1912"/>
      <c r="J125" s="1912"/>
      <c r="K125" s="1912"/>
      <c r="L125" s="2871">
        <v>6564</v>
      </c>
      <c r="M125" s="1912"/>
      <c r="N125" s="2872" t="s">
        <v>2757</v>
      </c>
    </row>
    <row r="126" spans="1:14">
      <c r="A126" s="58"/>
      <c r="B126" s="77" t="s">
        <v>4006</v>
      </c>
      <c r="C126" s="2875"/>
      <c r="D126" s="1822" t="s">
        <v>4445</v>
      </c>
      <c r="E126" s="2829">
        <v>10</v>
      </c>
      <c r="F126" s="2839" t="s">
        <v>1967</v>
      </c>
      <c r="G126" s="19"/>
      <c r="H126" s="2829" t="s">
        <v>2757</v>
      </c>
      <c r="I126" s="1912"/>
      <c r="J126" s="1912"/>
      <c r="K126" s="1912"/>
      <c r="L126" s="2871">
        <v>298</v>
      </c>
      <c r="M126" s="1912"/>
      <c r="N126" s="2872" t="s">
        <v>2757</v>
      </c>
    </row>
    <row r="127" spans="1:14">
      <c r="A127" s="58"/>
      <c r="B127" s="77" t="s">
        <v>4006</v>
      </c>
      <c r="C127" s="2875"/>
      <c r="D127" s="1822" t="s">
        <v>4446</v>
      </c>
      <c r="E127" s="2829">
        <v>3</v>
      </c>
      <c r="F127" s="2839" t="s">
        <v>4417</v>
      </c>
      <c r="G127" s="19"/>
      <c r="H127" s="2829" t="s">
        <v>2757</v>
      </c>
      <c r="I127" s="1912"/>
      <c r="J127" s="1912"/>
      <c r="K127" s="1912"/>
      <c r="L127" s="2871">
        <v>490.95</v>
      </c>
      <c r="M127" s="1912"/>
      <c r="N127" s="2872" t="s">
        <v>2757</v>
      </c>
    </row>
    <row r="128" spans="1:14">
      <c r="A128" s="58"/>
      <c r="B128" s="77" t="s">
        <v>4006</v>
      </c>
      <c r="C128" s="2875"/>
      <c r="D128" s="1822" t="s">
        <v>4447</v>
      </c>
      <c r="E128" s="2829">
        <v>100</v>
      </c>
      <c r="F128" s="2839" t="s">
        <v>1841</v>
      </c>
      <c r="G128" s="19"/>
      <c r="H128" s="2829" t="s">
        <v>2757</v>
      </c>
      <c r="I128" s="1912"/>
      <c r="J128" s="1912"/>
      <c r="K128" s="1912"/>
      <c r="L128" s="2871">
        <v>8200</v>
      </c>
      <c r="M128" s="1912"/>
      <c r="N128" s="2872" t="s">
        <v>2757</v>
      </c>
    </row>
    <row r="129" spans="1:14">
      <c r="A129" s="58"/>
      <c r="B129" s="77" t="s">
        <v>4006</v>
      </c>
      <c r="C129" s="2875"/>
      <c r="D129" s="1822" t="s">
        <v>4448</v>
      </c>
      <c r="E129" s="2829">
        <v>30</v>
      </c>
      <c r="F129" s="2839" t="s">
        <v>1700</v>
      </c>
      <c r="G129" s="19"/>
      <c r="H129" s="2829" t="s">
        <v>2757</v>
      </c>
      <c r="I129" s="1912"/>
      <c r="J129" s="1912"/>
      <c r="K129" s="1912"/>
      <c r="L129" s="2871">
        <v>1950</v>
      </c>
      <c r="M129" s="1912"/>
      <c r="N129" s="2872" t="s">
        <v>2757</v>
      </c>
    </row>
    <row r="130" spans="1:14">
      <c r="A130" s="58"/>
      <c r="B130" s="77" t="s">
        <v>4006</v>
      </c>
      <c r="C130" s="2875"/>
      <c r="D130" s="1822" t="s">
        <v>4449</v>
      </c>
      <c r="E130" s="2829">
        <v>10</v>
      </c>
      <c r="F130" s="2839" t="s">
        <v>1841</v>
      </c>
      <c r="G130" s="19"/>
      <c r="H130" s="2829" t="s">
        <v>2757</v>
      </c>
      <c r="I130" s="1912"/>
      <c r="J130" s="1912"/>
      <c r="K130" s="1912"/>
      <c r="L130" s="2871">
        <v>2089</v>
      </c>
      <c r="M130" s="1912"/>
      <c r="N130" s="2872" t="s">
        <v>2757</v>
      </c>
    </row>
    <row r="131" spans="1:14">
      <c r="A131" s="19"/>
      <c r="B131" s="77" t="s">
        <v>4006</v>
      </c>
      <c r="C131" s="2875"/>
      <c r="D131" s="1822" t="s">
        <v>4450</v>
      </c>
      <c r="E131" s="2829">
        <v>3</v>
      </c>
      <c r="F131" s="2839" t="s">
        <v>1747</v>
      </c>
      <c r="G131" s="19"/>
      <c r="H131" s="2829" t="s">
        <v>2757</v>
      </c>
      <c r="I131" s="1912"/>
      <c r="J131" s="1912"/>
      <c r="K131" s="1912"/>
      <c r="L131" s="2871">
        <v>1176.45</v>
      </c>
      <c r="M131" s="1912"/>
      <c r="N131" s="2872" t="s">
        <v>2757</v>
      </c>
    </row>
    <row r="132" spans="1:14">
      <c r="A132" s="19"/>
      <c r="B132" s="77" t="s">
        <v>4006</v>
      </c>
      <c r="C132" s="2875"/>
      <c r="D132" s="1822" t="s">
        <v>4451</v>
      </c>
      <c r="E132" s="2829">
        <v>10</v>
      </c>
      <c r="F132" s="2839" t="s">
        <v>1841</v>
      </c>
      <c r="G132" s="19"/>
      <c r="H132" s="2829" t="s">
        <v>2757</v>
      </c>
      <c r="I132" s="1912"/>
      <c r="J132" s="1912"/>
      <c r="K132" s="1912"/>
      <c r="L132" s="2871">
        <v>2610</v>
      </c>
      <c r="M132" s="1912"/>
      <c r="N132" s="2872" t="s">
        <v>2757</v>
      </c>
    </row>
    <row r="133" spans="1:14">
      <c r="A133" s="19"/>
      <c r="B133" s="77" t="s">
        <v>4006</v>
      </c>
      <c r="C133" s="2875"/>
      <c r="D133" s="2876" t="s">
        <v>4452</v>
      </c>
      <c r="E133" s="2829">
        <v>5</v>
      </c>
      <c r="F133" s="2877" t="s">
        <v>1841</v>
      </c>
      <c r="G133" s="19"/>
      <c r="H133" s="2829" t="s">
        <v>2757</v>
      </c>
      <c r="I133" s="1912"/>
      <c r="J133" s="1912"/>
      <c r="K133" s="1912"/>
      <c r="L133" s="2871">
        <v>589.75</v>
      </c>
      <c r="M133" s="1912"/>
      <c r="N133" s="2872" t="s">
        <v>2757</v>
      </c>
    </row>
    <row r="134" spans="1:14">
      <c r="A134" s="19"/>
      <c r="B134" s="77" t="s">
        <v>4006</v>
      </c>
      <c r="C134" s="2875"/>
      <c r="D134" s="2876" t="s">
        <v>4453</v>
      </c>
      <c r="E134" s="2829">
        <v>10</v>
      </c>
      <c r="F134" s="2877" t="s">
        <v>2001</v>
      </c>
      <c r="G134" s="19"/>
      <c r="H134" s="2829" t="s">
        <v>2757</v>
      </c>
      <c r="I134" s="1912"/>
      <c r="J134" s="1912"/>
      <c r="K134" s="1912"/>
      <c r="L134" s="2871">
        <v>6415</v>
      </c>
      <c r="M134" s="1912"/>
      <c r="N134" s="2872" t="s">
        <v>2757</v>
      </c>
    </row>
    <row r="135" spans="1:14">
      <c r="A135" s="19"/>
      <c r="B135" s="77" t="s">
        <v>4006</v>
      </c>
      <c r="C135" s="2875"/>
      <c r="D135" s="1822" t="s">
        <v>4454</v>
      </c>
      <c r="E135" s="2829">
        <v>500</v>
      </c>
      <c r="F135" s="2839" t="s">
        <v>4417</v>
      </c>
      <c r="G135" s="19"/>
      <c r="H135" s="2829" t="s">
        <v>2757</v>
      </c>
      <c r="I135" s="1912"/>
      <c r="J135" s="1912"/>
      <c r="K135" s="1912"/>
      <c r="L135" s="2871">
        <v>106375</v>
      </c>
      <c r="M135" s="1912"/>
      <c r="N135" s="2872" t="s">
        <v>2757</v>
      </c>
    </row>
    <row r="136" spans="1:14">
      <c r="A136" s="19"/>
      <c r="B136" s="77" t="s">
        <v>4006</v>
      </c>
      <c r="C136" s="2875"/>
      <c r="D136" s="1822" t="s">
        <v>4455</v>
      </c>
      <c r="E136" s="2829">
        <v>50</v>
      </c>
      <c r="F136" s="2839" t="s">
        <v>4417</v>
      </c>
      <c r="G136" s="19"/>
      <c r="H136" s="2829" t="s">
        <v>2757</v>
      </c>
      <c r="I136" s="1912"/>
      <c r="J136" s="1912"/>
      <c r="K136" s="1912"/>
      <c r="L136" s="2871">
        <v>3162.5</v>
      </c>
      <c r="M136" s="1912"/>
      <c r="N136" s="2872" t="s">
        <v>2757</v>
      </c>
    </row>
    <row r="137" spans="1:14">
      <c r="A137" s="19"/>
      <c r="B137" s="77" t="s">
        <v>4006</v>
      </c>
      <c r="C137" s="2875"/>
      <c r="D137" s="1822" t="s">
        <v>4456</v>
      </c>
      <c r="E137" s="2829">
        <v>30</v>
      </c>
      <c r="F137" s="2839" t="s">
        <v>1967</v>
      </c>
      <c r="G137" s="19"/>
      <c r="H137" s="2829" t="s">
        <v>2757</v>
      </c>
      <c r="I137" s="1912"/>
      <c r="J137" s="1912"/>
      <c r="K137" s="1912"/>
      <c r="L137" s="2871">
        <v>1404</v>
      </c>
      <c r="M137" s="1912"/>
      <c r="N137" s="2872" t="s">
        <v>2757</v>
      </c>
    </row>
    <row r="138" spans="1:14">
      <c r="A138" s="19"/>
      <c r="B138" s="77" t="s">
        <v>4006</v>
      </c>
      <c r="C138" s="2875"/>
      <c r="D138" s="1822" t="s">
        <v>4457</v>
      </c>
      <c r="E138" s="2829">
        <v>50</v>
      </c>
      <c r="F138" s="2839" t="s">
        <v>1967</v>
      </c>
      <c r="G138" s="19"/>
      <c r="H138" s="2829" t="s">
        <v>2757</v>
      </c>
      <c r="I138" s="1912"/>
      <c r="J138" s="1912"/>
      <c r="K138" s="1912"/>
      <c r="L138" s="2871">
        <v>2372.5</v>
      </c>
      <c r="M138" s="1912"/>
      <c r="N138" s="2872" t="s">
        <v>2757</v>
      </c>
    </row>
    <row r="139" spans="1:14" ht="27">
      <c r="A139" s="19"/>
      <c r="B139" s="77" t="s">
        <v>4006</v>
      </c>
      <c r="C139" s="2875"/>
      <c r="D139" s="1822" t="s">
        <v>4458</v>
      </c>
      <c r="E139" s="2829">
        <v>87</v>
      </c>
      <c r="F139" s="2839" t="s">
        <v>1841</v>
      </c>
      <c r="G139" s="19"/>
      <c r="H139" s="2829" t="s">
        <v>661</v>
      </c>
      <c r="I139" s="1912"/>
      <c r="J139" s="1912"/>
      <c r="K139" s="1912"/>
      <c r="L139" s="2871">
        <v>3219</v>
      </c>
      <c r="M139" s="1912"/>
      <c r="N139" s="2872" t="s">
        <v>2757</v>
      </c>
    </row>
    <row r="140" spans="1:14">
      <c r="A140" s="19"/>
      <c r="B140" s="77" t="s">
        <v>4006</v>
      </c>
      <c r="C140" s="2875"/>
      <c r="D140" s="1822" t="s">
        <v>4459</v>
      </c>
      <c r="E140" s="2829">
        <v>30</v>
      </c>
      <c r="F140" s="2839" t="s">
        <v>1841</v>
      </c>
      <c r="G140" s="19"/>
      <c r="H140" s="2829" t="s">
        <v>2757</v>
      </c>
      <c r="I140" s="1912"/>
      <c r="J140" s="1912"/>
      <c r="K140" s="1912"/>
      <c r="L140" s="2871">
        <v>1813.5</v>
      </c>
      <c r="M140" s="1912"/>
      <c r="N140" s="2872" t="s">
        <v>2757</v>
      </c>
    </row>
    <row r="141" spans="1:14">
      <c r="A141" s="19"/>
      <c r="B141" s="77" t="s">
        <v>4006</v>
      </c>
      <c r="C141" s="2875"/>
      <c r="D141" s="1822" t="s">
        <v>4460</v>
      </c>
      <c r="E141" s="2829">
        <v>30</v>
      </c>
      <c r="F141" s="2839" t="s">
        <v>4417</v>
      </c>
      <c r="G141" s="19"/>
      <c r="H141" s="2829" t="s">
        <v>2757</v>
      </c>
      <c r="I141" s="1912"/>
      <c r="J141" s="1912"/>
      <c r="K141" s="1912"/>
      <c r="L141" s="2871">
        <v>22425</v>
      </c>
      <c r="M141" s="1912"/>
      <c r="N141" s="2872" t="s">
        <v>2757</v>
      </c>
    </row>
    <row r="142" spans="1:14">
      <c r="A142" s="19"/>
      <c r="B142" s="77" t="s">
        <v>4006</v>
      </c>
      <c r="C142" s="2875"/>
      <c r="D142" s="1822" t="s">
        <v>4461</v>
      </c>
      <c r="E142" s="2829">
        <v>90</v>
      </c>
      <c r="F142" s="2839" t="s">
        <v>1967</v>
      </c>
      <c r="G142" s="19"/>
      <c r="H142" s="2829" t="s">
        <v>2757</v>
      </c>
      <c r="I142" s="1912"/>
      <c r="J142" s="1912"/>
      <c r="K142" s="1912"/>
      <c r="L142" s="2871">
        <v>3933</v>
      </c>
      <c r="M142" s="1912"/>
      <c r="N142" s="2872" t="s">
        <v>2757</v>
      </c>
    </row>
    <row r="143" spans="1:14">
      <c r="A143" s="19"/>
      <c r="B143" s="77" t="s">
        <v>4006</v>
      </c>
      <c r="C143" s="2875"/>
      <c r="D143" s="1822" t="s">
        <v>4462</v>
      </c>
      <c r="E143" s="2829">
        <v>30</v>
      </c>
      <c r="F143" s="2839" t="s">
        <v>1700</v>
      </c>
      <c r="G143" s="19"/>
      <c r="H143" s="2829" t="s">
        <v>2757</v>
      </c>
      <c r="I143" s="1912"/>
      <c r="J143" s="1912"/>
      <c r="K143" s="1912"/>
      <c r="L143" s="2871">
        <v>4209</v>
      </c>
      <c r="M143" s="1912"/>
      <c r="N143" s="2872" t="s">
        <v>2757</v>
      </c>
    </row>
    <row r="144" spans="1:14">
      <c r="A144" s="19"/>
      <c r="B144" s="77" t="s">
        <v>4006</v>
      </c>
      <c r="C144" s="2875"/>
      <c r="D144" s="1822" t="s">
        <v>4463</v>
      </c>
      <c r="E144" s="2829">
        <v>50</v>
      </c>
      <c r="F144" s="2839" t="s">
        <v>2001</v>
      </c>
      <c r="G144" s="19"/>
      <c r="H144" s="2829" t="s">
        <v>2757</v>
      </c>
      <c r="I144" s="1912"/>
      <c r="J144" s="1912"/>
      <c r="K144" s="1912"/>
      <c r="L144" s="2871">
        <v>2562.5</v>
      </c>
      <c r="M144" s="1912"/>
      <c r="N144" s="2872" t="s">
        <v>2757</v>
      </c>
    </row>
    <row r="145" spans="1:14">
      <c r="A145" s="19"/>
      <c r="B145" s="77" t="s">
        <v>4006</v>
      </c>
      <c r="C145" s="2875"/>
      <c r="D145" s="1822" t="s">
        <v>4464</v>
      </c>
      <c r="E145" s="2829">
        <v>60</v>
      </c>
      <c r="F145" s="2839" t="s">
        <v>4417</v>
      </c>
      <c r="G145" s="19"/>
      <c r="H145" s="2829" t="s">
        <v>2757</v>
      </c>
      <c r="I145" s="1912"/>
      <c r="J145" s="1912"/>
      <c r="K145" s="1912"/>
      <c r="L145" s="2871">
        <v>759</v>
      </c>
      <c r="M145" s="1912"/>
      <c r="N145" s="2872" t="s">
        <v>2757</v>
      </c>
    </row>
    <row r="146" spans="1:14">
      <c r="A146" s="19"/>
      <c r="B146" s="77" t="s">
        <v>4006</v>
      </c>
      <c r="C146" s="2875"/>
      <c r="D146" s="1822" t="s">
        <v>4465</v>
      </c>
      <c r="E146" s="2829">
        <v>3</v>
      </c>
      <c r="F146" s="2839" t="s">
        <v>2001</v>
      </c>
      <c r="G146" s="19"/>
      <c r="H146" s="2829" t="s">
        <v>2757</v>
      </c>
      <c r="I146" s="1912"/>
      <c r="J146" s="1912"/>
      <c r="K146" s="1912"/>
      <c r="L146" s="2871">
        <v>285.60000000000002</v>
      </c>
      <c r="M146" s="1912"/>
      <c r="N146" s="2872" t="s">
        <v>2757</v>
      </c>
    </row>
    <row r="147" spans="1:14">
      <c r="A147" s="19"/>
      <c r="B147" s="77" t="s">
        <v>4006</v>
      </c>
      <c r="C147" s="2875"/>
      <c r="D147" s="1822" t="s">
        <v>4466</v>
      </c>
      <c r="E147" s="2829">
        <v>3</v>
      </c>
      <c r="F147" s="2839" t="s">
        <v>2001</v>
      </c>
      <c r="G147" s="19"/>
      <c r="H147" s="2829" t="s">
        <v>2757</v>
      </c>
      <c r="I147" s="1912"/>
      <c r="J147" s="1912"/>
      <c r="K147" s="1912"/>
      <c r="L147" s="2871">
        <v>285.60000000000002</v>
      </c>
      <c r="M147" s="1912"/>
      <c r="N147" s="2872" t="s">
        <v>2757</v>
      </c>
    </row>
    <row r="148" spans="1:14">
      <c r="A148" s="19"/>
      <c r="B148" s="77" t="s">
        <v>4006</v>
      </c>
      <c r="C148" s="2875"/>
      <c r="D148" s="1822" t="s">
        <v>4467</v>
      </c>
      <c r="E148" s="2829">
        <v>3</v>
      </c>
      <c r="F148" s="2839" t="s">
        <v>2001</v>
      </c>
      <c r="G148" s="19"/>
      <c r="H148" s="2829" t="s">
        <v>2757</v>
      </c>
      <c r="I148" s="1912"/>
      <c r="J148" s="1912"/>
      <c r="K148" s="1912"/>
      <c r="L148" s="2871">
        <v>285.60000000000002</v>
      </c>
      <c r="M148" s="1912"/>
      <c r="N148" s="2872" t="s">
        <v>2757</v>
      </c>
    </row>
    <row r="149" spans="1:14">
      <c r="A149" s="19"/>
      <c r="B149" s="77" t="s">
        <v>4006</v>
      </c>
      <c r="C149" s="2875"/>
      <c r="D149" s="1822" t="s">
        <v>4468</v>
      </c>
      <c r="E149" s="2829">
        <v>150</v>
      </c>
      <c r="F149" s="2839" t="s">
        <v>1841</v>
      </c>
      <c r="G149" s="19"/>
      <c r="H149" s="2829" t="s">
        <v>2757</v>
      </c>
      <c r="I149" s="1912"/>
      <c r="J149" s="1912"/>
      <c r="K149" s="1912"/>
      <c r="L149" s="2871">
        <v>6142.5</v>
      </c>
      <c r="M149" s="1912"/>
      <c r="N149" s="2872" t="s">
        <v>2757</v>
      </c>
    </row>
    <row r="150" spans="1:14">
      <c r="A150" s="19"/>
      <c r="B150" s="77" t="s">
        <v>4006</v>
      </c>
      <c r="C150" s="2875"/>
      <c r="D150" s="1822" t="s">
        <v>4469</v>
      </c>
      <c r="E150" s="2829">
        <v>10</v>
      </c>
      <c r="F150" s="2839" t="s">
        <v>2001</v>
      </c>
      <c r="G150" s="19"/>
      <c r="H150" s="2829" t="s">
        <v>2757</v>
      </c>
      <c r="I150" s="1912"/>
      <c r="J150" s="1912"/>
      <c r="K150" s="1912"/>
      <c r="L150" s="2871">
        <v>475</v>
      </c>
      <c r="M150" s="1912"/>
      <c r="N150" s="2872" t="s">
        <v>2757</v>
      </c>
    </row>
    <row r="151" spans="1:14">
      <c r="A151" s="19"/>
      <c r="B151" s="77" t="s">
        <v>4006</v>
      </c>
      <c r="C151" s="2875"/>
      <c r="D151" s="1822" t="s">
        <v>4470</v>
      </c>
      <c r="E151" s="2829">
        <v>300</v>
      </c>
      <c r="F151" s="2839" t="s">
        <v>1967</v>
      </c>
      <c r="G151" s="19"/>
      <c r="H151" s="2829" t="s">
        <v>2757</v>
      </c>
      <c r="I151" s="1912"/>
      <c r="J151" s="1912"/>
      <c r="K151" s="1912"/>
      <c r="L151" s="2871">
        <v>26910</v>
      </c>
      <c r="M151" s="1912"/>
      <c r="N151" s="2872" t="s">
        <v>2757</v>
      </c>
    </row>
    <row r="152" spans="1:14">
      <c r="A152" s="19"/>
      <c r="B152" s="77" t="s">
        <v>4006</v>
      </c>
      <c r="C152" s="2875"/>
      <c r="D152" s="1822" t="s">
        <v>4471</v>
      </c>
      <c r="E152" s="2829">
        <v>15</v>
      </c>
      <c r="F152" s="2839" t="s">
        <v>4417</v>
      </c>
      <c r="G152" s="19"/>
      <c r="H152" s="2829" t="s">
        <v>2757</v>
      </c>
      <c r="I152" s="1912"/>
      <c r="J152" s="1912"/>
      <c r="K152" s="1912"/>
      <c r="L152" s="2871">
        <v>1293.75</v>
      </c>
      <c r="M152" s="1912"/>
      <c r="N152" s="2872" t="s">
        <v>2757</v>
      </c>
    </row>
    <row r="153" spans="1:14">
      <c r="A153" s="19"/>
      <c r="B153" s="77" t="s">
        <v>4006</v>
      </c>
      <c r="C153" s="2875"/>
      <c r="D153" s="1822" t="s">
        <v>4472</v>
      </c>
      <c r="E153" s="2829">
        <v>2</v>
      </c>
      <c r="F153" s="2839" t="s">
        <v>4417</v>
      </c>
      <c r="G153" s="19"/>
      <c r="H153" s="2829" t="s">
        <v>2757</v>
      </c>
      <c r="I153" s="1912"/>
      <c r="J153" s="1912"/>
      <c r="K153" s="1912"/>
      <c r="L153" s="2871">
        <v>227.7</v>
      </c>
      <c r="M153" s="1912"/>
      <c r="N153" s="2872" t="s">
        <v>2757</v>
      </c>
    </row>
    <row r="154" spans="1:14" ht="14.25" customHeight="1">
      <c r="A154" s="19"/>
      <c r="B154" s="77" t="s">
        <v>4006</v>
      </c>
      <c r="C154" s="2875"/>
      <c r="D154" s="1822" t="s">
        <v>4473</v>
      </c>
      <c r="E154" s="2829">
        <v>2</v>
      </c>
      <c r="F154" s="2839" t="s">
        <v>1841</v>
      </c>
      <c r="G154" s="19"/>
      <c r="H154" s="2829" t="s">
        <v>2757</v>
      </c>
      <c r="I154" s="1912"/>
      <c r="J154" s="1912"/>
      <c r="K154" s="1912"/>
      <c r="L154" s="2871">
        <v>962.3</v>
      </c>
      <c r="M154" s="1912"/>
      <c r="N154" s="2872" t="s">
        <v>2757</v>
      </c>
    </row>
    <row r="155" spans="1:14" ht="14.25" customHeight="1">
      <c r="A155" s="19"/>
      <c r="B155" s="77" t="s">
        <v>4006</v>
      </c>
      <c r="C155" s="2875"/>
      <c r="D155" s="1822" t="s">
        <v>4474</v>
      </c>
      <c r="E155" s="2829">
        <v>2</v>
      </c>
      <c r="F155" s="2839" t="s">
        <v>1967</v>
      </c>
      <c r="G155" s="19"/>
      <c r="H155" s="2829" t="s">
        <v>2757</v>
      </c>
      <c r="I155" s="1912"/>
      <c r="J155" s="1912"/>
      <c r="K155" s="1912"/>
      <c r="L155" s="2871">
        <v>130.4</v>
      </c>
      <c r="M155" s="1912"/>
      <c r="N155" s="2872" t="s">
        <v>2757</v>
      </c>
    </row>
    <row r="156" spans="1:14" ht="14.25" customHeight="1">
      <c r="A156" s="19"/>
      <c r="B156" s="77" t="s">
        <v>4006</v>
      </c>
      <c r="C156" s="2875"/>
      <c r="D156" s="1822" t="s">
        <v>4475</v>
      </c>
      <c r="E156" s="2829">
        <v>120</v>
      </c>
      <c r="F156" s="2839" t="s">
        <v>1841</v>
      </c>
      <c r="G156" s="19"/>
      <c r="H156" s="2829" t="s">
        <v>2757</v>
      </c>
      <c r="I156" s="1912"/>
      <c r="J156" s="1912"/>
      <c r="K156" s="1912"/>
      <c r="L156" s="2871">
        <v>313927</v>
      </c>
      <c r="M156" s="1912"/>
      <c r="N156" s="2872" t="s">
        <v>2757</v>
      </c>
    </row>
    <row r="157" spans="1:14" ht="14.25" customHeight="1">
      <c r="A157" s="19"/>
      <c r="B157" s="77" t="s">
        <v>4006</v>
      </c>
      <c r="C157" s="2875"/>
      <c r="D157" s="1822" t="s">
        <v>4476</v>
      </c>
      <c r="E157" s="2829">
        <v>75</v>
      </c>
      <c r="F157" s="2839" t="s">
        <v>1967</v>
      </c>
      <c r="G157" s="19"/>
      <c r="H157" s="2829" t="s">
        <v>2757</v>
      </c>
      <c r="I157" s="1912"/>
      <c r="J157" s="1912"/>
      <c r="K157" s="1912"/>
      <c r="L157" s="2871">
        <v>2711.25</v>
      </c>
      <c r="M157" s="1912"/>
      <c r="N157" s="2872" t="s">
        <v>2757</v>
      </c>
    </row>
    <row r="158" spans="1:14" ht="14.25" customHeight="1">
      <c r="A158" s="19"/>
      <c r="B158" s="77" t="s">
        <v>4006</v>
      </c>
      <c r="C158" s="2875"/>
      <c r="D158" s="1822" t="s">
        <v>4477</v>
      </c>
      <c r="E158" s="2829">
        <v>75</v>
      </c>
      <c r="F158" s="2839" t="s">
        <v>1967</v>
      </c>
      <c r="G158" s="19"/>
      <c r="H158" s="2829" t="s">
        <v>2757</v>
      </c>
      <c r="I158" s="1912"/>
      <c r="J158" s="1912"/>
      <c r="K158" s="1912"/>
      <c r="L158" s="2871">
        <v>3405</v>
      </c>
      <c r="M158" s="1912"/>
      <c r="N158" s="2872" t="s">
        <v>2757</v>
      </c>
    </row>
    <row r="159" spans="1:14" ht="14.25" customHeight="1">
      <c r="A159" s="19"/>
      <c r="B159" s="77" t="s">
        <v>4006</v>
      </c>
      <c r="C159" s="2875"/>
      <c r="D159" s="1822" t="s">
        <v>4478</v>
      </c>
      <c r="E159" s="2829">
        <v>3</v>
      </c>
      <c r="F159" s="2839" t="s">
        <v>2001</v>
      </c>
      <c r="G159" s="19"/>
      <c r="H159" s="2829" t="s">
        <v>2757</v>
      </c>
      <c r="I159" s="1912"/>
      <c r="J159" s="1912"/>
      <c r="K159" s="1912"/>
      <c r="L159" s="2871">
        <v>3358.05</v>
      </c>
      <c r="M159" s="1912"/>
      <c r="N159" s="2872" t="s">
        <v>2757</v>
      </c>
    </row>
    <row r="160" spans="1:14" ht="14.25" customHeight="1">
      <c r="A160" s="19"/>
      <c r="B160" s="77" t="s">
        <v>4006</v>
      </c>
      <c r="C160" s="2875"/>
      <c r="D160" s="1822" t="s">
        <v>4479</v>
      </c>
      <c r="E160" s="2829">
        <v>25</v>
      </c>
      <c r="F160" s="2839" t="s">
        <v>1841</v>
      </c>
      <c r="G160" s="19"/>
      <c r="H160" s="2829" t="s">
        <v>2757</v>
      </c>
      <c r="I160" s="1912"/>
      <c r="J160" s="1912"/>
      <c r="K160" s="1912"/>
      <c r="L160" s="2871">
        <v>1116.25</v>
      </c>
      <c r="M160" s="1912"/>
      <c r="N160" s="2872" t="s">
        <v>2757</v>
      </c>
    </row>
    <row r="161" spans="1:14" ht="14.25" customHeight="1">
      <c r="A161" s="19"/>
      <c r="B161" s="77" t="s">
        <v>4006</v>
      </c>
      <c r="C161" s="2875"/>
      <c r="D161" s="1822" t="s">
        <v>4480</v>
      </c>
      <c r="E161" s="2829">
        <v>3</v>
      </c>
      <c r="F161" s="2839" t="s">
        <v>2001</v>
      </c>
      <c r="G161" s="19"/>
      <c r="H161" s="2829" t="s">
        <v>2757</v>
      </c>
      <c r="I161" s="1912"/>
      <c r="J161" s="1912"/>
      <c r="K161" s="1912"/>
      <c r="L161" s="2871">
        <v>392.1</v>
      </c>
      <c r="M161" s="1912"/>
      <c r="N161" s="2872" t="s">
        <v>2757</v>
      </c>
    </row>
    <row r="162" spans="1:14" ht="14.25" customHeight="1">
      <c r="A162" s="19"/>
      <c r="B162" s="77" t="s">
        <v>4006</v>
      </c>
      <c r="C162" s="2875"/>
      <c r="D162" s="1822" t="s">
        <v>4481</v>
      </c>
      <c r="E162" s="2829">
        <v>12</v>
      </c>
      <c r="F162" s="2839" t="s">
        <v>1841</v>
      </c>
      <c r="G162" s="19"/>
      <c r="H162" s="2829" t="s">
        <v>2757</v>
      </c>
      <c r="I162" s="1912"/>
      <c r="J162" s="1912"/>
      <c r="K162" s="1912"/>
      <c r="L162" s="2871">
        <v>952.2</v>
      </c>
      <c r="M162" s="1912"/>
      <c r="N162" s="2872" t="s">
        <v>2757</v>
      </c>
    </row>
    <row r="163" spans="1:14" ht="14.25" customHeight="1">
      <c r="A163" s="19"/>
      <c r="B163" s="77" t="s">
        <v>4006</v>
      </c>
      <c r="C163" s="2875"/>
      <c r="D163" s="1822" t="s">
        <v>4482</v>
      </c>
      <c r="E163" s="2829">
        <v>18</v>
      </c>
      <c r="F163" s="2839" t="s">
        <v>2001</v>
      </c>
      <c r="G163" s="19"/>
      <c r="H163" s="2829" t="s">
        <v>661</v>
      </c>
      <c r="I163" s="1912"/>
      <c r="J163" s="1912"/>
      <c r="K163" s="1912"/>
      <c r="L163" s="2871">
        <v>531.9</v>
      </c>
      <c r="M163" s="1912"/>
      <c r="N163" s="2872" t="s">
        <v>2757</v>
      </c>
    </row>
    <row r="164" spans="1:14" ht="14.25" customHeight="1">
      <c r="A164" s="19"/>
      <c r="B164" s="77" t="s">
        <v>4006</v>
      </c>
      <c r="C164" s="2875"/>
      <c r="D164" s="1822" t="s">
        <v>4483</v>
      </c>
      <c r="E164" s="2829">
        <v>5</v>
      </c>
      <c r="F164" s="2839" t="s">
        <v>2001</v>
      </c>
      <c r="G164" s="19"/>
      <c r="H164" s="2829" t="s">
        <v>2757</v>
      </c>
      <c r="I164" s="1912"/>
      <c r="J164" s="1912"/>
      <c r="K164" s="1912"/>
      <c r="L164" s="2871">
        <v>1273.5</v>
      </c>
      <c r="M164" s="1912"/>
      <c r="N164" s="2872" t="s">
        <v>2757</v>
      </c>
    </row>
    <row r="165" spans="1:14" ht="14.25" customHeight="1">
      <c r="A165" s="19"/>
      <c r="B165" s="77" t="s">
        <v>4006</v>
      </c>
      <c r="C165" s="2875"/>
      <c r="D165" s="1822" t="s">
        <v>4484</v>
      </c>
      <c r="E165" s="2829">
        <v>5</v>
      </c>
      <c r="F165" s="2839" t="s">
        <v>4417</v>
      </c>
      <c r="G165" s="19"/>
      <c r="H165" s="2829" t="s">
        <v>2757</v>
      </c>
      <c r="I165" s="1912"/>
      <c r="J165" s="1912"/>
      <c r="K165" s="1912"/>
      <c r="L165" s="2871">
        <v>1753.75</v>
      </c>
      <c r="M165" s="1912"/>
      <c r="N165" s="2872" t="s">
        <v>2757</v>
      </c>
    </row>
    <row r="166" spans="1:14" ht="14.25" customHeight="1">
      <c r="A166" s="19"/>
      <c r="B166" s="77" t="s">
        <v>4006</v>
      </c>
      <c r="C166" s="2875"/>
      <c r="D166" s="1822" t="s">
        <v>4485</v>
      </c>
      <c r="E166" s="2829">
        <v>5</v>
      </c>
      <c r="F166" s="2839" t="s">
        <v>4417</v>
      </c>
      <c r="G166" s="19"/>
      <c r="H166" s="2829" t="s">
        <v>2757</v>
      </c>
      <c r="I166" s="1912"/>
      <c r="J166" s="1912"/>
      <c r="K166" s="1912"/>
      <c r="L166" s="2871">
        <v>3869.75</v>
      </c>
      <c r="M166" s="1912"/>
      <c r="N166" s="2872" t="s">
        <v>2757</v>
      </c>
    </row>
    <row r="167" spans="1:14" ht="14.25" customHeight="1">
      <c r="A167" s="19"/>
      <c r="B167" s="77" t="s">
        <v>4006</v>
      </c>
      <c r="C167" s="2875"/>
      <c r="D167" s="1822" t="s">
        <v>4486</v>
      </c>
      <c r="E167" s="2829">
        <v>10</v>
      </c>
      <c r="F167" s="2839" t="s">
        <v>4417</v>
      </c>
      <c r="G167" s="19"/>
      <c r="H167" s="2829" t="s">
        <v>2757</v>
      </c>
      <c r="I167" s="1912"/>
      <c r="J167" s="1912"/>
      <c r="K167" s="1912"/>
      <c r="L167" s="2871">
        <v>8165</v>
      </c>
      <c r="M167" s="1912"/>
      <c r="N167" s="2872" t="s">
        <v>2757</v>
      </c>
    </row>
    <row r="168" spans="1:14" ht="14.25" customHeight="1">
      <c r="A168" s="19"/>
      <c r="B168" s="77" t="s">
        <v>4006</v>
      </c>
      <c r="C168" s="2875"/>
      <c r="D168" s="1822" t="s">
        <v>4487</v>
      </c>
      <c r="E168" s="2829">
        <v>4</v>
      </c>
      <c r="F168" s="2839" t="s">
        <v>2001</v>
      </c>
      <c r="G168" s="19"/>
      <c r="H168" s="2829" t="s">
        <v>2757</v>
      </c>
      <c r="I168" s="1912"/>
      <c r="J168" s="1912"/>
      <c r="K168" s="1912"/>
      <c r="L168" s="2871">
        <v>152.80000000000001</v>
      </c>
      <c r="M168" s="1912"/>
      <c r="N168" s="2872" t="s">
        <v>2757</v>
      </c>
    </row>
    <row r="169" spans="1:14" ht="14.25" customHeight="1">
      <c r="A169" s="19"/>
      <c r="B169" s="77" t="s">
        <v>4006</v>
      </c>
      <c r="C169" s="2875"/>
      <c r="D169" s="1822" t="s">
        <v>4488</v>
      </c>
      <c r="E169" s="2829">
        <v>75</v>
      </c>
      <c r="F169" s="2829" t="s">
        <v>1967</v>
      </c>
      <c r="G169" s="19"/>
      <c r="H169" s="2829" t="s">
        <v>2757</v>
      </c>
      <c r="I169" s="1912"/>
      <c r="J169" s="1912"/>
      <c r="K169" s="1912"/>
      <c r="L169" s="2871">
        <v>8876.25</v>
      </c>
      <c r="M169" s="1912"/>
      <c r="N169" s="2872" t="s">
        <v>2757</v>
      </c>
    </row>
    <row r="170" spans="1:14" ht="14.25" customHeight="1">
      <c r="A170" s="19"/>
      <c r="B170" s="77" t="s">
        <v>4006</v>
      </c>
      <c r="C170" s="2875"/>
      <c r="D170" s="1822" t="s">
        <v>4489</v>
      </c>
      <c r="E170" s="2829">
        <v>15</v>
      </c>
      <c r="F170" s="2839" t="s">
        <v>1841</v>
      </c>
      <c r="G170" s="19"/>
      <c r="H170" s="2829" t="s">
        <v>2757</v>
      </c>
      <c r="I170" s="1912"/>
      <c r="J170" s="1912"/>
      <c r="K170" s="1912"/>
      <c r="L170" s="2871">
        <v>1692.75</v>
      </c>
      <c r="M170" s="1912"/>
      <c r="N170" s="2872" t="s">
        <v>2757</v>
      </c>
    </row>
    <row r="171" spans="1:14" ht="14.25" customHeight="1">
      <c r="A171" s="19"/>
      <c r="B171" s="77" t="s">
        <v>4006</v>
      </c>
      <c r="C171" s="2875"/>
      <c r="D171" s="1822" t="s">
        <v>4490</v>
      </c>
      <c r="E171" s="2829">
        <v>10</v>
      </c>
      <c r="F171" s="2839" t="s">
        <v>1967</v>
      </c>
      <c r="G171" s="19"/>
      <c r="H171" s="2829" t="s">
        <v>2757</v>
      </c>
      <c r="I171" s="1912"/>
      <c r="J171" s="1912"/>
      <c r="K171" s="1912"/>
      <c r="L171" s="2871">
        <v>298</v>
      </c>
      <c r="M171" s="1912"/>
      <c r="N171" s="2872" t="s">
        <v>2757</v>
      </c>
    </row>
    <row r="172" spans="1:14" ht="14.25" customHeight="1">
      <c r="A172" s="19"/>
      <c r="B172" s="77" t="s">
        <v>4006</v>
      </c>
      <c r="C172" s="2875"/>
      <c r="D172" s="1822" t="s">
        <v>4491</v>
      </c>
      <c r="E172" s="2829">
        <v>120</v>
      </c>
      <c r="F172" s="2839" t="s">
        <v>1841</v>
      </c>
      <c r="G172" s="19"/>
      <c r="H172" s="2829" t="s">
        <v>2757</v>
      </c>
      <c r="I172" s="1912"/>
      <c r="J172" s="1912"/>
      <c r="K172" s="1912"/>
      <c r="L172" s="2871">
        <v>1998</v>
      </c>
      <c r="M172" s="1912"/>
      <c r="N172" s="2872" t="s">
        <v>2757</v>
      </c>
    </row>
    <row r="173" spans="1:14" s="1" customFormat="1" ht="14.25" customHeight="1">
      <c r="A173" s="2289"/>
      <c r="B173" s="77" t="s">
        <v>4006</v>
      </c>
      <c r="C173" s="2875"/>
      <c r="D173" s="1822" t="s">
        <v>4492</v>
      </c>
      <c r="E173" s="2829">
        <v>30</v>
      </c>
      <c r="F173" s="2839" t="s">
        <v>1841</v>
      </c>
      <c r="G173" s="2289"/>
      <c r="H173" s="2829" t="s">
        <v>2757</v>
      </c>
      <c r="I173" s="1912"/>
      <c r="J173" s="1912"/>
      <c r="K173" s="1912"/>
      <c r="L173" s="2871">
        <v>4341</v>
      </c>
      <c r="M173" s="1912"/>
      <c r="N173" s="2872" t="s">
        <v>2757</v>
      </c>
    </row>
    <row r="174" spans="1:14" s="1" customFormat="1" ht="14.25" customHeight="1">
      <c r="A174" s="2289"/>
      <c r="B174" s="77" t="s">
        <v>4006</v>
      </c>
      <c r="C174" s="2875"/>
      <c r="D174" s="1822" t="s">
        <v>4493</v>
      </c>
      <c r="E174" s="2829">
        <v>40</v>
      </c>
      <c r="F174" s="2839" t="s">
        <v>4417</v>
      </c>
      <c r="G174" s="2289"/>
      <c r="H174" s="2829" t="s">
        <v>2757</v>
      </c>
      <c r="I174" s="1912"/>
      <c r="J174" s="1912"/>
      <c r="K174" s="1912"/>
      <c r="L174" s="2871">
        <v>4952</v>
      </c>
      <c r="M174" s="1912"/>
      <c r="N174" s="2872" t="s">
        <v>2757</v>
      </c>
    </row>
    <row r="175" spans="1:14">
      <c r="A175" s="19"/>
      <c r="B175" s="77" t="s">
        <v>4006</v>
      </c>
      <c r="C175" s="2875"/>
      <c r="D175" s="2876" t="s">
        <v>4494</v>
      </c>
      <c r="E175" s="2829">
        <v>190</v>
      </c>
      <c r="F175" s="2877" t="s">
        <v>1636</v>
      </c>
      <c r="G175" s="19"/>
      <c r="H175" s="2829" t="s">
        <v>2757</v>
      </c>
      <c r="I175" s="1912"/>
      <c r="J175" s="1912"/>
      <c r="K175" s="1912"/>
      <c r="L175" s="2871">
        <v>21783.5</v>
      </c>
      <c r="M175" s="1912"/>
      <c r="N175" s="2872" t="s">
        <v>2757</v>
      </c>
    </row>
    <row r="176" spans="1:14">
      <c r="A176" s="19"/>
      <c r="B176" s="77" t="s">
        <v>4006</v>
      </c>
      <c r="C176" s="2875"/>
      <c r="D176" s="1822" t="s">
        <v>4495</v>
      </c>
      <c r="E176" s="2829">
        <v>3</v>
      </c>
      <c r="F176" s="2839" t="s">
        <v>4417</v>
      </c>
      <c r="G176" s="19"/>
      <c r="H176" s="2829" t="s">
        <v>2757</v>
      </c>
      <c r="I176" s="1912"/>
      <c r="J176" s="1912"/>
      <c r="K176" s="1912"/>
      <c r="L176" s="2871">
        <v>355.95</v>
      </c>
      <c r="M176" s="1912"/>
      <c r="N176" s="2872" t="s">
        <v>2757</v>
      </c>
    </row>
    <row r="177" spans="1:14">
      <c r="A177" s="19"/>
      <c r="B177" s="77" t="s">
        <v>4006</v>
      </c>
      <c r="C177" s="2875"/>
      <c r="D177" s="1822" t="s">
        <v>4496</v>
      </c>
      <c r="E177" s="2829">
        <v>3</v>
      </c>
      <c r="F177" s="2839" t="s">
        <v>1841</v>
      </c>
      <c r="G177" s="19"/>
      <c r="H177" s="2829" t="s">
        <v>2757</v>
      </c>
      <c r="I177" s="1912"/>
      <c r="J177" s="1912"/>
      <c r="K177" s="1912"/>
      <c r="L177" s="2871">
        <v>326.25</v>
      </c>
      <c r="M177" s="1912"/>
      <c r="N177" s="2872" t="s">
        <v>2757</v>
      </c>
    </row>
    <row r="178" spans="1:14">
      <c r="A178" s="19"/>
      <c r="B178" s="77" t="s">
        <v>4006</v>
      </c>
      <c r="C178" s="2875"/>
      <c r="D178" s="1822" t="s">
        <v>4497</v>
      </c>
      <c r="E178" s="2829">
        <v>120</v>
      </c>
      <c r="F178" s="2839" t="s">
        <v>4417</v>
      </c>
      <c r="G178" s="19"/>
      <c r="H178" s="2829" t="s">
        <v>2757</v>
      </c>
      <c r="I178" s="1912"/>
      <c r="J178" s="1912"/>
      <c r="K178" s="1912"/>
      <c r="L178" s="2871">
        <v>7176</v>
      </c>
      <c r="M178" s="1912"/>
      <c r="N178" s="2872" t="s">
        <v>2757</v>
      </c>
    </row>
    <row r="179" spans="1:14">
      <c r="A179" s="19"/>
      <c r="B179" s="77" t="s">
        <v>4006</v>
      </c>
      <c r="C179" s="2875"/>
      <c r="D179" s="1822" t="s">
        <v>4498</v>
      </c>
      <c r="E179" s="2829">
        <v>50</v>
      </c>
      <c r="F179" s="2839" t="s">
        <v>4417</v>
      </c>
      <c r="G179" s="19"/>
      <c r="H179" s="2829" t="s">
        <v>2757</v>
      </c>
      <c r="I179" s="1912"/>
      <c r="J179" s="1912"/>
      <c r="K179" s="1912"/>
      <c r="L179" s="2871">
        <v>3910</v>
      </c>
      <c r="M179" s="1912"/>
      <c r="N179" s="2872" t="s">
        <v>2757</v>
      </c>
    </row>
    <row r="180" spans="1:14">
      <c r="A180" s="19"/>
      <c r="B180" s="77" t="s">
        <v>4006</v>
      </c>
      <c r="C180" s="2875"/>
      <c r="D180" s="2876" t="s">
        <v>4499</v>
      </c>
      <c r="E180" s="2829">
        <v>190</v>
      </c>
      <c r="F180" s="2877" t="s">
        <v>1636</v>
      </c>
      <c r="G180" s="19"/>
      <c r="H180" s="2829" t="s">
        <v>2757</v>
      </c>
      <c r="I180" s="1912"/>
      <c r="J180" s="1912"/>
      <c r="K180" s="1912"/>
      <c r="L180" s="2871">
        <v>16853</v>
      </c>
      <c r="M180" s="1912"/>
      <c r="N180" s="2872" t="s">
        <v>2757</v>
      </c>
    </row>
    <row r="181" spans="1:14">
      <c r="A181" s="19"/>
      <c r="B181" s="77" t="s">
        <v>4006</v>
      </c>
      <c r="C181" s="2875"/>
      <c r="D181" s="1822" t="s">
        <v>4500</v>
      </c>
      <c r="E181" s="2829">
        <v>6</v>
      </c>
      <c r="F181" s="2839" t="s">
        <v>1700</v>
      </c>
      <c r="G181" s="19"/>
      <c r="H181" s="2829" t="s">
        <v>2757</v>
      </c>
      <c r="I181" s="1912"/>
      <c r="J181" s="1912"/>
      <c r="K181" s="1912"/>
      <c r="L181" s="2871">
        <v>3387</v>
      </c>
      <c r="M181" s="1912"/>
      <c r="N181" s="2872" t="s">
        <v>2757</v>
      </c>
    </row>
    <row r="182" spans="1:14">
      <c r="A182" s="19"/>
      <c r="B182" s="77" t="s">
        <v>4006</v>
      </c>
      <c r="C182" s="2875"/>
      <c r="D182" s="1822" t="s">
        <v>4501</v>
      </c>
      <c r="E182" s="2829">
        <v>30</v>
      </c>
      <c r="F182" s="2839" t="s">
        <v>1747</v>
      </c>
      <c r="G182" s="19"/>
      <c r="H182" s="2829" t="s">
        <v>2757</v>
      </c>
      <c r="I182" s="1912"/>
      <c r="J182" s="1912"/>
      <c r="K182" s="1912"/>
      <c r="L182" s="2871">
        <v>1185</v>
      </c>
      <c r="M182" s="1912"/>
      <c r="N182" s="2872" t="s">
        <v>2757</v>
      </c>
    </row>
    <row r="183" spans="1:14">
      <c r="A183" s="19"/>
      <c r="B183" s="77" t="s">
        <v>4006</v>
      </c>
      <c r="C183" s="2875"/>
      <c r="D183" s="1822" t="s">
        <v>4502</v>
      </c>
      <c r="E183" s="2829">
        <v>150</v>
      </c>
      <c r="F183" s="2839" t="s">
        <v>1841</v>
      </c>
      <c r="G183" s="19"/>
      <c r="H183" s="2829" t="s">
        <v>2757</v>
      </c>
      <c r="I183" s="1912"/>
      <c r="J183" s="1912"/>
      <c r="K183" s="1912"/>
      <c r="L183" s="2871">
        <v>5325</v>
      </c>
      <c r="M183" s="1912"/>
      <c r="N183" s="2872" t="s">
        <v>2757</v>
      </c>
    </row>
    <row r="184" spans="1:14">
      <c r="A184" s="19"/>
      <c r="B184" s="77" t="s">
        <v>4006</v>
      </c>
      <c r="C184" s="2875"/>
      <c r="D184" s="1822" t="s">
        <v>4503</v>
      </c>
      <c r="E184" s="2829">
        <v>40</v>
      </c>
      <c r="F184" s="2839" t="s">
        <v>1841</v>
      </c>
      <c r="G184" s="19"/>
      <c r="H184" s="2829" t="s">
        <v>2757</v>
      </c>
      <c r="I184" s="1912"/>
      <c r="J184" s="1912"/>
      <c r="K184" s="1912"/>
      <c r="L184" s="2871">
        <v>7384</v>
      </c>
      <c r="M184" s="1912"/>
      <c r="N184" s="2872" t="s">
        <v>2757</v>
      </c>
    </row>
    <row r="185" spans="1:14">
      <c r="A185" s="19"/>
      <c r="B185" s="77" t="s">
        <v>4006</v>
      </c>
      <c r="C185" s="2875"/>
      <c r="D185" s="1822" t="s">
        <v>4504</v>
      </c>
      <c r="E185" s="2829">
        <v>50</v>
      </c>
      <c r="F185" s="2839" t="s">
        <v>1841</v>
      </c>
      <c r="G185" s="19"/>
      <c r="H185" s="2829" t="s">
        <v>2757</v>
      </c>
      <c r="I185" s="1912"/>
      <c r="J185" s="1912"/>
      <c r="K185" s="1912"/>
      <c r="L185" s="2871">
        <v>4490</v>
      </c>
      <c r="M185" s="1912"/>
      <c r="N185" s="2872" t="s">
        <v>2757</v>
      </c>
    </row>
    <row r="186" spans="1:14">
      <c r="A186" s="19"/>
      <c r="B186" s="77" t="s">
        <v>4006</v>
      </c>
      <c r="C186" s="2875"/>
      <c r="D186" s="1822" t="s">
        <v>4505</v>
      </c>
      <c r="E186" s="2829">
        <v>20</v>
      </c>
      <c r="F186" s="2839" t="s">
        <v>1967</v>
      </c>
      <c r="G186" s="19"/>
      <c r="H186" s="2829" t="s">
        <v>2757</v>
      </c>
      <c r="I186" s="1912"/>
      <c r="J186" s="1912"/>
      <c r="K186" s="1912"/>
      <c r="L186" s="2871">
        <v>1398</v>
      </c>
      <c r="M186" s="1912"/>
      <c r="N186" s="2872" t="s">
        <v>2757</v>
      </c>
    </row>
    <row r="187" spans="1:14" ht="27">
      <c r="A187" s="19"/>
      <c r="B187" s="77" t="s">
        <v>4006</v>
      </c>
      <c r="C187" s="2875"/>
      <c r="D187" s="1822" t="s">
        <v>4506</v>
      </c>
      <c r="E187" s="2829">
        <v>4</v>
      </c>
      <c r="F187" s="2839" t="s">
        <v>1700</v>
      </c>
      <c r="G187" s="19"/>
      <c r="H187" s="2829" t="s">
        <v>661</v>
      </c>
      <c r="I187" s="1912"/>
      <c r="J187" s="1912"/>
      <c r="K187" s="1912"/>
      <c r="L187" s="2871">
        <v>522</v>
      </c>
      <c r="M187" s="1912"/>
      <c r="N187" s="2872" t="s">
        <v>2757</v>
      </c>
    </row>
    <row r="188" spans="1:14">
      <c r="A188" s="19"/>
      <c r="B188" s="77" t="s">
        <v>4006</v>
      </c>
      <c r="C188" s="2875"/>
      <c r="D188" s="1822" t="s">
        <v>4507</v>
      </c>
      <c r="E188" s="2829">
        <v>15</v>
      </c>
      <c r="F188" s="2839" t="s">
        <v>2876</v>
      </c>
      <c r="G188" s="19"/>
      <c r="H188" s="2829" t="s">
        <v>2757</v>
      </c>
      <c r="I188" s="1912"/>
      <c r="J188" s="1912"/>
      <c r="K188" s="1912"/>
      <c r="L188" s="2871">
        <v>1725</v>
      </c>
      <c r="M188" s="1912"/>
      <c r="N188" s="2872" t="s">
        <v>2757</v>
      </c>
    </row>
    <row r="189" spans="1:14">
      <c r="A189" s="19"/>
      <c r="B189" s="77" t="s">
        <v>4006</v>
      </c>
      <c r="C189" s="2875"/>
      <c r="D189" s="2875" t="s">
        <v>4508</v>
      </c>
      <c r="E189" s="2829">
        <v>2</v>
      </c>
      <c r="F189" s="2839" t="s">
        <v>1841</v>
      </c>
      <c r="G189" s="19"/>
      <c r="H189" s="2829" t="s">
        <v>2757</v>
      </c>
      <c r="I189" s="1912"/>
      <c r="J189" s="1912"/>
      <c r="K189" s="1912"/>
      <c r="L189" s="2871">
        <v>276</v>
      </c>
      <c r="M189" s="1912"/>
      <c r="N189" s="2872" t="s">
        <v>2757</v>
      </c>
    </row>
    <row r="190" spans="1:14">
      <c r="A190" s="19"/>
      <c r="B190" s="77" t="s">
        <v>4006</v>
      </c>
      <c r="C190" s="2875"/>
      <c r="D190" s="1822" t="s">
        <v>4509</v>
      </c>
      <c r="E190" s="2829">
        <v>400</v>
      </c>
      <c r="F190" s="2839" t="s">
        <v>1841</v>
      </c>
      <c r="G190" s="19"/>
      <c r="H190" s="2829" t="s">
        <v>2757</v>
      </c>
      <c r="I190" s="1912"/>
      <c r="J190" s="1912"/>
      <c r="K190" s="1912"/>
      <c r="L190" s="2871">
        <v>96600</v>
      </c>
      <c r="M190" s="1912"/>
      <c r="N190" s="2872" t="s">
        <v>2757</v>
      </c>
    </row>
    <row r="191" spans="1:14">
      <c r="A191" s="19"/>
      <c r="B191" s="77" t="s">
        <v>4006</v>
      </c>
      <c r="C191" s="2875"/>
      <c r="D191" s="2875" t="s">
        <v>4510</v>
      </c>
      <c r="E191" s="2829">
        <v>250</v>
      </c>
      <c r="F191" s="2839" t="s">
        <v>1841</v>
      </c>
      <c r="G191" s="19"/>
      <c r="H191" s="2829" t="s">
        <v>2757</v>
      </c>
      <c r="I191" s="1912"/>
      <c r="J191" s="1912"/>
      <c r="K191" s="1912"/>
      <c r="L191" s="2871">
        <v>77050</v>
      </c>
      <c r="M191" s="1912"/>
      <c r="N191" s="2872" t="s">
        <v>2757</v>
      </c>
    </row>
    <row r="192" spans="1:14">
      <c r="A192" s="19"/>
      <c r="B192" s="77" t="s">
        <v>4006</v>
      </c>
      <c r="C192" s="2875"/>
      <c r="D192" s="2875" t="s">
        <v>4511</v>
      </c>
      <c r="E192" s="2829">
        <v>100</v>
      </c>
      <c r="F192" s="2839" t="s">
        <v>1841</v>
      </c>
      <c r="G192" s="19"/>
      <c r="H192" s="2829" t="s">
        <v>2757</v>
      </c>
      <c r="I192" s="1912"/>
      <c r="J192" s="1912"/>
      <c r="K192" s="1912"/>
      <c r="L192" s="2871">
        <v>99590</v>
      </c>
      <c r="M192" s="1912"/>
      <c r="N192" s="2872" t="s">
        <v>2757</v>
      </c>
    </row>
    <row r="193" spans="1:14">
      <c r="A193" s="19"/>
      <c r="B193" s="77" t="s">
        <v>4006</v>
      </c>
      <c r="C193" s="2875"/>
      <c r="D193" s="1822" t="s">
        <v>4512</v>
      </c>
      <c r="E193" s="2829">
        <v>50</v>
      </c>
      <c r="F193" s="2839" t="s">
        <v>2876</v>
      </c>
      <c r="G193" s="19"/>
      <c r="H193" s="2829" t="s">
        <v>2757</v>
      </c>
      <c r="I193" s="1912"/>
      <c r="J193" s="1912"/>
      <c r="K193" s="1912"/>
      <c r="L193" s="2871">
        <v>2170</v>
      </c>
      <c r="M193" s="1912"/>
      <c r="N193" s="2872" t="s">
        <v>2757</v>
      </c>
    </row>
    <row r="194" spans="1:14">
      <c r="A194" s="19"/>
      <c r="B194" s="77" t="s">
        <v>4006</v>
      </c>
      <c r="C194" s="2875"/>
      <c r="D194" s="1822" t="s">
        <v>4513</v>
      </c>
      <c r="E194" s="2829">
        <v>30</v>
      </c>
      <c r="F194" s="2839" t="s">
        <v>2876</v>
      </c>
      <c r="G194" s="19"/>
      <c r="H194" s="2829" t="s">
        <v>2757</v>
      </c>
      <c r="I194" s="1912"/>
      <c r="J194" s="1912"/>
      <c r="K194" s="1912"/>
      <c r="L194" s="2871">
        <v>1476</v>
      </c>
      <c r="M194" s="1912"/>
      <c r="N194" s="2872" t="s">
        <v>2757</v>
      </c>
    </row>
    <row r="195" spans="1:14">
      <c r="A195" s="19"/>
      <c r="B195" s="77" t="s">
        <v>4006</v>
      </c>
      <c r="C195" s="2875"/>
      <c r="D195" s="1822" t="s">
        <v>4439</v>
      </c>
      <c r="E195" s="2829">
        <v>85</v>
      </c>
      <c r="F195" s="2839" t="s">
        <v>4417</v>
      </c>
      <c r="G195" s="19"/>
      <c r="H195" s="2829" t="s">
        <v>2757</v>
      </c>
      <c r="I195" s="1912"/>
      <c r="J195" s="1912"/>
      <c r="K195" s="1912"/>
      <c r="L195" s="2871">
        <v>3979</v>
      </c>
      <c r="M195" s="1912"/>
      <c r="N195" s="2872" t="s">
        <v>2757</v>
      </c>
    </row>
    <row r="196" spans="1:14">
      <c r="A196" s="19"/>
      <c r="B196" s="77" t="s">
        <v>4006</v>
      </c>
      <c r="C196" s="2875"/>
      <c r="D196" s="1822" t="s">
        <v>4443</v>
      </c>
      <c r="E196" s="2829">
        <v>280</v>
      </c>
      <c r="F196" s="2839" t="s">
        <v>1967</v>
      </c>
      <c r="G196" s="19"/>
      <c r="H196" s="2829" t="s">
        <v>2757</v>
      </c>
      <c r="I196" s="1912"/>
      <c r="J196" s="1912"/>
      <c r="K196" s="1912"/>
      <c r="L196" s="2871">
        <v>8614</v>
      </c>
      <c r="M196" s="1912"/>
      <c r="N196" s="2872" t="s">
        <v>2757</v>
      </c>
    </row>
    <row r="197" spans="1:14">
      <c r="A197" s="19"/>
      <c r="B197" s="77" t="s">
        <v>4006</v>
      </c>
      <c r="C197" s="2875"/>
      <c r="D197" s="1822" t="s">
        <v>4462</v>
      </c>
      <c r="E197" s="2829">
        <v>70</v>
      </c>
      <c r="F197" s="2839" t="s">
        <v>1700</v>
      </c>
      <c r="G197" s="19"/>
      <c r="H197" s="2829" t="s">
        <v>2757</v>
      </c>
      <c r="I197" s="1912"/>
      <c r="J197" s="1912"/>
      <c r="K197" s="1912"/>
      <c r="L197" s="2871">
        <v>4751</v>
      </c>
      <c r="M197" s="1912"/>
      <c r="N197" s="2872" t="s">
        <v>2757</v>
      </c>
    </row>
    <row r="198" spans="1:14">
      <c r="A198" s="19"/>
      <c r="B198" s="77" t="s">
        <v>4006</v>
      </c>
      <c r="C198" s="2875"/>
      <c r="D198" s="1822" t="s">
        <v>4464</v>
      </c>
      <c r="E198" s="2829">
        <v>100</v>
      </c>
      <c r="F198" s="2839" t="s">
        <v>4417</v>
      </c>
      <c r="G198" s="19"/>
      <c r="H198" s="2829" t="s">
        <v>2757</v>
      </c>
      <c r="I198" s="1912"/>
      <c r="J198" s="1912"/>
      <c r="K198" s="1912"/>
      <c r="L198" s="2871">
        <v>1201</v>
      </c>
      <c r="M198" s="1912"/>
      <c r="N198" s="2872" t="s">
        <v>2757</v>
      </c>
    </row>
    <row r="199" spans="1:14">
      <c r="A199" s="19"/>
      <c r="B199" s="77" t="s">
        <v>4006</v>
      </c>
      <c r="C199" s="2875"/>
      <c r="D199" s="1822" t="s">
        <v>4470</v>
      </c>
      <c r="E199" s="2829">
        <v>400</v>
      </c>
      <c r="F199" s="2839" t="s">
        <v>1967</v>
      </c>
      <c r="G199" s="19"/>
      <c r="H199" s="2829" t="s">
        <v>2757</v>
      </c>
      <c r="I199" s="1912"/>
      <c r="J199" s="1912"/>
      <c r="K199" s="1912"/>
      <c r="L199" s="2871">
        <v>34560</v>
      </c>
      <c r="M199" s="1912"/>
      <c r="N199" s="2872" t="s">
        <v>2757</v>
      </c>
    </row>
    <row r="200" spans="1:14">
      <c r="A200" s="19"/>
      <c r="B200" s="77" t="s">
        <v>4006</v>
      </c>
      <c r="C200" s="2875"/>
      <c r="D200" s="1822" t="s">
        <v>4514</v>
      </c>
      <c r="E200" s="2829">
        <v>191</v>
      </c>
      <c r="F200" s="2839" t="s">
        <v>1841</v>
      </c>
      <c r="G200" s="19"/>
      <c r="H200" s="2829" t="s">
        <v>2757</v>
      </c>
      <c r="I200" s="1912"/>
      <c r="J200" s="1912"/>
      <c r="K200" s="1912"/>
      <c r="L200" s="2871">
        <v>443190</v>
      </c>
      <c r="M200" s="1912"/>
      <c r="N200" s="2872" t="s">
        <v>2757</v>
      </c>
    </row>
    <row r="201" spans="1:14">
      <c r="A201" s="19"/>
      <c r="B201" s="77" t="s">
        <v>4006</v>
      </c>
      <c r="C201" s="2875"/>
      <c r="D201" s="1822" t="s">
        <v>4476</v>
      </c>
      <c r="E201" s="2829">
        <v>95</v>
      </c>
      <c r="F201" s="2839" t="s">
        <v>1967</v>
      </c>
      <c r="G201" s="19"/>
      <c r="H201" s="2829" t="s">
        <v>2757</v>
      </c>
      <c r="I201" s="1912"/>
      <c r="J201" s="1912"/>
      <c r="K201" s="1912"/>
      <c r="L201" s="2871">
        <v>3327.25</v>
      </c>
      <c r="M201" s="1912"/>
      <c r="N201" s="2872" t="s">
        <v>2757</v>
      </c>
    </row>
    <row r="202" spans="1:14">
      <c r="A202" s="19"/>
      <c r="B202" s="77" t="s">
        <v>4006</v>
      </c>
      <c r="C202" s="2875"/>
      <c r="D202" s="1822" t="s">
        <v>4515</v>
      </c>
      <c r="E202" s="2829">
        <v>424</v>
      </c>
      <c r="F202" s="2839" t="s">
        <v>1636</v>
      </c>
      <c r="G202" s="19"/>
      <c r="H202" s="2829" t="s">
        <v>2757</v>
      </c>
      <c r="I202" s="1912"/>
      <c r="J202" s="1912"/>
      <c r="K202" s="1912"/>
      <c r="L202" s="2871">
        <v>10600</v>
      </c>
      <c r="M202" s="1912"/>
      <c r="N202" s="2872" t="s">
        <v>2757</v>
      </c>
    </row>
    <row r="203" spans="1:14">
      <c r="A203" s="19"/>
      <c r="B203" s="77" t="s">
        <v>4006</v>
      </c>
      <c r="C203" s="2875"/>
      <c r="D203" s="1822" t="s">
        <v>4479</v>
      </c>
      <c r="E203" s="2829">
        <v>50</v>
      </c>
      <c r="F203" s="2839" t="s">
        <v>1841</v>
      </c>
      <c r="G203" s="19"/>
      <c r="H203" s="2829" t="s">
        <v>2757</v>
      </c>
      <c r="I203" s="1912"/>
      <c r="J203" s="1912"/>
      <c r="K203" s="1912"/>
      <c r="L203" s="2871">
        <v>2087.5</v>
      </c>
      <c r="M203" s="1912"/>
      <c r="N203" s="2872" t="s">
        <v>2757</v>
      </c>
    </row>
    <row r="204" spans="1:14">
      <c r="A204" s="19"/>
      <c r="B204" s="77" t="s">
        <v>4006</v>
      </c>
      <c r="C204" s="2875"/>
      <c r="D204" s="1822" t="s">
        <v>4484</v>
      </c>
      <c r="E204" s="2829">
        <v>20</v>
      </c>
      <c r="F204" s="2839" t="s">
        <v>1841</v>
      </c>
      <c r="G204" s="19"/>
      <c r="H204" s="2829" t="s">
        <v>2757</v>
      </c>
      <c r="I204" s="1912"/>
      <c r="J204" s="1912"/>
      <c r="K204" s="1912"/>
      <c r="L204" s="2871">
        <v>2211.25</v>
      </c>
      <c r="M204" s="1912"/>
      <c r="N204" s="2872" t="s">
        <v>2757</v>
      </c>
    </row>
    <row r="205" spans="1:14">
      <c r="A205" s="19"/>
      <c r="B205" s="77" t="s">
        <v>4006</v>
      </c>
      <c r="C205" s="2875"/>
      <c r="D205" s="1822" t="s">
        <v>4485</v>
      </c>
      <c r="E205" s="2829">
        <v>25</v>
      </c>
      <c r="F205" s="2839" t="s">
        <v>1841</v>
      </c>
      <c r="G205" s="19"/>
      <c r="H205" s="2829" t="s">
        <v>2757</v>
      </c>
      <c r="I205" s="1912"/>
      <c r="J205" s="1912"/>
      <c r="K205" s="1912"/>
      <c r="L205" s="2871">
        <v>5289.75</v>
      </c>
      <c r="M205" s="1912"/>
      <c r="N205" s="2872" t="s">
        <v>2757</v>
      </c>
    </row>
    <row r="206" spans="1:14">
      <c r="A206" s="19"/>
      <c r="B206" s="77" t="s">
        <v>4006</v>
      </c>
      <c r="C206" s="2875"/>
      <c r="D206" s="1822" t="s">
        <v>4486</v>
      </c>
      <c r="E206" s="2829">
        <v>30</v>
      </c>
      <c r="F206" s="2839" t="s">
        <v>1841</v>
      </c>
      <c r="G206" s="19"/>
      <c r="H206" s="2829" t="s">
        <v>2757</v>
      </c>
      <c r="I206" s="1912"/>
      <c r="J206" s="1912"/>
      <c r="K206" s="1912"/>
      <c r="L206" s="2871">
        <v>12247</v>
      </c>
      <c r="M206" s="1912"/>
      <c r="N206" s="2872" t="s">
        <v>2757</v>
      </c>
    </row>
    <row r="207" spans="1:14">
      <c r="A207" s="19"/>
      <c r="B207" s="77" t="s">
        <v>4006</v>
      </c>
      <c r="C207" s="2875"/>
      <c r="D207" s="1822" t="s">
        <v>4491</v>
      </c>
      <c r="E207" s="2829">
        <v>162</v>
      </c>
      <c r="F207" s="2839" t="s">
        <v>1841</v>
      </c>
      <c r="G207" s="19"/>
      <c r="H207" s="2829" t="s">
        <v>2757</v>
      </c>
      <c r="I207" s="1912"/>
      <c r="J207" s="1912"/>
      <c r="K207" s="1912"/>
      <c r="L207" s="2871">
        <v>2607</v>
      </c>
      <c r="M207" s="1912"/>
      <c r="N207" s="2872" t="s">
        <v>2757</v>
      </c>
    </row>
    <row r="208" spans="1:14">
      <c r="A208" s="19"/>
      <c r="B208" s="77" t="s">
        <v>4006</v>
      </c>
      <c r="C208" s="2875"/>
      <c r="D208" s="1822" t="s">
        <v>4492</v>
      </c>
      <c r="E208" s="2829">
        <v>70</v>
      </c>
      <c r="F208" s="2839" t="s">
        <v>1841</v>
      </c>
      <c r="G208" s="19"/>
      <c r="H208" s="2829" t="s">
        <v>2757</v>
      </c>
      <c r="I208" s="1912"/>
      <c r="J208" s="1912"/>
      <c r="K208" s="1912"/>
      <c r="L208" s="2871">
        <v>6691</v>
      </c>
      <c r="M208" s="1912"/>
      <c r="N208" s="2872" t="s">
        <v>2757</v>
      </c>
    </row>
    <row r="209" spans="1:14">
      <c r="A209" s="19"/>
      <c r="B209" s="77" t="s">
        <v>4006</v>
      </c>
      <c r="C209" s="2875"/>
      <c r="D209" s="1822" t="s">
        <v>4501</v>
      </c>
      <c r="E209" s="2829">
        <v>50</v>
      </c>
      <c r="F209" s="2839" t="s">
        <v>1747</v>
      </c>
      <c r="G209" s="19"/>
      <c r="H209" s="2829" t="s">
        <v>2757</v>
      </c>
      <c r="I209" s="1912"/>
      <c r="J209" s="1912"/>
      <c r="K209" s="1912"/>
      <c r="L209" s="2871">
        <v>1923</v>
      </c>
      <c r="M209" s="1912"/>
      <c r="N209" s="2872" t="s">
        <v>2757</v>
      </c>
    </row>
    <row r="210" spans="1:14">
      <c r="A210" s="19"/>
      <c r="B210" s="77" t="s">
        <v>4006</v>
      </c>
      <c r="C210" s="2875"/>
      <c r="D210" s="1822" t="s">
        <v>4507</v>
      </c>
      <c r="E210" s="2829">
        <v>25</v>
      </c>
      <c r="F210" s="2839" t="s">
        <v>2876</v>
      </c>
      <c r="G210" s="19"/>
      <c r="H210" s="2829" t="s">
        <v>2757</v>
      </c>
      <c r="I210" s="1912"/>
      <c r="J210" s="1912"/>
      <c r="K210" s="1912"/>
      <c r="L210" s="2871">
        <v>2874.5</v>
      </c>
      <c r="M210" s="1912"/>
      <c r="N210" s="2872" t="s">
        <v>2757</v>
      </c>
    </row>
    <row r="211" spans="1:14">
      <c r="A211" s="19"/>
      <c r="B211" s="77" t="s">
        <v>4006</v>
      </c>
      <c r="C211" s="2875"/>
      <c r="D211" s="1822" t="s">
        <v>4509</v>
      </c>
      <c r="E211" s="2829">
        <v>500</v>
      </c>
      <c r="F211" s="2839" t="s">
        <v>1841</v>
      </c>
      <c r="G211" s="19"/>
      <c r="H211" s="2829" t="s">
        <v>2757</v>
      </c>
      <c r="I211" s="1912"/>
      <c r="J211" s="1912"/>
      <c r="K211" s="1912"/>
      <c r="L211" s="2871">
        <v>131600</v>
      </c>
      <c r="M211" s="1912"/>
      <c r="N211" s="2872" t="s">
        <v>2757</v>
      </c>
    </row>
    <row r="212" spans="1:14">
      <c r="A212" s="19"/>
      <c r="B212" s="77" t="s">
        <v>4006</v>
      </c>
      <c r="C212" s="2875"/>
      <c r="D212" s="2875" t="s">
        <v>4510</v>
      </c>
      <c r="E212" s="2829">
        <v>750</v>
      </c>
      <c r="F212" s="2839" t="s">
        <v>1841</v>
      </c>
      <c r="G212" s="19"/>
      <c r="H212" s="2829" t="s">
        <v>2757</v>
      </c>
      <c r="I212" s="1912"/>
      <c r="J212" s="1912"/>
      <c r="K212" s="1912"/>
      <c r="L212" s="2871">
        <v>92050</v>
      </c>
      <c r="M212" s="1912"/>
      <c r="N212" s="2872" t="s">
        <v>2757</v>
      </c>
    </row>
    <row r="213" spans="1:14" ht="27">
      <c r="A213" s="19"/>
      <c r="B213" s="77" t="s">
        <v>4006</v>
      </c>
      <c r="C213" s="2875"/>
      <c r="D213" s="1822" t="s">
        <v>4515</v>
      </c>
      <c r="E213" s="2829">
        <v>424</v>
      </c>
      <c r="F213" s="2839" t="s">
        <v>1636</v>
      </c>
      <c r="G213" s="19"/>
      <c r="H213" s="2829" t="s">
        <v>422</v>
      </c>
      <c r="I213" s="1912"/>
      <c r="J213" s="1912"/>
      <c r="K213" s="1912"/>
      <c r="L213" s="2871">
        <v>10600</v>
      </c>
      <c r="M213" s="1912"/>
      <c r="N213" s="2872" t="s">
        <v>2757</v>
      </c>
    </row>
    <row r="214" spans="1:14">
      <c r="A214" s="19"/>
      <c r="B214" s="77" t="s">
        <v>4006</v>
      </c>
      <c r="C214" s="2875"/>
      <c r="D214" s="1822" t="s">
        <v>4517</v>
      </c>
      <c r="E214" s="2829">
        <v>150</v>
      </c>
      <c r="F214" s="2839" t="s">
        <v>4516</v>
      </c>
      <c r="G214" s="19"/>
      <c r="H214" s="2829" t="s">
        <v>2757</v>
      </c>
      <c r="I214" s="1912"/>
      <c r="J214" s="1912"/>
      <c r="K214" s="1912"/>
      <c r="L214" s="2871">
        <v>45000</v>
      </c>
      <c r="M214" s="1912"/>
      <c r="N214" s="2872" t="s">
        <v>2757</v>
      </c>
    </row>
    <row r="215" spans="1:14">
      <c r="A215" s="19"/>
      <c r="B215" s="77" t="s">
        <v>4006</v>
      </c>
      <c r="C215" s="2875"/>
      <c r="D215" s="2843" t="s">
        <v>4518</v>
      </c>
      <c r="E215" s="2829"/>
      <c r="F215" s="2839"/>
      <c r="G215" s="19"/>
      <c r="H215" s="2829"/>
      <c r="I215" s="1912"/>
      <c r="J215" s="1912"/>
      <c r="K215" s="1912"/>
      <c r="L215" s="2871"/>
      <c r="M215" s="1912"/>
      <c r="N215" s="2872" t="s">
        <v>2757</v>
      </c>
    </row>
    <row r="216" spans="1:14" ht="27">
      <c r="A216" s="19"/>
      <c r="B216" s="77" t="s">
        <v>4006</v>
      </c>
      <c r="C216" s="2875"/>
      <c r="D216" s="1822" t="s">
        <v>4519</v>
      </c>
      <c r="E216" s="2829">
        <v>400</v>
      </c>
      <c r="F216" s="2839" t="s">
        <v>4417</v>
      </c>
      <c r="G216" s="19"/>
      <c r="H216" s="2829" t="s">
        <v>422</v>
      </c>
      <c r="I216" s="1912"/>
      <c r="J216" s="1912"/>
      <c r="K216" s="1912"/>
      <c r="L216" s="2871">
        <v>36000</v>
      </c>
      <c r="M216" s="1912"/>
      <c r="N216" s="2872" t="s">
        <v>2757</v>
      </c>
    </row>
    <row r="217" spans="1:14">
      <c r="A217" s="19"/>
      <c r="B217" s="77" t="s">
        <v>4006</v>
      </c>
      <c r="C217" s="2875"/>
      <c r="D217" s="1822" t="s">
        <v>4520</v>
      </c>
      <c r="E217" s="2829">
        <v>250</v>
      </c>
      <c r="F217" s="2839" t="s">
        <v>4417</v>
      </c>
      <c r="G217" s="19"/>
      <c r="H217" s="2829" t="s">
        <v>2757</v>
      </c>
      <c r="I217" s="1912"/>
      <c r="J217" s="1912"/>
      <c r="K217" s="1912"/>
      <c r="L217" s="2871">
        <v>23750</v>
      </c>
      <c r="M217" s="1912"/>
      <c r="N217" s="2872" t="s">
        <v>2757</v>
      </c>
    </row>
    <row r="218" spans="1:14">
      <c r="A218" s="19"/>
      <c r="B218" s="77" t="s">
        <v>4006</v>
      </c>
      <c r="C218" s="2875"/>
      <c r="D218" s="1822" t="s">
        <v>4521</v>
      </c>
      <c r="E218" s="2829">
        <v>200</v>
      </c>
      <c r="F218" s="2839" t="s">
        <v>4417</v>
      </c>
      <c r="G218" s="19"/>
      <c r="H218" s="2829" t="s">
        <v>2757</v>
      </c>
      <c r="I218" s="1912"/>
      <c r="J218" s="1912"/>
      <c r="K218" s="1912"/>
      <c r="L218" s="2871">
        <v>60000</v>
      </c>
      <c r="M218" s="1912"/>
      <c r="N218" s="2872" t="s">
        <v>2757</v>
      </c>
    </row>
    <row r="219" spans="1:14">
      <c r="A219" s="19"/>
      <c r="B219" s="77" t="s">
        <v>4006</v>
      </c>
      <c r="C219" s="2875"/>
      <c r="D219" s="1822" t="s">
        <v>4522</v>
      </c>
      <c r="E219" s="2829">
        <v>5</v>
      </c>
      <c r="F219" s="2839" t="s">
        <v>4417</v>
      </c>
      <c r="G219" s="19"/>
      <c r="H219" s="2829" t="s">
        <v>2757</v>
      </c>
      <c r="I219" s="1912"/>
      <c r="J219" s="1912"/>
      <c r="K219" s="1912"/>
      <c r="L219" s="2871">
        <v>300</v>
      </c>
      <c r="M219" s="1912"/>
      <c r="N219" s="2872" t="s">
        <v>2757</v>
      </c>
    </row>
    <row r="220" spans="1:14">
      <c r="A220" s="19"/>
      <c r="B220" s="77" t="s">
        <v>4006</v>
      </c>
      <c r="C220" s="2875"/>
      <c r="D220" s="1822" t="s">
        <v>4523</v>
      </c>
      <c r="E220" s="2829">
        <v>5</v>
      </c>
      <c r="F220" s="2839" t="s">
        <v>4417</v>
      </c>
      <c r="G220" s="19"/>
      <c r="H220" s="2829" t="s">
        <v>2757</v>
      </c>
      <c r="I220" s="1912"/>
      <c r="J220" s="1912"/>
      <c r="K220" s="1912"/>
      <c r="L220" s="2871">
        <v>90</v>
      </c>
      <c r="M220" s="1912"/>
      <c r="N220" s="2872" t="s">
        <v>2757</v>
      </c>
    </row>
    <row r="221" spans="1:14">
      <c r="A221" s="19"/>
      <c r="B221" s="77" t="s">
        <v>4006</v>
      </c>
      <c r="C221" s="2875"/>
      <c r="D221" s="1822" t="s">
        <v>4524</v>
      </c>
      <c r="E221" s="2829">
        <v>30</v>
      </c>
      <c r="F221" s="2839" t="s">
        <v>4417</v>
      </c>
      <c r="G221" s="19"/>
      <c r="H221" s="2829" t="s">
        <v>2757</v>
      </c>
      <c r="I221" s="1912"/>
      <c r="J221" s="1912"/>
      <c r="K221" s="1912"/>
      <c r="L221" s="2871">
        <v>2850</v>
      </c>
      <c r="M221" s="1912"/>
      <c r="N221" s="2872" t="s">
        <v>2757</v>
      </c>
    </row>
    <row r="222" spans="1:14">
      <c r="A222" s="19"/>
      <c r="B222" s="77" t="s">
        <v>4006</v>
      </c>
      <c r="C222" s="2875"/>
      <c r="D222" s="1822" t="s">
        <v>4525</v>
      </c>
      <c r="E222" s="2829">
        <v>15</v>
      </c>
      <c r="F222" s="2839" t="s">
        <v>4417</v>
      </c>
      <c r="G222" s="19"/>
      <c r="H222" s="2829" t="s">
        <v>2757</v>
      </c>
      <c r="I222" s="1912"/>
      <c r="J222" s="1912"/>
      <c r="K222" s="1912"/>
      <c r="L222" s="2871">
        <v>6000</v>
      </c>
      <c r="M222" s="1912"/>
      <c r="N222" s="2872" t="s">
        <v>2757</v>
      </c>
    </row>
    <row r="223" spans="1:14">
      <c r="A223" s="19"/>
      <c r="B223" s="77" t="s">
        <v>4006</v>
      </c>
      <c r="C223" s="2875"/>
      <c r="D223" s="1822" t="s">
        <v>4526</v>
      </c>
      <c r="E223" s="2829">
        <v>150</v>
      </c>
      <c r="F223" s="2839" t="s">
        <v>4417</v>
      </c>
      <c r="G223" s="19"/>
      <c r="H223" s="2829" t="s">
        <v>2757</v>
      </c>
      <c r="I223" s="1912"/>
      <c r="J223" s="1912"/>
      <c r="K223" s="1912"/>
      <c r="L223" s="2871">
        <v>12000</v>
      </c>
      <c r="M223" s="1912"/>
      <c r="N223" s="2872" t="s">
        <v>2757</v>
      </c>
    </row>
    <row r="224" spans="1:14">
      <c r="A224" s="19"/>
      <c r="B224" s="77" t="s">
        <v>4006</v>
      </c>
      <c r="C224" s="2875"/>
      <c r="D224" s="1822" t="s">
        <v>4527</v>
      </c>
      <c r="E224" s="2829">
        <v>100</v>
      </c>
      <c r="F224" s="2839" t="s">
        <v>4417</v>
      </c>
      <c r="G224" s="19"/>
      <c r="H224" s="2829" t="s">
        <v>2757</v>
      </c>
      <c r="I224" s="1912"/>
      <c r="J224" s="1912"/>
      <c r="K224" s="1912"/>
      <c r="L224" s="2871">
        <v>4000</v>
      </c>
      <c r="M224" s="1912"/>
      <c r="N224" s="2872" t="s">
        <v>2757</v>
      </c>
    </row>
    <row r="225" spans="1:14">
      <c r="A225" s="19"/>
      <c r="B225" s="77" t="s">
        <v>4006</v>
      </c>
      <c r="C225" s="2875"/>
      <c r="D225" s="1822" t="s">
        <v>4528</v>
      </c>
      <c r="E225" s="2829">
        <v>75</v>
      </c>
      <c r="F225" s="2839" t="s">
        <v>1952</v>
      </c>
      <c r="G225" s="19"/>
      <c r="H225" s="2829" t="s">
        <v>2757</v>
      </c>
      <c r="I225" s="1912"/>
      <c r="J225" s="1912"/>
      <c r="K225" s="1912"/>
      <c r="L225" s="2871">
        <v>1200</v>
      </c>
      <c r="M225" s="1912"/>
      <c r="N225" s="2872" t="s">
        <v>2757</v>
      </c>
    </row>
    <row r="226" spans="1:14">
      <c r="A226" s="19"/>
      <c r="B226" s="77" t="s">
        <v>4006</v>
      </c>
      <c r="C226" s="2875"/>
      <c r="D226" s="1822" t="s">
        <v>4529</v>
      </c>
      <c r="E226" s="2829">
        <v>75</v>
      </c>
      <c r="F226" s="2839" t="s">
        <v>4417</v>
      </c>
      <c r="G226" s="19"/>
      <c r="H226" s="2829" t="s">
        <v>2757</v>
      </c>
      <c r="I226" s="1912"/>
      <c r="J226" s="1912"/>
      <c r="K226" s="1912"/>
      <c r="L226" s="2871">
        <v>4875</v>
      </c>
      <c r="M226" s="1912"/>
      <c r="N226" s="2872" t="s">
        <v>2757</v>
      </c>
    </row>
    <row r="227" spans="1:14">
      <c r="A227" s="19"/>
      <c r="B227" s="77" t="s">
        <v>4006</v>
      </c>
      <c r="C227" s="2875"/>
      <c r="D227" s="1822" t="s">
        <v>4530</v>
      </c>
      <c r="E227" s="2829">
        <v>150</v>
      </c>
      <c r="F227" s="2839" t="s">
        <v>4417</v>
      </c>
      <c r="G227" s="19"/>
      <c r="H227" s="2829" t="s">
        <v>2757</v>
      </c>
      <c r="I227" s="1912"/>
      <c r="J227" s="1912"/>
      <c r="K227" s="1912"/>
      <c r="L227" s="2871">
        <v>18000</v>
      </c>
      <c r="M227" s="1912"/>
      <c r="N227" s="2872" t="s">
        <v>2757</v>
      </c>
    </row>
    <row r="228" spans="1:14">
      <c r="A228" s="19"/>
      <c r="B228" s="77" t="s">
        <v>4006</v>
      </c>
      <c r="C228" s="2875"/>
      <c r="D228" s="1822" t="s">
        <v>4531</v>
      </c>
      <c r="E228" s="2829">
        <v>50</v>
      </c>
      <c r="F228" s="2839" t="s">
        <v>4417</v>
      </c>
      <c r="G228" s="19"/>
      <c r="H228" s="2829" t="s">
        <v>2757</v>
      </c>
      <c r="I228" s="1912"/>
      <c r="J228" s="1912"/>
      <c r="K228" s="1912"/>
      <c r="L228" s="2871">
        <v>10000</v>
      </c>
      <c r="M228" s="1912"/>
      <c r="N228" s="2872" t="s">
        <v>2757</v>
      </c>
    </row>
    <row r="229" spans="1:14">
      <c r="A229" s="19"/>
      <c r="B229" s="77" t="s">
        <v>4006</v>
      </c>
      <c r="C229" s="2875"/>
      <c r="D229" s="1822" t="s">
        <v>4532</v>
      </c>
      <c r="E229" s="2829">
        <v>250</v>
      </c>
      <c r="F229" s="2839" t="s">
        <v>2876</v>
      </c>
      <c r="G229" s="19"/>
      <c r="H229" s="2829" t="s">
        <v>2757</v>
      </c>
      <c r="I229" s="1912"/>
      <c r="J229" s="1912"/>
      <c r="K229" s="1912"/>
      <c r="L229" s="2871">
        <v>3750</v>
      </c>
      <c r="M229" s="1912"/>
      <c r="N229" s="2872" t="s">
        <v>2757</v>
      </c>
    </row>
    <row r="230" spans="1:14">
      <c r="A230" s="19"/>
      <c r="B230" s="77" t="s">
        <v>4006</v>
      </c>
      <c r="C230" s="2875"/>
      <c r="D230" s="1822" t="s">
        <v>4533</v>
      </c>
      <c r="E230" s="2829">
        <v>5</v>
      </c>
      <c r="F230" s="2839" t="s">
        <v>4417</v>
      </c>
      <c r="G230" s="19"/>
      <c r="H230" s="2829" t="s">
        <v>2757</v>
      </c>
      <c r="I230" s="1912"/>
      <c r="J230" s="1912"/>
      <c r="K230" s="1912"/>
      <c r="L230" s="2871">
        <v>500</v>
      </c>
      <c r="M230" s="1912"/>
      <c r="N230" s="2872" t="s">
        <v>2757</v>
      </c>
    </row>
    <row r="231" spans="1:14">
      <c r="A231" s="19"/>
      <c r="B231" s="77" t="s">
        <v>4006</v>
      </c>
      <c r="C231" s="2875"/>
      <c r="D231" s="1822" t="s">
        <v>4534</v>
      </c>
      <c r="E231" s="2829">
        <v>150</v>
      </c>
      <c r="F231" s="2839" t="s">
        <v>4417</v>
      </c>
      <c r="G231" s="19"/>
      <c r="H231" s="2829" t="s">
        <v>2757</v>
      </c>
      <c r="I231" s="1912"/>
      <c r="J231" s="1912"/>
      <c r="K231" s="1912"/>
      <c r="L231" s="2871">
        <v>11250</v>
      </c>
      <c r="M231" s="1912"/>
      <c r="N231" s="2872" t="s">
        <v>2757</v>
      </c>
    </row>
    <row r="232" spans="1:14">
      <c r="A232" s="19"/>
      <c r="B232" s="77" t="s">
        <v>4006</v>
      </c>
      <c r="C232" s="2875"/>
      <c r="D232" s="1822" t="s">
        <v>4535</v>
      </c>
      <c r="E232" s="2829">
        <v>100</v>
      </c>
      <c r="F232" s="2839" t="s">
        <v>1841</v>
      </c>
      <c r="G232" s="19"/>
      <c r="H232" s="2829" t="s">
        <v>2757</v>
      </c>
      <c r="I232" s="1912"/>
      <c r="J232" s="1912"/>
      <c r="K232" s="1912"/>
      <c r="L232" s="2871">
        <v>1000</v>
      </c>
      <c r="M232" s="1912"/>
      <c r="N232" s="2872" t="s">
        <v>2757</v>
      </c>
    </row>
    <row r="233" spans="1:14">
      <c r="A233" s="19"/>
      <c r="B233" s="77" t="s">
        <v>4006</v>
      </c>
      <c r="C233" s="2875"/>
      <c r="D233" s="1822" t="s">
        <v>4536</v>
      </c>
      <c r="E233" s="2829">
        <v>1</v>
      </c>
      <c r="F233" s="2839" t="s">
        <v>4417</v>
      </c>
      <c r="G233" s="19"/>
      <c r="H233" s="2829" t="s">
        <v>2757</v>
      </c>
      <c r="I233" s="1912"/>
      <c r="J233" s="1912"/>
      <c r="K233" s="1912"/>
      <c r="L233" s="2871">
        <v>400</v>
      </c>
      <c r="M233" s="1912"/>
      <c r="N233" s="2872" t="s">
        <v>2757</v>
      </c>
    </row>
    <row r="234" spans="1:14">
      <c r="A234" s="19"/>
      <c r="B234" s="77" t="s">
        <v>4006</v>
      </c>
      <c r="C234" s="2875"/>
      <c r="D234" s="1822" t="s">
        <v>4537</v>
      </c>
      <c r="E234" s="2829">
        <v>150</v>
      </c>
      <c r="F234" s="2839" t="s">
        <v>4417</v>
      </c>
      <c r="G234" s="19"/>
      <c r="H234" s="2829" t="s">
        <v>2757</v>
      </c>
      <c r="I234" s="1912"/>
      <c r="J234" s="1912"/>
      <c r="K234" s="1912"/>
      <c r="L234" s="2871">
        <v>13500</v>
      </c>
      <c r="M234" s="1912"/>
      <c r="N234" s="2872" t="s">
        <v>2757</v>
      </c>
    </row>
    <row r="235" spans="1:14">
      <c r="A235" s="19"/>
      <c r="B235" s="77" t="s">
        <v>4006</v>
      </c>
      <c r="C235" s="2875"/>
      <c r="D235" s="1822" t="s">
        <v>4538</v>
      </c>
      <c r="E235" s="2829">
        <v>50</v>
      </c>
      <c r="F235" s="2839" t="s">
        <v>4417</v>
      </c>
      <c r="G235" s="19"/>
      <c r="H235" s="2829" t="s">
        <v>2757</v>
      </c>
      <c r="I235" s="1912"/>
      <c r="J235" s="1912"/>
      <c r="K235" s="1912"/>
      <c r="L235" s="2871">
        <v>1750</v>
      </c>
      <c r="M235" s="1912"/>
      <c r="N235" s="2872" t="s">
        <v>2757</v>
      </c>
    </row>
    <row r="236" spans="1:14">
      <c r="A236" s="19"/>
      <c r="B236" s="77" t="s">
        <v>4006</v>
      </c>
      <c r="C236" s="2875"/>
      <c r="D236" s="1822" t="s">
        <v>4539</v>
      </c>
      <c r="E236" s="2829">
        <v>50</v>
      </c>
      <c r="F236" s="2839" t="s">
        <v>4417</v>
      </c>
      <c r="G236" s="19"/>
      <c r="H236" s="2829" t="s">
        <v>2757</v>
      </c>
      <c r="I236" s="1912"/>
      <c r="J236" s="1912"/>
      <c r="K236" s="1912"/>
      <c r="L236" s="2871">
        <v>1250</v>
      </c>
      <c r="M236" s="1912"/>
      <c r="N236" s="2872" t="s">
        <v>2757</v>
      </c>
    </row>
    <row r="237" spans="1:14">
      <c r="A237" s="19"/>
      <c r="B237" s="77" t="s">
        <v>4006</v>
      </c>
      <c r="C237" s="2875"/>
      <c r="D237" s="1822" t="s">
        <v>4540</v>
      </c>
      <c r="E237" s="2829">
        <v>100</v>
      </c>
      <c r="F237" s="2839" t="s">
        <v>4417</v>
      </c>
      <c r="G237" s="19"/>
      <c r="H237" s="2829" t="s">
        <v>2757</v>
      </c>
      <c r="I237" s="1912"/>
      <c r="J237" s="1912"/>
      <c r="K237" s="1912"/>
      <c r="L237" s="2871">
        <v>15000</v>
      </c>
      <c r="M237" s="1912"/>
      <c r="N237" s="2872" t="s">
        <v>2757</v>
      </c>
    </row>
    <row r="238" spans="1:14">
      <c r="A238" s="19"/>
      <c r="B238" s="77" t="s">
        <v>4006</v>
      </c>
      <c r="C238" s="2875"/>
      <c r="D238" s="1822" t="s">
        <v>4541</v>
      </c>
      <c r="E238" s="2829">
        <v>100</v>
      </c>
      <c r="F238" s="2839" t="s">
        <v>4417</v>
      </c>
      <c r="G238" s="19"/>
      <c r="H238" s="2829" t="s">
        <v>2757</v>
      </c>
      <c r="I238" s="1912"/>
      <c r="J238" s="1912"/>
      <c r="K238" s="1912"/>
      <c r="L238" s="2871">
        <v>16000</v>
      </c>
      <c r="M238" s="1912"/>
      <c r="N238" s="2872" t="s">
        <v>2757</v>
      </c>
    </row>
    <row r="239" spans="1:14">
      <c r="A239" s="19"/>
      <c r="B239" s="77" t="s">
        <v>4006</v>
      </c>
      <c r="C239" s="2875"/>
      <c r="D239" s="1822" t="s">
        <v>4542</v>
      </c>
      <c r="E239" s="2829">
        <v>50</v>
      </c>
      <c r="F239" s="2839" t="s">
        <v>4417</v>
      </c>
      <c r="G239" s="19"/>
      <c r="H239" s="2829" t="s">
        <v>2757</v>
      </c>
      <c r="I239" s="1912"/>
      <c r="J239" s="1912"/>
      <c r="K239" s="1912"/>
      <c r="L239" s="2871">
        <v>8000</v>
      </c>
      <c r="M239" s="1912"/>
      <c r="N239" s="2872" t="s">
        <v>2757</v>
      </c>
    </row>
    <row r="240" spans="1:14">
      <c r="A240" s="19"/>
      <c r="B240" s="77" t="s">
        <v>4006</v>
      </c>
      <c r="C240" s="2875"/>
      <c r="D240" s="1822" t="s">
        <v>4543</v>
      </c>
      <c r="E240" s="2829">
        <v>5</v>
      </c>
      <c r="F240" s="2839" t="s">
        <v>1841</v>
      </c>
      <c r="G240" s="19"/>
      <c r="H240" s="2829" t="s">
        <v>2757</v>
      </c>
      <c r="I240" s="1912"/>
      <c r="J240" s="1912"/>
      <c r="K240" s="1912"/>
      <c r="L240" s="2871">
        <v>100</v>
      </c>
      <c r="M240" s="1912"/>
      <c r="N240" s="2872" t="s">
        <v>2757</v>
      </c>
    </row>
    <row r="241" spans="1:14">
      <c r="A241" s="19"/>
      <c r="B241" s="77" t="s">
        <v>4006</v>
      </c>
      <c r="C241" s="2875"/>
      <c r="D241" s="1822" t="s">
        <v>4544</v>
      </c>
      <c r="E241" s="2829">
        <v>100</v>
      </c>
      <c r="F241" s="2839" t="s">
        <v>1952</v>
      </c>
      <c r="G241" s="19"/>
      <c r="H241" s="2829" t="s">
        <v>2757</v>
      </c>
      <c r="I241" s="1912"/>
      <c r="J241" s="1912"/>
      <c r="K241" s="1912"/>
      <c r="L241" s="2871">
        <v>1500</v>
      </c>
      <c r="M241" s="1912"/>
      <c r="N241" s="2872" t="s">
        <v>2757</v>
      </c>
    </row>
    <row r="242" spans="1:14">
      <c r="A242" s="19"/>
      <c r="B242" s="77" t="s">
        <v>4006</v>
      </c>
      <c r="C242" s="2875"/>
      <c r="D242" s="1822" t="s">
        <v>4545</v>
      </c>
      <c r="E242" s="2829">
        <v>100</v>
      </c>
      <c r="F242" s="2839" t="s">
        <v>4417</v>
      </c>
      <c r="G242" s="19"/>
      <c r="H242" s="2829" t="s">
        <v>2757</v>
      </c>
      <c r="I242" s="1912"/>
      <c r="J242" s="1912"/>
      <c r="K242" s="1912"/>
      <c r="L242" s="2871">
        <v>8500</v>
      </c>
      <c r="M242" s="1912"/>
      <c r="N242" s="2872" t="s">
        <v>2757</v>
      </c>
    </row>
    <row r="243" spans="1:14">
      <c r="A243" s="19"/>
      <c r="B243" s="77" t="s">
        <v>4006</v>
      </c>
      <c r="C243" s="2875"/>
      <c r="D243" s="1822" t="s">
        <v>4546</v>
      </c>
      <c r="E243" s="2829">
        <v>10</v>
      </c>
      <c r="F243" s="2839" t="s">
        <v>4417</v>
      </c>
      <c r="G243" s="19"/>
      <c r="H243" s="2829" t="s">
        <v>2757</v>
      </c>
      <c r="I243" s="1912"/>
      <c r="J243" s="1912"/>
      <c r="K243" s="1912"/>
      <c r="L243" s="2871">
        <v>1000</v>
      </c>
      <c r="M243" s="1912"/>
      <c r="N243" s="2872" t="s">
        <v>2757</v>
      </c>
    </row>
    <row r="244" spans="1:14">
      <c r="A244" s="19"/>
      <c r="B244" s="77" t="s">
        <v>4006</v>
      </c>
      <c r="C244" s="2875"/>
      <c r="D244" s="1822" t="s">
        <v>4547</v>
      </c>
      <c r="E244" s="2829">
        <v>50</v>
      </c>
      <c r="F244" s="2839" t="s">
        <v>4417</v>
      </c>
      <c r="G244" s="19"/>
      <c r="H244" s="2829" t="s">
        <v>2757</v>
      </c>
      <c r="I244" s="1912"/>
      <c r="J244" s="1912"/>
      <c r="K244" s="1912"/>
      <c r="L244" s="2871">
        <v>3750</v>
      </c>
      <c r="M244" s="1912"/>
      <c r="N244" s="2872" t="s">
        <v>2757</v>
      </c>
    </row>
    <row r="245" spans="1:14">
      <c r="A245" s="19"/>
      <c r="B245" s="77" t="s">
        <v>4006</v>
      </c>
      <c r="C245" s="2875"/>
      <c r="D245" s="1822" t="s">
        <v>4548</v>
      </c>
      <c r="E245" s="2829">
        <v>25</v>
      </c>
      <c r="F245" s="2839" t="s">
        <v>2876</v>
      </c>
      <c r="G245" s="19"/>
      <c r="H245" s="2829" t="s">
        <v>2757</v>
      </c>
      <c r="I245" s="1912"/>
      <c r="J245" s="1912"/>
      <c r="K245" s="1912"/>
      <c r="L245" s="2871">
        <v>1125</v>
      </c>
      <c r="M245" s="1912"/>
      <c r="N245" s="2872" t="s">
        <v>2757</v>
      </c>
    </row>
    <row r="246" spans="1:14">
      <c r="A246" s="19"/>
      <c r="B246" s="77" t="s">
        <v>4006</v>
      </c>
      <c r="C246" s="2875"/>
      <c r="D246" s="1822" t="s">
        <v>4549</v>
      </c>
      <c r="E246" s="2829">
        <v>10</v>
      </c>
      <c r="F246" s="2839" t="s">
        <v>2876</v>
      </c>
      <c r="G246" s="19"/>
      <c r="H246" s="2829" t="s">
        <v>2757</v>
      </c>
      <c r="I246" s="1912"/>
      <c r="J246" s="1912"/>
      <c r="K246" s="1912"/>
      <c r="L246" s="2871">
        <v>300</v>
      </c>
      <c r="M246" s="1912"/>
      <c r="N246" s="2872" t="s">
        <v>2757</v>
      </c>
    </row>
    <row r="247" spans="1:14">
      <c r="A247" s="19"/>
      <c r="B247" s="77" t="s">
        <v>4006</v>
      </c>
      <c r="C247" s="2875"/>
      <c r="D247" s="1822" t="s">
        <v>4550</v>
      </c>
      <c r="E247" s="2829">
        <v>75</v>
      </c>
      <c r="F247" s="2839" t="s">
        <v>1952</v>
      </c>
      <c r="G247" s="19"/>
      <c r="H247" s="2829" t="s">
        <v>2757</v>
      </c>
      <c r="I247" s="1912"/>
      <c r="J247" s="1912"/>
      <c r="K247" s="1912"/>
      <c r="L247" s="2871">
        <v>375</v>
      </c>
      <c r="M247" s="1912"/>
      <c r="N247" s="2872" t="s">
        <v>2757</v>
      </c>
    </row>
    <row r="248" spans="1:14">
      <c r="A248" s="19"/>
      <c r="B248" s="77" t="s">
        <v>4006</v>
      </c>
      <c r="C248" s="2875"/>
      <c r="D248" s="1822" t="s">
        <v>4551</v>
      </c>
      <c r="E248" s="2829">
        <v>50</v>
      </c>
      <c r="F248" s="2839" t="s">
        <v>4417</v>
      </c>
      <c r="G248" s="19"/>
      <c r="H248" s="2829" t="s">
        <v>2757</v>
      </c>
      <c r="I248" s="1912"/>
      <c r="J248" s="1912"/>
      <c r="K248" s="1912"/>
      <c r="L248" s="2871">
        <v>6000</v>
      </c>
      <c r="M248" s="1912"/>
      <c r="N248" s="2872" t="s">
        <v>2757</v>
      </c>
    </row>
    <row r="249" spans="1:14">
      <c r="A249" s="19"/>
      <c r="B249" s="77" t="s">
        <v>4006</v>
      </c>
      <c r="C249" s="2875"/>
      <c r="D249" s="1822" t="s">
        <v>4552</v>
      </c>
      <c r="E249" s="2829">
        <v>50</v>
      </c>
      <c r="F249" s="2839" t="s">
        <v>4417</v>
      </c>
      <c r="G249" s="19"/>
      <c r="H249" s="2829" t="s">
        <v>2757</v>
      </c>
      <c r="I249" s="1912"/>
      <c r="J249" s="1912"/>
      <c r="K249" s="1912"/>
      <c r="L249" s="2871">
        <v>2250</v>
      </c>
      <c r="M249" s="1912"/>
      <c r="N249" s="2872" t="s">
        <v>2757</v>
      </c>
    </row>
    <row r="250" spans="1:14">
      <c r="A250" s="19"/>
      <c r="B250" s="77" t="s">
        <v>4006</v>
      </c>
      <c r="C250" s="2875"/>
      <c r="D250" s="1822" t="s">
        <v>4553</v>
      </c>
      <c r="E250" s="2829">
        <v>100</v>
      </c>
      <c r="F250" s="2839" t="s">
        <v>4417</v>
      </c>
      <c r="G250" s="19"/>
      <c r="H250" s="2829" t="s">
        <v>2757</v>
      </c>
      <c r="I250" s="1912"/>
      <c r="J250" s="1912"/>
      <c r="K250" s="1912"/>
      <c r="L250" s="2871">
        <v>10000</v>
      </c>
      <c r="M250" s="1912"/>
      <c r="N250" s="2872" t="s">
        <v>2757</v>
      </c>
    </row>
    <row r="251" spans="1:14">
      <c r="A251" s="19"/>
      <c r="B251" s="77" t="s">
        <v>4006</v>
      </c>
      <c r="C251" s="2875"/>
      <c r="D251" s="1822" t="s">
        <v>4554</v>
      </c>
      <c r="E251" s="2829">
        <v>100</v>
      </c>
      <c r="F251" s="2839" t="s">
        <v>4417</v>
      </c>
      <c r="G251" s="19"/>
      <c r="H251" s="2829" t="s">
        <v>2757</v>
      </c>
      <c r="I251" s="1912"/>
      <c r="J251" s="1912"/>
      <c r="K251" s="1912"/>
      <c r="L251" s="2871">
        <v>9000</v>
      </c>
      <c r="M251" s="1912"/>
      <c r="N251" s="2872" t="s">
        <v>2757</v>
      </c>
    </row>
    <row r="252" spans="1:14">
      <c r="A252" s="19"/>
      <c r="B252" s="77" t="s">
        <v>4006</v>
      </c>
      <c r="C252" s="2875"/>
      <c r="D252" s="1822" t="s">
        <v>4555</v>
      </c>
      <c r="E252" s="2829">
        <v>50</v>
      </c>
      <c r="F252" s="2839" t="s">
        <v>4417</v>
      </c>
      <c r="G252" s="19"/>
      <c r="H252" s="2829" t="s">
        <v>2757</v>
      </c>
      <c r="I252" s="1912"/>
      <c r="J252" s="1912"/>
      <c r="K252" s="1912"/>
      <c r="L252" s="2871">
        <v>12500</v>
      </c>
      <c r="M252" s="1912"/>
      <c r="N252" s="2872" t="s">
        <v>2757</v>
      </c>
    </row>
    <row r="253" spans="1:14">
      <c r="A253" s="19"/>
      <c r="B253" s="77" t="s">
        <v>4006</v>
      </c>
      <c r="C253" s="2875"/>
      <c r="D253" s="1822" t="s">
        <v>4557</v>
      </c>
      <c r="E253" s="2829">
        <v>50</v>
      </c>
      <c r="F253" s="2839" t="s">
        <v>4556</v>
      </c>
      <c r="G253" s="19"/>
      <c r="H253" s="2829" t="s">
        <v>2757</v>
      </c>
      <c r="I253" s="1912"/>
      <c r="J253" s="1912"/>
      <c r="K253" s="1912"/>
      <c r="L253" s="2871">
        <v>750</v>
      </c>
      <c r="M253" s="1912"/>
      <c r="N253" s="2872" t="s">
        <v>2757</v>
      </c>
    </row>
    <row r="254" spans="1:14">
      <c r="A254" s="19"/>
      <c r="B254" s="77" t="s">
        <v>4006</v>
      </c>
      <c r="C254" s="2875"/>
      <c r="D254" s="1822" t="s">
        <v>4558</v>
      </c>
      <c r="E254" s="2829">
        <v>50</v>
      </c>
      <c r="F254" s="2839" t="s">
        <v>4417</v>
      </c>
      <c r="G254" s="19"/>
      <c r="H254" s="2829" t="s">
        <v>2757</v>
      </c>
      <c r="I254" s="1912"/>
      <c r="J254" s="1912"/>
      <c r="K254" s="1912"/>
      <c r="L254" s="2871">
        <v>3750</v>
      </c>
      <c r="M254" s="1912"/>
      <c r="N254" s="2872" t="s">
        <v>2757</v>
      </c>
    </row>
    <row r="255" spans="1:14">
      <c r="A255" s="19"/>
      <c r="B255" s="77" t="s">
        <v>4006</v>
      </c>
      <c r="C255" s="2875"/>
      <c r="D255" s="1822" t="s">
        <v>4559</v>
      </c>
      <c r="E255" s="2829">
        <v>200</v>
      </c>
      <c r="F255" s="2839" t="s">
        <v>4417</v>
      </c>
      <c r="G255" s="19"/>
      <c r="H255" s="2829" t="s">
        <v>2757</v>
      </c>
      <c r="I255" s="1912"/>
      <c r="J255" s="1912"/>
      <c r="K255" s="1912"/>
      <c r="L255" s="2871">
        <v>34000</v>
      </c>
      <c r="M255" s="1912"/>
      <c r="N255" s="2872" t="s">
        <v>2757</v>
      </c>
    </row>
    <row r="256" spans="1:14">
      <c r="A256" s="19"/>
      <c r="B256" s="77" t="s">
        <v>4006</v>
      </c>
      <c r="C256" s="2875"/>
      <c r="D256" s="1822" t="s">
        <v>4560</v>
      </c>
      <c r="E256" s="2829">
        <v>100</v>
      </c>
      <c r="F256" s="2839" t="s">
        <v>2876</v>
      </c>
      <c r="G256" s="19"/>
      <c r="H256" s="2829" t="s">
        <v>2757</v>
      </c>
      <c r="I256" s="1912"/>
      <c r="J256" s="1912"/>
      <c r="K256" s="1912"/>
      <c r="L256" s="2871">
        <v>2500</v>
      </c>
      <c r="M256" s="1912"/>
      <c r="N256" s="2872" t="s">
        <v>2757</v>
      </c>
    </row>
    <row r="257" spans="1:14">
      <c r="A257" s="19"/>
      <c r="B257" s="77" t="s">
        <v>4006</v>
      </c>
      <c r="C257" s="2875"/>
      <c r="D257" s="1822" t="s">
        <v>4561</v>
      </c>
      <c r="E257" s="2829">
        <v>40</v>
      </c>
      <c r="F257" s="2839" t="s">
        <v>4417</v>
      </c>
      <c r="G257" s="19"/>
      <c r="H257" s="2829" t="s">
        <v>2757</v>
      </c>
      <c r="I257" s="1912"/>
      <c r="J257" s="1912"/>
      <c r="K257" s="1912"/>
      <c r="L257" s="2871">
        <v>1600</v>
      </c>
      <c r="M257" s="1912"/>
      <c r="N257" s="2872" t="s">
        <v>2757</v>
      </c>
    </row>
    <row r="258" spans="1:14">
      <c r="A258" s="19"/>
      <c r="B258" s="77" t="s">
        <v>4006</v>
      </c>
      <c r="C258" s="2875"/>
      <c r="D258" s="1822" t="s">
        <v>4562</v>
      </c>
      <c r="E258" s="2829">
        <v>100</v>
      </c>
      <c r="F258" s="2839" t="s">
        <v>1952</v>
      </c>
      <c r="G258" s="19"/>
      <c r="H258" s="2829" t="s">
        <v>2757</v>
      </c>
      <c r="I258" s="1912"/>
      <c r="J258" s="1912"/>
      <c r="K258" s="1912"/>
      <c r="L258" s="2871">
        <v>1800</v>
      </c>
      <c r="M258" s="1912"/>
      <c r="N258" s="2872" t="s">
        <v>2757</v>
      </c>
    </row>
    <row r="259" spans="1:14">
      <c r="A259" s="19"/>
      <c r="B259" s="77" t="s">
        <v>4006</v>
      </c>
      <c r="C259" s="2875"/>
      <c r="D259" s="1822" t="s">
        <v>4563</v>
      </c>
      <c r="E259" s="2829">
        <v>2</v>
      </c>
      <c r="F259" s="2839" t="s">
        <v>4417</v>
      </c>
      <c r="G259" s="19"/>
      <c r="H259" s="2829"/>
      <c r="I259" s="1912"/>
      <c r="J259" s="1912"/>
      <c r="K259" s="1912"/>
      <c r="L259" s="2871">
        <v>400</v>
      </c>
      <c r="M259" s="1912"/>
      <c r="N259" s="2872" t="s">
        <v>2757</v>
      </c>
    </row>
    <row r="260" spans="1:14">
      <c r="A260" s="19"/>
      <c r="B260" s="77" t="s">
        <v>4006</v>
      </c>
      <c r="C260" s="2875"/>
      <c r="D260" s="1822" t="s">
        <v>4564</v>
      </c>
      <c r="E260" s="2829">
        <v>10</v>
      </c>
      <c r="F260" s="2839" t="s">
        <v>4417</v>
      </c>
      <c r="G260" s="19"/>
      <c r="H260" s="2829"/>
      <c r="I260" s="1912"/>
      <c r="J260" s="1912"/>
      <c r="K260" s="1912"/>
      <c r="L260" s="2871">
        <v>650</v>
      </c>
      <c r="M260" s="1912"/>
      <c r="N260" s="2872" t="s">
        <v>2757</v>
      </c>
    </row>
    <row r="261" spans="1:14">
      <c r="A261" s="19"/>
      <c r="B261" s="77" t="s">
        <v>4006</v>
      </c>
      <c r="C261" s="2875"/>
      <c r="D261" s="1822" t="s">
        <v>4565</v>
      </c>
      <c r="E261" s="2829">
        <v>25</v>
      </c>
      <c r="F261" s="2839" t="s">
        <v>4417</v>
      </c>
      <c r="G261" s="19"/>
      <c r="H261" s="2829" t="s">
        <v>2757</v>
      </c>
      <c r="I261" s="1912"/>
      <c r="J261" s="1912"/>
      <c r="K261" s="1912"/>
      <c r="L261" s="2871">
        <v>1750</v>
      </c>
      <c r="M261" s="1912"/>
      <c r="N261" s="2872" t="s">
        <v>2757</v>
      </c>
    </row>
    <row r="262" spans="1:14">
      <c r="A262" s="19"/>
      <c r="B262" s="77" t="s">
        <v>4006</v>
      </c>
      <c r="C262" s="2875"/>
      <c r="D262" s="1822" t="s">
        <v>4566</v>
      </c>
      <c r="E262" s="2829">
        <v>50</v>
      </c>
      <c r="F262" s="2839" t="s">
        <v>1952</v>
      </c>
      <c r="G262" s="19"/>
      <c r="H262" s="2829" t="s">
        <v>2757</v>
      </c>
      <c r="I262" s="1912"/>
      <c r="J262" s="1912"/>
      <c r="K262" s="1912"/>
      <c r="L262" s="2871">
        <v>5000</v>
      </c>
      <c r="M262" s="1912"/>
      <c r="N262" s="2872" t="s">
        <v>2757</v>
      </c>
    </row>
    <row r="263" spans="1:14">
      <c r="A263" s="19"/>
      <c r="B263" s="77" t="s">
        <v>4006</v>
      </c>
      <c r="C263" s="2875"/>
      <c r="D263" s="1822" t="s">
        <v>4567</v>
      </c>
      <c r="E263" s="2829">
        <v>100</v>
      </c>
      <c r="F263" s="2839" t="s">
        <v>4417</v>
      </c>
      <c r="G263" s="19"/>
      <c r="H263" s="2829" t="s">
        <v>2757</v>
      </c>
      <c r="I263" s="1912"/>
      <c r="J263" s="1912"/>
      <c r="K263" s="1912"/>
      <c r="L263" s="2871">
        <v>5000</v>
      </c>
      <c r="M263" s="1912"/>
      <c r="N263" s="2872" t="s">
        <v>2757</v>
      </c>
    </row>
    <row r="264" spans="1:14">
      <c r="A264" s="19"/>
      <c r="B264" s="77" t="s">
        <v>4006</v>
      </c>
      <c r="C264" s="2875"/>
      <c r="D264" s="1822" t="s">
        <v>4568</v>
      </c>
      <c r="E264" s="2829">
        <v>200</v>
      </c>
      <c r="F264" s="2839" t="s">
        <v>4417</v>
      </c>
      <c r="G264" s="19"/>
      <c r="H264" s="2829" t="s">
        <v>2757</v>
      </c>
      <c r="I264" s="1912"/>
      <c r="J264" s="1912"/>
      <c r="K264" s="1912"/>
      <c r="L264" s="2871">
        <v>20000</v>
      </c>
      <c r="M264" s="1912"/>
      <c r="N264" s="2872" t="s">
        <v>2757</v>
      </c>
    </row>
    <row r="265" spans="1:14">
      <c r="A265" s="19"/>
      <c r="B265" s="77" t="s">
        <v>4006</v>
      </c>
      <c r="C265" s="2875"/>
      <c r="D265" s="1822" t="s">
        <v>4569</v>
      </c>
      <c r="E265" s="2829">
        <v>6</v>
      </c>
      <c r="F265" s="2839" t="s">
        <v>4417</v>
      </c>
      <c r="G265" s="19"/>
      <c r="H265" s="2829" t="s">
        <v>2757</v>
      </c>
      <c r="I265" s="1912"/>
      <c r="J265" s="1912"/>
      <c r="K265" s="1912"/>
      <c r="L265" s="2871">
        <v>120</v>
      </c>
      <c r="M265" s="1912"/>
      <c r="N265" s="2872" t="s">
        <v>2757</v>
      </c>
    </row>
    <row r="266" spans="1:14">
      <c r="A266" s="19"/>
      <c r="B266" s="77" t="s">
        <v>4006</v>
      </c>
      <c r="C266" s="2875"/>
      <c r="D266" s="1822" t="s">
        <v>4570</v>
      </c>
      <c r="E266" s="2829">
        <v>5</v>
      </c>
      <c r="F266" s="2839" t="s">
        <v>1841</v>
      </c>
      <c r="G266" s="19"/>
      <c r="H266" s="2829" t="s">
        <v>2757</v>
      </c>
      <c r="I266" s="1912"/>
      <c r="J266" s="1912"/>
      <c r="K266" s="1912"/>
      <c r="L266" s="2871">
        <v>100</v>
      </c>
      <c r="M266" s="1912"/>
      <c r="N266" s="2872" t="s">
        <v>2757</v>
      </c>
    </row>
    <row r="267" spans="1:14">
      <c r="A267" s="19"/>
      <c r="B267" s="77" t="s">
        <v>4006</v>
      </c>
      <c r="C267" s="2875"/>
      <c r="D267" s="1822" t="s">
        <v>4571</v>
      </c>
      <c r="E267" s="2829">
        <v>25</v>
      </c>
      <c r="F267" s="2839" t="s">
        <v>4417</v>
      </c>
      <c r="G267" s="19"/>
      <c r="H267" s="2829" t="s">
        <v>2757</v>
      </c>
      <c r="I267" s="1912"/>
      <c r="J267" s="1912"/>
      <c r="K267" s="1912"/>
      <c r="L267" s="2871">
        <v>2125</v>
      </c>
      <c r="M267" s="1912"/>
      <c r="N267" s="2872" t="s">
        <v>2757</v>
      </c>
    </row>
    <row r="268" spans="1:14">
      <c r="A268" s="19"/>
      <c r="B268" s="77" t="s">
        <v>4006</v>
      </c>
      <c r="C268" s="2875"/>
      <c r="D268" s="1822" t="s">
        <v>4572</v>
      </c>
      <c r="E268" s="2829">
        <v>15</v>
      </c>
      <c r="F268" s="2839" t="s">
        <v>1841</v>
      </c>
      <c r="G268" s="19"/>
      <c r="H268" s="2829" t="s">
        <v>2757</v>
      </c>
      <c r="I268" s="1912"/>
      <c r="J268" s="1912"/>
      <c r="K268" s="1912"/>
      <c r="L268" s="2871">
        <v>1050</v>
      </c>
      <c r="M268" s="1912"/>
      <c r="N268" s="2872" t="s">
        <v>2757</v>
      </c>
    </row>
    <row r="269" spans="1:14">
      <c r="A269" s="19"/>
      <c r="B269" s="77" t="s">
        <v>4006</v>
      </c>
      <c r="C269" s="2875"/>
      <c r="D269" s="1822" t="s">
        <v>4573</v>
      </c>
      <c r="E269" s="2829">
        <v>100</v>
      </c>
      <c r="F269" s="2839" t="s">
        <v>4417</v>
      </c>
      <c r="G269" s="19"/>
      <c r="H269" s="2829" t="s">
        <v>2757</v>
      </c>
      <c r="I269" s="1912"/>
      <c r="J269" s="1912"/>
      <c r="K269" s="1912"/>
      <c r="L269" s="2871">
        <v>7000</v>
      </c>
      <c r="M269" s="1912"/>
      <c r="N269" s="2872" t="s">
        <v>2757</v>
      </c>
    </row>
    <row r="270" spans="1:14">
      <c r="A270" s="19"/>
      <c r="B270" s="77" t="s">
        <v>4006</v>
      </c>
      <c r="C270" s="2875"/>
      <c r="D270" s="1822" t="s">
        <v>4574</v>
      </c>
      <c r="E270" s="2829">
        <v>150</v>
      </c>
      <c r="F270" s="2839" t="s">
        <v>1841</v>
      </c>
      <c r="G270" s="19"/>
      <c r="H270" s="2829" t="s">
        <v>2757</v>
      </c>
      <c r="I270" s="1912"/>
      <c r="J270" s="1912"/>
      <c r="K270" s="1912"/>
      <c r="L270" s="2871">
        <v>18000</v>
      </c>
      <c r="M270" s="1912"/>
      <c r="N270" s="2872" t="s">
        <v>2757</v>
      </c>
    </row>
    <row r="271" spans="1:14">
      <c r="A271" s="19"/>
      <c r="B271" s="77" t="s">
        <v>4006</v>
      </c>
      <c r="C271" s="2875"/>
      <c r="D271" s="2843" t="s">
        <v>4575</v>
      </c>
      <c r="E271" s="2829">
        <v>0</v>
      </c>
      <c r="F271" s="2839"/>
      <c r="G271" s="19"/>
      <c r="H271" s="2829" t="s">
        <v>2757</v>
      </c>
      <c r="I271" s="1912"/>
      <c r="J271" s="1912"/>
      <c r="K271" s="1912"/>
      <c r="L271" s="2871" t="s">
        <v>4576</v>
      </c>
      <c r="M271" s="1912"/>
      <c r="N271" s="2872" t="s">
        <v>2757</v>
      </c>
    </row>
    <row r="272" spans="1:14">
      <c r="A272" s="19"/>
      <c r="B272" s="77" t="s">
        <v>4006</v>
      </c>
      <c r="C272" s="2875"/>
      <c r="D272" s="1822" t="s">
        <v>4577</v>
      </c>
      <c r="E272" s="2829">
        <v>5000</v>
      </c>
      <c r="F272" s="2839" t="s">
        <v>4417</v>
      </c>
      <c r="G272" s="19"/>
      <c r="H272" s="2829" t="s">
        <v>2757</v>
      </c>
      <c r="I272" s="1912"/>
      <c r="J272" s="1912"/>
      <c r="K272" s="1912"/>
      <c r="L272" s="2871">
        <v>350000</v>
      </c>
      <c r="M272" s="1912"/>
      <c r="N272" s="2872" t="s">
        <v>2757</v>
      </c>
    </row>
    <row r="273" spans="1:14">
      <c r="A273" s="19"/>
      <c r="B273" s="77" t="s">
        <v>4006</v>
      </c>
      <c r="C273" s="2875"/>
      <c r="D273" s="1822" t="s">
        <v>4578</v>
      </c>
      <c r="E273" s="2829">
        <v>50</v>
      </c>
      <c r="F273" s="2839" t="s">
        <v>4417</v>
      </c>
      <c r="G273" s="19"/>
      <c r="H273" s="2829" t="s">
        <v>2757</v>
      </c>
      <c r="I273" s="1912"/>
      <c r="J273" s="1912"/>
      <c r="K273" s="1912"/>
      <c r="L273" s="2871">
        <v>1250</v>
      </c>
      <c r="M273" s="1912"/>
      <c r="N273" s="2872" t="s">
        <v>2757</v>
      </c>
    </row>
    <row r="274" spans="1:14">
      <c r="A274" s="19"/>
      <c r="B274" s="77" t="s">
        <v>4006</v>
      </c>
      <c r="C274" s="2875"/>
      <c r="D274" s="1822" t="s">
        <v>4579</v>
      </c>
      <c r="E274" s="2829">
        <v>50</v>
      </c>
      <c r="F274" s="2839" t="s">
        <v>4417</v>
      </c>
      <c r="G274" s="19"/>
      <c r="H274" s="2829" t="s">
        <v>2757</v>
      </c>
      <c r="I274" s="1912"/>
      <c r="J274" s="1912"/>
      <c r="K274" s="1912"/>
      <c r="L274" s="2871">
        <v>1980</v>
      </c>
      <c r="M274" s="1912"/>
      <c r="N274" s="2872" t="s">
        <v>2757</v>
      </c>
    </row>
    <row r="275" spans="1:14">
      <c r="A275" s="19"/>
      <c r="B275" s="77" t="s">
        <v>4006</v>
      </c>
      <c r="C275" s="2875"/>
      <c r="D275" s="1822" t="s">
        <v>4580</v>
      </c>
      <c r="E275" s="2829">
        <v>50</v>
      </c>
      <c r="F275" s="2839" t="s">
        <v>4417</v>
      </c>
      <c r="G275" s="19"/>
      <c r="H275" s="2829" t="s">
        <v>2757</v>
      </c>
      <c r="I275" s="1912"/>
      <c r="J275" s="1912"/>
      <c r="K275" s="1912"/>
      <c r="L275" s="2871">
        <v>7500</v>
      </c>
      <c r="M275" s="1912"/>
      <c r="N275" s="2872" t="s">
        <v>2757</v>
      </c>
    </row>
    <row r="276" spans="1:14">
      <c r="A276" s="19"/>
      <c r="B276" s="77" t="s">
        <v>4006</v>
      </c>
      <c r="C276" s="2875"/>
      <c r="D276" s="1822" t="s">
        <v>4581</v>
      </c>
      <c r="E276" s="2829">
        <v>40</v>
      </c>
      <c r="F276" s="2839" t="s">
        <v>4417</v>
      </c>
      <c r="G276" s="19"/>
      <c r="H276" s="2829" t="s">
        <v>2757</v>
      </c>
      <c r="I276" s="1912"/>
      <c r="J276" s="1912"/>
      <c r="K276" s="1912"/>
      <c r="L276" s="2871">
        <v>2000</v>
      </c>
      <c r="M276" s="1912"/>
      <c r="N276" s="2872" t="s">
        <v>2757</v>
      </c>
    </row>
    <row r="277" spans="1:14">
      <c r="A277" s="19"/>
      <c r="B277" s="77" t="s">
        <v>4006</v>
      </c>
      <c r="C277" s="2875"/>
      <c r="D277" s="1822" t="s">
        <v>4582</v>
      </c>
      <c r="E277" s="2829">
        <v>1000</v>
      </c>
      <c r="F277" s="2839" t="s">
        <v>4417</v>
      </c>
      <c r="G277" s="19"/>
      <c r="H277" s="2829" t="s">
        <v>2757</v>
      </c>
      <c r="I277" s="1912"/>
      <c r="J277" s="1912"/>
      <c r="K277" s="1912"/>
      <c r="L277" s="2871">
        <v>70000</v>
      </c>
      <c r="M277" s="1912"/>
      <c r="N277" s="2872" t="s">
        <v>2757</v>
      </c>
    </row>
    <row r="278" spans="1:14">
      <c r="A278" s="19"/>
      <c r="B278" s="77" t="s">
        <v>4006</v>
      </c>
      <c r="C278" s="2875"/>
      <c r="D278" s="2843" t="s">
        <v>3538</v>
      </c>
      <c r="E278" s="2829"/>
      <c r="F278" s="2839"/>
      <c r="G278" s="19"/>
      <c r="H278" s="2829"/>
      <c r="I278" s="1912"/>
      <c r="J278" s="1912"/>
      <c r="K278" s="1912"/>
      <c r="L278" s="2871"/>
      <c r="M278" s="1912"/>
      <c r="N278" s="2872" t="s">
        <v>2757</v>
      </c>
    </row>
    <row r="279" spans="1:14">
      <c r="A279" s="19"/>
      <c r="B279" s="77" t="s">
        <v>4006</v>
      </c>
      <c r="C279" s="2875"/>
      <c r="D279" s="1822" t="s">
        <v>4583</v>
      </c>
      <c r="E279" s="2829">
        <v>6</v>
      </c>
      <c r="F279" s="2839" t="s">
        <v>4417</v>
      </c>
      <c r="G279" s="19"/>
      <c r="H279" s="2829" t="s">
        <v>2757</v>
      </c>
      <c r="I279" s="1912"/>
      <c r="J279" s="1912"/>
      <c r="K279" s="1912"/>
      <c r="L279" s="2871">
        <v>3900</v>
      </c>
      <c r="M279" s="1912"/>
      <c r="N279" s="2872" t="s">
        <v>2757</v>
      </c>
    </row>
    <row r="280" spans="1:14">
      <c r="A280" s="19"/>
      <c r="B280" s="77" t="s">
        <v>4006</v>
      </c>
      <c r="C280" s="2875"/>
      <c r="D280" s="1822" t="s">
        <v>4584</v>
      </c>
      <c r="E280" s="2829">
        <v>3</v>
      </c>
      <c r="F280" s="2839" t="s">
        <v>4417</v>
      </c>
      <c r="G280" s="19"/>
      <c r="H280" s="2829" t="s">
        <v>2757</v>
      </c>
      <c r="I280" s="1912"/>
      <c r="J280" s="1912"/>
      <c r="K280" s="1912"/>
      <c r="L280" s="2871">
        <v>3600</v>
      </c>
      <c r="M280" s="1912"/>
      <c r="N280" s="2872" t="s">
        <v>2757</v>
      </c>
    </row>
    <row r="281" spans="1:14">
      <c r="A281" s="19"/>
      <c r="B281" s="77" t="s">
        <v>4006</v>
      </c>
      <c r="C281" s="2875"/>
      <c r="D281" s="1822" t="s">
        <v>4585</v>
      </c>
      <c r="E281" s="2829">
        <v>2</v>
      </c>
      <c r="F281" s="2839" t="s">
        <v>4417</v>
      </c>
      <c r="G281" s="19"/>
      <c r="H281" s="2829" t="s">
        <v>2757</v>
      </c>
      <c r="I281" s="1912"/>
      <c r="J281" s="1912"/>
      <c r="K281" s="1912"/>
      <c r="L281" s="2871">
        <v>2250</v>
      </c>
      <c r="M281" s="1912"/>
      <c r="N281" s="2872" t="s">
        <v>2757</v>
      </c>
    </row>
    <row r="288" spans="1:14">
      <c r="L288" s="2427">
        <f>SUM(L5:L286)</f>
        <v>11976074.879999999</v>
      </c>
    </row>
  </sheetData>
  <mergeCells count="11">
    <mergeCell ref="C99:C105"/>
    <mergeCell ref="C2:G2"/>
    <mergeCell ref="H2:J2"/>
    <mergeCell ref="K2:L2"/>
    <mergeCell ref="M2:M3"/>
    <mergeCell ref="N2:N3"/>
    <mergeCell ref="M36:M37"/>
    <mergeCell ref="D37:D38"/>
    <mergeCell ref="C5:C11"/>
    <mergeCell ref="D6:D7"/>
    <mergeCell ref="C36:C42"/>
  </mergeCell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226D3-DB93-480D-8A4F-28517B77762B}">
  <sheetPr>
    <tabColor rgb="FF00B0F0"/>
  </sheetPr>
  <dimension ref="A2:P908"/>
  <sheetViews>
    <sheetView zoomScale="85" zoomScaleNormal="85" workbookViewId="0">
      <pane ySplit="4" topLeftCell="A868" activePane="bottomLeft" state="frozen"/>
      <selection activeCell="P237" sqref="P237"/>
      <selection pane="bottomLeft" activeCell="A879" sqref="A879"/>
    </sheetView>
  </sheetViews>
  <sheetFormatPr defaultRowHeight="15"/>
  <cols>
    <col min="2" max="2" width="16.42578125" customWidth="1"/>
    <col min="3" max="3" width="36.42578125" customWidth="1"/>
    <col min="4" max="4" width="46.28515625" customWidth="1"/>
    <col min="5" max="5" width="26" customWidth="1"/>
    <col min="6" max="6" width="16.7109375" customWidth="1"/>
    <col min="7" max="7" width="11.7109375" customWidth="1"/>
    <col min="8" max="8" width="13.7109375" customWidth="1"/>
    <col min="9" max="9" width="10.28515625" bestFit="1" customWidth="1"/>
    <col min="10" max="10" width="12.5703125" customWidth="1"/>
    <col min="11" max="11" width="18.5703125" customWidth="1"/>
    <col min="12" max="12" width="19.7109375" customWidth="1"/>
    <col min="13" max="13" width="16.28515625" customWidth="1"/>
    <col min="14" max="14" width="12.85546875" customWidth="1"/>
  </cols>
  <sheetData>
    <row r="2" spans="1:15">
      <c r="C2" s="2627" t="s">
        <v>30</v>
      </c>
      <c r="D2" s="2627"/>
      <c r="E2" s="2627"/>
      <c r="F2" s="2627"/>
      <c r="G2" s="2627"/>
      <c r="H2" s="2628" t="s">
        <v>29</v>
      </c>
      <c r="I2" s="2628"/>
      <c r="J2" s="2628"/>
      <c r="K2" s="2627" t="s">
        <v>28</v>
      </c>
      <c r="L2" s="2627"/>
      <c r="M2" s="2628" t="s">
        <v>27</v>
      </c>
      <c r="N2" s="2628" t="s">
        <v>26</v>
      </c>
    </row>
    <row r="3" spans="1:15" ht="60">
      <c r="C3" s="10" t="s">
        <v>25</v>
      </c>
      <c r="D3" s="13" t="s">
        <v>24</v>
      </c>
      <c r="E3" s="12" t="s">
        <v>23</v>
      </c>
      <c r="F3" s="10" t="s">
        <v>22</v>
      </c>
      <c r="G3" s="11" t="s">
        <v>21</v>
      </c>
      <c r="H3" s="11" t="s">
        <v>20</v>
      </c>
      <c r="I3" s="11" t="s">
        <v>19</v>
      </c>
      <c r="J3" s="11" t="s">
        <v>18</v>
      </c>
      <c r="K3" s="10" t="s">
        <v>17</v>
      </c>
      <c r="L3" s="10" t="s">
        <v>16</v>
      </c>
      <c r="M3" s="2628"/>
      <c r="N3" s="2628"/>
    </row>
    <row r="4" spans="1:15">
      <c r="C4" s="9" t="s">
        <v>15</v>
      </c>
      <c r="D4" s="9" t="s">
        <v>14</v>
      </c>
      <c r="E4" s="9" t="s">
        <v>13</v>
      </c>
      <c r="F4" s="9" t="s">
        <v>12</v>
      </c>
      <c r="G4" s="9" t="s">
        <v>11</v>
      </c>
      <c r="H4" s="9" t="s">
        <v>10</v>
      </c>
      <c r="I4" s="9" t="s">
        <v>9</v>
      </c>
      <c r="J4" s="9" t="s">
        <v>8</v>
      </c>
      <c r="K4" s="9" t="s">
        <v>7</v>
      </c>
      <c r="L4" s="9" t="s">
        <v>6</v>
      </c>
      <c r="M4" s="9" t="s">
        <v>5</v>
      </c>
      <c r="N4" s="9" t="s">
        <v>4</v>
      </c>
    </row>
    <row r="5" spans="1:15" s="783" customFormat="1" ht="14.25" customHeight="1">
      <c r="A5" s="776"/>
      <c r="B5" s="776"/>
      <c r="C5" s="1785"/>
      <c r="D5" s="1786" t="s">
        <v>2</v>
      </c>
      <c r="E5" s="1787"/>
      <c r="F5" s="1788"/>
      <c r="G5" s="1712" t="s">
        <v>1</v>
      </c>
      <c r="H5" s="1790">
        <v>46054</v>
      </c>
      <c r="I5" s="1790">
        <v>46082</v>
      </c>
      <c r="J5" s="1790">
        <v>46082</v>
      </c>
      <c r="K5" s="1791" t="s">
        <v>2216</v>
      </c>
      <c r="L5" s="1792"/>
      <c r="M5" s="1715" t="s">
        <v>2446</v>
      </c>
      <c r="N5" s="1791" t="s">
        <v>2447</v>
      </c>
    </row>
    <row r="6" spans="1:15" s="783" customFormat="1" ht="14.25" customHeight="1">
      <c r="A6" s="776"/>
      <c r="B6" s="776" t="s">
        <v>2574</v>
      </c>
      <c r="C6" s="2756" t="s">
        <v>2573</v>
      </c>
      <c r="D6" s="1793" t="s">
        <v>2448</v>
      </c>
      <c r="E6" s="1794">
        <v>100</v>
      </c>
      <c r="F6" s="1795" t="s">
        <v>2449</v>
      </c>
      <c r="G6" s="1725" t="s">
        <v>2450</v>
      </c>
      <c r="H6" s="1712">
        <v>600</v>
      </c>
      <c r="I6" s="1790"/>
      <c r="J6" s="1790"/>
      <c r="K6" s="1713"/>
      <c r="L6" s="1797">
        <v>60000</v>
      </c>
      <c r="N6" s="1715"/>
      <c r="O6" s="1716"/>
    </row>
    <row r="7" spans="1:15" s="783" customFormat="1" ht="14.25" customHeight="1">
      <c r="A7" s="776"/>
      <c r="B7" s="776" t="s">
        <v>2574</v>
      </c>
      <c r="C7" s="2757"/>
      <c r="D7" s="1798" t="s">
        <v>2451</v>
      </c>
      <c r="E7" s="1794">
        <v>250</v>
      </c>
      <c r="F7" s="1799" t="s">
        <v>1571</v>
      </c>
      <c r="G7" s="1789" t="s">
        <v>2450</v>
      </c>
      <c r="H7" s="1712">
        <v>30</v>
      </c>
      <c r="I7" s="1800"/>
      <c r="J7" s="1800"/>
      <c r="K7" s="1800"/>
      <c r="L7" s="1797">
        <v>7500</v>
      </c>
      <c r="N7" s="1721"/>
      <c r="O7" s="1720"/>
    </row>
    <row r="8" spans="1:15" s="783" customFormat="1" ht="14.25" customHeight="1">
      <c r="A8" s="776"/>
      <c r="B8" s="776" t="s">
        <v>2574</v>
      </c>
      <c r="C8" s="2757"/>
      <c r="D8" s="1798" t="s">
        <v>2452</v>
      </c>
      <c r="E8" s="1794">
        <v>250</v>
      </c>
      <c r="F8" s="1799" t="s">
        <v>1571</v>
      </c>
      <c r="G8" s="1725" t="s">
        <v>2450</v>
      </c>
      <c r="H8" s="1712">
        <v>30</v>
      </c>
      <c r="I8" s="1801"/>
      <c r="J8" s="1801"/>
      <c r="K8" s="1802"/>
      <c r="L8" s="1797">
        <v>7500</v>
      </c>
      <c r="N8" s="1721"/>
      <c r="O8" s="1720"/>
    </row>
    <row r="9" spans="1:15" s="783" customFormat="1" ht="14.25" customHeight="1">
      <c r="A9" s="776"/>
      <c r="B9" s="776" t="s">
        <v>2574</v>
      </c>
      <c r="C9" s="2757"/>
      <c r="D9" s="1798" t="s">
        <v>2453</v>
      </c>
      <c r="E9" s="1794">
        <v>20</v>
      </c>
      <c r="F9" s="1799" t="s">
        <v>2039</v>
      </c>
      <c r="G9" s="1725" t="s">
        <v>2450</v>
      </c>
      <c r="H9" s="1712">
        <v>3640</v>
      </c>
      <c r="I9" s="1801"/>
      <c r="J9" s="1801"/>
      <c r="K9" s="1802"/>
      <c r="L9" s="1797">
        <v>72800</v>
      </c>
      <c r="N9" s="1721"/>
      <c r="O9" s="1720"/>
    </row>
    <row r="10" spans="1:15" s="783" customFormat="1" ht="14.25" customHeight="1">
      <c r="A10" s="776"/>
      <c r="B10" s="776" t="s">
        <v>2574</v>
      </c>
      <c r="C10" s="2757"/>
      <c r="D10" s="1798" t="s">
        <v>2454</v>
      </c>
      <c r="E10" s="1794">
        <v>20</v>
      </c>
      <c r="F10" s="1795" t="s">
        <v>2039</v>
      </c>
      <c r="G10" s="1725" t="s">
        <v>2450</v>
      </c>
      <c r="H10" s="1712">
        <v>3640</v>
      </c>
      <c r="I10" s="1801"/>
      <c r="J10" s="1801"/>
      <c r="K10" s="1802"/>
      <c r="L10" s="1803">
        <v>72800</v>
      </c>
      <c r="N10" s="1721"/>
      <c r="O10" s="1720"/>
    </row>
    <row r="11" spans="1:15" s="783" customFormat="1" ht="14.25" customHeight="1">
      <c r="A11" s="776"/>
      <c r="B11" s="776" t="s">
        <v>2574</v>
      </c>
      <c r="C11" s="2757"/>
      <c r="D11" s="1798" t="s">
        <v>2455</v>
      </c>
      <c r="E11" s="1794">
        <v>10</v>
      </c>
      <c r="F11" s="1799" t="s">
        <v>2039</v>
      </c>
      <c r="G11" s="1725" t="s">
        <v>2450</v>
      </c>
      <c r="H11" s="1712">
        <v>3640</v>
      </c>
      <c r="I11" s="1801"/>
      <c r="J11" s="1801"/>
      <c r="K11" s="1802"/>
      <c r="L11" s="1797">
        <v>36400</v>
      </c>
      <c r="N11" s="1721"/>
      <c r="O11" s="1720"/>
    </row>
    <row r="12" spans="1:15" s="783" customFormat="1" ht="14.25" customHeight="1">
      <c r="A12" s="776"/>
      <c r="B12" s="776" t="s">
        <v>2574</v>
      </c>
      <c r="C12" s="2758"/>
      <c r="D12" s="1798" t="s">
        <v>2456</v>
      </c>
      <c r="E12" s="1794">
        <v>10</v>
      </c>
      <c r="F12" s="1799" t="s">
        <v>2039</v>
      </c>
      <c r="G12" s="1725" t="s">
        <v>2450</v>
      </c>
      <c r="H12" s="1712">
        <v>3640</v>
      </c>
      <c r="I12" s="1801"/>
      <c r="J12" s="1801"/>
      <c r="K12" s="1802"/>
      <c r="L12" s="1797">
        <v>36400</v>
      </c>
      <c r="N12" s="1721"/>
      <c r="O12" s="1720"/>
    </row>
    <row r="13" spans="1:15" s="783" customFormat="1" ht="14.25" customHeight="1">
      <c r="A13" s="776"/>
      <c r="B13" s="776" t="s">
        <v>2574</v>
      </c>
      <c r="C13" s="1804"/>
      <c r="D13" s="1798" t="s">
        <v>2457</v>
      </c>
      <c r="E13" s="1794">
        <v>10</v>
      </c>
      <c r="F13" s="1799" t="s">
        <v>2039</v>
      </c>
      <c r="G13" s="1725" t="s">
        <v>2450</v>
      </c>
      <c r="H13" s="1712">
        <v>3640</v>
      </c>
      <c r="I13" s="1801"/>
      <c r="J13" s="1801"/>
      <c r="K13" s="1802"/>
      <c r="L13" s="1797">
        <v>36400</v>
      </c>
      <c r="N13" s="1721"/>
      <c r="O13" s="1720"/>
    </row>
    <row r="14" spans="1:15" s="783" customFormat="1" ht="14.25" customHeight="1">
      <c r="A14" s="776"/>
      <c r="B14" s="776" t="s">
        <v>2574</v>
      </c>
      <c r="C14" s="1805" t="s">
        <v>735</v>
      </c>
      <c r="D14" s="1798" t="s">
        <v>2458</v>
      </c>
      <c r="E14" s="1794">
        <v>500</v>
      </c>
      <c r="F14" s="1799" t="s">
        <v>1571</v>
      </c>
      <c r="G14" s="1725" t="s">
        <v>2450</v>
      </c>
      <c r="H14" s="1712">
        <v>65</v>
      </c>
      <c r="I14" s="1801"/>
      <c r="J14" s="1801"/>
      <c r="K14" s="1802"/>
      <c r="L14" s="1797">
        <v>32500</v>
      </c>
      <c r="N14" s="1721"/>
      <c r="O14" s="1720"/>
    </row>
    <row r="15" spans="1:15" s="783" customFormat="1" ht="14.25" customHeight="1">
      <c r="A15" s="776"/>
      <c r="B15" s="776" t="s">
        <v>2574</v>
      </c>
      <c r="C15" s="1804"/>
      <c r="D15" s="1798" t="s">
        <v>2459</v>
      </c>
      <c r="E15" s="1794">
        <v>500</v>
      </c>
      <c r="F15" s="1724" t="s">
        <v>1571</v>
      </c>
      <c r="G15" s="1725" t="s">
        <v>2450</v>
      </c>
      <c r="H15" s="1712">
        <v>65</v>
      </c>
      <c r="I15" s="1801"/>
      <c r="J15" s="1801"/>
      <c r="K15" s="1802"/>
      <c r="L15" s="1797">
        <v>32500</v>
      </c>
      <c r="N15" s="1721"/>
      <c r="O15" s="1720"/>
    </row>
    <row r="16" spans="1:15" s="783" customFormat="1" ht="14.25" customHeight="1">
      <c r="A16" s="776"/>
      <c r="B16" s="776" t="s">
        <v>2574</v>
      </c>
      <c r="C16" s="1804"/>
      <c r="D16" s="1806" t="s">
        <v>2460</v>
      </c>
      <c r="E16" s="1794">
        <v>250</v>
      </c>
      <c r="F16" s="1724" t="s">
        <v>1571</v>
      </c>
      <c r="G16" s="1789" t="s">
        <v>2450</v>
      </c>
      <c r="H16" s="1712">
        <v>100</v>
      </c>
      <c r="I16" s="1801"/>
      <c r="J16" s="1801"/>
      <c r="K16" s="1802"/>
      <c r="L16" s="1797">
        <v>25000</v>
      </c>
      <c r="N16" s="1721"/>
      <c r="O16" s="1720"/>
    </row>
    <row r="17" spans="1:15" s="783" customFormat="1" ht="14.25" customHeight="1">
      <c r="A17" s="776"/>
      <c r="B17" s="776" t="s">
        <v>2574</v>
      </c>
      <c r="C17" s="1804"/>
      <c r="D17" s="1806" t="s">
        <v>2461</v>
      </c>
      <c r="E17" s="1799">
        <v>50</v>
      </c>
      <c r="F17" s="1807" t="s">
        <v>778</v>
      </c>
      <c r="G17" s="1725" t="s">
        <v>2450</v>
      </c>
      <c r="H17" s="1712">
        <v>250</v>
      </c>
      <c r="I17" s="1801"/>
      <c r="J17" s="1801"/>
      <c r="K17" s="1802"/>
      <c r="L17" s="1727">
        <v>12500</v>
      </c>
      <c r="N17" s="1721"/>
      <c r="O17" s="1720"/>
    </row>
    <row r="18" spans="1:15" s="783" customFormat="1" ht="14.25" customHeight="1">
      <c r="A18" s="776"/>
      <c r="B18" s="776" t="s">
        <v>2574</v>
      </c>
      <c r="C18" s="1804"/>
      <c r="D18" s="1806" t="s">
        <v>2462</v>
      </c>
      <c r="E18" s="1799">
        <v>50</v>
      </c>
      <c r="F18" s="1724" t="s">
        <v>2039</v>
      </c>
      <c r="G18" s="1725" t="s">
        <v>2450</v>
      </c>
      <c r="H18" s="1712">
        <v>1300</v>
      </c>
      <c r="I18" s="1801"/>
      <c r="J18" s="1801"/>
      <c r="K18" s="1802"/>
      <c r="L18" s="1727">
        <v>65000</v>
      </c>
      <c r="N18" s="1721"/>
      <c r="O18" s="1720"/>
    </row>
    <row r="19" spans="1:15" s="783" customFormat="1" ht="14.25" customHeight="1">
      <c r="A19" s="776"/>
      <c r="B19" s="776" t="s">
        <v>2574</v>
      </c>
      <c r="C19" s="1804"/>
      <c r="D19" s="1806" t="s">
        <v>2463</v>
      </c>
      <c r="E19" s="1799">
        <v>20</v>
      </c>
      <c r="F19" s="1807" t="s">
        <v>778</v>
      </c>
      <c r="G19" s="1725" t="s">
        <v>2450</v>
      </c>
      <c r="H19" s="1712">
        <v>500</v>
      </c>
      <c r="I19" s="1801"/>
      <c r="J19" s="1801"/>
      <c r="K19" s="1802"/>
      <c r="L19" s="1727">
        <v>10000</v>
      </c>
      <c r="N19" s="1721"/>
      <c r="O19" s="1720"/>
    </row>
    <row r="20" spans="1:15" s="783" customFormat="1" ht="14.25" customHeight="1">
      <c r="A20" s="776"/>
      <c r="B20" s="776" t="s">
        <v>2574</v>
      </c>
      <c r="C20" s="1804"/>
      <c r="D20" s="1808" t="s">
        <v>2464</v>
      </c>
      <c r="E20" s="1724">
        <v>25</v>
      </c>
      <c r="F20" s="1724" t="s">
        <v>1571</v>
      </c>
      <c r="G20" s="1725" t="s">
        <v>2450</v>
      </c>
      <c r="H20" s="1712">
        <v>250</v>
      </c>
      <c r="I20" s="1801"/>
      <c r="J20" s="1801"/>
      <c r="K20" s="1802"/>
      <c r="L20" s="1727">
        <v>6250</v>
      </c>
      <c r="N20" s="1721"/>
      <c r="O20" s="1720"/>
    </row>
    <row r="21" spans="1:15" s="783" customFormat="1" ht="14.25" customHeight="1">
      <c r="A21" s="776"/>
      <c r="B21" s="776" t="s">
        <v>2574</v>
      </c>
      <c r="C21" s="1804"/>
      <c r="D21" s="1806" t="s">
        <v>2465</v>
      </c>
      <c r="E21" s="1799">
        <v>10</v>
      </c>
      <c r="F21" s="1724" t="s">
        <v>776</v>
      </c>
      <c r="G21" s="1725" t="s">
        <v>2450</v>
      </c>
      <c r="H21" s="1712">
        <v>1800</v>
      </c>
      <c r="I21" s="1801"/>
      <c r="J21" s="1801"/>
      <c r="K21" s="1802"/>
      <c r="L21" s="1727">
        <v>18000</v>
      </c>
      <c r="N21" s="1721"/>
      <c r="O21" s="1720"/>
    </row>
    <row r="22" spans="1:15" s="783" customFormat="1" ht="14.25" customHeight="1">
      <c r="A22" s="776"/>
      <c r="B22" s="776" t="s">
        <v>2574</v>
      </c>
      <c r="C22" s="1804"/>
      <c r="D22" s="1798" t="s">
        <v>2466</v>
      </c>
      <c r="E22" s="1799">
        <v>2</v>
      </c>
      <c r="F22" s="1724" t="s">
        <v>2039</v>
      </c>
      <c r="G22" s="1725" t="s">
        <v>2450</v>
      </c>
      <c r="H22" s="1800">
        <v>3500</v>
      </c>
      <c r="I22" s="1801"/>
      <c r="J22" s="1801"/>
      <c r="K22" s="1802"/>
      <c r="L22" s="1727">
        <v>7000</v>
      </c>
      <c r="N22" s="1721"/>
      <c r="O22" s="1720"/>
    </row>
    <row r="23" spans="1:15" s="783" customFormat="1" ht="14.25" customHeight="1">
      <c r="A23" s="776"/>
      <c r="B23" s="776" t="s">
        <v>2574</v>
      </c>
      <c r="C23" s="1804"/>
      <c r="D23" s="1798" t="s">
        <v>2467</v>
      </c>
      <c r="E23" s="1724">
        <v>6</v>
      </c>
      <c r="F23" s="1724" t="s">
        <v>2039</v>
      </c>
      <c r="G23" s="1725" t="s">
        <v>2450</v>
      </c>
      <c r="H23" s="1712">
        <v>3500</v>
      </c>
      <c r="I23" s="1801"/>
      <c r="J23" s="1801"/>
      <c r="K23" s="1802"/>
      <c r="L23" s="1727">
        <v>21000</v>
      </c>
      <c r="N23" s="1721"/>
      <c r="O23" s="1720"/>
    </row>
    <row r="24" spans="1:15" s="783" customFormat="1" ht="14.25" customHeight="1">
      <c r="A24" s="776"/>
      <c r="B24" s="776" t="s">
        <v>2574</v>
      </c>
      <c r="C24" s="1804"/>
      <c r="D24" s="1798" t="s">
        <v>2468</v>
      </c>
      <c r="E24" s="1724">
        <v>6</v>
      </c>
      <c r="F24" s="1724" t="s">
        <v>2039</v>
      </c>
      <c r="G24" s="1725" t="s">
        <v>2450</v>
      </c>
      <c r="H24" s="1712">
        <v>3500</v>
      </c>
      <c r="I24" s="1801"/>
      <c r="J24" s="1801"/>
      <c r="K24" s="1802"/>
      <c r="L24" s="1727">
        <v>21000</v>
      </c>
      <c r="N24" s="1721"/>
      <c r="O24" s="1720"/>
    </row>
    <row r="25" spans="1:15" s="783" customFormat="1" ht="14.25" customHeight="1">
      <c r="A25" s="776"/>
      <c r="B25" s="776" t="s">
        <v>2574</v>
      </c>
      <c r="C25" s="1804"/>
      <c r="D25" s="1806" t="s">
        <v>2469</v>
      </c>
      <c r="E25" s="1724">
        <v>6</v>
      </c>
      <c r="F25" s="1724" t="s">
        <v>1571</v>
      </c>
      <c r="G25" s="1789" t="s">
        <v>2450</v>
      </c>
      <c r="H25" s="1712">
        <v>200</v>
      </c>
      <c r="I25" s="1801"/>
      <c r="J25" s="1801"/>
      <c r="K25" s="1802"/>
      <c r="L25" s="1727">
        <v>1200</v>
      </c>
      <c r="N25" s="1721"/>
      <c r="O25" s="1720"/>
    </row>
    <row r="26" spans="1:15" s="783" customFormat="1" ht="14.25" customHeight="1">
      <c r="A26" s="776"/>
      <c r="B26" s="776" t="s">
        <v>2574</v>
      </c>
      <c r="C26" s="1804"/>
      <c r="D26" s="1806" t="s">
        <v>2470</v>
      </c>
      <c r="E26" s="1724">
        <v>10</v>
      </c>
      <c r="F26" s="1724" t="s">
        <v>2039</v>
      </c>
      <c r="G26" s="1725" t="s">
        <v>2450</v>
      </c>
      <c r="H26" s="1712">
        <v>830</v>
      </c>
      <c r="I26" s="1801"/>
      <c r="J26" s="1801"/>
      <c r="K26" s="1802"/>
      <c r="L26" s="1727">
        <v>8300</v>
      </c>
      <c r="N26" s="1721"/>
      <c r="O26" s="1720"/>
    </row>
    <row r="27" spans="1:15" s="783" customFormat="1" ht="14.25" customHeight="1">
      <c r="A27" s="776"/>
      <c r="B27" s="776" t="s">
        <v>2574</v>
      </c>
      <c r="C27" s="1804"/>
      <c r="D27" s="1806" t="s">
        <v>2471</v>
      </c>
      <c r="E27" s="1724">
        <v>10</v>
      </c>
      <c r="F27" s="1724" t="s">
        <v>2039</v>
      </c>
      <c r="G27" s="1725" t="s">
        <v>2450</v>
      </c>
      <c r="H27" s="1712">
        <v>830</v>
      </c>
      <c r="I27" s="1801"/>
      <c r="J27" s="1801"/>
      <c r="K27" s="1802"/>
      <c r="L27" s="1727">
        <v>8300</v>
      </c>
      <c r="N27" s="1721"/>
      <c r="O27" s="1720"/>
    </row>
    <row r="28" spans="1:15" s="783" customFormat="1" ht="14.25" customHeight="1">
      <c r="A28" s="776"/>
      <c r="B28" s="776" t="s">
        <v>2574</v>
      </c>
      <c r="C28" s="1804"/>
      <c r="D28" s="1806" t="s">
        <v>2472</v>
      </c>
      <c r="E28" s="1724">
        <v>10</v>
      </c>
      <c r="F28" s="1724" t="s">
        <v>2039</v>
      </c>
      <c r="G28" s="1725" t="s">
        <v>2450</v>
      </c>
      <c r="H28" s="1712">
        <v>830</v>
      </c>
      <c r="I28" s="1801"/>
      <c r="J28" s="1801"/>
      <c r="K28" s="1802"/>
      <c r="L28" s="1727">
        <v>8300</v>
      </c>
      <c r="N28" s="1721"/>
      <c r="O28" s="1720"/>
    </row>
    <row r="29" spans="1:15" s="783" customFormat="1" ht="14.25" customHeight="1">
      <c r="A29" s="776"/>
      <c r="B29" s="776" t="s">
        <v>2574</v>
      </c>
      <c r="C29" s="1804"/>
      <c r="D29" s="1806" t="s">
        <v>2473</v>
      </c>
      <c r="E29" s="1724">
        <v>100</v>
      </c>
      <c r="F29" s="1724" t="s">
        <v>1571</v>
      </c>
      <c r="G29" s="1725" t="s">
        <v>2450</v>
      </c>
      <c r="H29" s="1712">
        <v>100</v>
      </c>
      <c r="I29" s="1801"/>
      <c r="J29" s="1801"/>
      <c r="K29" s="1802"/>
      <c r="L29" s="1727">
        <v>10000</v>
      </c>
      <c r="N29" s="1721"/>
      <c r="O29" s="1720"/>
    </row>
    <row r="30" spans="1:15" s="783" customFormat="1" ht="14.25" customHeight="1">
      <c r="A30" s="776"/>
      <c r="B30" s="776" t="s">
        <v>2574</v>
      </c>
      <c r="C30" s="1804"/>
      <c r="D30" s="1806" t="s">
        <v>2474</v>
      </c>
      <c r="E30" s="1799">
        <v>20</v>
      </c>
      <c r="F30" s="1809" t="s">
        <v>2039</v>
      </c>
      <c r="G30" s="1725" t="s">
        <v>2450</v>
      </c>
      <c r="H30" s="1712">
        <v>300</v>
      </c>
      <c r="I30" s="1801"/>
      <c r="J30" s="1801"/>
      <c r="K30" s="1802"/>
      <c r="L30" s="1727">
        <v>6000</v>
      </c>
      <c r="N30" s="1721"/>
      <c r="O30" s="1720"/>
    </row>
    <row r="31" spans="1:15" s="783" customFormat="1" ht="14.25" customHeight="1">
      <c r="A31" s="776"/>
      <c r="B31" s="776" t="s">
        <v>2574</v>
      </c>
      <c r="C31" s="1804"/>
      <c r="D31" s="1806" t="s">
        <v>2475</v>
      </c>
      <c r="E31" s="1799">
        <v>10</v>
      </c>
      <c r="F31" s="1807" t="s">
        <v>2039</v>
      </c>
      <c r="G31" s="1725" t="s">
        <v>2450</v>
      </c>
      <c r="H31" s="1712">
        <v>300</v>
      </c>
      <c r="I31" s="1801"/>
      <c r="J31" s="1801"/>
      <c r="K31" s="1802"/>
      <c r="L31" s="1727">
        <v>3000</v>
      </c>
      <c r="N31" s="1721"/>
      <c r="O31" s="1720"/>
    </row>
    <row r="32" spans="1:15" s="783" customFormat="1" ht="14.25" customHeight="1">
      <c r="A32" s="776"/>
      <c r="B32" s="776" t="s">
        <v>2574</v>
      </c>
      <c r="C32" s="1804"/>
      <c r="D32" s="1806" t="s">
        <v>2476</v>
      </c>
      <c r="E32" s="1799">
        <v>10</v>
      </c>
      <c r="F32" s="1724" t="s">
        <v>2039</v>
      </c>
      <c r="G32" s="1725" t="s">
        <v>2450</v>
      </c>
      <c r="H32" s="1712">
        <v>300</v>
      </c>
      <c r="I32" s="1801"/>
      <c r="J32" s="1801"/>
      <c r="K32" s="1802"/>
      <c r="L32" s="1727">
        <v>3000</v>
      </c>
      <c r="N32" s="1721"/>
      <c r="O32" s="1720"/>
    </row>
    <row r="33" spans="1:15" s="783" customFormat="1" ht="14.25" customHeight="1">
      <c r="A33" s="776"/>
      <c r="B33" s="776" t="s">
        <v>2574</v>
      </c>
      <c r="C33" s="1804"/>
      <c r="D33" s="1806" t="s">
        <v>2477</v>
      </c>
      <c r="E33" s="1799">
        <v>50</v>
      </c>
      <c r="F33" s="1724" t="s">
        <v>2039</v>
      </c>
      <c r="G33" s="1725" t="s">
        <v>2450</v>
      </c>
      <c r="H33" s="1712">
        <v>450</v>
      </c>
      <c r="I33" s="1801"/>
      <c r="J33" s="1801"/>
      <c r="K33" s="1802"/>
      <c r="L33" s="1727">
        <v>22500</v>
      </c>
      <c r="N33" s="1721"/>
      <c r="O33" s="1720"/>
    </row>
    <row r="34" spans="1:15" s="783" customFormat="1" ht="14.25" customHeight="1">
      <c r="A34" s="776"/>
      <c r="B34" s="776" t="s">
        <v>2574</v>
      </c>
      <c r="C34" s="1804"/>
      <c r="D34" s="1806" t="s">
        <v>2478</v>
      </c>
      <c r="E34" s="1799">
        <v>50</v>
      </c>
      <c r="F34" s="1724" t="s">
        <v>2039</v>
      </c>
      <c r="G34" s="1789" t="s">
        <v>2450</v>
      </c>
      <c r="H34" s="1712">
        <v>450</v>
      </c>
      <c r="I34" s="1801"/>
      <c r="J34" s="1801"/>
      <c r="K34" s="1802"/>
      <c r="L34" s="1727">
        <v>22500</v>
      </c>
      <c r="N34" s="1721"/>
      <c r="O34" s="1720"/>
    </row>
    <row r="35" spans="1:15" s="783" customFormat="1" ht="14.25" customHeight="1">
      <c r="A35" s="776"/>
      <c r="B35" s="776" t="s">
        <v>2574</v>
      </c>
      <c r="C35" s="1804"/>
      <c r="D35" s="1806" t="s">
        <v>2479</v>
      </c>
      <c r="E35" s="1799">
        <v>50</v>
      </c>
      <c r="F35" s="1807" t="s">
        <v>2039</v>
      </c>
      <c r="G35" s="1725" t="s">
        <v>2450</v>
      </c>
      <c r="H35" s="1712">
        <v>450</v>
      </c>
      <c r="I35" s="1801"/>
      <c r="J35" s="1801"/>
      <c r="K35" s="1802"/>
      <c r="L35" s="1727">
        <v>22500</v>
      </c>
      <c r="N35" s="1721"/>
      <c r="O35" s="1720"/>
    </row>
    <row r="36" spans="1:15" s="783" customFormat="1" ht="14.25" customHeight="1">
      <c r="A36" s="776"/>
      <c r="B36" s="776" t="s">
        <v>2574</v>
      </c>
      <c r="C36" s="1804"/>
      <c r="D36" s="1806" t="s">
        <v>2480</v>
      </c>
      <c r="E36" s="1799">
        <v>50</v>
      </c>
      <c r="F36" s="1724" t="s">
        <v>2039</v>
      </c>
      <c r="G36" s="1725" t="s">
        <v>2450</v>
      </c>
      <c r="H36" s="1712">
        <v>450</v>
      </c>
      <c r="I36" s="1801"/>
      <c r="J36" s="1801"/>
      <c r="K36" s="1802"/>
      <c r="L36" s="1727">
        <v>22500</v>
      </c>
      <c r="N36" s="1721"/>
      <c r="O36" s="1720"/>
    </row>
    <row r="37" spans="1:15" s="783" customFormat="1" ht="14.25" customHeight="1">
      <c r="A37" s="776"/>
      <c r="B37" s="776" t="s">
        <v>2574</v>
      </c>
      <c r="C37" s="1804"/>
      <c r="D37" s="1806" t="s">
        <v>2481</v>
      </c>
      <c r="E37" s="1799">
        <v>200</v>
      </c>
      <c r="F37" s="1724" t="s">
        <v>1571</v>
      </c>
      <c r="G37" s="1725" t="s">
        <v>2450</v>
      </c>
      <c r="H37" s="1712">
        <v>30</v>
      </c>
      <c r="I37" s="1801"/>
      <c r="J37" s="1801"/>
      <c r="K37" s="1802"/>
      <c r="L37" s="1727">
        <v>6000</v>
      </c>
      <c r="N37" s="1721"/>
      <c r="O37" s="1720"/>
    </row>
    <row r="38" spans="1:15" s="783" customFormat="1" ht="14.25" customHeight="1">
      <c r="A38" s="776"/>
      <c r="B38" s="776" t="s">
        <v>2574</v>
      </c>
      <c r="C38" s="1804"/>
      <c r="D38" s="1806" t="s">
        <v>2482</v>
      </c>
      <c r="E38" s="1799">
        <v>25</v>
      </c>
      <c r="F38" s="1724" t="s">
        <v>778</v>
      </c>
      <c r="G38" s="1725" t="s">
        <v>2450</v>
      </c>
      <c r="H38" s="1712">
        <v>580</v>
      </c>
      <c r="I38" s="1801"/>
      <c r="J38" s="1801"/>
      <c r="K38" s="1802"/>
      <c r="L38" s="1727">
        <v>14500</v>
      </c>
      <c r="N38" s="1721"/>
      <c r="O38" s="1720"/>
    </row>
    <row r="39" spans="1:15" s="783" customFormat="1" ht="14.25" customHeight="1">
      <c r="A39" s="776"/>
      <c r="B39" s="776" t="s">
        <v>2574</v>
      </c>
      <c r="C39" s="1804"/>
      <c r="D39" s="1806" t="s">
        <v>2483</v>
      </c>
      <c r="E39" s="1799">
        <v>100</v>
      </c>
      <c r="F39" s="1724" t="s">
        <v>1571</v>
      </c>
      <c r="G39" s="1725" t="s">
        <v>2450</v>
      </c>
      <c r="H39" s="1712">
        <v>25</v>
      </c>
      <c r="I39" s="1801"/>
      <c r="J39" s="1801"/>
      <c r="K39" s="1802"/>
      <c r="L39" s="1727">
        <v>2500</v>
      </c>
      <c r="N39" s="1721"/>
      <c r="O39" s="1720"/>
    </row>
    <row r="40" spans="1:15" s="783" customFormat="1" ht="14.25" customHeight="1">
      <c r="A40" s="776"/>
      <c r="B40" s="776" t="s">
        <v>2574</v>
      </c>
      <c r="C40" s="1804"/>
      <c r="D40" s="1806" t="s">
        <v>2484</v>
      </c>
      <c r="E40" s="1724">
        <v>10</v>
      </c>
      <c r="F40" s="1724" t="s">
        <v>1571</v>
      </c>
      <c r="G40" s="1725" t="s">
        <v>2450</v>
      </c>
      <c r="H40" s="1712">
        <v>110</v>
      </c>
      <c r="I40" s="1801"/>
      <c r="J40" s="1801"/>
      <c r="K40" s="1802"/>
      <c r="L40" s="1727">
        <v>1100</v>
      </c>
      <c r="N40" s="1721"/>
      <c r="O40" s="1720"/>
    </row>
    <row r="41" spans="1:15" s="783" customFormat="1" ht="14.25" customHeight="1">
      <c r="A41" s="776"/>
      <c r="B41" s="776" t="s">
        <v>2574</v>
      </c>
      <c r="C41" s="1804"/>
      <c r="D41" s="1806" t="s">
        <v>2485</v>
      </c>
      <c r="E41" s="1724">
        <v>5</v>
      </c>
      <c r="F41" s="1724" t="s">
        <v>1571</v>
      </c>
      <c r="G41" s="1725" t="s">
        <v>2450</v>
      </c>
      <c r="H41" s="1712">
        <v>110</v>
      </c>
      <c r="I41" s="1801"/>
      <c r="J41" s="1801"/>
      <c r="K41" s="1802"/>
      <c r="L41" s="1727">
        <v>550</v>
      </c>
      <c r="N41" s="1721"/>
      <c r="O41" s="1720"/>
    </row>
    <row r="42" spans="1:15" s="783" customFormat="1" ht="14.25" customHeight="1">
      <c r="A42" s="776"/>
      <c r="B42" s="776" t="s">
        <v>2574</v>
      </c>
      <c r="C42" s="1804"/>
      <c r="D42" s="1806" t="s">
        <v>2486</v>
      </c>
      <c r="E42" s="1724">
        <v>5</v>
      </c>
      <c r="F42" s="1724" t="s">
        <v>1571</v>
      </c>
      <c r="G42" s="1725" t="s">
        <v>2450</v>
      </c>
      <c r="H42" s="1712">
        <v>110</v>
      </c>
      <c r="I42" s="1801"/>
      <c r="J42" s="1801"/>
      <c r="K42" s="1802"/>
      <c r="L42" s="1727">
        <v>550</v>
      </c>
      <c r="N42" s="1721"/>
      <c r="O42" s="1720"/>
    </row>
    <row r="43" spans="1:15" s="783" customFormat="1" ht="14.25" customHeight="1">
      <c r="A43" s="776"/>
      <c r="B43" s="776" t="s">
        <v>2574</v>
      </c>
      <c r="C43" s="1804"/>
      <c r="D43" s="1806" t="s">
        <v>2487</v>
      </c>
      <c r="E43" s="1724">
        <v>5</v>
      </c>
      <c r="F43" s="1724" t="s">
        <v>1571</v>
      </c>
      <c r="G43" s="1789" t="s">
        <v>2450</v>
      </c>
      <c r="H43" s="1712">
        <v>110</v>
      </c>
      <c r="I43" s="1801"/>
      <c r="J43" s="1801"/>
      <c r="K43" s="1802"/>
      <c r="L43" s="1727">
        <v>550</v>
      </c>
      <c r="N43" s="1721"/>
      <c r="O43" s="1720"/>
    </row>
    <row r="44" spans="1:15" s="783" customFormat="1" ht="14.25" customHeight="1">
      <c r="A44" s="776"/>
      <c r="B44" s="776" t="s">
        <v>2574</v>
      </c>
      <c r="C44" s="1804"/>
      <c r="D44" s="1806" t="s">
        <v>2488</v>
      </c>
      <c r="E44" s="1724">
        <v>5</v>
      </c>
      <c r="F44" s="1724" t="s">
        <v>1571</v>
      </c>
      <c r="G44" s="1725" t="s">
        <v>2450</v>
      </c>
      <c r="H44" s="1712">
        <v>110</v>
      </c>
      <c r="I44" s="1801"/>
      <c r="J44" s="1801"/>
      <c r="K44" s="1802"/>
      <c r="L44" s="1727">
        <v>550</v>
      </c>
      <c r="N44" s="1721"/>
      <c r="O44" s="1720"/>
    </row>
    <row r="45" spans="1:15" s="783" customFormat="1" ht="14.25" customHeight="1">
      <c r="A45" s="776"/>
      <c r="B45" s="776" t="s">
        <v>2574</v>
      </c>
      <c r="C45" s="1804"/>
      <c r="D45" s="1806" t="s">
        <v>2489</v>
      </c>
      <c r="E45" s="1724">
        <v>5</v>
      </c>
      <c r="F45" s="1724" t="s">
        <v>1571</v>
      </c>
      <c r="G45" s="1725" t="s">
        <v>2450</v>
      </c>
      <c r="H45" s="1712">
        <v>110</v>
      </c>
      <c r="I45" s="1801"/>
      <c r="J45" s="1801"/>
      <c r="K45" s="1802"/>
      <c r="L45" s="1727">
        <v>550</v>
      </c>
      <c r="N45" s="1721"/>
      <c r="O45" s="1720"/>
    </row>
    <row r="46" spans="1:15" s="783" customFormat="1" ht="14.25" customHeight="1">
      <c r="A46" s="776"/>
      <c r="B46" s="776" t="s">
        <v>2574</v>
      </c>
      <c r="C46" s="1804"/>
      <c r="D46" s="1806" t="s">
        <v>2490</v>
      </c>
      <c r="E46" s="1724">
        <v>5</v>
      </c>
      <c r="F46" s="1724" t="s">
        <v>1571</v>
      </c>
      <c r="G46" s="1725" t="s">
        <v>2450</v>
      </c>
      <c r="H46" s="1712">
        <v>110</v>
      </c>
      <c r="I46" s="1801"/>
      <c r="J46" s="1801"/>
      <c r="K46" s="1802"/>
      <c r="L46" s="1727">
        <v>550</v>
      </c>
      <c r="N46" s="1721"/>
      <c r="O46" s="1720"/>
    </row>
    <row r="47" spans="1:15" s="783" customFormat="1" ht="14.25" customHeight="1">
      <c r="A47" s="776"/>
      <c r="B47" s="776" t="s">
        <v>2574</v>
      </c>
      <c r="C47" s="1804"/>
      <c r="D47" s="1806" t="s">
        <v>2491</v>
      </c>
      <c r="E47" s="1724">
        <v>5</v>
      </c>
      <c r="F47" s="1724" t="s">
        <v>1571</v>
      </c>
      <c r="G47" s="1725" t="s">
        <v>2450</v>
      </c>
      <c r="H47" s="1712">
        <v>110</v>
      </c>
      <c r="I47" s="1801"/>
      <c r="J47" s="1801"/>
      <c r="K47" s="1802"/>
      <c r="L47" s="1727">
        <v>550</v>
      </c>
      <c r="N47" s="1721"/>
      <c r="O47" s="1720"/>
    </row>
    <row r="48" spans="1:15" s="783" customFormat="1" ht="14.25" customHeight="1">
      <c r="A48" s="776"/>
      <c r="B48" s="776" t="s">
        <v>2574</v>
      </c>
      <c r="C48" s="1804"/>
      <c r="D48" s="1806" t="s">
        <v>2492</v>
      </c>
      <c r="E48" s="1724">
        <v>10</v>
      </c>
      <c r="F48" s="1724" t="s">
        <v>1571</v>
      </c>
      <c r="G48" s="1725" t="s">
        <v>2450</v>
      </c>
      <c r="H48" s="1712">
        <v>110</v>
      </c>
      <c r="I48" s="1801"/>
      <c r="J48" s="1801"/>
      <c r="K48" s="1802"/>
      <c r="L48" s="1727">
        <v>1100</v>
      </c>
      <c r="N48" s="1721"/>
      <c r="O48" s="1720"/>
    </row>
    <row r="49" spans="1:15" s="783" customFormat="1" ht="14.25" customHeight="1">
      <c r="A49" s="776"/>
      <c r="B49" s="776" t="s">
        <v>2574</v>
      </c>
      <c r="C49" s="1804"/>
      <c r="D49" s="1806" t="s">
        <v>2493</v>
      </c>
      <c r="E49" s="1799">
        <v>50</v>
      </c>
      <c r="F49" s="1724" t="s">
        <v>1571</v>
      </c>
      <c r="G49" s="1725" t="s">
        <v>2450</v>
      </c>
      <c r="H49" s="1800">
        <v>75</v>
      </c>
      <c r="I49" s="1801"/>
      <c r="J49" s="1801"/>
      <c r="K49" s="1802"/>
      <c r="L49" s="1727">
        <v>3750</v>
      </c>
      <c r="N49" s="1721"/>
      <c r="O49" s="1720"/>
    </row>
    <row r="50" spans="1:15" s="783" customFormat="1" ht="14.25" customHeight="1">
      <c r="A50" s="776"/>
      <c r="B50" s="776" t="s">
        <v>2574</v>
      </c>
      <c r="C50" s="1804"/>
      <c r="D50" s="1806" t="s">
        <v>2494</v>
      </c>
      <c r="E50" s="1799">
        <v>5</v>
      </c>
      <c r="F50" s="1724" t="s">
        <v>776</v>
      </c>
      <c r="G50" s="1725" t="s">
        <v>2450</v>
      </c>
      <c r="H50" s="1712">
        <v>602</v>
      </c>
      <c r="I50" s="1801"/>
      <c r="J50" s="1801"/>
      <c r="K50" s="1802"/>
      <c r="L50" s="1727">
        <v>3010</v>
      </c>
      <c r="N50" s="1721"/>
      <c r="O50" s="1720"/>
    </row>
    <row r="51" spans="1:15" s="783" customFormat="1" ht="14.25" customHeight="1">
      <c r="A51" s="776"/>
      <c r="B51" s="776" t="s">
        <v>2574</v>
      </c>
      <c r="C51" s="1804"/>
      <c r="D51" s="1806" t="s">
        <v>2495</v>
      </c>
      <c r="E51" s="1799">
        <v>3</v>
      </c>
      <c r="F51" s="1724" t="s">
        <v>2039</v>
      </c>
      <c r="G51" s="1725" t="s">
        <v>2450</v>
      </c>
      <c r="H51" s="1712">
        <v>2300</v>
      </c>
      <c r="I51" s="1801"/>
      <c r="J51" s="1801"/>
      <c r="K51" s="1802"/>
      <c r="L51" s="1727">
        <v>6900</v>
      </c>
      <c r="N51" s="1721"/>
      <c r="O51" s="1720"/>
    </row>
    <row r="52" spans="1:15" s="783" customFormat="1" ht="14.25" customHeight="1">
      <c r="A52" s="776"/>
      <c r="B52" s="776" t="s">
        <v>2574</v>
      </c>
      <c r="C52" s="1804"/>
      <c r="D52" s="1806" t="s">
        <v>2496</v>
      </c>
      <c r="E52" s="1799">
        <v>25</v>
      </c>
      <c r="F52" s="1807" t="s">
        <v>1615</v>
      </c>
      <c r="G52" s="1789" t="s">
        <v>2450</v>
      </c>
      <c r="H52" s="1712">
        <v>100</v>
      </c>
      <c r="I52" s="1801"/>
      <c r="J52" s="1801"/>
      <c r="K52" s="1802"/>
      <c r="L52" s="1727">
        <v>2500</v>
      </c>
      <c r="N52" s="1721"/>
      <c r="O52" s="1720"/>
    </row>
    <row r="53" spans="1:15" s="783" customFormat="1" ht="14.25" customHeight="1">
      <c r="A53" s="776"/>
      <c r="B53" s="776" t="s">
        <v>2574</v>
      </c>
      <c r="C53" s="1804"/>
      <c r="D53" s="1806" t="s">
        <v>2497</v>
      </c>
      <c r="E53" s="1799">
        <v>25</v>
      </c>
      <c r="F53" s="1724" t="s">
        <v>2039</v>
      </c>
      <c r="G53" s="1725" t="s">
        <v>2450</v>
      </c>
      <c r="H53" s="1712">
        <v>1500</v>
      </c>
      <c r="I53" s="1801"/>
      <c r="J53" s="1801"/>
      <c r="K53" s="1802"/>
      <c r="L53" s="1727">
        <v>37500</v>
      </c>
      <c r="N53" s="1721"/>
      <c r="O53" s="1720"/>
    </row>
    <row r="54" spans="1:15" s="783" customFormat="1" ht="14.25" customHeight="1">
      <c r="A54" s="776"/>
      <c r="B54" s="776" t="s">
        <v>2574</v>
      </c>
      <c r="C54" s="1804"/>
      <c r="D54" s="1806" t="s">
        <v>2498</v>
      </c>
      <c r="E54" s="1799">
        <v>4</v>
      </c>
      <c r="F54" s="1724" t="s">
        <v>1571</v>
      </c>
      <c r="G54" s="1725" t="s">
        <v>2450</v>
      </c>
      <c r="H54" s="1712">
        <v>450</v>
      </c>
      <c r="I54" s="1801"/>
      <c r="J54" s="1801"/>
      <c r="K54" s="1802"/>
      <c r="L54" s="1727">
        <v>1800</v>
      </c>
      <c r="N54" s="1721"/>
      <c r="O54" s="1720"/>
    </row>
    <row r="55" spans="1:15" s="783" customFormat="1" ht="14.25" customHeight="1">
      <c r="A55" s="776"/>
      <c r="B55" s="776" t="s">
        <v>2574</v>
      </c>
      <c r="C55" s="1804"/>
      <c r="D55" s="1806" t="s">
        <v>2499</v>
      </c>
      <c r="E55" s="1799">
        <v>3</v>
      </c>
      <c r="F55" s="1724" t="s">
        <v>2039</v>
      </c>
      <c r="G55" s="1725" t="s">
        <v>2450</v>
      </c>
      <c r="H55" s="1712">
        <v>900</v>
      </c>
      <c r="I55" s="1801"/>
      <c r="J55" s="1801"/>
      <c r="K55" s="1802"/>
      <c r="L55" s="1727">
        <v>2700</v>
      </c>
      <c r="N55" s="1721"/>
      <c r="O55" s="1720"/>
    </row>
    <row r="56" spans="1:15" s="783" customFormat="1" ht="14.25" customHeight="1">
      <c r="A56" s="776"/>
      <c r="B56" s="776" t="s">
        <v>2574</v>
      </c>
      <c r="C56" s="1804"/>
      <c r="D56" s="1806" t="s">
        <v>2500</v>
      </c>
      <c r="E56" s="1724">
        <v>500</v>
      </c>
      <c r="F56" s="1724" t="s">
        <v>1571</v>
      </c>
      <c r="G56" s="1725" t="s">
        <v>2450</v>
      </c>
      <c r="H56" s="1712">
        <v>10</v>
      </c>
      <c r="I56" s="1801"/>
      <c r="J56" s="1801"/>
      <c r="K56" s="1802"/>
      <c r="L56" s="1727">
        <v>5000</v>
      </c>
      <c r="N56" s="1721"/>
      <c r="O56" s="1720"/>
    </row>
    <row r="57" spans="1:15" s="783" customFormat="1" ht="14.25" customHeight="1">
      <c r="A57" s="776"/>
      <c r="B57" s="776" t="s">
        <v>2574</v>
      </c>
      <c r="C57" s="1804"/>
      <c r="D57" s="1806" t="s">
        <v>2501</v>
      </c>
      <c r="E57" s="1724">
        <v>4</v>
      </c>
      <c r="F57" s="1724" t="s">
        <v>1571</v>
      </c>
      <c r="G57" s="1725" t="s">
        <v>2450</v>
      </c>
      <c r="H57" s="1712">
        <v>30</v>
      </c>
      <c r="I57" s="1801"/>
      <c r="J57" s="1801"/>
      <c r="K57" s="1802"/>
      <c r="L57" s="1727">
        <v>120</v>
      </c>
      <c r="N57" s="1721"/>
      <c r="O57" s="1720"/>
    </row>
    <row r="58" spans="1:15" s="783" customFormat="1" ht="14.25" customHeight="1">
      <c r="A58" s="776"/>
      <c r="B58" s="776" t="s">
        <v>2574</v>
      </c>
      <c r="C58" s="1804"/>
      <c r="D58" s="1806" t="s">
        <v>2502</v>
      </c>
      <c r="E58" s="1799">
        <v>5</v>
      </c>
      <c r="F58" s="1724" t="s">
        <v>776</v>
      </c>
      <c r="G58" s="1725" t="s">
        <v>2450</v>
      </c>
      <c r="H58" s="1712">
        <v>900</v>
      </c>
      <c r="I58" s="1801"/>
      <c r="J58" s="1801"/>
      <c r="K58" s="1802"/>
      <c r="L58" s="1727">
        <v>4500</v>
      </c>
      <c r="N58" s="1721"/>
      <c r="O58" s="1720"/>
    </row>
    <row r="59" spans="1:15" s="783" customFormat="1" ht="14.25" customHeight="1">
      <c r="A59" s="776"/>
      <c r="B59" s="776" t="s">
        <v>2574</v>
      </c>
      <c r="C59" s="1804"/>
      <c r="D59" s="1806" t="s">
        <v>2503</v>
      </c>
      <c r="E59" s="1799">
        <v>500</v>
      </c>
      <c r="F59" s="1724" t="s">
        <v>1571</v>
      </c>
      <c r="G59" s="1725" t="s">
        <v>2450</v>
      </c>
      <c r="H59" s="1712">
        <v>8</v>
      </c>
      <c r="I59" s="1801"/>
      <c r="J59" s="1801"/>
      <c r="K59" s="1802"/>
      <c r="L59" s="1727">
        <v>4000</v>
      </c>
      <c r="N59" s="1721"/>
      <c r="O59" s="1720"/>
    </row>
    <row r="60" spans="1:15" s="783" customFormat="1" ht="14.25" customHeight="1">
      <c r="A60" s="776"/>
      <c r="B60" s="776" t="s">
        <v>2574</v>
      </c>
      <c r="C60" s="1804"/>
      <c r="D60" s="1806" t="s">
        <v>2504</v>
      </c>
      <c r="E60" s="1799">
        <v>500</v>
      </c>
      <c r="F60" s="1724" t="s">
        <v>1571</v>
      </c>
      <c r="G60" s="1725" t="s">
        <v>2450</v>
      </c>
      <c r="H60" s="1712">
        <v>8</v>
      </c>
      <c r="I60" s="1801"/>
      <c r="J60" s="1801"/>
      <c r="K60" s="1802"/>
      <c r="L60" s="1727">
        <v>4000</v>
      </c>
      <c r="N60" s="1721"/>
      <c r="O60" s="1720"/>
    </row>
    <row r="61" spans="1:15" s="783" customFormat="1" ht="14.25" customHeight="1">
      <c r="A61" s="776"/>
      <c r="B61" s="776" t="s">
        <v>2574</v>
      </c>
      <c r="C61" s="1804"/>
      <c r="D61" s="1806" t="s">
        <v>2505</v>
      </c>
      <c r="E61" s="1799">
        <v>2</v>
      </c>
      <c r="F61" s="1724" t="s">
        <v>1571</v>
      </c>
      <c r="G61" s="1789" t="s">
        <v>2450</v>
      </c>
      <c r="H61" s="1712">
        <v>165</v>
      </c>
      <c r="I61" s="1801"/>
      <c r="J61" s="1801"/>
      <c r="K61" s="1802"/>
      <c r="L61" s="1727">
        <v>330</v>
      </c>
      <c r="N61" s="1721"/>
      <c r="O61" s="1720"/>
    </row>
    <row r="62" spans="1:15" s="783" customFormat="1" ht="14.25" customHeight="1">
      <c r="A62" s="776"/>
      <c r="B62" s="776" t="s">
        <v>2574</v>
      </c>
      <c r="C62" s="1804"/>
      <c r="D62" s="1806" t="s">
        <v>2506</v>
      </c>
      <c r="E62" s="1799">
        <v>2</v>
      </c>
      <c r="F62" s="1724" t="s">
        <v>1571</v>
      </c>
      <c r="G62" s="1725" t="s">
        <v>2450</v>
      </c>
      <c r="H62" s="1712">
        <v>165</v>
      </c>
      <c r="I62" s="1801"/>
      <c r="J62" s="1801"/>
      <c r="K62" s="1802"/>
      <c r="L62" s="1727">
        <v>330</v>
      </c>
      <c r="N62" s="1721"/>
      <c r="O62" s="1720"/>
    </row>
    <row r="63" spans="1:15" s="783" customFormat="1" ht="14.25" customHeight="1">
      <c r="A63" s="776"/>
      <c r="B63" s="776" t="s">
        <v>2574</v>
      </c>
      <c r="C63" s="1804"/>
      <c r="D63" s="1806" t="s">
        <v>2507</v>
      </c>
      <c r="E63" s="1799">
        <v>10</v>
      </c>
      <c r="F63" s="1724" t="s">
        <v>1571</v>
      </c>
      <c r="G63" s="1725" t="s">
        <v>2450</v>
      </c>
      <c r="H63" s="1712">
        <v>150</v>
      </c>
      <c r="I63" s="1801"/>
      <c r="J63" s="1801"/>
      <c r="K63" s="1802"/>
      <c r="L63" s="1727">
        <v>1500</v>
      </c>
      <c r="N63" s="1721"/>
      <c r="O63" s="1720"/>
    </row>
    <row r="64" spans="1:15" s="783" customFormat="1" ht="14.25" customHeight="1">
      <c r="A64" s="776"/>
      <c r="B64" s="776" t="s">
        <v>2574</v>
      </c>
      <c r="C64" s="1804"/>
      <c r="D64" s="1806" t="s">
        <v>2508</v>
      </c>
      <c r="E64" s="1799">
        <v>3</v>
      </c>
      <c r="F64" s="1724" t="s">
        <v>1571</v>
      </c>
      <c r="G64" s="1725" t="s">
        <v>2450</v>
      </c>
      <c r="H64" s="1712">
        <v>500</v>
      </c>
      <c r="I64" s="1801"/>
      <c r="J64" s="1801"/>
      <c r="K64" s="1802"/>
      <c r="L64" s="1727">
        <v>1500</v>
      </c>
      <c r="N64" s="1721"/>
      <c r="O64" s="1720"/>
    </row>
    <row r="65" spans="1:15" s="783" customFormat="1" ht="14.25" customHeight="1">
      <c r="A65" s="776"/>
      <c r="B65" s="776" t="s">
        <v>2574</v>
      </c>
      <c r="C65" s="1804"/>
      <c r="D65" s="1806" t="s">
        <v>2509</v>
      </c>
      <c r="E65" s="1799">
        <v>3</v>
      </c>
      <c r="F65" s="1724" t="s">
        <v>1571</v>
      </c>
      <c r="G65" s="1725" t="s">
        <v>2450</v>
      </c>
      <c r="H65" s="1712">
        <v>500</v>
      </c>
      <c r="I65" s="1801"/>
      <c r="J65" s="1801"/>
      <c r="K65" s="1802"/>
      <c r="L65" s="1727">
        <v>1500</v>
      </c>
      <c r="N65" s="1721"/>
      <c r="O65" s="1720"/>
    </row>
    <row r="66" spans="1:15" s="783" customFormat="1" ht="14.25" customHeight="1">
      <c r="A66" s="776"/>
      <c r="B66" s="776" t="s">
        <v>2574</v>
      </c>
      <c r="C66" s="1804"/>
      <c r="D66" s="1806" t="s">
        <v>2510</v>
      </c>
      <c r="E66" s="1799">
        <v>25</v>
      </c>
      <c r="F66" s="1724" t="s">
        <v>1571</v>
      </c>
      <c r="G66" s="1725" t="s">
        <v>2450</v>
      </c>
      <c r="H66" s="1712">
        <v>29</v>
      </c>
      <c r="I66" s="1801"/>
      <c r="J66" s="1801"/>
      <c r="K66" s="1802"/>
      <c r="L66" s="1727">
        <v>725</v>
      </c>
      <c r="N66" s="1721"/>
      <c r="O66" s="1720"/>
    </row>
    <row r="67" spans="1:15" s="783" customFormat="1" ht="14.25" customHeight="1">
      <c r="A67" s="776"/>
      <c r="B67" s="776" t="s">
        <v>2574</v>
      </c>
      <c r="C67" s="1804"/>
      <c r="D67" s="1806" t="s">
        <v>2511</v>
      </c>
      <c r="E67" s="1724">
        <v>25</v>
      </c>
      <c r="F67" s="1724" t="s">
        <v>1571</v>
      </c>
      <c r="G67" s="1725" t="s">
        <v>2450</v>
      </c>
      <c r="H67" s="1712">
        <v>29</v>
      </c>
      <c r="I67" s="1801"/>
      <c r="J67" s="1801"/>
      <c r="K67" s="1802"/>
      <c r="L67" s="1727">
        <v>725</v>
      </c>
      <c r="N67" s="1721"/>
      <c r="O67" s="1720"/>
    </row>
    <row r="68" spans="1:15" s="783" customFormat="1" ht="14.25" customHeight="1">
      <c r="A68" s="776"/>
      <c r="B68" s="776" t="s">
        <v>2574</v>
      </c>
      <c r="C68" s="1804"/>
      <c r="D68" s="1806" t="s">
        <v>2512</v>
      </c>
      <c r="E68" s="1724">
        <v>25</v>
      </c>
      <c r="F68" s="1724" t="s">
        <v>1571</v>
      </c>
      <c r="G68" s="1725" t="s">
        <v>2450</v>
      </c>
      <c r="H68" s="1712">
        <v>29</v>
      </c>
      <c r="I68" s="1801"/>
      <c r="J68" s="1801"/>
      <c r="K68" s="1802"/>
      <c r="L68" s="1727">
        <v>725</v>
      </c>
      <c r="N68" s="1721"/>
      <c r="O68" s="1720"/>
    </row>
    <row r="69" spans="1:15" s="783" customFormat="1" ht="14.25" customHeight="1">
      <c r="A69" s="776"/>
      <c r="B69" s="776" t="s">
        <v>2574</v>
      </c>
      <c r="C69" s="1804"/>
      <c r="D69" s="1806" t="s">
        <v>2513</v>
      </c>
      <c r="E69" s="1724">
        <v>25</v>
      </c>
      <c r="F69" s="1724" t="s">
        <v>1571</v>
      </c>
      <c r="G69" s="1725" t="s">
        <v>2450</v>
      </c>
      <c r="H69" s="1712">
        <v>29</v>
      </c>
      <c r="I69" s="1801"/>
      <c r="J69" s="1801"/>
      <c r="K69" s="1802"/>
      <c r="L69" s="1727">
        <v>725</v>
      </c>
      <c r="N69" s="1721"/>
      <c r="O69" s="1720"/>
    </row>
    <row r="70" spans="1:15" s="783" customFormat="1" ht="14.25" customHeight="1">
      <c r="A70" s="776"/>
      <c r="B70" s="776" t="s">
        <v>2574</v>
      </c>
      <c r="C70" s="1804"/>
      <c r="D70" s="1806" t="s">
        <v>2514</v>
      </c>
      <c r="E70" s="1724">
        <v>5</v>
      </c>
      <c r="F70" s="1724" t="s">
        <v>2039</v>
      </c>
      <c r="G70" s="1725" t="s">
        <v>2450</v>
      </c>
      <c r="H70" s="1712">
        <v>1500</v>
      </c>
      <c r="I70" s="1801"/>
      <c r="J70" s="1801"/>
      <c r="K70" s="1802"/>
      <c r="L70" s="1727">
        <v>6000</v>
      </c>
      <c r="N70" s="1721"/>
      <c r="O70" s="1720"/>
    </row>
    <row r="71" spans="1:15" s="783" customFormat="1" ht="14.25" customHeight="1">
      <c r="A71" s="776"/>
      <c r="B71" s="776" t="s">
        <v>2574</v>
      </c>
      <c r="C71" s="1804"/>
      <c r="D71" s="1806" t="s">
        <v>2515</v>
      </c>
      <c r="E71" s="1724">
        <v>5</v>
      </c>
      <c r="F71" s="1724" t="s">
        <v>2039</v>
      </c>
      <c r="G71" s="1725" t="s">
        <v>2450</v>
      </c>
      <c r="H71" s="1712">
        <v>1500</v>
      </c>
      <c r="I71" s="1801"/>
      <c r="J71" s="1801"/>
      <c r="K71" s="1802"/>
      <c r="L71" s="1727">
        <v>6000</v>
      </c>
      <c r="N71" s="1721"/>
      <c r="O71" s="1720"/>
    </row>
    <row r="72" spans="1:15" s="783" customFormat="1" ht="14.25" customHeight="1">
      <c r="A72" s="776"/>
      <c r="B72" s="776" t="s">
        <v>2574</v>
      </c>
      <c r="C72" s="1804"/>
      <c r="D72" s="1806" t="s">
        <v>2516</v>
      </c>
      <c r="E72" s="1809">
        <v>10</v>
      </c>
      <c r="F72" s="1809" t="s">
        <v>1720</v>
      </c>
      <c r="G72" s="1725" t="s">
        <v>2450</v>
      </c>
      <c r="H72" s="1712">
        <v>100</v>
      </c>
      <c r="I72" s="1801"/>
      <c r="J72" s="1801"/>
      <c r="K72" s="1802"/>
      <c r="L72" s="1727">
        <v>1000</v>
      </c>
      <c r="N72" s="1721"/>
      <c r="O72" s="1720"/>
    </row>
    <row r="73" spans="1:15" s="783" customFormat="1" ht="14.25" customHeight="1">
      <c r="A73" s="776"/>
      <c r="B73" s="776" t="s">
        <v>2574</v>
      </c>
      <c r="C73" s="1804"/>
      <c r="D73" s="1806" t="s">
        <v>2517</v>
      </c>
      <c r="E73" s="1724">
        <v>5</v>
      </c>
      <c r="F73" s="1724" t="s">
        <v>1720</v>
      </c>
      <c r="G73" s="1725" t="s">
        <v>2450</v>
      </c>
      <c r="H73" s="1712">
        <v>100</v>
      </c>
      <c r="I73" s="1801"/>
      <c r="J73" s="1801"/>
      <c r="K73" s="1802"/>
      <c r="L73" s="1810">
        <v>500</v>
      </c>
      <c r="N73" s="1721"/>
      <c r="O73" s="1720"/>
    </row>
    <row r="74" spans="1:15" s="783" customFormat="1" ht="14.25" customHeight="1">
      <c r="A74" s="776"/>
      <c r="B74" s="776" t="s">
        <v>2574</v>
      </c>
      <c r="C74" s="1804"/>
      <c r="D74" s="1806" t="s">
        <v>2518</v>
      </c>
      <c r="E74" s="1724">
        <v>20</v>
      </c>
      <c r="F74" s="1724" t="s">
        <v>2039</v>
      </c>
      <c r="G74" s="1725" t="s">
        <v>2450</v>
      </c>
      <c r="H74" s="1712">
        <v>1500</v>
      </c>
      <c r="I74" s="1801"/>
      <c r="J74" s="1801"/>
      <c r="K74" s="1802"/>
      <c r="L74" s="1810">
        <v>30000</v>
      </c>
      <c r="N74" s="1721"/>
      <c r="O74" s="1720"/>
    </row>
    <row r="75" spans="1:15" s="783" customFormat="1" ht="14.25" customHeight="1">
      <c r="A75" s="776"/>
      <c r="B75" s="776" t="s">
        <v>2574</v>
      </c>
      <c r="C75" s="1804"/>
      <c r="D75" s="1806" t="s">
        <v>2519</v>
      </c>
      <c r="E75" s="1724">
        <v>20</v>
      </c>
      <c r="F75" s="1724" t="s">
        <v>2039</v>
      </c>
      <c r="G75" s="1725" t="s">
        <v>2450</v>
      </c>
      <c r="H75" s="1800">
        <v>1500</v>
      </c>
      <c r="I75" s="1801"/>
      <c r="J75" s="1801"/>
      <c r="K75" s="1802"/>
      <c r="L75" s="1810">
        <v>30000</v>
      </c>
      <c r="N75" s="1721"/>
      <c r="O75" s="1720"/>
    </row>
    <row r="76" spans="1:15" s="783" customFormat="1" ht="14.25" customHeight="1">
      <c r="A76" s="776"/>
      <c r="B76" s="776" t="s">
        <v>2574</v>
      </c>
      <c r="C76" s="1804"/>
      <c r="D76" s="1806" t="s">
        <v>2520</v>
      </c>
      <c r="E76" s="1799">
        <v>5</v>
      </c>
      <c r="F76" s="1724" t="s">
        <v>2039</v>
      </c>
      <c r="G76" s="1725" t="s">
        <v>2450</v>
      </c>
      <c r="H76" s="1712">
        <v>1350</v>
      </c>
      <c r="I76" s="1801"/>
      <c r="J76" s="1801"/>
      <c r="K76" s="1802"/>
      <c r="L76" s="1810">
        <v>6750</v>
      </c>
      <c r="N76" s="1721"/>
      <c r="O76" s="1720"/>
    </row>
    <row r="77" spans="1:15" s="783" customFormat="1" ht="14.25" customHeight="1">
      <c r="A77" s="776"/>
      <c r="B77" s="776" t="s">
        <v>2574</v>
      </c>
      <c r="C77" s="1804"/>
      <c r="D77" s="1811" t="s">
        <v>2521</v>
      </c>
      <c r="E77" s="1724">
        <v>25</v>
      </c>
      <c r="F77" s="1724" t="s">
        <v>2039</v>
      </c>
      <c r="G77" s="1725" t="s">
        <v>2450</v>
      </c>
      <c r="H77" s="1712">
        <v>160</v>
      </c>
      <c r="I77" s="1812"/>
      <c r="J77" s="1812"/>
      <c r="K77" s="1813"/>
      <c r="L77" s="1814">
        <v>4000</v>
      </c>
      <c r="N77" s="1721"/>
      <c r="O77" s="1720"/>
    </row>
    <row r="78" spans="1:15" s="783" customFormat="1" ht="14.25" customHeight="1">
      <c r="A78" s="776"/>
      <c r="B78" s="776" t="s">
        <v>2574</v>
      </c>
      <c r="C78" s="1804"/>
      <c r="D78" s="1811" t="s">
        <v>2522</v>
      </c>
      <c r="E78" s="1724">
        <v>25</v>
      </c>
      <c r="F78" s="1724" t="s">
        <v>2039</v>
      </c>
      <c r="G78" s="1725" t="s">
        <v>2450</v>
      </c>
      <c r="H78" s="1712">
        <v>160</v>
      </c>
      <c r="I78" s="1801"/>
      <c r="J78" s="1801"/>
      <c r="K78" s="1802"/>
      <c r="L78" s="1815">
        <v>4000</v>
      </c>
      <c r="N78" s="1721"/>
      <c r="O78" s="1720"/>
    </row>
    <row r="79" spans="1:15" s="783" customFormat="1" ht="14.25" customHeight="1">
      <c r="A79" s="776"/>
      <c r="B79" s="776" t="s">
        <v>2574</v>
      </c>
      <c r="C79" s="1804"/>
      <c r="D79" s="1811" t="s">
        <v>2523</v>
      </c>
      <c r="E79" s="1724">
        <v>2</v>
      </c>
      <c r="F79" s="1724" t="s">
        <v>2524</v>
      </c>
      <c r="G79" s="1725" t="s">
        <v>2450</v>
      </c>
      <c r="H79" s="1712">
        <v>1090</v>
      </c>
      <c r="I79" s="1801"/>
      <c r="J79" s="1801"/>
      <c r="K79" s="1802"/>
      <c r="L79" s="1810">
        <v>2200</v>
      </c>
      <c r="N79" s="1721"/>
      <c r="O79" s="1720"/>
    </row>
    <row r="80" spans="1:15" s="783" customFormat="1" ht="14.25" customHeight="1">
      <c r="A80" s="776"/>
      <c r="B80" s="776" t="s">
        <v>2574</v>
      </c>
      <c r="C80" s="1804"/>
      <c r="D80" s="1816" t="s">
        <v>2525</v>
      </c>
      <c r="E80" s="1724">
        <v>2</v>
      </c>
      <c r="F80" s="1724" t="s">
        <v>2039</v>
      </c>
      <c r="G80" s="1725" t="s">
        <v>2450</v>
      </c>
      <c r="H80" s="1712">
        <v>350</v>
      </c>
      <c r="I80" s="1801"/>
      <c r="J80" s="1801"/>
      <c r="K80" s="1802"/>
      <c r="L80" s="1810">
        <v>4200</v>
      </c>
      <c r="N80" s="1721"/>
      <c r="O80" s="1720"/>
    </row>
    <row r="81" spans="1:15" s="783" customFormat="1" ht="14.25" customHeight="1">
      <c r="A81" s="776"/>
      <c r="B81" s="776" t="s">
        <v>2574</v>
      </c>
      <c r="C81" s="1804"/>
      <c r="D81" s="1816" t="s">
        <v>2526</v>
      </c>
      <c r="E81" s="1724">
        <v>3</v>
      </c>
      <c r="F81" s="1724" t="s">
        <v>2039</v>
      </c>
      <c r="G81" s="1725" t="s">
        <v>2450</v>
      </c>
      <c r="H81" s="1712">
        <v>350</v>
      </c>
      <c r="I81" s="1801"/>
      <c r="J81" s="1801"/>
      <c r="K81" s="1802"/>
      <c r="L81" s="1810">
        <v>1050</v>
      </c>
      <c r="N81" s="1721"/>
      <c r="O81" s="1720"/>
    </row>
    <row r="82" spans="1:15" s="783" customFormat="1" ht="14.25" customHeight="1">
      <c r="A82" s="776"/>
      <c r="B82" s="776" t="s">
        <v>2574</v>
      </c>
      <c r="C82" s="1804"/>
      <c r="D82" s="1816" t="s">
        <v>2527</v>
      </c>
      <c r="E82" s="1724">
        <v>45</v>
      </c>
      <c r="F82" s="1724" t="s">
        <v>2039</v>
      </c>
      <c r="G82" s="1725" t="s">
        <v>2450</v>
      </c>
      <c r="H82" s="1712">
        <v>600</v>
      </c>
      <c r="I82" s="1801"/>
      <c r="J82" s="1801"/>
      <c r="K82" s="1802"/>
      <c r="L82" s="1810">
        <v>15750</v>
      </c>
      <c r="N82" s="1721"/>
      <c r="O82" s="1720"/>
    </row>
    <row r="83" spans="1:15" s="783" customFormat="1" ht="14.25" customHeight="1">
      <c r="A83" s="776"/>
      <c r="B83" s="776" t="s">
        <v>2574</v>
      </c>
      <c r="C83" s="1804"/>
      <c r="D83" s="1811" t="s">
        <v>2528</v>
      </c>
      <c r="E83" s="1724">
        <v>3</v>
      </c>
      <c r="F83" s="1724" t="s">
        <v>2529</v>
      </c>
      <c r="G83" s="1725" t="s">
        <v>2450</v>
      </c>
      <c r="H83" s="1712">
        <v>1100</v>
      </c>
      <c r="I83" s="1801"/>
      <c r="J83" s="1801"/>
      <c r="K83" s="1802"/>
      <c r="L83" s="1810">
        <v>4950</v>
      </c>
      <c r="N83" s="1721"/>
      <c r="O83" s="1720"/>
    </row>
    <row r="84" spans="1:15" s="783" customFormat="1" ht="14.25" customHeight="1">
      <c r="A84" s="776"/>
      <c r="B84" s="776" t="s">
        <v>2574</v>
      </c>
      <c r="C84" s="1804"/>
      <c r="D84" s="1811" t="s">
        <v>2530</v>
      </c>
      <c r="E84" s="1724">
        <v>2</v>
      </c>
      <c r="F84" s="1724" t="s">
        <v>1841</v>
      </c>
      <c r="G84" s="1725" t="s">
        <v>2450</v>
      </c>
      <c r="H84" s="1712">
        <v>800</v>
      </c>
      <c r="I84" s="1801"/>
      <c r="J84" s="1801"/>
      <c r="K84" s="1802"/>
      <c r="L84" s="1817">
        <v>1600</v>
      </c>
      <c r="N84" s="1721"/>
      <c r="O84" s="1720"/>
    </row>
    <row r="85" spans="1:15" s="783" customFormat="1" ht="14.25" customHeight="1">
      <c r="A85" s="776"/>
      <c r="B85" s="776" t="s">
        <v>2574</v>
      </c>
      <c r="C85" s="1804"/>
      <c r="D85" s="1811" t="s">
        <v>2531</v>
      </c>
      <c r="E85" s="1724">
        <v>5</v>
      </c>
      <c r="F85" s="1724" t="s">
        <v>2529</v>
      </c>
      <c r="G85" s="1725" t="s">
        <v>2450</v>
      </c>
      <c r="H85" s="1712">
        <v>4971</v>
      </c>
      <c r="I85" s="1801"/>
      <c r="J85" s="1801"/>
      <c r="K85" s="1802"/>
      <c r="L85" s="1817">
        <v>49710</v>
      </c>
      <c r="N85" s="1721"/>
      <c r="O85" s="1720"/>
    </row>
    <row r="86" spans="1:15" s="783" customFormat="1" ht="14.25" customHeight="1">
      <c r="A86" s="776"/>
      <c r="B86" s="776" t="s">
        <v>2574</v>
      </c>
      <c r="C86" s="1804"/>
      <c r="D86" s="1811" t="s">
        <v>2532</v>
      </c>
      <c r="E86" s="1724">
        <v>2</v>
      </c>
      <c r="F86" s="1724" t="s">
        <v>1615</v>
      </c>
      <c r="G86" s="1725" t="s">
        <v>2450</v>
      </c>
      <c r="H86" s="1712">
        <v>1500</v>
      </c>
      <c r="I86" s="1801"/>
      <c r="J86" s="1801"/>
      <c r="K86" s="1802"/>
      <c r="L86" s="1817">
        <v>18000</v>
      </c>
      <c r="N86" s="1721"/>
      <c r="O86" s="1720"/>
    </row>
    <row r="87" spans="1:15" s="783" customFormat="1" ht="14.25" customHeight="1">
      <c r="A87" s="776"/>
      <c r="B87" s="776" t="s">
        <v>2574</v>
      </c>
      <c r="C87" s="1804"/>
      <c r="D87" s="1811" t="s">
        <v>2533</v>
      </c>
      <c r="E87" s="1724">
        <v>2</v>
      </c>
      <c r="F87" s="1724" t="s">
        <v>1615</v>
      </c>
      <c r="G87" s="1725" t="s">
        <v>2450</v>
      </c>
      <c r="H87" s="1712">
        <v>1500</v>
      </c>
      <c r="I87" s="1801"/>
      <c r="J87" s="1801"/>
      <c r="K87" s="1802"/>
      <c r="L87" s="1817">
        <v>18000</v>
      </c>
      <c r="N87" s="1721"/>
      <c r="O87" s="1720"/>
    </row>
    <row r="88" spans="1:15" s="783" customFormat="1" ht="14.25" customHeight="1">
      <c r="A88" s="776"/>
      <c r="B88" s="776" t="s">
        <v>2574</v>
      </c>
      <c r="C88" s="1804"/>
      <c r="D88" s="1811" t="s">
        <v>2534</v>
      </c>
      <c r="E88" s="1724">
        <v>2</v>
      </c>
      <c r="F88" s="1724" t="s">
        <v>2529</v>
      </c>
      <c r="G88" s="1725" t="s">
        <v>2450</v>
      </c>
      <c r="H88" s="1712">
        <v>5335</v>
      </c>
      <c r="I88" s="1801"/>
      <c r="J88" s="1801"/>
      <c r="K88" s="1802"/>
      <c r="L88" s="1817">
        <v>10670</v>
      </c>
      <c r="N88" s="1721"/>
      <c r="O88" s="1720"/>
    </row>
    <row r="89" spans="1:15" s="783" customFormat="1" ht="14.25" customHeight="1">
      <c r="A89" s="776"/>
      <c r="B89" s="776" t="s">
        <v>2574</v>
      </c>
      <c r="C89" s="1804"/>
      <c r="D89" s="1811" t="s">
        <v>2535</v>
      </c>
      <c r="E89" s="1724">
        <v>1</v>
      </c>
      <c r="F89" s="1724" t="s">
        <v>2529</v>
      </c>
      <c r="G89" s="1725" t="s">
        <v>2450</v>
      </c>
      <c r="H89" s="1712">
        <v>8000</v>
      </c>
      <c r="I89" s="1801"/>
      <c r="J89" s="1801"/>
      <c r="K89" s="1802"/>
      <c r="L89" s="1817">
        <v>8000</v>
      </c>
      <c r="N89" s="1721"/>
      <c r="O89" s="1720"/>
    </row>
    <row r="90" spans="1:15" s="783" customFormat="1" ht="14.25" customHeight="1">
      <c r="A90" s="776"/>
      <c r="B90" s="776" t="s">
        <v>2574</v>
      </c>
      <c r="C90" s="1804"/>
      <c r="D90" s="1811" t="s">
        <v>2536</v>
      </c>
      <c r="E90" s="1724">
        <v>5</v>
      </c>
      <c r="F90" s="1724" t="s">
        <v>776</v>
      </c>
      <c r="G90" s="1725" t="s">
        <v>2450</v>
      </c>
      <c r="H90" s="1712">
        <v>7300</v>
      </c>
      <c r="I90" s="1801"/>
      <c r="J90" s="1801"/>
      <c r="K90" s="1802"/>
      <c r="L90" s="1817">
        <v>48600</v>
      </c>
      <c r="N90" s="1721"/>
      <c r="O90" s="1720"/>
    </row>
    <row r="91" spans="1:15" s="783" customFormat="1" ht="14.25" customHeight="1">
      <c r="A91" s="776"/>
      <c r="B91" s="776" t="s">
        <v>2574</v>
      </c>
      <c r="C91" s="1804"/>
      <c r="D91" s="1811" t="s">
        <v>2537</v>
      </c>
      <c r="E91" s="1724">
        <v>4</v>
      </c>
      <c r="F91" s="1724" t="s">
        <v>2538</v>
      </c>
      <c r="G91" s="1725" t="s">
        <v>2450</v>
      </c>
      <c r="H91" s="1712">
        <v>15450</v>
      </c>
      <c r="I91" s="1801"/>
      <c r="J91" s="1801"/>
      <c r="K91" s="1802"/>
      <c r="L91" s="1817">
        <v>67980</v>
      </c>
      <c r="N91" s="1721"/>
      <c r="O91" s="1720"/>
    </row>
    <row r="92" spans="1:15" s="783" customFormat="1" ht="14.25" customHeight="1">
      <c r="A92" s="776"/>
      <c r="B92" s="776" t="s">
        <v>2574</v>
      </c>
      <c r="C92" s="1804"/>
      <c r="D92" s="1811" t="s">
        <v>2539</v>
      </c>
      <c r="E92" s="1724">
        <v>25</v>
      </c>
      <c r="F92" s="1724" t="s">
        <v>2039</v>
      </c>
      <c r="G92" s="1725" t="s">
        <v>2450</v>
      </c>
      <c r="H92" s="1712">
        <v>850</v>
      </c>
      <c r="I92" s="1801"/>
      <c r="J92" s="1801"/>
      <c r="K92" s="1802"/>
      <c r="L92" s="1817">
        <v>24500</v>
      </c>
      <c r="N92" s="1721"/>
      <c r="O92" s="1720"/>
    </row>
    <row r="93" spans="1:15" s="783" customFormat="1" ht="14.25" customHeight="1">
      <c r="A93" s="776"/>
      <c r="B93" s="776" t="s">
        <v>2574</v>
      </c>
      <c r="C93" s="1804"/>
      <c r="D93" s="1811" t="s">
        <v>2540</v>
      </c>
      <c r="E93" s="1724">
        <v>20</v>
      </c>
      <c r="F93" s="1724" t="s">
        <v>2039</v>
      </c>
      <c r="G93" s="1725" t="s">
        <v>2450</v>
      </c>
      <c r="H93" s="1712">
        <v>700</v>
      </c>
      <c r="I93" s="1801"/>
      <c r="J93" s="1801"/>
      <c r="K93" s="1802"/>
      <c r="L93" s="1817">
        <v>17100</v>
      </c>
      <c r="N93" s="1721"/>
      <c r="O93" s="1720"/>
    </row>
    <row r="94" spans="1:15" s="783" customFormat="1" ht="14.25" customHeight="1">
      <c r="A94" s="776"/>
      <c r="B94" s="776" t="s">
        <v>2574</v>
      </c>
      <c r="C94" s="1804"/>
      <c r="D94" s="1811" t="s">
        <v>2541</v>
      </c>
      <c r="E94" s="1724">
        <v>3</v>
      </c>
      <c r="F94" s="1724" t="s">
        <v>1615</v>
      </c>
      <c r="G94" s="1725" t="s">
        <v>2450</v>
      </c>
      <c r="H94" s="1800">
        <v>800</v>
      </c>
      <c r="I94" s="1801"/>
      <c r="J94" s="1801"/>
      <c r="K94" s="1802"/>
      <c r="L94" s="1817">
        <v>2400</v>
      </c>
      <c r="N94" s="1721"/>
      <c r="O94" s="1720"/>
    </row>
    <row r="95" spans="1:15" s="783" customFormat="1" ht="14.25" customHeight="1">
      <c r="A95" s="776"/>
      <c r="B95" s="776" t="s">
        <v>2574</v>
      </c>
      <c r="C95" s="1818"/>
      <c r="D95" s="1816" t="s">
        <v>2542</v>
      </c>
      <c r="E95" s="1724">
        <v>20</v>
      </c>
      <c r="F95" s="1819" t="s">
        <v>2039</v>
      </c>
      <c r="G95" s="1725" t="s">
        <v>2450</v>
      </c>
      <c r="H95" s="1712">
        <v>90</v>
      </c>
      <c r="I95" s="1812"/>
      <c r="J95" s="1812"/>
      <c r="K95" s="1813"/>
      <c r="L95" s="1820">
        <v>2600</v>
      </c>
      <c r="N95" s="1821"/>
      <c r="O95" s="1716"/>
    </row>
    <row r="96" spans="1:15" s="783" customFormat="1" ht="14.25" customHeight="1">
      <c r="A96" s="776"/>
      <c r="B96" s="776" t="s">
        <v>2574</v>
      </c>
      <c r="C96" s="1804"/>
      <c r="D96" s="1811" t="s">
        <v>2543</v>
      </c>
      <c r="E96" s="1724">
        <v>20</v>
      </c>
      <c r="F96" s="1724" t="s">
        <v>2039</v>
      </c>
      <c r="G96" s="1725" t="s">
        <v>2450</v>
      </c>
      <c r="H96" s="1712">
        <v>1200</v>
      </c>
      <c r="I96" s="1801"/>
      <c r="J96" s="1801"/>
      <c r="K96" s="1802"/>
      <c r="L96" s="1817">
        <v>24000</v>
      </c>
      <c r="N96" s="1721"/>
      <c r="O96" s="1720"/>
    </row>
    <row r="97" spans="1:15" s="783" customFormat="1" ht="14.25" customHeight="1">
      <c r="A97" s="776"/>
      <c r="B97" s="776" t="s">
        <v>2574</v>
      </c>
      <c r="C97" s="1822"/>
      <c r="D97" s="1806" t="s">
        <v>2544</v>
      </c>
      <c r="E97" s="1799">
        <v>5</v>
      </c>
      <c r="F97" s="1724" t="s">
        <v>2529</v>
      </c>
      <c r="G97" s="1725" t="s">
        <v>2450</v>
      </c>
      <c r="H97" s="1712">
        <v>3695</v>
      </c>
      <c r="I97" s="1823"/>
      <c r="J97" s="1823"/>
      <c r="K97" s="1824"/>
      <c r="L97" s="1825">
        <v>18450</v>
      </c>
      <c r="N97" s="1823"/>
      <c r="O97" s="1720"/>
    </row>
    <row r="98" spans="1:15" s="783" customFormat="1" ht="14.25" customHeight="1">
      <c r="A98" s="776"/>
      <c r="B98" s="776" t="s">
        <v>2574</v>
      </c>
      <c r="C98" s="1826"/>
      <c r="D98" s="1806" t="s">
        <v>2545</v>
      </c>
      <c r="E98" s="1724">
        <v>2</v>
      </c>
      <c r="F98" s="1724" t="s">
        <v>1615</v>
      </c>
      <c r="G98" s="1725" t="s">
        <v>2450</v>
      </c>
      <c r="H98" s="1712">
        <v>9650</v>
      </c>
      <c r="I98" s="1826"/>
      <c r="J98" s="1826"/>
      <c r="K98" s="1826"/>
      <c r="L98" s="1827">
        <v>21780</v>
      </c>
      <c r="N98" s="1823"/>
      <c r="O98" s="1720"/>
    </row>
    <row r="99" spans="1:15" s="783" customFormat="1" ht="14.25" customHeight="1">
      <c r="A99" s="776"/>
      <c r="B99" s="776" t="s">
        <v>2574</v>
      </c>
      <c r="C99" s="1828"/>
      <c r="D99" s="1829" t="s">
        <v>2546</v>
      </c>
      <c r="E99" s="1819"/>
      <c r="F99" s="1819"/>
      <c r="G99" s="1713"/>
      <c r="H99" s="1712"/>
      <c r="I99" s="1830"/>
      <c r="J99" s="1830"/>
      <c r="K99" s="1830"/>
      <c r="L99" s="1831"/>
      <c r="N99" s="1830"/>
      <c r="O99" s="1716"/>
    </row>
    <row r="100" spans="1:15" s="783" customFormat="1" ht="14.25" customHeight="1">
      <c r="A100" s="776"/>
      <c r="B100" s="776" t="s">
        <v>2574</v>
      </c>
      <c r="C100" s="1832"/>
      <c r="D100" s="1833" t="s">
        <v>2547</v>
      </c>
      <c r="E100" s="1834">
        <v>1</v>
      </c>
      <c r="F100" s="1834" t="s">
        <v>2529</v>
      </c>
      <c r="G100" s="1835" t="s">
        <v>2450</v>
      </c>
      <c r="H100" s="1836">
        <v>15000</v>
      </c>
      <c r="I100" s="1837"/>
      <c r="J100" s="1837"/>
      <c r="K100" s="1838"/>
      <c r="L100" s="1839">
        <v>15000</v>
      </c>
      <c r="N100" s="1840"/>
      <c r="O100" s="1717"/>
    </row>
    <row r="101" spans="1:15" s="783" customFormat="1" ht="14.25" customHeight="1">
      <c r="A101" s="776"/>
      <c r="B101" s="776" t="s">
        <v>2574</v>
      </c>
      <c r="C101" s="1841"/>
      <c r="D101" s="1808" t="s">
        <v>2548</v>
      </c>
      <c r="E101" s="1809"/>
      <c r="F101" s="1809"/>
      <c r="G101" s="1789"/>
      <c r="H101" s="1836"/>
      <c r="I101" s="1842"/>
      <c r="J101" s="1842"/>
      <c r="K101" s="1843"/>
      <c r="L101" s="1844"/>
      <c r="N101" s="1845"/>
      <c r="O101" s="1846"/>
    </row>
    <row r="102" spans="1:15" s="783" customFormat="1" ht="14.25" customHeight="1">
      <c r="A102" s="776"/>
      <c r="B102" s="776" t="s">
        <v>2574</v>
      </c>
      <c r="C102" s="1804"/>
      <c r="D102" s="1806" t="s">
        <v>2549</v>
      </c>
      <c r="E102" s="1724">
        <v>2</v>
      </c>
      <c r="F102" s="1724" t="s">
        <v>1615</v>
      </c>
      <c r="G102" s="1725" t="s">
        <v>2450</v>
      </c>
      <c r="H102" s="1800">
        <v>1300</v>
      </c>
      <c r="I102" s="1801"/>
      <c r="J102" s="1801"/>
      <c r="K102" s="1802"/>
      <c r="L102" s="1817">
        <v>2600</v>
      </c>
      <c r="N102" s="1721"/>
      <c r="O102" s="1720"/>
    </row>
    <row r="103" spans="1:15" s="783" customFormat="1" ht="14.25" customHeight="1">
      <c r="A103" s="776"/>
      <c r="B103" s="776" t="s">
        <v>2574</v>
      </c>
      <c r="C103" s="1804"/>
      <c r="D103" s="1847" t="s">
        <v>2550</v>
      </c>
      <c r="E103" s="1799">
        <v>2</v>
      </c>
      <c r="F103" s="1724" t="s">
        <v>2529</v>
      </c>
      <c r="G103" s="1725" t="s">
        <v>2450</v>
      </c>
      <c r="H103" s="1712">
        <v>6000</v>
      </c>
      <c r="I103" s="1801"/>
      <c r="J103" s="1801"/>
      <c r="K103" s="1802"/>
      <c r="L103" s="1817">
        <v>9900</v>
      </c>
      <c r="N103" s="1721"/>
      <c r="O103" s="1720"/>
    </row>
    <row r="104" spans="1:15" s="783" customFormat="1" ht="14.25" customHeight="1">
      <c r="A104" s="776"/>
      <c r="B104" s="776" t="s">
        <v>2574</v>
      </c>
      <c r="C104" s="1804"/>
      <c r="D104" s="1847" t="s">
        <v>2551</v>
      </c>
      <c r="E104" s="1799">
        <v>4</v>
      </c>
      <c r="F104" s="1724" t="s">
        <v>808</v>
      </c>
      <c r="G104" s="1725" t="s">
        <v>2450</v>
      </c>
      <c r="H104" s="1712">
        <v>850</v>
      </c>
      <c r="I104" s="1801"/>
      <c r="J104" s="1801"/>
      <c r="K104" s="1802"/>
      <c r="L104" s="1817">
        <v>2000</v>
      </c>
      <c r="N104" s="1721"/>
      <c r="O104" s="1720"/>
    </row>
    <row r="105" spans="1:15" s="783" customFormat="1" ht="14.25" customHeight="1">
      <c r="A105" s="776"/>
      <c r="B105" s="776" t="s">
        <v>2574</v>
      </c>
      <c r="C105" s="1804"/>
      <c r="D105" s="1847" t="s">
        <v>2552</v>
      </c>
      <c r="E105" s="1799">
        <v>10</v>
      </c>
      <c r="F105" s="1724" t="s">
        <v>1571</v>
      </c>
      <c r="G105" s="1725" t="s">
        <v>2450</v>
      </c>
      <c r="H105" s="1712">
        <v>12000</v>
      </c>
      <c r="I105" s="1801"/>
      <c r="J105" s="1801"/>
      <c r="K105" s="1802"/>
      <c r="L105" s="1817">
        <v>5000</v>
      </c>
      <c r="N105" s="1721"/>
      <c r="O105" s="1720"/>
    </row>
    <row r="106" spans="1:15" s="783" customFormat="1" ht="14.25" customHeight="1">
      <c r="A106" s="776"/>
      <c r="B106" s="776" t="s">
        <v>2574</v>
      </c>
      <c r="C106" s="1804"/>
      <c r="D106" s="1847" t="s">
        <v>2553</v>
      </c>
      <c r="E106" s="1799">
        <v>1</v>
      </c>
      <c r="F106" s="1724" t="s">
        <v>1615</v>
      </c>
      <c r="G106" s="1725" t="s">
        <v>2450</v>
      </c>
      <c r="H106" s="1712">
        <v>685</v>
      </c>
      <c r="I106" s="1801"/>
      <c r="J106" s="1801"/>
      <c r="K106" s="1802"/>
      <c r="L106" s="1817">
        <v>1750</v>
      </c>
      <c r="N106" s="1721"/>
      <c r="O106" s="1720"/>
    </row>
    <row r="107" spans="1:15" s="783" customFormat="1" ht="14.25" customHeight="1">
      <c r="A107" s="776"/>
      <c r="B107" s="776" t="s">
        <v>2574</v>
      </c>
      <c r="C107" s="1804"/>
      <c r="D107" s="1848" t="s">
        <v>2554</v>
      </c>
      <c r="E107" s="1799">
        <v>3</v>
      </c>
      <c r="F107" s="1724" t="s">
        <v>2039</v>
      </c>
      <c r="G107" s="1725" t="s">
        <v>2450</v>
      </c>
      <c r="H107" s="1712">
        <v>3500</v>
      </c>
      <c r="I107" s="1801"/>
      <c r="J107" s="1801"/>
      <c r="K107" s="1802"/>
      <c r="L107" s="1817">
        <v>10500</v>
      </c>
      <c r="N107" s="1721"/>
      <c r="O107" s="1720"/>
    </row>
    <row r="108" spans="1:15" s="783" customFormat="1" ht="14.25" customHeight="1">
      <c r="A108" s="776"/>
      <c r="B108" s="776" t="s">
        <v>2574</v>
      </c>
      <c r="C108" s="1804"/>
      <c r="D108" s="1848" t="s">
        <v>2555</v>
      </c>
      <c r="E108" s="1799">
        <v>2</v>
      </c>
      <c r="F108" s="1724" t="s">
        <v>2039</v>
      </c>
      <c r="G108" s="1725" t="s">
        <v>2450</v>
      </c>
      <c r="H108" s="1712">
        <v>3500</v>
      </c>
      <c r="I108" s="1801"/>
      <c r="J108" s="1801"/>
      <c r="K108" s="1802"/>
      <c r="L108" s="1817">
        <v>7000</v>
      </c>
      <c r="N108" s="1721"/>
      <c r="O108" s="1720"/>
    </row>
    <row r="109" spans="1:15" s="783" customFormat="1" ht="14.25" customHeight="1">
      <c r="A109" s="776"/>
      <c r="B109" s="776" t="s">
        <v>2574</v>
      </c>
      <c r="C109" s="1804"/>
      <c r="D109" s="1847" t="s">
        <v>2556</v>
      </c>
      <c r="E109" s="1799">
        <v>5</v>
      </c>
      <c r="F109" s="1724" t="s">
        <v>1720</v>
      </c>
      <c r="G109" s="1725" t="s">
        <v>2450</v>
      </c>
      <c r="H109" s="1712">
        <v>300</v>
      </c>
      <c r="I109" s="1801"/>
      <c r="J109" s="1801"/>
      <c r="K109" s="1802"/>
      <c r="L109" s="1817">
        <v>1500</v>
      </c>
      <c r="N109" s="1721"/>
      <c r="O109" s="1720"/>
    </row>
    <row r="110" spans="1:15" s="783" customFormat="1" ht="14.25" customHeight="1">
      <c r="A110" s="776"/>
      <c r="B110" s="776" t="s">
        <v>2574</v>
      </c>
      <c r="C110" s="1804"/>
      <c r="D110" s="1847" t="s">
        <v>2557</v>
      </c>
      <c r="E110" s="1724">
        <v>2</v>
      </c>
      <c r="F110" s="1724" t="s">
        <v>1571</v>
      </c>
      <c r="G110" s="1725" t="s">
        <v>2450</v>
      </c>
      <c r="H110" s="1712">
        <v>565</v>
      </c>
      <c r="I110" s="1801"/>
      <c r="J110" s="1801"/>
      <c r="K110" s="1802"/>
      <c r="L110" s="1817">
        <v>1130</v>
      </c>
      <c r="N110" s="1721"/>
      <c r="O110" s="1720"/>
    </row>
    <row r="111" spans="1:15" s="783" customFormat="1" ht="14.25" customHeight="1">
      <c r="A111" s="776"/>
      <c r="B111" s="776" t="s">
        <v>2574</v>
      </c>
      <c r="C111" s="1804"/>
      <c r="D111" s="1847" t="s">
        <v>2558</v>
      </c>
      <c r="E111" s="1724">
        <v>1</v>
      </c>
      <c r="F111" s="1724" t="s">
        <v>1615</v>
      </c>
      <c r="G111" s="1725" t="s">
        <v>2450</v>
      </c>
      <c r="H111" s="1712">
        <v>7200</v>
      </c>
      <c r="I111" s="1801"/>
      <c r="J111" s="1801"/>
      <c r="K111" s="1802"/>
      <c r="L111" s="1817">
        <v>10000</v>
      </c>
      <c r="N111" s="1721"/>
      <c r="O111" s="1720"/>
    </row>
    <row r="112" spans="1:15" s="783" customFormat="1" ht="14.25" customHeight="1">
      <c r="A112" s="776"/>
      <c r="B112" s="776" t="s">
        <v>2574</v>
      </c>
      <c r="C112" s="1804"/>
      <c r="D112" s="1847" t="s">
        <v>2559</v>
      </c>
      <c r="E112" s="1724">
        <v>24</v>
      </c>
      <c r="F112" s="1724" t="s">
        <v>1615</v>
      </c>
      <c r="G112" s="1725" t="s">
        <v>2450</v>
      </c>
      <c r="H112" s="1712">
        <v>240</v>
      </c>
      <c r="I112" s="1801"/>
      <c r="J112" s="1801"/>
      <c r="K112" s="1802"/>
      <c r="L112" s="1817">
        <v>5760</v>
      </c>
      <c r="N112" s="1721"/>
      <c r="O112" s="1720"/>
    </row>
    <row r="113" spans="1:15" s="783" customFormat="1" ht="14.25" customHeight="1">
      <c r="A113" s="776"/>
      <c r="B113" s="776" t="s">
        <v>2574</v>
      </c>
      <c r="C113" s="1804"/>
      <c r="D113" s="1847" t="s">
        <v>2560</v>
      </c>
      <c r="E113" s="1724">
        <v>1</v>
      </c>
      <c r="F113" s="1724" t="s">
        <v>2039</v>
      </c>
      <c r="G113" s="1725" t="s">
        <v>2450</v>
      </c>
      <c r="H113" s="1712">
        <v>7500</v>
      </c>
      <c r="I113" s="1801"/>
      <c r="J113" s="1801"/>
      <c r="K113" s="1802"/>
      <c r="L113" s="1817">
        <v>7500</v>
      </c>
      <c r="N113" s="1721"/>
      <c r="O113" s="1720"/>
    </row>
    <row r="114" spans="1:15" s="783" customFormat="1" ht="14.25" customHeight="1">
      <c r="A114" s="776"/>
      <c r="B114" s="776" t="s">
        <v>2574</v>
      </c>
      <c r="C114" s="1804"/>
      <c r="D114" s="1806" t="s">
        <v>2561</v>
      </c>
      <c r="E114" s="1724">
        <v>1</v>
      </c>
      <c r="F114" s="1724" t="s">
        <v>2529</v>
      </c>
      <c r="G114" s="1725" t="s">
        <v>2450</v>
      </c>
      <c r="H114" s="1712">
        <v>7000</v>
      </c>
      <c r="I114" s="1801"/>
      <c r="J114" s="1801"/>
      <c r="K114" s="1802"/>
      <c r="L114" s="1817">
        <v>10000</v>
      </c>
      <c r="N114" s="1721"/>
      <c r="O114" s="1720"/>
    </row>
    <row r="115" spans="1:15" s="783" customFormat="1" ht="14.25" customHeight="1">
      <c r="A115" s="776"/>
      <c r="B115" s="776" t="s">
        <v>2574</v>
      </c>
      <c r="C115" s="1804"/>
      <c r="D115" s="1806" t="s">
        <v>2562</v>
      </c>
      <c r="E115" s="1724">
        <v>2</v>
      </c>
      <c r="F115" s="1724" t="s">
        <v>2529</v>
      </c>
      <c r="G115" s="1725" t="s">
        <v>2450</v>
      </c>
      <c r="H115" s="1712">
        <v>6000</v>
      </c>
      <c r="I115" s="1801"/>
      <c r="J115" s="1801"/>
      <c r="K115" s="1802"/>
      <c r="L115" s="1817">
        <v>16280</v>
      </c>
      <c r="N115" s="1721"/>
      <c r="O115" s="1720"/>
    </row>
    <row r="116" spans="1:15" s="783" customFormat="1" ht="14.25" customHeight="1">
      <c r="A116" s="776"/>
      <c r="B116" s="776" t="s">
        <v>2574</v>
      </c>
      <c r="C116" s="1804"/>
      <c r="D116" s="1806" t="s">
        <v>2563</v>
      </c>
      <c r="E116" s="1724">
        <v>25</v>
      </c>
      <c r="F116" s="1724" t="s">
        <v>2039</v>
      </c>
      <c r="G116" s="1725" t="s">
        <v>2450</v>
      </c>
      <c r="H116" s="1712">
        <v>400</v>
      </c>
      <c r="I116" s="1801"/>
      <c r="J116" s="1801"/>
      <c r="K116" s="1802"/>
      <c r="L116" s="1817">
        <v>10000</v>
      </c>
      <c r="N116" s="1721"/>
      <c r="O116" s="1720"/>
    </row>
    <row r="117" spans="1:15" s="783" customFormat="1" ht="14.25" customHeight="1">
      <c r="A117" s="776"/>
      <c r="B117" s="776" t="s">
        <v>2574</v>
      </c>
      <c r="C117" s="1804"/>
      <c r="D117" s="1849" t="s">
        <v>2564</v>
      </c>
      <c r="E117" s="1724">
        <v>3</v>
      </c>
      <c r="F117" s="1724" t="s">
        <v>1841</v>
      </c>
      <c r="G117" s="1725" t="s">
        <v>2450</v>
      </c>
      <c r="H117" s="1712">
        <v>500</v>
      </c>
      <c r="I117" s="1801"/>
      <c r="J117" s="1801"/>
      <c r="K117" s="1802"/>
      <c r="L117" s="1817">
        <v>1500</v>
      </c>
      <c r="N117" s="1721"/>
      <c r="O117" s="1720"/>
    </row>
    <row r="118" spans="1:15" s="783" customFormat="1" ht="14.25" customHeight="1">
      <c r="A118" s="776"/>
      <c r="B118" s="776" t="s">
        <v>2574</v>
      </c>
      <c r="C118" s="1804"/>
      <c r="D118" s="1806" t="s">
        <v>2565</v>
      </c>
      <c r="E118" s="1724">
        <v>5</v>
      </c>
      <c r="F118" s="1724" t="s">
        <v>1615</v>
      </c>
      <c r="G118" s="1725" t="s">
        <v>2450</v>
      </c>
      <c r="H118" s="1712">
        <v>8000</v>
      </c>
      <c r="I118" s="1801"/>
      <c r="J118" s="1801"/>
      <c r="K118" s="1802"/>
      <c r="L118" s="1727">
        <v>48950</v>
      </c>
      <c r="N118" s="1721"/>
      <c r="O118" s="1720"/>
    </row>
    <row r="119" spans="1:15" s="783" customFormat="1" ht="14.25" customHeight="1">
      <c r="A119" s="776"/>
      <c r="B119" s="776" t="s">
        <v>2574</v>
      </c>
      <c r="C119" s="1804"/>
      <c r="D119" s="1806" t="s">
        <v>2566</v>
      </c>
      <c r="E119" s="1724">
        <v>50</v>
      </c>
      <c r="F119" s="1724" t="s">
        <v>1571</v>
      </c>
      <c r="G119" s="1850" t="s">
        <v>2567</v>
      </c>
      <c r="H119" s="1712">
        <v>250</v>
      </c>
      <c r="I119" s="1801"/>
      <c r="J119" s="1801"/>
      <c r="K119" s="1802"/>
      <c r="L119" s="1727">
        <v>27500</v>
      </c>
      <c r="N119" s="1721"/>
      <c r="O119" s="1720"/>
    </row>
    <row r="120" spans="1:15" s="783" customFormat="1" ht="14.25" customHeight="1">
      <c r="A120" s="776"/>
      <c r="B120" s="776" t="s">
        <v>2574</v>
      </c>
      <c r="C120" s="1804"/>
      <c r="D120" s="1806" t="s">
        <v>2568</v>
      </c>
      <c r="E120" s="1724">
        <v>5</v>
      </c>
      <c r="F120" s="1724" t="s">
        <v>1615</v>
      </c>
      <c r="G120" s="1725" t="s">
        <v>2450</v>
      </c>
      <c r="H120" s="1712">
        <v>195</v>
      </c>
      <c r="I120" s="1801"/>
      <c r="J120" s="1801"/>
      <c r="K120" s="1802"/>
      <c r="L120" s="1727">
        <v>1400</v>
      </c>
      <c r="N120" s="1721"/>
      <c r="O120" s="1720"/>
    </row>
    <row r="121" spans="1:15" s="783" customFormat="1" ht="14.25" customHeight="1">
      <c r="A121" s="776"/>
      <c r="B121" s="776" t="s">
        <v>2574</v>
      </c>
      <c r="C121" s="1804"/>
      <c r="D121" s="1806" t="s">
        <v>2569</v>
      </c>
      <c r="E121" s="1724">
        <v>2</v>
      </c>
      <c r="F121" s="1724" t="s">
        <v>1057</v>
      </c>
      <c r="G121" s="1725" t="s">
        <v>2450</v>
      </c>
      <c r="H121" s="1712">
        <v>850</v>
      </c>
      <c r="I121" s="1801"/>
      <c r="J121" s="1801"/>
      <c r="K121" s="1802"/>
      <c r="L121" s="1727">
        <v>1700</v>
      </c>
      <c r="N121" s="1721"/>
      <c r="O121" s="1720"/>
    </row>
    <row r="122" spans="1:15" s="783" customFormat="1" ht="14.25" customHeight="1">
      <c r="A122" s="776"/>
      <c r="B122" s="776" t="s">
        <v>2574</v>
      </c>
      <c r="C122" s="1804"/>
      <c r="D122" s="1806" t="s">
        <v>2570</v>
      </c>
      <c r="E122" s="1724">
        <v>2</v>
      </c>
      <c r="F122" s="1724" t="s">
        <v>1057</v>
      </c>
      <c r="G122" s="1725" t="s">
        <v>2450</v>
      </c>
      <c r="H122" s="1712">
        <v>850</v>
      </c>
      <c r="I122" s="1801"/>
      <c r="J122" s="1801"/>
      <c r="K122" s="1802"/>
      <c r="L122" s="1727">
        <v>1700</v>
      </c>
      <c r="N122" s="1721"/>
      <c r="O122" s="1720"/>
    </row>
    <row r="123" spans="1:15" s="783" customFormat="1" ht="14.25" customHeight="1">
      <c r="A123" s="776"/>
      <c r="B123" s="776" t="s">
        <v>2574</v>
      </c>
      <c r="C123" s="1804"/>
      <c r="D123" s="1806" t="s">
        <v>2571</v>
      </c>
      <c r="E123" s="1724">
        <v>1</v>
      </c>
      <c r="F123" s="1724" t="s">
        <v>1057</v>
      </c>
      <c r="G123" s="1725" t="s">
        <v>2450</v>
      </c>
      <c r="H123" s="1712">
        <v>10000</v>
      </c>
      <c r="I123" s="1801"/>
      <c r="J123" s="1801"/>
      <c r="K123" s="1802"/>
      <c r="L123" s="1727">
        <v>10000</v>
      </c>
      <c r="N123" s="1721"/>
      <c r="O123" s="1720"/>
    </row>
    <row r="124" spans="1:15" s="783" customFormat="1" ht="14.25" customHeight="1">
      <c r="A124" s="776"/>
      <c r="B124" s="776" t="s">
        <v>2574</v>
      </c>
      <c r="C124" s="1804"/>
      <c r="D124" s="1806" t="s">
        <v>2572</v>
      </c>
      <c r="E124" s="1724">
        <v>1</v>
      </c>
      <c r="F124" s="1724" t="s">
        <v>1057</v>
      </c>
      <c r="G124" s="1725" t="s">
        <v>2450</v>
      </c>
      <c r="H124" s="1712">
        <v>10000</v>
      </c>
      <c r="I124" s="1801"/>
      <c r="J124" s="1801"/>
      <c r="K124" s="1802"/>
      <c r="L124" s="1727">
        <v>10000</v>
      </c>
      <c r="N124" s="1721"/>
      <c r="O124" s="1720"/>
    </row>
    <row r="125" spans="1:15" s="783" customFormat="1" ht="14.25" customHeight="1">
      <c r="A125" s="776"/>
      <c r="B125" s="776" t="s">
        <v>2574</v>
      </c>
      <c r="C125" s="1755"/>
      <c r="D125" s="1767"/>
      <c r="E125" s="1746"/>
      <c r="F125" s="1746"/>
      <c r="G125" s="1747"/>
      <c r="H125" s="1748"/>
      <c r="I125" s="1784"/>
      <c r="J125" s="1756"/>
      <c r="K125" s="1750"/>
      <c r="L125" s="1757"/>
      <c r="N125" s="1240"/>
    </row>
    <row r="126" spans="1:15" s="783" customFormat="1" ht="91.5" customHeight="1">
      <c r="A126" s="776"/>
      <c r="B126" s="776" t="s">
        <v>2574</v>
      </c>
      <c r="C126" s="1785"/>
      <c r="D126" s="1786" t="s">
        <v>2</v>
      </c>
      <c r="E126" s="1787"/>
      <c r="F126" s="1788"/>
      <c r="G126" s="1712" t="s">
        <v>1</v>
      </c>
      <c r="H126" s="1790">
        <v>46113</v>
      </c>
      <c r="I126" s="1790">
        <v>46143</v>
      </c>
      <c r="J126" s="1790">
        <v>46143</v>
      </c>
      <c r="K126" s="1791" t="s">
        <v>2216</v>
      </c>
      <c r="L126" s="1792"/>
      <c r="M126" s="1715" t="s">
        <v>2446</v>
      </c>
      <c r="N126" s="1791"/>
    </row>
    <row r="127" spans="1:15" s="783" customFormat="1">
      <c r="A127" s="776"/>
      <c r="B127" s="776" t="s">
        <v>2574</v>
      </c>
      <c r="C127" s="2756" t="s">
        <v>2573</v>
      </c>
      <c r="D127" s="1851" t="s">
        <v>2448</v>
      </c>
      <c r="E127" s="1719">
        <v>700</v>
      </c>
      <c r="F127" s="1852" t="s">
        <v>2449</v>
      </c>
      <c r="G127" s="1725" t="s">
        <v>2450</v>
      </c>
      <c r="H127" s="1790"/>
      <c r="I127" s="1790"/>
      <c r="J127" s="1713"/>
      <c r="K127" s="1796"/>
      <c r="L127" s="1345">
        <v>420000</v>
      </c>
      <c r="M127" s="1715"/>
      <c r="N127" s="1716"/>
    </row>
    <row r="128" spans="1:15" s="783" customFormat="1">
      <c r="A128" s="776"/>
      <c r="B128" s="776" t="s">
        <v>2574</v>
      </c>
      <c r="C128" s="2757"/>
      <c r="D128" s="1853" t="s">
        <v>2451</v>
      </c>
      <c r="E128" s="1719">
        <v>250</v>
      </c>
      <c r="F128" s="1854" t="s">
        <v>1571</v>
      </c>
      <c r="G128" s="1789" t="s">
        <v>2450</v>
      </c>
      <c r="H128" s="1800"/>
      <c r="I128" s="1800"/>
      <c r="J128" s="1800"/>
      <c r="K128" s="1796"/>
      <c r="L128" s="1855">
        <v>7500</v>
      </c>
      <c r="M128" s="1721"/>
      <c r="N128" s="1720"/>
    </row>
    <row r="129" spans="1:14" s="783" customFormat="1">
      <c r="A129" s="776"/>
      <c r="B129" s="776" t="s">
        <v>2574</v>
      </c>
      <c r="C129" s="2757"/>
      <c r="D129" s="1853" t="s">
        <v>2452</v>
      </c>
      <c r="E129" s="1719">
        <v>250</v>
      </c>
      <c r="F129" s="1854" t="s">
        <v>1571</v>
      </c>
      <c r="G129" s="1725" t="s">
        <v>2450</v>
      </c>
      <c r="H129" s="1801"/>
      <c r="I129" s="1801"/>
      <c r="J129" s="1802"/>
      <c r="K129" s="1801"/>
      <c r="L129" s="1855">
        <v>7500</v>
      </c>
      <c r="M129" s="1721"/>
      <c r="N129" s="1720"/>
    </row>
    <row r="130" spans="1:14" s="783" customFormat="1">
      <c r="A130" s="776"/>
      <c r="B130" s="776" t="s">
        <v>2574</v>
      </c>
      <c r="C130" s="2757"/>
      <c r="D130" s="1853" t="s">
        <v>2453</v>
      </c>
      <c r="E130" s="1719">
        <v>10</v>
      </c>
      <c r="F130" s="1854" t="s">
        <v>2039</v>
      </c>
      <c r="G130" s="1725" t="s">
        <v>2450</v>
      </c>
      <c r="H130" s="1801"/>
      <c r="I130" s="1801"/>
      <c r="J130" s="1802"/>
      <c r="K130" s="1801"/>
      <c r="L130" s="1345">
        <v>36400</v>
      </c>
      <c r="M130" s="1721"/>
      <c r="N130" s="1720"/>
    </row>
    <row r="131" spans="1:14" s="783" customFormat="1">
      <c r="A131" s="776"/>
      <c r="B131" s="776" t="s">
        <v>2574</v>
      </c>
      <c r="C131" s="2757"/>
      <c r="D131" s="1853" t="s">
        <v>2454</v>
      </c>
      <c r="E131" s="1719">
        <v>10</v>
      </c>
      <c r="F131" s="1852" t="s">
        <v>2039</v>
      </c>
      <c r="G131" s="1725" t="s">
        <v>2450</v>
      </c>
      <c r="H131" s="1801"/>
      <c r="I131" s="1801"/>
      <c r="J131" s="1802"/>
      <c r="K131" s="1801"/>
      <c r="L131" s="1345">
        <v>36400</v>
      </c>
      <c r="M131" s="1721"/>
      <c r="N131" s="1720"/>
    </row>
    <row r="132" spans="1:14" s="783" customFormat="1">
      <c r="A132" s="776"/>
      <c r="B132" s="776" t="s">
        <v>2574</v>
      </c>
      <c r="C132" s="2757"/>
      <c r="D132" s="1853" t="s">
        <v>2455</v>
      </c>
      <c r="E132" s="1719">
        <v>20</v>
      </c>
      <c r="F132" s="1854" t="s">
        <v>2039</v>
      </c>
      <c r="G132" s="1725" t="s">
        <v>2450</v>
      </c>
      <c r="H132" s="1801"/>
      <c r="I132" s="1801"/>
      <c r="J132" s="1802"/>
      <c r="K132" s="1801"/>
      <c r="L132" s="1345">
        <v>72800</v>
      </c>
      <c r="M132" s="1721"/>
      <c r="N132" s="1720"/>
    </row>
    <row r="133" spans="1:14" s="783" customFormat="1">
      <c r="A133" s="776"/>
      <c r="B133" s="776" t="s">
        <v>2574</v>
      </c>
      <c r="C133" s="2758"/>
      <c r="D133" s="1853" t="s">
        <v>2456</v>
      </c>
      <c r="E133" s="1719">
        <v>10</v>
      </c>
      <c r="F133" s="1854" t="s">
        <v>2039</v>
      </c>
      <c r="G133" s="1725" t="s">
        <v>2450</v>
      </c>
      <c r="H133" s="1801"/>
      <c r="I133" s="1801"/>
      <c r="J133" s="1802"/>
      <c r="K133" s="1801"/>
      <c r="L133" s="1345">
        <v>36400</v>
      </c>
      <c r="M133" s="1721"/>
      <c r="N133" s="1720"/>
    </row>
    <row r="134" spans="1:14" s="783" customFormat="1" ht="36" customHeight="1">
      <c r="A134" s="776"/>
      <c r="B134" s="776" t="s">
        <v>2574</v>
      </c>
      <c r="C134" s="1856"/>
      <c r="D134" s="1853" t="s">
        <v>2457</v>
      </c>
      <c r="E134" s="1719">
        <v>10</v>
      </c>
      <c r="F134" s="1854" t="s">
        <v>2039</v>
      </c>
      <c r="G134" s="1725" t="s">
        <v>2450</v>
      </c>
      <c r="H134" s="1801"/>
      <c r="I134" s="1801"/>
      <c r="J134" s="1802"/>
      <c r="K134" s="1801"/>
      <c r="L134" s="1345">
        <v>36400</v>
      </c>
      <c r="M134" s="1721"/>
      <c r="N134" s="1720"/>
    </row>
    <row r="135" spans="1:14" s="783" customFormat="1" ht="33" customHeight="1">
      <c r="A135" s="776"/>
      <c r="B135" s="776" t="s">
        <v>2574</v>
      </c>
      <c r="C135" s="1718" t="s">
        <v>704</v>
      </c>
      <c r="D135" s="1853" t="s">
        <v>2458</v>
      </c>
      <c r="E135" s="1719">
        <v>500</v>
      </c>
      <c r="F135" s="1854" t="s">
        <v>1571</v>
      </c>
      <c r="G135" s="1725" t="s">
        <v>2450</v>
      </c>
      <c r="H135" s="1801"/>
      <c r="I135" s="1801"/>
      <c r="J135" s="1802"/>
      <c r="K135" s="1801"/>
      <c r="L135" s="1855">
        <v>32500</v>
      </c>
      <c r="M135" s="1721"/>
      <c r="N135" s="1720"/>
    </row>
    <row r="136" spans="1:14" s="783" customFormat="1" ht="32.25" customHeight="1">
      <c r="A136" s="776"/>
      <c r="B136" s="776" t="s">
        <v>2574</v>
      </c>
      <c r="C136" s="1856"/>
      <c r="D136" s="1853" t="s">
        <v>2459</v>
      </c>
      <c r="E136" s="1719">
        <v>500</v>
      </c>
      <c r="F136" s="1719" t="s">
        <v>1571</v>
      </c>
      <c r="G136" s="1725" t="s">
        <v>2450</v>
      </c>
      <c r="H136" s="1801"/>
      <c r="I136" s="1801"/>
      <c r="J136" s="1802"/>
      <c r="K136" s="1801"/>
      <c r="L136" s="1855">
        <v>32500</v>
      </c>
      <c r="M136" s="1721"/>
      <c r="N136" s="1720"/>
    </row>
    <row r="137" spans="1:14" s="783" customFormat="1" ht="32.25" customHeight="1">
      <c r="A137" s="776"/>
      <c r="B137" s="776" t="s">
        <v>2574</v>
      </c>
      <c r="C137" s="1856"/>
      <c r="D137" s="1857" t="s">
        <v>2460</v>
      </c>
      <c r="E137" s="1719">
        <v>250</v>
      </c>
      <c r="F137" s="1719" t="s">
        <v>1571</v>
      </c>
      <c r="G137" s="1789" t="s">
        <v>2450</v>
      </c>
      <c r="H137" s="1801"/>
      <c r="I137" s="1801"/>
      <c r="J137" s="1802"/>
      <c r="K137" s="1801"/>
      <c r="L137" s="1855">
        <v>25000</v>
      </c>
      <c r="M137" s="1721"/>
      <c r="N137" s="1720"/>
    </row>
    <row r="138" spans="1:14" s="783" customFormat="1" ht="35.25" customHeight="1">
      <c r="A138" s="776"/>
      <c r="B138" s="776" t="s">
        <v>2574</v>
      </c>
      <c r="C138" s="1856"/>
      <c r="D138" s="1857" t="s">
        <v>2461</v>
      </c>
      <c r="E138" s="1719">
        <v>100</v>
      </c>
      <c r="F138" s="1858" t="s">
        <v>778</v>
      </c>
      <c r="G138" s="1725" t="s">
        <v>2450</v>
      </c>
      <c r="H138" s="1801"/>
      <c r="I138" s="1801"/>
      <c r="J138" s="1802"/>
      <c r="K138" s="1801"/>
      <c r="L138" s="1345">
        <v>25000</v>
      </c>
      <c r="M138" s="1721"/>
      <c r="N138" s="1720"/>
    </row>
    <row r="139" spans="1:14" s="783" customFormat="1" ht="33.75" customHeight="1">
      <c r="A139" s="776"/>
      <c r="B139" s="776" t="s">
        <v>2574</v>
      </c>
      <c r="C139" s="1856"/>
      <c r="D139" s="1857" t="s">
        <v>2575</v>
      </c>
      <c r="E139" s="1719">
        <v>25</v>
      </c>
      <c r="F139" s="1719" t="s">
        <v>1571</v>
      </c>
      <c r="G139" s="1725" t="s">
        <v>2450</v>
      </c>
      <c r="H139" s="1801"/>
      <c r="I139" s="1801"/>
      <c r="J139" s="1802"/>
      <c r="K139" s="1801"/>
      <c r="L139" s="1345">
        <v>1875</v>
      </c>
      <c r="M139" s="1721"/>
      <c r="N139" s="1720"/>
    </row>
    <row r="140" spans="1:14" s="783" customFormat="1" ht="39" customHeight="1">
      <c r="A140" s="776"/>
      <c r="B140" s="776" t="s">
        <v>2574</v>
      </c>
      <c r="C140" s="1856"/>
      <c r="D140" s="1857" t="s">
        <v>2463</v>
      </c>
      <c r="E140" s="1719">
        <v>15</v>
      </c>
      <c r="F140" s="1858" t="s">
        <v>778</v>
      </c>
      <c r="G140" s="1725" t="s">
        <v>2450</v>
      </c>
      <c r="H140" s="1801"/>
      <c r="I140" s="1801"/>
      <c r="J140" s="1802"/>
      <c r="K140" s="1801"/>
      <c r="L140" s="1345">
        <v>7500</v>
      </c>
      <c r="M140" s="1721"/>
      <c r="N140" s="1720"/>
    </row>
    <row r="141" spans="1:14" s="783" customFormat="1" ht="33.75" customHeight="1">
      <c r="A141" s="776"/>
      <c r="B141" s="776" t="s">
        <v>2574</v>
      </c>
      <c r="C141" s="1856"/>
      <c r="D141" s="1859" t="s">
        <v>2576</v>
      </c>
      <c r="E141" s="1719">
        <v>50</v>
      </c>
      <c r="F141" s="1719" t="s">
        <v>1571</v>
      </c>
      <c r="G141" s="1725" t="s">
        <v>2450</v>
      </c>
      <c r="H141" s="1801"/>
      <c r="I141" s="1801"/>
      <c r="J141" s="1802"/>
      <c r="K141" s="1801"/>
      <c r="L141" s="1345">
        <v>10000</v>
      </c>
      <c r="M141" s="1721"/>
      <c r="N141" s="1720"/>
    </row>
    <row r="142" spans="1:14" s="783" customFormat="1" ht="35.25" customHeight="1">
      <c r="A142" s="776"/>
      <c r="B142" s="776" t="s">
        <v>2574</v>
      </c>
      <c r="C142" s="1856"/>
      <c r="D142" s="1859" t="s">
        <v>2577</v>
      </c>
      <c r="E142" s="1719">
        <v>10</v>
      </c>
      <c r="F142" s="1719" t="s">
        <v>1571</v>
      </c>
      <c r="G142" s="1725" t="s">
        <v>2450</v>
      </c>
      <c r="H142" s="1801"/>
      <c r="I142" s="1801"/>
      <c r="J142" s="1802"/>
      <c r="K142" s="1801"/>
      <c r="L142" s="1345">
        <v>700</v>
      </c>
      <c r="M142" s="1721"/>
      <c r="N142" s="1720"/>
    </row>
    <row r="143" spans="1:14" s="783" customFormat="1" ht="30" customHeight="1">
      <c r="A143" s="776"/>
      <c r="B143" s="776" t="s">
        <v>2574</v>
      </c>
      <c r="C143" s="1856"/>
      <c r="D143" s="1722" t="s">
        <v>2578</v>
      </c>
      <c r="E143" s="1719">
        <v>10</v>
      </c>
      <c r="F143" s="1719" t="s">
        <v>1571</v>
      </c>
      <c r="G143" s="1725" t="s">
        <v>2450</v>
      </c>
      <c r="H143" s="1801"/>
      <c r="I143" s="1801"/>
      <c r="J143" s="1802"/>
      <c r="K143" s="1801"/>
      <c r="L143" s="1345">
        <v>700</v>
      </c>
      <c r="M143" s="1721"/>
      <c r="N143" s="1720"/>
    </row>
    <row r="144" spans="1:14" s="783" customFormat="1" ht="34.5" customHeight="1">
      <c r="A144" s="776"/>
      <c r="B144" s="776" t="s">
        <v>2574</v>
      </c>
      <c r="C144" s="1856"/>
      <c r="D144" s="1859" t="s">
        <v>2579</v>
      </c>
      <c r="E144" s="1719">
        <v>10</v>
      </c>
      <c r="F144" s="1719" t="s">
        <v>1571</v>
      </c>
      <c r="G144" s="1725" t="s">
        <v>2450</v>
      </c>
      <c r="H144" s="1801"/>
      <c r="I144" s="1801"/>
      <c r="J144" s="1802"/>
      <c r="K144" s="1801"/>
      <c r="L144" s="1345">
        <v>700</v>
      </c>
      <c r="M144" s="1721"/>
      <c r="N144" s="1720"/>
    </row>
    <row r="145" spans="1:14" s="783" customFormat="1" ht="33" customHeight="1">
      <c r="A145" s="776"/>
      <c r="B145" s="776" t="s">
        <v>2574</v>
      </c>
      <c r="C145" s="1856"/>
      <c r="D145" s="1859" t="s">
        <v>2464</v>
      </c>
      <c r="E145" s="1719">
        <v>25</v>
      </c>
      <c r="F145" s="1719" t="s">
        <v>1571</v>
      </c>
      <c r="G145" s="1789" t="s">
        <v>2450</v>
      </c>
      <c r="H145" s="1801"/>
      <c r="I145" s="1801"/>
      <c r="J145" s="1802"/>
      <c r="K145" s="1801"/>
      <c r="L145" s="1345">
        <v>6250</v>
      </c>
      <c r="M145" s="1721"/>
      <c r="N145" s="1720"/>
    </row>
    <row r="146" spans="1:14" s="783" customFormat="1" ht="36" customHeight="1">
      <c r="A146" s="776"/>
      <c r="B146" s="776" t="s">
        <v>2574</v>
      </c>
      <c r="C146" s="1856"/>
      <c r="D146" s="1853" t="s">
        <v>2580</v>
      </c>
      <c r="E146" s="1719">
        <v>2</v>
      </c>
      <c r="F146" s="1719" t="s">
        <v>2039</v>
      </c>
      <c r="G146" s="1725" t="s">
        <v>2450</v>
      </c>
      <c r="H146" s="1801"/>
      <c r="I146" s="1801"/>
      <c r="J146" s="1802"/>
      <c r="K146" s="1801"/>
      <c r="L146" s="1345">
        <v>7000</v>
      </c>
      <c r="M146" s="1721"/>
      <c r="N146" s="1720"/>
    </row>
    <row r="147" spans="1:14" s="783" customFormat="1" ht="32.25" customHeight="1">
      <c r="A147" s="776"/>
      <c r="B147" s="776" t="s">
        <v>2574</v>
      </c>
      <c r="C147" s="1856"/>
      <c r="D147" s="1853" t="s">
        <v>2466</v>
      </c>
      <c r="E147" s="1719">
        <v>5</v>
      </c>
      <c r="F147" s="1719" t="s">
        <v>2039</v>
      </c>
      <c r="G147" s="1725" t="s">
        <v>2450</v>
      </c>
      <c r="H147" s="1801"/>
      <c r="I147" s="1801"/>
      <c r="J147" s="1802"/>
      <c r="K147" s="1801"/>
      <c r="L147" s="1345">
        <v>17500</v>
      </c>
      <c r="M147" s="1721"/>
      <c r="N147" s="1720"/>
    </row>
    <row r="148" spans="1:14" s="783" customFormat="1" ht="35.25" customHeight="1">
      <c r="A148" s="776"/>
      <c r="B148" s="776" t="s">
        <v>2574</v>
      </c>
      <c r="C148" s="1856"/>
      <c r="D148" s="1853" t="s">
        <v>2581</v>
      </c>
      <c r="E148" s="1719">
        <v>10</v>
      </c>
      <c r="F148" s="1719" t="s">
        <v>2039</v>
      </c>
      <c r="G148" s="1725" t="s">
        <v>2450</v>
      </c>
      <c r="H148" s="1801"/>
      <c r="I148" s="1801"/>
      <c r="J148" s="1802"/>
      <c r="K148" s="1801"/>
      <c r="L148" s="1345">
        <v>35000</v>
      </c>
      <c r="M148" s="1721"/>
      <c r="N148" s="1720"/>
    </row>
    <row r="149" spans="1:14" s="783" customFormat="1" ht="33" customHeight="1">
      <c r="A149" s="776"/>
      <c r="B149" s="776" t="s">
        <v>2574</v>
      </c>
      <c r="C149" s="1856"/>
      <c r="D149" s="1857" t="s">
        <v>2582</v>
      </c>
      <c r="E149" s="1719">
        <v>6</v>
      </c>
      <c r="F149" s="1719" t="s">
        <v>1571</v>
      </c>
      <c r="G149" s="1725" t="s">
        <v>2450</v>
      </c>
      <c r="H149" s="1801"/>
      <c r="I149" s="1801"/>
      <c r="J149" s="1802"/>
      <c r="K149" s="1801"/>
      <c r="L149" s="1345">
        <v>9000</v>
      </c>
      <c r="M149" s="1721"/>
      <c r="N149" s="1720"/>
    </row>
    <row r="150" spans="1:14" s="783" customFormat="1" ht="36" customHeight="1">
      <c r="A150" s="776"/>
      <c r="B150" s="776" t="s">
        <v>2574</v>
      </c>
      <c r="C150" s="1856"/>
      <c r="D150" s="1857" t="s">
        <v>2583</v>
      </c>
      <c r="E150" s="1719">
        <v>6</v>
      </c>
      <c r="F150" s="1719" t="s">
        <v>1571</v>
      </c>
      <c r="G150" s="1725" t="s">
        <v>2450</v>
      </c>
      <c r="H150" s="1801"/>
      <c r="I150" s="1801"/>
      <c r="J150" s="1802"/>
      <c r="K150" s="1801"/>
      <c r="L150" s="1345">
        <v>9000</v>
      </c>
      <c r="M150" s="1721"/>
      <c r="N150" s="1720"/>
    </row>
    <row r="151" spans="1:14" s="783" customFormat="1" ht="34.5" customHeight="1">
      <c r="A151" s="776"/>
      <c r="B151" s="776" t="s">
        <v>2574</v>
      </c>
      <c r="C151" s="1856"/>
      <c r="D151" s="1857" t="s">
        <v>2584</v>
      </c>
      <c r="E151" s="1719">
        <v>6</v>
      </c>
      <c r="F151" s="1719" t="s">
        <v>1571</v>
      </c>
      <c r="G151" s="1725" t="s">
        <v>2450</v>
      </c>
      <c r="H151" s="1801"/>
      <c r="I151" s="1801"/>
      <c r="J151" s="1802"/>
      <c r="K151" s="1801"/>
      <c r="L151" s="1345">
        <v>1200</v>
      </c>
      <c r="M151" s="1721"/>
      <c r="N151" s="1720"/>
    </row>
    <row r="152" spans="1:14" s="783" customFormat="1" ht="29.25" customHeight="1">
      <c r="A152" s="776"/>
      <c r="B152" s="776" t="s">
        <v>2574</v>
      </c>
      <c r="C152" s="1856"/>
      <c r="D152" s="1857" t="s">
        <v>2585</v>
      </c>
      <c r="E152" s="1719">
        <v>6</v>
      </c>
      <c r="F152" s="1719" t="s">
        <v>1571</v>
      </c>
      <c r="G152" s="1725" t="s">
        <v>2450</v>
      </c>
      <c r="H152" s="1801"/>
      <c r="I152" s="1801"/>
      <c r="J152" s="1802"/>
      <c r="K152" s="1801"/>
      <c r="L152" s="1860">
        <v>1200</v>
      </c>
      <c r="M152" s="1721"/>
      <c r="N152" s="1720"/>
    </row>
    <row r="153" spans="1:14" s="783" customFormat="1" ht="32.25" customHeight="1">
      <c r="A153" s="776"/>
      <c r="B153" s="776" t="s">
        <v>2574</v>
      </c>
      <c r="C153" s="1856"/>
      <c r="D153" s="1857" t="s">
        <v>2586</v>
      </c>
      <c r="E153" s="1719">
        <v>6</v>
      </c>
      <c r="F153" s="1719" t="s">
        <v>1571</v>
      </c>
      <c r="G153" s="1725" t="s">
        <v>2450</v>
      </c>
      <c r="H153" s="1801"/>
      <c r="I153" s="1801"/>
      <c r="J153" s="1802"/>
      <c r="K153" s="1801"/>
      <c r="L153" s="1860">
        <v>1200</v>
      </c>
      <c r="M153" s="1721"/>
      <c r="N153" s="1720"/>
    </row>
    <row r="154" spans="1:14" s="783" customFormat="1" ht="33" customHeight="1">
      <c r="A154" s="776"/>
      <c r="B154" s="776" t="s">
        <v>2574</v>
      </c>
      <c r="C154" s="1856"/>
      <c r="D154" s="1857" t="s">
        <v>2470</v>
      </c>
      <c r="E154" s="1719">
        <v>5</v>
      </c>
      <c r="F154" s="1719" t="s">
        <v>2039</v>
      </c>
      <c r="G154" s="1789" t="s">
        <v>2450</v>
      </c>
      <c r="H154" s="1801"/>
      <c r="I154" s="1801"/>
      <c r="J154" s="1802"/>
      <c r="K154" s="1801"/>
      <c r="L154" s="1860">
        <v>4150</v>
      </c>
      <c r="M154" s="1721"/>
      <c r="N154" s="1720"/>
    </row>
    <row r="155" spans="1:14" s="783" customFormat="1" ht="31.5" customHeight="1">
      <c r="A155" s="776"/>
      <c r="B155" s="776" t="s">
        <v>2574</v>
      </c>
      <c r="C155" s="1856"/>
      <c r="D155" s="1857" t="s">
        <v>2471</v>
      </c>
      <c r="E155" s="1719">
        <v>10</v>
      </c>
      <c r="F155" s="1719" t="s">
        <v>2039</v>
      </c>
      <c r="G155" s="1725" t="s">
        <v>2450</v>
      </c>
      <c r="H155" s="1801"/>
      <c r="I155" s="1801"/>
      <c r="J155" s="1802"/>
      <c r="K155" s="1801"/>
      <c r="L155" s="1860">
        <v>8300</v>
      </c>
      <c r="M155" s="1721"/>
      <c r="N155" s="1720"/>
    </row>
    <row r="156" spans="1:14" s="783" customFormat="1" ht="33" customHeight="1">
      <c r="A156" s="776"/>
      <c r="B156" s="776" t="s">
        <v>2574</v>
      </c>
      <c r="C156" s="1856"/>
      <c r="D156" s="1857" t="s">
        <v>2472</v>
      </c>
      <c r="E156" s="1719">
        <v>20</v>
      </c>
      <c r="F156" s="1719" t="s">
        <v>2039</v>
      </c>
      <c r="G156" s="1725" t="s">
        <v>2450</v>
      </c>
      <c r="H156" s="1801"/>
      <c r="I156" s="1801"/>
      <c r="J156" s="1802"/>
      <c r="K156" s="1801"/>
      <c r="L156" s="1860">
        <v>16600</v>
      </c>
      <c r="M156" s="1721"/>
      <c r="N156" s="1720"/>
    </row>
    <row r="157" spans="1:14" s="783" customFormat="1" ht="37.5" customHeight="1">
      <c r="A157" s="776"/>
      <c r="B157" s="776" t="s">
        <v>2574</v>
      </c>
      <c r="C157" s="1856"/>
      <c r="D157" s="1857" t="s">
        <v>2587</v>
      </c>
      <c r="E157" s="1719">
        <v>5</v>
      </c>
      <c r="F157" s="1719" t="s">
        <v>2039</v>
      </c>
      <c r="G157" s="1725" t="s">
        <v>2450</v>
      </c>
      <c r="H157" s="1801"/>
      <c r="I157" s="1801"/>
      <c r="J157" s="1802"/>
      <c r="K157" s="1801"/>
      <c r="L157" s="1860">
        <v>4150</v>
      </c>
      <c r="M157" s="1721"/>
      <c r="N157" s="1720"/>
    </row>
    <row r="158" spans="1:14" s="783" customFormat="1" ht="32.25" customHeight="1">
      <c r="A158" s="776"/>
      <c r="B158" s="776" t="s">
        <v>2574</v>
      </c>
      <c r="C158" s="1856"/>
      <c r="D158" s="1857" t="s">
        <v>2588</v>
      </c>
      <c r="E158" s="1719">
        <v>3</v>
      </c>
      <c r="F158" s="1719" t="s">
        <v>1615</v>
      </c>
      <c r="G158" s="1725" t="s">
        <v>2450</v>
      </c>
      <c r="H158" s="1801"/>
      <c r="I158" s="1801"/>
      <c r="J158" s="1802"/>
      <c r="K158" s="1801"/>
      <c r="L158" s="1860">
        <v>37500</v>
      </c>
      <c r="M158" s="1721"/>
      <c r="N158" s="1720"/>
    </row>
    <row r="159" spans="1:14" s="783" customFormat="1" ht="33" customHeight="1">
      <c r="A159" s="776"/>
      <c r="B159" s="776" t="s">
        <v>2574</v>
      </c>
      <c r="C159" s="1856"/>
      <c r="D159" s="1857" t="s">
        <v>2473</v>
      </c>
      <c r="E159" s="1719">
        <v>100</v>
      </c>
      <c r="F159" s="1719" t="s">
        <v>1571</v>
      </c>
      <c r="G159" s="1725" t="s">
        <v>2450</v>
      </c>
      <c r="H159" s="1801"/>
      <c r="I159" s="1801"/>
      <c r="J159" s="1802"/>
      <c r="K159" s="1801"/>
      <c r="L159" s="1860">
        <v>10000</v>
      </c>
      <c r="M159" s="1721"/>
      <c r="N159" s="1720"/>
    </row>
    <row r="160" spans="1:14" s="783" customFormat="1" ht="39.75" customHeight="1">
      <c r="A160" s="776"/>
      <c r="B160" s="776" t="s">
        <v>2574</v>
      </c>
      <c r="C160" s="1856"/>
      <c r="D160" s="1857" t="s">
        <v>2474</v>
      </c>
      <c r="E160" s="1719">
        <v>15</v>
      </c>
      <c r="F160" s="1861" t="s">
        <v>2039</v>
      </c>
      <c r="G160" s="1725" t="s">
        <v>2450</v>
      </c>
      <c r="H160" s="1801"/>
      <c r="I160" s="1801"/>
      <c r="J160" s="1802"/>
      <c r="K160" s="1801"/>
      <c r="L160" s="1860">
        <v>4500</v>
      </c>
      <c r="M160" s="1721"/>
      <c r="N160" s="1720"/>
    </row>
    <row r="161" spans="1:14" s="783" customFormat="1" ht="38.25" customHeight="1">
      <c r="A161" s="776"/>
      <c r="B161" s="776" t="s">
        <v>2574</v>
      </c>
      <c r="C161" s="1856"/>
      <c r="D161" s="1857" t="s">
        <v>2475</v>
      </c>
      <c r="E161" s="1719">
        <v>20</v>
      </c>
      <c r="F161" s="1858" t="s">
        <v>2039</v>
      </c>
      <c r="G161" s="1725" t="s">
        <v>2450</v>
      </c>
      <c r="H161" s="1801"/>
      <c r="I161" s="1801"/>
      <c r="J161" s="1802"/>
      <c r="K161" s="1801"/>
      <c r="L161" s="1860">
        <v>6000</v>
      </c>
      <c r="M161" s="1721"/>
      <c r="N161" s="1720"/>
    </row>
    <row r="162" spans="1:14" s="783" customFormat="1" ht="36.75" customHeight="1">
      <c r="A162" s="776"/>
      <c r="B162" s="776" t="s">
        <v>2574</v>
      </c>
      <c r="C162" s="1856"/>
      <c r="D162" s="1857" t="s">
        <v>2476</v>
      </c>
      <c r="E162" s="1719">
        <v>20</v>
      </c>
      <c r="F162" s="1719" t="s">
        <v>2039</v>
      </c>
      <c r="G162" s="1789" t="s">
        <v>2450</v>
      </c>
      <c r="H162" s="1801"/>
      <c r="I162" s="1801"/>
      <c r="J162" s="1802"/>
      <c r="K162" s="1801"/>
      <c r="L162" s="1860">
        <v>6000</v>
      </c>
      <c r="M162" s="1721"/>
      <c r="N162" s="1720"/>
    </row>
    <row r="163" spans="1:14" s="783" customFormat="1" ht="33" customHeight="1">
      <c r="A163" s="776"/>
      <c r="B163" s="776" t="s">
        <v>2574</v>
      </c>
      <c r="C163" s="1856"/>
      <c r="D163" s="1857" t="s">
        <v>2477</v>
      </c>
      <c r="E163" s="1719">
        <v>50</v>
      </c>
      <c r="F163" s="1719" t="s">
        <v>2039</v>
      </c>
      <c r="G163" s="1725" t="s">
        <v>2450</v>
      </c>
      <c r="H163" s="1801"/>
      <c r="I163" s="1801"/>
      <c r="J163" s="1802"/>
      <c r="K163" s="1801"/>
      <c r="L163" s="1860">
        <v>22500</v>
      </c>
      <c r="M163" s="1721"/>
      <c r="N163" s="1720"/>
    </row>
    <row r="164" spans="1:14" s="783" customFormat="1" ht="32.25" customHeight="1">
      <c r="A164" s="776"/>
      <c r="B164" s="776" t="s">
        <v>2574</v>
      </c>
      <c r="C164" s="1856"/>
      <c r="D164" s="1857" t="s">
        <v>2478</v>
      </c>
      <c r="E164" s="1719">
        <v>100</v>
      </c>
      <c r="F164" s="1719" t="s">
        <v>2039</v>
      </c>
      <c r="G164" s="1725" t="s">
        <v>2450</v>
      </c>
      <c r="H164" s="1801"/>
      <c r="I164" s="1801"/>
      <c r="J164" s="1802"/>
      <c r="K164" s="1801"/>
      <c r="L164" s="1860">
        <v>45000</v>
      </c>
      <c r="M164" s="1721"/>
      <c r="N164" s="1720"/>
    </row>
    <row r="165" spans="1:14" s="783" customFormat="1" ht="33" customHeight="1">
      <c r="A165" s="776"/>
      <c r="B165" s="776" t="s">
        <v>2574</v>
      </c>
      <c r="C165" s="1856"/>
      <c r="D165" s="1857" t="s">
        <v>2479</v>
      </c>
      <c r="E165" s="1719">
        <v>50</v>
      </c>
      <c r="F165" s="1858" t="s">
        <v>2039</v>
      </c>
      <c r="G165" s="1725" t="s">
        <v>2450</v>
      </c>
      <c r="H165" s="1801"/>
      <c r="I165" s="1801"/>
      <c r="J165" s="1802"/>
      <c r="K165" s="1801"/>
      <c r="L165" s="1860">
        <v>22500</v>
      </c>
      <c r="M165" s="1721"/>
      <c r="N165" s="1720"/>
    </row>
    <row r="166" spans="1:14" s="783" customFormat="1" ht="31.5" customHeight="1">
      <c r="A166" s="776"/>
      <c r="B166" s="776" t="s">
        <v>2574</v>
      </c>
      <c r="C166" s="1856"/>
      <c r="D166" s="1857" t="s">
        <v>2480</v>
      </c>
      <c r="E166" s="1719">
        <v>50</v>
      </c>
      <c r="F166" s="1719" t="s">
        <v>2039</v>
      </c>
      <c r="G166" s="1725" t="s">
        <v>2450</v>
      </c>
      <c r="H166" s="1801"/>
      <c r="I166" s="1801"/>
      <c r="J166" s="1802"/>
      <c r="K166" s="1801"/>
      <c r="L166" s="1860">
        <v>22500</v>
      </c>
      <c r="M166" s="1721"/>
      <c r="N166" s="1720"/>
    </row>
    <row r="167" spans="1:14" s="783" customFormat="1" ht="34.5" customHeight="1">
      <c r="A167" s="776"/>
      <c r="B167" s="776" t="s">
        <v>2574</v>
      </c>
      <c r="C167" s="1856"/>
      <c r="D167" s="1857" t="s">
        <v>2481</v>
      </c>
      <c r="E167" s="1719">
        <v>500</v>
      </c>
      <c r="F167" s="1719" t="s">
        <v>1571</v>
      </c>
      <c r="G167" s="1725" t="s">
        <v>2450</v>
      </c>
      <c r="H167" s="1801"/>
      <c r="I167" s="1801"/>
      <c r="J167" s="1802"/>
      <c r="K167" s="1801"/>
      <c r="L167" s="1345">
        <v>15000</v>
      </c>
      <c r="M167" s="1721"/>
      <c r="N167" s="1720"/>
    </row>
    <row r="168" spans="1:14" s="783" customFormat="1" ht="34.5" customHeight="1">
      <c r="A168" s="776"/>
      <c r="B168" s="776" t="s">
        <v>2574</v>
      </c>
      <c r="C168" s="1856"/>
      <c r="D168" s="1857" t="s">
        <v>2482</v>
      </c>
      <c r="E168" s="1719">
        <v>25</v>
      </c>
      <c r="F168" s="1719" t="s">
        <v>778</v>
      </c>
      <c r="G168" s="1725" t="s">
        <v>2450</v>
      </c>
      <c r="H168" s="1801"/>
      <c r="I168" s="1801"/>
      <c r="J168" s="1802"/>
      <c r="K168" s="1801"/>
      <c r="L168" s="1345">
        <v>14500</v>
      </c>
      <c r="M168" s="1721"/>
      <c r="N168" s="1720"/>
    </row>
    <row r="169" spans="1:14" s="783" customFormat="1" ht="38.25" customHeight="1">
      <c r="A169" s="776"/>
      <c r="B169" s="776" t="s">
        <v>2574</v>
      </c>
      <c r="C169" s="1856"/>
      <c r="D169" s="1857" t="s">
        <v>2483</v>
      </c>
      <c r="E169" s="1719">
        <v>200</v>
      </c>
      <c r="F169" s="1719" t="s">
        <v>1571</v>
      </c>
      <c r="G169" s="1725" t="s">
        <v>2450</v>
      </c>
      <c r="H169" s="1801"/>
      <c r="I169" s="1801"/>
      <c r="J169" s="1802"/>
      <c r="K169" s="1801"/>
      <c r="L169" s="1345">
        <v>5000</v>
      </c>
      <c r="M169" s="1721"/>
      <c r="N169" s="1720"/>
    </row>
    <row r="170" spans="1:14" s="783" customFormat="1" ht="35.25" customHeight="1">
      <c r="A170" s="776"/>
      <c r="B170" s="776" t="s">
        <v>2574</v>
      </c>
      <c r="C170" s="1856"/>
      <c r="D170" s="1853" t="s">
        <v>2589</v>
      </c>
      <c r="E170" s="1719">
        <v>10</v>
      </c>
      <c r="F170" s="1719" t="s">
        <v>1571</v>
      </c>
      <c r="G170" s="1725" t="s">
        <v>2450</v>
      </c>
      <c r="H170" s="1801"/>
      <c r="I170" s="1801"/>
      <c r="J170" s="1802"/>
      <c r="K170" s="1801"/>
      <c r="L170" s="1345">
        <v>1100</v>
      </c>
      <c r="M170" s="1721"/>
      <c r="N170" s="1720"/>
    </row>
    <row r="171" spans="1:14" s="783" customFormat="1" ht="33.75" customHeight="1">
      <c r="A171" s="776"/>
      <c r="B171" s="776" t="s">
        <v>2574</v>
      </c>
      <c r="C171" s="1856"/>
      <c r="D171" s="1857" t="s">
        <v>2484</v>
      </c>
      <c r="E171" s="1719">
        <v>10</v>
      </c>
      <c r="F171" s="1719" t="s">
        <v>1571</v>
      </c>
      <c r="G171" s="1789" t="s">
        <v>2450</v>
      </c>
      <c r="H171" s="1801"/>
      <c r="I171" s="1801"/>
      <c r="J171" s="1802"/>
      <c r="K171" s="1801"/>
      <c r="L171" s="1345">
        <v>1100</v>
      </c>
      <c r="M171" s="1721"/>
      <c r="N171" s="1720"/>
    </row>
    <row r="172" spans="1:14" s="783" customFormat="1" ht="34.5" customHeight="1">
      <c r="A172" s="776"/>
      <c r="B172" s="776" t="s">
        <v>2574</v>
      </c>
      <c r="C172" s="1856"/>
      <c r="D172" s="1857" t="s">
        <v>2485</v>
      </c>
      <c r="E172" s="1719">
        <v>10</v>
      </c>
      <c r="F172" s="1719" t="s">
        <v>1571</v>
      </c>
      <c r="G172" s="1725" t="s">
        <v>2450</v>
      </c>
      <c r="H172" s="1801"/>
      <c r="I172" s="1801"/>
      <c r="J172" s="1802"/>
      <c r="K172" s="1801"/>
      <c r="L172" s="1345">
        <v>1100</v>
      </c>
      <c r="M172" s="1721"/>
      <c r="N172" s="1720"/>
    </row>
    <row r="173" spans="1:14" s="783" customFormat="1" ht="31.5" customHeight="1">
      <c r="A173" s="776"/>
      <c r="B173" s="776" t="s">
        <v>2574</v>
      </c>
      <c r="C173" s="1856"/>
      <c r="D173" s="1857" t="s">
        <v>2486</v>
      </c>
      <c r="E173" s="1719">
        <v>10</v>
      </c>
      <c r="F173" s="1719" t="s">
        <v>1571</v>
      </c>
      <c r="G173" s="1725" t="s">
        <v>2450</v>
      </c>
      <c r="H173" s="1801"/>
      <c r="I173" s="1801"/>
      <c r="J173" s="1802"/>
      <c r="K173" s="1801"/>
      <c r="L173" s="1345">
        <v>1100</v>
      </c>
      <c r="M173" s="1721"/>
      <c r="N173" s="1720"/>
    </row>
    <row r="174" spans="1:14" s="783" customFormat="1" ht="34.5" customHeight="1">
      <c r="A174" s="776"/>
      <c r="B174" s="776" t="s">
        <v>2574</v>
      </c>
      <c r="C174" s="1856"/>
      <c r="D174" s="1857" t="s">
        <v>2487</v>
      </c>
      <c r="E174" s="1719">
        <v>10</v>
      </c>
      <c r="F174" s="1719" t="s">
        <v>1571</v>
      </c>
      <c r="G174" s="1725" t="s">
        <v>2450</v>
      </c>
      <c r="H174" s="1801"/>
      <c r="I174" s="1801"/>
      <c r="J174" s="1802"/>
      <c r="K174" s="1801"/>
      <c r="L174" s="1345">
        <v>1100</v>
      </c>
      <c r="M174" s="1721"/>
      <c r="N174" s="1720"/>
    </row>
    <row r="175" spans="1:14" s="783" customFormat="1" ht="32.25" customHeight="1">
      <c r="A175" s="776"/>
      <c r="B175" s="776" t="s">
        <v>2574</v>
      </c>
      <c r="C175" s="1856"/>
      <c r="D175" s="1857" t="s">
        <v>2488</v>
      </c>
      <c r="E175" s="1719">
        <v>10</v>
      </c>
      <c r="F175" s="1719" t="s">
        <v>1571</v>
      </c>
      <c r="G175" s="1725" t="s">
        <v>2450</v>
      </c>
      <c r="H175" s="1801"/>
      <c r="I175" s="1801"/>
      <c r="J175" s="1802"/>
      <c r="K175" s="1801"/>
      <c r="L175" s="1345">
        <v>1100</v>
      </c>
      <c r="M175" s="1721"/>
      <c r="N175" s="1720"/>
    </row>
    <row r="176" spans="1:14" s="783" customFormat="1" ht="35.25" customHeight="1">
      <c r="A176" s="776"/>
      <c r="B176" s="776" t="s">
        <v>2574</v>
      </c>
      <c r="C176" s="1856"/>
      <c r="D176" s="1857" t="s">
        <v>2489</v>
      </c>
      <c r="E176" s="1719">
        <v>10</v>
      </c>
      <c r="F176" s="1719" t="s">
        <v>1571</v>
      </c>
      <c r="G176" s="1725" t="s">
        <v>2450</v>
      </c>
      <c r="H176" s="1801"/>
      <c r="I176" s="1801"/>
      <c r="J176" s="1802"/>
      <c r="K176" s="1801"/>
      <c r="L176" s="1345">
        <v>1100</v>
      </c>
      <c r="M176" s="1721"/>
      <c r="N176" s="1720"/>
    </row>
    <row r="177" spans="1:14" s="783" customFormat="1" ht="33" customHeight="1">
      <c r="A177" s="776"/>
      <c r="B177" s="776" t="s">
        <v>2574</v>
      </c>
      <c r="C177" s="1856"/>
      <c r="D177" s="1857" t="s">
        <v>2490</v>
      </c>
      <c r="E177" s="1719">
        <v>10</v>
      </c>
      <c r="F177" s="1719" t="s">
        <v>1571</v>
      </c>
      <c r="G177" s="1725" t="s">
        <v>2450</v>
      </c>
      <c r="H177" s="1801"/>
      <c r="I177" s="1801"/>
      <c r="J177" s="1802"/>
      <c r="K177" s="1801"/>
      <c r="L177" s="1345">
        <v>1100</v>
      </c>
      <c r="M177" s="1721"/>
      <c r="N177" s="1720"/>
    </row>
    <row r="178" spans="1:14" s="783" customFormat="1" ht="36" customHeight="1">
      <c r="A178" s="776"/>
      <c r="B178" s="776" t="s">
        <v>2574</v>
      </c>
      <c r="C178" s="1856"/>
      <c r="D178" s="1857" t="s">
        <v>2491</v>
      </c>
      <c r="E178" s="1719">
        <v>10</v>
      </c>
      <c r="F178" s="1719" t="s">
        <v>1571</v>
      </c>
      <c r="G178" s="1725" t="s">
        <v>2450</v>
      </c>
      <c r="H178" s="1801"/>
      <c r="I178" s="1801"/>
      <c r="J178" s="1802"/>
      <c r="K178" s="1801"/>
      <c r="L178" s="1345">
        <v>1100</v>
      </c>
      <c r="M178" s="1721"/>
      <c r="N178" s="1720"/>
    </row>
    <row r="179" spans="1:14" s="783" customFormat="1" ht="32.25" customHeight="1">
      <c r="A179" s="776"/>
      <c r="B179" s="776" t="s">
        <v>2574</v>
      </c>
      <c r="C179" s="1856"/>
      <c r="D179" s="1857" t="s">
        <v>2492</v>
      </c>
      <c r="E179" s="1719">
        <v>10</v>
      </c>
      <c r="F179" s="1719" t="s">
        <v>1571</v>
      </c>
      <c r="G179" s="1789" t="s">
        <v>2450</v>
      </c>
      <c r="H179" s="1801"/>
      <c r="I179" s="1801"/>
      <c r="J179" s="1802"/>
      <c r="K179" s="1801"/>
      <c r="L179" s="1345">
        <v>1100</v>
      </c>
      <c r="M179" s="1721"/>
      <c r="N179" s="1720"/>
    </row>
    <row r="180" spans="1:14" s="783" customFormat="1" ht="39" customHeight="1">
      <c r="A180" s="776"/>
      <c r="B180" s="776" t="s">
        <v>2574</v>
      </c>
      <c r="C180" s="1856"/>
      <c r="D180" s="1857" t="s">
        <v>2590</v>
      </c>
      <c r="E180" s="1719">
        <v>40</v>
      </c>
      <c r="F180" s="1719" t="s">
        <v>776</v>
      </c>
      <c r="G180" s="1725" t="s">
        <v>2450</v>
      </c>
      <c r="H180" s="1801"/>
      <c r="I180" s="1801"/>
      <c r="J180" s="1802"/>
      <c r="K180" s="1801"/>
      <c r="L180" s="1345">
        <v>24000</v>
      </c>
      <c r="M180" s="1721"/>
      <c r="N180" s="1720"/>
    </row>
    <row r="181" spans="1:14" s="783" customFormat="1" ht="37.5" customHeight="1">
      <c r="A181" s="776"/>
      <c r="B181" s="776" t="s">
        <v>2574</v>
      </c>
      <c r="C181" s="1856"/>
      <c r="D181" s="1857" t="s">
        <v>2591</v>
      </c>
      <c r="E181" s="1719">
        <v>25</v>
      </c>
      <c r="F181" s="1719" t="s">
        <v>2039</v>
      </c>
      <c r="G181" s="1725" t="s">
        <v>2450</v>
      </c>
      <c r="H181" s="1801"/>
      <c r="I181" s="1801"/>
      <c r="J181" s="1802"/>
      <c r="K181" s="1801"/>
      <c r="L181" s="1345">
        <v>2750</v>
      </c>
      <c r="M181" s="1721"/>
      <c r="N181" s="1720"/>
    </row>
    <row r="182" spans="1:14" s="783" customFormat="1" ht="33" customHeight="1">
      <c r="A182" s="776"/>
      <c r="B182" s="776" t="s">
        <v>2574</v>
      </c>
      <c r="C182" s="1856"/>
      <c r="D182" s="1857" t="s">
        <v>2592</v>
      </c>
      <c r="E182" s="1719">
        <v>20</v>
      </c>
      <c r="F182" s="1861" t="s">
        <v>1571</v>
      </c>
      <c r="G182" s="1725" t="s">
        <v>2450</v>
      </c>
      <c r="H182" s="1801"/>
      <c r="I182" s="1801"/>
      <c r="J182" s="1802"/>
      <c r="K182" s="1801"/>
      <c r="L182" s="1345">
        <v>1500</v>
      </c>
      <c r="M182" s="1721"/>
      <c r="N182" s="1720"/>
    </row>
    <row r="183" spans="1:14" s="783" customFormat="1" ht="40.5" customHeight="1">
      <c r="A183" s="776"/>
      <c r="B183" s="776" t="s">
        <v>2574</v>
      </c>
      <c r="C183" s="1856"/>
      <c r="D183" s="1857" t="s">
        <v>2593</v>
      </c>
      <c r="E183" s="1719">
        <v>25</v>
      </c>
      <c r="F183" s="1719" t="s">
        <v>778</v>
      </c>
      <c r="G183" s="1725" t="s">
        <v>2450</v>
      </c>
      <c r="H183" s="1801"/>
      <c r="I183" s="1801"/>
      <c r="J183" s="1802"/>
      <c r="K183" s="1801"/>
      <c r="L183" s="1345">
        <v>45000</v>
      </c>
      <c r="M183" s="1721"/>
      <c r="N183" s="1720"/>
    </row>
    <row r="184" spans="1:14" s="783" customFormat="1" ht="33.75" customHeight="1">
      <c r="A184" s="776"/>
      <c r="B184" s="776" t="s">
        <v>2574</v>
      </c>
      <c r="C184" s="1856"/>
      <c r="D184" s="1857" t="s">
        <v>2494</v>
      </c>
      <c r="E184" s="1719">
        <v>10</v>
      </c>
      <c r="F184" s="1719" t="s">
        <v>776</v>
      </c>
      <c r="G184" s="1725" t="s">
        <v>2450</v>
      </c>
      <c r="H184" s="1801"/>
      <c r="I184" s="1801"/>
      <c r="J184" s="1802"/>
      <c r="K184" s="1801"/>
      <c r="L184" s="1345">
        <v>6020</v>
      </c>
      <c r="M184" s="1721"/>
      <c r="N184" s="1720"/>
    </row>
    <row r="185" spans="1:14" s="783" customFormat="1" ht="32.25" customHeight="1">
      <c r="A185" s="776"/>
      <c r="B185" s="776" t="s">
        <v>2574</v>
      </c>
      <c r="C185" s="1856"/>
      <c r="D185" s="1857" t="s">
        <v>2495</v>
      </c>
      <c r="E185" s="1719">
        <v>3</v>
      </c>
      <c r="F185" s="1719" t="s">
        <v>2039</v>
      </c>
      <c r="G185" s="1725" t="s">
        <v>2450</v>
      </c>
      <c r="H185" s="1801"/>
      <c r="I185" s="1801"/>
      <c r="J185" s="1802"/>
      <c r="K185" s="1801"/>
      <c r="L185" s="1345">
        <v>6900</v>
      </c>
      <c r="M185" s="1721"/>
      <c r="N185" s="1720"/>
    </row>
    <row r="186" spans="1:14" s="783" customFormat="1" ht="30.75" customHeight="1">
      <c r="A186" s="776"/>
      <c r="B186" s="776" t="s">
        <v>2574</v>
      </c>
      <c r="C186" s="1856"/>
      <c r="D186" s="1857" t="s">
        <v>2594</v>
      </c>
      <c r="E186" s="1719">
        <v>20</v>
      </c>
      <c r="F186" s="1719" t="s">
        <v>1571</v>
      </c>
      <c r="G186" s="1725" t="s">
        <v>2450</v>
      </c>
      <c r="H186" s="1801"/>
      <c r="I186" s="1801"/>
      <c r="J186" s="1802"/>
      <c r="K186" s="1801"/>
      <c r="L186" s="1345">
        <v>580</v>
      </c>
      <c r="M186" s="1721"/>
      <c r="N186" s="1720"/>
    </row>
    <row r="187" spans="1:14" s="783" customFormat="1" ht="34.5" customHeight="1">
      <c r="A187" s="776"/>
      <c r="B187" s="776" t="s">
        <v>2574</v>
      </c>
      <c r="C187" s="1856"/>
      <c r="D187" s="1857" t="s">
        <v>2498</v>
      </c>
      <c r="E187" s="1719">
        <v>3</v>
      </c>
      <c r="F187" s="1719" t="s">
        <v>1571</v>
      </c>
      <c r="G187" s="1725" t="s">
        <v>2450</v>
      </c>
      <c r="H187" s="1801"/>
      <c r="I187" s="1801"/>
      <c r="J187" s="1802"/>
      <c r="K187" s="1801"/>
      <c r="L187" s="1862">
        <v>1350</v>
      </c>
      <c r="M187" s="1721"/>
      <c r="N187" s="1720"/>
    </row>
    <row r="188" spans="1:14" s="783" customFormat="1" ht="36" customHeight="1">
      <c r="A188" s="776"/>
      <c r="B188" s="776" t="s">
        <v>2574</v>
      </c>
      <c r="C188" s="1856"/>
      <c r="D188" s="1857" t="s">
        <v>2499</v>
      </c>
      <c r="E188" s="1719">
        <v>3</v>
      </c>
      <c r="F188" s="1719" t="s">
        <v>2039</v>
      </c>
      <c r="G188" s="1789" t="s">
        <v>2450</v>
      </c>
      <c r="H188" s="1801"/>
      <c r="I188" s="1801"/>
      <c r="J188" s="1802"/>
      <c r="K188" s="1801"/>
      <c r="L188" s="1345">
        <v>2700</v>
      </c>
      <c r="M188" s="1721"/>
      <c r="N188" s="1720"/>
    </row>
    <row r="189" spans="1:14" s="783" customFormat="1" ht="37.5" customHeight="1">
      <c r="A189" s="776"/>
      <c r="B189" s="776" t="s">
        <v>2574</v>
      </c>
      <c r="C189" s="1856"/>
      <c r="D189" s="1857" t="s">
        <v>2500</v>
      </c>
      <c r="E189" s="1719">
        <v>500</v>
      </c>
      <c r="F189" s="1719" t="s">
        <v>1571</v>
      </c>
      <c r="G189" s="1725" t="s">
        <v>2450</v>
      </c>
      <c r="H189" s="1801"/>
      <c r="I189" s="1801"/>
      <c r="J189" s="1802"/>
      <c r="K189" s="1801"/>
      <c r="L189" s="1345">
        <v>5000</v>
      </c>
      <c r="M189" s="1721"/>
      <c r="N189" s="1720"/>
    </row>
    <row r="190" spans="1:14" s="783" customFormat="1" ht="38.25" customHeight="1">
      <c r="A190" s="776"/>
      <c r="B190" s="776" t="s">
        <v>2574</v>
      </c>
      <c r="C190" s="1856"/>
      <c r="D190" s="1857" t="s">
        <v>2595</v>
      </c>
      <c r="E190" s="1719">
        <v>12</v>
      </c>
      <c r="F190" s="1719" t="s">
        <v>1571</v>
      </c>
      <c r="G190" s="1725" t="s">
        <v>2450</v>
      </c>
      <c r="H190" s="1801"/>
      <c r="I190" s="1801"/>
      <c r="J190" s="1802"/>
      <c r="K190" s="1801"/>
      <c r="L190" s="1345">
        <v>360</v>
      </c>
      <c r="M190" s="1721"/>
      <c r="N190" s="1720"/>
    </row>
    <row r="191" spans="1:14" s="783" customFormat="1" ht="36" customHeight="1">
      <c r="A191" s="776"/>
      <c r="B191" s="776" t="s">
        <v>2574</v>
      </c>
      <c r="C191" s="1856"/>
      <c r="D191" s="1857" t="s">
        <v>2501</v>
      </c>
      <c r="E191" s="1719">
        <v>6</v>
      </c>
      <c r="F191" s="1719" t="s">
        <v>1571</v>
      </c>
      <c r="G191" s="1725" t="s">
        <v>2450</v>
      </c>
      <c r="H191" s="1801"/>
      <c r="I191" s="1801"/>
      <c r="J191" s="1802"/>
      <c r="K191" s="1801"/>
      <c r="L191" s="1810">
        <v>180</v>
      </c>
      <c r="M191" s="1721"/>
      <c r="N191" s="1720"/>
    </row>
    <row r="192" spans="1:14" s="783" customFormat="1" ht="38.25" customHeight="1">
      <c r="A192" s="776"/>
      <c r="B192" s="776" t="s">
        <v>2574</v>
      </c>
      <c r="C192" s="1856"/>
      <c r="D192" s="1857" t="s">
        <v>2596</v>
      </c>
      <c r="E192" s="1719">
        <v>235</v>
      </c>
      <c r="F192" s="1719" t="s">
        <v>1571</v>
      </c>
      <c r="G192" s="1725" t="s">
        <v>2450</v>
      </c>
      <c r="H192" s="1801"/>
      <c r="I192" s="1801"/>
      <c r="J192" s="1802"/>
      <c r="K192" s="1801"/>
      <c r="L192" s="1810">
        <v>1175</v>
      </c>
      <c r="M192" s="1721"/>
      <c r="N192" s="1720"/>
    </row>
    <row r="193" spans="1:14" s="783" customFormat="1" ht="31.5" customHeight="1">
      <c r="A193" s="776"/>
      <c r="B193" s="776" t="s">
        <v>2574</v>
      </c>
      <c r="C193" s="1856"/>
      <c r="D193" s="1857" t="s">
        <v>2597</v>
      </c>
      <c r="E193" s="1719">
        <v>12</v>
      </c>
      <c r="F193" s="1719" t="s">
        <v>2039</v>
      </c>
      <c r="G193" s="1725" t="s">
        <v>2450</v>
      </c>
      <c r="H193" s="1801"/>
      <c r="I193" s="1801"/>
      <c r="J193" s="1802"/>
      <c r="K193" s="1801"/>
      <c r="L193" s="1810">
        <v>6000</v>
      </c>
      <c r="M193" s="1721"/>
      <c r="N193" s="1720"/>
    </row>
    <row r="194" spans="1:14" s="783" customFormat="1" ht="37.5" customHeight="1">
      <c r="A194" s="776"/>
      <c r="B194" s="776" t="s">
        <v>2574</v>
      </c>
      <c r="C194" s="1856"/>
      <c r="D194" s="1857" t="s">
        <v>2598</v>
      </c>
      <c r="E194" s="1719">
        <v>500</v>
      </c>
      <c r="F194" s="1719" t="s">
        <v>1571</v>
      </c>
      <c r="G194" s="1725" t="s">
        <v>2450</v>
      </c>
      <c r="H194" s="1801"/>
      <c r="I194" s="1801"/>
      <c r="J194" s="1802"/>
      <c r="K194" s="1801"/>
      <c r="L194" s="1810">
        <v>24000</v>
      </c>
      <c r="M194" s="1721"/>
      <c r="N194" s="1720"/>
    </row>
    <row r="195" spans="1:14" s="783" customFormat="1" ht="39.75" customHeight="1">
      <c r="A195" s="776"/>
      <c r="B195" s="776" t="s">
        <v>2574</v>
      </c>
      <c r="C195" s="1856"/>
      <c r="D195" s="1857" t="s">
        <v>2599</v>
      </c>
      <c r="E195" s="1719">
        <v>500</v>
      </c>
      <c r="F195" s="1719" t="s">
        <v>1571</v>
      </c>
      <c r="G195" s="1725" t="s">
        <v>2450</v>
      </c>
      <c r="H195" s="1801"/>
      <c r="I195" s="1801"/>
      <c r="J195" s="1802"/>
      <c r="K195" s="1801"/>
      <c r="L195" s="1810">
        <v>24000</v>
      </c>
      <c r="M195" s="1721"/>
      <c r="N195" s="1720"/>
    </row>
    <row r="196" spans="1:14" s="783" customFormat="1" ht="31.5" customHeight="1">
      <c r="A196" s="776"/>
      <c r="B196" s="776" t="s">
        <v>2574</v>
      </c>
      <c r="C196" s="1856"/>
      <c r="D196" s="1857" t="s">
        <v>2600</v>
      </c>
      <c r="E196" s="1719">
        <v>500</v>
      </c>
      <c r="F196" s="1719" t="s">
        <v>1571</v>
      </c>
      <c r="G196" s="1789" t="s">
        <v>2450</v>
      </c>
      <c r="H196" s="1801"/>
      <c r="I196" s="1801"/>
      <c r="J196" s="1802"/>
      <c r="K196" s="1801"/>
      <c r="L196" s="1810">
        <v>12500</v>
      </c>
      <c r="M196" s="1721"/>
      <c r="N196" s="1720"/>
    </row>
    <row r="197" spans="1:14" s="783" customFormat="1" ht="26.25" customHeight="1">
      <c r="A197" s="776"/>
      <c r="B197" s="776" t="s">
        <v>2574</v>
      </c>
      <c r="C197" s="1856"/>
      <c r="D197" s="1857" t="s">
        <v>2601</v>
      </c>
      <c r="E197" s="1719">
        <v>500</v>
      </c>
      <c r="F197" s="1861" t="s">
        <v>1571</v>
      </c>
      <c r="G197" s="1725" t="s">
        <v>2450</v>
      </c>
      <c r="H197" s="1863"/>
      <c r="I197" s="1863"/>
      <c r="J197" s="1863"/>
      <c r="K197" s="1863"/>
      <c r="L197" s="1863">
        <v>12500</v>
      </c>
      <c r="M197" s="1863"/>
      <c r="N197" s="1863"/>
    </row>
    <row r="198" spans="1:14" s="783" customFormat="1" ht="33.75" customHeight="1">
      <c r="A198" s="776"/>
      <c r="B198" s="776" t="s">
        <v>2574</v>
      </c>
      <c r="C198" s="1856"/>
      <c r="D198" s="1857" t="s">
        <v>2502</v>
      </c>
      <c r="E198" s="1719">
        <v>5</v>
      </c>
      <c r="F198" s="1719" t="s">
        <v>776</v>
      </c>
      <c r="G198" s="1725" t="s">
        <v>2450</v>
      </c>
      <c r="H198" s="1863"/>
      <c r="I198" s="1863"/>
      <c r="J198" s="1863"/>
      <c r="K198" s="1863"/>
      <c r="L198" s="1863">
        <v>4500</v>
      </c>
      <c r="M198" s="1863"/>
      <c r="N198" s="1863"/>
    </row>
    <row r="199" spans="1:14" s="783" customFormat="1" ht="36.75" customHeight="1">
      <c r="A199" s="776"/>
      <c r="B199" s="776" t="s">
        <v>2574</v>
      </c>
      <c r="C199" s="1864"/>
      <c r="D199" s="1857" t="s">
        <v>2503</v>
      </c>
      <c r="E199" s="1719">
        <v>1500</v>
      </c>
      <c r="F199" s="1719" t="s">
        <v>1571</v>
      </c>
      <c r="G199" s="1725" t="s">
        <v>2450</v>
      </c>
      <c r="H199" s="1842"/>
      <c r="I199" s="1842"/>
      <c r="J199" s="1843"/>
      <c r="K199" s="1842"/>
      <c r="L199" s="1865">
        <v>12000</v>
      </c>
      <c r="M199" s="1845"/>
      <c r="N199" s="1846"/>
    </row>
    <row r="200" spans="1:14" s="783" customFormat="1" ht="43.5" customHeight="1">
      <c r="A200" s="776"/>
      <c r="B200" s="776" t="s">
        <v>2574</v>
      </c>
      <c r="C200" s="1856"/>
      <c r="D200" s="1857" t="s">
        <v>2504</v>
      </c>
      <c r="E200" s="1719">
        <v>1500</v>
      </c>
      <c r="F200" s="1719" t="s">
        <v>1571</v>
      </c>
      <c r="G200" s="1725" t="s">
        <v>2450</v>
      </c>
      <c r="H200" s="1801"/>
      <c r="I200" s="1801"/>
      <c r="J200" s="1802"/>
      <c r="K200" s="1801"/>
      <c r="L200" s="1810">
        <v>12000</v>
      </c>
      <c r="M200" s="1721"/>
      <c r="N200" s="1720"/>
    </row>
    <row r="201" spans="1:14" s="783" customFormat="1" ht="41.25" customHeight="1">
      <c r="A201" s="776"/>
      <c r="B201" s="776" t="s">
        <v>2574</v>
      </c>
      <c r="C201" s="1856"/>
      <c r="D201" s="1857" t="s">
        <v>2505</v>
      </c>
      <c r="E201" s="1719">
        <v>5</v>
      </c>
      <c r="F201" s="1719" t="s">
        <v>1571</v>
      </c>
      <c r="G201" s="1725" t="s">
        <v>2450</v>
      </c>
      <c r="H201" s="1801"/>
      <c r="I201" s="1801"/>
      <c r="J201" s="1802"/>
      <c r="K201" s="1801"/>
      <c r="L201" s="1810">
        <v>825</v>
      </c>
      <c r="M201" s="1721"/>
      <c r="N201" s="1720"/>
    </row>
    <row r="202" spans="1:14" s="783" customFormat="1" ht="45" customHeight="1">
      <c r="A202" s="776"/>
      <c r="B202" s="776" t="s">
        <v>2574</v>
      </c>
      <c r="C202" s="1856"/>
      <c r="D202" s="1857" t="s">
        <v>2506</v>
      </c>
      <c r="E202" s="1719">
        <v>5</v>
      </c>
      <c r="F202" s="1719" t="s">
        <v>1571</v>
      </c>
      <c r="G202" s="1725" t="s">
        <v>2450</v>
      </c>
      <c r="H202" s="1801"/>
      <c r="I202" s="1801"/>
      <c r="J202" s="1802"/>
      <c r="K202" s="1801"/>
      <c r="L202" s="1810">
        <v>825</v>
      </c>
      <c r="M202" s="1721"/>
      <c r="N202" s="1720"/>
    </row>
    <row r="203" spans="1:14" s="783" customFormat="1" ht="36.75" customHeight="1">
      <c r="A203" s="776"/>
      <c r="B203" s="776" t="s">
        <v>2574</v>
      </c>
      <c r="C203" s="1856"/>
      <c r="D203" s="1857" t="s">
        <v>2602</v>
      </c>
      <c r="E203" s="1719">
        <v>50</v>
      </c>
      <c r="F203" s="1858" t="s">
        <v>1571</v>
      </c>
      <c r="G203" s="1725" t="s">
        <v>2450</v>
      </c>
      <c r="H203" s="1801"/>
      <c r="I203" s="1801"/>
      <c r="J203" s="1802"/>
      <c r="K203" s="1801"/>
      <c r="L203" s="1810">
        <v>5000</v>
      </c>
      <c r="M203" s="1721"/>
      <c r="N203" s="1720"/>
    </row>
    <row r="204" spans="1:14" s="783" customFormat="1" ht="39.75" customHeight="1">
      <c r="A204" s="776"/>
      <c r="B204" s="776" t="s">
        <v>2574</v>
      </c>
      <c r="C204" s="1856"/>
      <c r="D204" s="1857" t="s">
        <v>2511</v>
      </c>
      <c r="E204" s="1719">
        <v>50</v>
      </c>
      <c r="F204" s="1719" t="s">
        <v>1571</v>
      </c>
      <c r="G204" s="1725" t="s">
        <v>2450</v>
      </c>
      <c r="H204" s="1801"/>
      <c r="I204" s="1801"/>
      <c r="J204" s="1802"/>
      <c r="K204" s="1801"/>
      <c r="L204" s="1817">
        <v>1450</v>
      </c>
      <c r="M204" s="1721"/>
      <c r="N204" s="1720"/>
    </row>
    <row r="205" spans="1:14" s="783" customFormat="1" ht="45" customHeight="1">
      <c r="A205" s="776"/>
      <c r="B205" s="776" t="s">
        <v>2574</v>
      </c>
      <c r="C205" s="1856"/>
      <c r="D205" s="1857" t="s">
        <v>2517</v>
      </c>
      <c r="E205" s="1719">
        <v>15</v>
      </c>
      <c r="F205" s="1719" t="s">
        <v>1720</v>
      </c>
      <c r="G205" s="1789" t="s">
        <v>2450</v>
      </c>
      <c r="H205" s="1801"/>
      <c r="I205" s="1801"/>
      <c r="J205" s="1801"/>
      <c r="K205" s="1802"/>
      <c r="L205" s="1866">
        <v>1500</v>
      </c>
      <c r="M205" s="1727"/>
      <c r="N205" s="1721"/>
    </row>
    <row r="206" spans="1:14" s="783" customFormat="1" ht="46.5" customHeight="1">
      <c r="A206" s="776"/>
      <c r="B206" s="776" t="s">
        <v>2574</v>
      </c>
      <c r="C206" s="1856"/>
      <c r="D206" s="1857" t="s">
        <v>2603</v>
      </c>
      <c r="E206" s="1719">
        <v>5</v>
      </c>
      <c r="F206" s="1719" t="s">
        <v>2604</v>
      </c>
      <c r="G206" s="1725" t="s">
        <v>2450</v>
      </c>
      <c r="H206" s="1801"/>
      <c r="I206" s="1801"/>
      <c r="J206" s="1801"/>
      <c r="K206" s="1802"/>
      <c r="L206" s="1866">
        <v>500</v>
      </c>
      <c r="M206" s="1727"/>
      <c r="N206" s="1721"/>
    </row>
    <row r="207" spans="1:14" s="783" customFormat="1" ht="42" customHeight="1">
      <c r="A207" s="776"/>
      <c r="B207" s="776" t="s">
        <v>2574</v>
      </c>
      <c r="C207" s="1856"/>
      <c r="D207" s="1857" t="s">
        <v>2605</v>
      </c>
      <c r="E207" s="1719">
        <v>5</v>
      </c>
      <c r="F207" s="1719" t="s">
        <v>1720</v>
      </c>
      <c r="G207" s="1725" t="s">
        <v>2450</v>
      </c>
      <c r="H207" s="1801"/>
      <c r="I207" s="1801"/>
      <c r="J207" s="1801"/>
      <c r="K207" s="1802"/>
      <c r="L207" s="1866">
        <v>500</v>
      </c>
      <c r="M207" s="1727"/>
      <c r="N207" s="1721"/>
    </row>
    <row r="208" spans="1:14" s="783" customFormat="1" ht="36.75" customHeight="1">
      <c r="A208" s="776"/>
      <c r="B208" s="776" t="s">
        <v>2574</v>
      </c>
      <c r="C208" s="1856"/>
      <c r="D208" s="1857" t="s">
        <v>2518</v>
      </c>
      <c r="E208" s="1719">
        <v>24</v>
      </c>
      <c r="F208" s="1719" t="s">
        <v>2039</v>
      </c>
      <c r="G208" s="1725" t="s">
        <v>2450</v>
      </c>
      <c r="H208" s="1801"/>
      <c r="I208" s="1801"/>
      <c r="J208" s="1801"/>
      <c r="K208" s="1802"/>
      <c r="L208" s="1866">
        <v>36000</v>
      </c>
      <c r="M208" s="1727"/>
      <c r="N208" s="1721"/>
    </row>
    <row r="209" spans="1:14" s="783" customFormat="1" ht="41.25" customHeight="1">
      <c r="A209" s="776"/>
      <c r="B209" s="776" t="s">
        <v>2574</v>
      </c>
      <c r="C209" s="1856"/>
      <c r="D209" s="1857" t="s">
        <v>2519</v>
      </c>
      <c r="E209" s="1719">
        <v>24</v>
      </c>
      <c r="F209" s="1719" t="s">
        <v>2039</v>
      </c>
      <c r="G209" s="1725" t="s">
        <v>2450</v>
      </c>
      <c r="H209" s="1801"/>
      <c r="I209" s="1801"/>
      <c r="J209" s="1801"/>
      <c r="K209" s="1802"/>
      <c r="L209" s="1866">
        <v>36000</v>
      </c>
      <c r="M209" s="1727"/>
      <c r="N209" s="1721"/>
    </row>
    <row r="210" spans="1:14" s="783" customFormat="1" ht="43.5" customHeight="1">
      <c r="A210" s="776"/>
      <c r="B210" s="776" t="s">
        <v>2574</v>
      </c>
      <c r="C210" s="1856"/>
      <c r="D210" s="1857" t="s">
        <v>2606</v>
      </c>
      <c r="E210" s="1719">
        <v>50</v>
      </c>
      <c r="F210" s="1719" t="s">
        <v>2039</v>
      </c>
      <c r="G210" s="1725" t="s">
        <v>2450</v>
      </c>
      <c r="H210" s="1801"/>
      <c r="I210" s="1801"/>
      <c r="J210" s="1801"/>
      <c r="K210" s="1802"/>
      <c r="L210" s="1866">
        <v>75000</v>
      </c>
      <c r="M210" s="1727"/>
      <c r="N210" s="1721"/>
    </row>
    <row r="211" spans="1:14" s="783" customFormat="1" ht="41.25" customHeight="1">
      <c r="A211" s="776"/>
      <c r="B211" s="776" t="s">
        <v>2574</v>
      </c>
      <c r="C211" s="1856"/>
      <c r="D211" s="1857" t="s">
        <v>2607</v>
      </c>
      <c r="E211" s="1719">
        <v>10</v>
      </c>
      <c r="F211" s="1719" t="s">
        <v>2039</v>
      </c>
      <c r="G211" s="1725" t="s">
        <v>2450</v>
      </c>
      <c r="H211" s="1801"/>
      <c r="I211" s="1801"/>
      <c r="J211" s="1801"/>
      <c r="K211" s="1802"/>
      <c r="L211" s="1866">
        <v>9500</v>
      </c>
      <c r="M211" s="1727"/>
      <c r="N211" s="1721"/>
    </row>
    <row r="212" spans="1:14" s="783" customFormat="1" ht="35.25" customHeight="1">
      <c r="A212" s="776"/>
      <c r="B212" s="776" t="s">
        <v>2574</v>
      </c>
      <c r="C212" s="1856"/>
      <c r="D212" s="1857" t="s">
        <v>2608</v>
      </c>
      <c r="E212" s="1719">
        <v>200</v>
      </c>
      <c r="F212" s="1719" t="s">
        <v>1571</v>
      </c>
      <c r="G212" s="1725" t="s">
        <v>2450</v>
      </c>
      <c r="H212" s="1801"/>
      <c r="I212" s="1801"/>
      <c r="J212" s="1801"/>
      <c r="K212" s="1802"/>
      <c r="L212" s="1866">
        <v>1600</v>
      </c>
      <c r="M212" s="1727"/>
      <c r="N212" s="1721"/>
    </row>
    <row r="213" spans="1:14" s="783" customFormat="1" ht="33.75" customHeight="1">
      <c r="A213" s="776"/>
      <c r="B213" s="776" t="s">
        <v>2574</v>
      </c>
      <c r="C213" s="1856"/>
      <c r="D213" s="1857" t="s">
        <v>2521</v>
      </c>
      <c r="E213" s="1719">
        <v>25</v>
      </c>
      <c r="F213" s="1719" t="s">
        <v>2039</v>
      </c>
      <c r="G213" s="1789" t="s">
        <v>2450</v>
      </c>
      <c r="H213" s="1801"/>
      <c r="I213" s="1801"/>
      <c r="J213" s="1801"/>
      <c r="K213" s="1802"/>
      <c r="L213" s="1866">
        <v>4000</v>
      </c>
      <c r="M213" s="1727"/>
      <c r="N213" s="1721"/>
    </row>
    <row r="214" spans="1:14" s="783" customFormat="1" ht="41.25" customHeight="1">
      <c r="A214" s="776"/>
      <c r="B214" s="776" t="s">
        <v>2574</v>
      </c>
      <c r="C214" s="1856"/>
      <c r="D214" s="1857" t="s">
        <v>2522</v>
      </c>
      <c r="E214" s="1719">
        <v>25</v>
      </c>
      <c r="F214" s="1719" t="s">
        <v>2039</v>
      </c>
      <c r="G214" s="1725" t="s">
        <v>2450</v>
      </c>
      <c r="H214" s="1801"/>
      <c r="I214" s="1801"/>
      <c r="J214" s="1801"/>
      <c r="K214" s="1802"/>
      <c r="L214" s="1866">
        <v>4000</v>
      </c>
      <c r="M214" s="1727"/>
      <c r="N214" s="1721"/>
    </row>
    <row r="215" spans="1:14" s="783" customFormat="1" ht="36.75" customHeight="1">
      <c r="A215" s="776"/>
      <c r="B215" s="776" t="s">
        <v>2574</v>
      </c>
      <c r="C215" s="1856"/>
      <c r="D215" s="1859" t="s">
        <v>2609</v>
      </c>
      <c r="E215" s="1719">
        <v>25</v>
      </c>
      <c r="F215" s="1719" t="s">
        <v>1571</v>
      </c>
      <c r="G215" s="1725" t="s">
        <v>2450</v>
      </c>
      <c r="H215" s="1801"/>
      <c r="I215" s="1801"/>
      <c r="J215" s="1801"/>
      <c r="K215" s="1802"/>
      <c r="L215" s="1866">
        <v>11250</v>
      </c>
      <c r="M215" s="1727"/>
      <c r="N215" s="1721"/>
    </row>
    <row r="216" spans="1:14" s="783" customFormat="1" ht="43.5" customHeight="1">
      <c r="A216" s="776"/>
      <c r="B216" s="776" t="s">
        <v>2574</v>
      </c>
      <c r="C216" s="1856"/>
      <c r="D216" s="1859" t="s">
        <v>2610</v>
      </c>
      <c r="E216" s="1719">
        <v>10</v>
      </c>
      <c r="F216" s="1719" t="s">
        <v>1571</v>
      </c>
      <c r="G216" s="1725" t="s">
        <v>2450</v>
      </c>
      <c r="H216" s="1801"/>
      <c r="I216" s="1801"/>
      <c r="J216" s="1801"/>
      <c r="K216" s="1802"/>
      <c r="L216" s="1866">
        <v>10000</v>
      </c>
      <c r="M216" s="1727"/>
      <c r="N216" s="1721"/>
    </row>
    <row r="217" spans="1:14" s="783" customFormat="1" ht="36.75" customHeight="1">
      <c r="A217" s="776"/>
      <c r="B217" s="776" t="s">
        <v>2574</v>
      </c>
      <c r="C217" s="1856"/>
      <c r="D217" s="1859" t="s">
        <v>2611</v>
      </c>
      <c r="E217" s="1719">
        <v>25</v>
      </c>
      <c r="F217" s="1719" t="s">
        <v>1841</v>
      </c>
      <c r="G217" s="1725" t="s">
        <v>2450</v>
      </c>
      <c r="H217" s="1801"/>
      <c r="I217" s="1801"/>
      <c r="J217" s="1801"/>
      <c r="K217" s="1802"/>
      <c r="L217" s="1866">
        <v>5000</v>
      </c>
      <c r="M217" s="1727"/>
      <c r="N217" s="1721"/>
    </row>
    <row r="218" spans="1:14" s="783" customFormat="1" ht="43.5" customHeight="1">
      <c r="A218" s="776"/>
      <c r="B218" s="776" t="s">
        <v>2574</v>
      </c>
      <c r="C218" s="1856"/>
      <c r="D218" s="1857" t="s">
        <v>2612</v>
      </c>
      <c r="E218" s="1719">
        <v>1</v>
      </c>
      <c r="F218" s="1719" t="s">
        <v>2001</v>
      </c>
      <c r="G218" s="1725" t="s">
        <v>2450</v>
      </c>
      <c r="H218" s="1801"/>
      <c r="I218" s="1801"/>
      <c r="J218" s="1801"/>
      <c r="K218" s="1802"/>
      <c r="L218" s="1866">
        <v>700</v>
      </c>
      <c r="M218" s="1727"/>
      <c r="N218" s="1721"/>
    </row>
    <row r="219" spans="1:14" s="783" customFormat="1" ht="42" customHeight="1">
      <c r="A219" s="776"/>
      <c r="B219" s="776" t="s">
        <v>2574</v>
      </c>
      <c r="C219" s="1856"/>
      <c r="D219" s="1857" t="s">
        <v>2523</v>
      </c>
      <c r="E219" s="1719">
        <v>2</v>
      </c>
      <c r="F219" s="1719" t="s">
        <v>2524</v>
      </c>
      <c r="G219" s="1725" t="s">
        <v>2450</v>
      </c>
      <c r="H219" s="1801"/>
      <c r="I219" s="1801"/>
      <c r="J219" s="1801"/>
      <c r="K219" s="1802"/>
      <c r="L219" s="1866">
        <v>2200</v>
      </c>
      <c r="M219" s="1727"/>
      <c r="N219" s="1721"/>
    </row>
    <row r="220" spans="1:14" s="783" customFormat="1" ht="39.75" customHeight="1">
      <c r="A220" s="776"/>
      <c r="B220" s="776" t="s">
        <v>2574</v>
      </c>
      <c r="C220" s="1856"/>
      <c r="D220" s="1867" t="s">
        <v>2526</v>
      </c>
      <c r="E220" s="1719">
        <v>3</v>
      </c>
      <c r="F220" s="1719" t="s">
        <v>2039</v>
      </c>
      <c r="G220" s="1725" t="s">
        <v>2450</v>
      </c>
      <c r="H220" s="1801"/>
      <c r="I220" s="1801"/>
      <c r="J220" s="1801"/>
      <c r="K220" s="1802"/>
      <c r="L220" s="1866">
        <v>1050</v>
      </c>
      <c r="M220" s="1727"/>
      <c r="N220" s="1721"/>
    </row>
    <row r="221" spans="1:14" s="783" customFormat="1" ht="42" customHeight="1">
      <c r="A221" s="776"/>
      <c r="B221" s="776" t="s">
        <v>2574</v>
      </c>
      <c r="C221" s="1856"/>
      <c r="D221" s="1857" t="s">
        <v>2530</v>
      </c>
      <c r="E221" s="1719">
        <v>11</v>
      </c>
      <c r="F221" s="1719" t="s">
        <v>1841</v>
      </c>
      <c r="G221" s="1725" t="s">
        <v>2450</v>
      </c>
      <c r="H221" s="1801"/>
      <c r="I221" s="1801"/>
      <c r="J221" s="1801"/>
      <c r="K221" s="1802"/>
      <c r="L221" s="1866">
        <v>800</v>
      </c>
      <c r="M221" s="1727"/>
      <c r="N221" s="1721"/>
    </row>
    <row r="222" spans="1:14" s="783" customFormat="1" ht="31.5" customHeight="1">
      <c r="A222" s="776"/>
      <c r="B222" s="776" t="s">
        <v>2574</v>
      </c>
      <c r="C222" s="1856"/>
      <c r="D222" s="1857" t="s">
        <v>2534</v>
      </c>
      <c r="E222" s="1719">
        <v>2</v>
      </c>
      <c r="F222" s="1719" t="s">
        <v>2529</v>
      </c>
      <c r="G222" s="1789" t="s">
        <v>2450</v>
      </c>
      <c r="H222" s="1801"/>
      <c r="I222" s="1801"/>
      <c r="J222" s="1801"/>
      <c r="K222" s="1802"/>
      <c r="L222" s="1866">
        <v>10670</v>
      </c>
      <c r="M222" s="1727"/>
      <c r="N222" s="1721"/>
    </row>
    <row r="223" spans="1:14" s="783" customFormat="1" ht="33.75" customHeight="1">
      <c r="A223" s="776"/>
      <c r="B223" s="776" t="s">
        <v>2574</v>
      </c>
      <c r="C223" s="1856"/>
      <c r="D223" s="1857" t="s">
        <v>2536</v>
      </c>
      <c r="E223" s="1719">
        <v>5</v>
      </c>
      <c r="F223" s="1719" t="s">
        <v>776</v>
      </c>
      <c r="G223" s="1725" t="s">
        <v>2450</v>
      </c>
      <c r="H223" s="1801"/>
      <c r="I223" s="1801"/>
      <c r="J223" s="1801"/>
      <c r="K223" s="1802"/>
      <c r="L223" s="1866">
        <v>48600</v>
      </c>
      <c r="M223" s="1727"/>
      <c r="N223" s="1721"/>
    </row>
    <row r="224" spans="1:14" s="783" customFormat="1" ht="48.75" customHeight="1">
      <c r="A224" s="776"/>
      <c r="B224" s="776" t="s">
        <v>2574</v>
      </c>
      <c r="C224" s="1856"/>
      <c r="D224" s="1857" t="s">
        <v>2539</v>
      </c>
      <c r="E224" s="1719">
        <v>25</v>
      </c>
      <c r="F224" s="1719" t="s">
        <v>2039</v>
      </c>
      <c r="G224" s="1725" t="s">
        <v>2450</v>
      </c>
      <c r="H224" s="1801"/>
      <c r="I224" s="1801"/>
      <c r="J224" s="1801"/>
      <c r="K224" s="1802"/>
      <c r="L224" s="1866">
        <v>24500</v>
      </c>
      <c r="M224" s="1727"/>
      <c r="N224" s="1721"/>
    </row>
    <row r="225" spans="1:15" s="783" customFormat="1" ht="39.75" customHeight="1">
      <c r="A225" s="776"/>
      <c r="B225" s="776" t="s">
        <v>2574</v>
      </c>
      <c r="C225" s="1856"/>
      <c r="D225" s="1857" t="s">
        <v>2540</v>
      </c>
      <c r="E225" s="1719">
        <v>30</v>
      </c>
      <c r="F225" s="1719" t="s">
        <v>2039</v>
      </c>
      <c r="G225" s="1725" t="s">
        <v>2450</v>
      </c>
      <c r="H225" s="1801"/>
      <c r="I225" s="1801"/>
      <c r="J225" s="1801"/>
      <c r="K225" s="1802"/>
      <c r="L225" s="1866">
        <v>25650</v>
      </c>
      <c r="M225" s="1727"/>
      <c r="N225" s="1721"/>
    </row>
    <row r="226" spans="1:15" s="783" customFormat="1" ht="46.5" customHeight="1">
      <c r="A226" s="776"/>
      <c r="B226" s="776" t="s">
        <v>2574</v>
      </c>
      <c r="C226" s="1856"/>
      <c r="D226" s="1857" t="s">
        <v>2613</v>
      </c>
      <c r="E226" s="1719">
        <v>5</v>
      </c>
      <c r="F226" s="1719" t="s">
        <v>1057</v>
      </c>
      <c r="G226" s="1725" t="s">
        <v>2450</v>
      </c>
      <c r="H226" s="1801"/>
      <c r="I226" s="1801"/>
      <c r="J226" s="1801"/>
      <c r="K226" s="1802"/>
      <c r="L226" s="1866">
        <v>165000</v>
      </c>
      <c r="M226" s="1727"/>
      <c r="N226" s="1721"/>
    </row>
    <row r="227" spans="1:15" s="783" customFormat="1" ht="45" customHeight="1">
      <c r="A227" s="776"/>
      <c r="B227" s="776" t="s">
        <v>2574</v>
      </c>
      <c r="C227" s="1856"/>
      <c r="D227" s="1857" t="s">
        <v>2614</v>
      </c>
      <c r="E227" s="1719">
        <v>3</v>
      </c>
      <c r="F227" s="1719" t="s">
        <v>1057</v>
      </c>
      <c r="G227" s="1725" t="s">
        <v>2450</v>
      </c>
      <c r="H227" s="1801"/>
      <c r="I227" s="1801"/>
      <c r="J227" s="1801"/>
      <c r="K227" s="1802"/>
      <c r="L227" s="1866">
        <v>19500</v>
      </c>
      <c r="M227" s="1727"/>
      <c r="N227" s="1721"/>
    </row>
    <row r="228" spans="1:15" s="783" customFormat="1" ht="48" customHeight="1">
      <c r="A228" s="776"/>
      <c r="B228" s="776" t="s">
        <v>2574</v>
      </c>
      <c r="C228" s="1856"/>
      <c r="D228" s="1857" t="s">
        <v>2542</v>
      </c>
      <c r="E228" s="1719">
        <v>20</v>
      </c>
      <c r="F228" s="1719" t="s">
        <v>2039</v>
      </c>
      <c r="G228" s="1725" t="s">
        <v>2450</v>
      </c>
      <c r="H228" s="1801"/>
      <c r="I228" s="1801"/>
      <c r="J228" s="1801"/>
      <c r="K228" s="1802"/>
      <c r="L228" s="1866">
        <v>2600</v>
      </c>
      <c r="M228" s="1727"/>
      <c r="N228" s="1721"/>
    </row>
    <row r="229" spans="1:15" s="783" customFormat="1" ht="42" customHeight="1">
      <c r="A229" s="776"/>
      <c r="B229" s="776" t="s">
        <v>2574</v>
      </c>
      <c r="C229" s="1856"/>
      <c r="D229" s="1857" t="s">
        <v>2544</v>
      </c>
      <c r="E229" s="1719">
        <v>5</v>
      </c>
      <c r="F229" s="1719" t="s">
        <v>2529</v>
      </c>
      <c r="G229" s="1725" t="s">
        <v>2450</v>
      </c>
      <c r="H229" s="1801"/>
      <c r="I229" s="1801"/>
      <c r="J229" s="1801"/>
      <c r="K229" s="1802"/>
      <c r="L229" s="1866">
        <v>18450</v>
      </c>
      <c r="M229" s="1727"/>
      <c r="N229" s="1721"/>
    </row>
    <row r="230" spans="1:15" s="783" customFormat="1" ht="42" customHeight="1">
      <c r="A230" s="776"/>
      <c r="B230" s="776" t="s">
        <v>2574</v>
      </c>
      <c r="C230" s="1856"/>
      <c r="D230" s="1857" t="s">
        <v>2615</v>
      </c>
      <c r="E230" s="1719">
        <v>1</v>
      </c>
      <c r="F230" s="1719" t="s">
        <v>2529</v>
      </c>
      <c r="G230" s="1789" t="s">
        <v>2450</v>
      </c>
      <c r="H230" s="1801"/>
      <c r="I230" s="1801"/>
      <c r="J230" s="1801"/>
      <c r="K230" s="1802"/>
      <c r="L230" s="1866">
        <v>5000</v>
      </c>
      <c r="M230" s="1727"/>
      <c r="N230" s="1721"/>
    </row>
    <row r="231" spans="1:15" s="783" customFormat="1" ht="45" customHeight="1">
      <c r="A231" s="776"/>
      <c r="B231" s="776" t="s">
        <v>2574</v>
      </c>
      <c r="C231" s="1856"/>
      <c r="D231" s="1857" t="s">
        <v>2616</v>
      </c>
      <c r="E231" s="1719">
        <v>5</v>
      </c>
      <c r="F231" s="1719" t="s">
        <v>2039</v>
      </c>
      <c r="G231" s="1725" t="s">
        <v>2450</v>
      </c>
      <c r="H231" s="1801"/>
      <c r="I231" s="1801"/>
      <c r="J231" s="1801"/>
      <c r="K231" s="1802"/>
      <c r="L231" s="1866">
        <v>36000</v>
      </c>
      <c r="M231" s="1727"/>
      <c r="N231" s="1721"/>
    </row>
    <row r="232" spans="1:15" s="783" customFormat="1" ht="40.5" customHeight="1">
      <c r="A232" s="776"/>
      <c r="B232" s="776" t="s">
        <v>2574</v>
      </c>
      <c r="C232" s="1856"/>
      <c r="D232" s="1857" t="s">
        <v>2545</v>
      </c>
      <c r="E232" s="1719">
        <v>2</v>
      </c>
      <c r="F232" s="1719" t="s">
        <v>1615</v>
      </c>
      <c r="G232" s="1725" t="s">
        <v>2450</v>
      </c>
      <c r="H232" s="1801"/>
      <c r="I232" s="1801"/>
      <c r="J232" s="1801"/>
      <c r="K232" s="1802"/>
      <c r="L232" s="1866">
        <v>21780</v>
      </c>
      <c r="M232" s="1727"/>
      <c r="N232" s="1721"/>
    </row>
    <row r="233" spans="1:15" s="783" customFormat="1" ht="37.5" customHeight="1">
      <c r="A233" s="776"/>
      <c r="B233" s="776" t="s">
        <v>2574</v>
      </c>
      <c r="C233" s="1856"/>
      <c r="D233" s="1859" t="s">
        <v>2549</v>
      </c>
      <c r="E233" s="1719">
        <v>2</v>
      </c>
      <c r="F233" s="1719" t="s">
        <v>1615</v>
      </c>
      <c r="G233" s="1725" t="s">
        <v>2450</v>
      </c>
      <c r="H233" s="1801"/>
      <c r="I233" s="1801"/>
      <c r="J233" s="1801"/>
      <c r="K233" s="1802"/>
      <c r="L233" s="1866">
        <v>2600</v>
      </c>
      <c r="M233" s="1727"/>
      <c r="N233" s="1721"/>
    </row>
    <row r="234" spans="1:15" s="783" customFormat="1" ht="38.25" customHeight="1">
      <c r="A234" s="776"/>
      <c r="B234" s="776" t="s">
        <v>2574</v>
      </c>
      <c r="C234" s="1856"/>
      <c r="D234" s="1868" t="s">
        <v>2617</v>
      </c>
      <c r="E234" s="1719">
        <v>10</v>
      </c>
      <c r="F234" s="1719" t="s">
        <v>1615</v>
      </c>
      <c r="G234" s="1725" t="s">
        <v>2450</v>
      </c>
      <c r="H234" s="1801"/>
      <c r="I234" s="1801"/>
      <c r="J234" s="1801"/>
      <c r="K234" s="1802"/>
      <c r="L234" s="1866">
        <v>95000</v>
      </c>
      <c r="M234" s="1727"/>
      <c r="N234" s="1721"/>
    </row>
    <row r="235" spans="1:15" s="783" customFormat="1" ht="36.75" customHeight="1">
      <c r="A235" s="776"/>
      <c r="B235" s="776" t="s">
        <v>2574</v>
      </c>
      <c r="C235" s="1856"/>
      <c r="D235" s="1869" t="s">
        <v>2551</v>
      </c>
      <c r="E235" s="1719">
        <v>5</v>
      </c>
      <c r="F235" s="1719" t="s">
        <v>808</v>
      </c>
      <c r="G235" s="1725" t="s">
        <v>2450</v>
      </c>
      <c r="H235" s="1801"/>
      <c r="I235" s="1801"/>
      <c r="J235" s="1801"/>
      <c r="K235" s="1802"/>
      <c r="L235" s="1866">
        <v>2500</v>
      </c>
      <c r="M235" s="1727"/>
      <c r="N235" s="1721"/>
    </row>
    <row r="236" spans="1:15" s="783" customFormat="1" ht="41.25" customHeight="1">
      <c r="A236" s="776"/>
      <c r="B236" s="776" t="s">
        <v>2574</v>
      </c>
      <c r="C236" s="1856"/>
      <c r="D236" s="1870" t="s">
        <v>2555</v>
      </c>
      <c r="E236" s="1719">
        <v>2</v>
      </c>
      <c r="F236" s="1719" t="s">
        <v>2039</v>
      </c>
      <c r="G236" s="1725" t="s">
        <v>2450</v>
      </c>
      <c r="H236" s="1801"/>
      <c r="I236" s="1801"/>
      <c r="J236" s="1801"/>
      <c r="K236" s="1802"/>
      <c r="L236" s="1866">
        <v>7000</v>
      </c>
      <c r="M236" s="1727"/>
      <c r="N236" s="1721"/>
      <c r="O236" s="1240"/>
    </row>
    <row r="237" spans="1:15" s="783" customFormat="1" ht="48.75" customHeight="1">
      <c r="A237" s="776"/>
      <c r="B237" s="776" t="s">
        <v>2574</v>
      </c>
      <c r="C237" s="1856"/>
      <c r="D237" s="1869" t="s">
        <v>2618</v>
      </c>
      <c r="E237" s="1719">
        <v>4</v>
      </c>
      <c r="F237" s="1719" t="s">
        <v>1615</v>
      </c>
      <c r="G237" s="1725" t="s">
        <v>2450</v>
      </c>
      <c r="H237" s="1801"/>
      <c r="I237" s="1801"/>
      <c r="J237" s="1801"/>
      <c r="K237" s="1802"/>
      <c r="L237" s="1866">
        <v>39800</v>
      </c>
      <c r="M237" s="1727"/>
      <c r="N237" s="1721"/>
      <c r="O237" s="785"/>
    </row>
    <row r="238" spans="1:15" s="783" customFormat="1" ht="50.25" customHeight="1">
      <c r="A238" s="776"/>
      <c r="B238" s="776" t="s">
        <v>2574</v>
      </c>
      <c r="C238" s="1856"/>
      <c r="D238" s="1869" t="s">
        <v>2556</v>
      </c>
      <c r="E238" s="1719">
        <v>5</v>
      </c>
      <c r="F238" s="1719" t="s">
        <v>1720</v>
      </c>
      <c r="G238" s="1725" t="s">
        <v>2450</v>
      </c>
      <c r="H238" s="1801"/>
      <c r="I238" s="1801"/>
      <c r="J238" s="1801"/>
      <c r="K238" s="1802"/>
      <c r="L238" s="1866">
        <v>1500</v>
      </c>
      <c r="M238" s="1727"/>
      <c r="N238" s="1721"/>
      <c r="O238" s="785"/>
    </row>
    <row r="239" spans="1:15" s="783" customFormat="1" ht="51.75" customHeight="1">
      <c r="A239" s="776"/>
      <c r="B239" s="776" t="s">
        <v>2574</v>
      </c>
      <c r="C239" s="1856"/>
      <c r="D239" s="1869" t="s">
        <v>2557</v>
      </c>
      <c r="E239" s="1719">
        <v>4</v>
      </c>
      <c r="F239" s="1719" t="s">
        <v>1571</v>
      </c>
      <c r="G239" s="1789" t="s">
        <v>2450</v>
      </c>
      <c r="H239" s="1801"/>
      <c r="I239" s="1801"/>
      <c r="J239" s="1801"/>
      <c r="K239" s="1802"/>
      <c r="L239" s="1866">
        <v>2260</v>
      </c>
      <c r="M239" s="1727"/>
      <c r="N239" s="1721"/>
      <c r="O239" s="785"/>
    </row>
    <row r="240" spans="1:15" s="783" customFormat="1" ht="54.75" customHeight="1">
      <c r="A240" s="776"/>
      <c r="B240" s="776" t="s">
        <v>2574</v>
      </c>
      <c r="C240" s="1856"/>
      <c r="D240" s="1869" t="s">
        <v>2558</v>
      </c>
      <c r="E240" s="1719">
        <v>2</v>
      </c>
      <c r="F240" s="1719" t="s">
        <v>1615</v>
      </c>
      <c r="G240" s="1725" t="s">
        <v>2450</v>
      </c>
      <c r="H240" s="1801"/>
      <c r="I240" s="1801"/>
      <c r="J240" s="1801"/>
      <c r="K240" s="1802"/>
      <c r="L240" s="1866">
        <v>20000</v>
      </c>
      <c r="M240" s="1727"/>
      <c r="N240" s="1721"/>
      <c r="O240" s="785"/>
    </row>
    <row r="241" spans="1:15" s="783" customFormat="1" ht="58.5" customHeight="1">
      <c r="A241" s="776"/>
      <c r="B241" s="776" t="s">
        <v>2574</v>
      </c>
      <c r="C241" s="1856"/>
      <c r="D241" s="1869" t="s">
        <v>2560</v>
      </c>
      <c r="E241" s="1719">
        <v>3</v>
      </c>
      <c r="F241" s="1719" t="s">
        <v>2039</v>
      </c>
      <c r="G241" s="1725" t="s">
        <v>2450</v>
      </c>
      <c r="H241" s="1801"/>
      <c r="I241" s="1801"/>
      <c r="J241" s="1801"/>
      <c r="K241" s="1802"/>
      <c r="L241" s="1866">
        <v>22500</v>
      </c>
      <c r="M241" s="1727"/>
      <c r="N241" s="1721"/>
      <c r="O241" s="785"/>
    </row>
    <row r="242" spans="1:15" s="783" customFormat="1" ht="50.25" customHeight="1">
      <c r="A242" s="776"/>
      <c r="B242" s="776" t="s">
        <v>2574</v>
      </c>
      <c r="C242" s="1856"/>
      <c r="D242" s="1857" t="s">
        <v>2562</v>
      </c>
      <c r="E242" s="1719">
        <v>5</v>
      </c>
      <c r="F242" s="1719" t="s">
        <v>2529</v>
      </c>
      <c r="G242" s="1725" t="s">
        <v>2450</v>
      </c>
      <c r="H242" s="1801"/>
      <c r="I242" s="1801"/>
      <c r="J242" s="1801"/>
      <c r="K242" s="1802"/>
      <c r="L242" s="1866">
        <v>40700</v>
      </c>
      <c r="M242" s="1727"/>
      <c r="N242" s="1721"/>
      <c r="O242" s="785"/>
    </row>
    <row r="243" spans="1:15" s="783" customFormat="1" ht="53.25" customHeight="1">
      <c r="A243" s="776"/>
      <c r="B243" s="776" t="s">
        <v>2574</v>
      </c>
      <c r="C243" s="1856"/>
      <c r="D243" s="1857" t="s">
        <v>2563</v>
      </c>
      <c r="E243" s="1719">
        <v>50</v>
      </c>
      <c r="F243" s="1719" t="s">
        <v>2039</v>
      </c>
      <c r="G243" s="1725" t="s">
        <v>2450</v>
      </c>
      <c r="H243" s="1801"/>
      <c r="I243" s="1801"/>
      <c r="J243" s="1801"/>
      <c r="K243" s="1802"/>
      <c r="L243" s="1866">
        <v>20000</v>
      </c>
      <c r="M243" s="1727"/>
      <c r="N243" s="1721"/>
      <c r="O243" s="785"/>
    </row>
    <row r="244" spans="1:15" s="783" customFormat="1" ht="57" customHeight="1">
      <c r="A244" s="776"/>
      <c r="B244" s="776" t="s">
        <v>2574</v>
      </c>
      <c r="C244" s="1856"/>
      <c r="D244" s="1871" t="s">
        <v>2564</v>
      </c>
      <c r="E244" s="1719">
        <v>3</v>
      </c>
      <c r="F244" s="1719" t="s">
        <v>1841</v>
      </c>
      <c r="G244" s="1725" t="s">
        <v>2450</v>
      </c>
      <c r="H244" s="1801"/>
      <c r="I244" s="1801"/>
      <c r="J244" s="1801"/>
      <c r="K244" s="1802"/>
      <c r="L244" s="1866">
        <v>1500</v>
      </c>
      <c r="M244" s="1727"/>
      <c r="N244" s="1721"/>
      <c r="O244" s="785"/>
    </row>
    <row r="245" spans="1:15" s="783" customFormat="1" ht="51.75" customHeight="1">
      <c r="A245" s="776"/>
      <c r="B245" s="776" t="s">
        <v>2574</v>
      </c>
      <c r="C245" s="1856"/>
      <c r="D245" s="1857" t="s">
        <v>2619</v>
      </c>
      <c r="E245" s="1719">
        <v>10</v>
      </c>
      <c r="F245" s="1719" t="s">
        <v>2620</v>
      </c>
      <c r="G245" s="1725" t="s">
        <v>2450</v>
      </c>
      <c r="H245" s="1801"/>
      <c r="I245" s="1801"/>
      <c r="J245" s="1801"/>
      <c r="K245" s="1802"/>
      <c r="L245" s="1866">
        <v>9000</v>
      </c>
      <c r="M245" s="1727"/>
      <c r="N245" s="1721"/>
      <c r="O245" s="785"/>
    </row>
    <row r="246" spans="1:15" s="783" customFormat="1" ht="54.75" customHeight="1">
      <c r="A246" s="776"/>
      <c r="B246" s="776" t="s">
        <v>2574</v>
      </c>
      <c r="C246" s="1856"/>
      <c r="D246" s="1857" t="s">
        <v>2565</v>
      </c>
      <c r="E246" s="1719">
        <v>10</v>
      </c>
      <c r="F246" s="1719" t="s">
        <v>1615</v>
      </c>
      <c r="G246" s="1725" t="s">
        <v>2450</v>
      </c>
      <c r="H246" s="1801"/>
      <c r="I246" s="1801"/>
      <c r="J246" s="1801"/>
      <c r="K246" s="1802"/>
      <c r="L246" s="1866">
        <v>97900</v>
      </c>
      <c r="M246" s="1727"/>
      <c r="N246" s="1721"/>
      <c r="O246" s="785"/>
    </row>
    <row r="247" spans="1:15" s="783" customFormat="1" ht="54.75" customHeight="1">
      <c r="A247" s="776"/>
      <c r="B247" s="776" t="s">
        <v>2574</v>
      </c>
      <c r="C247" s="1856"/>
      <c r="D247" s="1859" t="s">
        <v>2621</v>
      </c>
      <c r="E247" s="1719">
        <v>150</v>
      </c>
      <c r="F247" s="1719" t="s">
        <v>1571</v>
      </c>
      <c r="G247" s="1850" t="s">
        <v>2567</v>
      </c>
      <c r="H247" s="1801"/>
      <c r="I247" s="1801"/>
      <c r="J247" s="1801"/>
      <c r="K247" s="1802"/>
      <c r="L247" s="1866">
        <v>262500</v>
      </c>
      <c r="M247" s="1727"/>
      <c r="N247" s="1721"/>
      <c r="O247" s="785"/>
    </row>
    <row r="248" spans="1:15" s="783" customFormat="1" ht="53.25" customHeight="1">
      <c r="A248" s="776"/>
      <c r="B248" s="776" t="s">
        <v>2574</v>
      </c>
      <c r="C248" s="1856"/>
      <c r="D248" s="1857" t="s">
        <v>2568</v>
      </c>
      <c r="E248" s="1719">
        <v>15</v>
      </c>
      <c r="F248" s="1719" t="s">
        <v>1615</v>
      </c>
      <c r="G248" s="1725" t="s">
        <v>2450</v>
      </c>
      <c r="H248" s="1801"/>
      <c r="I248" s="1801"/>
      <c r="J248" s="1801"/>
      <c r="K248" s="1802"/>
      <c r="L248" s="1866">
        <v>4200</v>
      </c>
      <c r="M248" s="1727"/>
      <c r="N248" s="1721"/>
      <c r="O248" s="785"/>
    </row>
    <row r="249" spans="1:15" s="783" customFormat="1" ht="48" customHeight="1">
      <c r="A249" s="776"/>
      <c r="B249" s="776" t="s">
        <v>2574</v>
      </c>
      <c r="C249" s="1856"/>
      <c r="D249" s="1857" t="s">
        <v>2622</v>
      </c>
      <c r="E249" s="1719">
        <v>2</v>
      </c>
      <c r="F249" s="1719" t="s">
        <v>2334</v>
      </c>
      <c r="G249" s="1725" t="s">
        <v>2450</v>
      </c>
      <c r="H249" s="1801"/>
      <c r="I249" s="1801"/>
      <c r="J249" s="1801"/>
      <c r="K249" s="1802"/>
      <c r="L249" s="1866">
        <v>3000</v>
      </c>
      <c r="M249" s="1727"/>
      <c r="N249" s="1721"/>
      <c r="O249" s="785"/>
    </row>
    <row r="250" spans="1:15" s="783" customFormat="1" ht="48.75" customHeight="1">
      <c r="A250" s="776"/>
      <c r="B250" s="776" t="s">
        <v>2574</v>
      </c>
      <c r="C250" s="1856"/>
      <c r="D250" s="1857" t="s">
        <v>2569</v>
      </c>
      <c r="E250" s="1719">
        <v>2</v>
      </c>
      <c r="F250" s="1719" t="s">
        <v>1057</v>
      </c>
      <c r="G250" s="1725" t="s">
        <v>2450</v>
      </c>
      <c r="H250" s="1801"/>
      <c r="I250" s="1801"/>
      <c r="J250" s="1801"/>
      <c r="K250" s="1802"/>
      <c r="L250" s="1866">
        <v>1700</v>
      </c>
      <c r="M250" s="1727"/>
      <c r="N250" s="1721"/>
      <c r="O250" s="785"/>
    </row>
    <row r="251" spans="1:15" s="783" customFormat="1" ht="61.5" customHeight="1">
      <c r="A251" s="776"/>
      <c r="B251" s="776" t="s">
        <v>2574</v>
      </c>
      <c r="C251" s="1856"/>
      <c r="D251" s="1857" t="s">
        <v>2623</v>
      </c>
      <c r="E251" s="1719">
        <v>2</v>
      </c>
      <c r="F251" s="1719" t="s">
        <v>1057</v>
      </c>
      <c r="G251" s="1725" t="s">
        <v>2450</v>
      </c>
      <c r="H251" s="1801"/>
      <c r="I251" s="1801"/>
      <c r="J251" s="1801"/>
      <c r="K251" s="1802"/>
      <c r="L251" s="1866">
        <v>1700</v>
      </c>
      <c r="M251" s="1727"/>
      <c r="N251" s="1721"/>
      <c r="O251" s="785"/>
    </row>
    <row r="252" spans="1:15" s="783" customFormat="1" ht="54.75" customHeight="1">
      <c r="A252" s="776"/>
      <c r="B252" s="776" t="s">
        <v>2574</v>
      </c>
      <c r="C252" s="1856"/>
      <c r="D252" s="1857" t="s">
        <v>2624</v>
      </c>
      <c r="E252" s="1719">
        <v>5</v>
      </c>
      <c r="F252" s="1719" t="s">
        <v>761</v>
      </c>
      <c r="G252" s="1725" t="s">
        <v>2450</v>
      </c>
      <c r="H252" s="1801"/>
      <c r="I252" s="1801"/>
      <c r="J252" s="1801"/>
      <c r="K252" s="1802"/>
      <c r="L252" s="1866">
        <v>1750</v>
      </c>
      <c r="M252" s="1727"/>
      <c r="N252" s="1721"/>
      <c r="O252" s="785"/>
    </row>
    <row r="253" spans="1:15" s="783" customFormat="1" ht="54.75" customHeight="1">
      <c r="A253" s="776"/>
      <c r="B253" s="776" t="s">
        <v>2574</v>
      </c>
      <c r="C253" s="1856"/>
      <c r="D253" s="1857" t="s">
        <v>2571</v>
      </c>
      <c r="E253" s="1719"/>
      <c r="F253" s="1719" t="s">
        <v>1057</v>
      </c>
      <c r="G253" s="1725" t="s">
        <v>2450</v>
      </c>
      <c r="H253" s="1801"/>
      <c r="I253" s="1801"/>
      <c r="J253" s="1801"/>
      <c r="K253" s="1802"/>
      <c r="L253" s="1866"/>
      <c r="M253" s="1727"/>
      <c r="N253" s="1721"/>
      <c r="O253" s="785"/>
    </row>
    <row r="254" spans="1:15" s="783" customFormat="1" ht="46.5" customHeight="1">
      <c r="A254" s="776"/>
      <c r="B254" s="776" t="s">
        <v>2574</v>
      </c>
      <c r="C254" s="1856"/>
      <c r="D254" s="1867" t="s">
        <v>2572</v>
      </c>
      <c r="E254" s="1872">
        <v>4</v>
      </c>
      <c r="F254" s="1872" t="s">
        <v>1057</v>
      </c>
      <c r="G254" s="1725" t="s">
        <v>2450</v>
      </c>
      <c r="H254" s="1812"/>
      <c r="I254" s="1812"/>
      <c r="J254" s="1812"/>
      <c r="K254" s="1813"/>
      <c r="L254" s="1873">
        <v>40000</v>
      </c>
      <c r="M254" s="1714"/>
      <c r="N254" s="1821"/>
      <c r="O254" s="785"/>
    </row>
    <row r="255" spans="1:15" s="783" customFormat="1" ht="13.5">
      <c r="A255" s="776"/>
      <c r="B255" s="776"/>
      <c r="C255" s="2096"/>
      <c r="D255" s="2097"/>
      <c r="E255" s="2098"/>
      <c r="F255" s="2098"/>
      <c r="G255" s="2099"/>
      <c r="H255" s="1837"/>
      <c r="I255" s="1837"/>
      <c r="J255" s="1837"/>
      <c r="K255" s="2100"/>
      <c r="L255" s="2101"/>
      <c r="M255" s="2102"/>
      <c r="N255" s="1840"/>
      <c r="O255" s="785"/>
    </row>
    <row r="256" spans="1:15" s="783" customFormat="1" ht="13.5">
      <c r="A256" s="776"/>
      <c r="B256" s="776"/>
      <c r="C256" s="2096"/>
      <c r="D256" s="2097"/>
      <c r="E256" s="2098"/>
      <c r="F256" s="2098"/>
      <c r="G256" s="2099"/>
      <c r="H256" s="1837"/>
      <c r="I256" s="1837"/>
      <c r="J256" s="1837"/>
      <c r="K256" s="2100"/>
      <c r="L256" s="2101"/>
      <c r="M256" s="2102"/>
      <c r="N256" s="1840"/>
      <c r="O256" s="785"/>
    </row>
    <row r="257" spans="1:15" s="783" customFormat="1" ht="13.5">
      <c r="A257" s="776"/>
      <c r="B257" s="776"/>
      <c r="C257" s="2096"/>
      <c r="D257" s="2097"/>
      <c r="E257" s="2098"/>
      <c r="F257" s="2098"/>
      <c r="G257" s="2099"/>
      <c r="H257" s="1837"/>
      <c r="I257" s="1837"/>
      <c r="J257" s="1837"/>
      <c r="K257" s="2100"/>
      <c r="L257" s="2101"/>
      <c r="M257" s="2102"/>
      <c r="N257" s="1840"/>
      <c r="O257" s="785"/>
    </row>
    <row r="258" spans="1:15" s="783" customFormat="1" ht="38.25">
      <c r="A258" s="776"/>
      <c r="B258" s="776" t="s">
        <v>2929</v>
      </c>
      <c r="C258" s="2104" t="s">
        <v>3225</v>
      </c>
      <c r="D258" s="2041" t="s">
        <v>637</v>
      </c>
      <c r="E258" s="2045"/>
      <c r="F258" s="2048" t="s">
        <v>1764</v>
      </c>
      <c r="G258" s="2046" t="s">
        <v>1</v>
      </c>
      <c r="I258" s="2047"/>
      <c r="J258" s="2047"/>
      <c r="K258" s="2048" t="s">
        <v>748</v>
      </c>
      <c r="L258" s="2032"/>
      <c r="M258" s="2047" t="s">
        <v>2924</v>
      </c>
      <c r="N258" s="2048" t="s">
        <v>703</v>
      </c>
    </row>
    <row r="259" spans="1:15" s="783" customFormat="1">
      <c r="A259" s="776"/>
      <c r="B259" s="776" t="s">
        <v>2929</v>
      </c>
      <c r="C259" s="2105"/>
      <c r="D259" s="2043" t="s">
        <v>3226</v>
      </c>
      <c r="E259" s="2044">
        <v>6</v>
      </c>
      <c r="F259" s="2044" t="s">
        <v>3007</v>
      </c>
      <c r="G259" s="2049"/>
      <c r="H259" s="2008" t="s">
        <v>2213</v>
      </c>
      <c r="I259" s="2009">
        <v>46174</v>
      </c>
      <c r="J259" s="2010" t="s">
        <v>2215</v>
      </c>
      <c r="K259" s="2109"/>
      <c r="L259" s="2033">
        <v>1500</v>
      </c>
      <c r="M259" s="2110"/>
      <c r="N259" s="2050"/>
    </row>
    <row r="260" spans="1:15" s="783" customFormat="1">
      <c r="A260" s="776"/>
      <c r="B260" s="776" t="s">
        <v>2929</v>
      </c>
      <c r="C260" s="2105"/>
      <c r="D260" s="2043" t="s">
        <v>3227</v>
      </c>
      <c r="E260" s="2044">
        <v>30</v>
      </c>
      <c r="F260" s="2044" t="s">
        <v>3228</v>
      </c>
      <c r="G260" s="2049"/>
      <c r="H260" s="2008"/>
      <c r="I260" s="2008"/>
      <c r="J260" s="1588" t="s">
        <v>2927</v>
      </c>
      <c r="K260" s="2109"/>
      <c r="L260" s="2033">
        <v>13500</v>
      </c>
      <c r="M260" s="2110"/>
      <c r="N260" s="2050"/>
    </row>
    <row r="261" spans="1:15" s="783" customFormat="1">
      <c r="A261" s="776"/>
      <c r="B261" s="776" t="s">
        <v>2929</v>
      </c>
      <c r="C261" s="2105"/>
      <c r="D261" s="2043" t="s">
        <v>3229</v>
      </c>
      <c r="E261" s="2044">
        <v>30</v>
      </c>
      <c r="F261" s="2044" t="s">
        <v>3228</v>
      </c>
      <c r="G261" s="2099"/>
      <c r="H261" s="1837"/>
      <c r="I261" s="1837"/>
      <c r="J261" s="1837"/>
      <c r="K261" s="2100"/>
      <c r="L261" s="2033">
        <v>13500</v>
      </c>
      <c r="M261" s="2111"/>
      <c r="N261" s="1840"/>
      <c r="O261" s="785"/>
    </row>
    <row r="262" spans="1:15" s="783" customFormat="1">
      <c r="A262" s="776"/>
      <c r="B262" s="776" t="s">
        <v>2929</v>
      </c>
      <c r="C262" s="2105"/>
      <c r="D262" s="2043" t="s">
        <v>3230</v>
      </c>
      <c r="E262" s="2044">
        <v>15</v>
      </c>
      <c r="F262" s="2044" t="s">
        <v>3228</v>
      </c>
      <c r="G262" s="2099"/>
      <c r="H262" s="1837"/>
      <c r="I262" s="1837"/>
      <c r="J262" s="1837"/>
      <c r="K262" s="2100"/>
      <c r="L262" s="2033">
        <v>4500</v>
      </c>
      <c r="M262" s="2111"/>
      <c r="N262" s="1840"/>
      <c r="O262" s="785"/>
    </row>
    <row r="263" spans="1:15" s="783" customFormat="1">
      <c r="A263" s="776"/>
      <c r="B263" s="776" t="s">
        <v>2929</v>
      </c>
      <c r="C263" s="2105"/>
      <c r="D263" s="2043" t="s">
        <v>3231</v>
      </c>
      <c r="E263" s="2044">
        <v>3</v>
      </c>
      <c r="F263" s="2044" t="s">
        <v>3007</v>
      </c>
      <c r="G263" s="2099"/>
      <c r="H263" s="1837"/>
      <c r="I263" s="1837"/>
      <c r="J263" s="1837"/>
      <c r="K263" s="2100"/>
      <c r="L263" s="2033">
        <v>450</v>
      </c>
      <c r="M263" s="2111"/>
      <c r="N263" s="1840"/>
      <c r="O263" s="785"/>
    </row>
    <row r="264" spans="1:15" s="783" customFormat="1">
      <c r="A264" s="776"/>
      <c r="B264" s="776" t="s">
        <v>2929</v>
      </c>
      <c r="C264" s="2105"/>
      <c r="D264" s="2043" t="s">
        <v>3232</v>
      </c>
      <c r="E264" s="2044">
        <v>5</v>
      </c>
      <c r="F264" s="2044" t="s">
        <v>3233</v>
      </c>
      <c r="G264" s="2099"/>
      <c r="H264" s="1837"/>
      <c r="I264" s="1837"/>
      <c r="J264" s="1837"/>
      <c r="K264" s="2100"/>
      <c r="L264" s="2033">
        <v>3250</v>
      </c>
      <c r="M264" s="2111"/>
      <c r="N264" s="1840"/>
      <c r="O264" s="785"/>
    </row>
    <row r="265" spans="1:15" s="783" customFormat="1">
      <c r="A265" s="776"/>
      <c r="B265" s="776" t="s">
        <v>2929</v>
      </c>
      <c r="C265" s="2105"/>
      <c r="D265" s="2043" t="s">
        <v>3234</v>
      </c>
      <c r="E265" s="2044">
        <v>100</v>
      </c>
      <c r="F265" s="2044" t="s">
        <v>1885</v>
      </c>
      <c r="G265" s="2099"/>
      <c r="H265" s="1837"/>
      <c r="I265" s="1837"/>
      <c r="J265" s="1837"/>
      <c r="K265" s="2100"/>
      <c r="L265" s="2033">
        <v>17000</v>
      </c>
      <c r="M265" s="2111"/>
      <c r="N265" s="1840"/>
      <c r="O265" s="785"/>
    </row>
    <row r="266" spans="1:15" s="783" customFormat="1">
      <c r="A266" s="776"/>
      <c r="B266" s="776" t="s">
        <v>2929</v>
      </c>
      <c r="C266" s="2105"/>
      <c r="D266" s="2043" t="s">
        <v>3235</v>
      </c>
      <c r="E266" s="2044">
        <v>5</v>
      </c>
      <c r="F266" s="2044" t="s">
        <v>1057</v>
      </c>
      <c r="G266" s="2099"/>
      <c r="H266" s="1837"/>
      <c r="I266" s="1837"/>
      <c r="J266" s="1837"/>
      <c r="K266" s="2100"/>
      <c r="L266" s="2033">
        <v>2000</v>
      </c>
      <c r="M266" s="2111"/>
      <c r="N266" s="1840"/>
      <c r="O266" s="785"/>
    </row>
    <row r="267" spans="1:15" s="783" customFormat="1">
      <c r="A267" s="776"/>
      <c r="B267" s="776" t="s">
        <v>2929</v>
      </c>
      <c r="C267" s="2105"/>
      <c r="D267" s="2043" t="s">
        <v>3236</v>
      </c>
      <c r="E267" s="2044">
        <v>7</v>
      </c>
      <c r="F267" s="2044" t="s">
        <v>1793</v>
      </c>
      <c r="G267" s="2099"/>
      <c r="H267" s="1837"/>
      <c r="I267" s="1837"/>
      <c r="J267" s="1837"/>
      <c r="K267" s="2100"/>
      <c r="L267" s="2033">
        <v>4200</v>
      </c>
      <c r="M267" s="2111"/>
      <c r="N267" s="1840"/>
      <c r="O267" s="785"/>
    </row>
    <row r="268" spans="1:15" s="783" customFormat="1">
      <c r="A268" s="776"/>
      <c r="B268" s="776" t="s">
        <v>2929</v>
      </c>
      <c r="C268" s="2105"/>
      <c r="D268" s="2043" t="s">
        <v>3237</v>
      </c>
      <c r="E268" s="2044">
        <v>20</v>
      </c>
      <c r="F268" s="2044" t="s">
        <v>3007</v>
      </c>
      <c r="G268" s="2099"/>
      <c r="H268" s="1837"/>
      <c r="I268" s="1837"/>
      <c r="J268" s="1837"/>
      <c r="K268" s="2100"/>
      <c r="L268" s="2033">
        <v>432</v>
      </c>
      <c r="M268" s="2111"/>
      <c r="N268" s="1840"/>
      <c r="O268" s="785"/>
    </row>
    <row r="269" spans="1:15" s="783" customFormat="1">
      <c r="A269" s="776"/>
      <c r="B269" s="776" t="s">
        <v>2929</v>
      </c>
      <c r="C269" s="2105"/>
      <c r="D269" s="2043" t="s">
        <v>3238</v>
      </c>
      <c r="E269" s="2044">
        <v>20</v>
      </c>
      <c r="F269" s="2044" t="s">
        <v>3007</v>
      </c>
      <c r="G269" s="2099"/>
      <c r="H269" s="1837"/>
      <c r="I269" s="1837"/>
      <c r="J269" s="1837"/>
      <c r="K269" s="2100"/>
      <c r="L269" s="2033">
        <v>432</v>
      </c>
      <c r="M269" s="2111"/>
      <c r="N269" s="1840"/>
      <c r="O269" s="785"/>
    </row>
    <row r="270" spans="1:15" s="783" customFormat="1">
      <c r="A270" s="776"/>
      <c r="B270" s="776" t="s">
        <v>2929</v>
      </c>
      <c r="C270" s="2105"/>
      <c r="D270" s="2043" t="s">
        <v>3239</v>
      </c>
      <c r="E270" s="2044">
        <v>20</v>
      </c>
      <c r="F270" s="2044" t="s">
        <v>3007</v>
      </c>
      <c r="G270" s="2099"/>
      <c r="H270" s="1837"/>
      <c r="I270" s="1837"/>
      <c r="J270" s="1837"/>
      <c r="K270" s="2100"/>
      <c r="L270" s="2033">
        <v>700</v>
      </c>
      <c r="M270" s="2111"/>
      <c r="N270" s="1840"/>
      <c r="O270" s="785"/>
    </row>
    <row r="271" spans="1:15" s="783" customFormat="1">
      <c r="A271" s="776"/>
      <c r="B271" s="776" t="s">
        <v>2929</v>
      </c>
      <c r="C271" s="2105"/>
      <c r="D271" s="2043" t="s">
        <v>3240</v>
      </c>
      <c r="E271" s="2044">
        <v>20</v>
      </c>
      <c r="F271" s="2044" t="s">
        <v>1917</v>
      </c>
      <c r="G271" s="2099"/>
      <c r="H271" s="1837"/>
      <c r="I271" s="1837"/>
      <c r="J271" s="1837"/>
      <c r="K271" s="2100"/>
      <c r="L271" s="2033">
        <v>27000</v>
      </c>
      <c r="M271" s="2111"/>
      <c r="N271" s="1840"/>
      <c r="O271" s="785"/>
    </row>
    <row r="272" spans="1:15" s="783" customFormat="1">
      <c r="A272" s="776"/>
      <c r="B272" s="776" t="s">
        <v>2929</v>
      </c>
      <c r="C272" s="2105"/>
      <c r="D272" s="2043" t="s">
        <v>3241</v>
      </c>
      <c r="E272" s="2044">
        <v>7</v>
      </c>
      <c r="F272" s="2044" t="s">
        <v>2990</v>
      </c>
      <c r="G272" s="2099"/>
      <c r="H272" s="1837"/>
      <c r="I272" s="1837"/>
      <c r="J272" s="1837"/>
      <c r="K272" s="2100"/>
      <c r="L272" s="2033">
        <v>385</v>
      </c>
      <c r="M272" s="2111"/>
      <c r="N272" s="1840"/>
      <c r="O272" s="785"/>
    </row>
    <row r="273" spans="1:15" s="783" customFormat="1">
      <c r="A273" s="776"/>
      <c r="B273" s="776" t="s">
        <v>2929</v>
      </c>
      <c r="C273" s="2105"/>
      <c r="D273" s="2043" t="s">
        <v>3242</v>
      </c>
      <c r="E273" s="2044">
        <v>40</v>
      </c>
      <c r="F273" s="2044" t="s">
        <v>3004</v>
      </c>
      <c r="G273" s="2099"/>
      <c r="H273" s="1837"/>
      <c r="I273" s="1837"/>
      <c r="J273" s="1837"/>
      <c r="K273" s="2100"/>
      <c r="L273" s="2033">
        <v>4600</v>
      </c>
      <c r="M273" s="2111"/>
      <c r="N273" s="1840"/>
      <c r="O273" s="785"/>
    </row>
    <row r="274" spans="1:15" s="783" customFormat="1">
      <c r="A274" s="776"/>
      <c r="B274" s="776" t="s">
        <v>2929</v>
      </c>
      <c r="C274" s="2105"/>
      <c r="D274" s="2043" t="s">
        <v>3243</v>
      </c>
      <c r="E274" s="2044">
        <v>30</v>
      </c>
      <c r="F274" s="2044" t="s">
        <v>3233</v>
      </c>
      <c r="G274" s="2099"/>
      <c r="H274" s="1837"/>
      <c r="I274" s="1837"/>
      <c r="J274" s="1837"/>
      <c r="K274" s="2100"/>
      <c r="L274" s="2033">
        <v>7500</v>
      </c>
      <c r="M274" s="2111"/>
      <c r="N274" s="1840"/>
      <c r="O274" s="785"/>
    </row>
    <row r="275" spans="1:15" s="783" customFormat="1">
      <c r="A275" s="776"/>
      <c r="B275" s="776" t="s">
        <v>2929</v>
      </c>
      <c r="C275" s="2105"/>
      <c r="D275" s="2043" t="s">
        <v>3244</v>
      </c>
      <c r="E275" s="2044">
        <v>10</v>
      </c>
      <c r="F275" s="2044" t="s">
        <v>3007</v>
      </c>
      <c r="G275" s="2099"/>
      <c r="H275" s="1837"/>
      <c r="I275" s="1837"/>
      <c r="J275" s="1837"/>
      <c r="K275" s="2100"/>
      <c r="L275" s="2033">
        <v>21000</v>
      </c>
      <c r="M275" s="2111"/>
      <c r="N275" s="1840"/>
      <c r="O275" s="785"/>
    </row>
    <row r="276" spans="1:15" s="783" customFormat="1">
      <c r="A276" s="776"/>
      <c r="B276" s="776" t="s">
        <v>2929</v>
      </c>
      <c r="C276" s="2105"/>
      <c r="D276" s="2106" t="s">
        <v>2473</v>
      </c>
      <c r="E276" s="2107">
        <v>49</v>
      </c>
      <c r="F276" s="2107" t="s">
        <v>1885</v>
      </c>
      <c r="G276" s="2099"/>
      <c r="H276" s="1837"/>
      <c r="I276" s="1837"/>
      <c r="J276" s="1837"/>
      <c r="K276" s="2100"/>
      <c r="L276" s="2033">
        <v>2205</v>
      </c>
      <c r="M276" s="2111"/>
      <c r="N276" s="1840"/>
      <c r="O276" s="785"/>
    </row>
    <row r="277" spans="1:15" s="783" customFormat="1">
      <c r="A277" s="776"/>
      <c r="B277" s="776" t="s">
        <v>2929</v>
      </c>
      <c r="C277" s="2105"/>
      <c r="D277" s="2106" t="s">
        <v>3245</v>
      </c>
      <c r="E277" s="2107">
        <v>40</v>
      </c>
      <c r="F277" s="2107" t="s">
        <v>3007</v>
      </c>
      <c r="G277" s="2099"/>
      <c r="H277" s="1837"/>
      <c r="I277" s="1837"/>
      <c r="J277" s="1837"/>
      <c r="K277" s="2100"/>
      <c r="L277" s="2033">
        <v>22000</v>
      </c>
      <c r="M277" s="2111"/>
      <c r="N277" s="1840"/>
      <c r="O277" s="785"/>
    </row>
    <row r="278" spans="1:15" s="783" customFormat="1">
      <c r="A278" s="776"/>
      <c r="B278" s="776" t="s">
        <v>2929</v>
      </c>
      <c r="C278" s="2105"/>
      <c r="D278" s="2106" t="s">
        <v>3246</v>
      </c>
      <c r="E278" s="2107">
        <v>40</v>
      </c>
      <c r="F278" s="2107" t="s">
        <v>3007</v>
      </c>
      <c r="G278" s="2099"/>
      <c r="H278" s="1837"/>
      <c r="I278" s="1837"/>
      <c r="J278" s="1837"/>
      <c r="K278" s="2100"/>
      <c r="L278" s="2033">
        <v>18000</v>
      </c>
      <c r="M278" s="2111"/>
      <c r="N278" s="1840"/>
      <c r="O278" s="785"/>
    </row>
    <row r="279" spans="1:15" s="783" customFormat="1">
      <c r="A279" s="776"/>
      <c r="B279" s="776" t="s">
        <v>2929</v>
      </c>
      <c r="C279" s="2105"/>
      <c r="D279" s="2106" t="s">
        <v>3247</v>
      </c>
      <c r="E279" s="2107">
        <v>100</v>
      </c>
      <c r="F279" s="2107" t="s">
        <v>3248</v>
      </c>
      <c r="G279" s="2099"/>
      <c r="H279" s="1837"/>
      <c r="I279" s="1837"/>
      <c r="J279" s="1837"/>
      <c r="K279" s="2100"/>
      <c r="L279" s="2033">
        <v>15000</v>
      </c>
      <c r="M279" s="2111"/>
      <c r="N279" s="1840"/>
      <c r="O279" s="785"/>
    </row>
    <row r="280" spans="1:15" s="783" customFormat="1">
      <c r="A280" s="776"/>
      <c r="B280" s="776" t="s">
        <v>2929</v>
      </c>
      <c r="C280" s="2105"/>
      <c r="D280" s="2106" t="s">
        <v>3249</v>
      </c>
      <c r="E280" s="2107">
        <v>50</v>
      </c>
      <c r="F280" s="2107" t="s">
        <v>3007</v>
      </c>
      <c r="G280" s="2099"/>
      <c r="H280" s="1837"/>
      <c r="I280" s="1837"/>
      <c r="J280" s="1837"/>
      <c r="K280" s="2100"/>
      <c r="L280" s="2033">
        <v>17500</v>
      </c>
      <c r="M280" s="2111"/>
      <c r="N280" s="1840"/>
      <c r="O280" s="785"/>
    </row>
    <row r="281" spans="1:15" s="783" customFormat="1">
      <c r="A281" s="776"/>
      <c r="B281" s="776" t="s">
        <v>2929</v>
      </c>
      <c r="C281" s="2105"/>
      <c r="D281" s="2106" t="s">
        <v>3250</v>
      </c>
      <c r="E281" s="2107">
        <v>60</v>
      </c>
      <c r="F281" s="2107" t="s">
        <v>3007</v>
      </c>
      <c r="G281" s="2099"/>
      <c r="H281" s="1837"/>
      <c r="I281" s="1837"/>
      <c r="J281" s="1837"/>
      <c r="K281" s="2100"/>
      <c r="L281" s="2033">
        <v>15000</v>
      </c>
      <c r="M281" s="2111"/>
      <c r="N281" s="1840"/>
      <c r="O281" s="785"/>
    </row>
    <row r="282" spans="1:15" s="783" customFormat="1">
      <c r="A282" s="776"/>
      <c r="B282" s="776" t="s">
        <v>2929</v>
      </c>
      <c r="C282" s="2105"/>
      <c r="D282" s="2106" t="s">
        <v>3251</v>
      </c>
      <c r="E282" s="2107">
        <v>100</v>
      </c>
      <c r="F282" s="2107" t="s">
        <v>3007</v>
      </c>
      <c r="G282" s="2099"/>
      <c r="H282" s="1837"/>
      <c r="I282" s="1837"/>
      <c r="J282" s="1837"/>
      <c r="K282" s="2100"/>
      <c r="L282" s="2033">
        <v>100000</v>
      </c>
      <c r="M282" s="2111"/>
      <c r="N282" s="1840"/>
      <c r="O282" s="785"/>
    </row>
    <row r="283" spans="1:15" s="783" customFormat="1">
      <c r="A283" s="776"/>
      <c r="B283" s="776" t="s">
        <v>2929</v>
      </c>
      <c r="C283" s="2105"/>
      <c r="D283" s="2106" t="s">
        <v>801</v>
      </c>
      <c r="E283" s="2107">
        <v>20</v>
      </c>
      <c r="F283" s="2107" t="s">
        <v>1917</v>
      </c>
      <c r="G283" s="2099"/>
      <c r="H283" s="1837"/>
      <c r="I283" s="1837"/>
      <c r="J283" s="1837"/>
      <c r="K283" s="2100"/>
      <c r="L283" s="2033">
        <v>1600</v>
      </c>
      <c r="M283" s="2111"/>
      <c r="N283" s="1840"/>
      <c r="O283" s="785"/>
    </row>
    <row r="284" spans="1:15" s="783" customFormat="1">
      <c r="A284" s="776"/>
      <c r="B284" s="776" t="s">
        <v>2929</v>
      </c>
      <c r="C284" s="2105"/>
      <c r="D284" s="2106" t="s">
        <v>3252</v>
      </c>
      <c r="E284" s="2107">
        <v>80</v>
      </c>
      <c r="F284" s="2107" t="s">
        <v>3253</v>
      </c>
      <c r="G284" s="2099"/>
      <c r="H284" s="1837"/>
      <c r="I284" s="1837"/>
      <c r="J284" s="1837"/>
      <c r="K284" s="2100"/>
      <c r="L284" s="2033">
        <v>10400</v>
      </c>
      <c r="M284" s="2111"/>
      <c r="N284" s="1840"/>
      <c r="O284" s="785"/>
    </row>
    <row r="285" spans="1:15" s="783" customFormat="1">
      <c r="A285" s="776"/>
      <c r="B285" s="776" t="s">
        <v>2929</v>
      </c>
      <c r="C285" s="2105"/>
      <c r="D285" s="2106" t="s">
        <v>3254</v>
      </c>
      <c r="E285" s="2107">
        <v>10</v>
      </c>
      <c r="F285" s="2107" t="s">
        <v>808</v>
      </c>
      <c r="G285" s="2099"/>
      <c r="H285" s="1837"/>
      <c r="I285" s="1837"/>
      <c r="J285" s="1837"/>
      <c r="K285" s="2100"/>
      <c r="L285" s="2033">
        <v>4500</v>
      </c>
      <c r="M285" s="2111"/>
      <c r="N285" s="1840"/>
      <c r="O285" s="785"/>
    </row>
    <row r="286" spans="1:15" s="783" customFormat="1">
      <c r="A286" s="776"/>
      <c r="B286" s="776" t="s">
        <v>2929</v>
      </c>
      <c r="C286" s="2105"/>
      <c r="D286" s="2106" t="s">
        <v>3255</v>
      </c>
      <c r="E286" s="2107">
        <v>30</v>
      </c>
      <c r="F286" s="2107" t="s">
        <v>3256</v>
      </c>
      <c r="G286" s="2099"/>
      <c r="H286" s="1837"/>
      <c r="I286" s="1837"/>
      <c r="J286" s="1837"/>
      <c r="K286" s="2100"/>
      <c r="L286" s="2033">
        <v>1740</v>
      </c>
      <c r="M286" s="2111"/>
      <c r="N286" s="1840"/>
      <c r="O286" s="785"/>
    </row>
    <row r="287" spans="1:15" s="783" customFormat="1">
      <c r="A287" s="776"/>
      <c r="B287" s="776" t="s">
        <v>2929</v>
      </c>
      <c r="C287" s="2105"/>
      <c r="D287" s="2106" t="s">
        <v>3257</v>
      </c>
      <c r="E287" s="2107">
        <v>50</v>
      </c>
      <c r="F287" s="2107" t="s">
        <v>1885</v>
      </c>
      <c r="G287" s="2099"/>
      <c r="H287" s="1837"/>
      <c r="I287" s="1837"/>
      <c r="J287" s="1837"/>
      <c r="K287" s="2100"/>
      <c r="L287" s="2033">
        <v>3000</v>
      </c>
      <c r="M287" s="2111"/>
      <c r="N287" s="1840"/>
      <c r="O287" s="785"/>
    </row>
    <row r="288" spans="1:15" s="783" customFormat="1">
      <c r="A288" s="776"/>
      <c r="B288" s="776" t="s">
        <v>2929</v>
      </c>
      <c r="C288" s="2105"/>
      <c r="D288" s="2106" t="s">
        <v>3258</v>
      </c>
      <c r="E288" s="2107">
        <v>50</v>
      </c>
      <c r="F288" s="2107" t="s">
        <v>1885</v>
      </c>
      <c r="G288" s="2099"/>
      <c r="H288" s="1837"/>
      <c r="I288" s="1837"/>
      <c r="J288" s="1837"/>
      <c r="K288" s="2100"/>
      <c r="L288" s="2033">
        <v>3500</v>
      </c>
      <c r="M288" s="2111"/>
      <c r="N288" s="1840"/>
      <c r="O288" s="785"/>
    </row>
    <row r="289" spans="1:15" s="783" customFormat="1">
      <c r="A289" s="776"/>
      <c r="B289" s="776" t="s">
        <v>2929</v>
      </c>
      <c r="C289" s="2105"/>
      <c r="D289" s="2106" t="s">
        <v>3259</v>
      </c>
      <c r="E289" s="2107">
        <v>50</v>
      </c>
      <c r="F289" s="2107" t="s">
        <v>1885</v>
      </c>
      <c r="G289" s="2099"/>
      <c r="H289" s="1837"/>
      <c r="I289" s="1837"/>
      <c r="J289" s="1837"/>
      <c r="K289" s="2100"/>
      <c r="L289" s="2033">
        <v>5000</v>
      </c>
      <c r="M289" s="2111"/>
      <c r="N289" s="1840"/>
      <c r="O289" s="785"/>
    </row>
    <row r="290" spans="1:15" s="783" customFormat="1">
      <c r="A290" s="776"/>
      <c r="B290" s="776" t="s">
        <v>2929</v>
      </c>
      <c r="C290" s="2105"/>
      <c r="D290" s="2106" t="s">
        <v>3260</v>
      </c>
      <c r="E290" s="2107">
        <v>50</v>
      </c>
      <c r="F290" s="2107" t="s">
        <v>1885</v>
      </c>
      <c r="G290" s="2099"/>
      <c r="H290" s="1837"/>
      <c r="I290" s="1837"/>
      <c r="J290" s="1837"/>
      <c r="K290" s="2100"/>
      <c r="L290" s="2033">
        <v>87500</v>
      </c>
      <c r="M290" s="2111"/>
      <c r="N290" s="1840"/>
      <c r="O290" s="785"/>
    </row>
    <row r="291" spans="1:15" s="783" customFormat="1">
      <c r="A291" s="776"/>
      <c r="B291" s="776" t="s">
        <v>2929</v>
      </c>
      <c r="C291" s="2105"/>
      <c r="D291" s="2106" t="s">
        <v>1860</v>
      </c>
      <c r="E291" s="2107">
        <v>20</v>
      </c>
      <c r="F291" s="2107" t="s">
        <v>3007</v>
      </c>
      <c r="G291" s="2099"/>
      <c r="H291" s="1837"/>
      <c r="I291" s="1837"/>
      <c r="J291" s="1837"/>
      <c r="K291" s="2100"/>
      <c r="L291" s="2033">
        <v>600</v>
      </c>
      <c r="M291" s="2111"/>
      <c r="N291" s="1840"/>
      <c r="O291" s="785"/>
    </row>
    <row r="292" spans="1:15" s="783" customFormat="1">
      <c r="A292" s="776"/>
      <c r="B292" s="776" t="s">
        <v>2929</v>
      </c>
      <c r="C292" s="2105"/>
      <c r="D292" s="2106" t="s">
        <v>3261</v>
      </c>
      <c r="E292" s="2107">
        <v>100</v>
      </c>
      <c r="F292" s="2107" t="s">
        <v>3007</v>
      </c>
      <c r="G292" s="2099"/>
      <c r="H292" s="1837"/>
      <c r="I292" s="1837"/>
      <c r="J292" s="1837"/>
      <c r="K292" s="2100"/>
      <c r="L292" s="2033">
        <v>10500</v>
      </c>
      <c r="M292" s="2111"/>
      <c r="N292" s="1840"/>
      <c r="O292" s="785"/>
    </row>
    <row r="293" spans="1:15" s="783" customFormat="1">
      <c r="A293" s="776"/>
      <c r="B293" s="776" t="s">
        <v>2929</v>
      </c>
      <c r="C293" s="2105"/>
      <c r="D293" s="2106" t="s">
        <v>3262</v>
      </c>
      <c r="E293" s="2107">
        <v>300</v>
      </c>
      <c r="F293" s="2107" t="s">
        <v>1885</v>
      </c>
      <c r="G293" s="2099"/>
      <c r="H293" s="1837"/>
      <c r="I293" s="1837"/>
      <c r="J293" s="1837"/>
      <c r="K293" s="2100"/>
      <c r="L293" s="2033">
        <v>24000</v>
      </c>
      <c r="M293" s="2111"/>
      <c r="N293" s="1840"/>
      <c r="O293" s="785"/>
    </row>
    <row r="294" spans="1:15" s="783" customFormat="1">
      <c r="A294" s="776"/>
      <c r="B294" s="776" t="s">
        <v>2929</v>
      </c>
      <c r="C294" s="2105"/>
      <c r="D294" s="2106" t="s">
        <v>3263</v>
      </c>
      <c r="E294" s="2107">
        <v>4</v>
      </c>
      <c r="F294" s="2107" t="s">
        <v>1885</v>
      </c>
      <c r="G294" s="2099"/>
      <c r="H294" s="1837"/>
      <c r="I294" s="1837"/>
      <c r="J294" s="1837"/>
      <c r="K294" s="2100"/>
      <c r="L294" s="2033">
        <v>16800</v>
      </c>
      <c r="M294" s="2111"/>
      <c r="N294" s="1840"/>
      <c r="O294" s="785"/>
    </row>
    <row r="295" spans="1:15" s="783" customFormat="1">
      <c r="A295" s="776"/>
      <c r="B295" s="776" t="s">
        <v>2929</v>
      </c>
      <c r="C295" s="2105"/>
      <c r="D295" s="2106" t="s">
        <v>3264</v>
      </c>
      <c r="E295" s="2107">
        <v>30</v>
      </c>
      <c r="F295" s="2107" t="s">
        <v>1885</v>
      </c>
      <c r="G295" s="2099"/>
      <c r="H295" s="1837"/>
      <c r="I295" s="1837"/>
      <c r="J295" s="1837"/>
      <c r="K295" s="2100"/>
      <c r="L295" s="2033">
        <v>13500</v>
      </c>
      <c r="M295" s="2111"/>
      <c r="N295" s="1840"/>
      <c r="O295" s="785"/>
    </row>
    <row r="296" spans="1:15" s="783" customFormat="1">
      <c r="A296" s="776"/>
      <c r="B296" s="776" t="s">
        <v>2929</v>
      </c>
      <c r="C296" s="2105"/>
      <c r="D296" s="2106" t="s">
        <v>3265</v>
      </c>
      <c r="E296" s="2107">
        <v>30</v>
      </c>
      <c r="F296" s="2107" t="s">
        <v>1885</v>
      </c>
      <c r="G296" s="2099"/>
      <c r="H296" s="1837"/>
      <c r="I296" s="1837"/>
      <c r="J296" s="1837"/>
      <c r="K296" s="2100"/>
      <c r="L296" s="2033">
        <v>9000</v>
      </c>
      <c r="M296" s="2111"/>
      <c r="N296" s="1840"/>
      <c r="O296" s="785"/>
    </row>
    <row r="297" spans="1:15" s="783" customFormat="1">
      <c r="A297" s="776"/>
      <c r="B297" s="776" t="s">
        <v>2929</v>
      </c>
      <c r="C297" s="2105"/>
      <c r="D297" s="2106" t="s">
        <v>3266</v>
      </c>
      <c r="E297" s="2107">
        <v>30</v>
      </c>
      <c r="F297" s="2107" t="s">
        <v>1885</v>
      </c>
      <c r="G297" s="2099"/>
      <c r="H297" s="1837"/>
      <c r="I297" s="1837"/>
      <c r="J297" s="1837"/>
      <c r="K297" s="2100"/>
      <c r="L297" s="2033">
        <v>12000</v>
      </c>
      <c r="M297" s="2111"/>
      <c r="N297" s="1840"/>
      <c r="O297" s="785"/>
    </row>
    <row r="298" spans="1:15" s="783" customFormat="1">
      <c r="A298" s="776"/>
      <c r="B298" s="776" t="s">
        <v>2929</v>
      </c>
      <c r="C298" s="2105"/>
      <c r="D298" s="2106" t="s">
        <v>3267</v>
      </c>
      <c r="E298" s="2107">
        <v>30</v>
      </c>
      <c r="F298" s="2107" t="s">
        <v>1885</v>
      </c>
      <c r="G298" s="2099"/>
      <c r="H298" s="1837"/>
      <c r="I298" s="1837"/>
      <c r="J298" s="1837"/>
      <c r="K298" s="2100"/>
      <c r="L298" s="2033">
        <v>10500</v>
      </c>
      <c r="M298" s="2111"/>
      <c r="N298" s="1840"/>
      <c r="O298" s="785"/>
    </row>
    <row r="299" spans="1:15" s="783" customFormat="1">
      <c r="A299" s="776"/>
      <c r="B299" s="776" t="s">
        <v>2929</v>
      </c>
      <c r="C299" s="2105"/>
      <c r="D299" s="2106" t="s">
        <v>3268</v>
      </c>
      <c r="E299" s="2107">
        <v>30</v>
      </c>
      <c r="F299" s="2107" t="s">
        <v>1885</v>
      </c>
      <c r="G299" s="2099"/>
      <c r="H299" s="1837"/>
      <c r="I299" s="1837"/>
      <c r="J299" s="1837"/>
      <c r="K299" s="2100"/>
      <c r="L299" s="2033">
        <v>12000</v>
      </c>
      <c r="M299" s="2111"/>
      <c r="N299" s="1840"/>
      <c r="O299" s="785"/>
    </row>
    <row r="300" spans="1:15" s="783" customFormat="1">
      <c r="A300" s="776"/>
      <c r="B300" s="776" t="s">
        <v>2929</v>
      </c>
      <c r="C300" s="2105"/>
      <c r="D300" s="2106" t="s">
        <v>3269</v>
      </c>
      <c r="E300" s="2107">
        <v>15</v>
      </c>
      <c r="F300" s="2107" t="s">
        <v>3004</v>
      </c>
      <c r="G300" s="2099"/>
      <c r="H300" s="1837"/>
      <c r="I300" s="1837"/>
      <c r="J300" s="1837"/>
      <c r="K300" s="2100"/>
      <c r="L300" s="2033">
        <v>2184.5</v>
      </c>
      <c r="M300" s="2111"/>
      <c r="N300" s="1840"/>
      <c r="O300" s="785"/>
    </row>
    <row r="301" spans="1:15" s="783" customFormat="1">
      <c r="A301" s="776"/>
      <c r="B301" s="776" t="s">
        <v>2929</v>
      </c>
      <c r="C301" s="2105"/>
      <c r="D301" s="2106" t="s">
        <v>3270</v>
      </c>
      <c r="E301" s="2107">
        <v>20</v>
      </c>
      <c r="F301" s="2107" t="s">
        <v>3007</v>
      </c>
      <c r="G301" s="2099"/>
      <c r="H301" s="1837"/>
      <c r="I301" s="1837"/>
      <c r="J301" s="1837"/>
      <c r="K301" s="2100"/>
      <c r="L301" s="2033">
        <v>18900</v>
      </c>
      <c r="M301" s="2111"/>
      <c r="N301" s="1840"/>
      <c r="O301" s="785"/>
    </row>
    <row r="302" spans="1:15" s="783" customFormat="1">
      <c r="A302" s="776"/>
      <c r="B302" s="776" t="s">
        <v>2929</v>
      </c>
      <c r="C302" s="2105"/>
      <c r="D302" s="2106" t="s">
        <v>3271</v>
      </c>
      <c r="E302" s="2107">
        <v>30</v>
      </c>
      <c r="F302" s="2107" t="s">
        <v>3007</v>
      </c>
      <c r="G302" s="2099"/>
      <c r="H302" s="1837"/>
      <c r="I302" s="1837"/>
      <c r="J302" s="1837"/>
      <c r="K302" s="2100"/>
      <c r="L302" s="2033">
        <v>16470</v>
      </c>
      <c r="M302" s="2111"/>
      <c r="N302" s="1840"/>
      <c r="O302" s="785"/>
    </row>
    <row r="303" spans="1:15" s="783" customFormat="1">
      <c r="A303" s="776"/>
      <c r="B303" s="776" t="s">
        <v>2929</v>
      </c>
      <c r="C303" s="2105"/>
      <c r="D303" s="2106" t="s">
        <v>3272</v>
      </c>
      <c r="E303" s="2107">
        <v>30</v>
      </c>
      <c r="F303" s="2107" t="s">
        <v>3007</v>
      </c>
      <c r="G303" s="2099"/>
      <c r="H303" s="1837"/>
      <c r="I303" s="1837"/>
      <c r="J303" s="1837"/>
      <c r="K303" s="2100"/>
      <c r="L303" s="2033">
        <v>16500</v>
      </c>
      <c r="M303" s="2111"/>
      <c r="N303" s="1840"/>
      <c r="O303" s="785"/>
    </row>
    <row r="304" spans="1:15" s="783" customFormat="1">
      <c r="A304" s="776"/>
      <c r="B304" s="776" t="s">
        <v>2929</v>
      </c>
      <c r="C304" s="2105"/>
      <c r="D304" s="2106" t="s">
        <v>3273</v>
      </c>
      <c r="E304" s="2107">
        <v>30</v>
      </c>
      <c r="F304" s="2107" t="s">
        <v>3007</v>
      </c>
      <c r="G304" s="2099"/>
      <c r="H304" s="1837"/>
      <c r="I304" s="1837"/>
      <c r="J304" s="1837"/>
      <c r="K304" s="2100"/>
      <c r="L304" s="2033">
        <v>6000</v>
      </c>
      <c r="M304" s="2111"/>
      <c r="N304" s="1840"/>
      <c r="O304" s="785"/>
    </row>
    <row r="305" spans="1:15" s="783" customFormat="1">
      <c r="A305" s="776"/>
      <c r="B305" s="776" t="s">
        <v>2929</v>
      </c>
      <c r="C305" s="2105"/>
      <c r="D305" s="2106" t="s">
        <v>3274</v>
      </c>
      <c r="E305" s="2107">
        <v>2</v>
      </c>
      <c r="F305" s="2107" t="s">
        <v>3275</v>
      </c>
      <c r="G305" s="2099"/>
      <c r="H305" s="1837"/>
      <c r="I305" s="1837"/>
      <c r="J305" s="1837"/>
      <c r="K305" s="2100"/>
      <c r="L305" s="2033">
        <v>1400</v>
      </c>
      <c r="M305" s="2111"/>
      <c r="N305" s="1840"/>
      <c r="O305" s="785"/>
    </row>
    <row r="306" spans="1:15" s="783" customFormat="1">
      <c r="A306" s="776"/>
      <c r="B306" s="776" t="s">
        <v>2929</v>
      </c>
      <c r="C306" s="2105"/>
      <c r="D306" s="2106" t="s">
        <v>3276</v>
      </c>
      <c r="E306" s="2107">
        <v>2</v>
      </c>
      <c r="F306" s="2107" t="s">
        <v>3007</v>
      </c>
      <c r="G306" s="2099"/>
      <c r="H306" s="1837"/>
      <c r="I306" s="1837"/>
      <c r="J306" s="1837"/>
      <c r="K306" s="2100"/>
      <c r="L306" s="2033">
        <v>11000</v>
      </c>
      <c r="M306" s="2111"/>
      <c r="N306" s="1840"/>
      <c r="O306" s="785"/>
    </row>
    <row r="307" spans="1:15" s="783" customFormat="1">
      <c r="A307" s="776"/>
      <c r="B307" s="776" t="s">
        <v>2929</v>
      </c>
      <c r="C307" s="2105"/>
      <c r="D307" s="2106" t="s">
        <v>3277</v>
      </c>
      <c r="E307" s="2107">
        <v>2</v>
      </c>
      <c r="F307" s="2107" t="s">
        <v>3278</v>
      </c>
      <c r="G307" s="2099"/>
      <c r="H307" s="1837"/>
      <c r="I307" s="1837"/>
      <c r="J307" s="1837"/>
      <c r="K307" s="2100"/>
      <c r="L307" s="2033">
        <v>17000</v>
      </c>
      <c r="M307" s="2111"/>
      <c r="N307" s="1840"/>
      <c r="O307" s="785"/>
    </row>
    <row r="308" spans="1:15" s="783" customFormat="1">
      <c r="A308" s="776"/>
      <c r="B308" s="776" t="s">
        <v>2929</v>
      </c>
      <c r="C308" s="2105"/>
      <c r="D308" s="2106" t="s">
        <v>3279</v>
      </c>
      <c r="E308" s="2107">
        <v>10</v>
      </c>
      <c r="F308" s="2107" t="s">
        <v>1057</v>
      </c>
      <c r="G308" s="2099"/>
      <c r="H308" s="1837"/>
      <c r="I308" s="1837"/>
      <c r="J308" s="1837"/>
      <c r="K308" s="2100"/>
      <c r="L308" s="2033">
        <v>55000</v>
      </c>
      <c r="M308" s="2111"/>
      <c r="N308" s="1840"/>
      <c r="O308" s="785"/>
    </row>
    <row r="309" spans="1:15" s="783" customFormat="1">
      <c r="A309" s="776"/>
      <c r="B309" s="776" t="s">
        <v>2929</v>
      </c>
      <c r="C309" s="2105"/>
      <c r="D309" s="2106" t="s">
        <v>3280</v>
      </c>
      <c r="E309" s="2107">
        <v>50</v>
      </c>
      <c r="F309" s="2107" t="s">
        <v>3248</v>
      </c>
      <c r="G309" s="2099"/>
      <c r="H309" s="1837"/>
      <c r="I309" s="1837"/>
      <c r="J309" s="1837"/>
      <c r="K309" s="2100"/>
      <c r="L309" s="2033">
        <v>8500</v>
      </c>
      <c r="M309" s="2111"/>
      <c r="N309" s="1840"/>
      <c r="O309" s="785"/>
    </row>
    <row r="310" spans="1:15" s="783" customFormat="1">
      <c r="A310" s="776"/>
      <c r="B310" s="776" t="s">
        <v>2929</v>
      </c>
      <c r="C310" s="2105"/>
      <c r="D310" s="2106" t="s">
        <v>3281</v>
      </c>
      <c r="E310" s="2107">
        <v>3</v>
      </c>
      <c r="F310" s="2107" t="s">
        <v>1057</v>
      </c>
      <c r="G310" s="2099"/>
      <c r="H310" s="1837"/>
      <c r="I310" s="1837"/>
      <c r="J310" s="1837"/>
      <c r="K310" s="2100"/>
      <c r="L310" s="2033">
        <v>22500</v>
      </c>
      <c r="M310" s="2111"/>
      <c r="N310" s="1840"/>
      <c r="O310" s="785"/>
    </row>
    <row r="311" spans="1:15" s="783" customFormat="1">
      <c r="A311" s="776"/>
      <c r="B311" s="776" t="s">
        <v>2929</v>
      </c>
      <c r="C311" s="2105"/>
      <c r="D311" s="2106" t="s">
        <v>3282</v>
      </c>
      <c r="E311" s="2107">
        <v>2</v>
      </c>
      <c r="F311" s="2107" t="s">
        <v>3007</v>
      </c>
      <c r="G311" s="2099"/>
      <c r="H311" s="1837"/>
      <c r="I311" s="1837"/>
      <c r="J311" s="1837"/>
      <c r="K311" s="2100"/>
      <c r="L311" s="2033">
        <v>11000</v>
      </c>
      <c r="M311" s="2111"/>
      <c r="N311" s="1840"/>
      <c r="O311" s="785"/>
    </row>
    <row r="312" spans="1:15" s="783" customFormat="1">
      <c r="A312" s="776"/>
      <c r="B312" s="776" t="s">
        <v>2929</v>
      </c>
      <c r="C312" s="2105"/>
      <c r="D312" s="2106" t="s">
        <v>3283</v>
      </c>
      <c r="E312" s="2107">
        <v>2</v>
      </c>
      <c r="F312" s="2107" t="s">
        <v>3007</v>
      </c>
      <c r="G312" s="2099"/>
      <c r="H312" s="1837"/>
      <c r="I312" s="1837"/>
      <c r="J312" s="1837"/>
      <c r="K312" s="2100"/>
      <c r="L312" s="2033">
        <v>7000</v>
      </c>
      <c r="M312" s="2111"/>
      <c r="N312" s="1840"/>
      <c r="O312" s="785"/>
    </row>
    <row r="313" spans="1:15" s="783" customFormat="1">
      <c r="A313" s="776"/>
      <c r="B313" s="776" t="s">
        <v>2929</v>
      </c>
      <c r="C313" s="2105"/>
      <c r="D313" s="2106" t="s">
        <v>3284</v>
      </c>
      <c r="E313" s="2107">
        <v>60</v>
      </c>
      <c r="F313" s="2107" t="s">
        <v>3275</v>
      </c>
      <c r="G313" s="2099"/>
      <c r="H313" s="1837"/>
      <c r="I313" s="1837"/>
      <c r="J313" s="1837"/>
      <c r="K313" s="2100"/>
      <c r="L313" s="2033">
        <v>5100</v>
      </c>
      <c r="M313" s="2111"/>
      <c r="N313" s="1840"/>
      <c r="O313" s="785"/>
    </row>
    <row r="314" spans="1:15" s="783" customFormat="1">
      <c r="A314" s="776"/>
      <c r="B314" s="776" t="s">
        <v>2929</v>
      </c>
      <c r="C314" s="2105"/>
      <c r="D314" s="2106" t="s">
        <v>3285</v>
      </c>
      <c r="E314" s="2107">
        <v>800</v>
      </c>
      <c r="F314" s="2107" t="s">
        <v>1885</v>
      </c>
      <c r="G314" s="2099"/>
      <c r="H314" s="1837"/>
      <c r="I314" s="1837"/>
      <c r="J314" s="1837"/>
      <c r="K314" s="2100"/>
      <c r="L314" s="2033">
        <v>20000</v>
      </c>
      <c r="M314" s="2111"/>
      <c r="N314" s="1840"/>
      <c r="O314" s="785"/>
    </row>
    <row r="315" spans="1:15" s="783" customFormat="1">
      <c r="A315" s="776"/>
      <c r="B315" s="776" t="s">
        <v>2929</v>
      </c>
      <c r="C315" s="2105"/>
      <c r="D315" s="2106" t="s">
        <v>3286</v>
      </c>
      <c r="E315" s="2107">
        <v>800</v>
      </c>
      <c r="F315" s="2107" t="s">
        <v>3256</v>
      </c>
      <c r="G315" s="2099"/>
      <c r="H315" s="1837"/>
      <c r="I315" s="1837"/>
      <c r="J315" s="1837"/>
      <c r="K315" s="2100"/>
      <c r="L315" s="2033">
        <v>12000</v>
      </c>
      <c r="M315" s="2111"/>
      <c r="N315" s="1840"/>
      <c r="O315" s="785"/>
    </row>
    <row r="316" spans="1:15" s="783" customFormat="1">
      <c r="A316" s="776"/>
      <c r="B316" s="776" t="s">
        <v>2929</v>
      </c>
      <c r="C316" s="2105"/>
      <c r="D316" s="2106" t="s">
        <v>3287</v>
      </c>
      <c r="E316" s="2107">
        <v>800</v>
      </c>
      <c r="F316" s="2107" t="s">
        <v>3256</v>
      </c>
      <c r="G316" s="2099"/>
      <c r="H316" s="1837"/>
      <c r="I316" s="1837"/>
      <c r="J316" s="1837"/>
      <c r="K316" s="2100"/>
      <c r="L316" s="2033">
        <v>44000</v>
      </c>
      <c r="M316" s="2111"/>
      <c r="N316" s="1840"/>
      <c r="O316" s="785"/>
    </row>
    <row r="317" spans="1:15" s="783" customFormat="1">
      <c r="A317" s="776"/>
      <c r="B317" s="776" t="s">
        <v>2929</v>
      </c>
      <c r="C317" s="2105"/>
      <c r="D317" s="2106" t="s">
        <v>3288</v>
      </c>
      <c r="E317" s="2107">
        <v>800</v>
      </c>
      <c r="F317" s="2107" t="s">
        <v>3256</v>
      </c>
      <c r="G317" s="2099"/>
      <c r="H317" s="1837"/>
      <c r="I317" s="1837"/>
      <c r="J317" s="1837"/>
      <c r="K317" s="2100"/>
      <c r="L317" s="2033">
        <v>28000</v>
      </c>
      <c r="M317" s="2111"/>
      <c r="N317" s="1840"/>
      <c r="O317" s="785"/>
    </row>
    <row r="318" spans="1:15" s="783" customFormat="1">
      <c r="A318" s="776"/>
      <c r="B318" s="776" t="s">
        <v>2929</v>
      </c>
      <c r="C318" s="2105"/>
      <c r="D318" s="2106" t="s">
        <v>3289</v>
      </c>
      <c r="E318" s="2107">
        <v>50</v>
      </c>
      <c r="F318" s="2107" t="s">
        <v>3007</v>
      </c>
      <c r="G318" s="2099"/>
      <c r="H318" s="1837"/>
      <c r="I318" s="1837"/>
      <c r="J318" s="1837"/>
      <c r="K318" s="2100"/>
      <c r="L318" s="2033">
        <v>45000</v>
      </c>
      <c r="M318" s="2111"/>
      <c r="N318" s="1840"/>
      <c r="O318" s="785"/>
    </row>
    <row r="319" spans="1:15" s="783" customFormat="1">
      <c r="A319" s="776"/>
      <c r="B319" s="776" t="s">
        <v>2929</v>
      </c>
      <c r="C319" s="2105"/>
      <c r="D319" s="2106" t="s">
        <v>3290</v>
      </c>
      <c r="E319" s="2107">
        <v>80</v>
      </c>
      <c r="F319" s="2107" t="s">
        <v>1885</v>
      </c>
      <c r="G319" s="2099"/>
      <c r="H319" s="1837"/>
      <c r="I319" s="1837"/>
      <c r="J319" s="1837"/>
      <c r="K319" s="2100"/>
      <c r="L319" s="2033">
        <v>28000</v>
      </c>
      <c r="M319" s="2111"/>
      <c r="N319" s="1840"/>
      <c r="O319" s="785"/>
    </row>
    <row r="320" spans="1:15" s="783" customFormat="1">
      <c r="A320" s="776"/>
      <c r="B320" s="776" t="s">
        <v>2929</v>
      </c>
      <c r="C320" s="2105"/>
      <c r="D320" s="2106" t="s">
        <v>3291</v>
      </c>
      <c r="E320" s="2107">
        <v>200</v>
      </c>
      <c r="F320" s="2107" t="s">
        <v>3275</v>
      </c>
      <c r="G320" s="2099"/>
      <c r="H320" s="1837"/>
      <c r="I320" s="1837"/>
      <c r="J320" s="1837"/>
      <c r="K320" s="2100"/>
      <c r="L320" s="2033">
        <v>23000</v>
      </c>
      <c r="M320" s="2111"/>
      <c r="N320" s="1840"/>
      <c r="O320" s="785"/>
    </row>
    <row r="321" spans="1:15" s="783" customFormat="1">
      <c r="A321" s="776"/>
      <c r="B321" s="776" t="s">
        <v>2929</v>
      </c>
      <c r="C321" s="2105"/>
      <c r="D321" s="2106" t="s">
        <v>2498</v>
      </c>
      <c r="E321" s="2107">
        <v>15</v>
      </c>
      <c r="F321" s="2107" t="s">
        <v>1885</v>
      </c>
      <c r="G321" s="2099"/>
      <c r="H321" s="1837"/>
      <c r="I321" s="1837"/>
      <c r="J321" s="1837"/>
      <c r="K321" s="2100"/>
      <c r="L321" s="2033">
        <v>18000</v>
      </c>
      <c r="M321" s="2111"/>
      <c r="N321" s="1840"/>
      <c r="O321" s="785"/>
    </row>
    <row r="322" spans="1:15" s="783" customFormat="1">
      <c r="A322" s="776"/>
      <c r="B322" s="776" t="s">
        <v>2929</v>
      </c>
      <c r="C322" s="2105"/>
      <c r="D322" s="2106" t="s">
        <v>3292</v>
      </c>
      <c r="E322" s="2107">
        <v>25</v>
      </c>
      <c r="F322" s="2107" t="s">
        <v>3167</v>
      </c>
      <c r="G322" s="2099"/>
      <c r="H322" s="1837"/>
      <c r="I322" s="1837"/>
      <c r="J322" s="1837"/>
      <c r="K322" s="2100"/>
      <c r="L322" s="2033">
        <v>15000</v>
      </c>
      <c r="M322" s="2111"/>
      <c r="N322" s="1840"/>
      <c r="O322" s="785"/>
    </row>
    <row r="323" spans="1:15" s="783" customFormat="1">
      <c r="A323" s="776"/>
      <c r="B323" s="776" t="s">
        <v>2929</v>
      </c>
      <c r="C323" s="2105"/>
      <c r="D323" s="2106" t="s">
        <v>3293</v>
      </c>
      <c r="E323" s="2107">
        <v>2</v>
      </c>
      <c r="F323" s="2107" t="s">
        <v>1885</v>
      </c>
      <c r="G323" s="2099"/>
      <c r="H323" s="1837"/>
      <c r="I323" s="1837"/>
      <c r="J323" s="1837"/>
      <c r="K323" s="2100"/>
      <c r="L323" s="2033">
        <v>14000</v>
      </c>
      <c r="M323" s="2111"/>
      <c r="N323" s="1840"/>
      <c r="O323" s="785"/>
    </row>
    <row r="324" spans="1:15" s="783" customFormat="1">
      <c r="A324" s="776"/>
      <c r="B324" s="776" t="s">
        <v>2929</v>
      </c>
      <c r="C324" s="2105"/>
      <c r="D324" s="2106" t="s">
        <v>3294</v>
      </c>
      <c r="E324" s="2107">
        <v>2</v>
      </c>
      <c r="F324" s="2107" t="s">
        <v>1885</v>
      </c>
      <c r="G324" s="2099"/>
      <c r="H324" s="1837"/>
      <c r="I324" s="1837"/>
      <c r="J324" s="1837"/>
      <c r="K324" s="2100"/>
      <c r="L324" s="2033">
        <v>19000</v>
      </c>
      <c r="M324" s="2111"/>
      <c r="N324" s="1840"/>
      <c r="O324" s="785"/>
    </row>
    <row r="325" spans="1:15" s="783" customFormat="1">
      <c r="A325" s="776"/>
      <c r="B325" s="776" t="s">
        <v>2929</v>
      </c>
      <c r="C325" s="2105"/>
      <c r="D325" s="2106" t="s">
        <v>3295</v>
      </c>
      <c r="E325" s="2107">
        <v>3</v>
      </c>
      <c r="F325" s="2107" t="s">
        <v>1793</v>
      </c>
      <c r="G325" s="2099"/>
      <c r="H325" s="1837"/>
      <c r="I325" s="1837"/>
      <c r="J325" s="1837"/>
      <c r="K325" s="2100"/>
      <c r="L325" s="2033">
        <v>9000</v>
      </c>
      <c r="M325" s="2111"/>
      <c r="N325" s="1840"/>
      <c r="O325" s="785"/>
    </row>
    <row r="326" spans="1:15" s="783" customFormat="1">
      <c r="A326" s="776"/>
      <c r="B326" s="776" t="s">
        <v>2929</v>
      </c>
      <c r="C326" s="2105"/>
      <c r="D326" s="2106" t="s">
        <v>3296</v>
      </c>
      <c r="E326" s="2107">
        <v>10</v>
      </c>
      <c r="F326" s="2107" t="s">
        <v>1917</v>
      </c>
      <c r="G326" s="2099"/>
      <c r="H326" s="1837"/>
      <c r="I326" s="1837"/>
      <c r="J326" s="1837"/>
      <c r="K326" s="2100"/>
      <c r="L326" s="2033">
        <v>14500</v>
      </c>
      <c r="M326" s="2111"/>
      <c r="N326" s="1840"/>
      <c r="O326" s="785"/>
    </row>
    <row r="327" spans="1:15" s="783" customFormat="1">
      <c r="A327" s="776"/>
      <c r="B327" s="776" t="s">
        <v>2929</v>
      </c>
      <c r="C327" s="2105"/>
      <c r="D327" s="2106" t="s">
        <v>3297</v>
      </c>
      <c r="E327" s="2107">
        <v>500</v>
      </c>
      <c r="F327" s="2107" t="s">
        <v>1885</v>
      </c>
      <c r="G327" s="2099"/>
      <c r="H327" s="1837"/>
      <c r="I327" s="1837"/>
      <c r="J327" s="1837"/>
      <c r="K327" s="2100"/>
      <c r="L327" s="2033">
        <v>12500</v>
      </c>
      <c r="M327" s="2111"/>
      <c r="N327" s="1840"/>
      <c r="O327" s="785"/>
    </row>
    <row r="328" spans="1:15" s="783" customFormat="1">
      <c r="A328" s="776"/>
      <c r="B328" s="776" t="s">
        <v>2929</v>
      </c>
      <c r="C328" s="2105"/>
      <c r="D328" s="2106" t="s">
        <v>3298</v>
      </c>
      <c r="E328" s="2108"/>
      <c r="F328" s="2108" t="s">
        <v>2942</v>
      </c>
      <c r="G328" s="2099"/>
      <c r="H328" s="1837"/>
      <c r="I328" s="1837"/>
      <c r="J328" s="1837"/>
      <c r="K328" s="2100"/>
      <c r="L328" s="2033" t="s">
        <v>3369</v>
      </c>
      <c r="M328" s="2111"/>
      <c r="N328" s="1840"/>
      <c r="O328" s="785"/>
    </row>
    <row r="329" spans="1:15" s="783" customFormat="1">
      <c r="A329" s="776"/>
      <c r="B329" s="776" t="s">
        <v>2929</v>
      </c>
      <c r="C329" s="2105"/>
      <c r="D329" s="2106" t="s">
        <v>3299</v>
      </c>
      <c r="E329" s="2107">
        <v>4</v>
      </c>
      <c r="F329" s="2107" t="s">
        <v>2990</v>
      </c>
      <c r="G329" s="2099"/>
      <c r="H329" s="1837"/>
      <c r="I329" s="1837"/>
      <c r="J329" s="1837"/>
      <c r="K329" s="2100"/>
      <c r="L329" s="2033">
        <v>6000</v>
      </c>
      <c r="M329" s="2111"/>
      <c r="N329" s="1840"/>
      <c r="O329" s="785"/>
    </row>
    <row r="330" spans="1:15" s="783" customFormat="1">
      <c r="A330" s="776"/>
      <c r="B330" s="776" t="s">
        <v>2929</v>
      </c>
      <c r="C330" s="2105"/>
      <c r="D330" s="2106" t="s">
        <v>3300</v>
      </c>
      <c r="E330" s="2107">
        <v>120</v>
      </c>
      <c r="F330" s="2107" t="s">
        <v>2975</v>
      </c>
      <c r="G330" s="2099"/>
      <c r="H330" s="1837"/>
      <c r="I330" s="1837"/>
      <c r="J330" s="1837"/>
      <c r="K330" s="2100"/>
      <c r="L330" s="2033">
        <v>101400</v>
      </c>
      <c r="M330" s="2111"/>
      <c r="N330" s="1840"/>
      <c r="O330" s="785"/>
    </row>
    <row r="331" spans="1:15" s="783" customFormat="1">
      <c r="A331" s="776"/>
      <c r="B331" s="776" t="s">
        <v>2929</v>
      </c>
      <c r="C331" s="2105"/>
      <c r="D331" s="2106" t="s">
        <v>3301</v>
      </c>
      <c r="E331" s="2107">
        <v>1</v>
      </c>
      <c r="F331" s="2107" t="s">
        <v>3275</v>
      </c>
      <c r="G331" s="2099"/>
      <c r="H331" s="1837"/>
      <c r="I331" s="1837"/>
      <c r="J331" s="1837"/>
      <c r="K331" s="2100"/>
      <c r="L331" s="2033">
        <v>1568</v>
      </c>
      <c r="M331" s="2111"/>
      <c r="N331" s="1840"/>
      <c r="O331" s="785"/>
    </row>
    <row r="332" spans="1:15" s="783" customFormat="1">
      <c r="A332" s="776"/>
      <c r="B332" s="776" t="s">
        <v>2929</v>
      </c>
      <c r="C332" s="2105"/>
      <c r="D332" s="2106" t="s">
        <v>3302</v>
      </c>
      <c r="E332" s="2107">
        <v>1000</v>
      </c>
      <c r="F332" s="2107" t="s">
        <v>1885</v>
      </c>
      <c r="G332" s="2099"/>
      <c r="H332" s="1837"/>
      <c r="I332" s="1837"/>
      <c r="J332" s="1837"/>
      <c r="K332" s="2100"/>
      <c r="L332" s="2033">
        <v>35000</v>
      </c>
      <c r="M332" s="2111"/>
      <c r="N332" s="1840"/>
      <c r="O332" s="785"/>
    </row>
    <row r="333" spans="1:15" s="783" customFormat="1">
      <c r="A333" s="776"/>
      <c r="B333" s="776" t="s">
        <v>2929</v>
      </c>
      <c r="C333" s="2105"/>
      <c r="D333" s="2106" t="s">
        <v>3303</v>
      </c>
      <c r="E333" s="2107">
        <v>5</v>
      </c>
      <c r="F333" s="2107" t="s">
        <v>3233</v>
      </c>
      <c r="G333" s="2099"/>
      <c r="H333" s="1837"/>
      <c r="I333" s="1837"/>
      <c r="J333" s="1837"/>
      <c r="K333" s="2100"/>
      <c r="L333" s="2033">
        <v>3830</v>
      </c>
      <c r="M333" s="2111"/>
      <c r="N333" s="1840"/>
      <c r="O333" s="785"/>
    </row>
    <row r="334" spans="1:15" s="783" customFormat="1">
      <c r="A334" s="776"/>
      <c r="B334" s="776" t="s">
        <v>2929</v>
      </c>
      <c r="C334" s="2105"/>
      <c r="D334" s="2106" t="s">
        <v>3304</v>
      </c>
      <c r="E334" s="2107">
        <v>150</v>
      </c>
      <c r="F334" s="2107" t="s">
        <v>1885</v>
      </c>
      <c r="G334" s="2099"/>
      <c r="H334" s="1837"/>
      <c r="I334" s="1837"/>
      <c r="J334" s="1837"/>
      <c r="K334" s="2100"/>
      <c r="L334" s="2033">
        <v>37500</v>
      </c>
      <c r="M334" s="2111"/>
      <c r="N334" s="1840"/>
      <c r="O334" s="785"/>
    </row>
    <row r="335" spans="1:15" s="783" customFormat="1">
      <c r="A335" s="776"/>
      <c r="B335" s="776" t="s">
        <v>2929</v>
      </c>
      <c r="C335" s="2105"/>
      <c r="D335" s="2106" t="s">
        <v>3305</v>
      </c>
      <c r="E335" s="2107">
        <v>130</v>
      </c>
      <c r="F335" s="2107" t="s">
        <v>1885</v>
      </c>
      <c r="G335" s="2099"/>
      <c r="H335" s="1837"/>
      <c r="I335" s="1837"/>
      <c r="J335" s="1837"/>
      <c r="K335" s="2100"/>
      <c r="L335" s="2033">
        <v>26650</v>
      </c>
      <c r="M335" s="2111"/>
      <c r="N335" s="1840"/>
      <c r="O335" s="785"/>
    </row>
    <row r="336" spans="1:15" s="783" customFormat="1">
      <c r="A336" s="776"/>
      <c r="B336" s="776" t="s">
        <v>2929</v>
      </c>
      <c r="C336" s="2105"/>
      <c r="D336" s="2106" t="s">
        <v>3306</v>
      </c>
      <c r="E336" s="2107">
        <v>130</v>
      </c>
      <c r="F336" s="2107" t="s">
        <v>1885</v>
      </c>
      <c r="G336" s="2099"/>
      <c r="H336" s="1837"/>
      <c r="I336" s="1837"/>
      <c r="J336" s="1837"/>
      <c r="K336" s="2100"/>
      <c r="L336" s="2033">
        <v>26000</v>
      </c>
      <c r="M336" s="2111"/>
      <c r="N336" s="1840"/>
      <c r="O336" s="785"/>
    </row>
    <row r="337" spans="1:15" s="783" customFormat="1">
      <c r="A337" s="776"/>
      <c r="B337" s="776" t="s">
        <v>2929</v>
      </c>
      <c r="C337" s="2105"/>
      <c r="D337" s="2106" t="s">
        <v>3307</v>
      </c>
      <c r="E337" s="2107">
        <v>130</v>
      </c>
      <c r="F337" s="2107" t="s">
        <v>1885</v>
      </c>
      <c r="G337" s="2099"/>
      <c r="H337" s="1837"/>
      <c r="I337" s="1837"/>
      <c r="J337" s="1837"/>
      <c r="K337" s="2100"/>
      <c r="L337" s="2033">
        <v>28600</v>
      </c>
      <c r="M337" s="2111"/>
      <c r="N337" s="1840"/>
      <c r="O337" s="785"/>
    </row>
    <row r="338" spans="1:15" s="783" customFormat="1">
      <c r="A338" s="776"/>
      <c r="B338" s="776" t="s">
        <v>2929</v>
      </c>
      <c r="C338" s="2105"/>
      <c r="D338" s="2106" t="s">
        <v>3308</v>
      </c>
      <c r="E338" s="2107">
        <v>130</v>
      </c>
      <c r="F338" s="2107" t="s">
        <v>1885</v>
      </c>
      <c r="G338" s="2099"/>
      <c r="H338" s="1837"/>
      <c r="I338" s="1837"/>
      <c r="J338" s="1837"/>
      <c r="K338" s="2100"/>
      <c r="L338" s="2033">
        <v>32500</v>
      </c>
      <c r="M338" s="2111"/>
      <c r="N338" s="1840"/>
      <c r="O338" s="785"/>
    </row>
    <row r="339" spans="1:15" s="783" customFormat="1">
      <c r="A339" s="776"/>
      <c r="B339" s="776" t="s">
        <v>2929</v>
      </c>
      <c r="C339" s="2105"/>
      <c r="D339" s="2106" t="s">
        <v>3309</v>
      </c>
      <c r="E339" s="2107">
        <v>180</v>
      </c>
      <c r="F339" s="2107" t="s">
        <v>1885</v>
      </c>
      <c r="G339" s="2099"/>
      <c r="H339" s="1837"/>
      <c r="I339" s="1837"/>
      <c r="J339" s="1837"/>
      <c r="K339" s="2100"/>
      <c r="L339" s="2033">
        <v>18000</v>
      </c>
      <c r="M339" s="2111"/>
      <c r="N339" s="1840"/>
      <c r="O339" s="785"/>
    </row>
    <row r="340" spans="1:15" s="783" customFormat="1">
      <c r="A340" s="776"/>
      <c r="B340" s="776" t="s">
        <v>2929</v>
      </c>
      <c r="C340" s="2105"/>
      <c r="D340" s="2106" t="s">
        <v>3310</v>
      </c>
      <c r="E340" s="2107">
        <v>5</v>
      </c>
      <c r="F340" s="2107" t="s">
        <v>3007</v>
      </c>
      <c r="G340" s="2099"/>
      <c r="H340" s="1837"/>
      <c r="I340" s="1837"/>
      <c r="J340" s="1837"/>
      <c r="K340" s="2100"/>
      <c r="L340" s="2033">
        <v>80000</v>
      </c>
      <c r="M340" s="2111"/>
      <c r="N340" s="1840"/>
      <c r="O340" s="785"/>
    </row>
    <row r="341" spans="1:15" s="783" customFormat="1">
      <c r="A341" s="776"/>
      <c r="B341" s="776" t="s">
        <v>2929</v>
      </c>
      <c r="C341" s="2105"/>
      <c r="D341" s="2106" t="s">
        <v>3311</v>
      </c>
      <c r="E341" s="2107">
        <v>400</v>
      </c>
      <c r="F341" s="2107" t="s">
        <v>1885</v>
      </c>
      <c r="G341" s="2099"/>
      <c r="H341" s="1837"/>
      <c r="I341" s="1837"/>
      <c r="J341" s="1837"/>
      <c r="K341" s="2100"/>
      <c r="L341" s="2033">
        <v>20000</v>
      </c>
      <c r="M341" s="2111"/>
      <c r="N341" s="1840"/>
      <c r="O341" s="785"/>
    </row>
    <row r="342" spans="1:15" s="783" customFormat="1">
      <c r="A342" s="776"/>
      <c r="B342" s="776" t="s">
        <v>2929</v>
      </c>
      <c r="C342" s="2105"/>
      <c r="D342" s="2106" t="s">
        <v>3312</v>
      </c>
      <c r="E342" s="2107">
        <v>400</v>
      </c>
      <c r="F342" s="2107" t="s">
        <v>1885</v>
      </c>
      <c r="G342" s="2099"/>
      <c r="H342" s="1837"/>
      <c r="I342" s="1837"/>
      <c r="J342" s="1837"/>
      <c r="K342" s="2100"/>
      <c r="L342" s="2033">
        <v>18000</v>
      </c>
      <c r="M342" s="2111"/>
      <c r="N342" s="1840"/>
      <c r="O342" s="785"/>
    </row>
    <row r="343" spans="1:15" s="783" customFormat="1">
      <c r="A343" s="776"/>
      <c r="B343" s="776" t="s">
        <v>2929</v>
      </c>
      <c r="C343" s="2105"/>
      <c r="D343" s="2106" t="s">
        <v>3313</v>
      </c>
      <c r="E343" s="2107">
        <v>5</v>
      </c>
      <c r="F343" s="2107" t="s">
        <v>3007</v>
      </c>
      <c r="G343" s="2099"/>
      <c r="H343" s="1837"/>
      <c r="I343" s="1837"/>
      <c r="J343" s="1837"/>
      <c r="K343" s="2100"/>
      <c r="L343" s="2033">
        <v>18000</v>
      </c>
      <c r="M343" s="2111"/>
      <c r="N343" s="1840"/>
      <c r="O343" s="785"/>
    </row>
    <row r="344" spans="1:15" s="783" customFormat="1">
      <c r="A344" s="776"/>
      <c r="B344" s="776" t="s">
        <v>2929</v>
      </c>
      <c r="C344" s="2105"/>
      <c r="D344" s="2106" t="s">
        <v>3314</v>
      </c>
      <c r="E344" s="2107">
        <v>250</v>
      </c>
      <c r="F344" s="2107" t="s">
        <v>1885</v>
      </c>
      <c r="G344" s="2099"/>
      <c r="H344" s="1837"/>
      <c r="I344" s="1837"/>
      <c r="J344" s="1837"/>
      <c r="K344" s="2100"/>
      <c r="L344" s="2033">
        <v>11250</v>
      </c>
      <c r="M344" s="2111"/>
      <c r="N344" s="1840"/>
      <c r="O344" s="785"/>
    </row>
    <row r="345" spans="1:15" s="783" customFormat="1">
      <c r="A345" s="776"/>
      <c r="B345" s="776" t="s">
        <v>2929</v>
      </c>
      <c r="C345" s="2105"/>
      <c r="D345" s="2106" t="s">
        <v>3315</v>
      </c>
      <c r="E345" s="2107">
        <v>1</v>
      </c>
      <c r="F345" s="2107" t="s">
        <v>3278</v>
      </c>
      <c r="G345" s="2099"/>
      <c r="H345" s="1837"/>
      <c r="I345" s="1837"/>
      <c r="J345" s="1837"/>
      <c r="K345" s="2100"/>
      <c r="L345" s="2033">
        <v>600</v>
      </c>
      <c r="M345" s="2111"/>
      <c r="N345" s="1840"/>
      <c r="O345" s="785"/>
    </row>
    <row r="346" spans="1:15" s="783" customFormat="1">
      <c r="A346" s="776"/>
      <c r="B346" s="776" t="s">
        <v>2929</v>
      </c>
      <c r="C346" s="2105"/>
      <c r="D346" s="2106" t="s">
        <v>3316</v>
      </c>
      <c r="E346" s="2107">
        <v>70</v>
      </c>
      <c r="F346" s="2107" t="s">
        <v>3167</v>
      </c>
      <c r="G346" s="2099"/>
      <c r="H346" s="1837"/>
      <c r="I346" s="1837"/>
      <c r="J346" s="1837"/>
      <c r="K346" s="2100"/>
      <c r="L346" s="2033">
        <v>45500</v>
      </c>
      <c r="M346" s="2111"/>
      <c r="N346" s="1840"/>
      <c r="O346" s="785"/>
    </row>
    <row r="347" spans="1:15" s="783" customFormat="1">
      <c r="A347" s="776"/>
      <c r="B347" s="776" t="s">
        <v>2929</v>
      </c>
      <c r="C347" s="2105"/>
      <c r="D347" s="2106" t="s">
        <v>3317</v>
      </c>
      <c r="E347" s="2107">
        <v>50</v>
      </c>
      <c r="F347" s="2107" t="s">
        <v>1917</v>
      </c>
      <c r="G347" s="2099"/>
      <c r="H347" s="1837"/>
      <c r="I347" s="1837"/>
      <c r="J347" s="1837"/>
      <c r="K347" s="2100"/>
      <c r="L347" s="2033">
        <v>75000</v>
      </c>
      <c r="M347" s="2111"/>
      <c r="N347" s="1840"/>
      <c r="O347" s="785"/>
    </row>
    <row r="348" spans="1:15" s="783" customFormat="1">
      <c r="A348" s="776"/>
      <c r="B348" s="776" t="s">
        <v>2929</v>
      </c>
      <c r="C348" s="2105"/>
      <c r="D348" s="2106" t="s">
        <v>3318</v>
      </c>
      <c r="E348" s="2107">
        <v>2</v>
      </c>
      <c r="F348" s="2107" t="s">
        <v>3007</v>
      </c>
      <c r="G348" s="2099"/>
      <c r="H348" s="1837"/>
      <c r="I348" s="1837"/>
      <c r="J348" s="1837"/>
      <c r="K348" s="2100"/>
      <c r="L348" s="2033">
        <v>2200</v>
      </c>
      <c r="M348" s="2111"/>
      <c r="N348" s="1840"/>
      <c r="O348" s="785"/>
    </row>
    <row r="349" spans="1:15" s="783" customFormat="1">
      <c r="A349" s="776"/>
      <c r="B349" s="776" t="s">
        <v>2929</v>
      </c>
      <c r="C349" s="2105"/>
      <c r="D349" s="2106" t="s">
        <v>3319</v>
      </c>
      <c r="E349" s="2107"/>
      <c r="F349" s="2107" t="s">
        <v>2942</v>
      </c>
      <c r="G349" s="2099"/>
      <c r="H349" s="1837"/>
      <c r="I349" s="1837"/>
      <c r="J349" s="1837"/>
      <c r="K349" s="2100"/>
      <c r="L349" s="2033" t="s">
        <v>3369</v>
      </c>
      <c r="M349" s="2111"/>
      <c r="N349" s="1840"/>
      <c r="O349" s="785"/>
    </row>
    <row r="350" spans="1:15" s="783" customFormat="1">
      <c r="A350" s="776"/>
      <c r="B350" s="776" t="s">
        <v>2929</v>
      </c>
      <c r="C350" s="2105"/>
      <c r="D350" s="2106" t="s">
        <v>3320</v>
      </c>
      <c r="E350" s="2107">
        <v>20</v>
      </c>
      <c r="F350" s="2107" t="s">
        <v>1885</v>
      </c>
      <c r="G350" s="2099"/>
      <c r="H350" s="1837"/>
      <c r="I350" s="1837"/>
      <c r="J350" s="1837"/>
      <c r="K350" s="2100"/>
      <c r="L350" s="2033">
        <v>10000</v>
      </c>
      <c r="M350" s="2111"/>
      <c r="N350" s="1840"/>
      <c r="O350" s="785"/>
    </row>
    <row r="351" spans="1:15" s="783" customFormat="1">
      <c r="A351" s="776"/>
      <c r="B351" s="776" t="s">
        <v>2929</v>
      </c>
      <c r="C351" s="2105"/>
      <c r="D351" s="2106" t="s">
        <v>3321</v>
      </c>
      <c r="E351" s="2107">
        <v>10</v>
      </c>
      <c r="F351" s="2107" t="s">
        <v>3275</v>
      </c>
      <c r="G351" s="2099"/>
      <c r="H351" s="1837"/>
      <c r="I351" s="1837"/>
      <c r="J351" s="1837"/>
      <c r="K351" s="2100"/>
      <c r="L351" s="2033">
        <v>80000</v>
      </c>
      <c r="M351" s="2111"/>
      <c r="N351" s="1840"/>
      <c r="O351" s="785"/>
    </row>
    <row r="352" spans="1:15" s="783" customFormat="1">
      <c r="A352" s="776"/>
      <c r="B352" s="776" t="s">
        <v>2929</v>
      </c>
      <c r="C352" s="2105"/>
      <c r="D352" s="2106" t="s">
        <v>3322</v>
      </c>
      <c r="E352" s="2107">
        <v>15</v>
      </c>
      <c r="F352" s="2107" t="s">
        <v>3007</v>
      </c>
      <c r="G352" s="2099"/>
      <c r="H352" s="1837"/>
      <c r="I352" s="1837"/>
      <c r="J352" s="1837"/>
      <c r="K352" s="2100"/>
      <c r="L352" s="2033">
        <v>157500</v>
      </c>
      <c r="M352" s="2111"/>
      <c r="N352" s="1840"/>
      <c r="O352" s="785"/>
    </row>
    <row r="353" spans="1:15" s="783" customFormat="1">
      <c r="A353" s="776"/>
      <c r="B353" s="776" t="s">
        <v>2929</v>
      </c>
      <c r="C353" s="2105"/>
      <c r="D353" s="2106" t="s">
        <v>3323</v>
      </c>
      <c r="E353" s="2107">
        <v>15</v>
      </c>
      <c r="F353" s="2107" t="s">
        <v>3275</v>
      </c>
      <c r="G353" s="2099"/>
      <c r="H353" s="1837"/>
      <c r="I353" s="1837"/>
      <c r="J353" s="1837"/>
      <c r="K353" s="2100"/>
      <c r="L353" s="2033">
        <v>82500</v>
      </c>
      <c r="M353" s="2111"/>
      <c r="N353" s="1840"/>
      <c r="O353" s="785"/>
    </row>
    <row r="354" spans="1:15" s="783" customFormat="1">
      <c r="A354" s="776"/>
      <c r="B354" s="776" t="s">
        <v>2929</v>
      </c>
      <c r="C354" s="2105"/>
      <c r="D354" s="2106" t="s">
        <v>3324</v>
      </c>
      <c r="E354" s="2107">
        <v>15</v>
      </c>
      <c r="F354" s="2107" t="s">
        <v>3275</v>
      </c>
      <c r="G354" s="2099"/>
      <c r="H354" s="1837"/>
      <c r="I354" s="1837"/>
      <c r="J354" s="1837"/>
      <c r="K354" s="2100"/>
      <c r="L354" s="2033">
        <v>8250</v>
      </c>
      <c r="M354" s="2111"/>
      <c r="N354" s="1840"/>
      <c r="O354" s="785"/>
    </row>
    <row r="355" spans="1:15" s="783" customFormat="1">
      <c r="A355" s="776"/>
      <c r="B355" s="776" t="s">
        <v>2929</v>
      </c>
      <c r="C355" s="2105"/>
      <c r="D355" s="2106" t="s">
        <v>3325</v>
      </c>
      <c r="E355" s="2107">
        <v>2</v>
      </c>
      <c r="F355" s="2107" t="s">
        <v>3007</v>
      </c>
      <c r="G355" s="2099"/>
      <c r="H355" s="1837"/>
      <c r="I355" s="1837"/>
      <c r="J355" s="1837"/>
      <c r="K355" s="2100"/>
      <c r="L355" s="2033">
        <v>11400</v>
      </c>
      <c r="M355" s="2111"/>
      <c r="N355" s="1840"/>
      <c r="O355" s="785"/>
    </row>
    <row r="356" spans="1:15" s="783" customFormat="1">
      <c r="A356" s="776"/>
      <c r="B356" s="776" t="s">
        <v>2929</v>
      </c>
      <c r="C356" s="2105"/>
      <c r="D356" s="2106" t="s">
        <v>3326</v>
      </c>
      <c r="E356" s="2107">
        <v>10</v>
      </c>
      <c r="F356" s="2107" t="s">
        <v>3007</v>
      </c>
      <c r="G356" s="2099"/>
      <c r="H356" s="1837"/>
      <c r="I356" s="1837"/>
      <c r="J356" s="1837"/>
      <c r="K356" s="2100"/>
      <c r="L356" s="2033">
        <v>6000</v>
      </c>
      <c r="M356" s="2111"/>
      <c r="N356" s="1840"/>
      <c r="O356" s="785"/>
    </row>
    <row r="357" spans="1:15" s="783" customFormat="1">
      <c r="A357" s="776"/>
      <c r="B357" s="776" t="s">
        <v>2929</v>
      </c>
      <c r="C357" s="2105"/>
      <c r="D357" s="2106" t="s">
        <v>3327</v>
      </c>
      <c r="E357" s="2107">
        <v>10</v>
      </c>
      <c r="F357" s="2107" t="s">
        <v>3007</v>
      </c>
      <c r="G357" s="2099"/>
      <c r="H357" s="1837"/>
      <c r="I357" s="1837"/>
      <c r="J357" s="1837"/>
      <c r="K357" s="2100"/>
      <c r="L357" s="2033">
        <v>6000</v>
      </c>
      <c r="M357" s="2111"/>
      <c r="N357" s="1840"/>
      <c r="O357" s="785"/>
    </row>
    <row r="358" spans="1:15" s="783" customFormat="1">
      <c r="A358" s="776"/>
      <c r="B358" s="776" t="s">
        <v>2929</v>
      </c>
      <c r="C358" s="2105"/>
      <c r="D358" s="2106" t="s">
        <v>3328</v>
      </c>
      <c r="E358" s="2107">
        <v>5</v>
      </c>
      <c r="F358" s="2107" t="s">
        <v>3007</v>
      </c>
      <c r="G358" s="2099"/>
      <c r="H358" s="1837"/>
      <c r="I358" s="1837"/>
      <c r="J358" s="1837"/>
      <c r="K358" s="2100"/>
      <c r="L358" s="2033">
        <v>1500</v>
      </c>
      <c r="M358" s="2111"/>
      <c r="N358" s="1840"/>
      <c r="O358" s="785"/>
    </row>
    <row r="359" spans="1:15" s="783" customFormat="1">
      <c r="A359" s="776"/>
      <c r="B359" s="776" t="s">
        <v>2929</v>
      </c>
      <c r="C359" s="2105"/>
      <c r="D359" s="2106" t="s">
        <v>3329</v>
      </c>
      <c r="E359" s="2107">
        <v>8</v>
      </c>
      <c r="F359" s="2107" t="s">
        <v>3007</v>
      </c>
      <c r="G359" s="2099"/>
      <c r="H359" s="1837"/>
      <c r="I359" s="1837"/>
      <c r="J359" s="1837"/>
      <c r="K359" s="2100"/>
      <c r="L359" s="2033">
        <v>1200</v>
      </c>
      <c r="M359" s="2111"/>
      <c r="N359" s="1840"/>
      <c r="O359" s="785"/>
    </row>
    <row r="360" spans="1:15" s="783" customFormat="1">
      <c r="A360" s="776"/>
      <c r="B360" s="776" t="s">
        <v>2929</v>
      </c>
      <c r="C360" s="2105"/>
      <c r="D360" s="2106" t="s">
        <v>3330</v>
      </c>
      <c r="E360" s="2107">
        <v>45</v>
      </c>
      <c r="F360" s="2107" t="s">
        <v>3007</v>
      </c>
      <c r="G360" s="2099"/>
      <c r="H360" s="1837"/>
      <c r="I360" s="1837"/>
      <c r="J360" s="1837"/>
      <c r="K360" s="2100"/>
      <c r="L360" s="2033">
        <v>12420</v>
      </c>
      <c r="M360" s="2111"/>
      <c r="N360" s="1840"/>
      <c r="O360" s="785"/>
    </row>
    <row r="361" spans="1:15" s="783" customFormat="1">
      <c r="A361" s="776"/>
      <c r="B361" s="776" t="s">
        <v>2929</v>
      </c>
      <c r="C361" s="2105"/>
      <c r="D361" s="2106" t="s">
        <v>3331</v>
      </c>
      <c r="E361" s="2107">
        <v>300</v>
      </c>
      <c r="F361" s="2107" t="s">
        <v>1885</v>
      </c>
      <c r="G361" s="2099"/>
      <c r="H361" s="1837"/>
      <c r="I361" s="1837"/>
      <c r="J361" s="1837"/>
      <c r="K361" s="2100"/>
      <c r="L361" s="2033">
        <v>15000</v>
      </c>
      <c r="M361" s="2111"/>
      <c r="N361" s="1840"/>
      <c r="O361" s="785"/>
    </row>
    <row r="362" spans="1:15" s="783" customFormat="1">
      <c r="A362" s="776"/>
      <c r="B362" s="776" t="s">
        <v>2929</v>
      </c>
      <c r="C362" s="2105"/>
      <c r="D362" s="2106" t="s">
        <v>3332</v>
      </c>
      <c r="E362" s="2107">
        <v>30</v>
      </c>
      <c r="F362" s="2107" t="s">
        <v>1885</v>
      </c>
      <c r="G362" s="2099"/>
      <c r="H362" s="1837"/>
      <c r="I362" s="1837"/>
      <c r="J362" s="1837"/>
      <c r="K362" s="2100"/>
      <c r="L362" s="2033">
        <v>3000</v>
      </c>
      <c r="M362" s="2111"/>
      <c r="N362" s="1840"/>
      <c r="O362" s="785"/>
    </row>
    <row r="363" spans="1:15" s="783" customFormat="1">
      <c r="A363" s="776"/>
      <c r="B363" s="776" t="s">
        <v>2929</v>
      </c>
      <c r="C363" s="2105"/>
      <c r="D363" s="2106" t="s">
        <v>3333</v>
      </c>
      <c r="E363" s="2107">
        <v>30</v>
      </c>
      <c r="F363" s="2107" t="s">
        <v>1885</v>
      </c>
      <c r="G363" s="2099"/>
      <c r="H363" s="1837"/>
      <c r="I363" s="1837"/>
      <c r="J363" s="1837"/>
      <c r="K363" s="2100"/>
      <c r="L363" s="2033">
        <v>10500</v>
      </c>
      <c r="M363" s="2111"/>
      <c r="N363" s="1840"/>
      <c r="O363" s="785"/>
    </row>
    <row r="364" spans="1:15" s="783" customFormat="1">
      <c r="A364" s="776"/>
      <c r="B364" s="776" t="s">
        <v>2929</v>
      </c>
      <c r="C364" s="2105"/>
      <c r="D364" s="2106" t="s">
        <v>3334</v>
      </c>
      <c r="E364" s="2107">
        <v>30</v>
      </c>
      <c r="F364" s="2107" t="s">
        <v>1885</v>
      </c>
      <c r="G364" s="2099"/>
      <c r="H364" s="1837"/>
      <c r="I364" s="1837"/>
      <c r="J364" s="1837"/>
      <c r="K364" s="2100"/>
      <c r="L364" s="2033">
        <v>10500</v>
      </c>
      <c r="M364" s="2111"/>
      <c r="N364" s="1840"/>
      <c r="O364" s="785"/>
    </row>
    <row r="365" spans="1:15" s="783" customFormat="1">
      <c r="A365" s="776"/>
      <c r="B365" s="776" t="s">
        <v>2929</v>
      </c>
      <c r="C365" s="2105"/>
      <c r="D365" s="2106" t="s">
        <v>3335</v>
      </c>
      <c r="E365" s="2107">
        <v>31</v>
      </c>
      <c r="F365" s="2107" t="s">
        <v>1885</v>
      </c>
      <c r="G365" s="2099"/>
      <c r="H365" s="1837"/>
      <c r="I365" s="1837"/>
      <c r="J365" s="1837"/>
      <c r="K365" s="2100"/>
      <c r="L365" s="2033">
        <v>10850</v>
      </c>
      <c r="M365" s="2111"/>
      <c r="N365" s="1840"/>
      <c r="O365" s="785"/>
    </row>
    <row r="366" spans="1:15" s="783" customFormat="1">
      <c r="A366" s="776"/>
      <c r="B366" s="776" t="s">
        <v>2929</v>
      </c>
      <c r="C366" s="2105"/>
      <c r="D366" s="2106" t="s">
        <v>3336</v>
      </c>
      <c r="E366" s="2107">
        <v>20</v>
      </c>
      <c r="F366" s="2107" t="s">
        <v>3007</v>
      </c>
      <c r="G366" s="2099"/>
      <c r="H366" s="1837"/>
      <c r="I366" s="1837"/>
      <c r="J366" s="1837"/>
      <c r="K366" s="2100"/>
      <c r="L366" s="2033">
        <v>10000</v>
      </c>
      <c r="M366" s="2111"/>
      <c r="N366" s="1840"/>
      <c r="O366" s="785"/>
    </row>
    <row r="367" spans="1:15" s="783" customFormat="1">
      <c r="A367" s="776"/>
      <c r="B367" s="776" t="s">
        <v>2929</v>
      </c>
      <c r="C367" s="2105"/>
      <c r="D367" s="2106" t="s">
        <v>3337</v>
      </c>
      <c r="E367" s="2107">
        <v>30</v>
      </c>
      <c r="F367" s="2107" t="s">
        <v>3007</v>
      </c>
      <c r="G367" s="2099"/>
      <c r="H367" s="1837"/>
      <c r="I367" s="1837"/>
      <c r="J367" s="1837"/>
      <c r="K367" s="2100"/>
      <c r="L367" s="2033">
        <v>18000</v>
      </c>
      <c r="M367" s="2111"/>
      <c r="N367" s="1840"/>
      <c r="O367" s="785"/>
    </row>
    <row r="368" spans="1:15" s="783" customFormat="1">
      <c r="A368" s="776"/>
      <c r="B368" s="776" t="s">
        <v>2929</v>
      </c>
      <c r="C368" s="2105"/>
      <c r="D368" s="2106" t="s">
        <v>3338</v>
      </c>
      <c r="E368" s="2107">
        <v>15</v>
      </c>
      <c r="F368" s="2107" t="s">
        <v>3007</v>
      </c>
      <c r="G368" s="948"/>
      <c r="H368" s="813"/>
      <c r="I368" s="813"/>
      <c r="J368" s="813"/>
      <c r="L368" s="2033">
        <v>9300</v>
      </c>
      <c r="M368" s="815"/>
      <c r="N368" s="813"/>
      <c r="O368" s="785"/>
    </row>
    <row r="369" spans="1:15" s="783" customFormat="1">
      <c r="A369" s="776"/>
      <c r="B369" s="776" t="s">
        <v>2929</v>
      </c>
      <c r="C369" s="2105"/>
      <c r="D369" s="2106" t="s">
        <v>3339</v>
      </c>
      <c r="E369" s="2107">
        <v>15</v>
      </c>
      <c r="F369" s="2107" t="s">
        <v>3007</v>
      </c>
      <c r="G369" s="948"/>
      <c r="H369" s="813"/>
      <c r="I369" s="813"/>
      <c r="J369" s="813"/>
      <c r="L369" s="2033">
        <v>12000</v>
      </c>
      <c r="M369" s="815"/>
      <c r="N369" s="813"/>
      <c r="O369" s="785"/>
    </row>
    <row r="370" spans="1:15" s="783" customFormat="1">
      <c r="A370" s="776"/>
      <c r="B370" s="776" t="s">
        <v>2929</v>
      </c>
      <c r="C370" s="2105"/>
      <c r="D370" s="2106" t="s">
        <v>3340</v>
      </c>
      <c r="E370" s="2107">
        <v>15</v>
      </c>
      <c r="F370" s="2107" t="s">
        <v>3007</v>
      </c>
      <c r="G370" s="948"/>
      <c r="H370" s="813"/>
      <c r="I370" s="813"/>
      <c r="J370" s="813"/>
      <c r="L370" s="2033">
        <v>12750</v>
      </c>
      <c r="M370" s="815"/>
      <c r="N370" s="813"/>
      <c r="O370" s="785"/>
    </row>
    <row r="371" spans="1:15" s="783" customFormat="1">
      <c r="A371" s="776"/>
      <c r="B371" s="776" t="s">
        <v>2929</v>
      </c>
      <c r="C371" s="2105"/>
      <c r="D371" s="2106" t="s">
        <v>3341</v>
      </c>
      <c r="E371" s="2107">
        <v>8</v>
      </c>
      <c r="F371" s="2107" t="s">
        <v>3342</v>
      </c>
      <c r="G371" s="948"/>
      <c r="H371" s="813"/>
      <c r="I371" s="813"/>
      <c r="J371" s="813"/>
      <c r="L371" s="2033">
        <v>2400</v>
      </c>
      <c r="M371" s="815"/>
      <c r="N371" s="813"/>
      <c r="O371" s="785"/>
    </row>
    <row r="372" spans="1:15" s="783" customFormat="1">
      <c r="A372" s="776"/>
      <c r="B372" s="776" t="s">
        <v>2929</v>
      </c>
      <c r="C372" s="2105"/>
      <c r="D372" s="2106" t="s">
        <v>3343</v>
      </c>
      <c r="E372" s="2107">
        <v>10</v>
      </c>
      <c r="F372" s="2107" t="s">
        <v>3342</v>
      </c>
      <c r="G372" s="948"/>
      <c r="H372" s="813"/>
      <c r="I372" s="813"/>
      <c r="J372" s="813"/>
      <c r="L372" s="2033">
        <v>4800</v>
      </c>
      <c r="M372" s="815"/>
      <c r="N372" s="813"/>
      <c r="O372" s="785"/>
    </row>
    <row r="373" spans="1:15" s="783" customFormat="1">
      <c r="A373" s="840"/>
      <c r="B373" s="776" t="s">
        <v>2929</v>
      </c>
      <c r="C373" s="2105"/>
      <c r="D373" s="2106" t="s">
        <v>3344</v>
      </c>
      <c r="E373" s="2107">
        <v>10</v>
      </c>
      <c r="F373" s="2107" t="s">
        <v>3342</v>
      </c>
      <c r="G373" s="797"/>
      <c r="H373" s="833"/>
      <c r="I373" s="833"/>
      <c r="J373" s="833"/>
      <c r="K373" s="832"/>
      <c r="L373" s="2033">
        <v>4000</v>
      </c>
      <c r="M373" s="2087"/>
      <c r="N373" s="784"/>
      <c r="O373" s="785"/>
    </row>
    <row r="374" spans="1:15" s="783" customFormat="1">
      <c r="A374" s="938"/>
      <c r="B374" s="776" t="s">
        <v>2929</v>
      </c>
      <c r="C374" s="2105"/>
      <c r="D374" s="2106" t="s">
        <v>3345</v>
      </c>
      <c r="E374" s="2107">
        <v>10</v>
      </c>
      <c r="F374" s="2107" t="s">
        <v>3342</v>
      </c>
      <c r="G374" s="940"/>
      <c r="H374" s="941"/>
      <c r="I374" s="941"/>
      <c r="J374" s="941"/>
      <c r="K374" s="2076"/>
      <c r="L374" s="2033">
        <v>1500</v>
      </c>
      <c r="M374" s="2087"/>
      <c r="N374" s="784"/>
      <c r="O374" s="785"/>
    </row>
    <row r="375" spans="1:15" s="783" customFormat="1">
      <c r="A375" s="840"/>
      <c r="B375" s="776" t="s">
        <v>2929</v>
      </c>
      <c r="C375" s="2105"/>
      <c r="D375" s="2106" t="s">
        <v>3346</v>
      </c>
      <c r="E375" s="2107">
        <v>10</v>
      </c>
      <c r="F375" s="2107" t="s">
        <v>3342</v>
      </c>
      <c r="G375" s="797"/>
      <c r="H375" s="833"/>
      <c r="I375" s="833"/>
      <c r="J375" s="833"/>
      <c r="K375" s="832"/>
      <c r="L375" s="2033">
        <v>5000</v>
      </c>
      <c r="M375" s="2087"/>
      <c r="N375" s="784"/>
      <c r="O375" s="785"/>
    </row>
    <row r="376" spans="1:15" s="783" customFormat="1">
      <c r="A376" s="840"/>
      <c r="B376" s="776" t="s">
        <v>2929</v>
      </c>
      <c r="C376" s="2105"/>
      <c r="D376" s="2106" t="s">
        <v>3347</v>
      </c>
      <c r="E376" s="2107">
        <v>10</v>
      </c>
      <c r="F376" s="2107" t="s">
        <v>3342</v>
      </c>
      <c r="G376" s="797"/>
      <c r="H376" s="833"/>
      <c r="I376" s="833"/>
      <c r="J376" s="833"/>
      <c r="K376" s="832"/>
      <c r="L376" s="2033">
        <v>4500</v>
      </c>
      <c r="M376" s="2087"/>
      <c r="N376" s="784"/>
      <c r="O376" s="785"/>
    </row>
    <row r="377" spans="1:15">
      <c r="A377" s="125"/>
      <c r="B377" s="776" t="s">
        <v>2929</v>
      </c>
      <c r="C377" s="2105"/>
      <c r="D377" s="2106" t="s">
        <v>3348</v>
      </c>
      <c r="E377" s="2107">
        <v>14</v>
      </c>
      <c r="F377" s="2107" t="s">
        <v>3007</v>
      </c>
      <c r="G377" s="90"/>
      <c r="H377" s="91"/>
      <c r="I377" s="91"/>
      <c r="J377" s="91"/>
      <c r="K377" s="2077"/>
      <c r="L377" s="2033">
        <v>9100</v>
      </c>
      <c r="M377" s="2088"/>
      <c r="N377" s="91"/>
      <c r="O377" s="91"/>
    </row>
    <row r="378" spans="1:15">
      <c r="A378" s="125"/>
      <c r="B378" s="776" t="s">
        <v>2929</v>
      </c>
      <c r="C378" s="2105"/>
      <c r="D378" s="2106" t="s">
        <v>3349</v>
      </c>
      <c r="E378" s="2107">
        <v>5</v>
      </c>
      <c r="F378" s="2107" t="s">
        <v>3007</v>
      </c>
      <c r="G378" s="90"/>
      <c r="H378" s="91"/>
      <c r="I378" s="91"/>
      <c r="J378" s="91"/>
      <c r="K378" s="2077"/>
      <c r="L378" s="2033">
        <v>6000</v>
      </c>
      <c r="M378" s="2088"/>
      <c r="N378" s="91"/>
      <c r="O378" s="124"/>
    </row>
    <row r="379" spans="1:15">
      <c r="A379" s="125"/>
      <c r="B379" s="776" t="s">
        <v>2929</v>
      </c>
      <c r="C379" s="2105"/>
      <c r="D379" s="2106" t="s">
        <v>3350</v>
      </c>
      <c r="E379" s="2107">
        <v>13</v>
      </c>
      <c r="F379" s="2107" t="s">
        <v>3007</v>
      </c>
      <c r="G379" s="88"/>
      <c r="H379" s="89"/>
      <c r="I379" s="89"/>
      <c r="J379" s="89"/>
      <c r="K379" s="2078"/>
      <c r="L379" s="2033">
        <v>15600</v>
      </c>
      <c r="M379" s="2089"/>
      <c r="N379" s="19"/>
      <c r="O379" s="77"/>
    </row>
    <row r="380" spans="1:15" ht="14.25" customHeight="1">
      <c r="A380" s="125"/>
      <c r="B380" s="776" t="s">
        <v>2929</v>
      </c>
      <c r="C380" s="2105"/>
      <c r="D380" s="2106" t="s">
        <v>3351</v>
      </c>
      <c r="E380" s="2107">
        <v>25</v>
      </c>
      <c r="F380" s="2107" t="s">
        <v>3352</v>
      </c>
      <c r="G380" s="59"/>
      <c r="H380" s="60"/>
      <c r="I380" s="60"/>
      <c r="J380" s="60"/>
      <c r="K380" s="143"/>
      <c r="L380" s="2033">
        <v>16750</v>
      </c>
      <c r="M380" s="109"/>
      <c r="N380" s="19"/>
      <c r="O380" s="62"/>
    </row>
    <row r="381" spans="1:15" ht="14.25" customHeight="1">
      <c r="A381" s="125"/>
      <c r="B381" s="776" t="s">
        <v>2929</v>
      </c>
      <c r="C381" s="2105"/>
      <c r="D381" s="2106" t="s">
        <v>3353</v>
      </c>
      <c r="E381" s="2107">
        <v>18</v>
      </c>
      <c r="F381" s="2107" t="s">
        <v>1885</v>
      </c>
      <c r="G381" s="59"/>
      <c r="H381" s="60"/>
      <c r="I381" s="60"/>
      <c r="J381" s="60"/>
      <c r="K381" s="143"/>
      <c r="L381" s="2033">
        <v>81000</v>
      </c>
      <c r="M381" s="109"/>
      <c r="N381" s="19"/>
      <c r="O381" s="62"/>
    </row>
    <row r="382" spans="1:15">
      <c r="A382" s="125"/>
      <c r="B382" s="776" t="s">
        <v>2929</v>
      </c>
      <c r="C382" s="2105"/>
      <c r="D382" s="2106" t="s">
        <v>3354</v>
      </c>
      <c r="E382" s="2107">
        <v>1</v>
      </c>
      <c r="F382" s="2107" t="s">
        <v>3007</v>
      </c>
      <c r="G382" s="59"/>
      <c r="H382" s="60"/>
      <c r="I382" s="60"/>
      <c r="J382" s="60"/>
      <c r="K382" s="143"/>
      <c r="L382" s="2033">
        <v>5200</v>
      </c>
      <c r="M382" s="109"/>
      <c r="N382" s="19"/>
      <c r="O382" s="62"/>
    </row>
    <row r="383" spans="1:15">
      <c r="A383" s="125"/>
      <c r="B383" s="776" t="s">
        <v>2929</v>
      </c>
      <c r="C383" s="2105"/>
      <c r="D383" s="2106" t="s">
        <v>3355</v>
      </c>
      <c r="E383" s="2107">
        <v>1</v>
      </c>
      <c r="F383" s="2107" t="s">
        <v>1057</v>
      </c>
      <c r="G383" s="59"/>
      <c r="H383" s="60"/>
      <c r="I383" s="60"/>
      <c r="J383" s="60"/>
      <c r="K383" s="143"/>
      <c r="L383" s="2033">
        <v>1200</v>
      </c>
      <c r="M383" s="109"/>
      <c r="N383" s="19"/>
      <c r="O383" s="62"/>
    </row>
    <row r="384" spans="1:15">
      <c r="B384" s="776" t="s">
        <v>2929</v>
      </c>
      <c r="C384" s="2105"/>
      <c r="D384" s="2106" t="s">
        <v>3356</v>
      </c>
      <c r="E384" s="2107">
        <v>10</v>
      </c>
      <c r="F384" s="2107" t="s">
        <v>3007</v>
      </c>
      <c r="G384" s="91"/>
      <c r="H384" s="91"/>
      <c r="I384" s="91"/>
      <c r="J384" s="91"/>
      <c r="K384" s="2079"/>
      <c r="L384" s="2033">
        <v>10000</v>
      </c>
      <c r="M384" s="120"/>
      <c r="N384" s="19"/>
      <c r="O384" s="91"/>
    </row>
    <row r="385" spans="1:16">
      <c r="A385" s="125"/>
      <c r="B385" s="776" t="s">
        <v>2929</v>
      </c>
      <c r="C385" s="2105"/>
      <c r="D385" s="2106" t="s">
        <v>3357</v>
      </c>
      <c r="E385" s="2107">
        <v>10</v>
      </c>
      <c r="F385" s="2107" t="s">
        <v>3275</v>
      </c>
      <c r="G385" s="88"/>
      <c r="H385" s="89"/>
      <c r="I385" s="89"/>
      <c r="J385" s="89"/>
      <c r="K385" s="2078"/>
      <c r="L385" s="2033">
        <v>13000</v>
      </c>
      <c r="M385" s="2089"/>
      <c r="N385" s="19"/>
      <c r="O385" s="77"/>
    </row>
    <row r="386" spans="1:16">
      <c r="A386" s="125"/>
      <c r="B386" s="776" t="s">
        <v>2929</v>
      </c>
      <c r="C386" s="2105"/>
      <c r="D386" s="2106" t="s">
        <v>3358</v>
      </c>
      <c r="E386" s="2107">
        <v>10</v>
      </c>
      <c r="F386" s="2107" t="s">
        <v>3275</v>
      </c>
      <c r="G386" s="59"/>
      <c r="H386" s="60"/>
      <c r="I386" s="60"/>
      <c r="J386" s="60"/>
      <c r="K386" s="143"/>
      <c r="L386" s="2033">
        <v>13000</v>
      </c>
      <c r="M386" s="109"/>
      <c r="N386" s="19"/>
      <c r="O386" s="62"/>
    </row>
    <row r="387" spans="1:16">
      <c r="A387" s="125"/>
      <c r="B387" s="776" t="s">
        <v>2929</v>
      </c>
      <c r="C387" s="2105"/>
      <c r="D387" s="2106" t="s">
        <v>3359</v>
      </c>
      <c r="E387" s="2107">
        <v>10</v>
      </c>
      <c r="F387" s="2107" t="s">
        <v>3275</v>
      </c>
      <c r="G387" s="58"/>
      <c r="H387" s="59"/>
      <c r="I387" s="60"/>
      <c r="J387" s="60"/>
      <c r="K387" s="2080"/>
      <c r="L387" s="2033">
        <v>12000</v>
      </c>
      <c r="M387" s="2090"/>
      <c r="N387" s="58"/>
      <c r="O387" s="62"/>
    </row>
    <row r="388" spans="1:16">
      <c r="A388" s="125"/>
      <c r="B388" s="776" t="s">
        <v>2929</v>
      </c>
      <c r="C388" s="2105"/>
      <c r="D388" s="2106" t="s">
        <v>3360</v>
      </c>
      <c r="E388" s="2107">
        <v>350</v>
      </c>
      <c r="F388" s="2107" t="s">
        <v>1885</v>
      </c>
      <c r="G388" s="58"/>
      <c r="H388" s="59"/>
      <c r="I388" s="60"/>
      <c r="J388" s="60"/>
      <c r="K388" s="2080"/>
      <c r="L388" s="2033">
        <v>3500</v>
      </c>
      <c r="M388" s="2090"/>
      <c r="N388" s="58"/>
      <c r="O388" s="62"/>
    </row>
    <row r="389" spans="1:16">
      <c r="A389" s="125"/>
      <c r="B389" s="776" t="s">
        <v>2929</v>
      </c>
      <c r="C389" s="2105"/>
      <c r="D389" s="2106" t="s">
        <v>3361</v>
      </c>
      <c r="E389" s="2107">
        <v>1</v>
      </c>
      <c r="F389" s="2107" t="s">
        <v>3007</v>
      </c>
      <c r="G389" s="58"/>
      <c r="H389" s="59"/>
      <c r="I389" s="60"/>
      <c r="J389" s="60"/>
      <c r="K389" s="2080"/>
      <c r="L389" s="2033">
        <v>1500</v>
      </c>
      <c r="M389" s="2090"/>
      <c r="N389" s="58"/>
      <c r="O389" s="62"/>
    </row>
    <row r="390" spans="1:16">
      <c r="A390" s="125"/>
      <c r="B390" s="776" t="s">
        <v>2929</v>
      </c>
      <c r="C390" s="2105"/>
      <c r="D390" s="2106" t="s">
        <v>3362</v>
      </c>
      <c r="E390" s="2107">
        <v>100</v>
      </c>
      <c r="F390" s="2107" t="s">
        <v>1885</v>
      </c>
      <c r="G390" s="90"/>
      <c r="H390" s="91"/>
      <c r="I390" s="91"/>
      <c r="J390" s="91"/>
      <c r="K390" s="2077"/>
      <c r="L390" s="2033">
        <v>4000</v>
      </c>
      <c r="M390" s="2088"/>
      <c r="N390" s="91"/>
      <c r="O390" s="124"/>
    </row>
    <row r="391" spans="1:16">
      <c r="A391" s="125"/>
      <c r="B391" s="776" t="s">
        <v>2929</v>
      </c>
      <c r="C391" s="2105"/>
      <c r="D391" s="2106" t="s">
        <v>3363</v>
      </c>
      <c r="E391" s="2107">
        <v>250</v>
      </c>
      <c r="F391" s="2107" t="s">
        <v>1885</v>
      </c>
      <c r="G391" s="88"/>
      <c r="H391" s="89"/>
      <c r="I391" s="89"/>
      <c r="J391" s="89"/>
      <c r="K391" s="2078"/>
      <c r="L391" s="2033">
        <v>5000</v>
      </c>
      <c r="M391" s="2089"/>
      <c r="N391" s="19"/>
      <c r="O391" s="77"/>
    </row>
    <row r="392" spans="1:16">
      <c r="A392" s="125"/>
      <c r="B392" s="776" t="s">
        <v>2929</v>
      </c>
      <c r="C392" s="2105"/>
      <c r="D392" s="2106" t="s">
        <v>3364</v>
      </c>
      <c r="E392" s="2107">
        <v>70</v>
      </c>
      <c r="F392" s="2107" t="s">
        <v>3275</v>
      </c>
      <c r="G392" s="59"/>
      <c r="H392" s="60"/>
      <c r="I392" s="60"/>
      <c r="J392" s="60"/>
      <c r="K392" s="143"/>
      <c r="L392" s="2033">
        <v>105000</v>
      </c>
      <c r="M392" s="109"/>
      <c r="N392" s="19"/>
      <c r="O392" s="62"/>
    </row>
    <row r="393" spans="1:16">
      <c r="A393" s="125"/>
      <c r="B393" s="776" t="s">
        <v>2929</v>
      </c>
      <c r="C393" s="2105"/>
      <c r="D393" s="2106" t="s">
        <v>3365</v>
      </c>
      <c r="E393" s="2107">
        <v>3</v>
      </c>
      <c r="F393" s="2107" t="s">
        <v>3275</v>
      </c>
      <c r="G393" s="59"/>
      <c r="H393" s="60"/>
      <c r="I393" s="60"/>
      <c r="J393" s="60"/>
      <c r="K393" s="143"/>
      <c r="L393" s="2033">
        <v>1830</v>
      </c>
      <c r="M393" s="109"/>
      <c r="N393" s="19"/>
      <c r="O393" s="62"/>
    </row>
    <row r="394" spans="1:16">
      <c r="A394" s="125"/>
      <c r="B394" s="776" t="s">
        <v>2929</v>
      </c>
      <c r="C394" s="2105"/>
      <c r="D394" s="2106" t="s">
        <v>3366</v>
      </c>
      <c r="E394" s="2107">
        <v>20</v>
      </c>
      <c r="F394" s="2107" t="s">
        <v>3007</v>
      </c>
      <c r="G394" s="58"/>
      <c r="H394" s="59"/>
      <c r="I394" s="60"/>
      <c r="J394" s="60"/>
      <c r="K394" s="2080"/>
      <c r="L394" s="2033">
        <v>4600</v>
      </c>
      <c r="M394" s="2090"/>
      <c r="N394" s="58"/>
      <c r="O394" s="62"/>
    </row>
    <row r="395" spans="1:16">
      <c r="A395" s="125"/>
      <c r="B395" s="776" t="s">
        <v>2929</v>
      </c>
      <c r="C395" s="2105"/>
      <c r="D395" s="2106" t="s">
        <v>3367</v>
      </c>
      <c r="E395" s="2107">
        <v>2</v>
      </c>
      <c r="F395" s="2107" t="s">
        <v>3007</v>
      </c>
      <c r="G395" s="58"/>
      <c r="H395" s="59"/>
      <c r="I395" s="60"/>
      <c r="J395" s="60"/>
      <c r="K395" s="2080"/>
      <c r="L395" s="2033">
        <v>400</v>
      </c>
      <c r="M395" s="2090"/>
      <c r="N395" s="58"/>
      <c r="O395" s="62"/>
    </row>
    <row r="396" spans="1:16">
      <c r="B396" s="776" t="s">
        <v>2929</v>
      </c>
      <c r="C396" s="2105"/>
      <c r="D396" s="2106" t="s">
        <v>3368</v>
      </c>
      <c r="E396" s="2107">
        <v>13</v>
      </c>
      <c r="F396" s="2107" t="s">
        <v>3233</v>
      </c>
      <c r="G396" s="90"/>
      <c r="H396" s="91"/>
      <c r="I396" s="91"/>
      <c r="J396" s="91"/>
      <c r="K396" s="2077"/>
      <c r="L396" s="2033">
        <v>5850</v>
      </c>
      <c r="M396" s="2088"/>
      <c r="N396" s="91"/>
      <c r="O396" s="124"/>
    </row>
    <row r="397" spans="1:16">
      <c r="C397" s="58"/>
      <c r="D397" s="90"/>
      <c r="E397" s="94"/>
      <c r="F397" s="90"/>
      <c r="G397" s="90"/>
      <c r="H397" s="91"/>
      <c r="I397" s="91"/>
      <c r="J397" s="91"/>
      <c r="K397" s="91"/>
      <c r="L397" s="2112"/>
      <c r="M397" s="93"/>
      <c r="N397" s="91"/>
      <c r="O397" s="124"/>
    </row>
    <row r="398" spans="1:16">
      <c r="C398" s="3023"/>
      <c r="D398" s="3024"/>
      <c r="E398" s="3025"/>
      <c r="F398" s="3024"/>
      <c r="G398" s="3024"/>
      <c r="H398" s="3026"/>
      <c r="I398" s="3026"/>
      <c r="J398" s="3026"/>
      <c r="K398" s="3026"/>
      <c r="L398" s="3027"/>
      <c r="M398" s="3028"/>
      <c r="N398" s="91"/>
      <c r="O398" s="124"/>
    </row>
    <row r="399" spans="1:16" ht="26.25" thickBot="1">
      <c r="B399" s="3030" t="s">
        <v>4006</v>
      </c>
      <c r="C399" s="58"/>
      <c r="D399" s="3031" t="s">
        <v>4833</v>
      </c>
      <c r="E399" s="90"/>
      <c r="F399" s="3031" t="s">
        <v>116</v>
      </c>
      <c r="G399" s="3031" t="s">
        <v>4012</v>
      </c>
      <c r="H399" s="3032">
        <v>46023</v>
      </c>
      <c r="I399" s="3032">
        <v>46174</v>
      </c>
      <c r="J399" s="3031" t="s">
        <v>5215</v>
      </c>
      <c r="K399" s="3033" t="s">
        <v>4411</v>
      </c>
      <c r="L399" s="101"/>
      <c r="M399" s="3034" t="s">
        <v>2446</v>
      </c>
      <c r="N399" s="120"/>
      <c r="O399" s="124"/>
    </row>
    <row r="400" spans="1:16" ht="35.25" customHeight="1">
      <c r="B400" s="3030" t="s">
        <v>4006</v>
      </c>
      <c r="C400" s="2859" t="s">
        <v>4832</v>
      </c>
      <c r="D400" s="3035" t="s">
        <v>4835</v>
      </c>
      <c r="E400" s="3036">
        <v>391</v>
      </c>
      <c r="F400" s="3037" t="s">
        <v>4834</v>
      </c>
      <c r="G400" s="19"/>
      <c r="H400" s="19"/>
      <c r="I400" s="19"/>
      <c r="J400" s="19"/>
      <c r="K400" s="19"/>
      <c r="L400" s="3038">
        <v>194150</v>
      </c>
      <c r="M400" s="3034"/>
      <c r="P400" s="3020"/>
    </row>
    <row r="401" spans="2:16">
      <c r="B401" s="3030" t="s">
        <v>4006</v>
      </c>
      <c r="C401" s="2859"/>
      <c r="D401" s="3035"/>
      <c r="E401" s="3036"/>
      <c r="F401" s="3037"/>
      <c r="G401" s="19"/>
      <c r="H401" s="3031"/>
      <c r="I401" s="3031"/>
      <c r="J401" s="3032"/>
      <c r="K401" s="3032"/>
      <c r="L401" s="3038"/>
      <c r="M401" s="3033"/>
      <c r="P401" s="3021"/>
    </row>
    <row r="402" spans="2:16">
      <c r="B402" s="3030" t="s">
        <v>4006</v>
      </c>
      <c r="C402" s="2859"/>
      <c r="D402" s="3039" t="s">
        <v>4837</v>
      </c>
      <c r="E402" s="2971">
        <v>210</v>
      </c>
      <c r="F402" s="2921" t="s">
        <v>4836</v>
      </c>
      <c r="G402" s="19"/>
      <c r="H402" s="3033" t="s">
        <v>2757</v>
      </c>
      <c r="I402" s="3033"/>
      <c r="J402" s="3033"/>
      <c r="K402" s="3033"/>
      <c r="L402" s="3040">
        <v>174600</v>
      </c>
      <c r="M402" s="3031"/>
      <c r="O402" s="3016"/>
      <c r="P402" s="3016"/>
    </row>
    <row r="403" spans="2:16" ht="38.25">
      <c r="B403" s="3030" t="s">
        <v>4006</v>
      </c>
      <c r="C403" s="2859"/>
      <c r="D403" s="3039" t="s">
        <v>4838</v>
      </c>
      <c r="E403" s="2971">
        <v>108</v>
      </c>
      <c r="F403" s="2921" t="s">
        <v>4014</v>
      </c>
      <c r="G403" s="19"/>
      <c r="H403" s="3033" t="s">
        <v>2757</v>
      </c>
      <c r="I403" s="3033"/>
      <c r="J403" s="3033"/>
      <c r="K403" s="3033"/>
      <c r="L403" s="3040">
        <v>206680</v>
      </c>
      <c r="M403" s="3031"/>
      <c r="O403" s="3016"/>
      <c r="P403" s="3016"/>
    </row>
    <row r="404" spans="2:16" ht="25.5">
      <c r="B404" s="3030" t="s">
        <v>4006</v>
      </c>
      <c r="C404" s="2859"/>
      <c r="D404" s="3039" t="s">
        <v>4839</v>
      </c>
      <c r="E404" s="2971">
        <v>35</v>
      </c>
      <c r="F404" s="2921" t="s">
        <v>4014</v>
      </c>
      <c r="G404" s="19"/>
      <c r="H404" s="3033" t="s">
        <v>2757</v>
      </c>
      <c r="I404" s="3033"/>
      <c r="J404" s="3033"/>
      <c r="K404" s="3033"/>
      <c r="L404" s="3040">
        <v>150500</v>
      </c>
      <c r="M404" s="3031"/>
      <c r="O404" s="3016"/>
      <c r="P404" s="3016"/>
    </row>
    <row r="405" spans="2:16" ht="38.25">
      <c r="B405" s="3030" t="s">
        <v>4006</v>
      </c>
      <c r="C405" s="2859"/>
      <c r="D405" s="3039" t="s">
        <v>4840</v>
      </c>
      <c r="E405" s="2971">
        <v>25</v>
      </c>
      <c r="F405" s="2921" t="s">
        <v>3004</v>
      </c>
      <c r="G405" s="19"/>
      <c r="H405" s="3033" t="s">
        <v>2757</v>
      </c>
      <c r="I405" s="3033"/>
      <c r="J405" s="3033"/>
      <c r="K405" s="3033"/>
      <c r="L405" s="3040">
        <v>43750</v>
      </c>
      <c r="M405" s="3031"/>
      <c r="O405" s="3016"/>
      <c r="P405" s="3016"/>
    </row>
    <row r="406" spans="2:16">
      <c r="B406" s="3030" t="s">
        <v>4006</v>
      </c>
      <c r="C406" s="2864"/>
      <c r="D406" s="3039" t="s">
        <v>4841</v>
      </c>
      <c r="E406" s="2971">
        <v>12</v>
      </c>
      <c r="F406" s="2921" t="s">
        <v>2876</v>
      </c>
      <c r="G406" s="19"/>
      <c r="H406" s="3033"/>
      <c r="I406" s="3033"/>
      <c r="J406" s="3033"/>
      <c r="K406" s="3033"/>
      <c r="L406" s="3040">
        <v>3360</v>
      </c>
      <c r="M406" s="3031"/>
      <c r="O406" s="3016"/>
      <c r="P406" s="3016"/>
    </row>
    <row r="407" spans="2:16" ht="25.5">
      <c r="B407" s="3030" t="s">
        <v>4006</v>
      </c>
      <c r="C407" s="2873"/>
      <c r="D407" s="2915" t="s">
        <v>4843</v>
      </c>
      <c r="E407" s="2971">
        <v>455</v>
      </c>
      <c r="F407" s="2921" t="s">
        <v>4842</v>
      </c>
      <c r="G407" s="19"/>
      <c r="H407" s="3033" t="s">
        <v>2757</v>
      </c>
      <c r="I407" s="3033"/>
      <c r="J407" s="3033"/>
      <c r="K407" s="3033"/>
      <c r="L407" s="3040">
        <v>89200</v>
      </c>
      <c r="M407" s="3031"/>
      <c r="O407" s="3016"/>
      <c r="P407" s="3016"/>
    </row>
    <row r="408" spans="2:16">
      <c r="B408" s="3030" t="s">
        <v>4006</v>
      </c>
      <c r="C408" s="2873"/>
      <c r="D408" s="2915" t="s">
        <v>4844</v>
      </c>
      <c r="E408" s="2971">
        <v>41</v>
      </c>
      <c r="F408" s="2921" t="s">
        <v>4842</v>
      </c>
      <c r="G408" s="19"/>
      <c r="H408" s="3033" t="s">
        <v>2757</v>
      </c>
      <c r="I408" s="3033"/>
      <c r="J408" s="3033"/>
      <c r="K408" s="3033"/>
      <c r="L408" s="3040">
        <v>17835</v>
      </c>
      <c r="M408" s="3031"/>
      <c r="O408" s="3016"/>
      <c r="P408" s="3016"/>
    </row>
    <row r="409" spans="2:16">
      <c r="B409" s="3030" t="s">
        <v>4006</v>
      </c>
      <c r="C409" s="3031"/>
      <c r="D409" s="2915" t="s">
        <v>4845</v>
      </c>
      <c r="E409" s="2971">
        <v>50</v>
      </c>
      <c r="F409" s="2921" t="s">
        <v>3248</v>
      </c>
      <c r="G409" s="19"/>
      <c r="H409" s="3033" t="s">
        <v>2757</v>
      </c>
      <c r="I409" s="3033"/>
      <c r="J409" s="3033"/>
      <c r="K409" s="3033"/>
      <c r="L409" s="3040">
        <v>13000</v>
      </c>
      <c r="M409" s="3031"/>
      <c r="O409" s="3016"/>
      <c r="P409" s="3016"/>
    </row>
    <row r="410" spans="2:16" ht="38.25">
      <c r="B410" s="3030" t="s">
        <v>4006</v>
      </c>
      <c r="C410" s="3031"/>
      <c r="D410" s="2915" t="s">
        <v>4846</v>
      </c>
      <c r="E410" s="2971">
        <v>51</v>
      </c>
      <c r="F410" s="2921" t="s">
        <v>2994</v>
      </c>
      <c r="G410" s="19"/>
      <c r="H410" s="3033" t="s">
        <v>2757</v>
      </c>
      <c r="I410" s="3033"/>
      <c r="J410" s="3033"/>
      <c r="K410" s="3033"/>
      <c r="L410" s="3040">
        <v>100980</v>
      </c>
      <c r="M410" s="3031"/>
      <c r="O410" s="3016"/>
      <c r="P410" s="3016"/>
    </row>
    <row r="411" spans="2:16" ht="38.25">
      <c r="B411" s="3030" t="s">
        <v>4006</v>
      </c>
      <c r="C411" s="3031"/>
      <c r="D411" s="2915" t="s">
        <v>4847</v>
      </c>
      <c r="E411" s="2971">
        <v>40</v>
      </c>
      <c r="F411" s="2921" t="s">
        <v>2994</v>
      </c>
      <c r="G411" s="19"/>
      <c r="H411" s="3033" t="s">
        <v>2757</v>
      </c>
      <c r="I411" s="3033"/>
      <c r="J411" s="3033"/>
      <c r="K411" s="3033"/>
      <c r="L411" s="3040">
        <v>106000</v>
      </c>
      <c r="M411" s="3031"/>
      <c r="O411" s="3016"/>
      <c r="P411" s="3016"/>
    </row>
    <row r="412" spans="2:16" ht="38.25">
      <c r="B412" s="3030" t="s">
        <v>4006</v>
      </c>
      <c r="C412" s="3031"/>
      <c r="D412" s="2915" t="s">
        <v>4848</v>
      </c>
      <c r="E412" s="2971">
        <v>60</v>
      </c>
      <c r="F412" s="2921" t="s">
        <v>2994</v>
      </c>
      <c r="G412" s="19"/>
      <c r="H412" s="3033" t="s">
        <v>2757</v>
      </c>
      <c r="I412" s="3033"/>
      <c r="J412" s="3033"/>
      <c r="K412" s="3033"/>
      <c r="L412" s="3040">
        <v>159000</v>
      </c>
      <c r="M412" s="3031"/>
      <c r="O412" s="3016"/>
      <c r="P412" s="3016"/>
    </row>
    <row r="413" spans="2:16">
      <c r="B413" s="3030" t="s">
        <v>4006</v>
      </c>
      <c r="C413" s="3031"/>
      <c r="D413" s="2915" t="s">
        <v>4849</v>
      </c>
      <c r="E413" s="2971">
        <v>300</v>
      </c>
      <c r="F413" s="2921" t="s">
        <v>4842</v>
      </c>
      <c r="G413" s="19"/>
      <c r="H413" s="3033" t="s">
        <v>2757</v>
      </c>
      <c r="I413" s="3033"/>
      <c r="J413" s="3033"/>
      <c r="K413" s="3033"/>
      <c r="L413" s="3040">
        <v>465000</v>
      </c>
      <c r="M413" s="3031"/>
      <c r="O413" s="3016"/>
      <c r="P413" s="3016"/>
    </row>
    <row r="414" spans="2:16">
      <c r="B414" s="3030" t="s">
        <v>4006</v>
      </c>
      <c r="C414" s="3031"/>
      <c r="D414" s="2915" t="s">
        <v>4850</v>
      </c>
      <c r="E414" s="2971">
        <v>194</v>
      </c>
      <c r="F414" s="2921" t="s">
        <v>4842</v>
      </c>
      <c r="G414" s="19"/>
      <c r="H414" s="3033" t="s">
        <v>2757</v>
      </c>
      <c r="I414" s="3033"/>
      <c r="J414" s="3033"/>
      <c r="K414" s="3033"/>
      <c r="L414" s="3040">
        <v>300700</v>
      </c>
      <c r="M414" s="3031"/>
      <c r="O414" s="3016"/>
      <c r="P414" s="3016"/>
    </row>
    <row r="415" spans="2:16">
      <c r="B415" s="3030" t="s">
        <v>4006</v>
      </c>
      <c r="C415" s="3031"/>
      <c r="D415" s="2915" t="s">
        <v>4851</v>
      </c>
      <c r="E415" s="2971">
        <v>100</v>
      </c>
      <c r="F415" s="2921" t="s">
        <v>4842</v>
      </c>
      <c r="G415" s="19"/>
      <c r="H415" s="3033" t="s">
        <v>2757</v>
      </c>
      <c r="I415" s="3033"/>
      <c r="J415" s="3033"/>
      <c r="K415" s="3033"/>
      <c r="L415" s="3040">
        <v>11500</v>
      </c>
      <c r="M415" s="3031"/>
      <c r="O415" s="3016"/>
      <c r="P415" s="3016"/>
    </row>
    <row r="416" spans="2:16">
      <c r="B416" s="3030" t="s">
        <v>4006</v>
      </c>
      <c r="C416" s="3031"/>
      <c r="D416" s="2915" t="s">
        <v>4852</v>
      </c>
      <c r="E416" s="2971">
        <v>41</v>
      </c>
      <c r="F416" s="2921" t="s">
        <v>2994</v>
      </c>
      <c r="G416" s="19"/>
      <c r="H416" s="3033" t="s">
        <v>2757</v>
      </c>
      <c r="I416" s="3033"/>
      <c r="J416" s="3033"/>
      <c r="K416" s="3033"/>
      <c r="L416" s="3040">
        <v>22960</v>
      </c>
      <c r="M416" s="3031"/>
      <c r="O416" s="3016"/>
      <c r="P416" s="3016"/>
    </row>
    <row r="417" spans="2:16">
      <c r="B417" s="3030" t="s">
        <v>4006</v>
      </c>
      <c r="C417" s="3031"/>
      <c r="D417" s="2915" t="s">
        <v>4853</v>
      </c>
      <c r="E417" s="2971">
        <v>16</v>
      </c>
      <c r="F417" s="2921" t="s">
        <v>3007</v>
      </c>
      <c r="G417" s="19"/>
      <c r="H417" s="3033" t="s">
        <v>2757</v>
      </c>
      <c r="I417" s="3033"/>
      <c r="J417" s="3033"/>
      <c r="K417" s="3033"/>
      <c r="L417" s="3040">
        <v>2560</v>
      </c>
      <c r="M417" s="3031"/>
      <c r="O417" s="3016"/>
      <c r="P417" s="3016"/>
    </row>
    <row r="418" spans="2:16">
      <c r="B418" s="3030" t="s">
        <v>4006</v>
      </c>
      <c r="C418" s="3031"/>
      <c r="D418" s="2915" t="s">
        <v>4854</v>
      </c>
      <c r="E418" s="2971">
        <v>10</v>
      </c>
      <c r="F418" s="2921" t="s">
        <v>3471</v>
      </c>
      <c r="G418" s="19"/>
      <c r="H418" s="3033" t="s">
        <v>2757</v>
      </c>
      <c r="I418" s="3033"/>
      <c r="J418" s="3033"/>
      <c r="K418" s="3033"/>
      <c r="L418" s="3040">
        <v>124700</v>
      </c>
      <c r="M418" s="3031"/>
      <c r="O418" s="3016"/>
      <c r="P418" s="3016"/>
    </row>
    <row r="419" spans="2:16">
      <c r="B419" s="3030" t="s">
        <v>4006</v>
      </c>
      <c r="C419" s="3031"/>
      <c r="D419" s="2915" t="s">
        <v>2473</v>
      </c>
      <c r="E419" s="2971">
        <v>750</v>
      </c>
      <c r="F419" s="2921" t="s">
        <v>4842</v>
      </c>
      <c r="G419" s="19"/>
      <c r="H419" s="3033" t="s">
        <v>2757</v>
      </c>
      <c r="I419" s="3033"/>
      <c r="J419" s="3033"/>
      <c r="K419" s="3033"/>
      <c r="L419" s="3040">
        <v>114000</v>
      </c>
      <c r="M419" s="3031"/>
      <c r="O419" s="3016"/>
      <c r="P419" s="3016"/>
    </row>
    <row r="420" spans="2:16">
      <c r="B420" s="3030" t="s">
        <v>4006</v>
      </c>
      <c r="C420" s="3031"/>
      <c r="D420" s="2915" t="s">
        <v>4855</v>
      </c>
      <c r="E420" s="2971">
        <v>100</v>
      </c>
      <c r="F420" s="2921" t="s">
        <v>4842</v>
      </c>
      <c r="G420" s="19"/>
      <c r="H420" s="3033" t="s">
        <v>2757</v>
      </c>
      <c r="I420" s="3033"/>
      <c r="J420" s="3033"/>
      <c r="K420" s="3033"/>
      <c r="L420" s="3040">
        <v>1000</v>
      </c>
      <c r="M420" s="3031"/>
      <c r="O420" s="3016"/>
      <c r="P420" s="3016"/>
    </row>
    <row r="421" spans="2:16" ht="25.5">
      <c r="B421" s="3030" t="s">
        <v>4006</v>
      </c>
      <c r="C421" s="3031"/>
      <c r="D421" s="2915" t="s">
        <v>4856</v>
      </c>
      <c r="E421" s="2971">
        <v>500</v>
      </c>
      <c r="F421" s="2921" t="s">
        <v>4842</v>
      </c>
      <c r="G421" s="19"/>
      <c r="H421" s="3033" t="s">
        <v>2757</v>
      </c>
      <c r="I421" s="3033"/>
      <c r="J421" s="3033"/>
      <c r="K421" s="3033"/>
      <c r="L421" s="3040">
        <v>12500</v>
      </c>
      <c r="M421" s="3031"/>
      <c r="O421" s="3016"/>
      <c r="P421" s="3016"/>
    </row>
    <row r="422" spans="2:16">
      <c r="B422" s="3030" t="s">
        <v>4006</v>
      </c>
      <c r="C422" s="3031"/>
      <c r="D422" s="2915" t="s">
        <v>4857</v>
      </c>
      <c r="E422" s="2971">
        <v>5800</v>
      </c>
      <c r="F422" s="2921" t="s">
        <v>4014</v>
      </c>
      <c r="G422" s="19"/>
      <c r="H422" s="3033" t="s">
        <v>2757</v>
      </c>
      <c r="I422" s="3033"/>
      <c r="J422" s="3033"/>
      <c r="K422" s="3033"/>
      <c r="L422" s="3040">
        <v>489000</v>
      </c>
      <c r="M422" s="3031"/>
      <c r="O422" s="3016"/>
      <c r="P422" s="3016"/>
    </row>
    <row r="423" spans="2:16">
      <c r="B423" s="3030" t="s">
        <v>4006</v>
      </c>
      <c r="C423" s="3031"/>
      <c r="D423" s="2915" t="s">
        <v>4858</v>
      </c>
      <c r="E423" s="2971">
        <v>150</v>
      </c>
      <c r="F423" s="2921" t="s">
        <v>3004</v>
      </c>
      <c r="G423" s="19"/>
      <c r="H423" s="3033" t="s">
        <v>2757</v>
      </c>
      <c r="I423" s="3033"/>
      <c r="J423" s="3033"/>
      <c r="K423" s="3033"/>
      <c r="L423" s="3040">
        <v>142500</v>
      </c>
      <c r="M423" s="3031"/>
      <c r="O423" s="3016"/>
      <c r="P423" s="3016"/>
    </row>
    <row r="424" spans="2:16">
      <c r="B424" s="3030" t="s">
        <v>4006</v>
      </c>
      <c r="C424" s="3031"/>
      <c r="D424" s="2915" t="s">
        <v>4859</v>
      </c>
      <c r="E424" s="2971">
        <v>230</v>
      </c>
      <c r="F424" s="2921" t="s">
        <v>3004</v>
      </c>
      <c r="G424" s="19"/>
      <c r="H424" s="3033" t="s">
        <v>2757</v>
      </c>
      <c r="I424" s="3033"/>
      <c r="J424" s="3033"/>
      <c r="K424" s="3033"/>
      <c r="L424" s="3040">
        <v>7400</v>
      </c>
      <c r="M424" s="3031"/>
      <c r="O424" s="3016"/>
      <c r="P424" s="3016"/>
    </row>
    <row r="425" spans="2:16">
      <c r="B425" s="3030" t="s">
        <v>4006</v>
      </c>
      <c r="C425" s="3031"/>
      <c r="D425" s="2915" t="s">
        <v>4860</v>
      </c>
      <c r="E425" s="2971">
        <v>740</v>
      </c>
      <c r="F425" s="2921" t="s">
        <v>3004</v>
      </c>
      <c r="G425" s="19"/>
      <c r="H425" s="3033" t="s">
        <v>2757</v>
      </c>
      <c r="I425" s="3033"/>
      <c r="J425" s="3033"/>
      <c r="K425" s="3033"/>
      <c r="L425" s="3040">
        <v>37300</v>
      </c>
      <c r="M425" s="3031"/>
      <c r="O425" s="3016"/>
      <c r="P425" s="3016"/>
    </row>
    <row r="426" spans="2:16">
      <c r="B426" s="3030" t="s">
        <v>4006</v>
      </c>
      <c r="C426" s="3031"/>
      <c r="D426" s="2915" t="s">
        <v>4861</v>
      </c>
      <c r="E426" s="2971">
        <v>640</v>
      </c>
      <c r="F426" s="2921" t="s">
        <v>3004</v>
      </c>
      <c r="G426" s="19"/>
      <c r="H426" s="3033" t="s">
        <v>2757</v>
      </c>
      <c r="I426" s="3033"/>
      <c r="J426" s="3033"/>
      <c r="K426" s="3033"/>
      <c r="L426" s="3040">
        <v>47800</v>
      </c>
      <c r="M426" s="3031"/>
      <c r="O426" s="3016"/>
      <c r="P426" s="3016"/>
    </row>
    <row r="427" spans="2:16">
      <c r="B427" s="3030" t="s">
        <v>4006</v>
      </c>
      <c r="C427" s="3031"/>
      <c r="D427" s="2915" t="s">
        <v>4862</v>
      </c>
      <c r="E427" s="2971">
        <v>10</v>
      </c>
      <c r="F427" s="2921" t="s">
        <v>3248</v>
      </c>
      <c r="G427" s="19"/>
      <c r="H427" s="3033" t="s">
        <v>2757</v>
      </c>
      <c r="I427" s="3033"/>
      <c r="J427" s="3033"/>
      <c r="K427" s="3033"/>
      <c r="L427" s="3040">
        <v>6500</v>
      </c>
      <c r="M427" s="3031"/>
      <c r="O427" s="3016"/>
      <c r="P427" s="3016"/>
    </row>
    <row r="428" spans="2:16" ht="76.5">
      <c r="B428" s="3030" t="s">
        <v>4006</v>
      </c>
      <c r="C428" s="3031"/>
      <c r="D428" s="2915" t="s">
        <v>4863</v>
      </c>
      <c r="E428" s="2971">
        <v>50</v>
      </c>
      <c r="F428" s="2921" t="s">
        <v>4842</v>
      </c>
      <c r="G428" s="19"/>
      <c r="H428" s="3033" t="s">
        <v>2757</v>
      </c>
      <c r="I428" s="3033"/>
      <c r="J428" s="3033"/>
      <c r="K428" s="3033"/>
      <c r="L428" s="3040">
        <v>21500</v>
      </c>
      <c r="M428" s="3031"/>
      <c r="O428" s="3016"/>
      <c r="P428" s="3016"/>
    </row>
    <row r="429" spans="2:16" ht="76.5">
      <c r="B429" s="3030" t="s">
        <v>4006</v>
      </c>
      <c r="C429" s="3031"/>
      <c r="D429" s="2915" t="s">
        <v>4864</v>
      </c>
      <c r="E429" s="2971">
        <v>50</v>
      </c>
      <c r="F429" s="2921" t="s">
        <v>4842</v>
      </c>
      <c r="G429" s="19"/>
      <c r="H429" s="3033" t="s">
        <v>2757</v>
      </c>
      <c r="I429" s="3033"/>
      <c r="J429" s="3033"/>
      <c r="K429" s="3033"/>
      <c r="L429" s="3040">
        <v>21500</v>
      </c>
      <c r="M429" s="3031"/>
      <c r="O429" s="3016"/>
      <c r="P429" s="3016"/>
    </row>
    <row r="430" spans="2:16" ht="76.5">
      <c r="B430" s="3030" t="s">
        <v>4006</v>
      </c>
      <c r="C430" s="3031"/>
      <c r="D430" s="2915" t="s">
        <v>4865</v>
      </c>
      <c r="E430" s="2971">
        <v>50</v>
      </c>
      <c r="F430" s="2921" t="s">
        <v>4842</v>
      </c>
      <c r="G430" s="19"/>
      <c r="H430" s="3033" t="s">
        <v>2757</v>
      </c>
      <c r="I430" s="3033"/>
      <c r="J430" s="3033"/>
      <c r="K430" s="3033"/>
      <c r="L430" s="3040">
        <v>21500</v>
      </c>
      <c r="M430" s="3031"/>
      <c r="O430" s="3016"/>
      <c r="P430" s="3016"/>
    </row>
    <row r="431" spans="2:16" ht="76.5">
      <c r="B431" s="3030" t="s">
        <v>4006</v>
      </c>
      <c r="C431" s="3031"/>
      <c r="D431" s="2915" t="s">
        <v>4866</v>
      </c>
      <c r="E431" s="2971">
        <v>50</v>
      </c>
      <c r="F431" s="2921" t="s">
        <v>4842</v>
      </c>
      <c r="G431" s="19"/>
      <c r="H431" s="3033" t="s">
        <v>2757</v>
      </c>
      <c r="I431" s="3033"/>
      <c r="J431" s="3033"/>
      <c r="K431" s="3033"/>
      <c r="L431" s="3040">
        <v>21500</v>
      </c>
      <c r="M431" s="3031"/>
      <c r="O431" s="3016"/>
      <c r="P431" s="3016"/>
    </row>
    <row r="432" spans="2:16" ht="76.5">
      <c r="B432" s="3030" t="s">
        <v>4006</v>
      </c>
      <c r="C432" s="3031"/>
      <c r="D432" s="2915" t="s">
        <v>4867</v>
      </c>
      <c r="E432" s="2971">
        <v>50</v>
      </c>
      <c r="F432" s="2921" t="s">
        <v>4842</v>
      </c>
      <c r="G432" s="19"/>
      <c r="H432" s="3033" t="s">
        <v>2757</v>
      </c>
      <c r="I432" s="3033"/>
      <c r="J432" s="3033"/>
      <c r="K432" s="3033"/>
      <c r="L432" s="3040">
        <v>21500</v>
      </c>
      <c r="M432" s="3031"/>
      <c r="O432" s="3016"/>
      <c r="P432" s="3016"/>
    </row>
    <row r="433" spans="2:16" ht="76.5">
      <c r="B433" s="3030" t="s">
        <v>4006</v>
      </c>
      <c r="C433" s="3031"/>
      <c r="D433" s="2915" t="s">
        <v>4868</v>
      </c>
      <c r="E433" s="2971">
        <v>20</v>
      </c>
      <c r="F433" s="2921" t="s">
        <v>4842</v>
      </c>
      <c r="G433" s="19"/>
      <c r="H433" s="3033" t="s">
        <v>2757</v>
      </c>
      <c r="I433" s="3033"/>
      <c r="J433" s="3033"/>
      <c r="K433" s="3033"/>
      <c r="L433" s="3040">
        <v>8600</v>
      </c>
      <c r="M433" s="3031"/>
      <c r="O433" s="3016"/>
      <c r="P433" s="3016"/>
    </row>
    <row r="434" spans="2:16" ht="76.5">
      <c r="B434" s="3030" t="s">
        <v>4006</v>
      </c>
      <c r="C434" s="3031"/>
      <c r="D434" s="2915" t="s">
        <v>4869</v>
      </c>
      <c r="E434" s="2971">
        <v>20</v>
      </c>
      <c r="F434" s="2921" t="s">
        <v>4842</v>
      </c>
      <c r="G434" s="19"/>
      <c r="H434" s="3033" t="s">
        <v>2757</v>
      </c>
      <c r="I434" s="3033"/>
      <c r="J434" s="3033"/>
      <c r="K434" s="3033"/>
      <c r="L434" s="3040">
        <v>8600</v>
      </c>
      <c r="M434" s="3031"/>
      <c r="O434" s="3016"/>
      <c r="P434" s="3016"/>
    </row>
    <row r="435" spans="2:16" ht="63.75">
      <c r="B435" s="3030" t="s">
        <v>4006</v>
      </c>
      <c r="C435" s="3031"/>
      <c r="D435" s="2915" t="s">
        <v>4870</v>
      </c>
      <c r="E435" s="2971">
        <v>20</v>
      </c>
      <c r="F435" s="2921" t="s">
        <v>4842</v>
      </c>
      <c r="G435" s="19"/>
      <c r="H435" s="3033" t="s">
        <v>2757</v>
      </c>
      <c r="I435" s="3033"/>
      <c r="J435" s="3033"/>
      <c r="K435" s="3033"/>
      <c r="L435" s="3040">
        <v>8600</v>
      </c>
      <c r="M435" s="3031"/>
      <c r="O435" s="3016"/>
      <c r="P435" s="3016"/>
    </row>
    <row r="436" spans="2:16" ht="76.5">
      <c r="B436" s="3030" t="s">
        <v>4006</v>
      </c>
      <c r="C436" s="3031"/>
      <c r="D436" s="2915" t="s">
        <v>4871</v>
      </c>
      <c r="E436" s="2971">
        <v>20</v>
      </c>
      <c r="F436" s="2921" t="s">
        <v>4842</v>
      </c>
      <c r="G436" s="19"/>
      <c r="H436" s="3033" t="s">
        <v>2757</v>
      </c>
      <c r="I436" s="3033"/>
      <c r="J436" s="3033"/>
      <c r="K436" s="3033"/>
      <c r="L436" s="3040">
        <v>8600</v>
      </c>
      <c r="M436" s="3031"/>
      <c r="O436" s="3016"/>
      <c r="P436" s="3016"/>
    </row>
    <row r="437" spans="2:16" ht="63.75">
      <c r="B437" s="3030" t="s">
        <v>4006</v>
      </c>
      <c r="C437" s="3031"/>
      <c r="D437" s="2915" t="s">
        <v>4872</v>
      </c>
      <c r="E437" s="2971">
        <v>20</v>
      </c>
      <c r="F437" s="2921" t="s">
        <v>4842</v>
      </c>
      <c r="G437" s="19"/>
      <c r="H437" s="3033" t="s">
        <v>2757</v>
      </c>
      <c r="I437" s="3033"/>
      <c r="J437" s="3033"/>
      <c r="K437" s="3033"/>
      <c r="L437" s="3040">
        <v>8600</v>
      </c>
      <c r="M437" s="3031"/>
      <c r="O437" s="3016"/>
      <c r="P437" s="3016"/>
    </row>
    <row r="438" spans="2:16" ht="63.75">
      <c r="B438" s="3030" t="s">
        <v>4006</v>
      </c>
      <c r="C438" s="3031"/>
      <c r="D438" s="2915" t="s">
        <v>4873</v>
      </c>
      <c r="E438" s="2971">
        <v>50</v>
      </c>
      <c r="F438" s="2921" t="s">
        <v>4842</v>
      </c>
      <c r="G438" s="19"/>
      <c r="H438" s="3033" t="s">
        <v>2757</v>
      </c>
      <c r="I438" s="3033"/>
      <c r="J438" s="3033"/>
      <c r="K438" s="3033"/>
      <c r="L438" s="3040">
        <v>21500</v>
      </c>
      <c r="M438" s="3031"/>
      <c r="O438" s="3016"/>
      <c r="P438" s="3016"/>
    </row>
    <row r="439" spans="2:16" ht="63.75">
      <c r="B439" s="3030" t="s">
        <v>4006</v>
      </c>
      <c r="C439" s="3031"/>
      <c r="D439" s="2915" t="s">
        <v>4874</v>
      </c>
      <c r="E439" s="2971">
        <v>50</v>
      </c>
      <c r="F439" s="2921" t="s">
        <v>4842</v>
      </c>
      <c r="G439" s="19"/>
      <c r="H439" s="3033" t="s">
        <v>2757</v>
      </c>
      <c r="I439" s="3033"/>
      <c r="J439" s="3033"/>
      <c r="K439" s="3033"/>
      <c r="L439" s="3040">
        <v>21500</v>
      </c>
      <c r="M439" s="3031"/>
      <c r="O439" s="3016"/>
      <c r="P439" s="3016"/>
    </row>
    <row r="440" spans="2:16" ht="76.5">
      <c r="B440" s="3030" t="s">
        <v>4006</v>
      </c>
      <c r="C440" s="3031"/>
      <c r="D440" s="2915" t="s">
        <v>4875</v>
      </c>
      <c r="E440" s="2971">
        <v>10</v>
      </c>
      <c r="F440" s="2921" t="s">
        <v>4842</v>
      </c>
      <c r="G440" s="19"/>
      <c r="H440" s="3033" t="s">
        <v>2757</v>
      </c>
      <c r="I440" s="3033"/>
      <c r="J440" s="3033"/>
      <c r="K440" s="3033"/>
      <c r="L440" s="3040">
        <v>4300</v>
      </c>
      <c r="M440" s="3031"/>
      <c r="O440" s="3016"/>
      <c r="P440" s="3016"/>
    </row>
    <row r="441" spans="2:16">
      <c r="B441" s="3030" t="s">
        <v>4006</v>
      </c>
      <c r="C441" s="3031"/>
      <c r="D441" s="2915" t="s">
        <v>4876</v>
      </c>
      <c r="E441" s="2971">
        <v>350</v>
      </c>
      <c r="F441" s="2921" t="s">
        <v>4842</v>
      </c>
      <c r="G441" s="19"/>
      <c r="H441" s="3033" t="s">
        <v>2757</v>
      </c>
      <c r="I441" s="3033"/>
      <c r="J441" s="3033"/>
      <c r="K441" s="3033"/>
      <c r="L441" s="3040">
        <v>49000</v>
      </c>
      <c r="M441" s="3031"/>
      <c r="O441" s="3016"/>
      <c r="P441" s="3016"/>
    </row>
    <row r="442" spans="2:16" ht="25.5">
      <c r="B442" s="3030" t="s">
        <v>4006</v>
      </c>
      <c r="C442" s="3031"/>
      <c r="D442" s="2915" t="s">
        <v>4877</v>
      </c>
      <c r="E442" s="2971">
        <v>1400</v>
      </c>
      <c r="F442" s="2921" t="s">
        <v>4842</v>
      </c>
      <c r="G442" s="19"/>
      <c r="H442" s="3033" t="s">
        <v>2757</v>
      </c>
      <c r="I442" s="3033"/>
      <c r="J442" s="3033"/>
      <c r="K442" s="3033"/>
      <c r="L442" s="3040">
        <v>1288000</v>
      </c>
      <c r="M442" s="3031"/>
      <c r="O442" s="3016"/>
      <c r="P442" s="3016"/>
    </row>
    <row r="443" spans="2:16" ht="25.5">
      <c r="B443" s="3030" t="s">
        <v>4006</v>
      </c>
      <c r="C443" s="3031"/>
      <c r="D443" s="2915" t="s">
        <v>4878</v>
      </c>
      <c r="E443" s="2971">
        <v>300</v>
      </c>
      <c r="F443" s="2921" t="s">
        <v>4842</v>
      </c>
      <c r="G443" s="19"/>
      <c r="H443" s="3033" t="s">
        <v>2757</v>
      </c>
      <c r="I443" s="3033"/>
      <c r="J443" s="3033"/>
      <c r="K443" s="3033"/>
      <c r="L443" s="3040">
        <v>21000</v>
      </c>
      <c r="M443" s="3031"/>
      <c r="O443" s="3016"/>
      <c r="P443" s="3016"/>
    </row>
    <row r="444" spans="2:16" ht="25.5">
      <c r="B444" s="3030" t="s">
        <v>4006</v>
      </c>
      <c r="C444" s="3031"/>
      <c r="D444" s="2915" t="s">
        <v>4879</v>
      </c>
      <c r="E444" s="2971">
        <v>1590</v>
      </c>
      <c r="F444" s="2921" t="s">
        <v>4842</v>
      </c>
      <c r="G444" s="19"/>
      <c r="H444" s="3033" t="s">
        <v>2757</v>
      </c>
      <c r="I444" s="3033"/>
      <c r="J444" s="3033"/>
      <c r="K444" s="3033"/>
      <c r="L444" s="3040">
        <v>126820</v>
      </c>
      <c r="M444" s="3031"/>
      <c r="O444" s="3016"/>
      <c r="P444" s="3016"/>
    </row>
    <row r="445" spans="2:16" ht="25.5">
      <c r="B445" s="3030" t="s">
        <v>4006</v>
      </c>
      <c r="C445" s="3031"/>
      <c r="D445" s="2915" t="s">
        <v>4880</v>
      </c>
      <c r="E445" s="2971">
        <v>110</v>
      </c>
      <c r="F445" s="2921" t="s">
        <v>3004</v>
      </c>
      <c r="G445" s="19"/>
      <c r="H445" s="3033" t="s">
        <v>2757</v>
      </c>
      <c r="I445" s="3033"/>
      <c r="J445" s="3033"/>
      <c r="K445" s="3033"/>
      <c r="L445" s="3040">
        <v>283500</v>
      </c>
      <c r="M445" s="3031"/>
      <c r="O445" s="3016"/>
      <c r="P445" s="3016"/>
    </row>
    <row r="446" spans="2:16" ht="25.5">
      <c r="B446" s="3030" t="s">
        <v>4006</v>
      </c>
      <c r="C446" s="3031"/>
      <c r="D446" s="2915" t="s">
        <v>4881</v>
      </c>
      <c r="E446" s="2971">
        <v>64</v>
      </c>
      <c r="F446" s="2921" t="s">
        <v>4842</v>
      </c>
      <c r="G446" s="19"/>
      <c r="H446" s="3033" t="s">
        <v>2757</v>
      </c>
      <c r="I446" s="3033"/>
      <c r="J446" s="3033"/>
      <c r="K446" s="3033"/>
      <c r="L446" s="3040">
        <v>2880</v>
      </c>
      <c r="M446" s="3031"/>
      <c r="O446" s="3016"/>
      <c r="P446" s="3016"/>
    </row>
    <row r="447" spans="2:16" ht="25.5">
      <c r="B447" s="3030" t="s">
        <v>4006</v>
      </c>
      <c r="C447" s="3031"/>
      <c r="D447" s="2915" t="s">
        <v>4882</v>
      </c>
      <c r="E447" s="2971">
        <v>219</v>
      </c>
      <c r="F447" s="2921" t="s">
        <v>4842</v>
      </c>
      <c r="G447" s="19"/>
      <c r="H447" s="3033" t="s">
        <v>2757</v>
      </c>
      <c r="I447" s="3033"/>
      <c r="J447" s="3033"/>
      <c r="K447" s="3033"/>
      <c r="L447" s="3040">
        <v>6655</v>
      </c>
      <c r="M447" s="3031"/>
      <c r="O447" s="3016"/>
      <c r="P447" s="3016"/>
    </row>
    <row r="448" spans="2:16" ht="25.5">
      <c r="B448" s="3030" t="s">
        <v>4006</v>
      </c>
      <c r="C448" s="3031"/>
      <c r="D448" s="2915" t="s">
        <v>4883</v>
      </c>
      <c r="E448" s="2971">
        <v>200</v>
      </c>
      <c r="F448" s="2921" t="s">
        <v>4842</v>
      </c>
      <c r="G448" s="19"/>
      <c r="H448" s="3033" t="s">
        <v>2757</v>
      </c>
      <c r="I448" s="3033"/>
      <c r="J448" s="3033"/>
      <c r="K448" s="3033"/>
      <c r="L448" s="3040">
        <v>5800</v>
      </c>
      <c r="M448" s="3031"/>
      <c r="O448" s="3016"/>
      <c r="P448" s="3016"/>
    </row>
    <row r="449" spans="2:16">
      <c r="B449" s="3030" t="s">
        <v>4006</v>
      </c>
      <c r="C449" s="3031"/>
      <c r="D449" s="2915" t="s">
        <v>4884</v>
      </c>
      <c r="E449" s="2971">
        <v>1150</v>
      </c>
      <c r="F449" s="2921" t="s">
        <v>4842</v>
      </c>
      <c r="G449" s="19"/>
      <c r="H449" s="3033" t="s">
        <v>2757</v>
      </c>
      <c r="I449" s="3033"/>
      <c r="J449" s="3033"/>
      <c r="K449" s="3033"/>
      <c r="L449" s="3040">
        <v>295912.5</v>
      </c>
      <c r="M449" s="3031"/>
      <c r="O449" s="3016"/>
      <c r="P449" s="3016"/>
    </row>
    <row r="450" spans="2:16">
      <c r="B450" s="3030" t="s">
        <v>4006</v>
      </c>
      <c r="C450" s="3031"/>
      <c r="D450" s="2915" t="s">
        <v>2496</v>
      </c>
      <c r="E450" s="2971">
        <v>200</v>
      </c>
      <c r="F450" s="2921" t="s">
        <v>4014</v>
      </c>
      <c r="G450" s="19"/>
      <c r="H450" s="3033" t="s">
        <v>2757</v>
      </c>
      <c r="I450" s="3033"/>
      <c r="J450" s="3033"/>
      <c r="K450" s="3033"/>
      <c r="L450" s="3040">
        <v>30000</v>
      </c>
      <c r="M450" s="3031"/>
      <c r="O450" s="3016"/>
      <c r="P450" s="3016"/>
    </row>
    <row r="451" spans="2:16" ht="25.5">
      <c r="B451" s="3030" t="s">
        <v>4006</v>
      </c>
      <c r="C451" s="3031"/>
      <c r="D451" s="2915" t="s">
        <v>4885</v>
      </c>
      <c r="E451" s="2971">
        <v>360</v>
      </c>
      <c r="F451" s="2921" t="s">
        <v>3007</v>
      </c>
      <c r="G451" s="19"/>
      <c r="H451" s="3033" t="s">
        <v>2757</v>
      </c>
      <c r="I451" s="3033"/>
      <c r="J451" s="3033"/>
      <c r="K451" s="3033"/>
      <c r="L451" s="3040">
        <v>594000</v>
      </c>
      <c r="M451" s="3031"/>
      <c r="O451" s="3016"/>
      <c r="P451" s="3016"/>
    </row>
    <row r="452" spans="2:16" ht="25.5">
      <c r="B452" s="3030" t="s">
        <v>4006</v>
      </c>
      <c r="C452" s="3031"/>
      <c r="D452" s="2915" t="s">
        <v>4886</v>
      </c>
      <c r="E452" s="2971">
        <v>4</v>
      </c>
      <c r="F452" s="2921" t="s">
        <v>3007</v>
      </c>
      <c r="G452" s="19"/>
      <c r="H452" s="3033" t="s">
        <v>2757</v>
      </c>
      <c r="I452" s="3033"/>
      <c r="J452" s="3033"/>
      <c r="K452" s="3033"/>
      <c r="L452" s="3040">
        <v>3800</v>
      </c>
      <c r="M452" s="3031"/>
      <c r="O452" s="3016"/>
      <c r="P452" s="3016"/>
    </row>
    <row r="453" spans="2:16" ht="25.5">
      <c r="B453" s="3030" t="s">
        <v>4006</v>
      </c>
      <c r="C453" s="3031"/>
      <c r="D453" s="2915" t="s">
        <v>4887</v>
      </c>
      <c r="E453" s="2971">
        <v>4</v>
      </c>
      <c r="F453" s="2921" t="s">
        <v>3007</v>
      </c>
      <c r="G453" s="19"/>
      <c r="H453" s="3033" t="s">
        <v>2757</v>
      </c>
      <c r="I453" s="3033"/>
      <c r="J453" s="3033"/>
      <c r="K453" s="3033"/>
      <c r="L453" s="3040">
        <v>3800</v>
      </c>
      <c r="M453" s="3031"/>
      <c r="O453" s="3016"/>
      <c r="P453" s="3016"/>
    </row>
    <row r="454" spans="2:16" ht="25.5">
      <c r="B454" s="3030" t="s">
        <v>4006</v>
      </c>
      <c r="C454" s="3031"/>
      <c r="D454" s="2915" t="s">
        <v>4888</v>
      </c>
      <c r="E454" s="2971">
        <v>4</v>
      </c>
      <c r="F454" s="2921" t="s">
        <v>3007</v>
      </c>
      <c r="G454" s="19"/>
      <c r="H454" s="3033" t="s">
        <v>2757</v>
      </c>
      <c r="I454" s="3033"/>
      <c r="J454" s="3033"/>
      <c r="K454" s="3033"/>
      <c r="L454" s="3040">
        <v>3800</v>
      </c>
      <c r="M454" s="3031"/>
      <c r="O454" s="3016"/>
      <c r="P454" s="3016"/>
    </row>
    <row r="455" spans="2:16" ht="25.5">
      <c r="B455" s="3030" t="s">
        <v>4006</v>
      </c>
      <c r="C455" s="3031"/>
      <c r="D455" s="2915" t="s">
        <v>4889</v>
      </c>
      <c r="E455" s="2971">
        <v>4</v>
      </c>
      <c r="F455" s="2921" t="s">
        <v>3007</v>
      </c>
      <c r="G455" s="19"/>
      <c r="H455" s="3033" t="s">
        <v>2757</v>
      </c>
      <c r="I455" s="3033"/>
      <c r="J455" s="3033"/>
      <c r="K455" s="3033"/>
      <c r="L455" s="3040">
        <v>3800</v>
      </c>
      <c r="M455" s="3031"/>
      <c r="O455" s="3016"/>
      <c r="P455" s="3016"/>
    </row>
    <row r="456" spans="2:16" ht="25.5">
      <c r="B456" s="3030" t="s">
        <v>4006</v>
      </c>
      <c r="C456" s="3031"/>
      <c r="D456" s="2917" t="s">
        <v>4890</v>
      </c>
      <c r="E456" s="2971">
        <v>245</v>
      </c>
      <c r="F456" s="2968" t="s">
        <v>3007</v>
      </c>
      <c r="G456" s="19"/>
      <c r="H456" s="3033" t="s">
        <v>2757</v>
      </c>
      <c r="I456" s="3033"/>
      <c r="J456" s="3033"/>
      <c r="K456" s="3033"/>
      <c r="L456" s="3040">
        <v>124215</v>
      </c>
      <c r="M456" s="3031"/>
      <c r="O456" s="3016"/>
      <c r="P456" s="3016"/>
    </row>
    <row r="457" spans="2:16" ht="25.5">
      <c r="B457" s="3030" t="s">
        <v>4006</v>
      </c>
      <c r="C457" s="3031"/>
      <c r="D457" s="2917" t="s">
        <v>4891</v>
      </c>
      <c r="E457" s="2971">
        <v>8</v>
      </c>
      <c r="F457" s="2968" t="s">
        <v>3007</v>
      </c>
      <c r="G457" s="19"/>
      <c r="H457" s="3033" t="s">
        <v>2757</v>
      </c>
      <c r="I457" s="3033"/>
      <c r="J457" s="3033"/>
      <c r="K457" s="3033"/>
      <c r="L457" s="3040">
        <v>4376</v>
      </c>
      <c r="M457" s="3031"/>
      <c r="O457" s="3016"/>
      <c r="P457" s="3016"/>
    </row>
    <row r="458" spans="2:16" ht="25.5">
      <c r="B458" s="3030" t="s">
        <v>4006</v>
      </c>
      <c r="C458" s="3031"/>
      <c r="D458" s="2917" t="s">
        <v>4892</v>
      </c>
      <c r="E458" s="2971">
        <v>57</v>
      </c>
      <c r="F458" s="2968" t="s">
        <v>3007</v>
      </c>
      <c r="G458" s="19"/>
      <c r="H458" s="3033" t="s">
        <v>2757</v>
      </c>
      <c r="I458" s="3033"/>
      <c r="J458" s="3033"/>
      <c r="K458" s="3033"/>
      <c r="L458" s="3040">
        <v>28329</v>
      </c>
      <c r="M458" s="3031"/>
      <c r="O458" s="3016"/>
      <c r="P458" s="3016"/>
    </row>
    <row r="459" spans="2:16" ht="25.5">
      <c r="B459" s="3030" t="s">
        <v>4006</v>
      </c>
      <c r="C459" s="3031"/>
      <c r="D459" s="2917" t="s">
        <v>4893</v>
      </c>
      <c r="E459" s="2971">
        <v>30</v>
      </c>
      <c r="F459" s="2968" t="s">
        <v>3007</v>
      </c>
      <c r="G459" s="19"/>
      <c r="H459" s="3033" t="s">
        <v>2757</v>
      </c>
      <c r="I459" s="3033"/>
      <c r="J459" s="3033"/>
      <c r="K459" s="3033"/>
      <c r="L459" s="3040">
        <v>11010</v>
      </c>
      <c r="M459" s="3031"/>
      <c r="O459" s="3016"/>
      <c r="P459" s="3016"/>
    </row>
    <row r="460" spans="2:16" ht="25.5">
      <c r="B460" s="3030" t="s">
        <v>4006</v>
      </c>
      <c r="C460" s="3031"/>
      <c r="D460" s="2917" t="s">
        <v>4894</v>
      </c>
      <c r="E460" s="2971">
        <v>24</v>
      </c>
      <c r="F460" s="2968" t="s">
        <v>3007</v>
      </c>
      <c r="G460" s="19"/>
      <c r="H460" s="3033" t="s">
        <v>2757</v>
      </c>
      <c r="I460" s="3033"/>
      <c r="J460" s="3033"/>
      <c r="K460" s="3033"/>
      <c r="L460" s="3040">
        <v>13080</v>
      </c>
      <c r="M460" s="3031"/>
      <c r="O460" s="3016"/>
      <c r="P460" s="3016"/>
    </row>
    <row r="461" spans="2:16" ht="25.5">
      <c r="B461" s="3030" t="s">
        <v>4006</v>
      </c>
      <c r="C461" s="3031"/>
      <c r="D461" s="2917" t="s">
        <v>4895</v>
      </c>
      <c r="E461" s="2971">
        <v>1000</v>
      </c>
      <c r="F461" s="2921" t="s">
        <v>4842</v>
      </c>
      <c r="G461" s="19"/>
      <c r="H461" s="3033" t="s">
        <v>2757</v>
      </c>
      <c r="I461" s="3033"/>
      <c r="J461" s="3033"/>
      <c r="K461" s="3033"/>
      <c r="L461" s="3040">
        <v>97000</v>
      </c>
      <c r="M461" s="3031"/>
      <c r="O461" s="3016"/>
      <c r="P461" s="3016"/>
    </row>
    <row r="462" spans="2:16">
      <c r="B462" s="3030" t="s">
        <v>4006</v>
      </c>
      <c r="C462" s="3031"/>
      <c r="D462" s="2915" t="s">
        <v>4896</v>
      </c>
      <c r="E462" s="2971">
        <v>410</v>
      </c>
      <c r="F462" s="2921" t="s">
        <v>4842</v>
      </c>
      <c r="G462" s="19"/>
      <c r="H462" s="3033" t="s">
        <v>2757</v>
      </c>
      <c r="I462" s="3033"/>
      <c r="J462" s="3033"/>
      <c r="K462" s="3033"/>
      <c r="L462" s="3040">
        <v>28700</v>
      </c>
      <c r="M462" s="3031"/>
      <c r="O462" s="3016"/>
      <c r="P462" s="3016"/>
    </row>
    <row r="463" spans="2:16" ht="51">
      <c r="B463" s="3030" t="s">
        <v>4006</v>
      </c>
      <c r="C463" s="3031"/>
      <c r="D463" s="2915" t="s">
        <v>4897</v>
      </c>
      <c r="E463" s="2971">
        <v>1700</v>
      </c>
      <c r="F463" s="2921" t="s">
        <v>4842</v>
      </c>
      <c r="G463" s="19"/>
      <c r="H463" s="3033" t="s">
        <v>2757</v>
      </c>
      <c r="I463" s="3033"/>
      <c r="J463" s="3033"/>
      <c r="K463" s="3033"/>
      <c r="L463" s="3040">
        <v>373750</v>
      </c>
      <c r="M463" s="3031"/>
      <c r="O463" s="3016"/>
      <c r="P463" s="3016"/>
    </row>
    <row r="464" spans="2:16">
      <c r="B464" s="3030" t="s">
        <v>4006</v>
      </c>
      <c r="C464" s="3031"/>
      <c r="D464" s="2915" t="s">
        <v>4898</v>
      </c>
      <c r="E464" s="2971">
        <v>820</v>
      </c>
      <c r="F464" s="2921" t="s">
        <v>4842</v>
      </c>
      <c r="G464" s="19"/>
      <c r="H464" s="3033" t="s">
        <v>2757</v>
      </c>
      <c r="I464" s="3033"/>
      <c r="J464" s="3033"/>
      <c r="K464" s="3033"/>
      <c r="L464" s="3040">
        <v>38540</v>
      </c>
      <c r="M464" s="3031"/>
      <c r="O464" s="3016"/>
      <c r="P464" s="3016"/>
    </row>
    <row r="465" spans="2:16" ht="51">
      <c r="B465" s="3030" t="s">
        <v>4006</v>
      </c>
      <c r="C465" s="3031"/>
      <c r="D465" s="2915" t="s">
        <v>4899</v>
      </c>
      <c r="E465" s="2971">
        <v>2460</v>
      </c>
      <c r="F465" s="2921" t="s">
        <v>4842</v>
      </c>
      <c r="G465" s="19"/>
      <c r="H465" s="3033" t="s">
        <v>2757</v>
      </c>
      <c r="I465" s="3033"/>
      <c r="J465" s="3033"/>
      <c r="K465" s="3033"/>
      <c r="L465" s="3040">
        <v>543260</v>
      </c>
      <c r="M465" s="3031"/>
      <c r="O465" s="3016"/>
      <c r="P465" s="3016"/>
    </row>
    <row r="466" spans="2:16">
      <c r="B466" s="3030" t="s">
        <v>4006</v>
      </c>
      <c r="C466" s="3031"/>
      <c r="D466" s="2915" t="s">
        <v>4900</v>
      </c>
      <c r="E466" s="2971">
        <v>820</v>
      </c>
      <c r="F466" s="2921" t="s">
        <v>4842</v>
      </c>
      <c r="G466" s="19"/>
      <c r="H466" s="3033" t="s">
        <v>2757</v>
      </c>
      <c r="I466" s="3033"/>
      <c r="J466" s="3033"/>
      <c r="K466" s="3033"/>
      <c r="L466" s="3040">
        <v>38540</v>
      </c>
      <c r="M466" s="3031"/>
      <c r="O466" s="3016"/>
      <c r="P466" s="3016"/>
    </row>
    <row r="467" spans="2:16" ht="63.75">
      <c r="B467" s="3030" t="s">
        <v>4006</v>
      </c>
      <c r="C467" s="3031"/>
      <c r="D467" s="2915" t="s">
        <v>4901</v>
      </c>
      <c r="E467" s="2971">
        <v>4950</v>
      </c>
      <c r="F467" s="2921" t="s">
        <v>4842</v>
      </c>
      <c r="G467" s="19"/>
      <c r="H467" s="3033" t="s">
        <v>2757</v>
      </c>
      <c r="I467" s="3033"/>
      <c r="J467" s="3033"/>
      <c r="K467" s="3033"/>
      <c r="L467" s="3040">
        <v>1093075</v>
      </c>
      <c r="M467" s="3031"/>
      <c r="O467" s="3016"/>
      <c r="P467" s="3016"/>
    </row>
    <row r="468" spans="2:16" ht="63.75">
      <c r="B468" s="3030" t="s">
        <v>4006</v>
      </c>
      <c r="C468" s="3031"/>
      <c r="D468" s="2915" t="s">
        <v>4902</v>
      </c>
      <c r="E468" s="2971">
        <v>1000</v>
      </c>
      <c r="F468" s="2921" t="s">
        <v>4842</v>
      </c>
      <c r="G468" s="19"/>
      <c r="H468" s="3033" t="s">
        <v>2757</v>
      </c>
      <c r="I468" s="3033"/>
      <c r="J468" s="3033"/>
      <c r="K468" s="3033"/>
      <c r="L468" s="3040">
        <v>187000</v>
      </c>
      <c r="M468" s="3031"/>
      <c r="O468" s="3016"/>
      <c r="P468" s="3016"/>
    </row>
    <row r="469" spans="2:16" ht="25.5">
      <c r="B469" s="3030" t="s">
        <v>4006</v>
      </c>
      <c r="C469" s="3031"/>
      <c r="D469" s="2915" t="s">
        <v>4903</v>
      </c>
      <c r="E469" s="2971">
        <v>2000</v>
      </c>
      <c r="F469" s="2921" t="s">
        <v>4842</v>
      </c>
      <c r="G469" s="19"/>
      <c r="H469" s="3033" t="s">
        <v>2757</v>
      </c>
      <c r="I469" s="3033"/>
      <c r="J469" s="3033"/>
      <c r="K469" s="3033"/>
      <c r="L469" s="3040">
        <v>50000</v>
      </c>
      <c r="M469" s="3031"/>
      <c r="O469" s="3016"/>
      <c r="P469" s="3016"/>
    </row>
    <row r="470" spans="2:16" ht="25.5">
      <c r="B470" s="3030" t="s">
        <v>4006</v>
      </c>
      <c r="C470" s="3031"/>
      <c r="D470" s="2915" t="s">
        <v>4904</v>
      </c>
      <c r="E470" s="2971">
        <v>1000</v>
      </c>
      <c r="F470" s="2921" t="s">
        <v>4842</v>
      </c>
      <c r="G470" s="19"/>
      <c r="H470" s="3033" t="s">
        <v>2757</v>
      </c>
      <c r="I470" s="3033"/>
      <c r="J470" s="3033"/>
      <c r="K470" s="3033"/>
      <c r="L470" s="3040">
        <v>25000</v>
      </c>
      <c r="M470" s="3031"/>
      <c r="O470" s="3016"/>
      <c r="P470" s="3016"/>
    </row>
    <row r="471" spans="2:16">
      <c r="B471" s="3030" t="s">
        <v>4006</v>
      </c>
      <c r="C471" s="3031"/>
      <c r="D471" s="2915" t="s">
        <v>4905</v>
      </c>
      <c r="E471" s="2971">
        <v>54</v>
      </c>
      <c r="F471" s="2921" t="s">
        <v>3007</v>
      </c>
      <c r="G471" s="19"/>
      <c r="H471" s="3033" t="s">
        <v>2757</v>
      </c>
      <c r="I471" s="3033"/>
      <c r="J471" s="3033"/>
      <c r="K471" s="3033"/>
      <c r="L471" s="3040">
        <v>66600</v>
      </c>
      <c r="M471" s="3031"/>
      <c r="O471" s="3016"/>
      <c r="P471" s="3016"/>
    </row>
    <row r="472" spans="2:16" ht="25.5">
      <c r="B472" s="3030" t="s">
        <v>4006</v>
      </c>
      <c r="C472" s="3031"/>
      <c r="D472" s="2915" t="s">
        <v>4906</v>
      </c>
      <c r="E472" s="2971">
        <v>3000</v>
      </c>
      <c r="F472" s="2921" t="s">
        <v>4842</v>
      </c>
      <c r="G472" s="19"/>
      <c r="H472" s="3033" t="s">
        <v>2757</v>
      </c>
      <c r="I472" s="3033"/>
      <c r="J472" s="3033"/>
      <c r="K472" s="3033"/>
      <c r="L472" s="3040">
        <v>195000</v>
      </c>
      <c r="M472" s="3031"/>
      <c r="O472" s="3016"/>
      <c r="P472" s="3016"/>
    </row>
    <row r="473" spans="2:16" ht="25.5">
      <c r="B473" s="3030" t="s">
        <v>4006</v>
      </c>
      <c r="C473" s="3031"/>
      <c r="D473" s="2915" t="s">
        <v>4907</v>
      </c>
      <c r="E473" s="2971">
        <v>500</v>
      </c>
      <c r="F473" s="2921" t="s">
        <v>4842</v>
      </c>
      <c r="G473" s="19"/>
      <c r="H473" s="3033" t="s">
        <v>2757</v>
      </c>
      <c r="I473" s="3033"/>
      <c r="J473" s="3033"/>
      <c r="K473" s="3033"/>
      <c r="L473" s="3040">
        <v>32500</v>
      </c>
      <c r="M473" s="3031"/>
      <c r="O473" s="3016"/>
      <c r="P473" s="3016"/>
    </row>
    <row r="474" spans="2:16" ht="25.5">
      <c r="B474" s="3030" t="s">
        <v>4006</v>
      </c>
      <c r="C474" s="3031"/>
      <c r="D474" s="2915" t="s">
        <v>4908</v>
      </c>
      <c r="E474" s="2971">
        <v>1000</v>
      </c>
      <c r="F474" s="2921" t="s">
        <v>4842</v>
      </c>
      <c r="G474" s="19"/>
      <c r="H474" s="3033" t="s">
        <v>2757</v>
      </c>
      <c r="I474" s="3033"/>
      <c r="J474" s="3033"/>
      <c r="K474" s="3033"/>
      <c r="L474" s="3040">
        <v>65000</v>
      </c>
      <c r="M474" s="3031"/>
      <c r="O474" s="3016"/>
      <c r="P474" s="3016"/>
    </row>
    <row r="475" spans="2:16" ht="38.25">
      <c r="B475" s="3030" t="s">
        <v>4006</v>
      </c>
      <c r="C475" s="3031"/>
      <c r="D475" s="2915" t="s">
        <v>4909</v>
      </c>
      <c r="E475" s="2971">
        <v>507</v>
      </c>
      <c r="F475" s="2921" t="s">
        <v>4842</v>
      </c>
      <c r="G475" s="19"/>
      <c r="H475" s="3033" t="s">
        <v>2757</v>
      </c>
      <c r="I475" s="3033"/>
      <c r="J475" s="3033"/>
      <c r="K475" s="3033"/>
      <c r="L475" s="3040">
        <v>12968</v>
      </c>
      <c r="M475" s="3031"/>
      <c r="O475" s="3016"/>
      <c r="P475" s="3016"/>
    </row>
    <row r="476" spans="2:16" ht="38.25">
      <c r="B476" s="3030" t="s">
        <v>4006</v>
      </c>
      <c r="C476" s="3031"/>
      <c r="D476" s="2915" t="s">
        <v>4910</v>
      </c>
      <c r="E476" s="2971">
        <v>500</v>
      </c>
      <c r="F476" s="2921" t="s">
        <v>4842</v>
      </c>
      <c r="G476" s="19"/>
      <c r="H476" s="3033" t="s">
        <v>2757</v>
      </c>
      <c r="I476" s="3033"/>
      <c r="J476" s="3033"/>
      <c r="K476" s="3033"/>
      <c r="L476" s="3040">
        <v>9875</v>
      </c>
      <c r="M476" s="3031"/>
      <c r="O476" s="3016"/>
      <c r="P476" s="3016"/>
    </row>
    <row r="477" spans="2:16" ht="38.25">
      <c r="B477" s="3030" t="s">
        <v>4006</v>
      </c>
      <c r="C477" s="3031"/>
      <c r="D477" s="2915" t="s">
        <v>4911</v>
      </c>
      <c r="E477" s="2971">
        <v>500</v>
      </c>
      <c r="F477" s="2921" t="s">
        <v>4842</v>
      </c>
      <c r="G477" s="19"/>
      <c r="H477" s="3033" t="s">
        <v>2757</v>
      </c>
      <c r="I477" s="3033"/>
      <c r="J477" s="3033"/>
      <c r="K477" s="3033"/>
      <c r="L477" s="3040">
        <v>10000</v>
      </c>
      <c r="M477" s="3031"/>
      <c r="O477" s="3016"/>
      <c r="P477" s="3016"/>
    </row>
    <row r="478" spans="2:16" ht="38.25">
      <c r="B478" s="3030" t="s">
        <v>4006</v>
      </c>
      <c r="C478" s="3031"/>
      <c r="D478" s="2915" t="s">
        <v>4912</v>
      </c>
      <c r="E478" s="2971">
        <v>593</v>
      </c>
      <c r="F478" s="2921" t="s">
        <v>4842</v>
      </c>
      <c r="G478" s="19"/>
      <c r="H478" s="3033" t="s">
        <v>2757</v>
      </c>
      <c r="I478" s="3033"/>
      <c r="J478" s="3033"/>
      <c r="K478" s="3033"/>
      <c r="L478" s="3040">
        <v>259464</v>
      </c>
      <c r="M478" s="3031"/>
      <c r="O478" s="3016"/>
      <c r="P478" s="3016"/>
    </row>
    <row r="479" spans="2:16" ht="38.25">
      <c r="B479" s="3030" t="s">
        <v>4006</v>
      </c>
      <c r="C479" s="3031"/>
      <c r="D479" s="2915" t="s">
        <v>4913</v>
      </c>
      <c r="E479" s="2971">
        <v>41</v>
      </c>
      <c r="F479" s="2921" t="s">
        <v>4842</v>
      </c>
      <c r="G479" s="19"/>
      <c r="H479" s="3033" t="s">
        <v>2757</v>
      </c>
      <c r="I479" s="3033"/>
      <c r="J479" s="3033"/>
      <c r="K479" s="3033"/>
      <c r="L479" s="3040">
        <v>820</v>
      </c>
      <c r="M479" s="3031"/>
      <c r="O479" s="3016"/>
      <c r="P479" s="3016"/>
    </row>
    <row r="480" spans="2:16" ht="38.25">
      <c r="B480" s="3030" t="s">
        <v>4006</v>
      </c>
      <c r="C480" s="3031"/>
      <c r="D480" s="2915" t="s">
        <v>4914</v>
      </c>
      <c r="E480" s="2971">
        <v>2585</v>
      </c>
      <c r="F480" s="2921" t="s">
        <v>4842</v>
      </c>
      <c r="G480" s="19"/>
      <c r="H480" s="3033" t="s">
        <v>2757</v>
      </c>
      <c r="I480" s="3033"/>
      <c r="J480" s="3033"/>
      <c r="K480" s="3033"/>
      <c r="L480" s="3040">
        <v>68080</v>
      </c>
      <c r="M480" s="3031"/>
      <c r="O480" s="3016"/>
      <c r="P480" s="3016"/>
    </row>
    <row r="481" spans="2:16" ht="38.25">
      <c r="B481" s="3030" t="s">
        <v>4006</v>
      </c>
      <c r="C481" s="3031"/>
      <c r="D481" s="2915" t="s">
        <v>4915</v>
      </c>
      <c r="E481" s="2971">
        <v>883</v>
      </c>
      <c r="F481" s="2921" t="s">
        <v>4842</v>
      </c>
      <c r="G481" s="19"/>
      <c r="H481" s="3033" t="s">
        <v>2757</v>
      </c>
      <c r="I481" s="3033"/>
      <c r="J481" s="3033"/>
      <c r="K481" s="3033"/>
      <c r="L481" s="3040">
        <v>29000</v>
      </c>
      <c r="M481" s="3031"/>
      <c r="O481" s="3016"/>
      <c r="P481" s="3016"/>
    </row>
    <row r="482" spans="2:16">
      <c r="B482" s="3030" t="s">
        <v>4006</v>
      </c>
      <c r="C482" s="3031"/>
      <c r="D482" s="2915" t="s">
        <v>4916</v>
      </c>
      <c r="E482" s="2971">
        <v>8</v>
      </c>
      <c r="F482" s="2921" t="s">
        <v>3007</v>
      </c>
      <c r="G482" s="19"/>
      <c r="H482" s="3033" t="s">
        <v>2757</v>
      </c>
      <c r="I482" s="3033"/>
      <c r="J482" s="3033"/>
      <c r="K482" s="3033"/>
      <c r="L482" s="3040">
        <v>7840</v>
      </c>
      <c r="M482" s="3031"/>
      <c r="O482" s="3016"/>
      <c r="P482" s="3016"/>
    </row>
    <row r="483" spans="2:16">
      <c r="B483" s="3030" t="s">
        <v>4006</v>
      </c>
      <c r="C483" s="3031"/>
      <c r="D483" s="2915" t="s">
        <v>4917</v>
      </c>
      <c r="E483" s="2971">
        <v>8</v>
      </c>
      <c r="F483" s="2921" t="s">
        <v>3007</v>
      </c>
      <c r="G483" s="19"/>
      <c r="H483" s="3033" t="s">
        <v>2757</v>
      </c>
      <c r="I483" s="3033"/>
      <c r="J483" s="3033"/>
      <c r="K483" s="3033"/>
      <c r="L483" s="3040">
        <v>7840</v>
      </c>
      <c r="M483" s="3031"/>
      <c r="O483" s="3016"/>
      <c r="P483" s="3016"/>
    </row>
    <row r="484" spans="2:16">
      <c r="B484" s="3030" t="s">
        <v>4006</v>
      </c>
      <c r="C484" s="3031"/>
      <c r="D484" s="2915" t="s">
        <v>4918</v>
      </c>
      <c r="E484" s="2971">
        <v>8</v>
      </c>
      <c r="F484" s="2921" t="s">
        <v>3007</v>
      </c>
      <c r="G484" s="19"/>
      <c r="H484" s="3033" t="s">
        <v>2757</v>
      </c>
      <c r="I484" s="3033"/>
      <c r="J484" s="3033"/>
      <c r="K484" s="3033"/>
      <c r="L484" s="3040">
        <v>7840</v>
      </c>
      <c r="M484" s="3031"/>
      <c r="O484" s="3016"/>
      <c r="P484" s="3016"/>
    </row>
    <row r="485" spans="2:16">
      <c r="B485" s="3030" t="s">
        <v>4006</v>
      </c>
      <c r="C485" s="3031"/>
      <c r="D485" s="2915" t="s">
        <v>4919</v>
      </c>
      <c r="E485" s="2971">
        <v>8</v>
      </c>
      <c r="F485" s="2921" t="s">
        <v>3007</v>
      </c>
      <c r="G485" s="19"/>
      <c r="H485" s="3033" t="s">
        <v>2757</v>
      </c>
      <c r="I485" s="3033"/>
      <c r="J485" s="3033"/>
      <c r="K485" s="3033"/>
      <c r="L485" s="3040">
        <v>7840</v>
      </c>
      <c r="M485" s="3031"/>
      <c r="O485" s="3016"/>
      <c r="P485" s="3016"/>
    </row>
    <row r="486" spans="2:16">
      <c r="B486" s="3030" t="s">
        <v>4006</v>
      </c>
      <c r="C486" s="3031"/>
      <c r="D486" s="2915" t="s">
        <v>4920</v>
      </c>
      <c r="E486" s="2971">
        <v>8</v>
      </c>
      <c r="F486" s="2921" t="s">
        <v>3007</v>
      </c>
      <c r="G486" s="19"/>
      <c r="H486" s="3033" t="s">
        <v>2757</v>
      </c>
      <c r="I486" s="3033"/>
      <c r="J486" s="3033"/>
      <c r="K486" s="3033"/>
      <c r="L486" s="3040">
        <v>7840</v>
      </c>
      <c r="M486" s="3031"/>
      <c r="O486" s="3016"/>
      <c r="P486" s="3016"/>
    </row>
    <row r="487" spans="2:16">
      <c r="B487" s="3030" t="s">
        <v>4006</v>
      </c>
      <c r="C487" s="3031"/>
      <c r="D487" s="2915" t="s">
        <v>4921</v>
      </c>
      <c r="E487" s="2971">
        <v>8</v>
      </c>
      <c r="F487" s="2968" t="s">
        <v>3007</v>
      </c>
      <c r="G487" s="19"/>
      <c r="H487" s="3033" t="s">
        <v>2757</v>
      </c>
      <c r="I487" s="3033"/>
      <c r="J487" s="3033"/>
      <c r="K487" s="3033"/>
      <c r="L487" s="3040">
        <v>7840</v>
      </c>
      <c r="M487" s="3031"/>
      <c r="O487" s="3016"/>
      <c r="P487" s="3016"/>
    </row>
    <row r="488" spans="2:16">
      <c r="B488" s="3030" t="s">
        <v>4006</v>
      </c>
      <c r="C488" s="3031"/>
      <c r="D488" s="2915" t="s">
        <v>4922</v>
      </c>
      <c r="E488" s="2971">
        <v>30</v>
      </c>
      <c r="F488" s="2921" t="s">
        <v>3007</v>
      </c>
      <c r="G488" s="19"/>
      <c r="H488" s="3033" t="s">
        <v>2757</v>
      </c>
      <c r="I488" s="3033"/>
      <c r="J488" s="3033"/>
      <c r="K488" s="3033"/>
      <c r="L488" s="3040">
        <v>29400</v>
      </c>
      <c r="M488" s="3031"/>
      <c r="O488" s="3016"/>
      <c r="P488" s="3016"/>
    </row>
    <row r="489" spans="2:16">
      <c r="B489" s="3030" t="s">
        <v>4006</v>
      </c>
      <c r="C489" s="3031"/>
      <c r="D489" s="2915" t="s">
        <v>4923</v>
      </c>
      <c r="E489" s="2971">
        <v>30</v>
      </c>
      <c r="F489" s="2921" t="s">
        <v>3007</v>
      </c>
      <c r="G489" s="19"/>
      <c r="H489" s="3033" t="s">
        <v>2757</v>
      </c>
      <c r="I489" s="3033"/>
      <c r="J489" s="3033"/>
      <c r="K489" s="3033"/>
      <c r="L489" s="3040">
        <v>29400</v>
      </c>
      <c r="M489" s="3031"/>
      <c r="O489" s="3016"/>
      <c r="P489" s="3016"/>
    </row>
    <row r="490" spans="2:16">
      <c r="B490" s="3030" t="s">
        <v>4006</v>
      </c>
      <c r="C490" s="3031"/>
      <c r="D490" s="2915" t="s">
        <v>4924</v>
      </c>
      <c r="E490" s="2971">
        <v>100</v>
      </c>
      <c r="F490" s="2921" t="s">
        <v>4842</v>
      </c>
      <c r="G490" s="19"/>
      <c r="H490" s="3033" t="s">
        <v>2757</v>
      </c>
      <c r="I490" s="3033"/>
      <c r="J490" s="3033"/>
      <c r="K490" s="3033"/>
      <c r="L490" s="3040">
        <v>16500</v>
      </c>
      <c r="M490" s="3031"/>
      <c r="O490" s="3016"/>
      <c r="P490" s="3016"/>
    </row>
    <row r="491" spans="2:16" ht="25.5">
      <c r="B491" s="3030" t="s">
        <v>4006</v>
      </c>
      <c r="C491" s="3031"/>
      <c r="D491" s="2915" t="s">
        <v>4925</v>
      </c>
      <c r="E491" s="2971">
        <v>200</v>
      </c>
      <c r="F491" s="2921" t="s">
        <v>4842</v>
      </c>
      <c r="G491" s="19"/>
      <c r="H491" s="3033" t="s">
        <v>2757</v>
      </c>
      <c r="I491" s="3033"/>
      <c r="J491" s="3033"/>
      <c r="K491" s="3033"/>
      <c r="L491" s="3040">
        <v>14000</v>
      </c>
      <c r="M491" s="3031"/>
      <c r="O491" s="3016"/>
      <c r="P491" s="3016"/>
    </row>
    <row r="492" spans="2:16" ht="25.5">
      <c r="B492" s="3030" t="s">
        <v>4006</v>
      </c>
      <c r="C492" s="3031"/>
      <c r="D492" s="2915" t="s">
        <v>4926</v>
      </c>
      <c r="E492" s="2971">
        <v>1000</v>
      </c>
      <c r="F492" s="2921" t="s">
        <v>4842</v>
      </c>
      <c r="G492" s="19"/>
      <c r="H492" s="3033" t="s">
        <v>2757</v>
      </c>
      <c r="I492" s="3033"/>
      <c r="J492" s="3033"/>
      <c r="K492" s="3033"/>
      <c r="L492" s="3040">
        <v>70000</v>
      </c>
      <c r="M492" s="3031"/>
      <c r="O492" s="3016"/>
      <c r="P492" s="3016"/>
    </row>
    <row r="493" spans="2:16" ht="25.5">
      <c r="B493" s="3030" t="s">
        <v>4006</v>
      </c>
      <c r="C493" s="3031"/>
      <c r="D493" s="2915" t="s">
        <v>4927</v>
      </c>
      <c r="E493" s="2971">
        <v>200</v>
      </c>
      <c r="F493" s="2921" t="s">
        <v>4842</v>
      </c>
      <c r="G493" s="19"/>
      <c r="H493" s="3033" t="s">
        <v>2757</v>
      </c>
      <c r="I493" s="3033"/>
      <c r="J493" s="3033"/>
      <c r="K493" s="3033"/>
      <c r="L493" s="3040">
        <v>14000</v>
      </c>
      <c r="M493" s="3031"/>
      <c r="O493" s="3016"/>
      <c r="P493" s="3016"/>
    </row>
    <row r="494" spans="2:16">
      <c r="B494" s="3030" t="s">
        <v>4006</v>
      </c>
      <c r="C494" s="3031"/>
      <c r="D494" s="2915" t="s">
        <v>4928</v>
      </c>
      <c r="E494" s="2971">
        <v>1000</v>
      </c>
      <c r="F494" s="2921" t="s">
        <v>4014</v>
      </c>
      <c r="G494" s="19"/>
      <c r="H494" s="3033" t="s">
        <v>2757</v>
      </c>
      <c r="I494" s="3033"/>
      <c r="J494" s="3033"/>
      <c r="K494" s="3033"/>
      <c r="L494" s="3040">
        <v>450000</v>
      </c>
      <c r="M494" s="3031"/>
      <c r="O494" s="3016"/>
      <c r="P494" s="3016"/>
    </row>
    <row r="495" spans="2:16">
      <c r="B495" s="3030" t="s">
        <v>4006</v>
      </c>
      <c r="C495" s="3031"/>
      <c r="D495" s="2915" t="s">
        <v>4929</v>
      </c>
      <c r="E495" s="2971">
        <v>1</v>
      </c>
      <c r="F495" s="2921" t="s">
        <v>3248</v>
      </c>
      <c r="G495" s="19"/>
      <c r="H495" s="3033" t="s">
        <v>2757</v>
      </c>
      <c r="I495" s="3033"/>
      <c r="J495" s="3033"/>
      <c r="K495" s="3033"/>
      <c r="L495" s="3040">
        <v>26700</v>
      </c>
      <c r="M495" s="3031"/>
      <c r="O495" s="3016"/>
      <c r="P495" s="3016"/>
    </row>
    <row r="496" spans="2:16">
      <c r="B496" s="3030" t="s">
        <v>4006</v>
      </c>
      <c r="C496" s="3031"/>
      <c r="D496" s="2915" t="s">
        <v>4930</v>
      </c>
      <c r="E496" s="2971">
        <v>1</v>
      </c>
      <c r="F496" s="2921" t="s">
        <v>3248</v>
      </c>
      <c r="G496" s="19"/>
      <c r="H496" s="3033" t="s">
        <v>2757</v>
      </c>
      <c r="I496" s="3033"/>
      <c r="J496" s="3033"/>
      <c r="K496" s="3033"/>
      <c r="L496" s="3040">
        <v>27500</v>
      </c>
      <c r="M496" s="3031"/>
      <c r="O496" s="3016"/>
      <c r="P496" s="3016"/>
    </row>
    <row r="497" spans="2:16" ht="25.5">
      <c r="B497" s="3030" t="s">
        <v>4006</v>
      </c>
      <c r="C497" s="3031"/>
      <c r="D497" s="2915" t="s">
        <v>4931</v>
      </c>
      <c r="E497" s="2971">
        <v>157</v>
      </c>
      <c r="F497" s="2921" t="s">
        <v>3004</v>
      </c>
      <c r="G497" s="19"/>
      <c r="H497" s="3033" t="s">
        <v>2757</v>
      </c>
      <c r="I497" s="3033"/>
      <c r="J497" s="3033"/>
      <c r="K497" s="3033"/>
      <c r="L497" s="3040">
        <v>38308</v>
      </c>
      <c r="M497" s="3031"/>
      <c r="O497" s="3016"/>
      <c r="P497" s="3016"/>
    </row>
    <row r="498" spans="2:16" ht="25.5">
      <c r="B498" s="3030" t="s">
        <v>4006</v>
      </c>
      <c r="C498" s="3031"/>
      <c r="D498" s="2915" t="s">
        <v>4932</v>
      </c>
      <c r="E498" s="2971">
        <v>157</v>
      </c>
      <c r="F498" s="2921" t="s">
        <v>3004</v>
      </c>
      <c r="G498" s="19"/>
      <c r="H498" s="3033" t="s">
        <v>2757</v>
      </c>
      <c r="I498" s="3033"/>
      <c r="J498" s="3033"/>
      <c r="K498" s="3033"/>
      <c r="L498" s="3040">
        <v>48513</v>
      </c>
      <c r="M498" s="3031"/>
      <c r="O498" s="3016"/>
      <c r="P498" s="3016"/>
    </row>
    <row r="499" spans="2:16">
      <c r="B499" s="3030" t="s">
        <v>4006</v>
      </c>
      <c r="C499" s="3031"/>
      <c r="D499" s="2915" t="s">
        <v>4933</v>
      </c>
      <c r="E499" s="2971">
        <v>50</v>
      </c>
      <c r="F499" s="2921" t="s">
        <v>2990</v>
      </c>
      <c r="G499" s="19"/>
      <c r="H499" s="3033" t="s">
        <v>2757</v>
      </c>
      <c r="I499" s="3033"/>
      <c r="J499" s="3033"/>
      <c r="K499" s="3033"/>
      <c r="L499" s="3040">
        <v>11500</v>
      </c>
      <c r="M499" s="3031"/>
      <c r="O499" s="3016"/>
      <c r="P499" s="3016"/>
    </row>
    <row r="500" spans="2:16">
      <c r="B500" s="3030" t="s">
        <v>4006</v>
      </c>
      <c r="C500" s="3031"/>
      <c r="D500" s="2915" t="s">
        <v>4934</v>
      </c>
      <c r="E500" s="2971">
        <v>50</v>
      </c>
      <c r="F500" s="2921" t="s">
        <v>4836</v>
      </c>
      <c r="G500" s="19"/>
      <c r="H500" s="3033" t="s">
        <v>2757</v>
      </c>
      <c r="I500" s="3033"/>
      <c r="J500" s="3033"/>
      <c r="K500" s="3033"/>
      <c r="L500" s="3040">
        <v>87250</v>
      </c>
      <c r="M500" s="3031"/>
      <c r="O500" s="3016"/>
      <c r="P500" s="3016"/>
    </row>
    <row r="501" spans="2:16" ht="38.25">
      <c r="B501" s="3030" t="s">
        <v>4006</v>
      </c>
      <c r="C501" s="3031"/>
      <c r="D501" s="2915" t="s">
        <v>4935</v>
      </c>
      <c r="E501" s="2971">
        <v>500</v>
      </c>
      <c r="F501" s="2921" t="s">
        <v>4842</v>
      </c>
      <c r="G501" s="19"/>
      <c r="H501" s="3033" t="s">
        <v>2757</v>
      </c>
      <c r="I501" s="3033"/>
      <c r="J501" s="3033"/>
      <c r="K501" s="3033"/>
      <c r="L501" s="3040">
        <v>650000</v>
      </c>
      <c r="M501" s="3031"/>
      <c r="O501" s="3016"/>
      <c r="P501" s="3016"/>
    </row>
    <row r="502" spans="2:16">
      <c r="B502" s="3030" t="s">
        <v>4006</v>
      </c>
      <c r="C502" s="3031"/>
      <c r="D502" s="2915" t="s">
        <v>4936</v>
      </c>
      <c r="E502" s="2971">
        <v>900</v>
      </c>
      <c r="F502" s="2921" t="s">
        <v>4842</v>
      </c>
      <c r="G502" s="19"/>
      <c r="H502" s="3033" t="s">
        <v>2757</v>
      </c>
      <c r="I502" s="3033"/>
      <c r="J502" s="3033"/>
      <c r="K502" s="3033"/>
      <c r="L502" s="3040">
        <v>70200</v>
      </c>
      <c r="M502" s="3031"/>
      <c r="O502" s="3016"/>
      <c r="P502" s="3016"/>
    </row>
    <row r="503" spans="2:16">
      <c r="B503" s="3030" t="s">
        <v>4006</v>
      </c>
      <c r="C503" s="3031"/>
      <c r="D503" s="2915" t="s">
        <v>4937</v>
      </c>
      <c r="E503" s="2971">
        <v>900</v>
      </c>
      <c r="F503" s="2921" t="s">
        <v>4842</v>
      </c>
      <c r="G503" s="19"/>
      <c r="H503" s="3033" t="s">
        <v>2757</v>
      </c>
      <c r="I503" s="3033"/>
      <c r="J503" s="3033"/>
      <c r="K503" s="3033"/>
      <c r="L503" s="3040">
        <v>70200</v>
      </c>
      <c r="M503" s="3031"/>
      <c r="O503" s="3016"/>
      <c r="P503" s="3016"/>
    </row>
    <row r="504" spans="2:16">
      <c r="B504" s="3030" t="s">
        <v>4006</v>
      </c>
      <c r="C504" s="3031"/>
      <c r="D504" s="2915" t="s">
        <v>4938</v>
      </c>
      <c r="E504" s="2971">
        <v>900</v>
      </c>
      <c r="F504" s="2921" t="s">
        <v>4842</v>
      </c>
      <c r="G504" s="19"/>
      <c r="H504" s="3033" t="s">
        <v>2757</v>
      </c>
      <c r="I504" s="3033"/>
      <c r="J504" s="3033"/>
      <c r="K504" s="3033"/>
      <c r="L504" s="3040">
        <v>99000</v>
      </c>
      <c r="M504" s="3031"/>
      <c r="O504" s="3016"/>
      <c r="P504" s="3016"/>
    </row>
    <row r="505" spans="2:16">
      <c r="B505" s="3030" t="s">
        <v>4006</v>
      </c>
      <c r="C505" s="3031"/>
      <c r="D505" s="2915" t="s">
        <v>4939</v>
      </c>
      <c r="E505" s="2971">
        <v>380</v>
      </c>
      <c r="F505" s="2921" t="s">
        <v>4842</v>
      </c>
      <c r="G505" s="19"/>
      <c r="H505" s="3033" t="s">
        <v>2757</v>
      </c>
      <c r="I505" s="3033"/>
      <c r="J505" s="3033"/>
      <c r="K505" s="3033"/>
      <c r="L505" s="3040">
        <v>372000</v>
      </c>
      <c r="M505" s="3031"/>
      <c r="O505" s="3016"/>
      <c r="P505" s="3016"/>
    </row>
    <row r="506" spans="2:16" ht="25.5">
      <c r="B506" s="3030" t="s">
        <v>4006</v>
      </c>
      <c r="C506" s="3031"/>
      <c r="D506" s="2915" t="s">
        <v>4941</v>
      </c>
      <c r="E506" s="2971">
        <v>3</v>
      </c>
      <c r="F506" s="2921" t="s">
        <v>4940</v>
      </c>
      <c r="G506" s="19"/>
      <c r="H506" s="3033" t="s">
        <v>2757</v>
      </c>
      <c r="I506" s="3033"/>
      <c r="J506" s="3033"/>
      <c r="K506" s="3033"/>
      <c r="L506" s="3040">
        <v>55500</v>
      </c>
      <c r="M506" s="3031"/>
      <c r="O506" s="3016"/>
      <c r="P506" s="3016"/>
    </row>
    <row r="507" spans="2:16">
      <c r="B507" s="3030" t="s">
        <v>4006</v>
      </c>
      <c r="C507" s="3031"/>
      <c r="D507" s="2915" t="s">
        <v>4942</v>
      </c>
      <c r="E507" s="2971">
        <v>5</v>
      </c>
      <c r="F507" s="2921" t="s">
        <v>4014</v>
      </c>
      <c r="G507" s="19"/>
      <c r="H507" s="3033" t="s">
        <v>2757</v>
      </c>
      <c r="I507" s="3033"/>
      <c r="J507" s="3033"/>
      <c r="K507" s="3033"/>
      <c r="L507" s="3040">
        <v>36250</v>
      </c>
      <c r="M507" s="3031"/>
      <c r="O507" s="3016"/>
      <c r="P507" s="3016"/>
    </row>
    <row r="508" spans="2:16">
      <c r="B508" s="3030" t="s">
        <v>4006</v>
      </c>
      <c r="C508" s="3031"/>
      <c r="D508" s="2915" t="s">
        <v>4943</v>
      </c>
      <c r="E508" s="2971">
        <v>5</v>
      </c>
      <c r="F508" s="2921" t="s">
        <v>4014</v>
      </c>
      <c r="G508" s="19"/>
      <c r="H508" s="3033" t="s">
        <v>2757</v>
      </c>
      <c r="I508" s="3033"/>
      <c r="J508" s="3033"/>
      <c r="K508" s="3033"/>
      <c r="L508" s="3040">
        <v>79950</v>
      </c>
      <c r="M508" s="3031"/>
      <c r="O508" s="3016"/>
      <c r="P508" s="3016"/>
    </row>
    <row r="509" spans="2:16">
      <c r="B509" s="3030" t="s">
        <v>4006</v>
      </c>
      <c r="C509" s="3031"/>
      <c r="D509" s="2915" t="s">
        <v>4944</v>
      </c>
      <c r="E509" s="2971">
        <v>5</v>
      </c>
      <c r="F509" s="2921" t="s">
        <v>4014</v>
      </c>
      <c r="G509" s="19"/>
      <c r="H509" s="3033" t="s">
        <v>2757</v>
      </c>
      <c r="I509" s="3033"/>
      <c r="J509" s="3033"/>
      <c r="K509" s="3033"/>
      <c r="L509" s="3040">
        <v>58125</v>
      </c>
      <c r="M509" s="3031"/>
      <c r="O509" s="3016"/>
      <c r="P509" s="3016"/>
    </row>
    <row r="510" spans="2:16">
      <c r="B510" s="3030" t="s">
        <v>4006</v>
      </c>
      <c r="C510" s="3031"/>
      <c r="D510" s="2915" t="s">
        <v>4945</v>
      </c>
      <c r="E510" s="2971">
        <v>5</v>
      </c>
      <c r="F510" s="2921" t="s">
        <v>3007</v>
      </c>
      <c r="G510" s="19"/>
      <c r="H510" s="3033" t="s">
        <v>2757</v>
      </c>
      <c r="I510" s="3033"/>
      <c r="J510" s="3033"/>
      <c r="K510" s="3033"/>
      <c r="L510" s="3040">
        <v>47500</v>
      </c>
      <c r="M510" s="3031"/>
      <c r="O510" s="3016"/>
      <c r="P510" s="3016"/>
    </row>
    <row r="511" spans="2:16" ht="38.25">
      <c r="B511" s="3030" t="s">
        <v>4006</v>
      </c>
      <c r="C511" s="3031"/>
      <c r="D511" s="2915" t="s">
        <v>4946</v>
      </c>
      <c r="E511" s="2971">
        <v>5</v>
      </c>
      <c r="F511" s="2921" t="s">
        <v>4014</v>
      </c>
      <c r="G511" s="19"/>
      <c r="H511" s="3033" t="s">
        <v>2757</v>
      </c>
      <c r="I511" s="3033"/>
      <c r="J511" s="3033"/>
      <c r="K511" s="3033"/>
      <c r="L511" s="3040">
        <v>27900</v>
      </c>
      <c r="M511" s="3031"/>
      <c r="O511" s="3016"/>
      <c r="P511" s="3016"/>
    </row>
    <row r="512" spans="2:16">
      <c r="B512" s="3030" t="s">
        <v>4006</v>
      </c>
      <c r="C512" s="3031"/>
      <c r="D512" s="2915" t="s">
        <v>4947</v>
      </c>
      <c r="E512" s="2971">
        <v>100</v>
      </c>
      <c r="F512" s="2921" t="s">
        <v>4014</v>
      </c>
      <c r="G512" s="19"/>
      <c r="H512" s="3033" t="s">
        <v>2757</v>
      </c>
      <c r="I512" s="3033"/>
      <c r="J512" s="3033"/>
      <c r="K512" s="3033"/>
      <c r="L512" s="3040">
        <v>947000</v>
      </c>
      <c r="M512" s="3031"/>
      <c r="O512" s="3016"/>
      <c r="P512" s="3016"/>
    </row>
    <row r="513" spans="2:16">
      <c r="B513" s="3030" t="s">
        <v>4006</v>
      </c>
      <c r="C513" s="3031"/>
      <c r="D513" s="2915" t="s">
        <v>4948</v>
      </c>
      <c r="E513" s="2971">
        <v>2</v>
      </c>
      <c r="F513" s="2921" t="s">
        <v>3004</v>
      </c>
      <c r="G513" s="19"/>
      <c r="H513" s="3033" t="s">
        <v>2757</v>
      </c>
      <c r="I513" s="3033"/>
      <c r="J513" s="3033"/>
      <c r="K513" s="3033"/>
      <c r="L513" s="3040">
        <v>9600</v>
      </c>
      <c r="M513" s="3031"/>
      <c r="O513" s="3016"/>
      <c r="P513" s="3016"/>
    </row>
    <row r="514" spans="2:16">
      <c r="B514" s="3030" t="s">
        <v>4006</v>
      </c>
      <c r="C514" s="3031"/>
      <c r="D514" s="2915" t="s">
        <v>4949</v>
      </c>
      <c r="E514" s="2971">
        <v>2</v>
      </c>
      <c r="F514" s="2921" t="s">
        <v>3004</v>
      </c>
      <c r="G514" s="19"/>
      <c r="H514" s="3033" t="s">
        <v>2757</v>
      </c>
      <c r="I514" s="3033"/>
      <c r="J514" s="3033"/>
      <c r="K514" s="3033"/>
      <c r="L514" s="3040">
        <v>11600</v>
      </c>
      <c r="M514" s="3031"/>
      <c r="O514" s="3016"/>
      <c r="P514" s="3016"/>
    </row>
    <row r="515" spans="2:16">
      <c r="B515" s="3030" t="s">
        <v>4006</v>
      </c>
      <c r="C515" s="3031"/>
      <c r="D515" s="2915" t="s">
        <v>4950</v>
      </c>
      <c r="E515" s="2971">
        <v>2</v>
      </c>
      <c r="F515" s="2921" t="s">
        <v>3004</v>
      </c>
      <c r="G515" s="19"/>
      <c r="H515" s="3033" t="s">
        <v>2757</v>
      </c>
      <c r="I515" s="3033"/>
      <c r="J515" s="3033"/>
      <c r="K515" s="3033"/>
      <c r="L515" s="3040">
        <v>13600</v>
      </c>
      <c r="M515" s="3031"/>
      <c r="O515" s="3016"/>
      <c r="P515" s="3016"/>
    </row>
    <row r="516" spans="2:16">
      <c r="B516" s="3030" t="s">
        <v>4006</v>
      </c>
      <c r="C516" s="3031"/>
      <c r="D516" s="2915" t="s">
        <v>4951</v>
      </c>
      <c r="E516" s="2971">
        <v>2</v>
      </c>
      <c r="F516" s="2921" t="s">
        <v>3004</v>
      </c>
      <c r="G516" s="19"/>
      <c r="H516" s="3033" t="s">
        <v>2757</v>
      </c>
      <c r="I516" s="3033"/>
      <c r="J516" s="3033"/>
      <c r="K516" s="3033"/>
      <c r="L516" s="3040">
        <v>16600</v>
      </c>
      <c r="M516" s="3031"/>
      <c r="O516" s="3016"/>
      <c r="P516" s="3016"/>
    </row>
    <row r="517" spans="2:16">
      <c r="B517" s="3030" t="s">
        <v>4006</v>
      </c>
      <c r="C517" s="3031"/>
      <c r="D517" s="2915" t="s">
        <v>4952</v>
      </c>
      <c r="E517" s="2971">
        <v>2</v>
      </c>
      <c r="F517" s="2921" t="s">
        <v>3004</v>
      </c>
      <c r="G517" s="19"/>
      <c r="H517" s="3033" t="s">
        <v>2757</v>
      </c>
      <c r="I517" s="3033"/>
      <c r="J517" s="3033"/>
      <c r="K517" s="3033"/>
      <c r="L517" s="3040">
        <v>19200</v>
      </c>
      <c r="M517" s="3031"/>
      <c r="O517" s="3016"/>
      <c r="P517" s="3016"/>
    </row>
    <row r="518" spans="2:16">
      <c r="B518" s="3030" t="s">
        <v>4006</v>
      </c>
      <c r="C518" s="3031"/>
      <c r="D518" s="2915" t="s">
        <v>4953</v>
      </c>
      <c r="E518" s="2971">
        <v>2</v>
      </c>
      <c r="F518" s="2921" t="s">
        <v>3004</v>
      </c>
      <c r="G518" s="19"/>
      <c r="H518" s="3033" t="s">
        <v>2757</v>
      </c>
      <c r="I518" s="3033"/>
      <c r="J518" s="3033"/>
      <c r="K518" s="3033"/>
      <c r="L518" s="3040">
        <v>24200</v>
      </c>
      <c r="M518" s="3031"/>
      <c r="O518" s="3016"/>
      <c r="P518" s="3016"/>
    </row>
    <row r="519" spans="2:16">
      <c r="B519" s="3030" t="s">
        <v>4006</v>
      </c>
      <c r="C519" s="3031"/>
      <c r="D519" s="2915" t="s">
        <v>4954</v>
      </c>
      <c r="E519" s="2971">
        <v>2</v>
      </c>
      <c r="F519" s="2921" t="s">
        <v>3004</v>
      </c>
      <c r="G519" s="19"/>
      <c r="H519" s="3033" t="s">
        <v>2757</v>
      </c>
      <c r="I519" s="3033"/>
      <c r="J519" s="3033"/>
      <c r="K519" s="3033"/>
      <c r="L519" s="3040">
        <v>26400</v>
      </c>
      <c r="M519" s="3031"/>
      <c r="O519" s="3016"/>
      <c r="P519" s="3016"/>
    </row>
    <row r="520" spans="2:16">
      <c r="B520" s="3030" t="s">
        <v>4006</v>
      </c>
      <c r="C520" s="3031"/>
      <c r="D520" s="2915" t="s">
        <v>4955</v>
      </c>
      <c r="E520" s="2971">
        <v>2</v>
      </c>
      <c r="F520" s="2921" t="s">
        <v>3004</v>
      </c>
      <c r="G520" s="19"/>
      <c r="H520" s="3033" t="s">
        <v>2757</v>
      </c>
      <c r="I520" s="3033"/>
      <c r="J520" s="3033"/>
      <c r="K520" s="3033"/>
      <c r="L520" s="3040">
        <v>46800</v>
      </c>
      <c r="M520" s="3031"/>
      <c r="O520" s="3016"/>
      <c r="P520" s="3016"/>
    </row>
    <row r="521" spans="2:16">
      <c r="B521" s="3030" t="s">
        <v>4006</v>
      </c>
      <c r="C521" s="3031"/>
      <c r="D521" s="2915" t="s">
        <v>4956</v>
      </c>
      <c r="E521" s="2971">
        <v>2</v>
      </c>
      <c r="F521" s="2921" t="s">
        <v>3004</v>
      </c>
      <c r="G521" s="19"/>
      <c r="H521" s="3033" t="s">
        <v>2757</v>
      </c>
      <c r="I521" s="3033"/>
      <c r="J521" s="3033"/>
      <c r="K521" s="3033"/>
      <c r="L521" s="3040">
        <v>37000</v>
      </c>
      <c r="M521" s="3031"/>
      <c r="O521" s="3016"/>
      <c r="P521" s="3016"/>
    </row>
    <row r="522" spans="2:16">
      <c r="B522" s="3030" t="s">
        <v>4006</v>
      </c>
      <c r="C522" s="3031"/>
      <c r="D522" s="2915" t="s">
        <v>4957</v>
      </c>
      <c r="E522" s="2971">
        <v>2</v>
      </c>
      <c r="F522" s="2921" t="s">
        <v>3004</v>
      </c>
      <c r="G522" s="19"/>
      <c r="H522" s="3033" t="s">
        <v>2757</v>
      </c>
      <c r="I522" s="3033"/>
      <c r="J522" s="3033"/>
      <c r="K522" s="3033"/>
      <c r="L522" s="3040">
        <v>12200</v>
      </c>
      <c r="M522" s="3031"/>
      <c r="O522" s="3016"/>
      <c r="P522" s="3016"/>
    </row>
    <row r="523" spans="2:16">
      <c r="B523" s="3030" t="s">
        <v>4006</v>
      </c>
      <c r="C523" s="3031"/>
      <c r="D523" s="2915" t="s">
        <v>4958</v>
      </c>
      <c r="E523" s="2971">
        <v>2</v>
      </c>
      <c r="F523" s="2921" t="s">
        <v>3004</v>
      </c>
      <c r="G523" s="19"/>
      <c r="H523" s="3033" t="s">
        <v>2757</v>
      </c>
      <c r="I523" s="3033"/>
      <c r="J523" s="3033"/>
      <c r="K523" s="3033"/>
      <c r="L523" s="3040">
        <v>14000</v>
      </c>
      <c r="M523" s="3031"/>
      <c r="O523" s="3016"/>
      <c r="P523" s="3016"/>
    </row>
    <row r="524" spans="2:16">
      <c r="B524" s="3030" t="s">
        <v>4006</v>
      </c>
      <c r="C524" s="3031"/>
      <c r="D524" s="2915" t="s">
        <v>4959</v>
      </c>
      <c r="E524" s="2971">
        <v>2</v>
      </c>
      <c r="F524" s="2921" t="s">
        <v>3004</v>
      </c>
      <c r="G524" s="19"/>
      <c r="H524" s="3033" t="s">
        <v>2757</v>
      </c>
      <c r="I524" s="3033"/>
      <c r="J524" s="3033"/>
      <c r="K524" s="3033"/>
      <c r="L524" s="3040">
        <v>17200</v>
      </c>
      <c r="M524" s="3031"/>
      <c r="O524" s="3016"/>
      <c r="P524" s="3016"/>
    </row>
    <row r="525" spans="2:16">
      <c r="B525" s="3030" t="s">
        <v>4006</v>
      </c>
      <c r="C525" s="3031"/>
      <c r="D525" s="2915" t="s">
        <v>4960</v>
      </c>
      <c r="E525" s="2971">
        <v>2</v>
      </c>
      <c r="F525" s="2921" t="s">
        <v>3004</v>
      </c>
      <c r="G525" s="19"/>
      <c r="H525" s="3033" t="s">
        <v>2757</v>
      </c>
      <c r="I525" s="3033"/>
      <c r="J525" s="3033"/>
      <c r="K525" s="3033"/>
      <c r="L525" s="3040">
        <v>20000</v>
      </c>
      <c r="M525" s="3031"/>
      <c r="O525" s="3016"/>
      <c r="P525" s="3016"/>
    </row>
    <row r="526" spans="2:16">
      <c r="B526" s="3030" t="s">
        <v>4006</v>
      </c>
      <c r="C526" s="3031"/>
      <c r="D526" s="2915" t="s">
        <v>4961</v>
      </c>
      <c r="E526" s="2971">
        <v>2</v>
      </c>
      <c r="F526" s="2921" t="s">
        <v>3004</v>
      </c>
      <c r="G526" s="19"/>
      <c r="H526" s="3033" t="s">
        <v>2757</v>
      </c>
      <c r="I526" s="3033"/>
      <c r="J526" s="3033"/>
      <c r="K526" s="3033"/>
      <c r="L526" s="3040">
        <v>25200</v>
      </c>
      <c r="M526" s="3031"/>
      <c r="O526" s="3016"/>
      <c r="P526" s="3016"/>
    </row>
    <row r="527" spans="2:16">
      <c r="B527" s="3030" t="s">
        <v>4006</v>
      </c>
      <c r="C527" s="3031"/>
      <c r="D527" s="2915" t="s">
        <v>4962</v>
      </c>
      <c r="E527" s="2971">
        <v>2</v>
      </c>
      <c r="F527" s="2921" t="s">
        <v>3004</v>
      </c>
      <c r="G527" s="19"/>
      <c r="H527" s="3033" t="s">
        <v>2757</v>
      </c>
      <c r="I527" s="3033"/>
      <c r="J527" s="3033"/>
      <c r="K527" s="3033"/>
      <c r="L527" s="3040">
        <v>27400</v>
      </c>
      <c r="M527" s="3031"/>
      <c r="O527" s="3016"/>
      <c r="P527" s="3016"/>
    </row>
    <row r="528" spans="2:16">
      <c r="B528" s="3030" t="s">
        <v>4006</v>
      </c>
      <c r="C528" s="3031"/>
      <c r="D528" s="2915" t="s">
        <v>4963</v>
      </c>
      <c r="E528" s="2971">
        <v>2</v>
      </c>
      <c r="F528" s="2921" t="s">
        <v>3004</v>
      </c>
      <c r="G528" s="19"/>
      <c r="H528" s="3033" t="s">
        <v>2757</v>
      </c>
      <c r="I528" s="3033"/>
      <c r="J528" s="3033"/>
      <c r="K528" s="3033"/>
      <c r="L528" s="3040">
        <v>34400</v>
      </c>
      <c r="M528" s="3031"/>
      <c r="O528" s="3016"/>
      <c r="P528" s="3016"/>
    </row>
    <row r="529" spans="2:16">
      <c r="B529" s="3030" t="s">
        <v>4006</v>
      </c>
      <c r="C529" s="3031"/>
      <c r="D529" s="2915" t="s">
        <v>4964</v>
      </c>
      <c r="E529" s="2971">
        <v>2</v>
      </c>
      <c r="F529" s="2921" t="s">
        <v>3004</v>
      </c>
      <c r="G529" s="19"/>
      <c r="H529" s="3033" t="s">
        <v>2757</v>
      </c>
      <c r="I529" s="3033"/>
      <c r="J529" s="3033"/>
      <c r="K529" s="3033"/>
      <c r="L529" s="3040">
        <v>38700</v>
      </c>
      <c r="M529" s="3031"/>
      <c r="O529" s="3016"/>
      <c r="P529" s="3016"/>
    </row>
    <row r="530" spans="2:16" ht="25.5">
      <c r="B530" s="3030" t="s">
        <v>4006</v>
      </c>
      <c r="C530" s="3031"/>
      <c r="D530" s="2915" t="s">
        <v>4965</v>
      </c>
      <c r="E530" s="2971">
        <v>500</v>
      </c>
      <c r="F530" s="2921" t="s">
        <v>4842</v>
      </c>
      <c r="G530" s="19"/>
      <c r="H530" s="3033" t="s">
        <v>2757</v>
      </c>
      <c r="I530" s="3033"/>
      <c r="J530" s="3033"/>
      <c r="K530" s="3033"/>
      <c r="L530" s="3040">
        <v>15000</v>
      </c>
      <c r="M530" s="3031"/>
      <c r="O530" s="3016"/>
      <c r="P530" s="3016"/>
    </row>
    <row r="531" spans="2:16" ht="25.5">
      <c r="B531" s="3030" t="s">
        <v>4006</v>
      </c>
      <c r="C531" s="3031"/>
      <c r="D531" s="2915" t="s">
        <v>4966</v>
      </c>
      <c r="E531" s="2971">
        <v>556</v>
      </c>
      <c r="F531" s="2921" t="s">
        <v>4842</v>
      </c>
      <c r="G531" s="19"/>
      <c r="H531" s="3033" t="s">
        <v>2757</v>
      </c>
      <c r="I531" s="3033"/>
      <c r="J531" s="3033"/>
      <c r="K531" s="3033"/>
      <c r="L531" s="3040">
        <v>19680</v>
      </c>
      <c r="M531" s="3031"/>
      <c r="O531" s="3016"/>
      <c r="P531" s="3016"/>
    </row>
    <row r="532" spans="2:16" ht="25.5">
      <c r="B532" s="3030" t="s">
        <v>4006</v>
      </c>
      <c r="C532" s="3031"/>
      <c r="D532" s="2915" t="s">
        <v>4967</v>
      </c>
      <c r="E532" s="2971">
        <v>1300</v>
      </c>
      <c r="F532" s="2921" t="s">
        <v>4842</v>
      </c>
      <c r="G532" s="19"/>
      <c r="H532" s="3033" t="s">
        <v>2757</v>
      </c>
      <c r="I532" s="3033"/>
      <c r="J532" s="3033"/>
      <c r="K532" s="3033"/>
      <c r="L532" s="3040">
        <v>46500</v>
      </c>
      <c r="M532" s="3031"/>
      <c r="O532" s="3016"/>
      <c r="P532" s="3016"/>
    </row>
    <row r="533" spans="2:16" ht="25.5">
      <c r="B533" s="3030" t="s">
        <v>4006</v>
      </c>
      <c r="C533" s="3031"/>
      <c r="D533" s="2915" t="s">
        <v>4968</v>
      </c>
      <c r="E533" s="2971">
        <v>1500</v>
      </c>
      <c r="F533" s="2921" t="s">
        <v>4842</v>
      </c>
      <c r="G533" s="19"/>
      <c r="H533" s="3033" t="s">
        <v>2757</v>
      </c>
      <c r="I533" s="2969"/>
      <c r="J533" s="2969"/>
      <c r="K533" s="2969"/>
      <c r="L533" s="3040">
        <v>52500</v>
      </c>
      <c r="M533" s="2969"/>
      <c r="O533" s="3016"/>
      <c r="P533" s="3016"/>
    </row>
    <row r="534" spans="2:16" ht="25.5">
      <c r="B534" s="3030" t="s">
        <v>4006</v>
      </c>
      <c r="C534" s="3031"/>
      <c r="D534" s="2915" t="s">
        <v>4969</v>
      </c>
      <c r="E534" s="2971">
        <v>757</v>
      </c>
      <c r="F534" s="2921" t="s">
        <v>2876</v>
      </c>
      <c r="G534" s="19"/>
      <c r="H534" s="3033" t="s">
        <v>2757</v>
      </c>
      <c r="I534" s="3033"/>
      <c r="J534" s="3033"/>
      <c r="K534" s="3033"/>
      <c r="L534" s="3040">
        <v>34065</v>
      </c>
      <c r="M534" s="3031"/>
      <c r="O534" s="3016"/>
      <c r="P534" s="3016"/>
    </row>
    <row r="535" spans="2:16" ht="25.5">
      <c r="B535" s="3030" t="s">
        <v>4006</v>
      </c>
      <c r="C535" s="3031"/>
      <c r="D535" s="2915" t="s">
        <v>4970</v>
      </c>
      <c r="E535" s="2971">
        <v>1200</v>
      </c>
      <c r="F535" s="2921" t="s">
        <v>2876</v>
      </c>
      <c r="G535" s="19"/>
      <c r="H535" s="3033" t="s">
        <v>2757</v>
      </c>
      <c r="I535" s="3033"/>
      <c r="J535" s="3033"/>
      <c r="K535" s="3033"/>
      <c r="L535" s="3040">
        <v>53550</v>
      </c>
      <c r="M535" s="3031"/>
      <c r="O535" s="3016"/>
      <c r="P535" s="3016"/>
    </row>
    <row r="536" spans="2:16" ht="38.25">
      <c r="B536" s="3030" t="s">
        <v>4006</v>
      </c>
      <c r="C536" s="3031"/>
      <c r="D536" s="2915" t="s">
        <v>4971</v>
      </c>
      <c r="E536" s="2971">
        <v>500</v>
      </c>
      <c r="F536" s="2921" t="s">
        <v>4842</v>
      </c>
      <c r="G536" s="19"/>
      <c r="H536" s="3033" t="s">
        <v>2757</v>
      </c>
      <c r="I536" s="3033"/>
      <c r="J536" s="3033"/>
      <c r="K536" s="3033"/>
      <c r="L536" s="3040">
        <v>87500</v>
      </c>
      <c r="M536" s="3031"/>
      <c r="O536" s="3016"/>
      <c r="P536" s="3016"/>
    </row>
    <row r="537" spans="2:16" ht="51">
      <c r="B537" s="3030" t="s">
        <v>4006</v>
      </c>
      <c r="C537" s="3031"/>
      <c r="D537" s="2915" t="s">
        <v>4972</v>
      </c>
      <c r="E537" s="2971">
        <v>72</v>
      </c>
      <c r="F537" s="2921" t="s">
        <v>3007</v>
      </c>
      <c r="G537" s="19"/>
      <c r="H537" s="3033" t="s">
        <v>2757</v>
      </c>
      <c r="I537" s="3033"/>
      <c r="J537" s="3033"/>
      <c r="K537" s="3033"/>
      <c r="L537" s="3040">
        <v>103680</v>
      </c>
      <c r="M537" s="3031"/>
      <c r="O537" s="3016"/>
      <c r="P537" s="3016"/>
    </row>
    <row r="538" spans="2:16" ht="51">
      <c r="B538" s="3030" t="s">
        <v>4006</v>
      </c>
      <c r="C538" s="3031"/>
      <c r="D538" s="2915" t="s">
        <v>4973</v>
      </c>
      <c r="E538" s="2971">
        <v>237</v>
      </c>
      <c r="F538" s="2921" t="s">
        <v>3007</v>
      </c>
      <c r="G538" s="19"/>
      <c r="H538" s="3033" t="s">
        <v>2757</v>
      </c>
      <c r="I538" s="3033"/>
      <c r="J538" s="3033"/>
      <c r="K538" s="3033"/>
      <c r="L538" s="3040">
        <v>376950</v>
      </c>
      <c r="M538" s="3031"/>
      <c r="O538" s="3016"/>
      <c r="P538" s="3016"/>
    </row>
    <row r="539" spans="2:16" ht="51">
      <c r="B539" s="3030" t="s">
        <v>4006</v>
      </c>
      <c r="C539" s="3031"/>
      <c r="D539" s="2915" t="s">
        <v>4974</v>
      </c>
      <c r="E539" s="2971">
        <v>222</v>
      </c>
      <c r="F539" s="2921" t="s">
        <v>3007</v>
      </c>
      <c r="G539" s="19"/>
      <c r="H539" s="3033" t="s">
        <v>2757</v>
      </c>
      <c r="I539" s="3033"/>
      <c r="J539" s="3033"/>
      <c r="K539" s="3033"/>
      <c r="L539" s="3040">
        <v>349200</v>
      </c>
      <c r="M539" s="3031"/>
      <c r="O539" s="3016"/>
      <c r="P539" s="3016"/>
    </row>
    <row r="540" spans="2:16" ht="51">
      <c r="B540" s="3030" t="s">
        <v>4006</v>
      </c>
      <c r="C540" s="3031"/>
      <c r="D540" s="2915" t="s">
        <v>4975</v>
      </c>
      <c r="E540" s="2971">
        <v>92</v>
      </c>
      <c r="F540" s="2921" t="s">
        <v>3007</v>
      </c>
      <c r="G540" s="19"/>
      <c r="H540" s="3033" t="s">
        <v>2757</v>
      </c>
      <c r="I540" s="3033"/>
      <c r="J540" s="3033"/>
      <c r="K540" s="3033"/>
      <c r="L540" s="3040">
        <v>140680</v>
      </c>
      <c r="M540" s="3031"/>
      <c r="O540" s="3016"/>
      <c r="P540" s="3016"/>
    </row>
    <row r="541" spans="2:16" ht="25.5">
      <c r="B541" s="3030" t="s">
        <v>4006</v>
      </c>
      <c r="C541" s="3031"/>
      <c r="D541" s="2915" t="s">
        <v>4976</v>
      </c>
      <c r="E541" s="2971">
        <v>400</v>
      </c>
      <c r="F541" s="2921" t="s">
        <v>4842</v>
      </c>
      <c r="G541" s="19"/>
      <c r="H541" s="3033" t="s">
        <v>2757</v>
      </c>
      <c r="I541" s="3033"/>
      <c r="J541" s="3033"/>
      <c r="K541" s="3033"/>
      <c r="L541" s="3040">
        <v>25500</v>
      </c>
      <c r="M541" s="3031"/>
      <c r="O541" s="3016"/>
      <c r="P541" s="3016"/>
    </row>
    <row r="542" spans="2:16" ht="38.25">
      <c r="B542" s="3030" t="s">
        <v>4006</v>
      </c>
      <c r="C542" s="3031"/>
      <c r="D542" s="2915" t="s">
        <v>4977</v>
      </c>
      <c r="E542" s="2971">
        <v>700</v>
      </c>
      <c r="F542" s="2921" t="s">
        <v>3007</v>
      </c>
      <c r="G542" s="19"/>
      <c r="H542" s="3033" t="s">
        <v>2757</v>
      </c>
      <c r="I542" s="3033"/>
      <c r="J542" s="3033"/>
      <c r="K542" s="3033"/>
      <c r="L542" s="3040">
        <v>556000</v>
      </c>
      <c r="M542" s="3031"/>
      <c r="O542" s="3016"/>
      <c r="P542" s="3016"/>
    </row>
    <row r="543" spans="2:16" ht="38.25">
      <c r="B543" s="3030" t="s">
        <v>4006</v>
      </c>
      <c r="C543" s="3031"/>
      <c r="D543" s="2915" t="s">
        <v>4978</v>
      </c>
      <c r="E543" s="2971">
        <v>700</v>
      </c>
      <c r="F543" s="2921" t="s">
        <v>3007</v>
      </c>
      <c r="G543" s="19"/>
      <c r="H543" s="3033" t="s">
        <v>2757</v>
      </c>
      <c r="I543" s="3033"/>
      <c r="J543" s="3033"/>
      <c r="K543" s="3033"/>
      <c r="L543" s="3040">
        <v>406000</v>
      </c>
      <c r="M543" s="3031"/>
      <c r="O543" s="3016"/>
      <c r="P543" s="3016"/>
    </row>
    <row r="544" spans="2:16" ht="38.25">
      <c r="B544" s="3030" t="s">
        <v>4006</v>
      </c>
      <c r="C544" s="3031"/>
      <c r="D544" s="2915" t="s">
        <v>4979</v>
      </c>
      <c r="E544" s="2971">
        <v>850</v>
      </c>
      <c r="F544" s="2921" t="s">
        <v>3007</v>
      </c>
      <c r="G544" s="19"/>
      <c r="H544" s="3033" t="s">
        <v>2757</v>
      </c>
      <c r="I544" s="3033"/>
      <c r="J544" s="3033"/>
      <c r="K544" s="3033"/>
      <c r="L544" s="3040">
        <v>467500</v>
      </c>
      <c r="M544" s="3031"/>
      <c r="O544" s="3016"/>
      <c r="P544" s="3016"/>
    </row>
    <row r="545" spans="2:16" ht="38.25">
      <c r="B545" s="3030" t="s">
        <v>4006</v>
      </c>
      <c r="C545" s="3031"/>
      <c r="D545" s="2915" t="s">
        <v>4980</v>
      </c>
      <c r="E545" s="2971">
        <v>700</v>
      </c>
      <c r="F545" s="2921" t="s">
        <v>3007</v>
      </c>
      <c r="G545" s="19"/>
      <c r="H545" s="3033" t="s">
        <v>2757</v>
      </c>
      <c r="I545" s="3033"/>
      <c r="J545" s="3033"/>
      <c r="K545" s="3033"/>
      <c r="L545" s="3040">
        <v>385000</v>
      </c>
      <c r="M545" s="3031"/>
      <c r="O545" s="3016"/>
      <c r="P545" s="3016"/>
    </row>
    <row r="546" spans="2:16" ht="25.5">
      <c r="B546" s="3030" t="s">
        <v>4006</v>
      </c>
      <c r="C546" s="3031"/>
      <c r="D546" s="2915" t="s">
        <v>4981</v>
      </c>
      <c r="E546" s="2971">
        <v>20</v>
      </c>
      <c r="F546" s="2921" t="s">
        <v>3004</v>
      </c>
      <c r="G546" s="19"/>
      <c r="H546" s="3033" t="s">
        <v>2757</v>
      </c>
      <c r="I546" s="3033"/>
      <c r="J546" s="3033"/>
      <c r="K546" s="3033"/>
      <c r="L546" s="3040">
        <v>40000</v>
      </c>
      <c r="M546" s="3031"/>
      <c r="O546" s="3016"/>
      <c r="P546" s="3016"/>
    </row>
    <row r="547" spans="2:16" ht="25.5">
      <c r="B547" s="3030" t="s">
        <v>4006</v>
      </c>
      <c r="C547" s="3031"/>
      <c r="D547" s="2915" t="s">
        <v>4982</v>
      </c>
      <c r="E547" s="2971">
        <v>20</v>
      </c>
      <c r="F547" s="2921" t="s">
        <v>3007</v>
      </c>
      <c r="G547" s="19"/>
      <c r="H547" s="3033" t="s">
        <v>2757</v>
      </c>
      <c r="I547" s="3033"/>
      <c r="J547" s="3033"/>
      <c r="K547" s="3033"/>
      <c r="L547" s="3040">
        <v>5080</v>
      </c>
      <c r="M547" s="3031"/>
      <c r="O547" s="3016"/>
      <c r="P547" s="3016"/>
    </row>
    <row r="548" spans="2:16" ht="63.75">
      <c r="B548" s="3030" t="s">
        <v>4006</v>
      </c>
      <c r="C548" s="3031"/>
      <c r="D548" s="2915" t="s">
        <v>4983</v>
      </c>
      <c r="E548" s="2971">
        <v>12</v>
      </c>
      <c r="F548" s="2921" t="s">
        <v>3007</v>
      </c>
      <c r="G548" s="19"/>
      <c r="H548" s="3033" t="s">
        <v>2757</v>
      </c>
      <c r="I548" s="3033"/>
      <c r="J548" s="3033"/>
      <c r="K548" s="3033"/>
      <c r="L548" s="3040">
        <v>22400</v>
      </c>
      <c r="M548" s="3031"/>
      <c r="O548" s="3016"/>
      <c r="P548" s="3016"/>
    </row>
    <row r="549" spans="2:16">
      <c r="B549" s="3030" t="s">
        <v>4006</v>
      </c>
      <c r="C549" s="3031"/>
      <c r="D549" s="2915" t="s">
        <v>4984</v>
      </c>
      <c r="E549" s="2971">
        <v>1000</v>
      </c>
      <c r="F549" s="2921" t="s">
        <v>4842</v>
      </c>
      <c r="G549" s="19"/>
      <c r="H549" s="3033" t="s">
        <v>2757</v>
      </c>
      <c r="I549" s="3033"/>
      <c r="J549" s="3033"/>
      <c r="K549" s="3033"/>
      <c r="L549" s="3040">
        <v>38000</v>
      </c>
      <c r="M549" s="3031"/>
      <c r="O549" s="3016"/>
      <c r="P549" s="3016"/>
    </row>
    <row r="550" spans="2:16">
      <c r="B550" s="3030" t="s">
        <v>4006</v>
      </c>
      <c r="C550" s="3031"/>
      <c r="D550" s="2915" t="s">
        <v>4985</v>
      </c>
      <c r="E550" s="2971">
        <v>500</v>
      </c>
      <c r="F550" s="2921" t="s">
        <v>4842</v>
      </c>
      <c r="G550" s="19"/>
      <c r="H550" s="3033" t="s">
        <v>2757</v>
      </c>
      <c r="I550" s="3033"/>
      <c r="J550" s="3033"/>
      <c r="K550" s="3033"/>
      <c r="L550" s="3040">
        <v>4000</v>
      </c>
      <c r="M550" s="3031"/>
      <c r="O550" s="3016"/>
      <c r="P550" s="3016"/>
    </row>
    <row r="551" spans="2:16">
      <c r="B551" s="3030" t="s">
        <v>4006</v>
      </c>
      <c r="C551" s="3031"/>
      <c r="D551" s="2915" t="s">
        <v>4986</v>
      </c>
      <c r="E551" s="2971">
        <v>120</v>
      </c>
      <c r="F551" s="2921" t="s">
        <v>3004</v>
      </c>
      <c r="G551" s="19"/>
      <c r="H551" s="3033" t="s">
        <v>2757</v>
      </c>
      <c r="I551" s="3033"/>
      <c r="J551" s="3033"/>
      <c r="K551" s="3033"/>
      <c r="L551" s="3040">
        <v>8400</v>
      </c>
      <c r="M551" s="3031"/>
      <c r="O551" s="3016"/>
      <c r="P551" s="3016"/>
    </row>
    <row r="552" spans="2:16">
      <c r="B552" s="3030" t="s">
        <v>4006</v>
      </c>
      <c r="C552" s="3031"/>
      <c r="D552" s="2915" t="s">
        <v>4987</v>
      </c>
      <c r="E552" s="2971">
        <v>456</v>
      </c>
      <c r="F552" s="2921" t="s">
        <v>3007</v>
      </c>
      <c r="G552" s="19"/>
      <c r="H552" s="3033" t="s">
        <v>2757</v>
      </c>
      <c r="I552" s="3033"/>
      <c r="J552" s="3033"/>
      <c r="K552" s="3033"/>
      <c r="L552" s="3040">
        <v>314680</v>
      </c>
      <c r="M552" s="3031"/>
      <c r="O552" s="3016"/>
      <c r="P552" s="3016"/>
    </row>
    <row r="553" spans="2:16" ht="25.5">
      <c r="B553" s="3030" t="s">
        <v>4006</v>
      </c>
      <c r="C553" s="3031"/>
      <c r="D553" s="2915" t="s">
        <v>4988</v>
      </c>
      <c r="E553" s="2971">
        <v>506</v>
      </c>
      <c r="F553" s="2921" t="s">
        <v>3007</v>
      </c>
      <c r="G553" s="19"/>
      <c r="H553" s="3033" t="s">
        <v>2757</v>
      </c>
      <c r="I553" s="3033"/>
      <c r="J553" s="3033"/>
      <c r="K553" s="3033"/>
      <c r="L553" s="3040">
        <v>353680</v>
      </c>
      <c r="M553" s="3031"/>
      <c r="O553" s="3016"/>
      <c r="P553" s="3016"/>
    </row>
    <row r="554" spans="2:16" ht="25.5">
      <c r="B554" s="3030" t="s">
        <v>4006</v>
      </c>
      <c r="C554" s="3031"/>
      <c r="D554" s="2915" t="s">
        <v>4989</v>
      </c>
      <c r="E554" s="2971">
        <v>440</v>
      </c>
      <c r="F554" s="2921" t="s">
        <v>3007</v>
      </c>
      <c r="G554" s="19"/>
      <c r="H554" s="3033" t="s">
        <v>2757</v>
      </c>
      <c r="I554" s="3033"/>
      <c r="J554" s="3033"/>
      <c r="K554" s="3033"/>
      <c r="L554" s="3040">
        <v>302200</v>
      </c>
      <c r="M554" s="3031"/>
      <c r="O554" s="3016"/>
      <c r="P554" s="3016"/>
    </row>
    <row r="555" spans="2:16" ht="25.5">
      <c r="B555" s="3030" t="s">
        <v>4006</v>
      </c>
      <c r="C555" s="3031"/>
      <c r="D555" s="2915" t="s">
        <v>4990</v>
      </c>
      <c r="E555" s="2971">
        <v>266</v>
      </c>
      <c r="F555" s="2921" t="s">
        <v>4842</v>
      </c>
      <c r="G555" s="19"/>
      <c r="H555" s="3033" t="s">
        <v>2757</v>
      </c>
      <c r="I555" s="3033"/>
      <c r="J555" s="3033"/>
      <c r="K555" s="3033"/>
      <c r="L555" s="3040">
        <v>202160</v>
      </c>
      <c r="M555" s="3031"/>
      <c r="O555" s="3016"/>
      <c r="P555" s="3016"/>
    </row>
    <row r="556" spans="2:16" ht="25.5">
      <c r="B556" s="3030" t="s">
        <v>4006</v>
      </c>
      <c r="C556" s="3031"/>
      <c r="D556" s="2915" t="s">
        <v>4991</v>
      </c>
      <c r="E556" s="2971">
        <v>444</v>
      </c>
      <c r="F556" s="2921" t="s">
        <v>4842</v>
      </c>
      <c r="G556" s="19"/>
      <c r="H556" s="3033" t="s">
        <v>2757</v>
      </c>
      <c r="I556" s="3033"/>
      <c r="J556" s="3033"/>
      <c r="K556" s="3033"/>
      <c r="L556" s="3040">
        <v>328560</v>
      </c>
      <c r="M556" s="3031"/>
      <c r="O556" s="3016"/>
      <c r="P556" s="3016"/>
    </row>
    <row r="557" spans="2:16">
      <c r="B557" s="3030" t="s">
        <v>4006</v>
      </c>
      <c r="C557" s="3031"/>
      <c r="D557" s="2915" t="s">
        <v>4992</v>
      </c>
      <c r="E557" s="2971">
        <v>324</v>
      </c>
      <c r="F557" s="2921" t="s">
        <v>4842</v>
      </c>
      <c r="G557" s="19"/>
      <c r="H557" s="3033" t="s">
        <v>2757</v>
      </c>
      <c r="I557" s="3033"/>
      <c r="J557" s="3033"/>
      <c r="K557" s="3033"/>
      <c r="L557" s="3040">
        <v>191160</v>
      </c>
      <c r="M557" s="3031"/>
      <c r="O557" s="3016"/>
      <c r="P557" s="3016"/>
    </row>
    <row r="558" spans="2:16" ht="25.5">
      <c r="B558" s="3030" t="s">
        <v>4006</v>
      </c>
      <c r="C558" s="3031"/>
      <c r="D558" s="2915" t="s">
        <v>4993</v>
      </c>
      <c r="E558" s="2971">
        <v>99</v>
      </c>
      <c r="F558" s="2921" t="s">
        <v>4842</v>
      </c>
      <c r="G558" s="19"/>
      <c r="H558" s="3033" t="s">
        <v>2757</v>
      </c>
      <c r="I558" s="3033"/>
      <c r="J558" s="3033"/>
      <c r="K558" s="3033"/>
      <c r="L558" s="3040">
        <v>45540</v>
      </c>
      <c r="M558" s="3031"/>
      <c r="O558" s="3016"/>
      <c r="P558" s="3016"/>
    </row>
    <row r="559" spans="2:16" ht="25.5">
      <c r="B559" s="3030" t="s">
        <v>4006</v>
      </c>
      <c r="C559" s="3031"/>
      <c r="D559" s="2915" t="s">
        <v>4994</v>
      </c>
      <c r="E559" s="2971">
        <v>27</v>
      </c>
      <c r="F559" s="2921" t="s">
        <v>4842</v>
      </c>
      <c r="G559" s="19"/>
      <c r="H559" s="3033" t="s">
        <v>2757</v>
      </c>
      <c r="I559" s="3033"/>
      <c r="J559" s="3033"/>
      <c r="K559" s="3033"/>
      <c r="L559" s="3040">
        <v>11880</v>
      </c>
      <c r="M559" s="3031"/>
      <c r="O559" s="3016"/>
      <c r="P559" s="3016"/>
    </row>
    <row r="560" spans="2:16" ht="25.5">
      <c r="B560" s="3030" t="s">
        <v>4006</v>
      </c>
      <c r="C560" s="3031"/>
      <c r="D560" s="2915" t="s">
        <v>4995</v>
      </c>
      <c r="E560" s="2971">
        <v>66</v>
      </c>
      <c r="F560" s="2921" t="s">
        <v>4842</v>
      </c>
      <c r="G560" s="19"/>
      <c r="H560" s="3033" t="s">
        <v>2757</v>
      </c>
      <c r="I560" s="3033"/>
      <c r="J560" s="3033"/>
      <c r="K560" s="3033"/>
      <c r="L560" s="3040">
        <v>29700</v>
      </c>
      <c r="M560" s="3031"/>
      <c r="O560" s="3016"/>
      <c r="P560" s="3016"/>
    </row>
    <row r="561" spans="2:16" ht="25.5">
      <c r="B561" s="3030" t="s">
        <v>4006</v>
      </c>
      <c r="C561" s="3031"/>
      <c r="D561" s="2915" t="s">
        <v>4996</v>
      </c>
      <c r="E561" s="2971">
        <v>163</v>
      </c>
      <c r="F561" s="2921" t="s">
        <v>4842</v>
      </c>
      <c r="G561" s="19"/>
      <c r="H561" s="3033" t="s">
        <v>2757</v>
      </c>
      <c r="I561" s="3033"/>
      <c r="J561" s="3033"/>
      <c r="K561" s="3033"/>
      <c r="L561" s="3040">
        <v>104320</v>
      </c>
      <c r="M561" s="3031"/>
      <c r="O561" s="3016"/>
      <c r="P561" s="3016"/>
    </row>
    <row r="562" spans="2:16" ht="25.5">
      <c r="B562" s="3030" t="s">
        <v>4006</v>
      </c>
      <c r="C562" s="3031"/>
      <c r="D562" s="2915" t="s">
        <v>4997</v>
      </c>
      <c r="E562" s="2971">
        <v>98</v>
      </c>
      <c r="F562" s="2921" t="s">
        <v>4842</v>
      </c>
      <c r="G562" s="19"/>
      <c r="H562" s="3033" t="s">
        <v>2757</v>
      </c>
      <c r="I562" s="3033"/>
      <c r="J562" s="3033"/>
      <c r="K562" s="3033"/>
      <c r="L562" s="3040">
        <v>18130</v>
      </c>
      <c r="M562" s="3031"/>
      <c r="O562" s="3016"/>
      <c r="P562" s="3016"/>
    </row>
    <row r="563" spans="2:16" ht="38.25">
      <c r="B563" s="3030" t="s">
        <v>4006</v>
      </c>
      <c r="C563" s="3031"/>
      <c r="D563" s="2915" t="s">
        <v>4998</v>
      </c>
      <c r="E563" s="2971">
        <v>120</v>
      </c>
      <c r="F563" s="2921" t="s">
        <v>4842</v>
      </c>
      <c r="G563" s="19"/>
      <c r="H563" s="3033" t="s">
        <v>2757</v>
      </c>
      <c r="I563" s="3033"/>
      <c r="J563" s="3033"/>
      <c r="K563" s="3033"/>
      <c r="L563" s="3040">
        <v>138000</v>
      </c>
      <c r="M563" s="3031"/>
      <c r="O563" s="3016"/>
      <c r="P563" s="3016"/>
    </row>
    <row r="564" spans="2:16" ht="25.5">
      <c r="B564" s="3030" t="s">
        <v>4006</v>
      </c>
      <c r="C564" s="3031"/>
      <c r="D564" s="2915" t="s">
        <v>4999</v>
      </c>
      <c r="E564" s="2971">
        <v>120</v>
      </c>
      <c r="F564" s="2921" t="s">
        <v>4842</v>
      </c>
      <c r="G564" s="19"/>
      <c r="H564" s="3033" t="s">
        <v>2757</v>
      </c>
      <c r="I564" s="3033"/>
      <c r="J564" s="3033"/>
      <c r="K564" s="3033"/>
      <c r="L564" s="3040">
        <v>150000</v>
      </c>
      <c r="M564" s="3031"/>
      <c r="O564" s="3016"/>
      <c r="P564" s="3016"/>
    </row>
    <row r="565" spans="2:16" ht="38.25">
      <c r="B565" s="3030" t="s">
        <v>4006</v>
      </c>
      <c r="C565" s="3031"/>
      <c r="D565" s="2915" t="s">
        <v>5000</v>
      </c>
      <c r="E565" s="2971">
        <v>720</v>
      </c>
      <c r="F565" s="2921" t="s">
        <v>4842</v>
      </c>
      <c r="G565" s="19"/>
      <c r="H565" s="3033" t="s">
        <v>2757</v>
      </c>
      <c r="I565" s="3033"/>
      <c r="J565" s="3033"/>
      <c r="K565" s="3033"/>
      <c r="L565" s="3040">
        <v>345600</v>
      </c>
      <c r="M565" s="3031"/>
      <c r="O565" s="3016"/>
      <c r="P565" s="3016"/>
    </row>
    <row r="566" spans="2:16" ht="38.25">
      <c r="B566" s="3030" t="s">
        <v>4006</v>
      </c>
      <c r="C566" s="3031"/>
      <c r="D566" s="2915" t="s">
        <v>5001</v>
      </c>
      <c r="E566" s="2971">
        <v>720</v>
      </c>
      <c r="F566" s="2921" t="s">
        <v>4842</v>
      </c>
      <c r="G566" s="19"/>
      <c r="H566" s="3033" t="s">
        <v>2757</v>
      </c>
      <c r="I566" s="3033"/>
      <c r="J566" s="3033"/>
      <c r="K566" s="3033"/>
      <c r="L566" s="3040">
        <v>410400</v>
      </c>
      <c r="M566" s="3031"/>
      <c r="O566" s="3016"/>
      <c r="P566" s="3016"/>
    </row>
    <row r="567" spans="2:16" ht="38.25">
      <c r="B567" s="3030" t="s">
        <v>4006</v>
      </c>
      <c r="C567" s="3031"/>
      <c r="D567" s="2915" t="s">
        <v>5002</v>
      </c>
      <c r="E567" s="2971">
        <v>108</v>
      </c>
      <c r="F567" s="2921" t="s">
        <v>4842</v>
      </c>
      <c r="G567" s="19"/>
      <c r="H567" s="3033" t="s">
        <v>2757</v>
      </c>
      <c r="I567" s="3033"/>
      <c r="J567" s="3033"/>
      <c r="K567" s="3033"/>
      <c r="L567" s="3040">
        <v>46116</v>
      </c>
      <c r="M567" s="3031"/>
      <c r="O567" s="3016"/>
      <c r="P567" s="3016"/>
    </row>
    <row r="568" spans="2:16" ht="38.25">
      <c r="B568" s="3030" t="s">
        <v>4006</v>
      </c>
      <c r="C568" s="3031"/>
      <c r="D568" s="2915" t="s">
        <v>5003</v>
      </c>
      <c r="E568" s="2971">
        <v>108</v>
      </c>
      <c r="F568" s="2921" t="s">
        <v>2876</v>
      </c>
      <c r="G568" s="19"/>
      <c r="H568" s="3033" t="s">
        <v>2757</v>
      </c>
      <c r="I568" s="3033"/>
      <c r="J568" s="3033"/>
      <c r="K568" s="3033"/>
      <c r="L568" s="3040">
        <v>60480</v>
      </c>
      <c r="M568" s="3031"/>
      <c r="O568" s="3016"/>
      <c r="P568" s="3016"/>
    </row>
    <row r="569" spans="2:16" ht="38.25">
      <c r="B569" s="3030" t="s">
        <v>4006</v>
      </c>
      <c r="C569" s="3031"/>
      <c r="D569" s="2915" t="s">
        <v>5004</v>
      </c>
      <c r="E569" s="2971">
        <v>354</v>
      </c>
      <c r="F569" s="2921" t="s">
        <v>4842</v>
      </c>
      <c r="G569" s="19"/>
      <c r="H569" s="3033" t="s">
        <v>2757</v>
      </c>
      <c r="I569" s="3033"/>
      <c r="J569" s="3033"/>
      <c r="K569" s="3033"/>
      <c r="L569" s="3040">
        <v>148680</v>
      </c>
      <c r="M569" s="3031"/>
      <c r="O569" s="3016"/>
      <c r="P569" s="3016"/>
    </row>
    <row r="570" spans="2:16" ht="38.25">
      <c r="B570" s="3030" t="s">
        <v>4006</v>
      </c>
      <c r="C570" s="3031"/>
      <c r="D570" s="2915" t="s">
        <v>5005</v>
      </c>
      <c r="E570" s="2971">
        <v>187</v>
      </c>
      <c r="F570" s="2921" t="s">
        <v>4842</v>
      </c>
      <c r="G570" s="19"/>
      <c r="H570" s="3033" t="s">
        <v>2757</v>
      </c>
      <c r="I570" s="3033"/>
      <c r="J570" s="3033"/>
      <c r="K570" s="3033"/>
      <c r="L570" s="3040">
        <v>154275</v>
      </c>
      <c r="M570" s="3031"/>
      <c r="O570" s="3016"/>
      <c r="P570" s="3016"/>
    </row>
    <row r="571" spans="2:16" ht="25.5">
      <c r="B571" s="3030" t="s">
        <v>4006</v>
      </c>
      <c r="C571" s="3031"/>
      <c r="D571" s="2915" t="s">
        <v>5006</v>
      </c>
      <c r="E571" s="2971">
        <v>100</v>
      </c>
      <c r="F571" s="2921" t="s">
        <v>4842</v>
      </c>
      <c r="G571" s="19"/>
      <c r="H571" s="3033" t="s">
        <v>2757</v>
      </c>
      <c r="I571" s="3033"/>
      <c r="J571" s="3033"/>
      <c r="K571" s="3033"/>
      <c r="L571" s="3040">
        <v>99000</v>
      </c>
      <c r="M571" s="3031"/>
      <c r="O571" s="3016"/>
      <c r="P571" s="3016"/>
    </row>
    <row r="572" spans="2:16" ht="51">
      <c r="B572" s="3030" t="s">
        <v>4006</v>
      </c>
      <c r="C572" s="3031"/>
      <c r="D572" s="2915" t="s">
        <v>5007</v>
      </c>
      <c r="E572" s="2971">
        <v>8</v>
      </c>
      <c r="F572" s="2921" t="s">
        <v>3007</v>
      </c>
      <c r="G572" s="19"/>
      <c r="H572" s="3033" t="s">
        <v>2757</v>
      </c>
      <c r="I572" s="3033"/>
      <c r="J572" s="3033"/>
      <c r="K572" s="3033"/>
      <c r="L572" s="3040">
        <v>209000</v>
      </c>
      <c r="M572" s="3031"/>
      <c r="O572" s="3016"/>
      <c r="P572" s="3016"/>
    </row>
    <row r="573" spans="2:16" ht="38.25">
      <c r="B573" s="3030" t="s">
        <v>4006</v>
      </c>
      <c r="C573" s="3031"/>
      <c r="D573" s="2915" t="s">
        <v>5008</v>
      </c>
      <c r="E573" s="2971">
        <v>4</v>
      </c>
      <c r="F573" s="2921" t="s">
        <v>3007</v>
      </c>
      <c r="G573" s="19"/>
      <c r="H573" s="3033" t="s">
        <v>2757</v>
      </c>
      <c r="I573" s="3033"/>
      <c r="J573" s="3033"/>
      <c r="K573" s="3033"/>
      <c r="L573" s="3040">
        <v>34200</v>
      </c>
      <c r="M573" s="3031"/>
      <c r="O573" s="3016"/>
      <c r="P573" s="3016"/>
    </row>
    <row r="574" spans="2:16" ht="38.25">
      <c r="B574" s="3030" t="s">
        <v>4006</v>
      </c>
      <c r="C574" s="3031"/>
      <c r="D574" s="2915" t="s">
        <v>5009</v>
      </c>
      <c r="E574" s="2971">
        <v>11</v>
      </c>
      <c r="F574" s="2921" t="s">
        <v>3007</v>
      </c>
      <c r="G574" s="19"/>
      <c r="H574" s="3033" t="s">
        <v>2757</v>
      </c>
      <c r="I574" s="3033"/>
      <c r="J574" s="3033"/>
      <c r="K574" s="3033"/>
      <c r="L574" s="3040">
        <v>94050</v>
      </c>
      <c r="M574" s="3031"/>
      <c r="O574" s="3016"/>
      <c r="P574" s="3016"/>
    </row>
    <row r="575" spans="2:16" ht="38.25">
      <c r="B575" s="3030" t="s">
        <v>4006</v>
      </c>
      <c r="C575" s="3031"/>
      <c r="D575" s="2915" t="s">
        <v>5010</v>
      </c>
      <c r="E575" s="2971">
        <v>7</v>
      </c>
      <c r="F575" s="2921" t="s">
        <v>3007</v>
      </c>
      <c r="G575" s="19"/>
      <c r="H575" s="3033" t="s">
        <v>2757</v>
      </c>
      <c r="I575" s="3033"/>
      <c r="J575" s="3033"/>
      <c r="K575" s="3033"/>
      <c r="L575" s="3040">
        <v>59850</v>
      </c>
      <c r="M575" s="3031"/>
      <c r="O575" s="3016"/>
      <c r="P575" s="3016"/>
    </row>
    <row r="576" spans="2:16" ht="25.5">
      <c r="B576" s="3030" t="s">
        <v>4006</v>
      </c>
      <c r="C576" s="3031"/>
      <c r="D576" s="2915" t="s">
        <v>5011</v>
      </c>
      <c r="E576" s="2971">
        <v>49</v>
      </c>
      <c r="F576" s="2921" t="s">
        <v>4842</v>
      </c>
      <c r="G576" s="19"/>
      <c r="H576" s="3033" t="s">
        <v>2757</v>
      </c>
      <c r="I576" s="3033"/>
      <c r="J576" s="3033"/>
      <c r="K576" s="3033"/>
      <c r="L576" s="3040">
        <v>9163</v>
      </c>
      <c r="M576" s="3031"/>
      <c r="O576" s="3016"/>
      <c r="P576" s="3016"/>
    </row>
    <row r="577" spans="2:16" ht="25.5">
      <c r="B577" s="3030" t="s">
        <v>4006</v>
      </c>
      <c r="C577" s="3031"/>
      <c r="D577" s="2915" t="s">
        <v>5012</v>
      </c>
      <c r="E577" s="2971">
        <v>98</v>
      </c>
      <c r="F577" s="2921" t="s">
        <v>4842</v>
      </c>
      <c r="G577" s="19"/>
      <c r="H577" s="3033" t="s">
        <v>2757</v>
      </c>
      <c r="I577" s="3033"/>
      <c r="J577" s="3033"/>
      <c r="K577" s="3033"/>
      <c r="L577" s="3040">
        <v>18326</v>
      </c>
      <c r="M577" s="3031"/>
      <c r="O577" s="3016"/>
      <c r="P577" s="3016"/>
    </row>
    <row r="578" spans="2:16" ht="25.5">
      <c r="B578" s="3030" t="s">
        <v>4006</v>
      </c>
      <c r="C578" s="3031"/>
      <c r="D578" s="2915" t="s">
        <v>5013</v>
      </c>
      <c r="E578" s="2971">
        <v>49</v>
      </c>
      <c r="F578" s="2921" t="s">
        <v>4842</v>
      </c>
      <c r="G578" s="19"/>
      <c r="H578" s="3033" t="s">
        <v>2757</v>
      </c>
      <c r="I578" s="3033"/>
      <c r="J578" s="3033"/>
      <c r="K578" s="3033"/>
      <c r="L578" s="3040">
        <v>9163</v>
      </c>
      <c r="M578" s="3031"/>
      <c r="O578" s="3016"/>
      <c r="P578" s="3016"/>
    </row>
    <row r="579" spans="2:16" ht="25.5">
      <c r="B579" s="3030" t="s">
        <v>4006</v>
      </c>
      <c r="C579" s="3031"/>
      <c r="D579" s="2915" t="s">
        <v>5014</v>
      </c>
      <c r="E579" s="2971">
        <v>98</v>
      </c>
      <c r="F579" s="2921" t="s">
        <v>4842</v>
      </c>
      <c r="G579" s="19"/>
      <c r="H579" s="3033" t="s">
        <v>2757</v>
      </c>
      <c r="I579" s="3033"/>
      <c r="J579" s="3033"/>
      <c r="K579" s="3033"/>
      <c r="L579" s="3040">
        <v>18326</v>
      </c>
      <c r="M579" s="3031"/>
      <c r="O579" s="3016"/>
      <c r="P579" s="3016"/>
    </row>
    <row r="580" spans="2:16">
      <c r="B580" s="3030" t="s">
        <v>4006</v>
      </c>
      <c r="C580" s="3031"/>
      <c r="D580" s="2917" t="s">
        <v>5015</v>
      </c>
      <c r="E580" s="2971">
        <v>37</v>
      </c>
      <c r="F580" s="2968" t="s">
        <v>1057</v>
      </c>
      <c r="G580" s="19"/>
      <c r="H580" s="3033" t="s">
        <v>2757</v>
      </c>
      <c r="I580" s="3033"/>
      <c r="J580" s="3033"/>
      <c r="K580" s="3033"/>
      <c r="L580" s="3040">
        <v>2055000</v>
      </c>
      <c r="M580" s="3031"/>
      <c r="O580" s="3016"/>
      <c r="P580" s="3016"/>
    </row>
    <row r="581" spans="2:16">
      <c r="B581" s="3030" t="s">
        <v>4006</v>
      </c>
      <c r="C581" s="2859" t="s">
        <v>5016</v>
      </c>
      <c r="D581" s="3041" t="s">
        <v>4835</v>
      </c>
      <c r="E581" s="2971">
        <v>75</v>
      </c>
      <c r="F581" s="2968" t="s">
        <v>4834</v>
      </c>
      <c r="G581" s="19"/>
      <c r="H581" s="3033" t="s">
        <v>3</v>
      </c>
      <c r="I581" s="3033"/>
      <c r="J581" s="3033"/>
      <c r="K581" s="3033"/>
      <c r="L581" s="3040">
        <v>16835.25</v>
      </c>
      <c r="M581" s="3031"/>
      <c r="O581" s="3016"/>
      <c r="P581" s="3016"/>
    </row>
    <row r="582" spans="2:16">
      <c r="B582" s="3030" t="s">
        <v>4006</v>
      </c>
      <c r="C582" s="2859"/>
      <c r="D582" s="3039" t="s">
        <v>4837</v>
      </c>
      <c r="E582" s="2971">
        <v>125</v>
      </c>
      <c r="F582" s="2921" t="s">
        <v>4836</v>
      </c>
      <c r="G582" s="19"/>
      <c r="H582" s="3033" t="s">
        <v>2757</v>
      </c>
      <c r="I582" s="3033"/>
      <c r="J582" s="3033"/>
      <c r="K582" s="3033"/>
      <c r="L582" s="3040">
        <v>108700</v>
      </c>
      <c r="M582" s="3031"/>
      <c r="O582" s="3016"/>
      <c r="P582" s="3016"/>
    </row>
    <row r="583" spans="2:16" ht="38.25">
      <c r="B583" s="3030" t="s">
        <v>4006</v>
      </c>
      <c r="C583" s="2859"/>
      <c r="D583" s="3039" t="s">
        <v>4840</v>
      </c>
      <c r="E583" s="2971">
        <v>10</v>
      </c>
      <c r="F583" s="2921" t="s">
        <v>3004</v>
      </c>
      <c r="G583" s="19"/>
      <c r="H583" s="3033" t="s">
        <v>2757</v>
      </c>
      <c r="I583" s="3033"/>
      <c r="J583" s="3033"/>
      <c r="K583" s="3033"/>
      <c r="L583" s="3040">
        <v>17500</v>
      </c>
      <c r="M583" s="3031"/>
      <c r="O583" s="3016"/>
      <c r="P583" s="3016"/>
    </row>
    <row r="584" spans="2:16" ht="25.5">
      <c r="B584" s="3030" t="s">
        <v>4006</v>
      </c>
      <c r="C584" s="2859"/>
      <c r="D584" s="2915" t="s">
        <v>4843</v>
      </c>
      <c r="E584" s="2971">
        <v>250</v>
      </c>
      <c r="F584" s="2921" t="s">
        <v>4842</v>
      </c>
      <c r="G584" s="19"/>
      <c r="H584" s="3033" t="s">
        <v>2757</v>
      </c>
      <c r="I584" s="3033"/>
      <c r="J584" s="3033"/>
      <c r="K584" s="3033"/>
      <c r="L584" s="3040">
        <v>25000</v>
      </c>
      <c r="M584" s="3031"/>
      <c r="O584" s="3016"/>
      <c r="P584" s="3016"/>
    </row>
    <row r="585" spans="2:16">
      <c r="B585" s="3030" t="s">
        <v>4006</v>
      </c>
      <c r="C585" s="2859"/>
      <c r="D585" s="2915" t="s">
        <v>4844</v>
      </c>
      <c r="E585" s="2971">
        <v>10</v>
      </c>
      <c r="F585" s="2921" t="s">
        <v>4842</v>
      </c>
      <c r="G585" s="19"/>
      <c r="H585" s="3033" t="s">
        <v>2757</v>
      </c>
      <c r="I585" s="3033"/>
      <c r="J585" s="3033"/>
      <c r="K585" s="3033"/>
      <c r="L585" s="3040">
        <v>4350</v>
      </c>
      <c r="M585" s="3031"/>
      <c r="O585" s="3016"/>
      <c r="P585" s="3016"/>
    </row>
    <row r="586" spans="2:16">
      <c r="B586" s="3030" t="s">
        <v>4006</v>
      </c>
      <c r="C586" s="3031"/>
      <c r="D586" s="2915" t="s">
        <v>4845</v>
      </c>
      <c r="E586" s="2971">
        <v>75</v>
      </c>
      <c r="F586" s="2921" t="s">
        <v>3248</v>
      </c>
      <c r="G586" s="19"/>
      <c r="H586" s="3033" t="s">
        <v>2757</v>
      </c>
      <c r="I586" s="3033"/>
      <c r="J586" s="3033"/>
      <c r="K586" s="3033"/>
      <c r="L586" s="3040">
        <v>20381.25</v>
      </c>
      <c r="M586" s="3031"/>
      <c r="O586" s="3016"/>
      <c r="P586" s="3016"/>
    </row>
    <row r="587" spans="2:16">
      <c r="B587" s="3030" t="s">
        <v>4006</v>
      </c>
      <c r="C587" s="3031"/>
      <c r="D587" s="2915" t="s">
        <v>4849</v>
      </c>
      <c r="E587" s="2971">
        <v>200</v>
      </c>
      <c r="F587" s="2921" t="s">
        <v>4842</v>
      </c>
      <c r="G587" s="19"/>
      <c r="H587" s="3033" t="s">
        <v>2757</v>
      </c>
      <c r="I587" s="3033"/>
      <c r="J587" s="3033"/>
      <c r="K587" s="3033"/>
      <c r="L587" s="3040">
        <v>314000</v>
      </c>
      <c r="M587" s="3031"/>
      <c r="O587" s="3016"/>
      <c r="P587" s="3016"/>
    </row>
    <row r="588" spans="2:16">
      <c r="B588" s="3030" t="s">
        <v>4006</v>
      </c>
      <c r="C588" s="3031"/>
      <c r="D588" s="2915" t="s">
        <v>4850</v>
      </c>
      <c r="E588" s="2971">
        <v>125</v>
      </c>
      <c r="F588" s="2921" t="s">
        <v>4842</v>
      </c>
      <c r="G588" s="19"/>
      <c r="H588" s="3033" t="s">
        <v>2757</v>
      </c>
      <c r="I588" s="3033"/>
      <c r="J588" s="3033"/>
      <c r="K588" s="3033"/>
      <c r="L588" s="3040">
        <v>193750</v>
      </c>
      <c r="M588" s="3031"/>
      <c r="O588" s="3016"/>
      <c r="P588" s="3016"/>
    </row>
    <row r="589" spans="2:16">
      <c r="B589" s="3030" t="s">
        <v>4006</v>
      </c>
      <c r="C589" s="3031"/>
      <c r="D589" s="2915" t="s">
        <v>4854</v>
      </c>
      <c r="E589" s="2971">
        <v>12</v>
      </c>
      <c r="F589" s="2921" t="s">
        <v>3471</v>
      </c>
      <c r="G589" s="19"/>
      <c r="H589" s="3033" t="s">
        <v>2757</v>
      </c>
      <c r="I589" s="3033"/>
      <c r="J589" s="3033"/>
      <c r="K589" s="3033"/>
      <c r="L589" s="3040">
        <v>110861.28</v>
      </c>
      <c r="M589" s="3031"/>
      <c r="O589" s="3016"/>
      <c r="P589" s="3016"/>
    </row>
    <row r="590" spans="2:16">
      <c r="B590" s="3030" t="s">
        <v>4006</v>
      </c>
      <c r="C590" s="3031"/>
      <c r="D590" s="2915" t="s">
        <v>2473</v>
      </c>
      <c r="E590" s="2971">
        <v>400</v>
      </c>
      <c r="F590" s="2921" t="s">
        <v>4842</v>
      </c>
      <c r="G590" s="19"/>
      <c r="H590" s="3033" t="s">
        <v>2757</v>
      </c>
      <c r="I590" s="3033"/>
      <c r="J590" s="3033"/>
      <c r="K590" s="3033"/>
      <c r="L590" s="3040">
        <v>54000</v>
      </c>
      <c r="M590" s="3031"/>
      <c r="O590" s="3016"/>
      <c r="P590" s="3016"/>
    </row>
    <row r="591" spans="2:16" ht="25.5">
      <c r="B591" s="3030" t="s">
        <v>4006</v>
      </c>
      <c r="C591" s="3031"/>
      <c r="D591" s="2915" t="s">
        <v>5017</v>
      </c>
      <c r="E591" s="2971">
        <v>200</v>
      </c>
      <c r="F591" s="2921" t="s">
        <v>4842</v>
      </c>
      <c r="G591" s="19"/>
      <c r="H591" s="3033" t="s">
        <v>2757</v>
      </c>
      <c r="I591" s="3033"/>
      <c r="J591" s="3033"/>
      <c r="K591" s="3033"/>
      <c r="L591" s="3040">
        <v>39660</v>
      </c>
      <c r="M591" s="3031"/>
      <c r="O591" s="3016"/>
      <c r="P591" s="3016"/>
    </row>
    <row r="592" spans="2:16">
      <c r="B592" s="3030" t="s">
        <v>4006</v>
      </c>
      <c r="C592" s="3031"/>
      <c r="D592" s="2915" t="s">
        <v>5018</v>
      </c>
      <c r="E592" s="2971">
        <v>200</v>
      </c>
      <c r="F592" s="2921" t="s">
        <v>4842</v>
      </c>
      <c r="G592" s="19"/>
      <c r="H592" s="3033" t="s">
        <v>2757</v>
      </c>
      <c r="I592" s="3033"/>
      <c r="J592" s="3033"/>
      <c r="K592" s="3033"/>
      <c r="L592" s="3040">
        <v>33960</v>
      </c>
      <c r="M592" s="3031"/>
      <c r="O592" s="3016"/>
      <c r="P592" s="3016"/>
    </row>
    <row r="593" spans="2:16">
      <c r="B593" s="3030" t="s">
        <v>4006</v>
      </c>
      <c r="C593" s="3031"/>
      <c r="D593" s="2915" t="s">
        <v>5019</v>
      </c>
      <c r="E593" s="2971">
        <v>500</v>
      </c>
      <c r="F593" s="2921" t="s">
        <v>4842</v>
      </c>
      <c r="G593" s="19"/>
      <c r="H593" s="3033" t="s">
        <v>2757</v>
      </c>
      <c r="I593" s="3033"/>
      <c r="J593" s="3033"/>
      <c r="K593" s="3033"/>
      <c r="L593" s="3040">
        <v>48975</v>
      </c>
      <c r="M593" s="3031"/>
      <c r="O593" s="3016"/>
      <c r="P593" s="3016"/>
    </row>
    <row r="594" spans="2:16">
      <c r="B594" s="3030" t="s">
        <v>4006</v>
      </c>
      <c r="C594" s="3031"/>
      <c r="D594" s="2915" t="s">
        <v>4855</v>
      </c>
      <c r="E594" s="2971">
        <v>25</v>
      </c>
      <c r="F594" s="2921" t="s">
        <v>4842</v>
      </c>
      <c r="G594" s="19"/>
      <c r="H594" s="3033" t="s">
        <v>2757</v>
      </c>
      <c r="I594" s="3033"/>
      <c r="J594" s="3033"/>
      <c r="K594" s="3033"/>
      <c r="L594" s="3040">
        <v>263.75</v>
      </c>
      <c r="M594" s="3031"/>
      <c r="O594" s="3016"/>
      <c r="P594" s="3016"/>
    </row>
    <row r="595" spans="2:16" ht="25.5">
      <c r="B595" s="3030" t="s">
        <v>4006</v>
      </c>
      <c r="C595" s="3031"/>
      <c r="D595" s="2915" t="s">
        <v>4856</v>
      </c>
      <c r="E595" s="2971">
        <v>125</v>
      </c>
      <c r="F595" s="2921" t="s">
        <v>4842</v>
      </c>
      <c r="G595" s="19"/>
      <c r="H595" s="3033" t="s">
        <v>2757</v>
      </c>
      <c r="I595" s="3033"/>
      <c r="J595" s="3033"/>
      <c r="K595" s="3033"/>
      <c r="L595" s="3040">
        <v>2437.5</v>
      </c>
      <c r="M595" s="3031"/>
      <c r="O595" s="3016"/>
      <c r="P595" s="3016"/>
    </row>
    <row r="596" spans="2:16">
      <c r="B596" s="3030" t="s">
        <v>4006</v>
      </c>
      <c r="C596" s="3031"/>
      <c r="D596" s="2915" t="s">
        <v>4857</v>
      </c>
      <c r="E596" s="2971">
        <v>2200</v>
      </c>
      <c r="F596" s="2921" t="s">
        <v>4014</v>
      </c>
      <c r="G596" s="19"/>
      <c r="H596" s="3033" t="s">
        <v>2757</v>
      </c>
      <c r="I596" s="3033"/>
      <c r="J596" s="3033"/>
      <c r="K596" s="3033"/>
      <c r="L596" s="3040">
        <v>83710</v>
      </c>
      <c r="M596" s="3031"/>
      <c r="O596" s="3016"/>
      <c r="P596" s="3016"/>
    </row>
    <row r="597" spans="2:16" ht="76.5">
      <c r="B597" s="3030" t="s">
        <v>4006</v>
      </c>
      <c r="C597" s="3031"/>
      <c r="D597" s="2915" t="s">
        <v>4869</v>
      </c>
      <c r="E597" s="2971">
        <v>10</v>
      </c>
      <c r="F597" s="2921" t="s">
        <v>4842</v>
      </c>
      <c r="G597" s="19"/>
      <c r="H597" s="3033" t="s">
        <v>2757</v>
      </c>
      <c r="I597" s="3033"/>
      <c r="J597" s="3033"/>
      <c r="K597" s="3033"/>
      <c r="L597" s="3040">
        <v>3280</v>
      </c>
      <c r="M597" s="3031"/>
      <c r="O597" s="3016"/>
      <c r="P597" s="3016"/>
    </row>
    <row r="598" spans="2:16" ht="63.75">
      <c r="B598" s="3030" t="s">
        <v>4006</v>
      </c>
      <c r="C598" s="3031"/>
      <c r="D598" s="2915" t="s">
        <v>4874</v>
      </c>
      <c r="E598" s="2971">
        <v>50</v>
      </c>
      <c r="F598" s="2921" t="s">
        <v>4842</v>
      </c>
      <c r="G598" s="19"/>
      <c r="H598" s="3033" t="s">
        <v>2757</v>
      </c>
      <c r="I598" s="3033"/>
      <c r="J598" s="3033"/>
      <c r="K598" s="3033"/>
      <c r="L598" s="3040">
        <v>16400</v>
      </c>
      <c r="M598" s="3031"/>
      <c r="O598" s="3016"/>
      <c r="P598" s="3016"/>
    </row>
    <row r="599" spans="2:16">
      <c r="B599" s="3030" t="s">
        <v>4006</v>
      </c>
      <c r="C599" s="3031"/>
      <c r="D599" s="2915" t="s">
        <v>4876</v>
      </c>
      <c r="E599" s="2971">
        <v>300</v>
      </c>
      <c r="F599" s="2921" t="s">
        <v>4842</v>
      </c>
      <c r="G599" s="19"/>
      <c r="H599" s="3033" t="s">
        <v>2757</v>
      </c>
      <c r="I599" s="3033"/>
      <c r="J599" s="3033"/>
      <c r="K599" s="3033"/>
      <c r="L599" s="3040">
        <v>42000</v>
      </c>
      <c r="M599" s="3031"/>
      <c r="O599" s="3016"/>
      <c r="P599" s="3016"/>
    </row>
    <row r="600" spans="2:16" ht="25.5">
      <c r="B600" s="3030" t="s">
        <v>4006</v>
      </c>
      <c r="C600" s="3031"/>
      <c r="D600" s="2915" t="s">
        <v>4877</v>
      </c>
      <c r="E600" s="2971">
        <v>700</v>
      </c>
      <c r="F600" s="2921" t="s">
        <v>4842</v>
      </c>
      <c r="G600" s="19"/>
      <c r="H600" s="3033" t="s">
        <v>2757</v>
      </c>
      <c r="I600" s="3033"/>
      <c r="J600" s="3033"/>
      <c r="K600" s="3033"/>
      <c r="L600" s="3040">
        <v>306500</v>
      </c>
      <c r="M600" s="3031"/>
      <c r="O600" s="3016"/>
      <c r="P600" s="3016"/>
    </row>
    <row r="601" spans="2:16" ht="25.5">
      <c r="B601" s="3030" t="s">
        <v>4006</v>
      </c>
      <c r="C601" s="3031"/>
      <c r="D601" s="2915" t="s">
        <v>4878</v>
      </c>
      <c r="E601" s="2971">
        <v>250</v>
      </c>
      <c r="F601" s="2921" t="s">
        <v>4842</v>
      </c>
      <c r="G601" s="19"/>
      <c r="H601" s="3033" t="s">
        <v>2757</v>
      </c>
      <c r="I601" s="3033"/>
      <c r="J601" s="3033"/>
      <c r="K601" s="3033"/>
      <c r="L601" s="3040">
        <v>12230</v>
      </c>
      <c r="M601" s="3031"/>
      <c r="O601" s="3016"/>
      <c r="P601" s="3016"/>
    </row>
    <row r="602" spans="2:16" ht="25.5">
      <c r="B602" s="3030" t="s">
        <v>4006</v>
      </c>
      <c r="C602" s="3031"/>
      <c r="D602" s="2915" t="s">
        <v>4879</v>
      </c>
      <c r="E602" s="2971">
        <v>910</v>
      </c>
      <c r="F602" s="2921" t="s">
        <v>4842</v>
      </c>
      <c r="G602" s="19"/>
      <c r="H602" s="3033" t="s">
        <v>2757</v>
      </c>
      <c r="I602" s="3033"/>
      <c r="J602" s="3033"/>
      <c r="K602" s="3033"/>
      <c r="L602" s="3040">
        <v>44517.2</v>
      </c>
      <c r="M602" s="3031"/>
      <c r="O602" s="3016"/>
      <c r="P602" s="3016"/>
    </row>
    <row r="603" spans="2:16" ht="25.5">
      <c r="B603" s="3030" t="s">
        <v>4006</v>
      </c>
      <c r="C603" s="3031"/>
      <c r="D603" s="2915" t="s">
        <v>4880</v>
      </c>
      <c r="E603" s="2971">
        <v>137</v>
      </c>
      <c r="F603" s="2921" t="s">
        <v>3004</v>
      </c>
      <c r="G603" s="19"/>
      <c r="H603" s="3033" t="s">
        <v>2757</v>
      </c>
      <c r="I603" s="3033"/>
      <c r="J603" s="3033"/>
      <c r="K603" s="3033"/>
      <c r="L603" s="3040">
        <v>364000</v>
      </c>
      <c r="M603" s="3031"/>
      <c r="O603" s="3016"/>
      <c r="P603" s="3016"/>
    </row>
    <row r="604" spans="2:16">
      <c r="B604" s="3030" t="s">
        <v>4006</v>
      </c>
      <c r="C604" s="3031"/>
      <c r="D604" s="2915" t="s">
        <v>5020</v>
      </c>
      <c r="E604" s="2971">
        <v>75</v>
      </c>
      <c r="F604" s="2921" t="s">
        <v>3248</v>
      </c>
      <c r="G604" s="19"/>
      <c r="H604" s="3033" t="s">
        <v>2757</v>
      </c>
      <c r="I604" s="3033"/>
      <c r="J604" s="3033"/>
      <c r="K604" s="3033"/>
      <c r="L604" s="3040">
        <v>12000</v>
      </c>
      <c r="M604" s="3031"/>
      <c r="O604" s="3016"/>
      <c r="P604" s="3016"/>
    </row>
    <row r="605" spans="2:16">
      <c r="B605" s="3030" t="s">
        <v>4006</v>
      </c>
      <c r="C605" s="3031"/>
      <c r="D605" s="2915" t="s">
        <v>4884</v>
      </c>
      <c r="E605" s="2971">
        <v>492</v>
      </c>
      <c r="F605" s="2921" t="s">
        <v>4842</v>
      </c>
      <c r="G605" s="19"/>
      <c r="H605" s="3033" t="s">
        <v>2757</v>
      </c>
      <c r="I605" s="3033"/>
      <c r="J605" s="3033"/>
      <c r="K605" s="3033"/>
      <c r="L605" s="3040">
        <v>116962.5</v>
      </c>
      <c r="M605" s="3031"/>
      <c r="O605" s="3016"/>
      <c r="P605" s="3016"/>
    </row>
    <row r="606" spans="2:16">
      <c r="B606" s="3030" t="s">
        <v>4006</v>
      </c>
      <c r="C606" s="3031"/>
      <c r="D606" s="2915" t="s">
        <v>2496</v>
      </c>
      <c r="E606" s="2971">
        <v>126</v>
      </c>
      <c r="F606" s="2921" t="s">
        <v>4014</v>
      </c>
      <c r="G606" s="19"/>
      <c r="H606" s="3033" t="s">
        <v>2757</v>
      </c>
      <c r="I606" s="3033"/>
      <c r="J606" s="3033"/>
      <c r="K606" s="3033"/>
      <c r="L606" s="3040">
        <v>19275</v>
      </c>
      <c r="M606" s="3031"/>
      <c r="O606" s="3016"/>
      <c r="P606" s="3016"/>
    </row>
    <row r="607" spans="2:16" ht="25.5">
      <c r="B607" s="3030" t="s">
        <v>4006</v>
      </c>
      <c r="C607" s="3031"/>
      <c r="D607" s="2915" t="s">
        <v>4885</v>
      </c>
      <c r="E607" s="2971">
        <v>190</v>
      </c>
      <c r="F607" s="2921" t="s">
        <v>3007</v>
      </c>
      <c r="G607" s="19"/>
      <c r="H607" s="3033" t="s">
        <v>2757</v>
      </c>
      <c r="I607" s="3033"/>
      <c r="J607" s="3033"/>
      <c r="K607" s="3033"/>
      <c r="L607" s="3040">
        <v>183300</v>
      </c>
      <c r="M607" s="3031"/>
      <c r="O607" s="3016"/>
      <c r="P607" s="3016"/>
    </row>
    <row r="608" spans="2:16">
      <c r="B608" s="3030" t="s">
        <v>4006</v>
      </c>
      <c r="C608" s="3031"/>
      <c r="D608" s="2915" t="s">
        <v>5021</v>
      </c>
      <c r="E608" s="2971">
        <v>12</v>
      </c>
      <c r="F608" s="2921"/>
      <c r="G608" s="19"/>
      <c r="H608" s="3033" t="s">
        <v>2757</v>
      </c>
      <c r="I608" s="3033"/>
      <c r="J608" s="3033"/>
      <c r="K608" s="3033"/>
      <c r="L608" s="3040">
        <v>1116</v>
      </c>
      <c r="M608" s="3031"/>
      <c r="O608" s="3016"/>
      <c r="P608" s="3016"/>
    </row>
    <row r="609" spans="2:16" ht="25.5">
      <c r="B609" s="3030" t="s">
        <v>4006</v>
      </c>
      <c r="C609" s="3031"/>
      <c r="D609" s="2917" t="s">
        <v>4895</v>
      </c>
      <c r="E609" s="2971">
        <v>1800</v>
      </c>
      <c r="F609" s="2921" t="s">
        <v>4842</v>
      </c>
      <c r="G609" s="19"/>
      <c r="H609" s="3033" t="s">
        <v>2757</v>
      </c>
      <c r="I609" s="3033"/>
      <c r="J609" s="3033"/>
      <c r="K609" s="3033"/>
      <c r="L609" s="3040">
        <v>157500</v>
      </c>
      <c r="M609" s="3031"/>
      <c r="O609" s="3016"/>
      <c r="P609" s="3016"/>
    </row>
    <row r="610" spans="2:16" ht="51">
      <c r="B610" s="3030" t="s">
        <v>4006</v>
      </c>
      <c r="C610" s="3031"/>
      <c r="D610" s="2915" t="s">
        <v>4897</v>
      </c>
      <c r="E610" s="2971">
        <v>814</v>
      </c>
      <c r="F610" s="2921" t="s">
        <v>4842</v>
      </c>
      <c r="G610" s="19"/>
      <c r="H610" s="3033" t="s">
        <v>2757</v>
      </c>
      <c r="I610" s="3033"/>
      <c r="J610" s="3033"/>
      <c r="K610" s="3033"/>
      <c r="L610" s="3040">
        <v>195480</v>
      </c>
      <c r="M610" s="3031"/>
      <c r="O610" s="3016"/>
      <c r="P610" s="3016"/>
    </row>
    <row r="611" spans="2:16" ht="25.5">
      <c r="B611" s="3030" t="s">
        <v>4006</v>
      </c>
      <c r="C611" s="3031"/>
      <c r="D611" s="2915" t="s">
        <v>4903</v>
      </c>
      <c r="E611" s="2971">
        <v>2551</v>
      </c>
      <c r="F611" s="2921" t="s">
        <v>4842</v>
      </c>
      <c r="G611" s="19"/>
      <c r="H611" s="3033" t="s">
        <v>2757</v>
      </c>
      <c r="I611" s="3033"/>
      <c r="J611" s="3033"/>
      <c r="K611" s="3033"/>
      <c r="L611" s="3040">
        <v>67550</v>
      </c>
      <c r="M611" s="3031"/>
      <c r="O611" s="3016"/>
      <c r="P611" s="3016"/>
    </row>
    <row r="612" spans="2:16">
      <c r="B612" s="3030" t="s">
        <v>4006</v>
      </c>
      <c r="C612" s="3031"/>
      <c r="D612" s="2915" t="s">
        <v>4905</v>
      </c>
      <c r="E612" s="2971">
        <v>60</v>
      </c>
      <c r="F612" s="2921" t="s">
        <v>3007</v>
      </c>
      <c r="G612" s="19"/>
      <c r="H612" s="3033" t="s">
        <v>2757</v>
      </c>
      <c r="I612" s="3033"/>
      <c r="J612" s="3033"/>
      <c r="K612" s="3033"/>
      <c r="L612" s="3040">
        <v>67800</v>
      </c>
      <c r="M612" s="3031"/>
      <c r="O612" s="3016"/>
      <c r="P612" s="3016"/>
    </row>
    <row r="613" spans="2:16" ht="38.25">
      <c r="B613" s="3030" t="s">
        <v>4006</v>
      </c>
      <c r="C613" s="3031"/>
      <c r="D613" s="2915" t="s">
        <v>4911</v>
      </c>
      <c r="E613" s="2971">
        <v>50</v>
      </c>
      <c r="F613" s="2921" t="s">
        <v>4842</v>
      </c>
      <c r="G613" s="19"/>
      <c r="H613" s="3033" t="s">
        <v>2757</v>
      </c>
      <c r="I613" s="3033"/>
      <c r="J613" s="3033"/>
      <c r="K613" s="3033"/>
      <c r="L613" s="3040">
        <v>1775</v>
      </c>
      <c r="M613" s="3031"/>
      <c r="O613" s="3016"/>
      <c r="P613" s="3016"/>
    </row>
    <row r="614" spans="2:16" ht="38.25">
      <c r="B614" s="3030" t="s">
        <v>4006</v>
      </c>
      <c r="C614" s="3031"/>
      <c r="D614" s="2915" t="s">
        <v>4914</v>
      </c>
      <c r="E614" s="2971">
        <v>50</v>
      </c>
      <c r="F614" s="2921" t="s">
        <v>4842</v>
      </c>
      <c r="G614" s="19"/>
      <c r="H614" s="3033" t="s">
        <v>2757</v>
      </c>
      <c r="I614" s="3033"/>
      <c r="J614" s="3033"/>
      <c r="K614" s="3033"/>
      <c r="L614" s="3040">
        <v>1900</v>
      </c>
      <c r="M614" s="3031"/>
      <c r="O614" s="3016"/>
      <c r="P614" s="3016"/>
    </row>
    <row r="615" spans="2:16">
      <c r="B615" s="3030" t="s">
        <v>4006</v>
      </c>
      <c r="C615" s="3031"/>
      <c r="D615" s="2915" t="s">
        <v>4921</v>
      </c>
      <c r="E615" s="2971">
        <v>5</v>
      </c>
      <c r="F615" s="2968" t="s">
        <v>3007</v>
      </c>
      <c r="G615" s="19"/>
      <c r="H615" s="3033" t="s">
        <v>2757</v>
      </c>
      <c r="I615" s="3033"/>
      <c r="J615" s="3033"/>
      <c r="K615" s="3033"/>
      <c r="L615" s="3040">
        <v>4900</v>
      </c>
      <c r="M615" s="3031"/>
      <c r="O615" s="3016"/>
      <c r="P615" s="3016"/>
    </row>
    <row r="616" spans="2:16" ht="25.5">
      <c r="B616" s="3030" t="s">
        <v>4006</v>
      </c>
      <c r="C616" s="3031"/>
      <c r="D616" s="2915" t="s">
        <v>4925</v>
      </c>
      <c r="E616" s="2971">
        <v>200</v>
      </c>
      <c r="F616" s="2921" t="s">
        <v>4842</v>
      </c>
      <c r="G616" s="19"/>
      <c r="H616" s="3033" t="s">
        <v>2757</v>
      </c>
      <c r="I616" s="3033"/>
      <c r="J616" s="3033"/>
      <c r="K616" s="3033"/>
      <c r="L616" s="3040">
        <v>17200</v>
      </c>
      <c r="M616" s="3031"/>
      <c r="O616" s="3016"/>
      <c r="P616" s="3016"/>
    </row>
    <row r="617" spans="2:16" ht="25.5">
      <c r="B617" s="3030" t="s">
        <v>4006</v>
      </c>
      <c r="C617" s="3031"/>
      <c r="D617" s="2915" t="s">
        <v>4926</v>
      </c>
      <c r="E617" s="2971">
        <v>75</v>
      </c>
      <c r="F617" s="2921" t="s">
        <v>4842</v>
      </c>
      <c r="G617" s="19"/>
      <c r="H617" s="3033" t="s">
        <v>2757</v>
      </c>
      <c r="I617" s="3033"/>
      <c r="J617" s="3033"/>
      <c r="K617" s="3033"/>
      <c r="L617" s="3040">
        <v>6750</v>
      </c>
      <c r="M617" s="3031"/>
      <c r="O617" s="3016"/>
      <c r="P617" s="3016"/>
    </row>
    <row r="618" spans="2:16" ht="25.5">
      <c r="B618" s="3030" t="s">
        <v>4006</v>
      </c>
      <c r="C618" s="3031"/>
      <c r="D618" s="2915" t="s">
        <v>4927</v>
      </c>
      <c r="E618" s="2971">
        <v>100</v>
      </c>
      <c r="F618" s="2921" t="s">
        <v>4842</v>
      </c>
      <c r="G618" s="19"/>
      <c r="H618" s="3033" t="s">
        <v>2757</v>
      </c>
      <c r="I618" s="3033"/>
      <c r="J618" s="3033"/>
      <c r="K618" s="3033"/>
      <c r="L618" s="3040">
        <v>9500</v>
      </c>
      <c r="M618" s="3031"/>
      <c r="O618" s="3016"/>
      <c r="P618" s="3016"/>
    </row>
    <row r="619" spans="2:16">
      <c r="B619" s="3030" t="s">
        <v>4006</v>
      </c>
      <c r="C619" s="3031"/>
      <c r="D619" s="2915" t="s">
        <v>4928</v>
      </c>
      <c r="E619" s="2971">
        <v>250</v>
      </c>
      <c r="F619" s="2921" t="s">
        <v>4014</v>
      </c>
      <c r="G619" s="19"/>
      <c r="H619" s="3033" t="s">
        <v>2757</v>
      </c>
      <c r="I619" s="3033"/>
      <c r="J619" s="3033"/>
      <c r="K619" s="3033"/>
      <c r="L619" s="3040">
        <v>78750</v>
      </c>
      <c r="M619" s="3031"/>
      <c r="O619" s="3016"/>
      <c r="P619" s="3016"/>
    </row>
    <row r="620" spans="2:16">
      <c r="B620" s="3030" t="s">
        <v>4006</v>
      </c>
      <c r="C620" s="3031"/>
      <c r="D620" s="2915" t="s">
        <v>4933</v>
      </c>
      <c r="E620" s="2971">
        <v>20</v>
      </c>
      <c r="F620" s="2921" t="s">
        <v>2990</v>
      </c>
      <c r="G620" s="19"/>
      <c r="H620" s="3033" t="s">
        <v>2757</v>
      </c>
      <c r="I620" s="3033"/>
      <c r="J620" s="3033"/>
      <c r="K620" s="3033"/>
      <c r="L620" s="3040">
        <v>4600</v>
      </c>
      <c r="M620" s="3031"/>
      <c r="O620" s="3016"/>
      <c r="P620" s="3016"/>
    </row>
    <row r="621" spans="2:16">
      <c r="B621" s="3030" t="s">
        <v>4006</v>
      </c>
      <c r="C621" s="3031"/>
      <c r="D621" s="2915" t="s">
        <v>4934</v>
      </c>
      <c r="E621" s="2971">
        <v>7</v>
      </c>
      <c r="F621" s="2921" t="s">
        <v>4836</v>
      </c>
      <c r="G621" s="19"/>
      <c r="H621" s="3033" t="s">
        <v>2757</v>
      </c>
      <c r="I621" s="3033"/>
      <c r="J621" s="3033"/>
      <c r="K621" s="3033"/>
      <c r="L621" s="3040">
        <v>8820</v>
      </c>
      <c r="M621" s="3031"/>
      <c r="O621" s="3016"/>
      <c r="P621" s="3016"/>
    </row>
    <row r="622" spans="2:16">
      <c r="B622" s="3030" t="s">
        <v>4006</v>
      </c>
      <c r="C622" s="3031"/>
      <c r="D622" s="2915" t="s">
        <v>5022</v>
      </c>
      <c r="E622" s="2971">
        <v>15</v>
      </c>
      <c r="F622" s="2921" t="s">
        <v>4836</v>
      </c>
      <c r="G622" s="19"/>
      <c r="H622" s="3033" t="s">
        <v>2757</v>
      </c>
      <c r="I622" s="3033"/>
      <c r="J622" s="3033"/>
      <c r="K622" s="3033"/>
      <c r="L622" s="3040">
        <v>26400</v>
      </c>
      <c r="M622" s="3031"/>
      <c r="O622" s="3016"/>
      <c r="P622" s="3016"/>
    </row>
    <row r="623" spans="2:16">
      <c r="B623" s="3030" t="s">
        <v>4006</v>
      </c>
      <c r="C623" s="3031"/>
      <c r="D623" s="2915" t="s">
        <v>4936</v>
      </c>
      <c r="E623" s="2971">
        <v>500</v>
      </c>
      <c r="F623" s="2921" t="s">
        <v>4842</v>
      </c>
      <c r="G623" s="19"/>
      <c r="H623" s="3033" t="s">
        <v>2757</v>
      </c>
      <c r="I623" s="3033"/>
      <c r="J623" s="3033"/>
      <c r="K623" s="3033"/>
      <c r="L623" s="3040">
        <v>73500</v>
      </c>
      <c r="M623" s="3031"/>
      <c r="O623" s="3016"/>
      <c r="P623" s="3016"/>
    </row>
    <row r="624" spans="2:16">
      <c r="B624" s="3030" t="s">
        <v>4006</v>
      </c>
      <c r="C624" s="3031"/>
      <c r="D624" s="2915" t="s">
        <v>4938</v>
      </c>
      <c r="E624" s="2971">
        <v>250</v>
      </c>
      <c r="F624" s="2921" t="s">
        <v>4842</v>
      </c>
      <c r="G624" s="19"/>
      <c r="H624" s="3033" t="s">
        <v>2757</v>
      </c>
      <c r="I624" s="3033"/>
      <c r="J624" s="3033"/>
      <c r="K624" s="3033"/>
      <c r="L624" s="3040">
        <v>23750</v>
      </c>
      <c r="M624" s="3031"/>
      <c r="O624" s="3016"/>
      <c r="P624" s="3016"/>
    </row>
    <row r="625" spans="2:16">
      <c r="B625" s="3030" t="s">
        <v>4006</v>
      </c>
      <c r="C625" s="3031"/>
      <c r="D625" s="2915" t="s">
        <v>4942</v>
      </c>
      <c r="E625" s="2971">
        <v>7</v>
      </c>
      <c r="F625" s="2921" t="s">
        <v>4014</v>
      </c>
      <c r="G625" s="19"/>
      <c r="H625" s="3033" t="s">
        <v>2757</v>
      </c>
      <c r="I625" s="3033"/>
      <c r="J625" s="3033"/>
      <c r="K625" s="3033"/>
      <c r="L625" s="3040">
        <v>37100</v>
      </c>
      <c r="M625" s="3031"/>
      <c r="O625" s="3016"/>
      <c r="P625" s="3016"/>
    </row>
    <row r="626" spans="2:16">
      <c r="B626" s="3030" t="s">
        <v>4006</v>
      </c>
      <c r="C626" s="3031"/>
      <c r="D626" s="2915" t="s">
        <v>4943</v>
      </c>
      <c r="E626" s="2971">
        <v>7</v>
      </c>
      <c r="F626" s="2921" t="s">
        <v>4014</v>
      </c>
      <c r="G626" s="19"/>
      <c r="H626" s="3033" t="s">
        <v>2757</v>
      </c>
      <c r="I626" s="3033"/>
      <c r="J626" s="3033"/>
      <c r="K626" s="3033"/>
      <c r="L626" s="3040">
        <v>79450</v>
      </c>
      <c r="M626" s="3031"/>
      <c r="O626" s="3016"/>
      <c r="P626" s="3016"/>
    </row>
    <row r="627" spans="2:16">
      <c r="B627" s="3030" t="s">
        <v>4006</v>
      </c>
      <c r="C627" s="3031"/>
      <c r="D627" s="2915" t="s">
        <v>4944</v>
      </c>
      <c r="E627" s="2971">
        <v>7</v>
      </c>
      <c r="F627" s="2921" t="s">
        <v>4014</v>
      </c>
      <c r="G627" s="19"/>
      <c r="H627" s="3033" t="s">
        <v>2757</v>
      </c>
      <c r="I627" s="3033"/>
      <c r="J627" s="3033"/>
      <c r="K627" s="3033"/>
      <c r="L627" s="3040">
        <v>29400</v>
      </c>
      <c r="M627" s="3031"/>
      <c r="O627" s="3016"/>
      <c r="P627" s="3016"/>
    </row>
    <row r="628" spans="2:16">
      <c r="B628" s="3030" t="s">
        <v>4006</v>
      </c>
      <c r="C628" s="3031"/>
      <c r="D628" s="2915" t="s">
        <v>4945</v>
      </c>
      <c r="E628" s="2971">
        <v>6</v>
      </c>
      <c r="F628" s="2921" t="s">
        <v>3007</v>
      </c>
      <c r="G628" s="19"/>
      <c r="H628" s="3033" t="s">
        <v>2757</v>
      </c>
      <c r="I628" s="3033"/>
      <c r="J628" s="3033"/>
      <c r="K628" s="3033"/>
      <c r="L628" s="3040">
        <v>38400</v>
      </c>
      <c r="M628" s="3031"/>
      <c r="O628" s="3016"/>
      <c r="P628" s="3016"/>
    </row>
    <row r="629" spans="2:16" ht="38.25">
      <c r="B629" s="3030" t="s">
        <v>4006</v>
      </c>
      <c r="C629" s="3031"/>
      <c r="D629" s="2915" t="s">
        <v>4946</v>
      </c>
      <c r="E629" s="2971">
        <v>7</v>
      </c>
      <c r="F629" s="2921" t="s">
        <v>4014</v>
      </c>
      <c r="G629" s="19"/>
      <c r="H629" s="3033" t="s">
        <v>2757</v>
      </c>
      <c r="I629" s="3033"/>
      <c r="J629" s="3033"/>
      <c r="K629" s="3033"/>
      <c r="L629" s="3040">
        <v>34300</v>
      </c>
      <c r="M629" s="3031"/>
      <c r="O629" s="3016"/>
      <c r="P629" s="3016"/>
    </row>
    <row r="630" spans="2:16">
      <c r="B630" s="3030" t="s">
        <v>4006</v>
      </c>
      <c r="C630" s="3031"/>
      <c r="D630" s="2915" t="s">
        <v>4959</v>
      </c>
      <c r="E630" s="2971">
        <v>2</v>
      </c>
      <c r="F630" s="2921" t="s">
        <v>3004</v>
      </c>
      <c r="G630" s="19"/>
      <c r="H630" s="3033" t="s">
        <v>2757</v>
      </c>
      <c r="I630" s="3033"/>
      <c r="J630" s="3033"/>
      <c r="K630" s="3033"/>
      <c r="L630" s="3040">
        <v>16600</v>
      </c>
      <c r="M630" s="3031"/>
      <c r="O630" s="3016"/>
      <c r="P630" s="3016"/>
    </row>
    <row r="631" spans="2:16">
      <c r="B631" s="3030" t="s">
        <v>4006</v>
      </c>
      <c r="C631" s="3031"/>
      <c r="D631" s="2915" t="s">
        <v>4960</v>
      </c>
      <c r="E631" s="2971">
        <v>2</v>
      </c>
      <c r="F631" s="2921" t="s">
        <v>3004</v>
      </c>
      <c r="G631" s="19"/>
      <c r="H631" s="3033" t="s">
        <v>2757</v>
      </c>
      <c r="I631" s="3033"/>
      <c r="J631" s="3033"/>
      <c r="K631" s="3033"/>
      <c r="L631" s="3040">
        <v>19600</v>
      </c>
      <c r="M631" s="3031"/>
      <c r="O631" s="3016"/>
      <c r="P631" s="3016"/>
    </row>
    <row r="632" spans="2:16">
      <c r="B632" s="3030" t="s">
        <v>4006</v>
      </c>
      <c r="C632" s="3031"/>
      <c r="D632" s="2915" t="s">
        <v>4961</v>
      </c>
      <c r="E632" s="2971">
        <v>2</v>
      </c>
      <c r="F632" s="2921" t="s">
        <v>3004</v>
      </c>
      <c r="G632" s="19"/>
      <c r="H632" s="3033" t="s">
        <v>2757</v>
      </c>
      <c r="I632" s="3033"/>
      <c r="J632" s="3033"/>
      <c r="K632" s="3033"/>
      <c r="L632" s="3040">
        <v>24600</v>
      </c>
      <c r="M632" s="3031"/>
      <c r="O632" s="3016"/>
      <c r="P632" s="3016"/>
    </row>
    <row r="633" spans="2:16">
      <c r="B633" s="3030" t="s">
        <v>4006</v>
      </c>
      <c r="C633" s="3031"/>
      <c r="D633" s="2915" t="s">
        <v>4962</v>
      </c>
      <c r="E633" s="2971">
        <v>2</v>
      </c>
      <c r="F633" s="2921" t="s">
        <v>3004</v>
      </c>
      <c r="G633" s="19"/>
      <c r="H633" s="3033" t="s">
        <v>2757</v>
      </c>
      <c r="I633" s="3033"/>
      <c r="J633" s="3033"/>
      <c r="K633" s="3033"/>
      <c r="L633" s="3040">
        <v>27000</v>
      </c>
      <c r="M633" s="3031"/>
      <c r="O633" s="3016"/>
      <c r="P633" s="3016"/>
    </row>
    <row r="634" spans="2:16">
      <c r="B634" s="3030" t="s">
        <v>4006</v>
      </c>
      <c r="C634" s="3031"/>
      <c r="D634" s="2915" t="s">
        <v>4964</v>
      </c>
      <c r="E634" s="2971">
        <v>2</v>
      </c>
      <c r="F634" s="2921" t="s">
        <v>1747</v>
      </c>
      <c r="G634" s="19"/>
      <c r="H634" s="3033" t="s">
        <v>2757</v>
      </c>
      <c r="I634" s="3033"/>
      <c r="J634" s="3033"/>
      <c r="K634" s="3033"/>
      <c r="L634" s="3040">
        <v>37800</v>
      </c>
      <c r="M634" s="3031"/>
      <c r="O634" s="3016"/>
      <c r="P634" s="3016"/>
    </row>
    <row r="635" spans="2:16" ht="38.25">
      <c r="B635" s="3030" t="s">
        <v>4006</v>
      </c>
      <c r="C635" s="3031"/>
      <c r="D635" s="2915" t="s">
        <v>4971</v>
      </c>
      <c r="E635" s="2971">
        <v>155</v>
      </c>
      <c r="F635" s="2921" t="s">
        <v>4842</v>
      </c>
      <c r="G635" s="19"/>
      <c r="H635" s="3033" t="s">
        <v>2757</v>
      </c>
      <c r="I635" s="3033"/>
      <c r="J635" s="3033"/>
      <c r="K635" s="3033"/>
      <c r="L635" s="3040">
        <v>43175</v>
      </c>
      <c r="M635" s="3031"/>
      <c r="O635" s="3016"/>
      <c r="P635" s="3016"/>
    </row>
    <row r="636" spans="2:16" ht="51">
      <c r="B636" s="3030" t="s">
        <v>4006</v>
      </c>
      <c r="C636" s="3031"/>
      <c r="D636" s="2915" t="s">
        <v>4972</v>
      </c>
      <c r="E636" s="2971">
        <v>75</v>
      </c>
      <c r="F636" s="2921" t="s">
        <v>3007</v>
      </c>
      <c r="G636" s="19"/>
      <c r="H636" s="3033" t="s">
        <v>2757</v>
      </c>
      <c r="I636" s="3033"/>
      <c r="J636" s="3033"/>
      <c r="K636" s="3033"/>
      <c r="L636" s="3040">
        <v>75000</v>
      </c>
      <c r="M636" s="3031"/>
      <c r="O636" s="3016"/>
      <c r="P636" s="3016"/>
    </row>
    <row r="637" spans="2:16" ht="51">
      <c r="B637" s="3030" t="s">
        <v>4006</v>
      </c>
      <c r="C637" s="3031"/>
      <c r="D637" s="2915" t="s">
        <v>4973</v>
      </c>
      <c r="E637" s="2971">
        <v>150</v>
      </c>
      <c r="F637" s="2921" t="s">
        <v>3007</v>
      </c>
      <c r="G637" s="19"/>
      <c r="H637" s="3033" t="s">
        <v>2757</v>
      </c>
      <c r="I637" s="3033"/>
      <c r="J637" s="3033"/>
      <c r="K637" s="3033"/>
      <c r="L637" s="3040">
        <v>150000</v>
      </c>
      <c r="M637" s="3031"/>
      <c r="O637" s="3016"/>
      <c r="P637" s="3016"/>
    </row>
    <row r="638" spans="2:16" ht="51">
      <c r="B638" s="3030" t="s">
        <v>4006</v>
      </c>
      <c r="C638" s="3031"/>
      <c r="D638" s="2915" t="s">
        <v>4974</v>
      </c>
      <c r="E638" s="2971">
        <v>150</v>
      </c>
      <c r="F638" s="2921" t="s">
        <v>3007</v>
      </c>
      <c r="G638" s="19"/>
      <c r="H638" s="3033" t="s">
        <v>2757</v>
      </c>
      <c r="I638" s="3033"/>
      <c r="J638" s="3033"/>
      <c r="K638" s="3033"/>
      <c r="L638" s="3040">
        <v>150000</v>
      </c>
      <c r="M638" s="3031"/>
      <c r="O638" s="3016"/>
      <c r="P638" s="3016"/>
    </row>
    <row r="639" spans="2:16" ht="51">
      <c r="B639" s="3030" t="s">
        <v>4006</v>
      </c>
      <c r="C639" s="3031"/>
      <c r="D639" s="2915" t="s">
        <v>4975</v>
      </c>
      <c r="E639" s="2971">
        <v>135</v>
      </c>
      <c r="F639" s="2921" t="s">
        <v>3007</v>
      </c>
      <c r="G639" s="19"/>
      <c r="H639" s="3033" t="s">
        <v>2757</v>
      </c>
      <c r="I639" s="3033"/>
      <c r="J639" s="3033"/>
      <c r="K639" s="3033"/>
      <c r="L639" s="3040">
        <v>162000</v>
      </c>
      <c r="M639" s="3031"/>
      <c r="O639" s="3016"/>
      <c r="P639" s="3016"/>
    </row>
    <row r="640" spans="2:16" ht="38.25">
      <c r="B640" s="3030" t="s">
        <v>4006</v>
      </c>
      <c r="C640" s="3031"/>
      <c r="D640" s="2915" t="s">
        <v>4977</v>
      </c>
      <c r="E640" s="2971">
        <v>450</v>
      </c>
      <c r="F640" s="2921" t="s">
        <v>3007</v>
      </c>
      <c r="G640" s="19"/>
      <c r="H640" s="3033" t="s">
        <v>2757</v>
      </c>
      <c r="I640" s="3033"/>
      <c r="J640" s="3033"/>
      <c r="K640" s="3033"/>
      <c r="L640" s="3040">
        <v>345250</v>
      </c>
      <c r="M640" s="3031"/>
      <c r="O640" s="3016"/>
      <c r="P640" s="3016"/>
    </row>
    <row r="641" spans="2:16" ht="38.25">
      <c r="B641" s="3030" t="s">
        <v>4006</v>
      </c>
      <c r="C641" s="2873"/>
      <c r="D641" s="2915" t="s">
        <v>4978</v>
      </c>
      <c r="E641" s="2971">
        <v>450</v>
      </c>
      <c r="F641" s="2921" t="s">
        <v>3007</v>
      </c>
      <c r="G641" s="19"/>
      <c r="H641" s="3033" t="s">
        <v>2757</v>
      </c>
      <c r="I641" s="3033"/>
      <c r="J641" s="3033"/>
      <c r="K641" s="3033"/>
      <c r="L641" s="3040">
        <v>299000</v>
      </c>
      <c r="M641" s="3031"/>
      <c r="O641" s="3016"/>
      <c r="P641" s="3016"/>
    </row>
    <row r="642" spans="2:16" ht="38.25">
      <c r="B642" s="3030" t="s">
        <v>4006</v>
      </c>
      <c r="C642" s="2873"/>
      <c r="D642" s="2915" t="s">
        <v>4979</v>
      </c>
      <c r="E642" s="2971">
        <v>250</v>
      </c>
      <c r="F642" s="2921" t="s">
        <v>3007</v>
      </c>
      <c r="G642" s="19"/>
      <c r="H642" s="3033" t="s">
        <v>2757</v>
      </c>
      <c r="I642" s="3033"/>
      <c r="J642" s="3033"/>
      <c r="K642" s="3033"/>
      <c r="L642" s="3040">
        <v>124500</v>
      </c>
      <c r="M642" s="3031"/>
      <c r="O642" s="3016"/>
      <c r="P642" s="3016"/>
    </row>
    <row r="643" spans="2:16" ht="38.25">
      <c r="B643" s="3030" t="s">
        <v>4006</v>
      </c>
      <c r="C643" s="2873"/>
      <c r="D643" s="2915" t="s">
        <v>5023</v>
      </c>
      <c r="E643" s="2971">
        <v>250</v>
      </c>
      <c r="F643" s="2921" t="s">
        <v>1700</v>
      </c>
      <c r="G643" s="19"/>
      <c r="H643" s="3033" t="s">
        <v>2757</v>
      </c>
      <c r="I643" s="3033"/>
      <c r="J643" s="3033"/>
      <c r="K643" s="3033"/>
      <c r="L643" s="3040">
        <v>9500</v>
      </c>
      <c r="M643" s="3031"/>
      <c r="O643" s="3016"/>
      <c r="P643" s="3016"/>
    </row>
    <row r="644" spans="2:16">
      <c r="B644" s="3030" t="s">
        <v>4006</v>
      </c>
      <c r="C644" s="2873"/>
      <c r="D644" s="2915" t="s">
        <v>5024</v>
      </c>
      <c r="E644" s="2971">
        <v>100</v>
      </c>
      <c r="F644" s="2921" t="s">
        <v>4842</v>
      </c>
      <c r="G644" s="19"/>
      <c r="H644" s="3033" t="s">
        <v>2757</v>
      </c>
      <c r="I644" s="3033"/>
      <c r="J644" s="3033"/>
      <c r="K644" s="3033"/>
      <c r="L644" s="3040">
        <v>7400</v>
      </c>
      <c r="M644" s="3031"/>
      <c r="O644" s="3016"/>
      <c r="P644" s="3016"/>
    </row>
    <row r="645" spans="2:16" ht="89.25">
      <c r="B645" s="3030" t="s">
        <v>4006</v>
      </c>
      <c r="C645" s="2873"/>
      <c r="D645" s="2915" t="s">
        <v>5025</v>
      </c>
      <c r="E645" s="2971">
        <v>75</v>
      </c>
      <c r="F645" s="2921" t="s">
        <v>3248</v>
      </c>
      <c r="G645" s="19"/>
      <c r="H645" s="3033" t="s">
        <v>2757</v>
      </c>
      <c r="I645" s="3033"/>
      <c r="J645" s="3033"/>
      <c r="K645" s="3033"/>
      <c r="L645" s="3040">
        <v>82500</v>
      </c>
      <c r="M645" s="3031"/>
      <c r="O645" s="3016"/>
      <c r="P645" s="3016"/>
    </row>
    <row r="646" spans="2:16">
      <c r="B646" s="3030" t="s">
        <v>4006</v>
      </c>
      <c r="C646" s="2873"/>
      <c r="D646" s="2915" t="s">
        <v>4987</v>
      </c>
      <c r="E646" s="2971">
        <v>230</v>
      </c>
      <c r="F646" s="2921" t="s">
        <v>3007</v>
      </c>
      <c r="G646" s="19"/>
      <c r="H646" s="3033" t="s">
        <v>2757</v>
      </c>
      <c r="I646" s="3033"/>
      <c r="J646" s="3033"/>
      <c r="K646" s="3033"/>
      <c r="L646" s="3040">
        <v>104800</v>
      </c>
      <c r="M646" s="3031"/>
      <c r="O646" s="3016"/>
      <c r="P646" s="3016"/>
    </row>
    <row r="647" spans="2:16" ht="25.5">
      <c r="B647" s="3030" t="s">
        <v>4006</v>
      </c>
      <c r="C647" s="2873"/>
      <c r="D647" s="2915" t="s">
        <v>4988</v>
      </c>
      <c r="E647" s="2971">
        <v>330</v>
      </c>
      <c r="F647" s="2921" t="s">
        <v>3007</v>
      </c>
      <c r="G647" s="19"/>
      <c r="H647" s="3033" t="s">
        <v>2757</v>
      </c>
      <c r="I647" s="3033"/>
      <c r="J647" s="3033"/>
      <c r="K647" s="3033"/>
      <c r="L647" s="3040">
        <v>162800</v>
      </c>
      <c r="M647" s="3031"/>
      <c r="O647" s="3016"/>
      <c r="P647" s="3016"/>
    </row>
    <row r="648" spans="2:16" ht="25.5">
      <c r="B648" s="3030" t="s">
        <v>4006</v>
      </c>
      <c r="C648" s="3031"/>
      <c r="D648" s="2915" t="s">
        <v>4989</v>
      </c>
      <c r="E648" s="2971">
        <v>200</v>
      </c>
      <c r="F648" s="2921" t="s">
        <v>3007</v>
      </c>
      <c r="G648" s="19"/>
      <c r="H648" s="3033" t="s">
        <v>2757</v>
      </c>
      <c r="I648" s="3033"/>
      <c r="J648" s="3033"/>
      <c r="K648" s="3033"/>
      <c r="L648" s="3040">
        <v>70000</v>
      </c>
      <c r="M648" s="3031"/>
      <c r="O648" s="3016"/>
      <c r="P648" s="3016"/>
    </row>
    <row r="649" spans="2:16">
      <c r="B649" s="3030" t="s">
        <v>4006</v>
      </c>
      <c r="C649" s="3031"/>
      <c r="D649" s="2915" t="s">
        <v>4992</v>
      </c>
      <c r="E649" s="2971">
        <v>108</v>
      </c>
      <c r="F649" s="2921" t="s">
        <v>4842</v>
      </c>
      <c r="G649" s="19"/>
      <c r="H649" s="3033" t="s">
        <v>2757</v>
      </c>
      <c r="I649" s="3033"/>
      <c r="J649" s="3033"/>
      <c r="K649" s="3033"/>
      <c r="L649" s="3040">
        <v>64206</v>
      </c>
      <c r="M649" s="3031"/>
      <c r="O649" s="3016"/>
      <c r="P649" s="3016"/>
    </row>
    <row r="650" spans="2:16" ht="25.5">
      <c r="B650" s="3030" t="s">
        <v>4006</v>
      </c>
      <c r="C650" s="3031"/>
      <c r="D650" s="2915" t="s">
        <v>4994</v>
      </c>
      <c r="E650" s="2971">
        <v>72</v>
      </c>
      <c r="F650" s="2921" t="s">
        <v>4842</v>
      </c>
      <c r="G650" s="19"/>
      <c r="H650" s="3033" t="s">
        <v>2757</v>
      </c>
      <c r="I650" s="3033"/>
      <c r="J650" s="3033"/>
      <c r="K650" s="3033"/>
      <c r="L650" s="3040">
        <v>32112</v>
      </c>
      <c r="M650" s="3031"/>
      <c r="O650" s="3016"/>
      <c r="P650" s="3016"/>
    </row>
    <row r="651" spans="2:16" ht="25.5">
      <c r="B651" s="3030" t="s">
        <v>4006</v>
      </c>
      <c r="C651" s="3031"/>
      <c r="D651" s="2915" t="s">
        <v>4996</v>
      </c>
      <c r="E651" s="2971">
        <v>12</v>
      </c>
      <c r="F651" s="2921" t="s">
        <v>4842</v>
      </c>
      <c r="G651" s="19"/>
      <c r="H651" s="3033" t="s">
        <v>2757</v>
      </c>
      <c r="I651" s="3033"/>
      <c r="J651" s="3033"/>
      <c r="K651" s="3033"/>
      <c r="L651" s="3040">
        <v>7119</v>
      </c>
      <c r="M651" s="3031"/>
      <c r="O651" s="3016"/>
      <c r="P651" s="3016"/>
    </row>
    <row r="652" spans="2:16" ht="25.5">
      <c r="B652" s="3030" t="s">
        <v>4006</v>
      </c>
      <c r="C652" s="3031"/>
      <c r="D652" s="2915" t="s">
        <v>4997</v>
      </c>
      <c r="E652" s="2971">
        <v>36</v>
      </c>
      <c r="F652" s="2921" t="s">
        <v>4842</v>
      </c>
      <c r="G652" s="19"/>
      <c r="H652" s="3033" t="s">
        <v>2757</v>
      </c>
      <c r="I652" s="3033"/>
      <c r="J652" s="3033"/>
      <c r="K652" s="3033"/>
      <c r="L652" s="3040">
        <v>16893</v>
      </c>
      <c r="M652" s="3031"/>
      <c r="O652" s="3016"/>
      <c r="P652" s="3016"/>
    </row>
    <row r="653" spans="2:16" ht="25.5">
      <c r="B653" s="3030" t="s">
        <v>4006</v>
      </c>
      <c r="C653" s="3031"/>
      <c r="D653" s="2915" t="s">
        <v>4999</v>
      </c>
      <c r="E653" s="2971">
        <v>12</v>
      </c>
      <c r="F653" s="2921" t="s">
        <v>4842</v>
      </c>
      <c r="G653" s="19"/>
      <c r="H653" s="3033" t="s">
        <v>2757</v>
      </c>
      <c r="I653" s="3033"/>
      <c r="J653" s="3033"/>
      <c r="K653" s="3033"/>
      <c r="L653" s="3040">
        <v>15060</v>
      </c>
      <c r="M653" s="3031"/>
      <c r="O653" s="3016"/>
      <c r="P653" s="3016"/>
    </row>
    <row r="654" spans="2:16" ht="38.25">
      <c r="B654" s="3030" t="s">
        <v>4006</v>
      </c>
      <c r="C654" s="3031"/>
      <c r="D654" s="2915" t="s">
        <v>5001</v>
      </c>
      <c r="E654" s="2971">
        <v>88</v>
      </c>
      <c r="F654" s="2921" t="s">
        <v>4842</v>
      </c>
      <c r="G654" s="19"/>
      <c r="H654" s="3033" t="s">
        <v>2757</v>
      </c>
      <c r="I654" s="3033"/>
      <c r="J654" s="3033"/>
      <c r="K654" s="3033"/>
      <c r="L654" s="3040">
        <v>50864</v>
      </c>
      <c r="M654" s="3031"/>
      <c r="O654" s="3016"/>
      <c r="P654" s="3016"/>
    </row>
    <row r="655" spans="2:16">
      <c r="B655" s="3030" t="s">
        <v>4006</v>
      </c>
      <c r="C655" s="3031"/>
      <c r="D655" s="2917" t="s">
        <v>5026</v>
      </c>
      <c r="E655" s="2971">
        <v>10</v>
      </c>
      <c r="F655" s="2968" t="s">
        <v>4842</v>
      </c>
      <c r="G655" s="19"/>
      <c r="H655" s="3033" t="s">
        <v>2757</v>
      </c>
      <c r="I655" s="3033"/>
      <c r="J655" s="3033"/>
      <c r="K655" s="3033"/>
      <c r="L655" s="3040">
        <v>49500</v>
      </c>
      <c r="M655" s="3031"/>
      <c r="O655" s="3016"/>
      <c r="P655" s="3016"/>
    </row>
    <row r="656" spans="2:16" ht="51">
      <c r="B656" s="3030" t="s">
        <v>4006</v>
      </c>
      <c r="C656" s="3031"/>
      <c r="D656" s="2917" t="s">
        <v>5027</v>
      </c>
      <c r="E656" s="2971">
        <v>2</v>
      </c>
      <c r="F656" s="2968" t="s">
        <v>4842</v>
      </c>
      <c r="G656" s="19"/>
      <c r="H656" s="3033" t="s">
        <v>2757</v>
      </c>
      <c r="I656" s="3033"/>
      <c r="J656" s="3033"/>
      <c r="K656" s="3033"/>
      <c r="L656" s="3040">
        <v>48000</v>
      </c>
      <c r="M656" s="3031"/>
      <c r="O656" s="3016"/>
      <c r="P656" s="3016"/>
    </row>
    <row r="657" spans="2:16">
      <c r="B657" s="3030" t="s">
        <v>4006</v>
      </c>
      <c r="C657" s="3031"/>
      <c r="D657" s="2916" t="s">
        <v>5028</v>
      </c>
      <c r="E657" s="2971">
        <v>30</v>
      </c>
      <c r="F657" s="2968" t="s">
        <v>1051</v>
      </c>
      <c r="G657" s="19"/>
      <c r="H657" s="3033" t="s">
        <v>2757</v>
      </c>
      <c r="I657" s="3033"/>
      <c r="J657" s="3033"/>
      <c r="K657" s="3033"/>
      <c r="L657" s="3040">
        <v>251850</v>
      </c>
      <c r="M657" s="3031"/>
      <c r="O657" s="3016"/>
      <c r="P657" s="3016"/>
    </row>
    <row r="658" spans="2:16" ht="63.75">
      <c r="B658" s="3030" t="s">
        <v>4006</v>
      </c>
      <c r="C658" s="3031"/>
      <c r="D658" s="2916" t="s">
        <v>5029</v>
      </c>
      <c r="E658" s="2971">
        <v>500</v>
      </c>
      <c r="F658" s="2968" t="s">
        <v>4842</v>
      </c>
      <c r="G658" s="19"/>
      <c r="H658" s="3033" t="s">
        <v>2757</v>
      </c>
      <c r="I658" s="3033"/>
      <c r="J658" s="3033"/>
      <c r="K658" s="3033"/>
      <c r="L658" s="3040">
        <v>235000</v>
      </c>
      <c r="M658" s="3031"/>
      <c r="O658" s="3016"/>
      <c r="P658" s="3016"/>
    </row>
    <row r="659" spans="2:16" ht="63.75">
      <c r="B659" s="3030" t="s">
        <v>4006</v>
      </c>
      <c r="C659" s="3031"/>
      <c r="D659" s="2916" t="s">
        <v>5030</v>
      </c>
      <c r="E659" s="2971">
        <v>100</v>
      </c>
      <c r="F659" s="2968" t="s">
        <v>4842</v>
      </c>
      <c r="G659" s="19"/>
      <c r="H659" s="3033" t="s">
        <v>2757</v>
      </c>
      <c r="I659" s="3033"/>
      <c r="J659" s="3033"/>
      <c r="K659" s="3033"/>
      <c r="L659" s="3040">
        <v>47000</v>
      </c>
      <c r="M659" s="3031"/>
      <c r="O659" s="3016"/>
      <c r="P659" s="3016"/>
    </row>
    <row r="660" spans="2:16">
      <c r="B660" s="3030" t="s">
        <v>4006</v>
      </c>
      <c r="C660" s="3031"/>
      <c r="D660" s="2916" t="s">
        <v>5031</v>
      </c>
      <c r="E660" s="2971">
        <v>2</v>
      </c>
      <c r="F660" s="2968" t="s">
        <v>4842</v>
      </c>
      <c r="G660" s="19"/>
      <c r="H660" s="3033" t="s">
        <v>2757</v>
      </c>
      <c r="I660" s="3033"/>
      <c r="J660" s="3033"/>
      <c r="K660" s="3033"/>
      <c r="L660" s="3040">
        <v>24000</v>
      </c>
      <c r="M660" s="3031"/>
      <c r="O660" s="3016"/>
      <c r="P660" s="3016"/>
    </row>
    <row r="661" spans="2:16">
      <c r="B661" s="3030" t="s">
        <v>4006</v>
      </c>
      <c r="C661" s="3031"/>
      <c r="D661" s="2916" t="s">
        <v>5032</v>
      </c>
      <c r="E661" s="2971">
        <v>3</v>
      </c>
      <c r="F661" s="2968" t="s">
        <v>4842</v>
      </c>
      <c r="G661" s="19"/>
      <c r="H661" s="3033" t="s">
        <v>2757</v>
      </c>
      <c r="I661" s="3033"/>
      <c r="J661" s="3033"/>
      <c r="K661" s="3033"/>
      <c r="L661" s="3040">
        <v>48000</v>
      </c>
      <c r="M661" s="3031"/>
      <c r="O661" s="3016"/>
      <c r="P661" s="3016"/>
    </row>
    <row r="662" spans="2:16">
      <c r="B662" s="3030" t="s">
        <v>4006</v>
      </c>
      <c r="C662" s="3031"/>
      <c r="D662" s="2916" t="s">
        <v>5033</v>
      </c>
      <c r="E662" s="2971">
        <v>6</v>
      </c>
      <c r="F662" s="2968" t="s">
        <v>4842</v>
      </c>
      <c r="G662" s="19"/>
      <c r="H662" s="3033" t="s">
        <v>2757</v>
      </c>
      <c r="I662" s="3033"/>
      <c r="J662" s="3033"/>
      <c r="K662" s="3033"/>
      <c r="L662" s="3040">
        <v>12000</v>
      </c>
      <c r="M662" s="3031"/>
      <c r="O662" s="3016"/>
      <c r="P662" s="3016"/>
    </row>
    <row r="663" spans="2:16">
      <c r="B663" s="3030" t="s">
        <v>4006</v>
      </c>
      <c r="C663" s="3031"/>
      <c r="D663" s="2916" t="s">
        <v>5034</v>
      </c>
      <c r="E663" s="2971">
        <v>1</v>
      </c>
      <c r="F663" s="2968" t="s">
        <v>4842</v>
      </c>
      <c r="G663" s="19"/>
      <c r="H663" s="3033" t="s">
        <v>2757</v>
      </c>
      <c r="I663" s="3033"/>
      <c r="J663" s="3033"/>
      <c r="K663" s="3033"/>
      <c r="L663" s="3040">
        <v>1900</v>
      </c>
      <c r="M663" s="3031"/>
      <c r="O663" s="3016"/>
      <c r="P663" s="3016"/>
    </row>
    <row r="664" spans="2:16">
      <c r="B664" s="3030" t="s">
        <v>4006</v>
      </c>
      <c r="C664" s="3031"/>
      <c r="D664" s="2916" t="s">
        <v>5035</v>
      </c>
      <c r="E664" s="2971">
        <v>1</v>
      </c>
      <c r="F664" s="2968" t="s">
        <v>4842</v>
      </c>
      <c r="G664" s="19"/>
      <c r="H664" s="3033" t="s">
        <v>2757</v>
      </c>
      <c r="I664" s="3033"/>
      <c r="J664" s="3033"/>
      <c r="K664" s="3033"/>
      <c r="L664" s="3040">
        <v>3600</v>
      </c>
      <c r="M664" s="3031"/>
      <c r="O664" s="3016"/>
      <c r="P664" s="3016"/>
    </row>
    <row r="665" spans="2:16">
      <c r="B665" s="3030" t="s">
        <v>4006</v>
      </c>
      <c r="C665" s="3031"/>
      <c r="D665" s="2916" t="s">
        <v>5036</v>
      </c>
      <c r="E665" s="2971">
        <v>1</v>
      </c>
      <c r="F665" s="2968" t="s">
        <v>4842</v>
      </c>
      <c r="G665" s="19"/>
      <c r="H665" s="3033" t="s">
        <v>2757</v>
      </c>
      <c r="I665" s="3033"/>
      <c r="J665" s="3033"/>
      <c r="K665" s="3033"/>
      <c r="L665" s="3040">
        <v>655</v>
      </c>
      <c r="M665" s="3031"/>
      <c r="O665" s="3016"/>
      <c r="P665" s="3016"/>
    </row>
    <row r="666" spans="2:16">
      <c r="B666" s="3030" t="s">
        <v>4006</v>
      </c>
      <c r="C666" s="3031"/>
      <c r="D666" s="2916" t="s">
        <v>5037</v>
      </c>
      <c r="E666" s="2971">
        <v>20</v>
      </c>
      <c r="F666" s="2968" t="s">
        <v>4842</v>
      </c>
      <c r="G666" s="19"/>
      <c r="H666" s="3033" t="s">
        <v>2757</v>
      </c>
      <c r="I666" s="3033"/>
      <c r="J666" s="3033"/>
      <c r="K666" s="3033"/>
      <c r="L666" s="3040">
        <v>70000</v>
      </c>
      <c r="M666" s="3031"/>
      <c r="O666" s="3016"/>
      <c r="P666" s="3016"/>
    </row>
    <row r="667" spans="2:16">
      <c r="B667" s="3030" t="s">
        <v>4006</v>
      </c>
      <c r="C667" s="3031"/>
      <c r="D667" s="2916" t="s">
        <v>5038</v>
      </c>
      <c r="E667" s="2971">
        <v>5</v>
      </c>
      <c r="F667" s="2968" t="s">
        <v>4842</v>
      </c>
      <c r="G667" s="19"/>
      <c r="H667" s="3033" t="s">
        <v>2757</v>
      </c>
      <c r="I667" s="3033"/>
      <c r="J667" s="3033"/>
      <c r="K667" s="3033"/>
      <c r="L667" s="3040">
        <v>10000</v>
      </c>
      <c r="M667" s="3031"/>
      <c r="O667" s="3016"/>
      <c r="P667" s="3016"/>
    </row>
    <row r="668" spans="2:16">
      <c r="B668" s="3030" t="s">
        <v>4006</v>
      </c>
      <c r="C668" s="3031"/>
      <c r="D668" s="2916" t="s">
        <v>5039</v>
      </c>
      <c r="E668" s="2971">
        <v>5</v>
      </c>
      <c r="F668" s="2968" t="s">
        <v>4842</v>
      </c>
      <c r="G668" s="19"/>
      <c r="H668" s="3033" t="s">
        <v>2757</v>
      </c>
      <c r="I668" s="3033"/>
      <c r="J668" s="3033"/>
      <c r="K668" s="3033"/>
      <c r="L668" s="3040">
        <v>12500</v>
      </c>
      <c r="M668" s="3031"/>
      <c r="O668" s="3016"/>
      <c r="P668" s="3016"/>
    </row>
    <row r="669" spans="2:16" ht="25.5">
      <c r="B669" s="3030" t="s">
        <v>4006</v>
      </c>
      <c r="C669" s="3031"/>
      <c r="D669" s="2915" t="s">
        <v>5040</v>
      </c>
      <c r="E669" s="2971">
        <v>20</v>
      </c>
      <c r="F669" s="2968" t="s">
        <v>1700</v>
      </c>
      <c r="G669" s="19"/>
      <c r="H669" s="3033" t="s">
        <v>2757</v>
      </c>
      <c r="I669" s="3033"/>
      <c r="J669" s="3033"/>
      <c r="K669" s="3033"/>
      <c r="L669" s="3040">
        <v>33000</v>
      </c>
      <c r="M669" s="3031"/>
      <c r="O669" s="3016"/>
      <c r="P669" s="3016"/>
    </row>
    <row r="670" spans="2:16" ht="38.25">
      <c r="B670" s="3030" t="s">
        <v>4006</v>
      </c>
      <c r="C670" s="3031"/>
      <c r="D670" s="2915" t="s">
        <v>5041</v>
      </c>
      <c r="E670" s="2971">
        <v>3</v>
      </c>
      <c r="F670" s="2968" t="s">
        <v>1700</v>
      </c>
      <c r="G670" s="19"/>
      <c r="H670" s="3033" t="s">
        <v>2757</v>
      </c>
      <c r="I670" s="3033"/>
      <c r="J670" s="3033"/>
      <c r="K670" s="3033"/>
      <c r="L670" s="3040">
        <v>4500</v>
      </c>
      <c r="M670" s="3031"/>
      <c r="O670" s="3016"/>
      <c r="P670" s="3016"/>
    </row>
    <row r="671" spans="2:16" ht="25.5">
      <c r="B671" s="3030" t="s">
        <v>4006</v>
      </c>
      <c r="C671" s="3034" t="s">
        <v>5042</v>
      </c>
      <c r="D671" s="3041" t="s">
        <v>4835</v>
      </c>
      <c r="E671" s="2971">
        <v>57</v>
      </c>
      <c r="F671" s="2968" t="s">
        <v>4834</v>
      </c>
      <c r="G671" s="19"/>
      <c r="H671" s="3033" t="s">
        <v>422</v>
      </c>
      <c r="I671" s="3033"/>
      <c r="J671" s="3033"/>
      <c r="K671" s="3033"/>
      <c r="L671" s="3042">
        <v>9054</v>
      </c>
      <c r="M671" s="3031"/>
      <c r="O671" s="3017"/>
      <c r="P671" s="3016"/>
    </row>
    <row r="672" spans="2:16">
      <c r="B672" s="3030" t="s">
        <v>4006</v>
      </c>
      <c r="C672" s="3034"/>
      <c r="D672" s="3039" t="s">
        <v>4837</v>
      </c>
      <c r="E672" s="2971">
        <v>50</v>
      </c>
      <c r="F672" s="2921" t="s">
        <v>4836</v>
      </c>
      <c r="G672" s="19"/>
      <c r="H672" s="3033" t="s">
        <v>2757</v>
      </c>
      <c r="I672" s="3033"/>
      <c r="J672" s="3033"/>
      <c r="K672" s="3033"/>
      <c r="L672" s="3042">
        <v>21850</v>
      </c>
      <c r="M672" s="3031"/>
      <c r="O672" s="3017"/>
      <c r="P672" s="3016"/>
    </row>
    <row r="673" spans="2:16" ht="25.5">
      <c r="B673" s="3030" t="s">
        <v>4006</v>
      </c>
      <c r="C673" s="3034"/>
      <c r="D673" s="2915" t="s">
        <v>4856</v>
      </c>
      <c r="E673" s="2971">
        <v>50</v>
      </c>
      <c r="F673" s="2921" t="s">
        <v>4842</v>
      </c>
      <c r="G673" s="19"/>
      <c r="H673" s="3033" t="s">
        <v>2757</v>
      </c>
      <c r="I673" s="3033"/>
      <c r="J673" s="3033"/>
      <c r="K673" s="3033"/>
      <c r="L673" s="3040">
        <v>1750</v>
      </c>
      <c r="M673" s="3031"/>
      <c r="O673" s="3017"/>
      <c r="P673" s="3016"/>
    </row>
    <row r="674" spans="2:16" ht="25.5">
      <c r="B674" s="3030" t="s">
        <v>4006</v>
      </c>
      <c r="C674" s="3034"/>
      <c r="D674" s="2915" t="s">
        <v>4880</v>
      </c>
      <c r="E674" s="2971">
        <v>68</v>
      </c>
      <c r="F674" s="2921" t="s">
        <v>3004</v>
      </c>
      <c r="G674" s="19"/>
      <c r="H674" s="3033" t="s">
        <v>2757</v>
      </c>
      <c r="I674" s="3033"/>
      <c r="J674" s="3033"/>
      <c r="K674" s="3033"/>
      <c r="L674" s="3040">
        <v>114660</v>
      </c>
      <c r="M674" s="3031"/>
      <c r="O674" s="3017"/>
      <c r="P674" s="3016"/>
    </row>
    <row r="675" spans="2:16">
      <c r="B675" s="3030" t="s">
        <v>4006</v>
      </c>
      <c r="C675" s="3034"/>
      <c r="D675" s="2915" t="s">
        <v>5020</v>
      </c>
      <c r="E675" s="2971">
        <v>100</v>
      </c>
      <c r="F675" s="2921"/>
      <c r="G675" s="19"/>
      <c r="H675" s="3033" t="s">
        <v>2757</v>
      </c>
      <c r="I675" s="3033"/>
      <c r="J675" s="3033"/>
      <c r="K675" s="3033"/>
      <c r="L675" s="3040">
        <v>11500</v>
      </c>
      <c r="M675" s="3031"/>
      <c r="O675" s="3017"/>
      <c r="P675" s="3016"/>
    </row>
    <row r="676" spans="2:16">
      <c r="B676" s="3030" t="s">
        <v>4006</v>
      </c>
      <c r="C676" s="3034"/>
      <c r="D676" s="2915" t="s">
        <v>4884</v>
      </c>
      <c r="E676" s="2971">
        <v>731</v>
      </c>
      <c r="F676" s="2921"/>
      <c r="G676" s="19"/>
      <c r="H676" s="3033" t="s">
        <v>2757</v>
      </c>
      <c r="I676" s="3033"/>
      <c r="J676" s="3033"/>
      <c r="K676" s="3033"/>
      <c r="L676" s="3040">
        <v>61429</v>
      </c>
      <c r="M676" s="3031"/>
      <c r="O676" s="3017"/>
      <c r="P676" s="3016"/>
    </row>
    <row r="677" spans="2:16">
      <c r="B677" s="3030" t="s">
        <v>4006</v>
      </c>
      <c r="C677" s="3034"/>
      <c r="D677" s="2915" t="s">
        <v>2496</v>
      </c>
      <c r="E677" s="2971">
        <v>14</v>
      </c>
      <c r="F677" s="2921" t="s">
        <v>4014</v>
      </c>
      <c r="G677" s="19"/>
      <c r="H677" s="3033" t="s">
        <v>2757</v>
      </c>
      <c r="I677" s="3033"/>
      <c r="J677" s="3033"/>
      <c r="K677" s="3033"/>
      <c r="L677" s="3040">
        <v>997.5</v>
      </c>
      <c r="M677" s="3031"/>
      <c r="O677" s="3017"/>
      <c r="P677" s="3016"/>
    </row>
    <row r="678" spans="2:16" ht="25.5">
      <c r="B678" s="3030" t="s">
        <v>4006</v>
      </c>
      <c r="C678" s="3034"/>
      <c r="D678" s="2915" t="s">
        <v>4885</v>
      </c>
      <c r="E678" s="2971">
        <v>35</v>
      </c>
      <c r="F678" s="2921" t="s">
        <v>1700</v>
      </c>
      <c r="G678" s="19"/>
      <c r="H678" s="3033" t="s">
        <v>2757</v>
      </c>
      <c r="I678" s="3033"/>
      <c r="J678" s="3033"/>
      <c r="K678" s="3033"/>
      <c r="L678" s="3040">
        <v>45029.25</v>
      </c>
      <c r="M678" s="3031"/>
      <c r="O678" s="3017"/>
      <c r="P678" s="3016"/>
    </row>
    <row r="679" spans="2:16" ht="25.5">
      <c r="B679" s="3030" t="s">
        <v>4006</v>
      </c>
      <c r="C679" s="3034"/>
      <c r="D679" s="2917" t="s">
        <v>4895</v>
      </c>
      <c r="E679" s="2971">
        <v>930</v>
      </c>
      <c r="F679" s="2921" t="s">
        <v>4842</v>
      </c>
      <c r="G679" s="19"/>
      <c r="H679" s="3033" t="s">
        <v>2757</v>
      </c>
      <c r="I679" s="3033"/>
      <c r="J679" s="3033"/>
      <c r="K679" s="3033"/>
      <c r="L679" s="3040">
        <v>63635</v>
      </c>
      <c r="M679" s="3031"/>
      <c r="O679" s="3017"/>
      <c r="P679" s="3016"/>
    </row>
    <row r="680" spans="2:16" ht="51">
      <c r="B680" s="3030" t="s">
        <v>4006</v>
      </c>
      <c r="C680" s="3031"/>
      <c r="D680" s="2915" t="s">
        <v>4897</v>
      </c>
      <c r="E680" s="3043">
        <v>1649</v>
      </c>
      <c r="F680" s="2921" t="s">
        <v>4842</v>
      </c>
      <c r="G680" s="19"/>
      <c r="H680" s="3033" t="s">
        <v>2757</v>
      </c>
      <c r="I680" s="3033"/>
      <c r="J680" s="3033"/>
      <c r="K680" s="3033"/>
      <c r="L680" s="3040">
        <v>263840</v>
      </c>
      <c r="M680" s="3031"/>
      <c r="O680" s="3017"/>
      <c r="P680" s="3016"/>
    </row>
    <row r="681" spans="2:16" ht="51">
      <c r="B681" s="3030" t="s">
        <v>4006</v>
      </c>
      <c r="C681" s="3031"/>
      <c r="D681" s="2915" t="s">
        <v>5043</v>
      </c>
      <c r="E681" s="2971">
        <v>100</v>
      </c>
      <c r="F681" s="2921" t="s">
        <v>4842</v>
      </c>
      <c r="G681" s="19"/>
      <c r="H681" s="3033" t="s">
        <v>2757</v>
      </c>
      <c r="I681" s="3033"/>
      <c r="J681" s="3033"/>
      <c r="K681" s="3033"/>
      <c r="L681" s="3040">
        <v>16000</v>
      </c>
      <c r="M681" s="3031"/>
      <c r="O681" s="3017"/>
      <c r="P681" s="3016"/>
    </row>
    <row r="682" spans="2:16" ht="25.5">
      <c r="B682" s="3030" t="s">
        <v>4006</v>
      </c>
      <c r="C682" s="3031"/>
      <c r="D682" s="2915" t="s">
        <v>4903</v>
      </c>
      <c r="E682" s="2971">
        <v>869</v>
      </c>
      <c r="F682" s="2921" t="s">
        <v>4842</v>
      </c>
      <c r="G682" s="19"/>
      <c r="H682" s="3033" t="s">
        <v>2757</v>
      </c>
      <c r="I682" s="3033"/>
      <c r="J682" s="3033"/>
      <c r="K682" s="3033"/>
      <c r="L682" s="3040">
        <v>15404</v>
      </c>
      <c r="M682" s="3031"/>
      <c r="O682" s="3017"/>
      <c r="P682" s="3016"/>
    </row>
    <row r="683" spans="2:16" ht="38.25">
      <c r="B683" s="3030" t="s">
        <v>4006</v>
      </c>
      <c r="C683" s="3031"/>
      <c r="D683" s="2915" t="s">
        <v>4910</v>
      </c>
      <c r="E683" s="2971">
        <v>5</v>
      </c>
      <c r="F683" s="2921" t="s">
        <v>4842</v>
      </c>
      <c r="G683" s="19"/>
      <c r="H683" s="3033" t="s">
        <v>2757</v>
      </c>
      <c r="I683" s="3033"/>
      <c r="J683" s="3033"/>
      <c r="K683" s="3033"/>
      <c r="L683" s="3040">
        <v>212.5</v>
      </c>
      <c r="M683" s="3031"/>
      <c r="O683" s="3017"/>
      <c r="P683" s="3016"/>
    </row>
    <row r="684" spans="2:16" ht="38.25">
      <c r="B684" s="3030" t="s">
        <v>4006</v>
      </c>
      <c r="C684" s="3031"/>
      <c r="D684" s="2915" t="s">
        <v>4915</v>
      </c>
      <c r="E684" s="2971">
        <v>30</v>
      </c>
      <c r="F684" s="2921" t="s">
        <v>4842</v>
      </c>
      <c r="G684" s="19"/>
      <c r="H684" s="3033" t="s">
        <v>2757</v>
      </c>
      <c r="I684" s="3033"/>
      <c r="J684" s="3033"/>
      <c r="K684" s="3033"/>
      <c r="L684" s="3040">
        <v>255</v>
      </c>
      <c r="M684" s="3031"/>
      <c r="O684" s="3017"/>
      <c r="P684" s="3016"/>
    </row>
    <row r="685" spans="2:16">
      <c r="B685" s="3030" t="s">
        <v>4006</v>
      </c>
      <c r="C685" s="3031"/>
      <c r="D685" s="2915" t="s">
        <v>4922</v>
      </c>
      <c r="E685" s="2971">
        <v>7</v>
      </c>
      <c r="F685" s="2921" t="s">
        <v>1700</v>
      </c>
      <c r="G685" s="19"/>
      <c r="H685" s="3033" t="s">
        <v>2757</v>
      </c>
      <c r="I685" s="3033"/>
      <c r="J685" s="3033"/>
      <c r="K685" s="3033"/>
      <c r="L685" s="3040">
        <v>3100</v>
      </c>
      <c r="M685" s="3031"/>
      <c r="O685" s="3017"/>
      <c r="P685" s="3016"/>
    </row>
    <row r="686" spans="2:16" ht="25.5">
      <c r="B686" s="3030" t="s">
        <v>4006</v>
      </c>
      <c r="C686" s="3031"/>
      <c r="D686" s="2915" t="s">
        <v>4925</v>
      </c>
      <c r="E686" s="2971">
        <v>14</v>
      </c>
      <c r="F686" s="2921" t="s">
        <v>4842</v>
      </c>
      <c r="G686" s="19"/>
      <c r="H686" s="3033" t="s">
        <v>2757</v>
      </c>
      <c r="I686" s="3033"/>
      <c r="J686" s="3033"/>
      <c r="K686" s="3033"/>
      <c r="L686" s="3040">
        <v>8250</v>
      </c>
      <c r="M686" s="3031"/>
      <c r="O686" s="3017"/>
      <c r="P686" s="3016"/>
    </row>
    <row r="687" spans="2:16" ht="25.5">
      <c r="B687" s="3030" t="s">
        <v>4006</v>
      </c>
      <c r="C687" s="3031"/>
      <c r="D687" s="2915" t="s">
        <v>4926</v>
      </c>
      <c r="E687" s="2971">
        <v>90</v>
      </c>
      <c r="F687" s="2921" t="s">
        <v>4842</v>
      </c>
      <c r="G687" s="19"/>
      <c r="H687" s="3033" t="s">
        <v>2757</v>
      </c>
      <c r="I687" s="3033"/>
      <c r="J687" s="3033"/>
      <c r="K687" s="3033"/>
      <c r="L687" s="3040">
        <v>4500</v>
      </c>
      <c r="M687" s="3031"/>
      <c r="O687" s="3017"/>
      <c r="P687" s="3016"/>
    </row>
    <row r="688" spans="2:16" ht="25.5">
      <c r="B688" s="3030" t="s">
        <v>4006</v>
      </c>
      <c r="C688" s="3031"/>
      <c r="D688" s="2915" t="s">
        <v>4927</v>
      </c>
      <c r="E688" s="2971">
        <v>90</v>
      </c>
      <c r="F688" s="2921" t="s">
        <v>4842</v>
      </c>
      <c r="G688" s="19"/>
      <c r="H688" s="3033" t="s">
        <v>2757</v>
      </c>
      <c r="I688" s="3033"/>
      <c r="J688" s="3033"/>
      <c r="K688" s="3033"/>
      <c r="L688" s="3040">
        <v>4500</v>
      </c>
      <c r="M688" s="3031"/>
      <c r="O688" s="3017"/>
      <c r="P688" s="3016"/>
    </row>
    <row r="689" spans="2:16">
      <c r="B689" s="3030" t="s">
        <v>4006</v>
      </c>
      <c r="C689" s="3031"/>
      <c r="D689" s="2915" t="s">
        <v>4928</v>
      </c>
      <c r="E689" s="2971">
        <v>68</v>
      </c>
      <c r="F689" s="2921" t="s">
        <v>4014</v>
      </c>
      <c r="G689" s="19"/>
      <c r="H689" s="3033" t="s">
        <v>2757</v>
      </c>
      <c r="I689" s="3033"/>
      <c r="J689" s="3033"/>
      <c r="K689" s="3033"/>
      <c r="L689" s="3040">
        <v>20196</v>
      </c>
      <c r="M689" s="3031"/>
      <c r="O689" s="3017"/>
      <c r="P689" s="3016"/>
    </row>
    <row r="690" spans="2:16">
      <c r="B690" s="3030" t="s">
        <v>4006</v>
      </c>
      <c r="C690" s="3031"/>
      <c r="D690" s="2915" t="s">
        <v>5044</v>
      </c>
      <c r="E690" s="2971">
        <v>155</v>
      </c>
      <c r="F690" s="2921" t="s">
        <v>1057</v>
      </c>
      <c r="G690" s="19"/>
      <c r="H690" s="3033" t="s">
        <v>2757</v>
      </c>
      <c r="I690" s="3033"/>
      <c r="J690" s="3033"/>
      <c r="K690" s="3033"/>
      <c r="L690" s="3040">
        <v>406310</v>
      </c>
      <c r="M690" s="3031"/>
      <c r="O690" s="3017"/>
      <c r="P690" s="3016"/>
    </row>
    <row r="691" spans="2:16">
      <c r="B691" s="3030" t="s">
        <v>4006</v>
      </c>
      <c r="C691" s="3031"/>
      <c r="D691" s="2915" t="s">
        <v>4933</v>
      </c>
      <c r="E691" s="2971">
        <v>10</v>
      </c>
      <c r="F691" s="2921" t="s">
        <v>4842</v>
      </c>
      <c r="G691" s="19"/>
      <c r="H691" s="3033" t="s">
        <v>2757</v>
      </c>
      <c r="I691" s="3033"/>
      <c r="J691" s="3033"/>
      <c r="K691" s="3033"/>
      <c r="L691" s="3040">
        <v>43000</v>
      </c>
      <c r="M691" s="3031"/>
      <c r="O691" s="3017"/>
      <c r="P691" s="3016"/>
    </row>
    <row r="692" spans="2:16">
      <c r="B692" s="3030" t="s">
        <v>4006</v>
      </c>
      <c r="C692" s="3031"/>
      <c r="D692" s="2915" t="s">
        <v>4934</v>
      </c>
      <c r="E692" s="2971">
        <v>6</v>
      </c>
      <c r="F692" s="2921" t="s">
        <v>4836</v>
      </c>
      <c r="G692" s="19"/>
      <c r="H692" s="3033" t="s">
        <v>2757</v>
      </c>
      <c r="I692" s="3033"/>
      <c r="J692" s="3033"/>
      <c r="K692" s="3033"/>
      <c r="L692" s="3040">
        <v>7170</v>
      </c>
      <c r="M692" s="3031"/>
      <c r="O692" s="3017"/>
      <c r="P692" s="3016"/>
    </row>
    <row r="693" spans="2:16">
      <c r="B693" s="3030" t="s">
        <v>4006</v>
      </c>
      <c r="C693" s="3031"/>
      <c r="D693" s="2915" t="s">
        <v>5022</v>
      </c>
      <c r="E693" s="2971">
        <v>6</v>
      </c>
      <c r="F693" s="2921" t="s">
        <v>4836</v>
      </c>
      <c r="G693" s="19"/>
      <c r="H693" s="3033" t="s">
        <v>2757</v>
      </c>
      <c r="I693" s="3033"/>
      <c r="J693" s="3033"/>
      <c r="K693" s="3033"/>
      <c r="L693" s="3040">
        <v>7230</v>
      </c>
      <c r="M693" s="3031"/>
      <c r="O693" s="3017"/>
      <c r="P693" s="3016"/>
    </row>
    <row r="694" spans="2:16">
      <c r="B694" s="3030" t="s">
        <v>4006</v>
      </c>
      <c r="C694" s="3031"/>
      <c r="D694" s="2915" t="s">
        <v>4943</v>
      </c>
      <c r="E694" s="2971">
        <v>2</v>
      </c>
      <c r="F694" s="2921" t="s">
        <v>4014</v>
      </c>
      <c r="G694" s="19"/>
      <c r="H694" s="3033" t="s">
        <v>2757</v>
      </c>
      <c r="I694" s="3033"/>
      <c r="J694" s="3033"/>
      <c r="K694" s="3033"/>
      <c r="L694" s="3040">
        <v>8550</v>
      </c>
      <c r="M694" s="3031"/>
      <c r="O694" s="3017"/>
      <c r="P694" s="3016"/>
    </row>
    <row r="695" spans="2:16">
      <c r="B695" s="3030" t="s">
        <v>4006</v>
      </c>
      <c r="C695" s="3031"/>
      <c r="D695" s="2915" t="s">
        <v>4944</v>
      </c>
      <c r="E695" s="2971">
        <v>2</v>
      </c>
      <c r="F695" s="2921" t="s">
        <v>4014</v>
      </c>
      <c r="G695" s="19"/>
      <c r="H695" s="3033" t="s">
        <v>2757</v>
      </c>
      <c r="I695" s="3033"/>
      <c r="J695" s="3033"/>
      <c r="K695" s="3033"/>
      <c r="L695" s="3040">
        <v>9300</v>
      </c>
      <c r="M695" s="3031"/>
      <c r="O695" s="3017"/>
      <c r="P695" s="3016"/>
    </row>
    <row r="696" spans="2:16">
      <c r="B696" s="3030" t="s">
        <v>4006</v>
      </c>
      <c r="C696" s="3031"/>
      <c r="D696" s="2915" t="s">
        <v>4945</v>
      </c>
      <c r="E696" s="2971">
        <v>2</v>
      </c>
      <c r="F696" s="2921" t="s">
        <v>1700</v>
      </c>
      <c r="G696" s="19"/>
      <c r="H696" s="3033" t="s">
        <v>2757</v>
      </c>
      <c r="I696" s="3033"/>
      <c r="J696" s="3033"/>
      <c r="K696" s="3033"/>
      <c r="L696" s="3040">
        <v>7000</v>
      </c>
      <c r="M696" s="3031"/>
      <c r="O696" s="3017"/>
      <c r="P696" s="3016"/>
    </row>
    <row r="697" spans="2:16" ht="38.25">
      <c r="B697" s="3030" t="s">
        <v>4006</v>
      </c>
      <c r="C697" s="3031"/>
      <c r="D697" s="2915" t="s">
        <v>4946</v>
      </c>
      <c r="E697" s="2971">
        <v>1</v>
      </c>
      <c r="F697" s="2921" t="s">
        <v>4014</v>
      </c>
      <c r="G697" s="19"/>
      <c r="H697" s="3033" t="s">
        <v>2757</v>
      </c>
      <c r="I697" s="3033"/>
      <c r="J697" s="3033"/>
      <c r="K697" s="3033"/>
      <c r="L697" s="3040">
        <v>5550</v>
      </c>
      <c r="M697" s="3031"/>
      <c r="O697" s="3017"/>
      <c r="P697" s="3016"/>
    </row>
    <row r="698" spans="2:16" ht="38.25">
      <c r="B698" s="3030" t="s">
        <v>4006</v>
      </c>
      <c r="C698" s="3031"/>
      <c r="D698" s="2915" t="s">
        <v>5041</v>
      </c>
      <c r="E698" s="2971">
        <v>300</v>
      </c>
      <c r="F698" s="2921" t="s">
        <v>4842</v>
      </c>
      <c r="G698" s="19"/>
      <c r="H698" s="3033" t="s">
        <v>2757</v>
      </c>
      <c r="I698" s="3033"/>
      <c r="J698" s="3033"/>
      <c r="K698" s="3033"/>
      <c r="L698" s="3040">
        <v>3000</v>
      </c>
      <c r="M698" s="3031"/>
      <c r="O698" s="3017"/>
      <c r="P698" s="3016"/>
    </row>
    <row r="699" spans="2:16">
      <c r="B699" s="3030" t="s">
        <v>4006</v>
      </c>
      <c r="C699" s="3031"/>
      <c r="D699" s="2915" t="s">
        <v>4959</v>
      </c>
      <c r="E699" s="2971">
        <v>2</v>
      </c>
      <c r="F699" s="2921" t="s">
        <v>3004</v>
      </c>
      <c r="G699" s="19"/>
      <c r="H699" s="3033" t="s">
        <v>2757</v>
      </c>
      <c r="I699" s="3033"/>
      <c r="J699" s="3033"/>
      <c r="K699" s="3033"/>
      <c r="L699" s="3040">
        <v>16600</v>
      </c>
      <c r="M699" s="3031"/>
      <c r="O699" s="3017"/>
      <c r="P699" s="3016"/>
    </row>
    <row r="700" spans="2:16" ht="25.5">
      <c r="B700" s="3030" t="s">
        <v>4006</v>
      </c>
      <c r="C700" s="3031"/>
      <c r="D700" s="2915" t="s">
        <v>4967</v>
      </c>
      <c r="E700" s="2971">
        <v>90</v>
      </c>
      <c r="F700" s="2921" t="s">
        <v>4842</v>
      </c>
      <c r="G700" s="19"/>
      <c r="H700" s="3033" t="s">
        <v>2757</v>
      </c>
      <c r="I700" s="3033"/>
      <c r="J700" s="3033"/>
      <c r="K700" s="3033"/>
      <c r="L700" s="3040">
        <v>1710</v>
      </c>
      <c r="M700" s="3031"/>
      <c r="O700" s="3017"/>
      <c r="P700" s="3016"/>
    </row>
    <row r="701" spans="2:16" ht="25.5">
      <c r="B701" s="3030" t="s">
        <v>4006</v>
      </c>
      <c r="C701" s="3031"/>
      <c r="D701" s="2915" t="s">
        <v>4968</v>
      </c>
      <c r="E701" s="2971">
        <v>90</v>
      </c>
      <c r="F701" s="2921" t="s">
        <v>4842</v>
      </c>
      <c r="G701" s="19"/>
      <c r="H701" s="3033" t="s">
        <v>2757</v>
      </c>
      <c r="I701" s="3033"/>
      <c r="J701" s="3033"/>
      <c r="K701" s="3033"/>
      <c r="L701" s="3040">
        <v>1710</v>
      </c>
      <c r="M701" s="3031"/>
      <c r="O701" s="3017"/>
      <c r="P701" s="3016"/>
    </row>
    <row r="702" spans="2:16" ht="38.25">
      <c r="B702" s="3030" t="s">
        <v>4006</v>
      </c>
      <c r="C702" s="3031"/>
      <c r="D702" s="2915" t="s">
        <v>4971</v>
      </c>
      <c r="E702" s="2971">
        <v>150</v>
      </c>
      <c r="F702" s="2921" t="s">
        <v>4842</v>
      </c>
      <c r="G702" s="19"/>
      <c r="H702" s="3033" t="s">
        <v>2757</v>
      </c>
      <c r="I702" s="3033"/>
      <c r="J702" s="3033"/>
      <c r="K702" s="3033"/>
      <c r="L702" s="3040">
        <v>40500</v>
      </c>
      <c r="M702" s="3031"/>
      <c r="O702" s="3017"/>
      <c r="P702" s="3016"/>
    </row>
    <row r="703" spans="2:16" ht="38.25">
      <c r="B703" s="3030" t="s">
        <v>4006</v>
      </c>
      <c r="C703" s="3031"/>
      <c r="D703" s="2915" t="s">
        <v>4971</v>
      </c>
      <c r="E703" s="2971">
        <v>119</v>
      </c>
      <c r="F703" s="2921"/>
      <c r="G703" s="19"/>
      <c r="H703" s="3033" t="s">
        <v>2757</v>
      </c>
      <c r="I703" s="3033"/>
      <c r="J703" s="3033"/>
      <c r="K703" s="3033"/>
      <c r="L703" s="3040">
        <v>14280</v>
      </c>
      <c r="M703" s="3031"/>
      <c r="O703" s="3017"/>
      <c r="P703" s="3016"/>
    </row>
    <row r="704" spans="2:16">
      <c r="B704" s="3030" t="s">
        <v>4006</v>
      </c>
      <c r="C704" s="3031"/>
      <c r="D704" s="2915" t="s">
        <v>4987</v>
      </c>
      <c r="E704" s="2971">
        <v>108</v>
      </c>
      <c r="F704" s="2921" t="s">
        <v>1700</v>
      </c>
      <c r="G704" s="19"/>
      <c r="H704" s="3033" t="s">
        <v>2757</v>
      </c>
      <c r="I704" s="3033"/>
      <c r="J704" s="3033"/>
      <c r="K704" s="3033"/>
      <c r="L704" s="3040">
        <v>37800</v>
      </c>
      <c r="M704" s="3031"/>
      <c r="O704" s="3017"/>
      <c r="P704" s="3016"/>
    </row>
    <row r="705" spans="2:16" ht="25.5">
      <c r="B705" s="3030" t="s">
        <v>4006</v>
      </c>
      <c r="C705" s="3031"/>
      <c r="D705" s="2915" t="s">
        <v>4988</v>
      </c>
      <c r="E705" s="2971">
        <v>78</v>
      </c>
      <c r="F705" s="2921" t="s">
        <v>1700</v>
      </c>
      <c r="G705" s="19"/>
      <c r="H705" s="3033" t="s">
        <v>2757</v>
      </c>
      <c r="I705" s="3033"/>
      <c r="J705" s="3033"/>
      <c r="K705" s="3033"/>
      <c r="L705" s="3040">
        <v>27300</v>
      </c>
      <c r="M705" s="3031"/>
      <c r="O705" s="3017"/>
      <c r="P705" s="3016"/>
    </row>
    <row r="706" spans="2:16" ht="25.5">
      <c r="B706" s="3030" t="s">
        <v>4006</v>
      </c>
      <c r="C706" s="3031"/>
      <c r="D706" s="2915" t="s">
        <v>4989</v>
      </c>
      <c r="E706" s="2971">
        <v>30</v>
      </c>
      <c r="F706" s="2921" t="s">
        <v>1700</v>
      </c>
      <c r="G706" s="19"/>
      <c r="H706" s="3033" t="s">
        <v>2757</v>
      </c>
      <c r="I706" s="3033"/>
      <c r="J706" s="3033"/>
      <c r="K706" s="3033"/>
      <c r="L706" s="3040">
        <v>10500</v>
      </c>
      <c r="M706" s="3031"/>
      <c r="O706" s="3017"/>
      <c r="P706" s="3016"/>
    </row>
    <row r="707" spans="2:16">
      <c r="B707" s="3030" t="s">
        <v>4006</v>
      </c>
      <c r="C707" s="3031"/>
      <c r="D707" s="2915" t="s">
        <v>4992</v>
      </c>
      <c r="E707" s="2971">
        <v>1</v>
      </c>
      <c r="F707" s="2921" t="s">
        <v>4842</v>
      </c>
      <c r="G707" s="19"/>
      <c r="H707" s="3033" t="s">
        <v>2757</v>
      </c>
      <c r="I707" s="3033"/>
      <c r="J707" s="3033"/>
      <c r="K707" s="3033"/>
      <c r="L707" s="3040">
        <v>29770</v>
      </c>
      <c r="M707" s="3031"/>
      <c r="O707" s="3017"/>
      <c r="P707" s="3016"/>
    </row>
    <row r="708" spans="2:16" ht="127.5">
      <c r="B708" s="3030" t="s">
        <v>4006</v>
      </c>
      <c r="C708" s="3031"/>
      <c r="D708" s="2917" t="s">
        <v>5045</v>
      </c>
      <c r="E708" s="2973">
        <v>2</v>
      </c>
      <c r="F708" s="2968" t="s">
        <v>4842</v>
      </c>
      <c r="G708" s="19"/>
      <c r="H708" s="3033" t="s">
        <v>2757</v>
      </c>
      <c r="I708" s="3033"/>
      <c r="J708" s="3033"/>
      <c r="K708" s="3033"/>
      <c r="L708" s="3040">
        <v>36000</v>
      </c>
      <c r="M708" s="3031"/>
      <c r="O708" s="3017"/>
      <c r="P708" s="3016"/>
    </row>
    <row r="709" spans="2:16" ht="51">
      <c r="B709" s="3030" t="s">
        <v>4006</v>
      </c>
      <c r="C709" s="3031"/>
      <c r="D709" s="2917" t="s">
        <v>5027</v>
      </c>
      <c r="E709" s="2973">
        <v>2</v>
      </c>
      <c r="F709" s="2968" t="s">
        <v>4842</v>
      </c>
      <c r="G709" s="19"/>
      <c r="H709" s="3033" t="s">
        <v>2757</v>
      </c>
      <c r="I709" s="3033"/>
      <c r="J709" s="3033"/>
      <c r="K709" s="3033"/>
      <c r="L709" s="3040">
        <v>20000</v>
      </c>
      <c r="M709" s="3031"/>
      <c r="O709" s="3017"/>
      <c r="P709" s="3016"/>
    </row>
    <row r="710" spans="2:16" ht="25.5">
      <c r="B710" s="3030" t="s">
        <v>4006</v>
      </c>
      <c r="C710" s="3031"/>
      <c r="D710" s="2916" t="s">
        <v>5046</v>
      </c>
      <c r="E710" s="2973">
        <v>6</v>
      </c>
      <c r="F710" s="2971" t="s">
        <v>4842</v>
      </c>
      <c r="G710" s="19"/>
      <c r="H710" s="3033" t="s">
        <v>2757</v>
      </c>
      <c r="I710" s="3033"/>
      <c r="J710" s="3033"/>
      <c r="K710" s="3033"/>
      <c r="L710" s="3040">
        <v>12000</v>
      </c>
      <c r="M710" s="3031"/>
      <c r="O710" s="3017"/>
      <c r="P710" s="3016"/>
    </row>
    <row r="711" spans="2:16" ht="25.5">
      <c r="B711" s="3030" t="s">
        <v>4006</v>
      </c>
      <c r="C711" s="3031"/>
      <c r="D711" s="2916" t="s">
        <v>5047</v>
      </c>
      <c r="E711" s="2973">
        <v>10</v>
      </c>
      <c r="F711" s="2971" t="s">
        <v>4842</v>
      </c>
      <c r="G711" s="19"/>
      <c r="H711" s="3033" t="s">
        <v>2757</v>
      </c>
      <c r="I711" s="3033"/>
      <c r="J711" s="3033"/>
      <c r="K711" s="3033"/>
      <c r="L711" s="3040">
        <v>13750</v>
      </c>
      <c r="M711" s="3031"/>
      <c r="O711" s="3017"/>
      <c r="P711" s="3016"/>
    </row>
    <row r="712" spans="2:16">
      <c r="B712" s="3030" t="s">
        <v>4006</v>
      </c>
      <c r="C712" s="3031"/>
      <c r="D712" s="2916" t="s">
        <v>5048</v>
      </c>
      <c r="E712" s="2973">
        <v>6</v>
      </c>
      <c r="F712" s="2971" t="s">
        <v>4842</v>
      </c>
      <c r="G712" s="19"/>
      <c r="H712" s="3033" t="s">
        <v>2757</v>
      </c>
      <c r="I712" s="3033"/>
      <c r="J712" s="3033"/>
      <c r="K712" s="3033"/>
      <c r="L712" s="3040">
        <v>2950</v>
      </c>
      <c r="M712" s="3031"/>
      <c r="O712" s="3017"/>
      <c r="P712" s="3016"/>
    </row>
    <row r="713" spans="2:16">
      <c r="B713" s="3030" t="s">
        <v>4006</v>
      </c>
      <c r="C713" s="3031"/>
      <c r="D713" s="2917" t="s">
        <v>5015</v>
      </c>
      <c r="E713" s="2973">
        <v>2</v>
      </c>
      <c r="F713" s="2968" t="s">
        <v>1057</v>
      </c>
      <c r="G713" s="19"/>
      <c r="H713" s="3033" t="s">
        <v>2757</v>
      </c>
      <c r="I713" s="3033"/>
      <c r="J713" s="3033"/>
      <c r="K713" s="3033"/>
      <c r="L713" s="3040">
        <v>115000</v>
      </c>
      <c r="M713" s="3031"/>
      <c r="O713" s="3017"/>
      <c r="P713" s="3016"/>
    </row>
    <row r="714" spans="2:16">
      <c r="B714" s="3030" t="s">
        <v>4006</v>
      </c>
      <c r="C714" s="3031"/>
      <c r="D714" s="3044" t="s">
        <v>5049</v>
      </c>
      <c r="E714" s="3044"/>
      <c r="F714" s="3044"/>
      <c r="G714" s="19"/>
      <c r="H714" s="3033" t="s">
        <v>2757</v>
      </c>
      <c r="I714" s="3033"/>
      <c r="J714" s="3033"/>
      <c r="K714" s="3033"/>
      <c r="L714" s="3040"/>
      <c r="M714" s="3031"/>
      <c r="O714" s="3017"/>
      <c r="P714" s="3016"/>
    </row>
    <row r="715" spans="2:16" ht="25.5">
      <c r="B715" s="3030" t="s">
        <v>4006</v>
      </c>
      <c r="C715" s="3031"/>
      <c r="D715" s="2917" t="s">
        <v>5050</v>
      </c>
      <c r="E715" s="3045">
        <v>100</v>
      </c>
      <c r="F715" s="2968" t="s">
        <v>4149</v>
      </c>
      <c r="G715" s="19"/>
      <c r="H715" s="3033" t="s">
        <v>2757</v>
      </c>
      <c r="I715" s="3033"/>
      <c r="J715" s="3033"/>
      <c r="K715" s="3033"/>
      <c r="L715" s="3042">
        <v>32000</v>
      </c>
      <c r="M715" s="3031"/>
      <c r="O715" s="3017"/>
      <c r="P715" s="3016"/>
    </row>
    <row r="716" spans="2:16">
      <c r="B716" s="3030" t="s">
        <v>4006</v>
      </c>
      <c r="C716" s="3031"/>
      <c r="D716" s="2917" t="s">
        <v>5051</v>
      </c>
      <c r="E716" s="3045">
        <v>5</v>
      </c>
      <c r="F716" s="2968" t="s">
        <v>2990</v>
      </c>
      <c r="G716" s="19"/>
      <c r="H716" s="3033" t="s">
        <v>2757</v>
      </c>
      <c r="I716" s="3033"/>
      <c r="J716" s="3033"/>
      <c r="K716" s="3033"/>
      <c r="L716" s="3046">
        <v>7500</v>
      </c>
      <c r="M716" s="3031"/>
      <c r="O716" s="3017"/>
      <c r="P716" s="3016"/>
    </row>
    <row r="717" spans="2:16" ht="25.5">
      <c r="B717" s="3030" t="s">
        <v>4006</v>
      </c>
      <c r="C717" s="3031"/>
      <c r="D717" s="2917" t="s">
        <v>5052</v>
      </c>
      <c r="E717" s="2973">
        <v>100</v>
      </c>
      <c r="F717" s="2968" t="s">
        <v>3007</v>
      </c>
      <c r="G717" s="19"/>
      <c r="H717" s="3033" t="s">
        <v>2757</v>
      </c>
      <c r="I717" s="3033"/>
      <c r="J717" s="3033"/>
      <c r="K717" s="3033"/>
      <c r="L717" s="3046">
        <v>35000</v>
      </c>
      <c r="M717" s="3031"/>
      <c r="O717" s="3017"/>
      <c r="P717" s="3016"/>
    </row>
    <row r="718" spans="2:16" ht="25.5">
      <c r="B718" s="3030" t="s">
        <v>4006</v>
      </c>
      <c r="C718" s="3031"/>
      <c r="D718" s="2917" t="s">
        <v>5053</v>
      </c>
      <c r="E718" s="3047">
        <v>15</v>
      </c>
      <c r="F718" s="2968" t="s">
        <v>2990</v>
      </c>
      <c r="G718" s="19"/>
      <c r="H718" s="3033" t="s">
        <v>2757</v>
      </c>
      <c r="I718" s="3033"/>
      <c r="J718" s="3033"/>
      <c r="K718" s="3033"/>
      <c r="L718" s="3048">
        <v>5475</v>
      </c>
      <c r="M718" s="3031"/>
      <c r="O718" s="3017"/>
      <c r="P718" s="3016"/>
    </row>
    <row r="719" spans="2:16" ht="25.5">
      <c r="B719" s="3030" t="s">
        <v>4006</v>
      </c>
      <c r="C719" s="3031"/>
      <c r="D719" s="2917" t="s">
        <v>5054</v>
      </c>
      <c r="E719" s="3047">
        <v>15</v>
      </c>
      <c r="F719" s="2968" t="s">
        <v>2990</v>
      </c>
      <c r="G719" s="19"/>
      <c r="H719" s="3033" t="s">
        <v>2757</v>
      </c>
      <c r="I719" s="3033"/>
      <c r="J719" s="3033"/>
      <c r="K719" s="3033"/>
      <c r="L719" s="3048">
        <v>5475</v>
      </c>
      <c r="M719" s="3031"/>
      <c r="O719" s="3017"/>
      <c r="P719" s="3016"/>
    </row>
    <row r="720" spans="2:16" ht="25.5">
      <c r="B720" s="3030" t="s">
        <v>4006</v>
      </c>
      <c r="C720" s="3031"/>
      <c r="D720" s="2917" t="s">
        <v>5055</v>
      </c>
      <c r="E720" s="3047">
        <v>15</v>
      </c>
      <c r="F720" s="2968" t="s">
        <v>2990</v>
      </c>
      <c r="G720" s="19"/>
      <c r="H720" s="3033" t="s">
        <v>2757</v>
      </c>
      <c r="I720" s="3033"/>
      <c r="J720" s="3033"/>
      <c r="K720" s="3033"/>
      <c r="L720" s="3048">
        <v>5475</v>
      </c>
      <c r="M720" s="3031"/>
      <c r="O720" s="3017"/>
      <c r="P720" s="3016"/>
    </row>
    <row r="721" spans="2:16">
      <c r="B721" s="3030" t="s">
        <v>4006</v>
      </c>
      <c r="C721" s="3031"/>
      <c r="D721" s="2916" t="s">
        <v>5056</v>
      </c>
      <c r="E721" s="2973">
        <v>1</v>
      </c>
      <c r="F721" s="2968" t="s">
        <v>1700</v>
      </c>
      <c r="G721" s="19"/>
      <c r="H721" s="3033" t="s">
        <v>2757</v>
      </c>
      <c r="I721" s="3033"/>
      <c r="J721" s="3033"/>
      <c r="K721" s="3033"/>
      <c r="L721" s="3040">
        <v>2500</v>
      </c>
      <c r="M721" s="3031"/>
      <c r="O721" s="3017"/>
      <c r="P721" s="3016"/>
    </row>
    <row r="722" spans="2:16" ht="25.5">
      <c r="B722" s="3030" t="s">
        <v>4006</v>
      </c>
      <c r="C722" s="3031"/>
      <c r="D722" s="2917" t="s">
        <v>5057</v>
      </c>
      <c r="E722" s="2973">
        <v>10</v>
      </c>
      <c r="F722" s="2968" t="s">
        <v>4842</v>
      </c>
      <c r="G722" s="19"/>
      <c r="H722" s="3033" t="s">
        <v>2757</v>
      </c>
      <c r="I722" s="3033"/>
      <c r="J722" s="3033"/>
      <c r="K722" s="3033"/>
      <c r="L722" s="3040">
        <v>3650</v>
      </c>
      <c r="M722" s="3031"/>
      <c r="O722" s="3017"/>
      <c r="P722" s="3016"/>
    </row>
    <row r="723" spans="2:16" ht="25.5">
      <c r="B723" s="3030" t="s">
        <v>4006</v>
      </c>
      <c r="C723" s="3031"/>
      <c r="D723" s="2917" t="s">
        <v>5058</v>
      </c>
      <c r="E723" s="2973">
        <v>10</v>
      </c>
      <c r="F723" s="2968" t="s">
        <v>4842</v>
      </c>
      <c r="G723" s="19"/>
      <c r="H723" s="3033" t="s">
        <v>2757</v>
      </c>
      <c r="I723" s="3033"/>
      <c r="J723" s="3033"/>
      <c r="K723" s="3033"/>
      <c r="L723" s="3040">
        <v>3650</v>
      </c>
      <c r="M723" s="3031"/>
      <c r="O723" s="3017"/>
      <c r="P723" s="3016"/>
    </row>
    <row r="724" spans="2:16" ht="25.5">
      <c r="B724" s="3030" t="s">
        <v>4006</v>
      </c>
      <c r="C724" s="3031"/>
      <c r="D724" s="2917" t="s">
        <v>5059</v>
      </c>
      <c r="E724" s="2973">
        <v>10</v>
      </c>
      <c r="F724" s="2968" t="s">
        <v>4842</v>
      </c>
      <c r="G724" s="19"/>
      <c r="H724" s="3033" t="s">
        <v>2757</v>
      </c>
      <c r="I724" s="3033"/>
      <c r="J724" s="3033"/>
      <c r="K724" s="3033"/>
      <c r="L724" s="3040">
        <v>3650</v>
      </c>
      <c r="M724" s="3031"/>
      <c r="O724" s="3017"/>
      <c r="P724" s="3016"/>
    </row>
    <row r="725" spans="2:16">
      <c r="B725" s="3030" t="s">
        <v>4006</v>
      </c>
      <c r="C725" s="3031"/>
      <c r="D725" s="2916" t="s">
        <v>5060</v>
      </c>
      <c r="E725" s="2973">
        <v>200</v>
      </c>
      <c r="F725" s="2968" t="s">
        <v>2014</v>
      </c>
      <c r="G725" s="19"/>
      <c r="H725" s="3033" t="s">
        <v>2757</v>
      </c>
      <c r="I725" s="3033"/>
      <c r="J725" s="3033"/>
      <c r="K725" s="3033"/>
      <c r="L725" s="3040">
        <v>1100</v>
      </c>
      <c r="M725" s="3031"/>
      <c r="O725" s="3017"/>
      <c r="P725" s="3016"/>
    </row>
    <row r="726" spans="2:16">
      <c r="B726" s="3030" t="s">
        <v>4006</v>
      </c>
      <c r="C726" s="3031"/>
      <c r="D726" s="3049" t="s">
        <v>5061</v>
      </c>
      <c r="E726" s="2971"/>
      <c r="F726" s="2971"/>
      <c r="G726" s="19"/>
      <c r="H726" s="3033" t="s">
        <v>2757</v>
      </c>
      <c r="I726" s="3033"/>
      <c r="J726" s="3033"/>
      <c r="K726" s="3033"/>
      <c r="L726" s="3040"/>
      <c r="M726" s="3031"/>
      <c r="O726" s="3017"/>
      <c r="P726" s="3016"/>
    </row>
    <row r="727" spans="2:16" ht="25.5">
      <c r="B727" s="3030" t="s">
        <v>4006</v>
      </c>
      <c r="C727" s="2859" t="s">
        <v>5062</v>
      </c>
      <c r="D727" s="2916" t="s">
        <v>5063</v>
      </c>
      <c r="E727" s="2971">
        <v>61</v>
      </c>
      <c r="F727" s="2971" t="s">
        <v>4516</v>
      </c>
      <c r="G727" s="19"/>
      <c r="H727" s="3050" t="s">
        <v>116</v>
      </c>
      <c r="I727" s="3033"/>
      <c r="J727" s="3033"/>
      <c r="K727" s="3033"/>
      <c r="L727" s="3040">
        <v>90280</v>
      </c>
      <c r="M727" s="3031"/>
      <c r="O727" s="3017"/>
      <c r="P727" s="3016"/>
    </row>
    <row r="728" spans="2:16" ht="27">
      <c r="B728" s="3030" t="s">
        <v>4006</v>
      </c>
      <c r="C728" s="2859"/>
      <c r="D728" s="2916" t="s">
        <v>5064</v>
      </c>
      <c r="E728" s="2971">
        <v>96</v>
      </c>
      <c r="F728" s="2971" t="s">
        <v>4516</v>
      </c>
      <c r="G728" s="19"/>
      <c r="H728" s="3033" t="s">
        <v>2757</v>
      </c>
      <c r="I728" s="3033"/>
      <c r="J728" s="3033"/>
      <c r="K728" s="3033"/>
      <c r="L728" s="3040">
        <v>122880</v>
      </c>
      <c r="M728" s="3031"/>
      <c r="O728" s="3017"/>
      <c r="P728" s="3016"/>
    </row>
    <row r="729" spans="2:16">
      <c r="B729" s="3030" t="s">
        <v>4006</v>
      </c>
      <c r="C729" s="2859"/>
      <c r="D729" s="2916" t="s">
        <v>5065</v>
      </c>
      <c r="E729" s="2971">
        <v>70</v>
      </c>
      <c r="F729" s="2971" t="s">
        <v>4516</v>
      </c>
      <c r="G729" s="19"/>
      <c r="H729" s="3033" t="s">
        <v>2757</v>
      </c>
      <c r="I729" s="3033"/>
      <c r="J729" s="3033"/>
      <c r="K729" s="3033"/>
      <c r="L729" s="3040">
        <v>106400</v>
      </c>
      <c r="M729" s="3031"/>
      <c r="O729" s="3017"/>
      <c r="P729" s="3016"/>
    </row>
    <row r="730" spans="2:16">
      <c r="B730" s="3030" t="s">
        <v>4006</v>
      </c>
      <c r="C730" s="2859"/>
      <c r="D730" s="2916" t="s">
        <v>5066</v>
      </c>
      <c r="E730" s="3036">
        <v>60</v>
      </c>
      <c r="F730" s="3036" t="s">
        <v>1700</v>
      </c>
      <c r="G730" s="19"/>
      <c r="H730" s="3034" t="s">
        <v>2757</v>
      </c>
      <c r="I730" s="3034"/>
      <c r="J730" s="3034"/>
      <c r="K730" s="3034"/>
      <c r="L730" s="3038">
        <v>113700</v>
      </c>
      <c r="M730" s="3051"/>
      <c r="O730" s="3021"/>
      <c r="P730" s="3021"/>
    </row>
    <row r="731" spans="2:16" ht="51">
      <c r="B731" s="3030" t="s">
        <v>4006</v>
      </c>
      <c r="C731" s="2859"/>
      <c r="D731" s="2916" t="s">
        <v>5067</v>
      </c>
      <c r="E731" s="3036"/>
      <c r="F731" s="3036"/>
      <c r="G731" s="19"/>
      <c r="H731" s="3034"/>
      <c r="I731" s="3034"/>
      <c r="J731" s="3034"/>
      <c r="K731" s="3034"/>
      <c r="L731" s="3038"/>
      <c r="M731" s="3051"/>
      <c r="O731" s="3021"/>
      <c r="P731" s="3021"/>
    </row>
    <row r="732" spans="2:16" ht="25.5">
      <c r="B732" s="3030" t="s">
        <v>4006</v>
      </c>
      <c r="C732" s="2873"/>
      <c r="D732" s="2916" t="s">
        <v>5068</v>
      </c>
      <c r="E732" s="2971">
        <v>20</v>
      </c>
      <c r="F732" s="2971" t="s">
        <v>1841</v>
      </c>
      <c r="G732" s="19"/>
      <c r="H732" s="3033" t="s">
        <v>2757</v>
      </c>
      <c r="I732" s="3033"/>
      <c r="J732" s="3033"/>
      <c r="K732" s="3033"/>
      <c r="L732" s="3040">
        <v>22000</v>
      </c>
      <c r="M732" s="3031"/>
      <c r="O732" s="3017"/>
      <c r="P732" s="3016"/>
    </row>
    <row r="733" spans="2:16">
      <c r="B733" s="3030" t="s">
        <v>4006</v>
      </c>
      <c r="C733" s="2873"/>
      <c r="D733" s="2916" t="s">
        <v>5069</v>
      </c>
      <c r="E733" s="2971">
        <v>3</v>
      </c>
      <c r="F733" s="2971" t="s">
        <v>1057</v>
      </c>
      <c r="G733" s="19"/>
      <c r="H733" s="3033" t="s">
        <v>2757</v>
      </c>
      <c r="I733" s="3033"/>
      <c r="J733" s="3033"/>
      <c r="K733" s="3033"/>
      <c r="L733" s="3040">
        <v>22500</v>
      </c>
      <c r="M733" s="3031"/>
      <c r="O733" s="3017"/>
      <c r="P733" s="3016"/>
    </row>
    <row r="734" spans="2:16">
      <c r="B734" s="3030" t="s">
        <v>4006</v>
      </c>
      <c r="C734" s="2873"/>
      <c r="D734" s="2916" t="s">
        <v>5070</v>
      </c>
      <c r="E734" s="2971">
        <v>2</v>
      </c>
      <c r="F734" s="2971" t="s">
        <v>1057</v>
      </c>
      <c r="G734" s="19"/>
      <c r="H734" s="3033" t="s">
        <v>2757</v>
      </c>
      <c r="I734" s="3033"/>
      <c r="J734" s="3033"/>
      <c r="K734" s="3033"/>
      <c r="L734" s="3040">
        <v>9000</v>
      </c>
      <c r="M734" s="3031"/>
      <c r="O734" s="3017"/>
      <c r="P734" s="3016"/>
    </row>
    <row r="735" spans="2:16">
      <c r="B735" s="3030" t="s">
        <v>4006</v>
      </c>
      <c r="C735" s="3031"/>
      <c r="D735" s="2916" t="s">
        <v>5071</v>
      </c>
      <c r="E735" s="2971">
        <v>1</v>
      </c>
      <c r="F735" s="2971" t="s">
        <v>1057</v>
      </c>
      <c r="G735" s="19"/>
      <c r="H735" s="3033" t="s">
        <v>2757</v>
      </c>
      <c r="I735" s="3033"/>
      <c r="J735" s="3033"/>
      <c r="K735" s="3033"/>
      <c r="L735" s="3040">
        <v>5650</v>
      </c>
      <c r="M735" s="3031"/>
      <c r="O735" s="3017"/>
      <c r="P735" s="3016"/>
    </row>
    <row r="736" spans="2:16">
      <c r="B736" s="3030" t="s">
        <v>4006</v>
      </c>
      <c r="C736" s="3031"/>
      <c r="D736" s="2916" t="s">
        <v>5072</v>
      </c>
      <c r="E736" s="2971">
        <v>10</v>
      </c>
      <c r="F736" s="2971" t="s">
        <v>1057</v>
      </c>
      <c r="G736" s="19"/>
      <c r="H736" s="3033" t="s">
        <v>2757</v>
      </c>
      <c r="I736" s="3033"/>
      <c r="J736" s="3033"/>
      <c r="K736" s="3033"/>
      <c r="L736" s="3040">
        <v>23500</v>
      </c>
      <c r="M736" s="3031"/>
      <c r="O736" s="3017"/>
      <c r="P736" s="3016"/>
    </row>
    <row r="737" spans="2:16">
      <c r="B737" s="3030" t="s">
        <v>4006</v>
      </c>
      <c r="C737" s="3031"/>
      <c r="D737" s="2916" t="s">
        <v>5073</v>
      </c>
      <c r="E737" s="2971">
        <v>10</v>
      </c>
      <c r="F737" s="2971" t="s">
        <v>2244</v>
      </c>
      <c r="G737" s="19"/>
      <c r="H737" s="3033" t="s">
        <v>2757</v>
      </c>
      <c r="I737" s="3033"/>
      <c r="J737" s="3033"/>
      <c r="K737" s="3033"/>
      <c r="L737" s="3040">
        <v>13500</v>
      </c>
      <c r="M737" s="3031"/>
      <c r="O737" s="3017"/>
      <c r="P737" s="3016"/>
    </row>
    <row r="738" spans="2:16">
      <c r="B738" s="3030" t="s">
        <v>4006</v>
      </c>
      <c r="C738" s="3031"/>
      <c r="D738" s="2916" t="s">
        <v>5074</v>
      </c>
      <c r="E738" s="2971">
        <v>3</v>
      </c>
      <c r="F738" s="2971" t="s">
        <v>2244</v>
      </c>
      <c r="G738" s="19"/>
      <c r="H738" s="3033" t="s">
        <v>2757</v>
      </c>
      <c r="I738" s="3033"/>
      <c r="J738" s="3033"/>
      <c r="K738" s="3033"/>
      <c r="L738" s="3040">
        <v>5250</v>
      </c>
      <c r="M738" s="3031"/>
      <c r="O738" s="3017"/>
      <c r="P738" s="3016"/>
    </row>
    <row r="739" spans="2:16">
      <c r="B739" s="3030" t="s">
        <v>4006</v>
      </c>
      <c r="C739" s="3031"/>
      <c r="D739" s="2916" t="s">
        <v>5075</v>
      </c>
      <c r="E739" s="2971">
        <v>50</v>
      </c>
      <c r="F739" s="2971" t="s">
        <v>1793</v>
      </c>
      <c r="G739" s="19"/>
      <c r="H739" s="3033" t="s">
        <v>2757</v>
      </c>
      <c r="I739" s="3033"/>
      <c r="J739" s="3033"/>
      <c r="K739" s="3033"/>
      <c r="L739" s="3040">
        <v>18750</v>
      </c>
      <c r="M739" s="3031"/>
      <c r="O739" s="3017"/>
      <c r="P739" s="3016"/>
    </row>
    <row r="740" spans="2:16">
      <c r="B740" s="3030" t="s">
        <v>4006</v>
      </c>
      <c r="C740" s="3031"/>
      <c r="D740" s="2916" t="s">
        <v>5076</v>
      </c>
      <c r="E740" s="2971">
        <v>2150</v>
      </c>
      <c r="F740" s="2971" t="s">
        <v>2876</v>
      </c>
      <c r="G740" s="19"/>
      <c r="H740" s="3033" t="s">
        <v>2757</v>
      </c>
      <c r="I740" s="3033"/>
      <c r="J740" s="3033"/>
      <c r="K740" s="3033"/>
      <c r="L740" s="3040">
        <v>862000</v>
      </c>
      <c r="M740" s="3031"/>
      <c r="O740" s="3017"/>
      <c r="P740" s="3016"/>
    </row>
    <row r="741" spans="2:16">
      <c r="B741" s="3030" t="s">
        <v>4006</v>
      </c>
      <c r="C741" s="3031"/>
      <c r="D741" s="2916" t="s">
        <v>5077</v>
      </c>
      <c r="E741" s="2971">
        <v>4</v>
      </c>
      <c r="F741" s="2971" t="s">
        <v>1841</v>
      </c>
      <c r="G741" s="19"/>
      <c r="H741" s="3033" t="s">
        <v>2757</v>
      </c>
      <c r="I741" s="3033"/>
      <c r="J741" s="3033"/>
      <c r="K741" s="3033"/>
      <c r="L741" s="3040">
        <v>109920</v>
      </c>
      <c r="M741" s="3031"/>
      <c r="O741" s="3017"/>
      <c r="P741" s="3016"/>
    </row>
    <row r="742" spans="2:16">
      <c r="B742" s="3030" t="s">
        <v>4006</v>
      </c>
      <c r="C742" s="3031"/>
      <c r="D742" s="2916" t="s">
        <v>5078</v>
      </c>
      <c r="E742" s="2971">
        <v>2</v>
      </c>
      <c r="F742" s="2971" t="s">
        <v>1793</v>
      </c>
      <c r="G742" s="19"/>
      <c r="H742" s="3033" t="s">
        <v>2757</v>
      </c>
      <c r="I742" s="3033"/>
      <c r="J742" s="3033"/>
      <c r="K742" s="3033"/>
      <c r="L742" s="3040">
        <v>35500</v>
      </c>
      <c r="M742" s="3031"/>
      <c r="O742" s="3017"/>
      <c r="P742" s="3016"/>
    </row>
    <row r="743" spans="2:16">
      <c r="B743" s="3030" t="s">
        <v>4006</v>
      </c>
      <c r="C743" s="3031"/>
      <c r="D743" s="3052" t="s">
        <v>5079</v>
      </c>
      <c r="E743" s="2971"/>
      <c r="F743" s="2971"/>
      <c r="G743" s="19"/>
      <c r="H743" s="3033" t="s">
        <v>2757</v>
      </c>
      <c r="I743" s="3033"/>
      <c r="J743" s="3033"/>
      <c r="K743" s="3033"/>
      <c r="L743" s="3040"/>
      <c r="M743" s="3031"/>
      <c r="O743" s="3017"/>
      <c r="P743" s="3016"/>
    </row>
    <row r="744" spans="2:16">
      <c r="B744" s="3030" t="s">
        <v>4006</v>
      </c>
      <c r="C744" s="3031"/>
      <c r="D744" s="2973" t="s">
        <v>5081</v>
      </c>
      <c r="E744" s="2971">
        <v>5</v>
      </c>
      <c r="F744" s="2971" t="s">
        <v>5080</v>
      </c>
      <c r="G744" s="19"/>
      <c r="H744" s="3033" t="s">
        <v>2757</v>
      </c>
      <c r="I744" s="3033"/>
      <c r="J744" s="3033"/>
      <c r="K744" s="3033"/>
      <c r="L744" s="3040">
        <v>167600</v>
      </c>
      <c r="M744" s="3031"/>
      <c r="O744" s="3017"/>
      <c r="P744" s="3016"/>
    </row>
    <row r="745" spans="2:16">
      <c r="B745" s="3030" t="s">
        <v>4006</v>
      </c>
      <c r="C745" s="3031"/>
      <c r="D745" s="2973" t="s">
        <v>5082</v>
      </c>
      <c r="E745" s="2971">
        <v>3</v>
      </c>
      <c r="F745" s="2971" t="s">
        <v>5080</v>
      </c>
      <c r="G745" s="19"/>
      <c r="H745" s="3033" t="s">
        <v>2757</v>
      </c>
      <c r="I745" s="3033"/>
      <c r="J745" s="3033"/>
      <c r="K745" s="3033"/>
      <c r="L745" s="3040">
        <v>120000</v>
      </c>
      <c r="M745" s="3031"/>
      <c r="O745" s="3017"/>
      <c r="P745" s="3016"/>
    </row>
    <row r="746" spans="2:16">
      <c r="B746" s="3030" t="s">
        <v>4006</v>
      </c>
      <c r="C746" s="3031"/>
      <c r="D746" s="2973" t="s">
        <v>5083</v>
      </c>
      <c r="E746" s="2971">
        <v>8</v>
      </c>
      <c r="F746" s="2971" t="s">
        <v>5080</v>
      </c>
      <c r="G746" s="19"/>
      <c r="H746" s="3033" t="s">
        <v>2757</v>
      </c>
      <c r="I746" s="3033"/>
      <c r="J746" s="3033"/>
      <c r="K746" s="3033"/>
      <c r="L746" s="3040">
        <v>160000</v>
      </c>
      <c r="M746" s="3031"/>
      <c r="O746" s="3017"/>
      <c r="P746" s="3016"/>
    </row>
    <row r="747" spans="2:16">
      <c r="B747" s="3030" t="s">
        <v>4006</v>
      </c>
      <c r="C747" s="3031"/>
      <c r="D747" s="2973" t="s">
        <v>5084</v>
      </c>
      <c r="E747" s="2971">
        <v>17</v>
      </c>
      <c r="F747" s="2971" t="s">
        <v>5080</v>
      </c>
      <c r="G747" s="19"/>
      <c r="H747" s="3033" t="s">
        <v>2757</v>
      </c>
      <c r="I747" s="3033"/>
      <c r="J747" s="3033"/>
      <c r="K747" s="3033"/>
      <c r="L747" s="3040">
        <v>364600</v>
      </c>
      <c r="M747" s="3031"/>
      <c r="O747" s="3017"/>
      <c r="P747" s="3016"/>
    </row>
    <row r="748" spans="2:16">
      <c r="B748" s="3030" t="s">
        <v>4006</v>
      </c>
      <c r="C748" s="3031"/>
      <c r="D748" s="2973" t="s">
        <v>5085</v>
      </c>
      <c r="E748" s="2971">
        <v>17</v>
      </c>
      <c r="F748" s="2971" t="s">
        <v>5080</v>
      </c>
      <c r="G748" s="19"/>
      <c r="H748" s="3033" t="s">
        <v>2757</v>
      </c>
      <c r="I748" s="3033"/>
      <c r="J748" s="3033"/>
      <c r="K748" s="3033"/>
      <c r="L748" s="3040">
        <v>360400</v>
      </c>
      <c r="M748" s="3031"/>
      <c r="O748" s="3017"/>
      <c r="P748" s="3016"/>
    </row>
    <row r="749" spans="2:16">
      <c r="B749" s="3030" t="s">
        <v>4006</v>
      </c>
      <c r="C749" s="3031"/>
      <c r="D749" s="2916" t="s">
        <v>5086</v>
      </c>
      <c r="E749" s="2971">
        <v>10</v>
      </c>
      <c r="F749" s="2971" t="s">
        <v>1700</v>
      </c>
      <c r="G749" s="19"/>
      <c r="H749" s="3033" t="s">
        <v>2757</v>
      </c>
      <c r="I749" s="3033"/>
      <c r="J749" s="3033"/>
      <c r="K749" s="3033"/>
      <c r="L749" s="3040">
        <v>170000</v>
      </c>
      <c r="M749" s="3031"/>
      <c r="O749" s="3017"/>
      <c r="P749" s="3016"/>
    </row>
    <row r="750" spans="2:16">
      <c r="B750" s="3030" t="s">
        <v>4006</v>
      </c>
      <c r="C750" s="3031"/>
      <c r="D750" s="2916" t="s">
        <v>5087</v>
      </c>
      <c r="E750" s="2971">
        <v>8</v>
      </c>
      <c r="F750" s="2971" t="s">
        <v>1700</v>
      </c>
      <c r="G750" s="19"/>
      <c r="H750" s="3033" t="s">
        <v>2757</v>
      </c>
      <c r="I750" s="3033"/>
      <c r="J750" s="3033"/>
      <c r="K750" s="3033"/>
      <c r="L750" s="3040">
        <v>140000</v>
      </c>
      <c r="M750" s="3031"/>
      <c r="O750" s="3017"/>
      <c r="P750" s="3016"/>
    </row>
    <row r="751" spans="2:16">
      <c r="B751" s="3030" t="s">
        <v>4006</v>
      </c>
      <c r="C751" s="3031"/>
      <c r="D751" s="2916" t="s">
        <v>5088</v>
      </c>
      <c r="E751" s="2971">
        <v>8</v>
      </c>
      <c r="F751" s="2971" t="s">
        <v>1793</v>
      </c>
      <c r="G751" s="19"/>
      <c r="H751" s="3033" t="s">
        <v>2757</v>
      </c>
      <c r="I751" s="3033"/>
      <c r="J751" s="3033"/>
      <c r="K751" s="3033"/>
      <c r="L751" s="3040">
        <v>86400</v>
      </c>
      <c r="M751" s="3031"/>
      <c r="O751" s="3017"/>
      <c r="P751" s="3016"/>
    </row>
    <row r="752" spans="2:16">
      <c r="B752" s="3030" t="s">
        <v>4006</v>
      </c>
      <c r="C752" s="3031"/>
      <c r="D752" s="2973" t="s">
        <v>5089</v>
      </c>
      <c r="E752" s="2971">
        <v>5</v>
      </c>
      <c r="F752" s="2971" t="s">
        <v>5080</v>
      </c>
      <c r="G752" s="19"/>
      <c r="H752" s="3033" t="s">
        <v>2757</v>
      </c>
      <c r="I752" s="3033"/>
      <c r="J752" s="3033"/>
      <c r="K752" s="3033"/>
      <c r="L752" s="3040">
        <v>125000</v>
      </c>
      <c r="M752" s="3031"/>
      <c r="O752" s="3017"/>
      <c r="P752" s="3016"/>
    </row>
    <row r="753" spans="2:16">
      <c r="B753" s="3030" t="s">
        <v>4006</v>
      </c>
      <c r="C753" s="3031"/>
      <c r="D753" s="2973" t="s">
        <v>5090</v>
      </c>
      <c r="E753" s="2971">
        <v>1</v>
      </c>
      <c r="F753" s="2971" t="s">
        <v>5080</v>
      </c>
      <c r="G753" s="19"/>
      <c r="H753" s="3033" t="s">
        <v>2757</v>
      </c>
      <c r="I753" s="3033"/>
      <c r="J753" s="3033"/>
      <c r="K753" s="3033"/>
      <c r="L753" s="3040">
        <v>27000</v>
      </c>
      <c r="M753" s="3031"/>
      <c r="O753" s="3017"/>
      <c r="P753" s="3016"/>
    </row>
    <row r="754" spans="2:16">
      <c r="B754" s="3030" t="s">
        <v>4006</v>
      </c>
      <c r="C754" s="3031"/>
      <c r="D754" s="2973" t="s">
        <v>5091</v>
      </c>
      <c r="E754" s="2971">
        <v>0</v>
      </c>
      <c r="F754" s="2971"/>
      <c r="G754" s="19"/>
      <c r="H754" s="3033" t="s">
        <v>2757</v>
      </c>
      <c r="I754" s="3033"/>
      <c r="J754" s="3033"/>
      <c r="K754" s="3033"/>
      <c r="L754" s="3040"/>
      <c r="M754" s="3031"/>
      <c r="O754" s="3017"/>
      <c r="P754" s="3016"/>
    </row>
    <row r="755" spans="2:16">
      <c r="B755" s="3030" t="s">
        <v>4006</v>
      </c>
      <c r="C755" s="3031"/>
      <c r="D755" s="2973" t="s">
        <v>5092</v>
      </c>
      <c r="E755" s="2971">
        <v>65</v>
      </c>
      <c r="F755" s="2971" t="s">
        <v>1700</v>
      </c>
      <c r="G755" s="19"/>
      <c r="H755" s="3033" t="s">
        <v>2757</v>
      </c>
      <c r="I755" s="3033"/>
      <c r="J755" s="3033"/>
      <c r="K755" s="3033"/>
      <c r="L755" s="3040">
        <v>858000</v>
      </c>
      <c r="M755" s="3031"/>
      <c r="O755" s="3017"/>
      <c r="P755" s="3016"/>
    </row>
    <row r="756" spans="2:16">
      <c r="B756" s="3030" t="s">
        <v>4006</v>
      </c>
      <c r="C756" s="3031"/>
      <c r="D756" s="2973" t="s">
        <v>5093</v>
      </c>
      <c r="E756" s="2971">
        <v>18</v>
      </c>
      <c r="F756" s="2971" t="s">
        <v>1841</v>
      </c>
      <c r="G756" s="19"/>
      <c r="H756" s="3033" t="s">
        <v>2757</v>
      </c>
      <c r="I756" s="3033"/>
      <c r="J756" s="3033"/>
      <c r="K756" s="3033"/>
      <c r="L756" s="3040">
        <v>77400</v>
      </c>
      <c r="M756" s="3031"/>
      <c r="O756" s="3017"/>
      <c r="P756" s="3016"/>
    </row>
    <row r="757" spans="2:16">
      <c r="B757" s="3030" t="s">
        <v>4006</v>
      </c>
      <c r="C757" s="3031"/>
      <c r="D757" s="2916" t="s">
        <v>5077</v>
      </c>
      <c r="E757" s="2971">
        <v>60</v>
      </c>
      <c r="F757" s="2971" t="s">
        <v>1841</v>
      </c>
      <c r="G757" s="19"/>
      <c r="H757" s="3033" t="s">
        <v>2757</v>
      </c>
      <c r="I757" s="3033"/>
      <c r="J757" s="3033"/>
      <c r="K757" s="3033"/>
      <c r="L757" s="3040">
        <v>567000</v>
      </c>
      <c r="M757" s="3031"/>
      <c r="O757" s="3017"/>
      <c r="P757" s="3016"/>
    </row>
    <row r="758" spans="2:16">
      <c r="B758" s="3030" t="s">
        <v>4006</v>
      </c>
      <c r="C758" s="3031"/>
      <c r="D758" s="2916" t="s">
        <v>5078</v>
      </c>
      <c r="E758" s="2971">
        <v>35</v>
      </c>
      <c r="F758" s="2971" t="s">
        <v>1793</v>
      </c>
      <c r="G758" s="19"/>
      <c r="H758" s="3033" t="s">
        <v>2757</v>
      </c>
      <c r="I758" s="3033"/>
      <c r="J758" s="3033"/>
      <c r="K758" s="3033"/>
      <c r="L758" s="3040">
        <v>225575</v>
      </c>
      <c r="M758" s="3031"/>
      <c r="O758" s="3017"/>
      <c r="P758" s="3016"/>
    </row>
    <row r="759" spans="2:16">
      <c r="B759" s="3030" t="s">
        <v>4006</v>
      </c>
      <c r="C759" s="3031"/>
      <c r="D759" s="3053" t="s">
        <v>5094</v>
      </c>
      <c r="E759" s="2971">
        <v>0</v>
      </c>
      <c r="F759" s="2971"/>
      <c r="G759" s="19"/>
      <c r="H759" s="3033" t="s">
        <v>2757</v>
      </c>
      <c r="I759" s="3033"/>
      <c r="J759" s="3033"/>
      <c r="K759" s="3033"/>
      <c r="L759" s="3040"/>
      <c r="M759" s="3031"/>
      <c r="O759" s="3017"/>
      <c r="P759" s="3016"/>
    </row>
    <row r="760" spans="2:16">
      <c r="B760" s="3030" t="s">
        <v>4006</v>
      </c>
      <c r="C760" s="3031"/>
      <c r="D760" s="2916" t="s">
        <v>5095</v>
      </c>
      <c r="E760" s="2971">
        <v>70</v>
      </c>
      <c r="F760" s="2971" t="s">
        <v>1700</v>
      </c>
      <c r="G760" s="19"/>
      <c r="H760" s="3033" t="s">
        <v>2757</v>
      </c>
      <c r="I760" s="3033"/>
      <c r="J760" s="3033"/>
      <c r="K760" s="3033"/>
      <c r="L760" s="3040">
        <v>350000</v>
      </c>
      <c r="M760" s="3031"/>
      <c r="O760" s="3017"/>
      <c r="P760" s="3016"/>
    </row>
    <row r="761" spans="2:16">
      <c r="B761" s="3030" t="s">
        <v>4006</v>
      </c>
      <c r="C761" s="3031"/>
      <c r="D761" s="2973" t="s">
        <v>5096</v>
      </c>
      <c r="E761" s="2971">
        <v>40</v>
      </c>
      <c r="F761" s="2971" t="s">
        <v>1972</v>
      </c>
      <c r="G761" s="19"/>
      <c r="H761" s="3033" t="s">
        <v>2757</v>
      </c>
      <c r="I761" s="3033"/>
      <c r="J761" s="3033"/>
      <c r="K761" s="3033"/>
      <c r="L761" s="3040">
        <v>320000</v>
      </c>
      <c r="M761" s="3031"/>
      <c r="O761" s="3017"/>
      <c r="P761" s="3016"/>
    </row>
    <row r="762" spans="2:16">
      <c r="B762" s="3030" t="s">
        <v>4006</v>
      </c>
      <c r="C762" s="3031"/>
      <c r="D762" s="2973" t="s">
        <v>5097</v>
      </c>
      <c r="E762" s="2971">
        <v>112</v>
      </c>
      <c r="F762" s="2971" t="s">
        <v>1972</v>
      </c>
      <c r="G762" s="19"/>
      <c r="H762" s="3033" t="s">
        <v>2757</v>
      </c>
      <c r="I762" s="3033"/>
      <c r="J762" s="3033"/>
      <c r="K762" s="3033"/>
      <c r="L762" s="3040">
        <v>616000</v>
      </c>
      <c r="M762" s="3031"/>
      <c r="O762" s="3017"/>
      <c r="P762" s="3016"/>
    </row>
    <row r="763" spans="2:16">
      <c r="B763" s="3030" t="s">
        <v>4006</v>
      </c>
      <c r="C763" s="3031"/>
      <c r="D763" s="2973" t="s">
        <v>5098</v>
      </c>
      <c r="E763" s="2971">
        <v>40</v>
      </c>
      <c r="F763" s="2971" t="s">
        <v>1793</v>
      </c>
      <c r="G763" s="19"/>
      <c r="H763" s="3033" t="s">
        <v>2757</v>
      </c>
      <c r="I763" s="3033"/>
      <c r="J763" s="3033"/>
      <c r="K763" s="3033"/>
      <c r="L763" s="3040">
        <v>320000</v>
      </c>
      <c r="M763" s="3031"/>
      <c r="O763" s="3017"/>
      <c r="P763" s="3016"/>
    </row>
    <row r="764" spans="2:16">
      <c r="B764" s="3030" t="s">
        <v>4006</v>
      </c>
      <c r="C764" s="3031"/>
      <c r="D764" s="2973" t="s">
        <v>5099</v>
      </c>
      <c r="E764" s="2971">
        <v>100</v>
      </c>
      <c r="F764" s="2971" t="s">
        <v>1793</v>
      </c>
      <c r="G764" s="19"/>
      <c r="H764" s="3033" t="s">
        <v>2757</v>
      </c>
      <c r="I764" s="3033"/>
      <c r="J764" s="3033"/>
      <c r="K764" s="3033"/>
      <c r="L764" s="3040">
        <v>800000</v>
      </c>
      <c r="M764" s="3031"/>
      <c r="O764" s="3017"/>
      <c r="P764" s="3016"/>
    </row>
    <row r="765" spans="2:16">
      <c r="B765" s="3030" t="s">
        <v>4006</v>
      </c>
      <c r="C765" s="3031"/>
      <c r="D765" s="3053" t="s">
        <v>5100</v>
      </c>
      <c r="E765" s="2971"/>
      <c r="F765" s="2971"/>
      <c r="G765" s="19"/>
      <c r="H765" s="3033" t="s">
        <v>2757</v>
      </c>
      <c r="I765" s="3033"/>
      <c r="J765" s="3033"/>
      <c r="K765" s="3033"/>
      <c r="L765" s="3040"/>
      <c r="M765" s="3031"/>
      <c r="O765" s="3017"/>
      <c r="P765" s="3016"/>
    </row>
    <row r="766" spans="2:16" ht="25.5">
      <c r="B766" s="3030" t="s">
        <v>4006</v>
      </c>
      <c r="C766" s="3031"/>
      <c r="D766" s="2916" t="s">
        <v>5101</v>
      </c>
      <c r="E766" s="2971">
        <v>5</v>
      </c>
      <c r="F766" s="2971" t="s">
        <v>3248</v>
      </c>
      <c r="G766" s="19"/>
      <c r="H766" s="3033" t="s">
        <v>2757</v>
      </c>
      <c r="I766" s="3033"/>
      <c r="J766" s="3033"/>
      <c r="K766" s="3033"/>
      <c r="L766" s="3040">
        <v>242000</v>
      </c>
      <c r="M766" s="3031"/>
      <c r="O766" s="3017"/>
      <c r="P766" s="3016"/>
    </row>
    <row r="767" spans="2:16">
      <c r="B767" s="3030" t="s">
        <v>4006</v>
      </c>
      <c r="C767" s="3031"/>
      <c r="D767" s="2916" t="s">
        <v>5102</v>
      </c>
      <c r="E767" s="2971">
        <v>2</v>
      </c>
      <c r="F767" s="2971" t="s">
        <v>2994</v>
      </c>
      <c r="G767" s="19"/>
      <c r="H767" s="3033" t="s">
        <v>2757</v>
      </c>
      <c r="I767" s="3033"/>
      <c r="J767" s="3033"/>
      <c r="K767" s="3033"/>
      <c r="L767" s="3040">
        <v>39000</v>
      </c>
      <c r="M767" s="3031"/>
      <c r="O767" s="3017"/>
      <c r="P767" s="3016"/>
    </row>
    <row r="768" spans="2:16">
      <c r="B768" s="3030" t="s">
        <v>4006</v>
      </c>
      <c r="C768" s="3031"/>
      <c r="D768" s="2916" t="s">
        <v>5103</v>
      </c>
      <c r="E768" s="2971">
        <v>1</v>
      </c>
      <c r="F768" s="2971" t="s">
        <v>1057</v>
      </c>
      <c r="G768" s="19"/>
      <c r="H768" s="3033" t="s">
        <v>2757</v>
      </c>
      <c r="I768" s="3033"/>
      <c r="J768" s="3033"/>
      <c r="K768" s="3033"/>
      <c r="L768" s="3040">
        <v>17500</v>
      </c>
      <c r="M768" s="3031"/>
      <c r="O768" s="3017"/>
      <c r="P768" s="3016"/>
    </row>
    <row r="769" spans="2:16">
      <c r="B769" s="3030" t="s">
        <v>4006</v>
      </c>
      <c r="C769" s="3031"/>
      <c r="D769" s="3054" t="s">
        <v>5104</v>
      </c>
      <c r="E769" s="2971"/>
      <c r="F769" s="2971"/>
      <c r="G769" s="19"/>
      <c r="H769" s="3033" t="s">
        <v>2757</v>
      </c>
      <c r="I769" s="3033"/>
      <c r="J769" s="3033"/>
      <c r="K769" s="3033"/>
      <c r="L769" s="3040"/>
      <c r="M769" s="3031"/>
      <c r="O769" s="3017"/>
      <c r="P769" s="3016"/>
    </row>
    <row r="770" spans="2:16">
      <c r="B770" s="3030" t="s">
        <v>4006</v>
      </c>
      <c r="C770" s="3031"/>
      <c r="D770" s="2916" t="s">
        <v>5105</v>
      </c>
      <c r="E770" s="2971">
        <v>1</v>
      </c>
      <c r="F770" s="2971" t="s">
        <v>5080</v>
      </c>
      <c r="G770" s="19"/>
      <c r="H770" s="3033" t="s">
        <v>2757</v>
      </c>
      <c r="I770" s="3033"/>
      <c r="J770" s="3033"/>
      <c r="K770" s="3033"/>
      <c r="L770" s="3040">
        <v>29900</v>
      </c>
      <c r="M770" s="3031"/>
      <c r="O770" s="3017"/>
      <c r="P770" s="3016"/>
    </row>
    <row r="771" spans="2:16">
      <c r="B771" s="3030" t="s">
        <v>4006</v>
      </c>
      <c r="C771" s="3031"/>
      <c r="D771" s="2916" t="s">
        <v>5106</v>
      </c>
      <c r="E771" s="2971">
        <v>1</v>
      </c>
      <c r="F771" s="2971" t="s">
        <v>5080</v>
      </c>
      <c r="G771" s="19"/>
      <c r="H771" s="3033" t="s">
        <v>2757</v>
      </c>
      <c r="I771" s="3033"/>
      <c r="J771" s="3033"/>
      <c r="K771" s="3033"/>
      <c r="L771" s="3040">
        <v>47500</v>
      </c>
      <c r="M771" s="3031"/>
      <c r="O771" s="3017"/>
      <c r="P771" s="3016"/>
    </row>
    <row r="772" spans="2:16">
      <c r="B772" s="3030" t="s">
        <v>4006</v>
      </c>
      <c r="C772" s="3031"/>
      <c r="D772" s="2916" t="s">
        <v>5107</v>
      </c>
      <c r="E772" s="2971">
        <v>1</v>
      </c>
      <c r="F772" s="2971" t="s">
        <v>5080</v>
      </c>
      <c r="G772" s="19"/>
      <c r="H772" s="3033" t="s">
        <v>2757</v>
      </c>
      <c r="I772" s="3033"/>
      <c r="J772" s="3033"/>
      <c r="K772" s="3033"/>
      <c r="L772" s="3040">
        <v>52200</v>
      </c>
      <c r="M772" s="3031"/>
      <c r="O772" s="3017"/>
      <c r="P772" s="3016"/>
    </row>
    <row r="773" spans="2:16">
      <c r="B773" s="3030" t="s">
        <v>4006</v>
      </c>
      <c r="C773" s="3031"/>
      <c r="D773" s="2916" t="s">
        <v>5108</v>
      </c>
      <c r="E773" s="2971">
        <v>4</v>
      </c>
      <c r="F773" s="2971" t="s">
        <v>5080</v>
      </c>
      <c r="G773" s="19"/>
      <c r="H773" s="3033" t="s">
        <v>3</v>
      </c>
      <c r="I773" s="3033"/>
      <c r="J773" s="3033"/>
      <c r="K773" s="3033"/>
      <c r="L773" s="3040">
        <v>45000</v>
      </c>
      <c r="M773" s="3031"/>
      <c r="O773" s="3017"/>
      <c r="P773" s="3016"/>
    </row>
    <row r="774" spans="2:16" ht="25.5">
      <c r="B774" s="3030" t="s">
        <v>4006</v>
      </c>
      <c r="C774" s="3031"/>
      <c r="D774" s="2916" t="s">
        <v>5109</v>
      </c>
      <c r="E774" s="2971">
        <v>9</v>
      </c>
      <c r="F774" s="2971" t="s">
        <v>4516</v>
      </c>
      <c r="G774" s="19"/>
      <c r="H774" s="3033" t="s">
        <v>2757</v>
      </c>
      <c r="I774" s="3033"/>
      <c r="J774" s="3033"/>
      <c r="K774" s="3033"/>
      <c r="L774" s="3040">
        <v>14130</v>
      </c>
      <c r="M774" s="3031"/>
      <c r="O774" s="3017"/>
      <c r="P774" s="3016"/>
    </row>
    <row r="775" spans="2:16" ht="27">
      <c r="B775" s="3030" t="s">
        <v>4006</v>
      </c>
      <c r="C775" s="3031"/>
      <c r="D775" s="2916" t="s">
        <v>5064</v>
      </c>
      <c r="E775" s="2971">
        <v>75</v>
      </c>
      <c r="F775" s="2971" t="s">
        <v>4516</v>
      </c>
      <c r="G775" s="19"/>
      <c r="H775" s="3033" t="s">
        <v>2757</v>
      </c>
      <c r="I775" s="3033"/>
      <c r="J775" s="3033"/>
      <c r="K775" s="3033"/>
      <c r="L775" s="3040">
        <v>118950</v>
      </c>
      <c r="M775" s="3031"/>
      <c r="O775" s="3017"/>
      <c r="P775" s="3016"/>
    </row>
    <row r="776" spans="2:16">
      <c r="B776" s="3030" t="s">
        <v>4006</v>
      </c>
      <c r="C776" s="3031"/>
      <c r="D776" s="2916" t="s">
        <v>5065</v>
      </c>
      <c r="E776" s="2971">
        <v>50</v>
      </c>
      <c r="F776" s="2971" t="s">
        <v>4516</v>
      </c>
      <c r="G776" s="19"/>
      <c r="H776" s="3033" t="s">
        <v>2757</v>
      </c>
      <c r="I776" s="3033"/>
      <c r="J776" s="3033"/>
      <c r="K776" s="3033"/>
      <c r="L776" s="3040">
        <v>89400</v>
      </c>
      <c r="M776" s="3031"/>
      <c r="O776" s="3017"/>
      <c r="P776" s="3016"/>
    </row>
    <row r="777" spans="2:16">
      <c r="B777" s="3030" t="s">
        <v>4006</v>
      </c>
      <c r="C777" s="3051"/>
      <c r="D777" s="2916" t="s">
        <v>5110</v>
      </c>
      <c r="E777" s="3036">
        <v>100</v>
      </c>
      <c r="F777" s="3036" t="s">
        <v>1700</v>
      </c>
      <c r="G777" s="19"/>
      <c r="H777" s="3034" t="s">
        <v>2757</v>
      </c>
      <c r="I777" s="3034"/>
      <c r="J777" s="3034"/>
      <c r="K777" s="3034"/>
      <c r="L777" s="3038">
        <v>119400</v>
      </c>
      <c r="M777" s="3051"/>
      <c r="O777" s="3021"/>
      <c r="P777" s="3021"/>
    </row>
    <row r="778" spans="2:16" ht="51">
      <c r="B778" s="3030" t="s">
        <v>4006</v>
      </c>
      <c r="C778" s="3051"/>
      <c r="D778" s="2916" t="s">
        <v>5111</v>
      </c>
      <c r="E778" s="3036"/>
      <c r="F778" s="3036"/>
      <c r="G778" s="19"/>
      <c r="H778" s="3034"/>
      <c r="I778" s="3034"/>
      <c r="J778" s="3034"/>
      <c r="K778" s="3034"/>
      <c r="L778" s="3038"/>
      <c r="M778" s="3051"/>
      <c r="O778" s="3021"/>
      <c r="P778" s="3021"/>
    </row>
    <row r="779" spans="2:16" ht="25.5">
      <c r="B779" s="3030" t="s">
        <v>4006</v>
      </c>
      <c r="C779" s="3031"/>
      <c r="D779" s="2916" t="s">
        <v>5112</v>
      </c>
      <c r="E779" s="2971">
        <v>125</v>
      </c>
      <c r="F779" s="2971" t="s">
        <v>1700</v>
      </c>
      <c r="G779" s="19"/>
      <c r="H779" s="3033" t="s">
        <v>2757</v>
      </c>
      <c r="I779" s="3033"/>
      <c r="J779" s="3033"/>
      <c r="K779" s="3033"/>
      <c r="L779" s="3040">
        <v>323750</v>
      </c>
      <c r="M779" s="3031"/>
      <c r="O779" s="3017"/>
      <c r="P779" s="3016"/>
    </row>
    <row r="780" spans="2:16">
      <c r="B780" s="3030" t="s">
        <v>4006</v>
      </c>
      <c r="C780" s="3031"/>
      <c r="D780" s="2916" t="s">
        <v>5076</v>
      </c>
      <c r="E780" s="2971">
        <v>750</v>
      </c>
      <c r="F780" s="2971" t="s">
        <v>2876</v>
      </c>
      <c r="G780" s="19"/>
      <c r="H780" s="3033" t="s">
        <v>2757</v>
      </c>
      <c r="I780" s="3033"/>
      <c r="J780" s="3033"/>
      <c r="K780" s="3033"/>
      <c r="L780" s="3040">
        <v>522000</v>
      </c>
      <c r="M780" s="3031"/>
      <c r="O780" s="3017"/>
      <c r="P780" s="3016"/>
    </row>
    <row r="781" spans="2:16">
      <c r="B781" s="3030" t="s">
        <v>4006</v>
      </c>
      <c r="C781" s="3031"/>
      <c r="D781" s="2916" t="s">
        <v>5113</v>
      </c>
      <c r="E781" s="2971"/>
      <c r="F781" s="2971"/>
      <c r="G781" s="19"/>
      <c r="H781" s="3033" t="s">
        <v>2757</v>
      </c>
      <c r="I781" s="3033"/>
      <c r="J781" s="3033"/>
      <c r="K781" s="3033"/>
      <c r="L781" s="3040"/>
      <c r="M781" s="3031"/>
      <c r="O781" s="3017"/>
      <c r="P781" s="3016"/>
    </row>
    <row r="782" spans="2:16">
      <c r="B782" s="3030" t="s">
        <v>4006</v>
      </c>
      <c r="C782" s="3031"/>
      <c r="D782" s="2916" t="s">
        <v>5114</v>
      </c>
      <c r="E782" s="2971">
        <v>2</v>
      </c>
      <c r="F782" s="2971" t="s">
        <v>2334</v>
      </c>
      <c r="G782" s="19"/>
      <c r="H782" s="3033" t="s">
        <v>2757</v>
      </c>
      <c r="I782" s="3033"/>
      <c r="J782" s="3033"/>
      <c r="K782" s="3033"/>
      <c r="L782" s="3040">
        <v>1600</v>
      </c>
      <c r="M782" s="3031"/>
      <c r="O782" s="3017"/>
      <c r="P782" s="3016"/>
    </row>
    <row r="783" spans="2:16">
      <c r="B783" s="3030" t="s">
        <v>4006</v>
      </c>
      <c r="C783" s="3031"/>
      <c r="D783" s="2916" t="s">
        <v>5115</v>
      </c>
      <c r="E783" s="2971">
        <v>1</v>
      </c>
      <c r="F783" s="2971" t="s">
        <v>2334</v>
      </c>
      <c r="G783" s="19"/>
      <c r="H783" s="3033" t="s">
        <v>2757</v>
      </c>
      <c r="I783" s="3033"/>
      <c r="J783" s="3033"/>
      <c r="K783" s="3033"/>
      <c r="L783" s="3040">
        <v>800</v>
      </c>
      <c r="M783" s="3031"/>
      <c r="O783" s="3017"/>
      <c r="P783" s="3016"/>
    </row>
    <row r="784" spans="2:16">
      <c r="B784" s="3030" t="s">
        <v>4006</v>
      </c>
      <c r="C784" s="3031"/>
      <c r="D784" s="2916" t="s">
        <v>5116</v>
      </c>
      <c r="E784" s="2971">
        <v>2</v>
      </c>
      <c r="F784" s="2971" t="s">
        <v>2334</v>
      </c>
      <c r="G784" s="19"/>
      <c r="H784" s="3033" t="s">
        <v>2757</v>
      </c>
      <c r="I784" s="3033"/>
      <c r="J784" s="3033"/>
      <c r="K784" s="3033"/>
      <c r="L784" s="3040">
        <v>1600</v>
      </c>
      <c r="M784" s="3031"/>
      <c r="O784" s="3017"/>
      <c r="P784" s="3016"/>
    </row>
    <row r="785" spans="2:16">
      <c r="B785" s="3030" t="s">
        <v>4006</v>
      </c>
      <c r="C785" s="3031"/>
      <c r="D785" s="2916" t="s">
        <v>5117</v>
      </c>
      <c r="E785" s="2971">
        <v>1</v>
      </c>
      <c r="F785" s="2971" t="s">
        <v>2334</v>
      </c>
      <c r="G785" s="19"/>
      <c r="H785" s="3033" t="s">
        <v>2757</v>
      </c>
      <c r="I785" s="3033"/>
      <c r="J785" s="3033"/>
      <c r="K785" s="3033"/>
      <c r="L785" s="3040">
        <v>800</v>
      </c>
      <c r="M785" s="3031"/>
      <c r="O785" s="3017"/>
      <c r="P785" s="3016"/>
    </row>
    <row r="786" spans="2:16">
      <c r="B786" s="3030" t="s">
        <v>4006</v>
      </c>
      <c r="C786" s="3031"/>
      <c r="D786" s="2916" t="s">
        <v>5118</v>
      </c>
      <c r="E786" s="2971">
        <v>1</v>
      </c>
      <c r="F786" s="2971" t="s">
        <v>2334</v>
      </c>
      <c r="G786" s="19"/>
      <c r="H786" s="3033" t="s">
        <v>2757</v>
      </c>
      <c r="I786" s="3033"/>
      <c r="J786" s="3033"/>
      <c r="K786" s="3033"/>
      <c r="L786" s="3040">
        <v>800</v>
      </c>
      <c r="M786" s="3031"/>
      <c r="O786" s="3017"/>
      <c r="P786" s="3016"/>
    </row>
    <row r="787" spans="2:16">
      <c r="B787" s="3030" t="s">
        <v>4006</v>
      </c>
      <c r="C787" s="3031"/>
      <c r="D787" s="2916" t="s">
        <v>5119</v>
      </c>
      <c r="E787" s="2971">
        <v>1</v>
      </c>
      <c r="F787" s="2971" t="s">
        <v>2334</v>
      </c>
      <c r="G787" s="19"/>
      <c r="H787" s="3033" t="s">
        <v>2757</v>
      </c>
      <c r="I787" s="3033"/>
      <c r="J787" s="3033"/>
      <c r="K787" s="3033"/>
      <c r="L787" s="3040">
        <v>800</v>
      </c>
      <c r="M787" s="3031"/>
      <c r="O787" s="3017"/>
      <c r="P787" s="3016"/>
    </row>
    <row r="788" spans="2:16">
      <c r="B788" s="3030" t="s">
        <v>4006</v>
      </c>
      <c r="C788" s="3031"/>
      <c r="D788" s="2916" t="s">
        <v>5120</v>
      </c>
      <c r="E788" s="2971">
        <v>3</v>
      </c>
      <c r="F788" s="2971" t="s">
        <v>2334</v>
      </c>
      <c r="G788" s="19"/>
      <c r="H788" s="3033" t="s">
        <v>2757</v>
      </c>
      <c r="I788" s="3033"/>
      <c r="J788" s="3033"/>
      <c r="K788" s="3033"/>
      <c r="L788" s="3040">
        <v>2400</v>
      </c>
      <c r="M788" s="3031"/>
      <c r="O788" s="3017"/>
      <c r="P788" s="3016"/>
    </row>
    <row r="789" spans="2:16">
      <c r="B789" s="3030" t="s">
        <v>4006</v>
      </c>
      <c r="C789" s="3031"/>
      <c r="D789" s="2916" t="s">
        <v>5121</v>
      </c>
      <c r="E789" s="2971">
        <v>2</v>
      </c>
      <c r="F789" s="2971" t="s">
        <v>2334</v>
      </c>
      <c r="G789" s="19"/>
      <c r="H789" s="3033" t="s">
        <v>2757</v>
      </c>
      <c r="I789" s="3033"/>
      <c r="J789" s="3033"/>
      <c r="K789" s="3033"/>
      <c r="L789" s="3040">
        <v>1600</v>
      </c>
      <c r="M789" s="3031"/>
      <c r="O789" s="3017"/>
      <c r="P789" s="3016"/>
    </row>
    <row r="790" spans="2:16">
      <c r="B790" s="3030" t="s">
        <v>4006</v>
      </c>
      <c r="C790" s="3031"/>
      <c r="D790" s="2916" t="s">
        <v>5122</v>
      </c>
      <c r="E790" s="2971">
        <v>2</v>
      </c>
      <c r="F790" s="2971" t="s">
        <v>2334</v>
      </c>
      <c r="G790" s="19"/>
      <c r="H790" s="3033" t="s">
        <v>2757</v>
      </c>
      <c r="I790" s="3033"/>
      <c r="J790" s="3033"/>
      <c r="K790" s="3033"/>
      <c r="L790" s="3040">
        <v>1600</v>
      </c>
      <c r="M790" s="3031"/>
      <c r="O790" s="3017"/>
      <c r="P790" s="3016"/>
    </row>
    <row r="791" spans="2:16">
      <c r="B791" s="3030" t="s">
        <v>4006</v>
      </c>
      <c r="C791" s="3031"/>
      <c r="D791" s="2916" t="s">
        <v>5123</v>
      </c>
      <c r="E791" s="2971">
        <v>3</v>
      </c>
      <c r="F791" s="2971" t="s">
        <v>2334</v>
      </c>
      <c r="G791" s="19"/>
      <c r="H791" s="3033" t="s">
        <v>2757</v>
      </c>
      <c r="I791" s="3033"/>
      <c r="J791" s="3033"/>
      <c r="K791" s="3033"/>
      <c r="L791" s="3040">
        <v>2400</v>
      </c>
      <c r="M791" s="3031"/>
      <c r="O791" s="3017"/>
      <c r="P791" s="3016"/>
    </row>
    <row r="792" spans="2:16">
      <c r="B792" s="3030" t="s">
        <v>4006</v>
      </c>
      <c r="C792" s="3031"/>
      <c r="D792" s="2916" t="s">
        <v>5124</v>
      </c>
      <c r="E792" s="2971">
        <v>3</v>
      </c>
      <c r="F792" s="2971" t="s">
        <v>2334</v>
      </c>
      <c r="G792" s="19"/>
      <c r="H792" s="3033" t="s">
        <v>2757</v>
      </c>
      <c r="I792" s="3033"/>
      <c r="J792" s="3033"/>
      <c r="K792" s="3033"/>
      <c r="L792" s="3040">
        <v>2400</v>
      </c>
      <c r="M792" s="3031"/>
      <c r="O792" s="3017"/>
      <c r="P792" s="3016"/>
    </row>
    <row r="793" spans="2:16">
      <c r="B793" s="3030" t="s">
        <v>4006</v>
      </c>
      <c r="C793" s="3031"/>
      <c r="D793" s="2916" t="s">
        <v>5125</v>
      </c>
      <c r="E793" s="2971">
        <v>2</v>
      </c>
      <c r="F793" s="2971" t="s">
        <v>2334</v>
      </c>
      <c r="G793" s="19"/>
      <c r="H793" s="3033" t="s">
        <v>2757</v>
      </c>
      <c r="I793" s="3033"/>
      <c r="J793" s="3033"/>
      <c r="K793" s="3033"/>
      <c r="L793" s="3040">
        <v>1600</v>
      </c>
      <c r="M793" s="3031"/>
      <c r="O793" s="3017"/>
      <c r="P793" s="3016"/>
    </row>
    <row r="794" spans="2:16">
      <c r="B794" s="3030" t="s">
        <v>4006</v>
      </c>
      <c r="C794" s="3031"/>
      <c r="D794" s="2916" t="s">
        <v>5126</v>
      </c>
      <c r="E794" s="2971">
        <v>2</v>
      </c>
      <c r="F794" s="2971" t="s">
        <v>2334</v>
      </c>
      <c r="G794" s="19"/>
      <c r="H794" s="3033" t="s">
        <v>2757</v>
      </c>
      <c r="I794" s="3033"/>
      <c r="J794" s="3033"/>
      <c r="K794" s="3033"/>
      <c r="L794" s="3040">
        <v>1600</v>
      </c>
      <c r="M794" s="3031"/>
      <c r="O794" s="3017"/>
      <c r="P794" s="3016"/>
    </row>
    <row r="795" spans="2:16">
      <c r="B795" s="3030" t="s">
        <v>4006</v>
      </c>
      <c r="C795" s="3031"/>
      <c r="D795" s="2916" t="s">
        <v>5127</v>
      </c>
      <c r="E795" s="2971">
        <v>3</v>
      </c>
      <c r="F795" s="2971" t="s">
        <v>2334</v>
      </c>
      <c r="G795" s="19"/>
      <c r="H795" s="3033" t="s">
        <v>2757</v>
      </c>
      <c r="I795" s="3033"/>
      <c r="J795" s="3033"/>
      <c r="K795" s="3033"/>
      <c r="L795" s="3040">
        <v>2400</v>
      </c>
      <c r="M795" s="3031"/>
      <c r="O795" s="3017"/>
      <c r="P795" s="3016"/>
    </row>
    <row r="796" spans="2:16">
      <c r="B796" s="3030" t="s">
        <v>4006</v>
      </c>
      <c r="C796" s="3031"/>
      <c r="D796" s="2916" t="s">
        <v>5128</v>
      </c>
      <c r="E796" s="2971">
        <v>2</v>
      </c>
      <c r="F796" s="2971" t="s">
        <v>2334</v>
      </c>
      <c r="G796" s="19"/>
      <c r="H796" s="3033" t="s">
        <v>2757</v>
      </c>
      <c r="I796" s="3033"/>
      <c r="J796" s="3033"/>
      <c r="K796" s="3033"/>
      <c r="L796" s="3040">
        <v>1600</v>
      </c>
      <c r="M796" s="3031"/>
      <c r="O796" s="3017"/>
      <c r="P796" s="3016"/>
    </row>
    <row r="797" spans="2:16">
      <c r="B797" s="3030" t="s">
        <v>4006</v>
      </c>
      <c r="C797" s="3031"/>
      <c r="D797" s="2916" t="s">
        <v>5129</v>
      </c>
      <c r="E797" s="2971">
        <v>3</v>
      </c>
      <c r="F797" s="2971" t="s">
        <v>2334</v>
      </c>
      <c r="G797" s="19"/>
      <c r="H797" s="3033" t="s">
        <v>2757</v>
      </c>
      <c r="I797" s="3033"/>
      <c r="J797" s="3033"/>
      <c r="K797" s="3033"/>
      <c r="L797" s="3040">
        <v>2400</v>
      </c>
      <c r="M797" s="3031"/>
      <c r="O797" s="3017"/>
      <c r="P797" s="3016"/>
    </row>
    <row r="798" spans="2:16">
      <c r="B798" s="3030" t="s">
        <v>4006</v>
      </c>
      <c r="C798" s="3031"/>
      <c r="D798" s="2916" t="s">
        <v>5130</v>
      </c>
      <c r="E798" s="2971">
        <v>1</v>
      </c>
      <c r="F798" s="2971" t="s">
        <v>2334</v>
      </c>
      <c r="G798" s="19"/>
      <c r="H798" s="3033" t="s">
        <v>2757</v>
      </c>
      <c r="I798" s="3033"/>
      <c r="J798" s="3033"/>
      <c r="K798" s="3033"/>
      <c r="L798" s="3040">
        <v>800</v>
      </c>
      <c r="M798" s="3031"/>
      <c r="O798" s="3017"/>
      <c r="P798" s="3016"/>
    </row>
    <row r="799" spans="2:16">
      <c r="B799" s="3030" t="s">
        <v>4006</v>
      </c>
      <c r="C799" s="3031"/>
      <c r="D799" s="2916" t="s">
        <v>5131</v>
      </c>
      <c r="E799" s="2971">
        <v>2</v>
      </c>
      <c r="F799" s="2971" t="s">
        <v>2334</v>
      </c>
      <c r="G799" s="19"/>
      <c r="H799" s="3033" t="s">
        <v>2757</v>
      </c>
      <c r="I799" s="3033"/>
      <c r="J799" s="3033"/>
      <c r="K799" s="3033"/>
      <c r="L799" s="3040">
        <v>1600</v>
      </c>
      <c r="M799" s="3031"/>
      <c r="O799" s="3017"/>
      <c r="P799" s="3016"/>
    </row>
    <row r="800" spans="2:16">
      <c r="B800" s="3030" t="s">
        <v>4006</v>
      </c>
      <c r="C800" s="3031"/>
      <c r="D800" s="2916" t="s">
        <v>5132</v>
      </c>
      <c r="E800" s="2971">
        <v>2</v>
      </c>
      <c r="F800" s="2971" t="s">
        <v>2334</v>
      </c>
      <c r="G800" s="19"/>
      <c r="H800" s="3033" t="s">
        <v>2757</v>
      </c>
      <c r="I800" s="3033"/>
      <c r="J800" s="3033"/>
      <c r="K800" s="3033"/>
      <c r="L800" s="3040">
        <v>1600</v>
      </c>
      <c r="M800" s="3031"/>
      <c r="O800" s="3017"/>
      <c r="P800" s="3016"/>
    </row>
    <row r="801" spans="2:16">
      <c r="B801" s="3030" t="s">
        <v>4006</v>
      </c>
      <c r="C801" s="3031"/>
      <c r="D801" s="2916" t="s">
        <v>5133</v>
      </c>
      <c r="E801" s="2971">
        <v>3</v>
      </c>
      <c r="F801" s="2971" t="s">
        <v>2334</v>
      </c>
      <c r="G801" s="19"/>
      <c r="H801" s="3033" t="s">
        <v>2757</v>
      </c>
      <c r="I801" s="3033"/>
      <c r="J801" s="3033"/>
      <c r="K801" s="3033"/>
      <c r="L801" s="3040">
        <v>2400</v>
      </c>
      <c r="M801" s="3031"/>
      <c r="O801" s="3017"/>
      <c r="P801" s="3016"/>
    </row>
    <row r="802" spans="2:16">
      <c r="B802" s="3030" t="s">
        <v>4006</v>
      </c>
      <c r="C802" s="3031"/>
      <c r="D802" s="2916" t="s">
        <v>5134</v>
      </c>
      <c r="E802" s="2971">
        <v>2</v>
      </c>
      <c r="F802" s="2971" t="s">
        <v>2334</v>
      </c>
      <c r="G802" s="19"/>
      <c r="H802" s="3033" t="s">
        <v>2757</v>
      </c>
      <c r="I802" s="3033"/>
      <c r="J802" s="3033"/>
      <c r="K802" s="3033"/>
      <c r="L802" s="3040">
        <v>1600</v>
      </c>
      <c r="M802" s="3031"/>
      <c r="O802" s="3017"/>
      <c r="P802" s="3016"/>
    </row>
    <row r="803" spans="2:16">
      <c r="B803" s="3030" t="s">
        <v>4006</v>
      </c>
      <c r="C803" s="3031"/>
      <c r="D803" s="2916" t="s">
        <v>5135</v>
      </c>
      <c r="E803" s="2971">
        <v>2</v>
      </c>
      <c r="F803" s="2971" t="s">
        <v>2334</v>
      </c>
      <c r="G803" s="19"/>
      <c r="H803" s="3033" t="s">
        <v>2757</v>
      </c>
      <c r="I803" s="3033"/>
      <c r="J803" s="3033"/>
      <c r="K803" s="3033"/>
      <c r="L803" s="3040">
        <v>1600</v>
      </c>
      <c r="M803" s="3031"/>
      <c r="O803" s="3017"/>
      <c r="P803" s="3016"/>
    </row>
    <row r="804" spans="2:16">
      <c r="B804" s="3030" t="s">
        <v>4006</v>
      </c>
      <c r="C804" s="3031"/>
      <c r="D804" s="2916" t="s">
        <v>5136</v>
      </c>
      <c r="E804" s="2971">
        <v>1</v>
      </c>
      <c r="F804" s="2971" t="s">
        <v>2334</v>
      </c>
      <c r="G804" s="19"/>
      <c r="H804" s="3033" t="s">
        <v>2757</v>
      </c>
      <c r="I804" s="3033"/>
      <c r="J804" s="3033"/>
      <c r="K804" s="3033"/>
      <c r="L804" s="3040">
        <v>800</v>
      </c>
      <c r="M804" s="3031"/>
      <c r="O804" s="3017"/>
      <c r="P804" s="3016"/>
    </row>
    <row r="805" spans="2:16">
      <c r="B805" s="3030" t="s">
        <v>4006</v>
      </c>
      <c r="C805" s="3031"/>
      <c r="D805" s="2916" t="s">
        <v>5137</v>
      </c>
      <c r="E805" s="2971">
        <v>2</v>
      </c>
      <c r="F805" s="2971" t="s">
        <v>2334</v>
      </c>
      <c r="G805" s="19"/>
      <c r="H805" s="3033" t="s">
        <v>2757</v>
      </c>
      <c r="I805" s="3033"/>
      <c r="J805" s="3033"/>
      <c r="K805" s="3033"/>
      <c r="L805" s="3040">
        <v>1600</v>
      </c>
      <c r="M805" s="3031"/>
      <c r="O805" s="3017"/>
      <c r="P805" s="3016"/>
    </row>
    <row r="806" spans="2:16">
      <c r="B806" s="3030" t="s">
        <v>4006</v>
      </c>
      <c r="C806" s="3031"/>
      <c r="D806" s="2916" t="s">
        <v>5138</v>
      </c>
      <c r="E806" s="2971">
        <v>1</v>
      </c>
      <c r="F806" s="2971" t="s">
        <v>2334</v>
      </c>
      <c r="G806" s="19"/>
      <c r="H806" s="3033" t="s">
        <v>2757</v>
      </c>
      <c r="I806" s="3033"/>
      <c r="J806" s="3033"/>
      <c r="K806" s="3033"/>
      <c r="L806" s="3040">
        <v>800</v>
      </c>
      <c r="M806" s="3031"/>
      <c r="O806" s="3017"/>
      <c r="P806" s="3016"/>
    </row>
    <row r="807" spans="2:16">
      <c r="B807" s="3030" t="s">
        <v>4006</v>
      </c>
      <c r="C807" s="3031"/>
      <c r="D807" s="2916" t="s">
        <v>5139</v>
      </c>
      <c r="E807" s="2971">
        <v>2</v>
      </c>
      <c r="F807" s="2971" t="s">
        <v>2334</v>
      </c>
      <c r="G807" s="19"/>
      <c r="H807" s="3033" t="s">
        <v>2757</v>
      </c>
      <c r="I807" s="3033"/>
      <c r="J807" s="3033"/>
      <c r="K807" s="3033"/>
      <c r="L807" s="3040">
        <v>1600</v>
      </c>
      <c r="M807" s="3031"/>
      <c r="O807" s="3017"/>
      <c r="P807" s="3016"/>
    </row>
    <row r="808" spans="2:16">
      <c r="B808" s="3030" t="s">
        <v>4006</v>
      </c>
      <c r="C808" s="3031"/>
      <c r="D808" s="2916" t="s">
        <v>5140</v>
      </c>
      <c r="E808" s="2971">
        <v>3</v>
      </c>
      <c r="F808" s="2971" t="s">
        <v>2334</v>
      </c>
      <c r="G808" s="19"/>
      <c r="H808" s="3033" t="s">
        <v>2757</v>
      </c>
      <c r="I808" s="3033"/>
      <c r="J808" s="3033"/>
      <c r="K808" s="3033"/>
      <c r="L808" s="3040">
        <v>2400</v>
      </c>
      <c r="M808" s="3031"/>
      <c r="O808" s="3017"/>
      <c r="P808" s="3016"/>
    </row>
    <row r="809" spans="2:16">
      <c r="B809" s="3030" t="s">
        <v>4006</v>
      </c>
      <c r="C809" s="3031"/>
      <c r="D809" s="2916" t="s">
        <v>5141</v>
      </c>
      <c r="E809" s="2971">
        <v>2</v>
      </c>
      <c r="F809" s="2971" t="s">
        <v>2334</v>
      </c>
      <c r="G809" s="19"/>
      <c r="H809" s="3033" t="s">
        <v>2757</v>
      </c>
      <c r="I809" s="3033"/>
      <c r="J809" s="3033"/>
      <c r="K809" s="3033"/>
      <c r="L809" s="3040">
        <v>1600</v>
      </c>
      <c r="M809" s="3031"/>
      <c r="O809" s="3017"/>
      <c r="P809" s="3016"/>
    </row>
    <row r="810" spans="2:16">
      <c r="B810" s="3030" t="s">
        <v>4006</v>
      </c>
      <c r="C810" s="3031"/>
      <c r="D810" s="2916" t="s">
        <v>5142</v>
      </c>
      <c r="E810" s="2971">
        <v>1</v>
      </c>
      <c r="F810" s="2971" t="s">
        <v>2334</v>
      </c>
      <c r="G810" s="19"/>
      <c r="H810" s="3033" t="s">
        <v>2757</v>
      </c>
      <c r="I810" s="3033"/>
      <c r="J810" s="3033"/>
      <c r="K810" s="3033"/>
      <c r="L810" s="3040">
        <v>800</v>
      </c>
      <c r="M810" s="3031"/>
      <c r="O810" s="3017"/>
      <c r="P810" s="3016"/>
    </row>
    <row r="811" spans="2:16">
      <c r="B811" s="3030" t="s">
        <v>4006</v>
      </c>
      <c r="C811" s="3031"/>
      <c r="D811" s="2916" t="s">
        <v>5143</v>
      </c>
      <c r="E811" s="2971">
        <v>4</v>
      </c>
      <c r="F811" s="2971" t="s">
        <v>2334</v>
      </c>
      <c r="G811" s="19"/>
      <c r="H811" s="3033" t="s">
        <v>2757</v>
      </c>
      <c r="I811" s="3033"/>
      <c r="J811" s="3033"/>
      <c r="K811" s="3033"/>
      <c r="L811" s="3040">
        <v>3200</v>
      </c>
      <c r="M811" s="3031"/>
      <c r="O811" s="3017"/>
      <c r="P811" s="3016"/>
    </row>
    <row r="812" spans="2:16">
      <c r="B812" s="3030" t="s">
        <v>4006</v>
      </c>
      <c r="C812" s="3031"/>
      <c r="D812" s="2916" t="s">
        <v>5144</v>
      </c>
      <c r="E812" s="2971">
        <v>2</v>
      </c>
      <c r="F812" s="2971" t="s">
        <v>2334</v>
      </c>
      <c r="G812" s="19"/>
      <c r="H812" s="3033" t="s">
        <v>2757</v>
      </c>
      <c r="I812" s="3033"/>
      <c r="J812" s="3033"/>
      <c r="K812" s="3033"/>
      <c r="L812" s="3040">
        <v>1600</v>
      </c>
      <c r="M812" s="3031"/>
      <c r="O812" s="3017"/>
      <c r="P812" s="3016"/>
    </row>
    <row r="813" spans="2:16">
      <c r="B813" s="3030" t="s">
        <v>4006</v>
      </c>
      <c r="C813" s="3031"/>
      <c r="D813" s="2916" t="s">
        <v>5145</v>
      </c>
      <c r="E813" s="2971">
        <v>2</v>
      </c>
      <c r="F813" s="2971" t="s">
        <v>2334</v>
      </c>
      <c r="G813" s="19"/>
      <c r="H813" s="3033" t="s">
        <v>2757</v>
      </c>
      <c r="I813" s="3033"/>
      <c r="J813" s="3033"/>
      <c r="K813" s="3033"/>
      <c r="L813" s="3040">
        <v>1600</v>
      </c>
      <c r="M813" s="3031"/>
      <c r="O813" s="3017"/>
      <c r="P813" s="3016"/>
    </row>
    <row r="814" spans="2:16" ht="25.5">
      <c r="B814" s="3030" t="s">
        <v>4006</v>
      </c>
      <c r="C814" s="3031"/>
      <c r="D814" s="2916" t="s">
        <v>5146</v>
      </c>
      <c r="E814" s="2971">
        <v>3</v>
      </c>
      <c r="F814" s="2971" t="s">
        <v>2334</v>
      </c>
      <c r="G814" s="19"/>
      <c r="H814" s="3033" t="s">
        <v>2757</v>
      </c>
      <c r="I814" s="3033"/>
      <c r="J814" s="3033"/>
      <c r="K814" s="3033"/>
      <c r="L814" s="3040">
        <v>2400</v>
      </c>
      <c r="M814" s="3031"/>
      <c r="O814" s="3017"/>
      <c r="P814" s="3016"/>
    </row>
    <row r="815" spans="2:16">
      <c r="B815" s="3030" t="s">
        <v>4006</v>
      </c>
      <c r="C815" s="3031"/>
      <c r="D815" s="2916" t="s">
        <v>5147</v>
      </c>
      <c r="E815" s="2971">
        <v>1</v>
      </c>
      <c r="F815" s="2971" t="s">
        <v>2334</v>
      </c>
      <c r="G815" s="19"/>
      <c r="H815" s="3033" t="s">
        <v>2757</v>
      </c>
      <c r="I815" s="3033"/>
      <c r="J815" s="3033"/>
      <c r="K815" s="3033"/>
      <c r="L815" s="3040">
        <v>1600</v>
      </c>
      <c r="M815" s="3031"/>
      <c r="O815" s="3017"/>
      <c r="P815" s="3016"/>
    </row>
    <row r="816" spans="2:16">
      <c r="B816" s="3030" t="s">
        <v>4006</v>
      </c>
      <c r="C816" s="3031"/>
      <c r="D816" s="2916" t="s">
        <v>5148</v>
      </c>
      <c r="E816" s="2971">
        <v>1</v>
      </c>
      <c r="F816" s="2971" t="s">
        <v>2334</v>
      </c>
      <c r="G816" s="19"/>
      <c r="H816" s="3033" t="s">
        <v>2757</v>
      </c>
      <c r="I816" s="3033"/>
      <c r="J816" s="3033"/>
      <c r="K816" s="3033"/>
      <c r="L816" s="3040">
        <v>1800</v>
      </c>
      <c r="M816" s="3031"/>
      <c r="O816" s="3017"/>
      <c r="P816" s="3016"/>
    </row>
    <row r="817" spans="2:16">
      <c r="B817" s="3030" t="s">
        <v>4006</v>
      </c>
      <c r="C817" s="3031"/>
      <c r="D817" s="2916" t="s">
        <v>5149</v>
      </c>
      <c r="E817" s="2971">
        <v>1</v>
      </c>
      <c r="F817" s="2971" t="s">
        <v>2334</v>
      </c>
      <c r="G817" s="19"/>
      <c r="H817" s="3033" t="s">
        <v>2757</v>
      </c>
      <c r="I817" s="3033"/>
      <c r="J817" s="3033"/>
      <c r="K817" s="3033"/>
      <c r="L817" s="3040">
        <v>1900</v>
      </c>
      <c r="M817" s="3031"/>
      <c r="O817" s="3017"/>
      <c r="P817" s="3016"/>
    </row>
    <row r="818" spans="2:16">
      <c r="B818" s="3030" t="s">
        <v>4006</v>
      </c>
      <c r="C818" s="3031"/>
      <c r="D818" s="2916" t="s">
        <v>5150</v>
      </c>
      <c r="E818" s="2971">
        <v>1</v>
      </c>
      <c r="F818" s="2971" t="s">
        <v>2334</v>
      </c>
      <c r="G818" s="19"/>
      <c r="H818" s="3033" t="s">
        <v>2757</v>
      </c>
      <c r="I818" s="3033"/>
      <c r="J818" s="3033"/>
      <c r="K818" s="3033"/>
      <c r="L818" s="3040">
        <v>1900</v>
      </c>
      <c r="M818" s="3031"/>
      <c r="O818" s="3017"/>
      <c r="P818" s="3016"/>
    </row>
    <row r="819" spans="2:16">
      <c r="B819" s="3030" t="s">
        <v>4006</v>
      </c>
      <c r="C819" s="3031"/>
      <c r="D819" s="2916" t="s">
        <v>5151</v>
      </c>
      <c r="E819" s="2971">
        <v>1</v>
      </c>
      <c r="F819" s="2971" t="s">
        <v>2244</v>
      </c>
      <c r="G819" s="19"/>
      <c r="H819" s="3033" t="s">
        <v>2757</v>
      </c>
      <c r="I819" s="3033"/>
      <c r="J819" s="3033"/>
      <c r="K819" s="3033"/>
      <c r="L819" s="3040">
        <v>1700</v>
      </c>
      <c r="M819" s="3031"/>
      <c r="O819" s="3017"/>
      <c r="P819" s="3016"/>
    </row>
    <row r="820" spans="2:16">
      <c r="B820" s="3030" t="s">
        <v>4006</v>
      </c>
      <c r="C820" s="3031"/>
      <c r="D820" s="2973" t="s">
        <v>5152</v>
      </c>
      <c r="E820" s="2971">
        <v>1</v>
      </c>
      <c r="F820" s="2971" t="s">
        <v>1793</v>
      </c>
      <c r="G820" s="19"/>
      <c r="H820" s="3033" t="s">
        <v>2757</v>
      </c>
      <c r="I820" s="3033"/>
      <c r="J820" s="3033"/>
      <c r="K820" s="3033"/>
      <c r="L820" s="3040">
        <v>14500</v>
      </c>
      <c r="M820" s="3031"/>
      <c r="O820" s="3017"/>
      <c r="P820" s="3016"/>
    </row>
    <row r="821" spans="2:16">
      <c r="B821" s="3030" t="s">
        <v>4006</v>
      </c>
      <c r="C821" s="3031"/>
      <c r="D821" s="2973" t="s">
        <v>5153</v>
      </c>
      <c r="E821" s="2971">
        <v>1</v>
      </c>
      <c r="F821" s="2971" t="s">
        <v>1793</v>
      </c>
      <c r="G821" s="19"/>
      <c r="H821" s="3033" t="s">
        <v>2757</v>
      </c>
      <c r="I821" s="3033"/>
      <c r="J821" s="3033"/>
      <c r="K821" s="3033"/>
      <c r="L821" s="3040">
        <v>6800</v>
      </c>
      <c r="M821" s="3031"/>
      <c r="O821" s="3017"/>
      <c r="P821" s="3016"/>
    </row>
    <row r="822" spans="2:16">
      <c r="B822" s="3030" t="s">
        <v>4006</v>
      </c>
      <c r="C822" s="3031"/>
      <c r="D822" s="2973" t="s">
        <v>5154</v>
      </c>
      <c r="E822" s="2971">
        <v>1</v>
      </c>
      <c r="F822" s="2971" t="s">
        <v>1793</v>
      </c>
      <c r="G822" s="19"/>
      <c r="H822" s="3033" t="s">
        <v>2757</v>
      </c>
      <c r="I822" s="3033"/>
      <c r="J822" s="3033"/>
      <c r="K822" s="3033"/>
      <c r="L822" s="3040">
        <v>12800</v>
      </c>
      <c r="M822" s="3031"/>
      <c r="O822" s="3017"/>
      <c r="P822" s="3016"/>
    </row>
    <row r="823" spans="2:16">
      <c r="B823" s="3030" t="s">
        <v>4006</v>
      </c>
      <c r="C823" s="3031"/>
      <c r="D823" s="2973" t="s">
        <v>5155</v>
      </c>
      <c r="E823" s="2971">
        <v>1</v>
      </c>
      <c r="F823" s="2971" t="s">
        <v>1793</v>
      </c>
      <c r="G823" s="19"/>
      <c r="H823" s="3033" t="s">
        <v>2757</v>
      </c>
      <c r="I823" s="3033"/>
      <c r="J823" s="3033"/>
      <c r="K823" s="3033"/>
      <c r="L823" s="3040">
        <v>7500</v>
      </c>
      <c r="M823" s="3031"/>
      <c r="O823" s="3017"/>
      <c r="P823" s="3016"/>
    </row>
    <row r="824" spans="2:16">
      <c r="B824" s="3030" t="s">
        <v>4006</v>
      </c>
      <c r="C824" s="3031"/>
      <c r="D824" s="2973" t="s">
        <v>5156</v>
      </c>
      <c r="E824" s="2971">
        <v>1</v>
      </c>
      <c r="F824" s="2971" t="s">
        <v>1793</v>
      </c>
      <c r="G824" s="19"/>
      <c r="H824" s="3033" t="s">
        <v>2757</v>
      </c>
      <c r="I824" s="3033"/>
      <c r="J824" s="3033"/>
      <c r="K824" s="3033"/>
      <c r="L824" s="3040">
        <v>9100</v>
      </c>
      <c r="M824" s="3031"/>
      <c r="O824" s="3017"/>
      <c r="P824" s="3016"/>
    </row>
    <row r="825" spans="2:16">
      <c r="B825" s="3030" t="s">
        <v>4006</v>
      </c>
      <c r="C825" s="3031"/>
      <c r="D825" s="2973" t="s">
        <v>5157</v>
      </c>
      <c r="E825" s="2971">
        <v>1</v>
      </c>
      <c r="F825" s="2971" t="s">
        <v>1793</v>
      </c>
      <c r="G825" s="19"/>
      <c r="H825" s="3033" t="s">
        <v>2757</v>
      </c>
      <c r="I825" s="3033"/>
      <c r="J825" s="3033"/>
      <c r="K825" s="3033"/>
      <c r="L825" s="3040">
        <v>23400</v>
      </c>
      <c r="M825" s="3031"/>
      <c r="O825" s="3017"/>
      <c r="P825" s="3016"/>
    </row>
    <row r="826" spans="2:16">
      <c r="B826" s="3030" t="s">
        <v>4006</v>
      </c>
      <c r="C826" s="3031"/>
      <c r="D826" s="2973" t="s">
        <v>5158</v>
      </c>
      <c r="E826" s="2971">
        <v>1</v>
      </c>
      <c r="F826" s="2971" t="s">
        <v>1793</v>
      </c>
      <c r="G826" s="19"/>
      <c r="H826" s="3033" t="s">
        <v>2757</v>
      </c>
      <c r="I826" s="3033"/>
      <c r="J826" s="3033"/>
      <c r="K826" s="3033"/>
      <c r="L826" s="3040">
        <v>10200</v>
      </c>
      <c r="M826" s="3031"/>
      <c r="O826" s="3017"/>
      <c r="P826" s="3016"/>
    </row>
    <row r="827" spans="2:16">
      <c r="B827" s="3030" t="s">
        <v>4006</v>
      </c>
      <c r="C827" s="3031"/>
      <c r="D827" s="2973" t="s">
        <v>5159</v>
      </c>
      <c r="E827" s="2971">
        <v>1</v>
      </c>
      <c r="F827" s="2971" t="s">
        <v>1793</v>
      </c>
      <c r="G827" s="19"/>
      <c r="H827" s="3033" t="s">
        <v>2757</v>
      </c>
      <c r="I827" s="3033"/>
      <c r="J827" s="3033"/>
      <c r="K827" s="3033"/>
      <c r="L827" s="3040">
        <v>6200</v>
      </c>
      <c r="M827" s="3031"/>
      <c r="O827" s="3017"/>
      <c r="P827" s="3016"/>
    </row>
    <row r="828" spans="2:16">
      <c r="B828" s="3030" t="s">
        <v>4006</v>
      </c>
      <c r="C828" s="3031"/>
      <c r="D828" s="2973" t="s">
        <v>5160</v>
      </c>
      <c r="E828" s="2971">
        <v>1</v>
      </c>
      <c r="F828" s="2971" t="s">
        <v>1793</v>
      </c>
      <c r="G828" s="19"/>
      <c r="H828" s="3033" t="s">
        <v>2757</v>
      </c>
      <c r="I828" s="3033"/>
      <c r="J828" s="3033"/>
      <c r="K828" s="3033"/>
      <c r="L828" s="3040">
        <v>8700</v>
      </c>
      <c r="M828" s="3031"/>
      <c r="O828" s="3017"/>
      <c r="P828" s="3016"/>
    </row>
    <row r="829" spans="2:16">
      <c r="B829" s="3030" t="s">
        <v>4006</v>
      </c>
      <c r="C829" s="3031"/>
      <c r="D829" s="2973" t="s">
        <v>5161</v>
      </c>
      <c r="E829" s="2971">
        <v>1</v>
      </c>
      <c r="F829" s="2971" t="s">
        <v>1793</v>
      </c>
      <c r="G829" s="19"/>
      <c r="H829" s="3033" t="s">
        <v>2757</v>
      </c>
      <c r="I829" s="3033"/>
      <c r="J829" s="3033"/>
      <c r="K829" s="3033"/>
      <c r="L829" s="3040">
        <v>11000</v>
      </c>
      <c r="M829" s="3031"/>
      <c r="O829" s="3017"/>
      <c r="P829" s="3016"/>
    </row>
    <row r="830" spans="2:16">
      <c r="B830" s="3030" t="s">
        <v>4006</v>
      </c>
      <c r="C830" s="3031"/>
      <c r="D830" s="2973" t="s">
        <v>5162</v>
      </c>
      <c r="E830" s="2971">
        <v>1</v>
      </c>
      <c r="F830" s="2971" t="s">
        <v>1793</v>
      </c>
      <c r="G830" s="19"/>
      <c r="H830" s="3033" t="s">
        <v>2757</v>
      </c>
      <c r="I830" s="3033"/>
      <c r="J830" s="3033"/>
      <c r="K830" s="3033"/>
      <c r="L830" s="3040">
        <v>13900</v>
      </c>
      <c r="M830" s="3031"/>
      <c r="O830" s="3017"/>
      <c r="P830" s="3016"/>
    </row>
    <row r="831" spans="2:16">
      <c r="B831" s="3030" t="s">
        <v>4006</v>
      </c>
      <c r="C831" s="3031"/>
      <c r="D831" s="2973" t="s">
        <v>5163</v>
      </c>
      <c r="E831" s="2971">
        <v>1</v>
      </c>
      <c r="F831" s="2971" t="s">
        <v>1793</v>
      </c>
      <c r="G831" s="19"/>
      <c r="H831" s="3033" t="s">
        <v>2757</v>
      </c>
      <c r="I831" s="3033"/>
      <c r="J831" s="3033"/>
      <c r="K831" s="3033"/>
      <c r="L831" s="3040">
        <v>8200</v>
      </c>
      <c r="M831" s="3031"/>
      <c r="O831" s="3017"/>
      <c r="P831" s="3016"/>
    </row>
    <row r="832" spans="2:16">
      <c r="B832" s="3030" t="s">
        <v>4006</v>
      </c>
      <c r="C832" s="3031"/>
      <c r="D832" s="2973" t="s">
        <v>5165</v>
      </c>
      <c r="E832" s="2971">
        <v>1</v>
      </c>
      <c r="F832" s="2971" t="s">
        <v>5164</v>
      </c>
      <c r="G832" s="19"/>
      <c r="H832" s="3033" t="s">
        <v>2757</v>
      </c>
      <c r="I832" s="3033"/>
      <c r="J832" s="3033"/>
      <c r="K832" s="3033"/>
      <c r="L832" s="3040">
        <v>32500</v>
      </c>
      <c r="M832" s="3031"/>
      <c r="O832" s="3017"/>
      <c r="P832" s="3016"/>
    </row>
    <row r="833" spans="2:16">
      <c r="B833" s="3030" t="s">
        <v>4006</v>
      </c>
      <c r="C833" s="3031"/>
      <c r="D833" s="2973" t="s">
        <v>5166</v>
      </c>
      <c r="E833" s="2971">
        <v>1</v>
      </c>
      <c r="F833" s="2971" t="s">
        <v>2334</v>
      </c>
      <c r="G833" s="19"/>
      <c r="H833" s="3033" t="s">
        <v>2757</v>
      </c>
      <c r="I833" s="3033"/>
      <c r="J833" s="3033"/>
      <c r="K833" s="3033"/>
      <c r="L833" s="3040">
        <v>32000</v>
      </c>
      <c r="M833" s="3031"/>
      <c r="O833" s="3017"/>
      <c r="P833" s="3016"/>
    </row>
    <row r="834" spans="2:16">
      <c r="B834" s="3030" t="s">
        <v>4006</v>
      </c>
      <c r="C834" s="3031"/>
      <c r="D834" s="2916" t="s">
        <v>5167</v>
      </c>
      <c r="E834" s="2971">
        <v>1</v>
      </c>
      <c r="F834" s="2971" t="s">
        <v>2334</v>
      </c>
      <c r="G834" s="19"/>
      <c r="H834" s="3033" t="s">
        <v>2757</v>
      </c>
      <c r="I834" s="3033"/>
      <c r="J834" s="3033"/>
      <c r="K834" s="3033"/>
      <c r="L834" s="3040">
        <v>32000</v>
      </c>
      <c r="M834" s="3031"/>
      <c r="O834" s="3017"/>
      <c r="P834" s="3016"/>
    </row>
    <row r="835" spans="2:16">
      <c r="B835" s="3030" t="s">
        <v>4006</v>
      </c>
      <c r="C835" s="3031"/>
      <c r="D835" s="2973" t="s">
        <v>5168</v>
      </c>
      <c r="E835" s="2971">
        <v>1</v>
      </c>
      <c r="F835" s="2971" t="s">
        <v>2334</v>
      </c>
      <c r="G835" s="19"/>
      <c r="H835" s="3033" t="s">
        <v>2757</v>
      </c>
      <c r="I835" s="3033"/>
      <c r="J835" s="3033"/>
      <c r="K835" s="3033"/>
      <c r="L835" s="3040">
        <v>32000</v>
      </c>
      <c r="M835" s="3031"/>
      <c r="O835" s="3017"/>
      <c r="P835" s="3016"/>
    </row>
    <row r="836" spans="2:16">
      <c r="B836" s="3030" t="s">
        <v>4006</v>
      </c>
      <c r="C836" s="3031"/>
      <c r="D836" s="2973" t="s">
        <v>5169</v>
      </c>
      <c r="E836" s="2971">
        <v>1</v>
      </c>
      <c r="F836" s="2971" t="s">
        <v>1793</v>
      </c>
      <c r="G836" s="19"/>
      <c r="H836" s="3033" t="s">
        <v>2757</v>
      </c>
      <c r="I836" s="3033"/>
      <c r="J836" s="3033"/>
      <c r="K836" s="3033"/>
      <c r="L836" s="3040">
        <v>15000</v>
      </c>
      <c r="M836" s="3031"/>
      <c r="O836" s="3017"/>
      <c r="P836" s="3016"/>
    </row>
    <row r="837" spans="2:16">
      <c r="B837" s="3030" t="s">
        <v>4006</v>
      </c>
      <c r="C837" s="3031"/>
      <c r="D837" s="3052" t="s">
        <v>5170</v>
      </c>
      <c r="E837" s="2971">
        <v>0</v>
      </c>
      <c r="F837" s="2971"/>
      <c r="G837" s="19"/>
      <c r="H837" s="3033" t="s">
        <v>2757</v>
      </c>
      <c r="I837" s="3033"/>
      <c r="J837" s="3033"/>
      <c r="K837" s="3033"/>
      <c r="L837" s="3040"/>
      <c r="M837" s="3031"/>
      <c r="O837" s="3017"/>
      <c r="P837" s="3016"/>
    </row>
    <row r="838" spans="2:16">
      <c r="B838" s="3030" t="s">
        <v>4006</v>
      </c>
      <c r="C838" s="3031"/>
      <c r="D838" s="2916" t="s">
        <v>5171</v>
      </c>
      <c r="E838" s="2971">
        <v>175</v>
      </c>
      <c r="F838" s="2971" t="s">
        <v>1700</v>
      </c>
      <c r="G838" s="19"/>
      <c r="H838" s="3033" t="s">
        <v>2757</v>
      </c>
      <c r="I838" s="3033"/>
      <c r="J838" s="3033"/>
      <c r="K838" s="3033"/>
      <c r="L838" s="3040">
        <v>968675</v>
      </c>
      <c r="M838" s="3031"/>
      <c r="O838" s="3017"/>
      <c r="P838" s="3016"/>
    </row>
    <row r="839" spans="2:16">
      <c r="B839" s="3030" t="s">
        <v>4006</v>
      </c>
      <c r="C839" s="3031"/>
      <c r="D839" s="2916" t="s">
        <v>5172</v>
      </c>
      <c r="E839" s="2971">
        <v>10</v>
      </c>
      <c r="F839" s="2971" t="s">
        <v>1700</v>
      </c>
      <c r="G839" s="19"/>
      <c r="H839" s="3033" t="s">
        <v>2757</v>
      </c>
      <c r="I839" s="3033"/>
      <c r="J839" s="3033"/>
      <c r="K839" s="3033"/>
      <c r="L839" s="3040">
        <v>92250</v>
      </c>
      <c r="M839" s="3031"/>
      <c r="O839" s="3017"/>
      <c r="P839" s="3016"/>
    </row>
    <row r="840" spans="2:16" ht="51">
      <c r="B840" s="3030" t="s">
        <v>4006</v>
      </c>
      <c r="C840" s="3031"/>
      <c r="D840" s="2916" t="s">
        <v>5173</v>
      </c>
      <c r="E840" s="2971">
        <v>71</v>
      </c>
      <c r="F840" s="2971" t="s">
        <v>1700</v>
      </c>
      <c r="G840" s="19"/>
      <c r="H840" s="3033" t="s">
        <v>2757</v>
      </c>
      <c r="I840" s="3033"/>
      <c r="J840" s="3033"/>
      <c r="K840" s="3033"/>
      <c r="L840" s="3040">
        <v>318877</v>
      </c>
      <c r="M840" s="3031"/>
      <c r="O840" s="3017"/>
      <c r="P840" s="3016"/>
    </row>
    <row r="841" spans="2:16">
      <c r="B841" s="3030" t="s">
        <v>4006</v>
      </c>
      <c r="C841" s="3031"/>
      <c r="D841" s="2916" t="s">
        <v>5174</v>
      </c>
      <c r="E841" s="2971">
        <v>16</v>
      </c>
      <c r="F841" s="2971" t="s">
        <v>1700</v>
      </c>
      <c r="G841" s="19"/>
      <c r="H841" s="3033" t="s">
        <v>2757</v>
      </c>
      <c r="I841" s="3033"/>
      <c r="J841" s="3033"/>
      <c r="K841" s="3033"/>
      <c r="L841" s="3040">
        <v>79450</v>
      </c>
      <c r="M841" s="3031"/>
      <c r="O841" s="3017"/>
      <c r="P841" s="3016"/>
    </row>
    <row r="842" spans="2:16">
      <c r="B842" s="3030" t="s">
        <v>4006</v>
      </c>
      <c r="C842" s="3031"/>
      <c r="D842" s="2916" t="s">
        <v>5175</v>
      </c>
      <c r="E842" s="2971">
        <v>9</v>
      </c>
      <c r="F842" s="2971" t="s">
        <v>1700</v>
      </c>
      <c r="G842" s="19"/>
      <c r="H842" s="3033" t="s">
        <v>2757</v>
      </c>
      <c r="I842" s="3033"/>
      <c r="J842" s="3033"/>
      <c r="K842" s="3033"/>
      <c r="L842" s="3040">
        <v>41800</v>
      </c>
      <c r="M842" s="3031"/>
      <c r="O842" s="3017"/>
      <c r="P842" s="3016"/>
    </row>
    <row r="843" spans="2:16">
      <c r="B843" s="3030" t="s">
        <v>4006</v>
      </c>
      <c r="C843" s="3031"/>
      <c r="D843" s="2916" t="s">
        <v>5176</v>
      </c>
      <c r="E843" s="2971">
        <v>97</v>
      </c>
      <c r="F843" s="2971" t="s">
        <v>1700</v>
      </c>
      <c r="G843" s="19"/>
      <c r="H843" s="3033" t="s">
        <v>2757</v>
      </c>
      <c r="I843" s="3033"/>
      <c r="J843" s="3033"/>
      <c r="K843" s="3033"/>
      <c r="L843" s="3040">
        <v>391985</v>
      </c>
      <c r="M843" s="3031"/>
      <c r="O843" s="3017"/>
      <c r="P843" s="3016"/>
    </row>
    <row r="844" spans="2:16">
      <c r="B844" s="3030" t="s">
        <v>4006</v>
      </c>
      <c r="C844" s="3031"/>
      <c r="D844" s="2916" t="s">
        <v>5177</v>
      </c>
      <c r="E844" s="2971">
        <v>20</v>
      </c>
      <c r="F844" s="2971" t="s">
        <v>1700</v>
      </c>
      <c r="G844" s="19"/>
      <c r="H844" s="3033" t="s">
        <v>2757</v>
      </c>
      <c r="I844" s="3033"/>
      <c r="J844" s="3033"/>
      <c r="K844" s="3033"/>
      <c r="L844" s="3040">
        <v>110000</v>
      </c>
      <c r="M844" s="3031"/>
      <c r="O844" s="3017"/>
      <c r="P844" s="3016"/>
    </row>
    <row r="845" spans="2:16">
      <c r="B845" s="3030" t="s">
        <v>4006</v>
      </c>
      <c r="C845" s="3031"/>
      <c r="D845" s="2916" t="s">
        <v>5178</v>
      </c>
      <c r="E845" s="2971">
        <v>6</v>
      </c>
      <c r="F845" s="2971" t="s">
        <v>1700</v>
      </c>
      <c r="G845" s="19"/>
      <c r="H845" s="3033" t="s">
        <v>2757</v>
      </c>
      <c r="I845" s="3033"/>
      <c r="J845" s="3033"/>
      <c r="K845" s="3033"/>
      <c r="L845" s="3040">
        <v>26485</v>
      </c>
      <c r="M845" s="3031"/>
      <c r="O845" s="3017"/>
      <c r="P845" s="3016"/>
    </row>
    <row r="846" spans="2:16">
      <c r="B846" s="3030" t="s">
        <v>4006</v>
      </c>
      <c r="C846" s="3031"/>
      <c r="D846" s="2916" t="s">
        <v>5179</v>
      </c>
      <c r="E846" s="2971">
        <v>70</v>
      </c>
      <c r="F846" s="2971" t="s">
        <v>1700</v>
      </c>
      <c r="G846" s="19"/>
      <c r="H846" s="3033" t="s">
        <v>2757</v>
      </c>
      <c r="I846" s="3033"/>
      <c r="J846" s="3033"/>
      <c r="K846" s="3033"/>
      <c r="L846" s="3040">
        <v>326900</v>
      </c>
      <c r="M846" s="3031"/>
      <c r="O846" s="3017"/>
      <c r="P846" s="3016"/>
    </row>
    <row r="847" spans="2:16">
      <c r="B847" s="3030" t="s">
        <v>4006</v>
      </c>
      <c r="C847" s="3031"/>
      <c r="D847" s="2916" t="s">
        <v>5180</v>
      </c>
      <c r="E847" s="2971">
        <v>30</v>
      </c>
      <c r="F847" s="2971" t="s">
        <v>1700</v>
      </c>
      <c r="G847" s="19"/>
      <c r="H847" s="3033" t="s">
        <v>2757</v>
      </c>
      <c r="I847" s="3033"/>
      <c r="J847" s="3033"/>
      <c r="K847" s="3033"/>
      <c r="L847" s="3040">
        <v>45000</v>
      </c>
      <c r="M847" s="3031"/>
      <c r="O847" s="3017"/>
      <c r="P847" s="3016"/>
    </row>
    <row r="848" spans="2:16">
      <c r="B848" s="3030" t="s">
        <v>4006</v>
      </c>
      <c r="C848" s="3031"/>
      <c r="D848" s="2916" t="s">
        <v>5181</v>
      </c>
      <c r="E848" s="2971">
        <v>20</v>
      </c>
      <c r="F848" s="2971" t="s">
        <v>1700</v>
      </c>
      <c r="G848" s="19"/>
      <c r="H848" s="3033" t="s">
        <v>2757</v>
      </c>
      <c r="I848" s="3033"/>
      <c r="J848" s="3033"/>
      <c r="K848" s="3033"/>
      <c r="L848" s="3040">
        <v>80000</v>
      </c>
      <c r="M848" s="3031"/>
      <c r="O848" s="3017"/>
      <c r="P848" s="3016"/>
    </row>
    <row r="849" spans="1:16">
      <c r="B849" s="3030" t="s">
        <v>4006</v>
      </c>
      <c r="C849" s="3031"/>
      <c r="D849" s="2916" t="s">
        <v>5182</v>
      </c>
      <c r="E849" s="2971">
        <v>20</v>
      </c>
      <c r="F849" s="2971" t="s">
        <v>1793</v>
      </c>
      <c r="G849" s="19"/>
      <c r="H849" s="3033" t="s">
        <v>2757</v>
      </c>
      <c r="I849" s="3033"/>
      <c r="J849" s="3033"/>
      <c r="K849" s="3033"/>
      <c r="L849" s="3040">
        <v>7900</v>
      </c>
      <c r="M849" s="3031"/>
      <c r="O849" s="3017"/>
      <c r="P849" s="3016"/>
    </row>
    <row r="850" spans="1:16" ht="25.5">
      <c r="B850" s="3030" t="s">
        <v>4006</v>
      </c>
      <c r="C850" s="3031"/>
      <c r="D850" s="2916" t="s">
        <v>5183</v>
      </c>
      <c r="E850" s="2971">
        <v>20</v>
      </c>
      <c r="F850" s="2971" t="s">
        <v>1700</v>
      </c>
      <c r="G850" s="19"/>
      <c r="H850" s="3033" t="s">
        <v>2757</v>
      </c>
      <c r="I850" s="3033"/>
      <c r="J850" s="3033"/>
      <c r="K850" s="3033"/>
      <c r="L850" s="3040">
        <v>109900</v>
      </c>
      <c r="M850" s="3031"/>
      <c r="O850" s="3017"/>
      <c r="P850" s="3016"/>
    </row>
    <row r="851" spans="1:16" ht="25.5">
      <c r="B851" s="3030" t="s">
        <v>4006</v>
      </c>
      <c r="C851" s="3055"/>
      <c r="D851" s="2916" t="s">
        <v>5101</v>
      </c>
      <c r="E851" s="2971">
        <v>5</v>
      </c>
      <c r="F851" s="2971" t="s">
        <v>1841</v>
      </c>
      <c r="G851" s="19"/>
      <c r="H851" s="3033" t="s">
        <v>2757</v>
      </c>
      <c r="I851" s="3033"/>
      <c r="J851" s="3033"/>
      <c r="K851" s="3033"/>
      <c r="L851" s="3040">
        <v>125000</v>
      </c>
      <c r="M851" s="3031"/>
      <c r="O851" s="3017"/>
      <c r="P851" s="3016"/>
    </row>
    <row r="852" spans="1:16">
      <c r="B852" s="3030" t="s">
        <v>4006</v>
      </c>
      <c r="C852" s="3031"/>
      <c r="D852" s="2916" t="s">
        <v>5102</v>
      </c>
      <c r="E852" s="2971">
        <v>1</v>
      </c>
      <c r="F852" s="2971" t="s">
        <v>1057</v>
      </c>
      <c r="G852" s="19"/>
      <c r="H852" s="3033" t="s">
        <v>2757</v>
      </c>
      <c r="I852" s="3033"/>
      <c r="J852" s="3033"/>
      <c r="K852" s="3033"/>
      <c r="L852" s="3040">
        <v>8000</v>
      </c>
      <c r="M852" s="3031"/>
      <c r="O852" s="3017"/>
      <c r="P852" s="3016"/>
    </row>
    <row r="853" spans="1:16">
      <c r="B853" s="3030" t="s">
        <v>4006</v>
      </c>
      <c r="C853" s="3031"/>
      <c r="D853" s="2916" t="s">
        <v>5103</v>
      </c>
      <c r="E853" s="2971">
        <v>1</v>
      </c>
      <c r="F853" s="2971" t="s">
        <v>1057</v>
      </c>
      <c r="G853" s="19"/>
      <c r="H853" s="3033" t="s">
        <v>2757</v>
      </c>
      <c r="I853" s="3033"/>
      <c r="J853" s="3033"/>
      <c r="K853" s="3033"/>
      <c r="L853" s="3040">
        <v>8000</v>
      </c>
      <c r="M853" s="3031"/>
      <c r="O853" s="3017"/>
      <c r="P853" s="3016"/>
    </row>
    <row r="854" spans="1:16">
      <c r="A854" s="3022"/>
      <c r="B854" s="3030" t="s">
        <v>4006</v>
      </c>
      <c r="C854" s="3031"/>
      <c r="D854" s="3053" t="s">
        <v>5184</v>
      </c>
      <c r="E854" s="2971"/>
      <c r="F854" s="2971"/>
      <c r="G854" s="19"/>
      <c r="H854" s="3033" t="s">
        <v>2757</v>
      </c>
      <c r="I854" s="3033"/>
      <c r="J854" s="3033"/>
      <c r="K854" s="3033"/>
      <c r="L854" s="3040"/>
      <c r="M854" s="3031"/>
      <c r="O854" s="3017"/>
      <c r="P854" s="3016"/>
    </row>
    <row r="855" spans="1:16">
      <c r="A855" s="3022"/>
      <c r="B855" s="3030" t="s">
        <v>4006</v>
      </c>
      <c r="C855" s="3031"/>
      <c r="D855" s="2916" t="s">
        <v>5186</v>
      </c>
      <c r="E855" s="2971">
        <v>5</v>
      </c>
      <c r="F855" s="2971" t="s">
        <v>5185</v>
      </c>
      <c r="G855" s="19"/>
      <c r="H855" s="3033" t="s">
        <v>2757</v>
      </c>
      <c r="I855" s="3033"/>
      <c r="J855" s="3033"/>
      <c r="K855" s="3033"/>
      <c r="L855" s="3040">
        <v>39500</v>
      </c>
      <c r="M855" s="3031"/>
      <c r="O855" s="3017"/>
      <c r="P855" s="3016"/>
    </row>
    <row r="856" spans="1:16">
      <c r="A856" s="3022"/>
      <c r="B856" s="3030" t="s">
        <v>4006</v>
      </c>
      <c r="C856" s="3031"/>
      <c r="D856" s="2916" t="s">
        <v>5187</v>
      </c>
      <c r="E856" s="2971">
        <v>11</v>
      </c>
      <c r="F856" s="2971" t="s">
        <v>5185</v>
      </c>
      <c r="G856" s="19"/>
      <c r="H856" s="3033" t="s">
        <v>2757</v>
      </c>
      <c r="I856" s="3033"/>
      <c r="J856" s="3033"/>
      <c r="K856" s="3033"/>
      <c r="L856" s="3040">
        <v>91400</v>
      </c>
      <c r="M856" s="3031"/>
      <c r="O856" s="3017"/>
      <c r="P856" s="3016"/>
    </row>
    <row r="857" spans="1:16">
      <c r="A857" s="3022"/>
      <c r="B857" s="3030" t="s">
        <v>4006</v>
      </c>
      <c r="C857" s="3031"/>
      <c r="D857" s="2916" t="s">
        <v>5188</v>
      </c>
      <c r="E857" s="2971">
        <v>6</v>
      </c>
      <c r="F857" s="2971" t="s">
        <v>1793</v>
      </c>
      <c r="G857" s="19"/>
      <c r="H857" s="3033" t="s">
        <v>2757</v>
      </c>
      <c r="I857" s="3033"/>
      <c r="J857" s="3033"/>
      <c r="K857" s="3033"/>
      <c r="L857" s="3040">
        <v>52800</v>
      </c>
      <c r="M857" s="3031"/>
      <c r="O857" s="3017"/>
      <c r="P857" s="3016"/>
    </row>
    <row r="858" spans="1:16">
      <c r="A858" s="3022"/>
      <c r="B858" s="3030" t="s">
        <v>4006</v>
      </c>
      <c r="C858" s="3031"/>
      <c r="D858" s="2916" t="s">
        <v>5189</v>
      </c>
      <c r="E858" s="2971">
        <v>4</v>
      </c>
      <c r="F858" s="2971" t="s">
        <v>1793</v>
      </c>
      <c r="G858" s="19"/>
      <c r="H858" s="3033" t="s">
        <v>2757</v>
      </c>
      <c r="I858" s="3033"/>
      <c r="J858" s="3033"/>
      <c r="K858" s="3033"/>
      <c r="L858" s="3040">
        <v>293210</v>
      </c>
      <c r="M858" s="3031"/>
      <c r="O858" s="3017"/>
      <c r="P858" s="3016"/>
    </row>
    <row r="859" spans="1:16">
      <c r="B859" s="3030" t="s">
        <v>4006</v>
      </c>
      <c r="C859" s="3031"/>
      <c r="D859" s="2916" t="s">
        <v>5190</v>
      </c>
      <c r="E859" s="2971">
        <v>2</v>
      </c>
      <c r="F859" s="2971" t="s">
        <v>1841</v>
      </c>
      <c r="G859" s="19"/>
      <c r="H859" s="3033" t="s">
        <v>2757</v>
      </c>
      <c r="I859" s="3033"/>
      <c r="J859" s="3033"/>
      <c r="K859" s="3033"/>
      <c r="L859" s="3040">
        <v>247356</v>
      </c>
      <c r="M859" s="3031"/>
      <c r="O859" s="3017"/>
      <c r="P859" s="3016"/>
    </row>
    <row r="860" spans="1:16">
      <c r="A860" s="143"/>
      <c r="B860" s="3030" t="s">
        <v>4006</v>
      </c>
      <c r="C860" s="3031"/>
      <c r="D860" s="2916" t="s">
        <v>5191</v>
      </c>
      <c r="E860" s="2971">
        <v>5</v>
      </c>
      <c r="F860" s="2971" t="s">
        <v>1793</v>
      </c>
      <c r="G860" s="19"/>
      <c r="H860" s="3033" t="s">
        <v>2757</v>
      </c>
      <c r="I860" s="3033"/>
      <c r="J860" s="3033"/>
      <c r="K860" s="3033"/>
      <c r="L860" s="3040">
        <v>167631</v>
      </c>
      <c r="M860" s="3031"/>
      <c r="O860" s="3017"/>
      <c r="P860" s="3016"/>
    </row>
    <row r="861" spans="1:16">
      <c r="A861" s="143"/>
      <c r="B861" s="3030" t="s">
        <v>4006</v>
      </c>
      <c r="C861" s="3031"/>
      <c r="D861" s="2916" t="s">
        <v>5192</v>
      </c>
      <c r="E861" s="2971">
        <v>2</v>
      </c>
      <c r="F861" s="2971" t="s">
        <v>1793</v>
      </c>
      <c r="G861" s="19"/>
      <c r="H861" s="3033" t="s">
        <v>2757</v>
      </c>
      <c r="I861" s="3033"/>
      <c r="J861" s="3033"/>
      <c r="K861" s="3033"/>
      <c r="L861" s="3040">
        <v>83635</v>
      </c>
      <c r="M861" s="3031"/>
      <c r="O861" s="3017"/>
      <c r="P861" s="3016"/>
    </row>
    <row r="862" spans="1:16">
      <c r="A862" s="143"/>
      <c r="B862" s="3030" t="s">
        <v>4006</v>
      </c>
      <c r="C862" s="3031"/>
      <c r="D862" s="2916" t="s">
        <v>5193</v>
      </c>
      <c r="E862" s="2971">
        <v>7</v>
      </c>
      <c r="F862" s="2971" t="s">
        <v>5080</v>
      </c>
      <c r="G862" s="19"/>
      <c r="H862" s="3033" t="s">
        <v>2757</v>
      </c>
      <c r="I862" s="3033"/>
      <c r="J862" s="3033"/>
      <c r="K862" s="3033"/>
      <c r="L862" s="3040">
        <v>416340</v>
      </c>
      <c r="M862" s="3031"/>
      <c r="O862" s="3017"/>
      <c r="P862" s="3016"/>
    </row>
    <row r="863" spans="1:16" ht="25.5">
      <c r="A863" s="143"/>
      <c r="B863" s="3030" t="s">
        <v>4006</v>
      </c>
      <c r="C863" s="3031"/>
      <c r="D863" s="2916" t="s">
        <v>5194</v>
      </c>
      <c r="E863" s="2971">
        <v>13</v>
      </c>
      <c r="F863" s="2971" t="s">
        <v>5080</v>
      </c>
      <c r="G863" s="19"/>
      <c r="H863" s="3033" t="s">
        <v>2757</v>
      </c>
      <c r="I863" s="3033"/>
      <c r="J863" s="3033"/>
      <c r="K863" s="3033"/>
      <c r="L863" s="3040">
        <v>811800</v>
      </c>
      <c r="M863" s="3031"/>
      <c r="O863" s="3017"/>
      <c r="P863" s="3016"/>
    </row>
    <row r="864" spans="1:16">
      <c r="A864" s="143"/>
      <c r="B864" s="3030" t="s">
        <v>4006</v>
      </c>
      <c r="C864" s="3031"/>
      <c r="D864" s="2916" t="s">
        <v>5195</v>
      </c>
      <c r="E864" s="2971">
        <v>3</v>
      </c>
      <c r="F864" s="2971" t="s">
        <v>5080</v>
      </c>
      <c r="G864" s="19"/>
      <c r="H864" s="3033" t="s">
        <v>2757</v>
      </c>
      <c r="I864" s="3033"/>
      <c r="J864" s="3033"/>
      <c r="K864" s="3033"/>
      <c r="L864" s="3040">
        <v>378265</v>
      </c>
      <c r="M864" s="3031"/>
      <c r="O864" s="3017"/>
      <c r="P864" s="3016"/>
    </row>
    <row r="865" spans="2:16">
      <c r="B865" s="3030" t="s">
        <v>4006</v>
      </c>
      <c r="C865" s="3031"/>
      <c r="D865" s="2916" t="s">
        <v>5196</v>
      </c>
      <c r="E865" s="2971">
        <v>1</v>
      </c>
      <c r="F865" s="2971" t="s">
        <v>5080</v>
      </c>
      <c r="G865" s="19"/>
      <c r="H865" s="3033" t="s">
        <v>2757</v>
      </c>
      <c r="I865" s="3033"/>
      <c r="J865" s="3033"/>
      <c r="K865" s="3033"/>
      <c r="L865" s="3040">
        <v>49622</v>
      </c>
      <c r="M865" s="3031"/>
      <c r="O865" s="3017"/>
      <c r="P865" s="3016"/>
    </row>
    <row r="866" spans="2:16">
      <c r="B866" s="3030" t="s">
        <v>4006</v>
      </c>
      <c r="C866" s="3031"/>
      <c r="D866" s="2916" t="s">
        <v>5197</v>
      </c>
      <c r="E866" s="2971">
        <v>4</v>
      </c>
      <c r="F866" s="2971" t="s">
        <v>5080</v>
      </c>
      <c r="G866" s="19"/>
      <c r="H866" s="3033" t="s">
        <v>2757</v>
      </c>
      <c r="I866" s="3033"/>
      <c r="J866" s="3033"/>
      <c r="K866" s="3033"/>
      <c r="L866" s="3040">
        <v>348512</v>
      </c>
      <c r="M866" s="3031"/>
      <c r="O866" s="3017"/>
      <c r="P866" s="3016"/>
    </row>
    <row r="867" spans="2:16">
      <c r="B867" s="3030" t="s">
        <v>4006</v>
      </c>
      <c r="C867" s="3031"/>
      <c r="D867" s="2916" t="s">
        <v>5198</v>
      </c>
      <c r="E867" s="2971">
        <v>3</v>
      </c>
      <c r="F867" s="2971" t="s">
        <v>5080</v>
      </c>
      <c r="G867" s="19"/>
      <c r="H867" s="3033" t="s">
        <v>2757</v>
      </c>
      <c r="I867" s="3033"/>
      <c r="J867" s="3033"/>
      <c r="K867" s="3033"/>
      <c r="L867" s="3040">
        <v>243934</v>
      </c>
      <c r="M867" s="3031"/>
      <c r="O867" s="3017"/>
      <c r="P867" s="3016"/>
    </row>
    <row r="868" spans="2:16">
      <c r="B868" s="3030" t="s">
        <v>4006</v>
      </c>
      <c r="C868" s="3031"/>
      <c r="D868" s="2916" t="s">
        <v>5199</v>
      </c>
      <c r="E868" s="2971">
        <v>4</v>
      </c>
      <c r="F868" s="2971" t="s">
        <v>5080</v>
      </c>
      <c r="G868" s="19"/>
      <c r="H868" s="3033" t="s">
        <v>2757</v>
      </c>
      <c r="I868" s="3033"/>
      <c r="J868" s="3033"/>
      <c r="K868" s="3033"/>
      <c r="L868" s="3040">
        <v>330895</v>
      </c>
      <c r="M868" s="3031"/>
      <c r="O868" s="3017"/>
      <c r="P868" s="3016"/>
    </row>
    <row r="869" spans="2:16">
      <c r="B869" s="3030" t="s">
        <v>4006</v>
      </c>
      <c r="C869" s="3031"/>
      <c r="D869" s="2916" t="s">
        <v>5200</v>
      </c>
      <c r="E869" s="2971">
        <v>1</v>
      </c>
      <c r="F869" s="2971" t="s">
        <v>5080</v>
      </c>
      <c r="G869" s="19"/>
      <c r="H869" s="3033" t="s">
        <v>2757</v>
      </c>
      <c r="I869" s="3033"/>
      <c r="J869" s="3033"/>
      <c r="K869" s="3033"/>
      <c r="L869" s="3040">
        <v>73155</v>
      </c>
      <c r="M869" s="3031"/>
      <c r="O869" s="3017"/>
      <c r="P869" s="3016"/>
    </row>
    <row r="870" spans="2:16">
      <c r="B870" s="3030" t="s">
        <v>4006</v>
      </c>
      <c r="C870" s="3031"/>
      <c r="D870" s="2916" t="s">
        <v>5201</v>
      </c>
      <c r="E870" s="2971">
        <v>1</v>
      </c>
      <c r="F870" s="2971" t="s">
        <v>5080</v>
      </c>
      <c r="G870" s="19"/>
      <c r="H870" s="3033" t="s">
        <v>2757</v>
      </c>
      <c r="I870" s="3033"/>
      <c r="J870" s="3033"/>
      <c r="K870" s="3033"/>
      <c r="L870" s="3040">
        <v>52172</v>
      </c>
      <c r="M870" s="3031"/>
      <c r="O870" s="3017"/>
      <c r="P870" s="3016"/>
    </row>
    <row r="871" spans="2:16">
      <c r="B871" s="3030" t="s">
        <v>4006</v>
      </c>
      <c r="C871" s="3031"/>
      <c r="D871" s="2916" t="s">
        <v>5202</v>
      </c>
      <c r="E871" s="2971">
        <v>3</v>
      </c>
      <c r="F871" s="2971" t="s">
        <v>5080</v>
      </c>
      <c r="G871" s="19"/>
      <c r="H871" s="3033" t="s">
        <v>2757</v>
      </c>
      <c r="I871" s="3033"/>
      <c r="J871" s="3033"/>
      <c r="K871" s="3033"/>
      <c r="L871" s="3040">
        <v>92172</v>
      </c>
      <c r="M871" s="3031"/>
      <c r="O871" s="3017"/>
      <c r="P871" s="3016"/>
    </row>
    <row r="872" spans="2:16">
      <c r="B872" s="3030" t="s">
        <v>4006</v>
      </c>
      <c r="C872" s="3031"/>
      <c r="D872" s="2916" t="s">
        <v>5203</v>
      </c>
      <c r="E872" s="2971">
        <v>2</v>
      </c>
      <c r="F872" s="2971" t="s">
        <v>5080</v>
      </c>
      <c r="G872" s="19"/>
      <c r="H872" s="3033" t="s">
        <v>2757</v>
      </c>
      <c r="I872" s="3033"/>
      <c r="J872" s="3033"/>
      <c r="K872" s="3033"/>
      <c r="L872" s="3040">
        <v>51710</v>
      </c>
      <c r="M872" s="3031"/>
      <c r="O872" s="3017"/>
      <c r="P872" s="3016"/>
    </row>
    <row r="873" spans="2:16">
      <c r="B873" s="3030" t="s">
        <v>4006</v>
      </c>
      <c r="C873" s="3031"/>
      <c r="D873" s="2916" t="s">
        <v>5204</v>
      </c>
      <c r="E873" s="2971">
        <v>2</v>
      </c>
      <c r="F873" s="2971" t="s">
        <v>5080</v>
      </c>
      <c r="G873" s="19"/>
      <c r="H873" s="3033" t="s">
        <v>2757</v>
      </c>
      <c r="I873" s="3033"/>
      <c r="J873" s="3033"/>
      <c r="K873" s="3033"/>
      <c r="L873" s="3040">
        <v>61796</v>
      </c>
      <c r="M873" s="3031"/>
      <c r="O873" s="3017"/>
      <c r="P873" s="3016"/>
    </row>
    <row r="874" spans="2:16" ht="25.5">
      <c r="B874" s="3030" t="s">
        <v>4006</v>
      </c>
      <c r="C874" s="3031"/>
      <c r="D874" s="2916" t="s">
        <v>5206</v>
      </c>
      <c r="E874" s="2971">
        <v>1</v>
      </c>
      <c r="F874" s="2971" t="s">
        <v>5205</v>
      </c>
      <c r="G874" s="19"/>
      <c r="H874" s="3033" t="s">
        <v>2757</v>
      </c>
      <c r="I874" s="3033"/>
      <c r="J874" s="3033"/>
      <c r="K874" s="3033"/>
      <c r="L874" s="3040">
        <v>37216</v>
      </c>
      <c r="M874" s="3031"/>
      <c r="O874" s="3017"/>
      <c r="P874" s="3016"/>
    </row>
    <row r="875" spans="2:16">
      <c r="B875" s="3030" t="s">
        <v>4006</v>
      </c>
      <c r="C875" s="3031"/>
      <c r="D875" s="3053" t="s">
        <v>5207</v>
      </c>
      <c r="E875" s="2971"/>
      <c r="F875" s="2971"/>
      <c r="G875" s="19"/>
      <c r="H875" s="3033" t="s">
        <v>2757</v>
      </c>
      <c r="I875" s="3033"/>
      <c r="J875" s="3033"/>
      <c r="K875" s="3033"/>
      <c r="L875" s="3040"/>
      <c r="M875" s="3031"/>
      <c r="O875" s="3017"/>
      <c r="P875" s="3016"/>
    </row>
    <row r="876" spans="2:16" ht="25.5">
      <c r="B876" s="3030" t="s">
        <v>4006</v>
      </c>
      <c r="C876" s="3031"/>
      <c r="D876" s="2916" t="s">
        <v>5208</v>
      </c>
      <c r="E876" s="2971">
        <v>120</v>
      </c>
      <c r="F876" s="2971" t="s">
        <v>1793</v>
      </c>
      <c r="G876" s="19"/>
      <c r="H876" s="3033" t="s">
        <v>5209</v>
      </c>
      <c r="I876" s="3033"/>
      <c r="J876" s="3033"/>
      <c r="K876" s="3033"/>
      <c r="L876" s="3040">
        <v>216000</v>
      </c>
      <c r="M876" s="3031"/>
      <c r="O876" s="3017" t="s">
        <v>5210</v>
      </c>
      <c r="P876" s="3016"/>
    </row>
    <row r="877" spans="2:16">
      <c r="B877" s="3030" t="s">
        <v>4006</v>
      </c>
      <c r="C877" s="3031"/>
      <c r="D877" s="2916" t="s">
        <v>5211</v>
      </c>
      <c r="E877" s="2971">
        <v>6</v>
      </c>
      <c r="F877" s="2971" t="s">
        <v>1841</v>
      </c>
      <c r="G877" s="19"/>
      <c r="H877" s="3033" t="s">
        <v>2757</v>
      </c>
      <c r="I877" s="3033"/>
      <c r="J877" s="3033"/>
      <c r="K877" s="3033"/>
      <c r="L877" s="3040">
        <v>240000</v>
      </c>
      <c r="M877" s="3031"/>
      <c r="O877" s="3017"/>
      <c r="P877" s="3016"/>
    </row>
    <row r="878" spans="2:16">
      <c r="B878" s="3030" t="s">
        <v>4006</v>
      </c>
      <c r="C878" s="3031"/>
      <c r="D878" s="2916" t="s">
        <v>5212</v>
      </c>
      <c r="E878" s="2971">
        <v>10</v>
      </c>
      <c r="F878" s="2971" t="s">
        <v>1793</v>
      </c>
      <c r="G878" s="19"/>
      <c r="H878" s="3033" t="s">
        <v>2757</v>
      </c>
      <c r="I878" s="3033"/>
      <c r="J878" s="3033"/>
      <c r="K878" s="3033"/>
      <c r="L878" s="3040">
        <v>88740</v>
      </c>
      <c r="M878" s="3031"/>
      <c r="O878" s="3017"/>
      <c r="P878" s="3016"/>
    </row>
    <row r="879" spans="2:16">
      <c r="B879" s="3030" t="s">
        <v>4006</v>
      </c>
      <c r="C879" s="3031"/>
      <c r="D879" s="2916" t="s">
        <v>5213</v>
      </c>
      <c r="E879" s="2971">
        <v>14</v>
      </c>
      <c r="F879" s="2971" t="s">
        <v>1793</v>
      </c>
      <c r="G879" s="19"/>
      <c r="H879" s="3033" t="s">
        <v>2757</v>
      </c>
      <c r="I879" s="3033"/>
      <c r="J879" s="3033"/>
      <c r="K879" s="3033"/>
      <c r="L879" s="3040">
        <v>147000</v>
      </c>
      <c r="M879" s="3031"/>
      <c r="O879" s="3017"/>
      <c r="P879" s="3016"/>
    </row>
    <row r="880" spans="2:16">
      <c r="B880" s="3030" t="s">
        <v>4006</v>
      </c>
      <c r="C880" s="3031"/>
      <c r="D880" s="2916" t="s">
        <v>5214</v>
      </c>
      <c r="E880" s="2971">
        <v>4</v>
      </c>
      <c r="F880" s="2971" t="s">
        <v>1793</v>
      </c>
      <c r="G880" s="19"/>
      <c r="H880" s="3033" t="s">
        <v>2757</v>
      </c>
      <c r="I880" s="3033"/>
      <c r="J880" s="3033"/>
      <c r="K880" s="3033"/>
      <c r="L880" s="3040">
        <v>19440</v>
      </c>
      <c r="M880" s="3031"/>
      <c r="O880" s="3017"/>
      <c r="P880" s="3016"/>
    </row>
    <row r="881" spans="3:14">
      <c r="C881" s="2562"/>
      <c r="D881" s="2562"/>
      <c r="E881" s="2563"/>
      <c r="F881" s="2564"/>
      <c r="G881" s="2564"/>
      <c r="H881" s="2565"/>
      <c r="I881" s="2565"/>
      <c r="J881" s="2565"/>
      <c r="K881" s="2564"/>
      <c r="L881" s="3029"/>
      <c r="M881" s="2564"/>
      <c r="N881" s="2"/>
    </row>
    <row r="882" spans="3:14">
      <c r="C882" s="8"/>
      <c r="D882" s="8"/>
      <c r="E882" s="7"/>
      <c r="F882" s="6"/>
      <c r="G882" s="6"/>
      <c r="H882" s="5"/>
      <c r="I882" s="5"/>
      <c r="J882" s="5"/>
      <c r="K882" s="6"/>
      <c r="L882" s="108"/>
      <c r="M882" s="6"/>
      <c r="N882" s="2"/>
    </row>
    <row r="883" spans="3:14">
      <c r="C883" s="8"/>
      <c r="D883" s="8"/>
      <c r="E883" s="7"/>
      <c r="F883" s="6"/>
      <c r="G883" s="6"/>
      <c r="H883" s="5"/>
      <c r="I883" s="5"/>
      <c r="J883" s="5"/>
      <c r="K883" s="6"/>
      <c r="L883" s="4"/>
      <c r="M883" s="6"/>
      <c r="N883" s="2"/>
    </row>
    <row r="884" spans="3:14">
      <c r="C884" s="8"/>
      <c r="D884" s="8"/>
      <c r="E884" s="7"/>
      <c r="F884" s="6"/>
      <c r="G884" s="6"/>
      <c r="H884" s="5"/>
      <c r="I884" s="5"/>
      <c r="J884" s="5"/>
      <c r="K884" s="6"/>
      <c r="L884" s="4"/>
      <c r="M884" s="6"/>
      <c r="N884" s="2"/>
    </row>
    <row r="885" spans="3:14">
      <c r="C885" s="8"/>
      <c r="D885" s="8"/>
      <c r="E885" s="7"/>
      <c r="F885" s="6"/>
      <c r="G885" s="6"/>
      <c r="H885" s="5"/>
      <c r="I885" s="5"/>
      <c r="J885" s="5"/>
      <c r="K885" s="6"/>
      <c r="L885" s="4"/>
      <c r="M885" s="6"/>
      <c r="N885" s="2"/>
    </row>
    <row r="886" spans="3:14">
      <c r="C886" s="8"/>
      <c r="D886" s="8"/>
      <c r="E886" s="7"/>
      <c r="F886" s="6"/>
      <c r="G886" s="6"/>
      <c r="H886" s="5"/>
      <c r="I886" s="5"/>
      <c r="J886" s="5"/>
      <c r="K886" s="6"/>
      <c r="L886" s="4"/>
      <c r="M886" s="6"/>
      <c r="N886" s="2"/>
    </row>
    <row r="887" spans="3:14">
      <c r="C887" s="8"/>
      <c r="D887" s="8"/>
      <c r="E887" s="7"/>
      <c r="F887" s="6"/>
      <c r="G887" s="6"/>
      <c r="H887" s="5"/>
      <c r="I887" s="5"/>
      <c r="J887" s="5"/>
      <c r="K887" s="6"/>
      <c r="L887" s="4"/>
      <c r="M887" s="6"/>
      <c r="N887" s="2"/>
    </row>
    <row r="888" spans="3:14" ht="14.25" customHeight="1">
      <c r="C888" s="8"/>
      <c r="D888" s="8"/>
      <c r="E888" s="7"/>
      <c r="F888" s="6"/>
      <c r="G888" s="6"/>
      <c r="H888" s="5"/>
      <c r="I888" s="5"/>
      <c r="J888" s="5"/>
      <c r="K888" s="6"/>
      <c r="L888" s="4"/>
      <c r="M888" s="6"/>
      <c r="N888" s="2"/>
    </row>
    <row r="889" spans="3:14" ht="14.25" customHeight="1">
      <c r="C889" s="8"/>
      <c r="D889" s="8"/>
      <c r="E889" s="7"/>
      <c r="F889" s="6"/>
      <c r="G889" s="6"/>
      <c r="H889" s="5"/>
      <c r="I889" s="5"/>
      <c r="J889" s="5"/>
      <c r="K889" s="6"/>
      <c r="L889" s="4"/>
      <c r="M889" s="6"/>
      <c r="N889" s="2"/>
    </row>
    <row r="890" spans="3:14" ht="14.25" customHeight="1">
      <c r="C890" s="8"/>
      <c r="D890" s="8"/>
      <c r="E890" s="7"/>
      <c r="F890" s="6"/>
      <c r="G890" s="6"/>
      <c r="H890" s="5"/>
      <c r="I890" s="5"/>
      <c r="J890" s="5"/>
      <c r="K890" s="6"/>
      <c r="L890" s="3056">
        <f>SUM(L5:L889)</f>
        <v>53483079.980000004</v>
      </c>
      <c r="M890" s="6"/>
      <c r="N890" s="2"/>
    </row>
    <row r="891" spans="3:14" ht="14.25" customHeight="1">
      <c r="C891" s="8"/>
      <c r="D891" s="8"/>
      <c r="E891" s="7"/>
      <c r="F891" s="6"/>
      <c r="G891" s="6"/>
      <c r="H891" s="5"/>
      <c r="I891" s="5"/>
      <c r="J891" s="5"/>
      <c r="K891" s="6"/>
      <c r="L891" s="4"/>
      <c r="M891" s="6"/>
      <c r="N891" s="2"/>
    </row>
    <row r="892" spans="3:14" ht="14.25" customHeight="1">
      <c r="C892" s="8"/>
      <c r="D892" s="8"/>
      <c r="E892" s="7"/>
      <c r="F892" s="6"/>
      <c r="G892" s="6"/>
      <c r="H892" s="5"/>
      <c r="I892" s="5"/>
      <c r="J892" s="5"/>
      <c r="K892" s="6"/>
      <c r="L892" s="4"/>
      <c r="M892" s="6"/>
      <c r="N892" s="2"/>
    </row>
    <row r="893" spans="3:14" ht="14.25" customHeight="1">
      <c r="C893" s="8"/>
      <c r="D893" s="8"/>
      <c r="E893" s="7"/>
      <c r="F893" s="6"/>
      <c r="G893" s="6"/>
      <c r="H893" s="5"/>
      <c r="I893" s="5"/>
      <c r="J893" s="5"/>
      <c r="K893" s="6"/>
      <c r="L893" s="4"/>
      <c r="M893" s="6"/>
      <c r="N893" s="2"/>
    </row>
    <row r="894" spans="3:14" ht="14.25" customHeight="1">
      <c r="C894" s="8"/>
      <c r="D894" s="8"/>
      <c r="E894" s="7"/>
      <c r="F894" s="6"/>
      <c r="G894" s="6"/>
      <c r="H894" s="5"/>
      <c r="I894" s="5"/>
      <c r="J894" s="5"/>
      <c r="K894" s="6"/>
      <c r="L894" s="4"/>
      <c r="M894" s="6"/>
      <c r="N894" s="2"/>
    </row>
    <row r="895" spans="3:14" ht="14.25" customHeight="1">
      <c r="C895" s="8"/>
      <c r="D895" s="8"/>
      <c r="E895" s="7"/>
      <c r="F895" s="6"/>
      <c r="G895" s="6"/>
      <c r="H895" s="5"/>
      <c r="I895" s="5"/>
      <c r="J895" s="5"/>
      <c r="K895" s="6"/>
      <c r="L895" s="4"/>
      <c r="M895" s="6"/>
      <c r="N895" s="2"/>
    </row>
    <row r="896" spans="3:14" ht="14.25" customHeight="1">
      <c r="C896" s="8"/>
      <c r="D896" s="8"/>
      <c r="E896" s="7"/>
      <c r="F896" s="6"/>
      <c r="G896" s="6"/>
      <c r="H896" s="5"/>
      <c r="I896" s="5"/>
      <c r="J896" s="5"/>
      <c r="K896" s="6"/>
      <c r="L896" s="4"/>
      <c r="M896" s="6"/>
      <c r="N896" s="2"/>
    </row>
    <row r="897" spans="3:14" ht="14.25" customHeight="1">
      <c r="C897" s="8"/>
      <c r="D897" s="8"/>
      <c r="E897" s="7"/>
      <c r="F897" s="6"/>
      <c r="G897" s="6"/>
      <c r="H897" s="5"/>
      <c r="I897" s="5"/>
      <c r="J897" s="5"/>
      <c r="K897" s="6"/>
      <c r="L897" s="4"/>
      <c r="M897" s="6"/>
      <c r="N897" s="2"/>
    </row>
    <row r="898" spans="3:14" ht="14.25" customHeight="1">
      <c r="C898" s="8"/>
      <c r="D898" s="8"/>
      <c r="E898" s="7"/>
      <c r="F898" s="6"/>
      <c r="G898" s="6"/>
      <c r="H898" s="5"/>
      <c r="I898" s="5"/>
      <c r="J898" s="5"/>
      <c r="K898" s="6"/>
      <c r="L898" s="4"/>
      <c r="M898" s="6"/>
      <c r="N898" s="2"/>
    </row>
    <row r="899" spans="3:14" ht="14.25" customHeight="1">
      <c r="C899" s="8"/>
      <c r="D899" s="8"/>
      <c r="E899" s="7"/>
      <c r="F899" s="6"/>
      <c r="G899" s="6"/>
      <c r="H899" s="5"/>
      <c r="I899" s="5"/>
      <c r="J899" s="5"/>
      <c r="K899" s="6"/>
      <c r="L899" s="4"/>
      <c r="M899" s="6"/>
      <c r="N899" s="2"/>
    </row>
    <row r="900" spans="3:14" ht="14.25" customHeight="1">
      <c r="C900" s="8"/>
      <c r="D900" s="8"/>
      <c r="E900" s="7"/>
      <c r="F900" s="6"/>
      <c r="G900" s="6"/>
      <c r="H900" s="5"/>
      <c r="I900" s="5"/>
      <c r="J900" s="5"/>
      <c r="K900" s="6"/>
      <c r="L900" s="4"/>
      <c r="M900" s="6"/>
      <c r="N900" s="2"/>
    </row>
    <row r="901" spans="3:14" ht="14.25" customHeight="1">
      <c r="C901" s="8"/>
      <c r="D901" s="8"/>
      <c r="E901" s="7"/>
      <c r="F901" s="6"/>
      <c r="G901" s="6"/>
      <c r="H901" s="5"/>
      <c r="I901" s="5"/>
      <c r="J901" s="5"/>
      <c r="K901" s="6"/>
      <c r="L901" s="4"/>
      <c r="M901" s="6"/>
      <c r="N901" s="2"/>
    </row>
    <row r="902" spans="3:14" ht="14.25" customHeight="1">
      <c r="C902" s="8"/>
      <c r="D902" s="8"/>
      <c r="E902" s="7"/>
      <c r="F902" s="6"/>
      <c r="G902" s="6"/>
      <c r="H902" s="5"/>
      <c r="I902" s="5"/>
      <c r="J902" s="5"/>
      <c r="K902" s="6"/>
      <c r="L902" s="4"/>
      <c r="M902" s="6"/>
      <c r="N902" s="2"/>
    </row>
    <row r="903" spans="3:14" ht="14.25" customHeight="1">
      <c r="C903" s="8"/>
      <c r="D903" s="8"/>
      <c r="E903" s="7"/>
      <c r="F903" s="6"/>
      <c r="G903" s="6"/>
      <c r="H903" s="5"/>
      <c r="I903" s="5"/>
      <c r="J903" s="5"/>
      <c r="K903" s="6"/>
      <c r="L903" s="4"/>
      <c r="M903" s="3"/>
      <c r="N903" s="2"/>
    </row>
    <row r="904" spans="3:14" ht="14.25" customHeight="1">
      <c r="C904" s="8"/>
      <c r="D904" s="8"/>
      <c r="E904" s="7"/>
      <c r="F904" s="6"/>
      <c r="G904" s="5"/>
      <c r="H904" s="5"/>
      <c r="I904" s="5"/>
      <c r="J904" s="5"/>
      <c r="K904" s="4"/>
      <c r="L904" s="4"/>
      <c r="M904" s="3"/>
      <c r="N904" s="2"/>
    </row>
    <row r="905" spans="3:14" ht="14.25" customHeight="1">
      <c r="C905" s="19"/>
      <c r="D905" s="19"/>
      <c r="E905" s="19"/>
      <c r="F905" s="19"/>
      <c r="G905" s="19"/>
      <c r="H905" s="19"/>
      <c r="I905" s="19"/>
      <c r="J905" s="19"/>
      <c r="K905" s="19"/>
      <c r="L905" s="19"/>
      <c r="M905" s="19"/>
      <c r="N905" s="19"/>
    </row>
    <row r="906" spans="3:14" ht="14.25" customHeight="1">
      <c r="C906" s="31"/>
      <c r="D906" s="27"/>
      <c r="E906" s="20"/>
      <c r="F906" s="28"/>
      <c r="G906" s="28"/>
      <c r="H906" s="26"/>
      <c r="I906" s="26"/>
      <c r="J906" s="26"/>
      <c r="K906" s="28"/>
      <c r="L906" s="29"/>
      <c r="M906" s="28"/>
      <c r="N906" s="27"/>
    </row>
    <row r="907" spans="3:14" s="1" customFormat="1" ht="14.25" customHeight="1">
      <c r="C907" s="31"/>
      <c r="D907" s="27"/>
      <c r="E907" s="21"/>
      <c r="F907" s="28"/>
      <c r="G907" s="28"/>
      <c r="H907" s="26"/>
      <c r="I907" s="26"/>
      <c r="J907" s="26"/>
      <c r="K907" s="28"/>
      <c r="L907" s="29"/>
      <c r="M907" s="28"/>
      <c r="N907" s="27"/>
    </row>
    <row r="908" spans="3:14" s="1" customFormat="1" ht="14.25" customHeight="1">
      <c r="C908" s="30"/>
      <c r="D908" s="25"/>
      <c r="E908" s="21"/>
      <c r="F908" s="22"/>
      <c r="G908" s="22"/>
      <c r="H908" s="23"/>
      <c r="I908" s="23"/>
      <c r="J908" s="23"/>
      <c r="K908" s="22"/>
      <c r="L908" s="24"/>
      <c r="M908" s="22"/>
      <c r="N908" s="25"/>
    </row>
  </sheetData>
  <mergeCells count="38">
    <mergeCell ref="L730:L731"/>
    <mergeCell ref="O730:O731"/>
    <mergeCell ref="P730:P731"/>
    <mergeCell ref="C777:C778"/>
    <mergeCell ref="E777:E778"/>
    <mergeCell ref="F777:F778"/>
    <mergeCell ref="H777:H778"/>
    <mergeCell ref="I777:I778"/>
    <mergeCell ref="J777:J778"/>
    <mergeCell ref="K777:K778"/>
    <mergeCell ref="M777:M778"/>
    <mergeCell ref="L777:L778"/>
    <mergeCell ref="O777:O778"/>
    <mergeCell ref="P777:P778"/>
    <mergeCell ref="I730:I731"/>
    <mergeCell ref="J730:J731"/>
    <mergeCell ref="K730:K731"/>
    <mergeCell ref="M730:M731"/>
    <mergeCell ref="C727:C731"/>
    <mergeCell ref="E730:E731"/>
    <mergeCell ref="F730:F731"/>
    <mergeCell ref="H730:H731"/>
    <mergeCell ref="L400:L401"/>
    <mergeCell ref="M399:M400"/>
    <mergeCell ref="P400:P401"/>
    <mergeCell ref="C581:C585"/>
    <mergeCell ref="C671:C679"/>
    <mergeCell ref="F400:F401"/>
    <mergeCell ref="C400:C405"/>
    <mergeCell ref="E400:E401"/>
    <mergeCell ref="D400:D401"/>
    <mergeCell ref="M2:M3"/>
    <mergeCell ref="N2:N3"/>
    <mergeCell ref="C6:C12"/>
    <mergeCell ref="C127:C133"/>
    <mergeCell ref="C2:G2"/>
    <mergeCell ref="H2:J2"/>
    <mergeCell ref="K2:L2"/>
  </mergeCell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374C1-913D-447A-BC44-64D1EBB74EDE}">
  <sheetPr>
    <tabColor rgb="FF00B0F0"/>
  </sheetPr>
  <dimension ref="A2:P1072"/>
  <sheetViews>
    <sheetView zoomScale="70" zoomScaleNormal="70" workbookViewId="0">
      <pane ySplit="4" topLeftCell="A455" activePane="bottomLeft" state="frozen"/>
      <selection activeCell="P237" sqref="P237"/>
      <selection pane="bottomLeft" activeCell="B455" sqref="B455:B1024"/>
    </sheetView>
  </sheetViews>
  <sheetFormatPr defaultRowHeight="15"/>
  <cols>
    <col min="3" max="3" width="36.42578125" customWidth="1"/>
    <col min="4" max="4" width="46.28515625" customWidth="1"/>
    <col min="5" max="5" width="26" customWidth="1"/>
    <col min="6" max="6" width="16.7109375" customWidth="1"/>
    <col min="7" max="7" width="11.7109375" customWidth="1"/>
    <col min="8" max="8" width="13.7109375" customWidth="1"/>
    <col min="9" max="9" width="10.28515625" bestFit="1" customWidth="1"/>
    <col min="10" max="10" width="12.5703125" customWidth="1"/>
    <col min="11" max="11" width="18.5703125" customWidth="1"/>
    <col min="12" max="12" width="23.85546875" customWidth="1"/>
    <col min="13" max="13" width="16.28515625" customWidth="1"/>
    <col min="14" max="14" width="12.85546875" customWidth="1"/>
  </cols>
  <sheetData>
    <row r="2" spans="1:15">
      <c r="C2" s="2627" t="s">
        <v>30</v>
      </c>
      <c r="D2" s="2627"/>
      <c r="E2" s="2627"/>
      <c r="F2" s="2627"/>
      <c r="G2" s="2627"/>
      <c r="H2" s="2628" t="s">
        <v>29</v>
      </c>
      <c r="I2" s="2628"/>
      <c r="J2" s="2628"/>
      <c r="K2" s="2627" t="s">
        <v>28</v>
      </c>
      <c r="L2" s="2627"/>
      <c r="M2" s="2628" t="s">
        <v>27</v>
      </c>
      <c r="N2" s="2628" t="s">
        <v>26</v>
      </c>
    </row>
    <row r="3" spans="1:15" ht="60">
      <c r="C3" s="10" t="s">
        <v>25</v>
      </c>
      <c r="D3" s="13" t="s">
        <v>24</v>
      </c>
      <c r="E3" s="12" t="s">
        <v>23</v>
      </c>
      <c r="F3" s="10" t="s">
        <v>22</v>
      </c>
      <c r="G3" s="11" t="s">
        <v>21</v>
      </c>
      <c r="H3" s="11" t="s">
        <v>20</v>
      </c>
      <c r="I3" s="11" t="s">
        <v>19</v>
      </c>
      <c r="J3" s="11" t="s">
        <v>18</v>
      </c>
      <c r="K3" s="10" t="s">
        <v>17</v>
      </c>
      <c r="L3" s="10" t="s">
        <v>16</v>
      </c>
      <c r="M3" s="2628"/>
      <c r="N3" s="2628"/>
    </row>
    <row r="4" spans="1:15">
      <c r="C4" s="9" t="s">
        <v>15</v>
      </c>
      <c r="D4" s="9" t="s">
        <v>14</v>
      </c>
      <c r="E4" s="9" t="s">
        <v>13</v>
      </c>
      <c r="F4" s="9" t="s">
        <v>12</v>
      </c>
      <c r="G4" s="9" t="s">
        <v>11</v>
      </c>
      <c r="H4" s="9" t="s">
        <v>10</v>
      </c>
      <c r="I4" s="9" t="s">
        <v>9</v>
      </c>
      <c r="J4" s="9" t="s">
        <v>8</v>
      </c>
      <c r="K4" s="9" t="s">
        <v>7</v>
      </c>
      <c r="L4" s="9" t="s">
        <v>6</v>
      </c>
      <c r="M4" s="9" t="s">
        <v>5</v>
      </c>
      <c r="N4" s="9" t="s">
        <v>4</v>
      </c>
    </row>
    <row r="5" spans="1:15" s="783" customFormat="1" ht="14.25" customHeight="1">
      <c r="B5" s="776" t="s">
        <v>2230</v>
      </c>
      <c r="C5" s="2791" t="s">
        <v>2445</v>
      </c>
      <c r="D5" s="1728" t="s">
        <v>2</v>
      </c>
      <c r="E5" s="1729"/>
      <c r="F5" s="1232"/>
      <c r="G5" s="1728" t="s">
        <v>1</v>
      </c>
      <c r="H5" s="1730" t="s">
        <v>2213</v>
      </c>
      <c r="I5" s="1730" t="s">
        <v>2214</v>
      </c>
      <c r="J5" s="1731" t="s">
        <v>2215</v>
      </c>
      <c r="K5" s="1732" t="s">
        <v>2216</v>
      </c>
      <c r="L5" s="1733"/>
      <c r="M5" s="2793" t="s">
        <v>2217</v>
      </c>
      <c r="O5" s="1735"/>
    </row>
    <row r="6" spans="1:15" s="783" customFormat="1" ht="14.25" customHeight="1">
      <c r="A6" s="776"/>
      <c r="B6" s="776" t="s">
        <v>2230</v>
      </c>
      <c r="C6" s="2792"/>
      <c r="D6" s="1728"/>
      <c r="E6" s="1736"/>
      <c r="F6" s="1737"/>
      <c r="G6" s="1728"/>
      <c r="H6" s="1730"/>
      <c r="I6" s="1730"/>
      <c r="J6" s="1738" t="s">
        <v>2218</v>
      </c>
      <c r="K6" s="1739"/>
      <c r="L6" s="1740"/>
      <c r="M6" s="2794"/>
      <c r="O6" s="1742"/>
    </row>
    <row r="7" spans="1:15" s="783" customFormat="1" ht="14.25" customHeight="1">
      <c r="A7" s="776"/>
      <c r="B7" s="776" t="s">
        <v>2230</v>
      </c>
      <c r="C7" s="1743" t="s">
        <v>735</v>
      </c>
      <c r="D7" s="1744" t="s">
        <v>2219</v>
      </c>
      <c r="E7" s="1745">
        <v>725</v>
      </c>
      <c r="F7" s="1746" t="s">
        <v>2220</v>
      </c>
      <c r="G7" s="1747" t="s">
        <v>1764</v>
      </c>
      <c r="H7" s="1748">
        <v>108</v>
      </c>
      <c r="I7" s="1749"/>
      <c r="J7" s="1749"/>
      <c r="K7" s="1750"/>
      <c r="L7" s="1751">
        <f t="shared" ref="L7:L15" si="0">E7*H7</f>
        <v>78300</v>
      </c>
      <c r="N7" s="1752"/>
      <c r="O7" s="1240"/>
    </row>
    <row r="8" spans="1:15" s="783" customFormat="1" ht="14.25" customHeight="1">
      <c r="A8" s="776"/>
      <c r="B8" s="776" t="s">
        <v>2230</v>
      </c>
      <c r="C8" s="1753"/>
      <c r="D8" s="1744" t="s">
        <v>2221</v>
      </c>
      <c r="E8" s="1745">
        <v>970</v>
      </c>
      <c r="F8" s="1746" t="s">
        <v>2222</v>
      </c>
      <c r="G8" s="1747" t="s">
        <v>1764</v>
      </c>
      <c r="H8" s="1748">
        <v>10</v>
      </c>
      <c r="I8" s="1749"/>
      <c r="J8" s="1749"/>
      <c r="K8" s="1750"/>
      <c r="L8" s="1751">
        <f t="shared" si="0"/>
        <v>9700</v>
      </c>
      <c r="N8" s="1752"/>
      <c r="O8" s="1240"/>
    </row>
    <row r="9" spans="1:15" s="783" customFormat="1" ht="14.25" customHeight="1">
      <c r="A9" s="776"/>
      <c r="B9" s="776" t="s">
        <v>2230</v>
      </c>
      <c r="C9" s="1753"/>
      <c r="D9" s="1744" t="s">
        <v>2223</v>
      </c>
      <c r="E9" s="1745">
        <v>1000</v>
      </c>
      <c r="F9" s="1746" t="s">
        <v>2222</v>
      </c>
      <c r="G9" s="1747" t="s">
        <v>1764</v>
      </c>
      <c r="H9" s="1748">
        <v>35</v>
      </c>
      <c r="I9" s="1749"/>
      <c r="J9" s="1749"/>
      <c r="K9" s="1750"/>
      <c r="L9" s="1751">
        <f t="shared" si="0"/>
        <v>35000</v>
      </c>
      <c r="N9" s="1752"/>
      <c r="O9" s="1240"/>
    </row>
    <row r="10" spans="1:15" s="783" customFormat="1" ht="14.25" customHeight="1">
      <c r="A10" s="776"/>
      <c r="B10" s="776" t="s">
        <v>2230</v>
      </c>
      <c r="C10" s="1753"/>
      <c r="D10" s="1754" t="s">
        <v>2224</v>
      </c>
      <c r="E10" s="1745">
        <v>1000</v>
      </c>
      <c r="F10" s="1746" t="s">
        <v>2001</v>
      </c>
      <c r="G10" s="1747" t="s">
        <v>1764</v>
      </c>
      <c r="H10" s="1748">
        <v>65</v>
      </c>
      <c r="I10" s="1749"/>
      <c r="J10" s="1749"/>
      <c r="K10" s="1750"/>
      <c r="L10" s="1751">
        <f t="shared" si="0"/>
        <v>65000</v>
      </c>
      <c r="N10" s="1752"/>
      <c r="O10" s="1240"/>
    </row>
    <row r="11" spans="1:15" s="783" customFormat="1" ht="14.25" customHeight="1">
      <c r="A11" s="776"/>
      <c r="B11" s="776" t="s">
        <v>2230</v>
      </c>
      <c r="C11" s="1753"/>
      <c r="D11" s="1744" t="s">
        <v>2225</v>
      </c>
      <c r="E11" s="1745">
        <v>1000</v>
      </c>
      <c r="F11" s="1746" t="s">
        <v>2001</v>
      </c>
      <c r="G11" s="1747" t="s">
        <v>1764</v>
      </c>
      <c r="H11" s="1748">
        <v>65</v>
      </c>
      <c r="I11" s="1749"/>
      <c r="J11" s="1749"/>
      <c r="K11" s="1750"/>
      <c r="L11" s="1751">
        <f t="shared" si="0"/>
        <v>65000</v>
      </c>
      <c r="N11" s="1752"/>
      <c r="O11" s="1240"/>
    </row>
    <row r="12" spans="1:15" s="783" customFormat="1" ht="14.25" customHeight="1">
      <c r="A12" s="776"/>
      <c r="B12" s="776" t="s">
        <v>2230</v>
      </c>
      <c r="C12" s="1755"/>
      <c r="D12" s="1744" t="s">
        <v>2226</v>
      </c>
      <c r="E12" s="1745">
        <v>2000</v>
      </c>
      <c r="F12" s="1746" t="s">
        <v>2220</v>
      </c>
      <c r="G12" s="1747" t="s">
        <v>1764</v>
      </c>
      <c r="H12" s="1748">
        <v>28</v>
      </c>
      <c r="I12" s="1749"/>
      <c r="J12" s="1756"/>
      <c r="K12" s="1750"/>
      <c r="L12" s="1751">
        <f t="shared" si="0"/>
        <v>56000</v>
      </c>
      <c r="N12" s="1757"/>
      <c r="O12" s="1240"/>
    </row>
    <row r="13" spans="1:15" s="783" customFormat="1" ht="14.25" customHeight="1">
      <c r="A13" s="776"/>
      <c r="B13" s="776" t="s">
        <v>2230</v>
      </c>
      <c r="C13" s="1755"/>
      <c r="D13" s="1758" t="s">
        <v>2227</v>
      </c>
      <c r="E13" s="1745">
        <v>1000</v>
      </c>
      <c r="F13" s="1759"/>
      <c r="G13" s="1747" t="s">
        <v>1764</v>
      </c>
      <c r="H13" s="1748">
        <v>68</v>
      </c>
      <c r="I13" s="1749"/>
      <c r="J13" s="1749"/>
      <c r="K13" s="1750"/>
      <c r="L13" s="1751">
        <f t="shared" si="0"/>
        <v>68000</v>
      </c>
      <c r="N13" s="1757"/>
      <c r="O13" s="1240"/>
    </row>
    <row r="14" spans="1:15" s="783" customFormat="1" ht="14.25" customHeight="1">
      <c r="A14" s="776"/>
      <c r="B14" s="776" t="s">
        <v>2230</v>
      </c>
      <c r="C14" s="1755"/>
      <c r="D14" s="1760" t="s">
        <v>2228</v>
      </c>
      <c r="E14" s="1745">
        <v>1000</v>
      </c>
      <c r="F14" s="1761" t="s">
        <v>2220</v>
      </c>
      <c r="G14" s="1747" t="s">
        <v>1764</v>
      </c>
      <c r="H14" s="1748">
        <v>28</v>
      </c>
      <c r="I14" s="1749"/>
      <c r="J14" s="1749"/>
      <c r="K14" s="1750"/>
      <c r="L14" s="1751">
        <f t="shared" si="0"/>
        <v>28000</v>
      </c>
      <c r="N14" s="1757"/>
      <c r="O14" s="1240"/>
    </row>
    <row r="15" spans="1:15" s="783" customFormat="1" ht="14.25" customHeight="1">
      <c r="A15" s="776"/>
      <c r="B15" s="776" t="s">
        <v>2230</v>
      </c>
      <c r="C15" s="1755"/>
      <c r="D15" s="1760" t="s">
        <v>2229</v>
      </c>
      <c r="E15" s="1762">
        <v>1000</v>
      </c>
      <c r="F15" s="1763" t="s">
        <v>2220</v>
      </c>
      <c r="G15" s="1747" t="s">
        <v>1764</v>
      </c>
      <c r="H15" s="1764">
        <v>45</v>
      </c>
      <c r="I15" s="1765"/>
      <c r="J15" s="1765"/>
      <c r="K15" s="1750"/>
      <c r="L15" s="1751">
        <f t="shared" si="0"/>
        <v>45000</v>
      </c>
      <c r="N15" s="1757"/>
      <c r="O15" s="1240"/>
    </row>
    <row r="16" spans="1:15" s="783" customFormat="1" ht="14.25" customHeight="1">
      <c r="A16" s="776"/>
      <c r="B16" s="776" t="s">
        <v>2230</v>
      </c>
      <c r="C16" s="813"/>
      <c r="D16" s="808"/>
      <c r="E16" s="814"/>
      <c r="F16" s="808"/>
      <c r="G16" s="948"/>
      <c r="H16" s="813"/>
      <c r="I16" s="813"/>
      <c r="J16" s="813"/>
      <c r="L16" s="818"/>
      <c r="M16" s="808"/>
      <c r="N16" s="813"/>
      <c r="O16" s="785"/>
    </row>
    <row r="17" spans="1:15" s="783" customFormat="1" ht="14.25" customHeight="1">
      <c r="A17" s="776"/>
      <c r="B17" s="776" t="s">
        <v>2230</v>
      </c>
      <c r="C17" s="813"/>
      <c r="D17" s="808"/>
      <c r="E17" s="814"/>
      <c r="F17" s="808"/>
      <c r="G17" s="948"/>
      <c r="H17" s="813"/>
      <c r="I17" s="813"/>
      <c r="J17" s="813"/>
      <c r="L17" s="818"/>
      <c r="M17" s="808"/>
      <c r="N17" s="813"/>
      <c r="O17" s="785"/>
    </row>
    <row r="18" spans="1:15" s="783" customFormat="1" ht="14.25" customHeight="1">
      <c r="A18" s="776"/>
      <c r="B18" s="776" t="s">
        <v>2230</v>
      </c>
      <c r="C18" s="2791" t="s">
        <v>2445</v>
      </c>
      <c r="D18" s="1728" t="s">
        <v>2</v>
      </c>
      <c r="E18" s="1729"/>
      <c r="F18" s="1232"/>
      <c r="G18" s="1728" t="s">
        <v>1</v>
      </c>
      <c r="H18" s="1730" t="s">
        <v>2213</v>
      </c>
      <c r="I18" s="1730" t="s">
        <v>2214</v>
      </c>
      <c r="J18" s="1731" t="s">
        <v>2215</v>
      </c>
      <c r="K18" s="1732" t="s">
        <v>2216</v>
      </c>
      <c r="L18" s="1733"/>
      <c r="M18" s="1734" t="s">
        <v>2217</v>
      </c>
      <c r="N18" s="1735"/>
    </row>
    <row r="19" spans="1:15" s="783" customFormat="1" ht="14.25" customHeight="1">
      <c r="A19" s="776"/>
      <c r="B19" s="776" t="s">
        <v>2230</v>
      </c>
      <c r="C19" s="2792"/>
      <c r="D19" s="1728"/>
      <c r="E19" s="1736"/>
      <c r="F19" s="1737"/>
      <c r="G19" s="1728"/>
      <c r="H19" s="1730"/>
      <c r="I19" s="1730"/>
      <c r="J19" s="1738" t="s">
        <v>2218</v>
      </c>
      <c r="K19" s="1739"/>
      <c r="L19" s="1740"/>
      <c r="M19" s="1741"/>
      <c r="N19" s="1742"/>
    </row>
    <row r="20" spans="1:15" s="783" customFormat="1" ht="14.25" customHeight="1">
      <c r="A20" s="776"/>
      <c r="B20" s="776" t="s">
        <v>2230</v>
      </c>
      <c r="C20" s="2795"/>
      <c r="D20" s="1744" t="s">
        <v>2231</v>
      </c>
      <c r="E20" s="1745">
        <v>3000</v>
      </c>
      <c r="F20" s="1766" t="s">
        <v>2222</v>
      </c>
      <c r="G20" s="1747" t="s">
        <v>1764</v>
      </c>
      <c r="H20" s="1748">
        <v>11.85</v>
      </c>
      <c r="I20" s="1784"/>
      <c r="J20" s="1749"/>
      <c r="K20" s="1750"/>
      <c r="L20" s="1751">
        <f t="shared" ref="L20:L83" si="1">E20*H20</f>
        <v>35550</v>
      </c>
      <c r="M20" s="1783"/>
      <c r="N20" s="1240"/>
    </row>
    <row r="21" spans="1:15" s="783" customFormat="1" ht="14.25" customHeight="1">
      <c r="A21" s="776"/>
      <c r="B21" s="776" t="s">
        <v>2230</v>
      </c>
      <c r="C21" s="1743" t="s">
        <v>704</v>
      </c>
      <c r="D21" s="1744" t="s">
        <v>2232</v>
      </c>
      <c r="E21" s="1746">
        <v>100</v>
      </c>
      <c r="F21" s="1746" t="s">
        <v>2222</v>
      </c>
      <c r="G21" s="1747" t="s">
        <v>1764</v>
      </c>
      <c r="H21" s="1748">
        <v>3</v>
      </c>
      <c r="I21" s="1784"/>
      <c r="J21" s="1749"/>
      <c r="K21" s="1750"/>
      <c r="L21" s="1751">
        <f t="shared" si="1"/>
        <v>300</v>
      </c>
      <c r="M21" s="1752"/>
      <c r="N21" s="1240"/>
    </row>
    <row r="22" spans="1:15" s="783" customFormat="1" ht="14.25" customHeight="1">
      <c r="A22" s="776"/>
      <c r="B22" s="776" t="s">
        <v>2230</v>
      </c>
      <c r="C22" s="1753"/>
      <c r="D22" s="1744" t="s">
        <v>2233</v>
      </c>
      <c r="E22" s="1746">
        <v>100</v>
      </c>
      <c r="F22" s="1746" t="s">
        <v>2222</v>
      </c>
      <c r="G22" s="1747" t="s">
        <v>1764</v>
      </c>
      <c r="H22" s="1748">
        <v>5</v>
      </c>
      <c r="I22" s="1784"/>
      <c r="J22" s="1749"/>
      <c r="K22" s="1750"/>
      <c r="L22" s="1751">
        <f t="shared" si="1"/>
        <v>500</v>
      </c>
      <c r="M22" s="1752"/>
      <c r="N22" s="1240"/>
    </row>
    <row r="23" spans="1:15" s="783" customFormat="1" ht="14.25" customHeight="1">
      <c r="A23" s="776"/>
      <c r="B23" s="776" t="s">
        <v>2230</v>
      </c>
      <c r="C23" s="1753"/>
      <c r="D23" s="1744" t="s">
        <v>2234</v>
      </c>
      <c r="E23" s="1745">
        <v>500</v>
      </c>
      <c r="F23" s="1746" t="s">
        <v>2222</v>
      </c>
      <c r="G23" s="1747" t="s">
        <v>1764</v>
      </c>
      <c r="H23" s="1748">
        <v>10</v>
      </c>
      <c r="I23" s="1784"/>
      <c r="J23" s="1749"/>
      <c r="K23" s="1750"/>
      <c r="L23" s="1751">
        <f t="shared" si="1"/>
        <v>5000</v>
      </c>
      <c r="M23" s="1752"/>
      <c r="N23" s="1240"/>
    </row>
    <row r="24" spans="1:15" s="783" customFormat="1" ht="14.25" customHeight="1">
      <c r="A24" s="776"/>
      <c r="B24" s="776" t="s">
        <v>2230</v>
      </c>
      <c r="C24" s="1753"/>
      <c r="D24" s="1744" t="s">
        <v>2235</v>
      </c>
      <c r="E24" s="1746">
        <v>500</v>
      </c>
      <c r="F24" s="1746" t="s">
        <v>2001</v>
      </c>
      <c r="G24" s="1747" t="s">
        <v>1764</v>
      </c>
      <c r="H24" s="1748">
        <v>45</v>
      </c>
      <c r="I24" s="1784"/>
      <c r="J24" s="1749"/>
      <c r="K24" s="1750"/>
      <c r="L24" s="1751">
        <f t="shared" si="1"/>
        <v>22500</v>
      </c>
      <c r="M24" s="1752"/>
      <c r="N24" s="1240"/>
    </row>
    <row r="25" spans="1:15" s="783" customFormat="1" ht="14.25" customHeight="1">
      <c r="A25" s="776"/>
      <c r="B25" s="776" t="s">
        <v>2230</v>
      </c>
      <c r="C25" s="1753"/>
      <c r="D25" s="1744" t="s">
        <v>2236</v>
      </c>
      <c r="E25" s="1745">
        <v>500</v>
      </c>
      <c r="F25" s="1746" t="s">
        <v>2220</v>
      </c>
      <c r="G25" s="1747" t="s">
        <v>1764</v>
      </c>
      <c r="H25" s="1748">
        <v>315</v>
      </c>
      <c r="I25" s="1784"/>
      <c r="J25" s="1749"/>
      <c r="K25" s="1750"/>
      <c r="L25" s="1751">
        <f t="shared" si="1"/>
        <v>157500</v>
      </c>
      <c r="M25" s="1752"/>
      <c r="N25" s="1240"/>
    </row>
    <row r="26" spans="1:15" s="783" customFormat="1" ht="14.25" customHeight="1">
      <c r="A26" s="776"/>
      <c r="B26" s="776" t="s">
        <v>2230</v>
      </c>
      <c r="C26" s="1753"/>
      <c r="D26" s="1744" t="s">
        <v>2237</v>
      </c>
      <c r="E26" s="1745">
        <v>3000</v>
      </c>
      <c r="F26" s="1746" t="s">
        <v>2222</v>
      </c>
      <c r="G26" s="1747" t="s">
        <v>1764</v>
      </c>
      <c r="H26" s="1748">
        <v>5</v>
      </c>
      <c r="I26" s="1784"/>
      <c r="J26" s="1749"/>
      <c r="K26" s="1750"/>
      <c r="L26" s="1751">
        <f t="shared" si="1"/>
        <v>15000</v>
      </c>
      <c r="M26" s="1752"/>
      <c r="N26" s="1240"/>
    </row>
    <row r="27" spans="1:15" s="783" customFormat="1" ht="14.25" customHeight="1">
      <c r="A27" s="776"/>
      <c r="B27" s="776" t="s">
        <v>2230</v>
      </c>
      <c r="C27" s="1753"/>
      <c r="D27" s="1744" t="s">
        <v>2238</v>
      </c>
      <c r="E27" s="1745">
        <v>3000</v>
      </c>
      <c r="F27" s="1746" t="s">
        <v>2222</v>
      </c>
      <c r="G27" s="1747" t="s">
        <v>1764</v>
      </c>
      <c r="H27" s="1748">
        <v>4</v>
      </c>
      <c r="I27" s="1784"/>
      <c r="J27" s="1749"/>
      <c r="K27" s="1750"/>
      <c r="L27" s="1751">
        <f t="shared" si="1"/>
        <v>12000</v>
      </c>
      <c r="M27" s="1752"/>
      <c r="N27" s="1240"/>
    </row>
    <row r="28" spans="1:15" s="783" customFormat="1" ht="14.25" customHeight="1">
      <c r="A28" s="776"/>
      <c r="B28" s="776" t="s">
        <v>2230</v>
      </c>
      <c r="C28" s="1753"/>
      <c r="D28" s="1744" t="s">
        <v>2239</v>
      </c>
      <c r="E28" s="1746">
        <v>100</v>
      </c>
      <c r="F28" s="1746" t="s">
        <v>2001</v>
      </c>
      <c r="G28" s="1747" t="s">
        <v>1764</v>
      </c>
      <c r="H28" s="1748">
        <v>22</v>
      </c>
      <c r="I28" s="1784"/>
      <c r="J28" s="1749"/>
      <c r="K28" s="1750"/>
      <c r="L28" s="1751">
        <f t="shared" si="1"/>
        <v>2200</v>
      </c>
      <c r="M28" s="1752"/>
      <c r="N28" s="1240"/>
    </row>
    <row r="29" spans="1:15" s="783" customFormat="1" ht="14.25" customHeight="1">
      <c r="A29" s="776"/>
      <c r="B29" s="776" t="s">
        <v>2230</v>
      </c>
      <c r="C29" s="1753"/>
      <c r="D29" s="1744" t="s">
        <v>2240</v>
      </c>
      <c r="E29" s="1746">
        <v>100</v>
      </c>
      <c r="F29" s="1746" t="s">
        <v>2001</v>
      </c>
      <c r="G29" s="1747" t="s">
        <v>1764</v>
      </c>
      <c r="H29" s="1748">
        <v>55</v>
      </c>
      <c r="I29" s="1784"/>
      <c r="J29" s="1749"/>
      <c r="K29" s="1750"/>
      <c r="L29" s="1751">
        <f t="shared" si="1"/>
        <v>5500</v>
      </c>
      <c r="M29" s="1752"/>
      <c r="N29" s="1240"/>
    </row>
    <row r="30" spans="1:15" s="783" customFormat="1" ht="14.25" customHeight="1">
      <c r="A30" s="776"/>
      <c r="B30" s="776" t="s">
        <v>2230</v>
      </c>
      <c r="C30" s="1753"/>
      <c r="D30" s="1744" t="s">
        <v>2241</v>
      </c>
      <c r="E30" s="1745">
        <v>1000</v>
      </c>
      <c r="F30" s="1746" t="s">
        <v>2242</v>
      </c>
      <c r="G30" s="1747" t="s">
        <v>1764</v>
      </c>
      <c r="H30" s="1748">
        <v>4</v>
      </c>
      <c r="I30" s="1784"/>
      <c r="J30" s="1749"/>
      <c r="K30" s="1750"/>
      <c r="L30" s="1751">
        <f t="shared" si="1"/>
        <v>4000</v>
      </c>
      <c r="M30" s="1752"/>
      <c r="N30" s="1240"/>
    </row>
    <row r="31" spans="1:15" s="783" customFormat="1" ht="14.25" customHeight="1">
      <c r="A31" s="776"/>
      <c r="B31" s="776" t="s">
        <v>2230</v>
      </c>
      <c r="C31" s="1753"/>
      <c r="D31" s="1744" t="s">
        <v>2243</v>
      </c>
      <c r="E31" s="1745">
        <v>1000</v>
      </c>
      <c r="F31" s="1746" t="s">
        <v>2244</v>
      </c>
      <c r="G31" s="1747" t="s">
        <v>1764</v>
      </c>
      <c r="H31" s="1748">
        <v>54</v>
      </c>
      <c r="I31" s="1784"/>
      <c r="J31" s="1749"/>
      <c r="K31" s="1750"/>
      <c r="L31" s="1751">
        <f t="shared" si="1"/>
        <v>54000</v>
      </c>
      <c r="M31" s="1752"/>
      <c r="N31" s="1240"/>
    </row>
    <row r="32" spans="1:15" s="783" customFormat="1" ht="14.25" customHeight="1">
      <c r="A32" s="776"/>
      <c r="B32" s="776" t="s">
        <v>2230</v>
      </c>
      <c r="C32" s="1753"/>
      <c r="D32" s="1744" t="s">
        <v>2245</v>
      </c>
      <c r="E32" s="1745">
        <v>3000</v>
      </c>
      <c r="F32" s="1746" t="s">
        <v>2244</v>
      </c>
      <c r="G32" s="1747" t="s">
        <v>1764</v>
      </c>
      <c r="H32" s="1748">
        <v>35</v>
      </c>
      <c r="I32" s="1784"/>
      <c r="J32" s="1749"/>
      <c r="K32" s="1750"/>
      <c r="L32" s="1751">
        <f t="shared" si="1"/>
        <v>105000</v>
      </c>
      <c r="M32" s="1752"/>
      <c r="N32" s="1240"/>
    </row>
    <row r="33" spans="1:14" s="783" customFormat="1" ht="14.25" customHeight="1">
      <c r="A33" s="776"/>
      <c r="B33" s="776" t="s">
        <v>2230</v>
      </c>
      <c r="C33" s="1753"/>
      <c r="D33" s="1744" t="s">
        <v>2246</v>
      </c>
      <c r="E33" s="1745">
        <v>1000</v>
      </c>
      <c r="F33" s="1746" t="s">
        <v>2244</v>
      </c>
      <c r="G33" s="1747" t="s">
        <v>1764</v>
      </c>
      <c r="H33" s="1748">
        <v>20</v>
      </c>
      <c r="I33" s="1784"/>
      <c r="J33" s="1749"/>
      <c r="K33" s="1750"/>
      <c r="L33" s="1751">
        <f t="shared" si="1"/>
        <v>20000</v>
      </c>
      <c r="M33" s="1752"/>
      <c r="N33" s="1240"/>
    </row>
    <row r="34" spans="1:14" s="783" customFormat="1" ht="14.25" customHeight="1">
      <c r="A34" s="776"/>
      <c r="B34" s="776" t="s">
        <v>2230</v>
      </c>
      <c r="C34" s="1753"/>
      <c r="D34" s="1744" t="s">
        <v>2247</v>
      </c>
      <c r="E34" s="1745">
        <v>1000</v>
      </c>
      <c r="F34" s="1746" t="s">
        <v>2244</v>
      </c>
      <c r="G34" s="1747" t="s">
        <v>1764</v>
      </c>
      <c r="H34" s="1748">
        <v>25</v>
      </c>
      <c r="I34" s="1784"/>
      <c r="J34" s="1749"/>
      <c r="K34" s="1750"/>
      <c r="L34" s="1751">
        <f t="shared" si="1"/>
        <v>25000</v>
      </c>
      <c r="M34" s="1752"/>
      <c r="N34" s="1240"/>
    </row>
    <row r="35" spans="1:14" s="783" customFormat="1" ht="14.25" customHeight="1">
      <c r="A35" s="776"/>
      <c r="B35" s="776" t="s">
        <v>2230</v>
      </c>
      <c r="C35" s="1753"/>
      <c r="D35" s="1744" t="s">
        <v>2248</v>
      </c>
      <c r="E35" s="1745">
        <v>1000</v>
      </c>
      <c r="F35" s="1746" t="s">
        <v>2244</v>
      </c>
      <c r="G35" s="1747" t="s">
        <v>1764</v>
      </c>
      <c r="H35" s="1748">
        <v>30</v>
      </c>
      <c r="I35" s="1784"/>
      <c r="J35" s="1749"/>
      <c r="K35" s="1750"/>
      <c r="L35" s="1751">
        <f t="shared" si="1"/>
        <v>30000</v>
      </c>
      <c r="M35" s="1752"/>
      <c r="N35" s="1240"/>
    </row>
    <row r="36" spans="1:14" s="783" customFormat="1" ht="14.25" customHeight="1">
      <c r="A36" s="776"/>
      <c r="B36" s="776" t="s">
        <v>2230</v>
      </c>
      <c r="C36" s="1753"/>
      <c r="D36" s="1744" t="s">
        <v>2249</v>
      </c>
      <c r="E36" s="1745">
        <v>500</v>
      </c>
      <c r="F36" s="1746" t="s">
        <v>2244</v>
      </c>
      <c r="G36" s="1747" t="s">
        <v>1764</v>
      </c>
      <c r="H36" s="1748">
        <v>1270</v>
      </c>
      <c r="I36" s="1784"/>
      <c r="J36" s="1749"/>
      <c r="K36" s="1750"/>
      <c r="L36" s="1751">
        <f t="shared" si="1"/>
        <v>635000</v>
      </c>
      <c r="M36" s="1752"/>
      <c r="N36" s="1240"/>
    </row>
    <row r="37" spans="1:14" s="783" customFormat="1" ht="14.25" customHeight="1">
      <c r="A37" s="776"/>
      <c r="B37" s="776" t="s">
        <v>2230</v>
      </c>
      <c r="C37" s="1753"/>
      <c r="D37" s="1744" t="s">
        <v>2250</v>
      </c>
      <c r="E37" s="1745">
        <v>1000</v>
      </c>
      <c r="F37" s="1746" t="s">
        <v>2220</v>
      </c>
      <c r="G37" s="1747" t="s">
        <v>1764</v>
      </c>
      <c r="H37" s="1748">
        <v>125</v>
      </c>
      <c r="I37" s="1784"/>
      <c r="J37" s="1749"/>
      <c r="K37" s="1750"/>
      <c r="L37" s="1751">
        <f t="shared" si="1"/>
        <v>125000</v>
      </c>
      <c r="M37" s="1752"/>
      <c r="N37" s="1240"/>
    </row>
    <row r="38" spans="1:14" s="783" customFormat="1" ht="14.25" customHeight="1">
      <c r="A38" s="776"/>
      <c r="B38" s="776" t="s">
        <v>2230</v>
      </c>
      <c r="C38" s="1753"/>
      <c r="D38" s="1744" t="s">
        <v>2251</v>
      </c>
      <c r="E38" s="1746">
        <v>500</v>
      </c>
      <c r="F38" s="1746" t="s">
        <v>2001</v>
      </c>
      <c r="G38" s="1747" t="s">
        <v>1764</v>
      </c>
      <c r="H38" s="1748">
        <v>30</v>
      </c>
      <c r="I38" s="1784"/>
      <c r="J38" s="1749"/>
      <c r="K38" s="1750"/>
      <c r="L38" s="1751">
        <f t="shared" si="1"/>
        <v>15000</v>
      </c>
      <c r="M38" s="1752"/>
      <c r="N38" s="1240"/>
    </row>
    <row r="39" spans="1:14" s="783" customFormat="1" ht="14.25" customHeight="1">
      <c r="A39" s="776"/>
      <c r="B39" s="776" t="s">
        <v>2230</v>
      </c>
      <c r="C39" s="1753"/>
      <c r="D39" s="1744" t="s">
        <v>2252</v>
      </c>
      <c r="E39" s="1745">
        <v>1000</v>
      </c>
      <c r="F39" s="1746" t="s">
        <v>2001</v>
      </c>
      <c r="G39" s="1747" t="s">
        <v>1764</v>
      </c>
      <c r="H39" s="1748">
        <v>52</v>
      </c>
      <c r="I39" s="1784"/>
      <c r="J39" s="1749"/>
      <c r="K39" s="1750"/>
      <c r="L39" s="1751">
        <f t="shared" si="1"/>
        <v>52000</v>
      </c>
      <c r="M39" s="1752"/>
      <c r="N39" s="1240"/>
    </row>
    <row r="40" spans="1:14" s="783" customFormat="1" ht="14.25" customHeight="1">
      <c r="A40" s="776"/>
      <c r="B40" s="776" t="s">
        <v>2230</v>
      </c>
      <c r="C40" s="1753"/>
      <c r="D40" s="1744" t="s">
        <v>2253</v>
      </c>
      <c r="E40" s="1745">
        <v>500</v>
      </c>
      <c r="F40" s="1746" t="s">
        <v>2001</v>
      </c>
      <c r="G40" s="1747" t="s">
        <v>1764</v>
      </c>
      <c r="H40" s="1748">
        <v>28</v>
      </c>
      <c r="I40" s="1784"/>
      <c r="J40" s="1749"/>
      <c r="K40" s="1750"/>
      <c r="L40" s="1751">
        <f t="shared" si="1"/>
        <v>14000</v>
      </c>
      <c r="M40" s="1752"/>
      <c r="N40" s="1240"/>
    </row>
    <row r="41" spans="1:14" s="783" customFormat="1" ht="14.25" customHeight="1">
      <c r="A41" s="776"/>
      <c r="B41" s="776" t="s">
        <v>2230</v>
      </c>
      <c r="C41" s="1753"/>
      <c r="D41" s="1744" t="s">
        <v>2254</v>
      </c>
      <c r="E41" s="1745">
        <v>1000</v>
      </c>
      <c r="F41" s="1746" t="s">
        <v>2222</v>
      </c>
      <c r="G41" s="1747" t="s">
        <v>1764</v>
      </c>
      <c r="H41" s="1748">
        <v>2.5</v>
      </c>
      <c r="I41" s="1784"/>
      <c r="J41" s="1749"/>
      <c r="K41" s="1750"/>
      <c r="L41" s="1751">
        <f t="shared" si="1"/>
        <v>2500</v>
      </c>
      <c r="M41" s="1752"/>
      <c r="N41" s="1240"/>
    </row>
    <row r="42" spans="1:14" s="783" customFormat="1" ht="14.25" customHeight="1">
      <c r="A42" s="776"/>
      <c r="B42" s="776" t="s">
        <v>2230</v>
      </c>
      <c r="C42" s="1753"/>
      <c r="D42" s="1767" t="s">
        <v>2255</v>
      </c>
      <c r="E42" s="1746">
        <v>500</v>
      </c>
      <c r="F42" s="1746" t="s">
        <v>2222</v>
      </c>
      <c r="G42" s="1747" t="s">
        <v>1764</v>
      </c>
      <c r="H42" s="1748">
        <v>2</v>
      </c>
      <c r="I42" s="1784"/>
      <c r="J42" s="1749"/>
      <c r="K42" s="1750"/>
      <c r="L42" s="1751">
        <f t="shared" si="1"/>
        <v>1000</v>
      </c>
      <c r="M42" s="1752"/>
      <c r="N42" s="1240"/>
    </row>
    <row r="43" spans="1:14" s="783" customFormat="1" ht="14.25" customHeight="1">
      <c r="A43" s="776"/>
      <c r="B43" s="776" t="s">
        <v>2230</v>
      </c>
      <c r="C43" s="1753"/>
      <c r="D43" s="1767" t="s">
        <v>2256</v>
      </c>
      <c r="E43" s="1745">
        <v>1000</v>
      </c>
      <c r="F43" s="1746" t="s">
        <v>2222</v>
      </c>
      <c r="G43" s="1747" t="s">
        <v>1764</v>
      </c>
      <c r="H43" s="1768">
        <v>6</v>
      </c>
      <c r="I43" s="1784"/>
      <c r="J43" s="1749"/>
      <c r="K43" s="1750"/>
      <c r="L43" s="1751">
        <f t="shared" si="1"/>
        <v>6000</v>
      </c>
      <c r="M43" s="1752"/>
      <c r="N43" s="1240"/>
    </row>
    <row r="44" spans="1:14" s="783" customFormat="1" ht="14.25" customHeight="1">
      <c r="A44" s="776"/>
      <c r="B44" s="776" t="s">
        <v>2230</v>
      </c>
      <c r="C44" s="1753"/>
      <c r="D44" s="1767" t="s">
        <v>2257</v>
      </c>
      <c r="E44" s="1745">
        <v>1000</v>
      </c>
      <c r="F44" s="1746" t="s">
        <v>2222</v>
      </c>
      <c r="G44" s="1747" t="s">
        <v>1764</v>
      </c>
      <c r="H44" s="1748">
        <v>7.5</v>
      </c>
      <c r="I44" s="1784"/>
      <c r="J44" s="1749"/>
      <c r="K44" s="1750"/>
      <c r="L44" s="1751">
        <f t="shared" si="1"/>
        <v>7500</v>
      </c>
      <c r="M44" s="1752"/>
      <c r="N44" s="1240"/>
    </row>
    <row r="45" spans="1:14" s="783" customFormat="1" ht="14.25" customHeight="1">
      <c r="A45" s="776"/>
      <c r="B45" s="776" t="s">
        <v>2230</v>
      </c>
      <c r="C45" s="1753"/>
      <c r="D45" s="1767" t="s">
        <v>2258</v>
      </c>
      <c r="E45" s="1745">
        <v>1000</v>
      </c>
      <c r="F45" s="1746" t="s">
        <v>2222</v>
      </c>
      <c r="G45" s="1747" t="s">
        <v>1764</v>
      </c>
      <c r="H45" s="1748">
        <v>8</v>
      </c>
      <c r="I45" s="1784"/>
      <c r="J45" s="1749"/>
      <c r="K45" s="1750"/>
      <c r="L45" s="1751">
        <f t="shared" si="1"/>
        <v>8000</v>
      </c>
      <c r="M45" s="1752"/>
      <c r="N45" s="1240"/>
    </row>
    <row r="46" spans="1:14" s="783" customFormat="1" ht="14.25" customHeight="1">
      <c r="A46" s="776"/>
      <c r="B46" s="776" t="s">
        <v>2230</v>
      </c>
      <c r="C46" s="1753"/>
      <c r="D46" s="1744" t="s">
        <v>2259</v>
      </c>
      <c r="E46" s="1746">
        <v>500</v>
      </c>
      <c r="F46" s="1746" t="s">
        <v>2220</v>
      </c>
      <c r="G46" s="1747" t="s">
        <v>1764</v>
      </c>
      <c r="H46" s="1748">
        <v>100</v>
      </c>
      <c r="I46" s="1784"/>
      <c r="J46" s="1749"/>
      <c r="K46" s="1750"/>
      <c r="L46" s="1751">
        <f t="shared" si="1"/>
        <v>50000</v>
      </c>
      <c r="M46" s="1752"/>
      <c r="N46" s="1240"/>
    </row>
    <row r="47" spans="1:14" s="783" customFormat="1" ht="14.25" customHeight="1">
      <c r="A47" s="776"/>
      <c r="B47" s="776" t="s">
        <v>2230</v>
      </c>
      <c r="C47" s="1753"/>
      <c r="D47" s="1744" t="s">
        <v>2260</v>
      </c>
      <c r="E47" s="1745">
        <v>1000</v>
      </c>
      <c r="F47" s="1761" t="s">
        <v>2001</v>
      </c>
      <c r="G47" s="1747" t="s">
        <v>1764</v>
      </c>
      <c r="H47" s="1748">
        <v>120</v>
      </c>
      <c r="I47" s="1784"/>
      <c r="J47" s="1749"/>
      <c r="K47" s="1750"/>
      <c r="L47" s="1751">
        <f t="shared" si="1"/>
        <v>120000</v>
      </c>
      <c r="M47" s="1752"/>
      <c r="N47" s="1240"/>
    </row>
    <row r="48" spans="1:14" s="783" customFormat="1" ht="14.25" customHeight="1">
      <c r="A48" s="776"/>
      <c r="B48" s="776" t="s">
        <v>2230</v>
      </c>
      <c r="C48" s="1753"/>
      <c r="D48" s="1767" t="s">
        <v>2261</v>
      </c>
      <c r="E48" s="1745">
        <v>1000</v>
      </c>
      <c r="F48" s="1746" t="s">
        <v>2222</v>
      </c>
      <c r="G48" s="1747" t="s">
        <v>1764</v>
      </c>
      <c r="H48" s="1748">
        <v>10.5</v>
      </c>
      <c r="I48" s="1784"/>
      <c r="J48" s="1749"/>
      <c r="K48" s="1750"/>
      <c r="L48" s="1751">
        <f t="shared" si="1"/>
        <v>10500</v>
      </c>
      <c r="M48" s="1752"/>
      <c r="N48" s="1240"/>
    </row>
    <row r="49" spans="1:14" s="783" customFormat="1" ht="14.25" customHeight="1">
      <c r="A49" s="776"/>
      <c r="B49" s="776" t="s">
        <v>2230</v>
      </c>
      <c r="C49" s="1753"/>
      <c r="D49" s="1744" t="s">
        <v>2262</v>
      </c>
      <c r="E49" s="1745">
        <v>3000</v>
      </c>
      <c r="F49" s="1746" t="s">
        <v>2001</v>
      </c>
      <c r="G49" s="1747" t="s">
        <v>1764</v>
      </c>
      <c r="H49" s="1748">
        <v>40.5</v>
      </c>
      <c r="I49" s="1784"/>
      <c r="J49" s="1749"/>
      <c r="K49" s="1750"/>
      <c r="L49" s="1751">
        <f t="shared" si="1"/>
        <v>121500</v>
      </c>
      <c r="M49" s="1752"/>
      <c r="N49" s="1240"/>
    </row>
    <row r="50" spans="1:14" s="783" customFormat="1" ht="14.25" customHeight="1">
      <c r="A50" s="776"/>
      <c r="B50" s="776" t="s">
        <v>2230</v>
      </c>
      <c r="C50" s="1753"/>
      <c r="D50" s="1744" t="s">
        <v>2263</v>
      </c>
      <c r="E50" s="1745">
        <v>1000</v>
      </c>
      <c r="F50" s="1746" t="s">
        <v>2220</v>
      </c>
      <c r="G50" s="1747" t="s">
        <v>1764</v>
      </c>
      <c r="H50" s="1769">
        <v>850</v>
      </c>
      <c r="I50" s="1784"/>
      <c r="J50" s="1749"/>
      <c r="K50" s="1750"/>
      <c r="L50" s="1751">
        <f t="shared" si="1"/>
        <v>850000</v>
      </c>
      <c r="M50" s="1752"/>
      <c r="N50" s="1240"/>
    </row>
    <row r="51" spans="1:14" s="783" customFormat="1" ht="14.25" customHeight="1">
      <c r="A51" s="776"/>
      <c r="B51" s="776" t="s">
        <v>2230</v>
      </c>
      <c r="C51" s="1753"/>
      <c r="D51" s="1744" t="s">
        <v>2264</v>
      </c>
      <c r="E51" s="1745">
        <v>3000</v>
      </c>
      <c r="F51" s="1746" t="s">
        <v>2222</v>
      </c>
      <c r="G51" s="1747" t="s">
        <v>1764</v>
      </c>
      <c r="H51" s="1769">
        <v>16</v>
      </c>
      <c r="I51" s="1784"/>
      <c r="J51" s="1749"/>
      <c r="K51" s="1750"/>
      <c r="L51" s="1751">
        <f t="shared" si="1"/>
        <v>48000</v>
      </c>
      <c r="M51" s="1752"/>
      <c r="N51" s="1240"/>
    </row>
    <row r="52" spans="1:14" s="783" customFormat="1" ht="14.25" customHeight="1">
      <c r="A52" s="776"/>
      <c r="B52" s="776" t="s">
        <v>2230</v>
      </c>
      <c r="C52" s="1753"/>
      <c r="D52" s="1744" t="s">
        <v>2265</v>
      </c>
      <c r="E52" s="1770">
        <v>100</v>
      </c>
      <c r="F52" s="1770" t="s">
        <v>2244</v>
      </c>
      <c r="G52" s="1747" t="s">
        <v>1764</v>
      </c>
      <c r="H52" s="1769">
        <v>260</v>
      </c>
      <c r="I52" s="1784"/>
      <c r="J52" s="1749"/>
      <c r="K52" s="1750"/>
      <c r="L52" s="1751">
        <f t="shared" si="1"/>
        <v>26000</v>
      </c>
      <c r="M52" s="1752"/>
      <c r="N52" s="1240"/>
    </row>
    <row r="53" spans="1:14" s="783" customFormat="1" ht="14.25" customHeight="1">
      <c r="A53" s="776"/>
      <c r="B53" s="776" t="s">
        <v>2230</v>
      </c>
      <c r="C53" s="1753"/>
      <c r="D53" s="1744" t="s">
        <v>2266</v>
      </c>
      <c r="E53" s="1746">
        <v>50</v>
      </c>
      <c r="F53" s="1746" t="s">
        <v>761</v>
      </c>
      <c r="G53" s="1747" t="s">
        <v>1764</v>
      </c>
      <c r="H53" s="1748">
        <v>49.5</v>
      </c>
      <c r="I53" s="1784"/>
      <c r="J53" s="1749"/>
      <c r="K53" s="1750"/>
      <c r="L53" s="1751">
        <f t="shared" si="1"/>
        <v>2475</v>
      </c>
      <c r="M53" s="1752"/>
      <c r="N53" s="1240"/>
    </row>
    <row r="54" spans="1:14" s="783" customFormat="1" ht="14.25" customHeight="1">
      <c r="A54" s="776"/>
      <c r="B54" s="776" t="s">
        <v>2230</v>
      </c>
      <c r="C54" s="1753"/>
      <c r="D54" s="1744" t="s">
        <v>2267</v>
      </c>
      <c r="E54" s="1746">
        <v>50</v>
      </c>
      <c r="F54" s="1746" t="s">
        <v>761</v>
      </c>
      <c r="G54" s="1747" t="s">
        <v>1764</v>
      </c>
      <c r="H54" s="1748">
        <v>33.5</v>
      </c>
      <c r="I54" s="1784"/>
      <c r="J54" s="1749"/>
      <c r="K54" s="1750"/>
      <c r="L54" s="1751">
        <f t="shared" si="1"/>
        <v>1675</v>
      </c>
      <c r="M54" s="1752"/>
      <c r="N54" s="1240"/>
    </row>
    <row r="55" spans="1:14" s="783" customFormat="1" ht="14.25" customHeight="1">
      <c r="A55" s="776"/>
      <c r="B55" s="776" t="s">
        <v>2230</v>
      </c>
      <c r="C55" s="1753"/>
      <c r="D55" s="1744" t="s">
        <v>2268</v>
      </c>
      <c r="E55" s="1746">
        <v>100</v>
      </c>
      <c r="F55" s="1746" t="s">
        <v>2222</v>
      </c>
      <c r="G55" s="1747" t="s">
        <v>1764</v>
      </c>
      <c r="H55" s="1748">
        <v>5</v>
      </c>
      <c r="I55" s="1784"/>
      <c r="J55" s="1749"/>
      <c r="K55" s="1750"/>
      <c r="L55" s="1751">
        <f t="shared" si="1"/>
        <v>500</v>
      </c>
      <c r="M55" s="1752"/>
      <c r="N55" s="1240"/>
    </row>
    <row r="56" spans="1:14" s="783" customFormat="1" ht="14.25" customHeight="1">
      <c r="A56" s="776"/>
      <c r="B56" s="776" t="s">
        <v>2230</v>
      </c>
      <c r="C56" s="1753"/>
      <c r="D56" s="1744" t="s">
        <v>2269</v>
      </c>
      <c r="E56" s="1746">
        <v>50</v>
      </c>
      <c r="F56" s="1746" t="s">
        <v>2270</v>
      </c>
      <c r="G56" s="1747" t="s">
        <v>1764</v>
      </c>
      <c r="H56" s="1748">
        <v>785</v>
      </c>
      <c r="I56" s="1784"/>
      <c r="J56" s="1749"/>
      <c r="K56" s="1750"/>
      <c r="L56" s="1751">
        <f t="shared" si="1"/>
        <v>39250</v>
      </c>
      <c r="M56" s="1752"/>
      <c r="N56" s="1240"/>
    </row>
    <row r="57" spans="1:14" s="783" customFormat="1" ht="14.25" customHeight="1">
      <c r="A57" s="776"/>
      <c r="B57" s="776" t="s">
        <v>2230</v>
      </c>
      <c r="C57" s="1753"/>
      <c r="D57" s="1744" t="s">
        <v>2271</v>
      </c>
      <c r="E57" s="1746">
        <v>100</v>
      </c>
      <c r="F57" s="1746" t="s">
        <v>2270</v>
      </c>
      <c r="G57" s="1747" t="s">
        <v>1764</v>
      </c>
      <c r="H57" s="1748">
        <v>608</v>
      </c>
      <c r="I57" s="1784"/>
      <c r="J57" s="1749"/>
      <c r="K57" s="1750"/>
      <c r="L57" s="1751">
        <f t="shared" si="1"/>
        <v>60800</v>
      </c>
      <c r="M57" s="1752"/>
      <c r="N57" s="1240"/>
    </row>
    <row r="58" spans="1:14" s="783" customFormat="1" ht="14.25" customHeight="1">
      <c r="A58" s="776"/>
      <c r="B58" s="776" t="s">
        <v>2230</v>
      </c>
      <c r="C58" s="1753"/>
      <c r="D58" s="1744" t="s">
        <v>2272</v>
      </c>
      <c r="E58" s="1745">
        <v>3000</v>
      </c>
      <c r="F58" s="1746" t="s">
        <v>2270</v>
      </c>
      <c r="G58" s="1747" t="s">
        <v>1764</v>
      </c>
      <c r="H58" s="1748">
        <v>32</v>
      </c>
      <c r="I58" s="1784"/>
      <c r="J58" s="1749"/>
      <c r="K58" s="1750"/>
      <c r="L58" s="1751">
        <f t="shared" si="1"/>
        <v>96000</v>
      </c>
      <c r="M58" s="1752"/>
      <c r="N58" s="1240"/>
    </row>
    <row r="59" spans="1:14" s="783" customFormat="1" ht="14.25" customHeight="1">
      <c r="A59" s="776"/>
      <c r="B59" s="776" t="s">
        <v>2230</v>
      </c>
      <c r="C59" s="1753"/>
      <c r="D59" s="1744" t="s">
        <v>2273</v>
      </c>
      <c r="E59" s="1745">
        <v>1000</v>
      </c>
      <c r="F59" s="1746" t="s">
        <v>2222</v>
      </c>
      <c r="G59" s="1747" t="s">
        <v>1764</v>
      </c>
      <c r="H59" s="1748">
        <v>10.5</v>
      </c>
      <c r="I59" s="1784"/>
      <c r="J59" s="1749"/>
      <c r="K59" s="1750"/>
      <c r="L59" s="1751">
        <f t="shared" si="1"/>
        <v>10500</v>
      </c>
      <c r="M59" s="1752"/>
      <c r="N59" s="1240"/>
    </row>
    <row r="60" spans="1:14" s="783" customFormat="1" ht="14.25" customHeight="1">
      <c r="A60" s="776"/>
      <c r="B60" s="776" t="s">
        <v>2230</v>
      </c>
      <c r="C60" s="1753"/>
      <c r="D60" s="1744" t="s">
        <v>2274</v>
      </c>
      <c r="E60" s="1746">
        <v>50</v>
      </c>
      <c r="F60" s="1746" t="s">
        <v>2001</v>
      </c>
      <c r="G60" s="1747" t="s">
        <v>1764</v>
      </c>
      <c r="H60" s="1748">
        <v>114</v>
      </c>
      <c r="I60" s="1784"/>
      <c r="J60" s="1749"/>
      <c r="K60" s="1750"/>
      <c r="L60" s="1751">
        <f t="shared" si="1"/>
        <v>5700</v>
      </c>
      <c r="M60" s="1752"/>
      <c r="N60" s="1240"/>
    </row>
    <row r="61" spans="1:14" s="783" customFormat="1" ht="14.25" customHeight="1">
      <c r="A61" s="776"/>
      <c r="B61" s="776" t="s">
        <v>2230</v>
      </c>
      <c r="C61" s="1753"/>
      <c r="D61" s="1744" t="s">
        <v>2275</v>
      </c>
      <c r="E61" s="1746">
        <v>500</v>
      </c>
      <c r="F61" s="1746" t="s">
        <v>2222</v>
      </c>
      <c r="G61" s="1747" t="s">
        <v>1764</v>
      </c>
      <c r="H61" s="1748">
        <v>1.5</v>
      </c>
      <c r="I61" s="1784"/>
      <c r="J61" s="1749"/>
      <c r="K61" s="1750"/>
      <c r="L61" s="1751">
        <f t="shared" si="1"/>
        <v>750</v>
      </c>
      <c r="M61" s="1752"/>
      <c r="N61" s="1240"/>
    </row>
    <row r="62" spans="1:14" s="783" customFormat="1" ht="14.25" customHeight="1">
      <c r="A62" s="776"/>
      <c r="B62" s="776" t="s">
        <v>2230</v>
      </c>
      <c r="C62" s="1753"/>
      <c r="D62" s="1744" t="s">
        <v>2276</v>
      </c>
      <c r="E62" s="1746">
        <v>300</v>
      </c>
      <c r="F62" s="1746" t="s">
        <v>2222</v>
      </c>
      <c r="G62" s="1747" t="s">
        <v>1764</v>
      </c>
      <c r="H62" s="1748">
        <v>2.5</v>
      </c>
      <c r="I62" s="1784"/>
      <c r="J62" s="1749"/>
      <c r="K62" s="1750"/>
      <c r="L62" s="1751">
        <f t="shared" si="1"/>
        <v>750</v>
      </c>
      <c r="M62" s="1752"/>
      <c r="N62" s="1240"/>
    </row>
    <row r="63" spans="1:14" s="783" customFormat="1" ht="14.25" customHeight="1">
      <c r="A63" s="776"/>
      <c r="B63" s="776" t="s">
        <v>2230</v>
      </c>
      <c r="C63" s="1753"/>
      <c r="D63" s="1744" t="s">
        <v>2277</v>
      </c>
      <c r="E63" s="1745">
        <v>3000</v>
      </c>
      <c r="F63" s="1746" t="s">
        <v>2222</v>
      </c>
      <c r="G63" s="1747" t="s">
        <v>1764</v>
      </c>
      <c r="H63" s="1748">
        <v>2</v>
      </c>
      <c r="I63" s="1784"/>
      <c r="J63" s="1749"/>
      <c r="K63" s="1750"/>
      <c r="L63" s="1751">
        <f t="shared" si="1"/>
        <v>6000</v>
      </c>
      <c r="M63" s="1752"/>
      <c r="N63" s="1240"/>
    </row>
    <row r="64" spans="1:14" s="783" customFormat="1" ht="14.25" customHeight="1">
      <c r="A64" s="776"/>
      <c r="B64" s="776" t="s">
        <v>2230</v>
      </c>
      <c r="C64" s="1753"/>
      <c r="D64" s="1744" t="s">
        <v>2278</v>
      </c>
      <c r="E64" s="1745">
        <v>3000</v>
      </c>
      <c r="F64" s="1746" t="s">
        <v>2222</v>
      </c>
      <c r="G64" s="1747" t="s">
        <v>1764</v>
      </c>
      <c r="H64" s="1748">
        <v>7.5</v>
      </c>
      <c r="I64" s="1784"/>
      <c r="J64" s="1749"/>
      <c r="K64" s="1750"/>
      <c r="L64" s="1751">
        <f t="shared" si="1"/>
        <v>22500</v>
      </c>
      <c r="M64" s="1752"/>
      <c r="N64" s="1240"/>
    </row>
    <row r="65" spans="1:14" s="783" customFormat="1" ht="14.25" customHeight="1">
      <c r="A65" s="776"/>
      <c r="B65" s="776" t="s">
        <v>2230</v>
      </c>
      <c r="C65" s="1753"/>
      <c r="D65" s="1744" t="s">
        <v>2279</v>
      </c>
      <c r="E65" s="1745">
        <v>1000</v>
      </c>
      <c r="F65" s="1746" t="s">
        <v>2222</v>
      </c>
      <c r="G65" s="1747" t="s">
        <v>1764</v>
      </c>
      <c r="H65" s="1748">
        <v>3.5</v>
      </c>
      <c r="I65" s="1784"/>
      <c r="J65" s="1749"/>
      <c r="K65" s="1750"/>
      <c r="L65" s="1751">
        <f t="shared" si="1"/>
        <v>3500</v>
      </c>
      <c r="M65" s="1752"/>
      <c r="N65" s="1240"/>
    </row>
    <row r="66" spans="1:14" s="783" customFormat="1" ht="14.25" customHeight="1">
      <c r="A66" s="776"/>
      <c r="B66" s="776" t="s">
        <v>2230</v>
      </c>
      <c r="C66" s="1753"/>
      <c r="D66" s="1744" t="s">
        <v>2280</v>
      </c>
      <c r="E66" s="1745">
        <v>1000</v>
      </c>
      <c r="F66" s="1746" t="s">
        <v>2001</v>
      </c>
      <c r="G66" s="1747" t="s">
        <v>1764</v>
      </c>
      <c r="H66" s="1748">
        <v>30</v>
      </c>
      <c r="I66" s="1784"/>
      <c r="J66" s="1749"/>
      <c r="K66" s="1750"/>
      <c r="L66" s="1751">
        <f t="shared" si="1"/>
        <v>30000</v>
      </c>
      <c r="M66" s="1752"/>
      <c r="N66" s="1240"/>
    </row>
    <row r="67" spans="1:14" s="783" customFormat="1" ht="14.25" customHeight="1">
      <c r="A67" s="776"/>
      <c r="B67" s="776" t="s">
        <v>2230</v>
      </c>
      <c r="C67" s="1753"/>
      <c r="D67" s="1744" t="s">
        <v>2281</v>
      </c>
      <c r="E67" s="1745">
        <v>1000</v>
      </c>
      <c r="F67" s="1746" t="s">
        <v>2001</v>
      </c>
      <c r="G67" s="1747" t="s">
        <v>1764</v>
      </c>
      <c r="H67" s="1748">
        <v>30.5</v>
      </c>
      <c r="I67" s="1784"/>
      <c r="J67" s="1749"/>
      <c r="K67" s="1750"/>
      <c r="L67" s="1751">
        <f t="shared" si="1"/>
        <v>30500</v>
      </c>
      <c r="M67" s="1752"/>
      <c r="N67" s="1240"/>
    </row>
    <row r="68" spans="1:14" s="783" customFormat="1" ht="14.25" customHeight="1">
      <c r="A68" s="776"/>
      <c r="B68" s="776" t="s">
        <v>2230</v>
      </c>
      <c r="C68" s="1753"/>
      <c r="D68" s="1744" t="s">
        <v>2282</v>
      </c>
      <c r="E68" s="1745">
        <v>500</v>
      </c>
      <c r="F68" s="1746" t="s">
        <v>2001</v>
      </c>
      <c r="G68" s="1747" t="s">
        <v>1764</v>
      </c>
      <c r="H68" s="1748">
        <v>145</v>
      </c>
      <c r="I68" s="1784"/>
      <c r="J68" s="1749"/>
      <c r="K68" s="1750"/>
      <c r="L68" s="1751">
        <f t="shared" si="1"/>
        <v>72500</v>
      </c>
      <c r="M68" s="1752"/>
      <c r="N68" s="1240"/>
    </row>
    <row r="69" spans="1:14" s="783" customFormat="1" ht="14.25" customHeight="1">
      <c r="A69" s="776"/>
      <c r="B69" s="776" t="s">
        <v>2230</v>
      </c>
      <c r="C69" s="1753"/>
      <c r="D69" s="1771" t="s">
        <v>2283</v>
      </c>
      <c r="E69" s="1762">
        <v>500</v>
      </c>
      <c r="F69" s="1746" t="s">
        <v>2001</v>
      </c>
      <c r="G69" s="1747" t="s">
        <v>1764</v>
      </c>
      <c r="H69" s="1748">
        <v>145</v>
      </c>
      <c r="I69" s="1784"/>
      <c r="J69" s="1749"/>
      <c r="K69" s="1750"/>
      <c r="L69" s="1751">
        <f t="shared" si="1"/>
        <v>72500</v>
      </c>
      <c r="M69" s="1752"/>
      <c r="N69" s="1240"/>
    </row>
    <row r="70" spans="1:14" s="783" customFormat="1" ht="14.25" customHeight="1">
      <c r="A70" s="776"/>
      <c r="B70" s="776" t="s">
        <v>2230</v>
      </c>
      <c r="C70" s="1753"/>
      <c r="D70" s="1767" t="s">
        <v>2284</v>
      </c>
      <c r="E70" s="1745">
        <v>1000</v>
      </c>
      <c r="F70" s="1746" t="s">
        <v>2242</v>
      </c>
      <c r="G70" s="1747" t="s">
        <v>1764</v>
      </c>
      <c r="H70" s="1748">
        <v>9</v>
      </c>
      <c r="I70" s="1784"/>
      <c r="J70" s="1749"/>
      <c r="K70" s="1750"/>
      <c r="L70" s="1751">
        <f t="shared" si="1"/>
        <v>9000</v>
      </c>
      <c r="M70" s="1752"/>
      <c r="N70" s="1240"/>
    </row>
    <row r="71" spans="1:14" s="783" customFormat="1" ht="14.25" customHeight="1">
      <c r="A71" s="776"/>
      <c r="B71" s="776" t="s">
        <v>2230</v>
      </c>
      <c r="C71" s="1753"/>
      <c r="D71" s="1767" t="s">
        <v>2285</v>
      </c>
      <c r="E71" s="1745">
        <v>3000</v>
      </c>
      <c r="F71" s="1746" t="s">
        <v>2244</v>
      </c>
      <c r="G71" s="1747" t="s">
        <v>1764</v>
      </c>
      <c r="H71" s="1748">
        <v>25.5</v>
      </c>
      <c r="I71" s="1784"/>
      <c r="J71" s="1749"/>
      <c r="K71" s="1750"/>
      <c r="L71" s="1751">
        <f t="shared" si="1"/>
        <v>76500</v>
      </c>
      <c r="M71" s="1752"/>
      <c r="N71" s="1240"/>
    </row>
    <row r="72" spans="1:14" s="783" customFormat="1" ht="14.25" customHeight="1">
      <c r="A72" s="776"/>
      <c r="B72" s="776" t="s">
        <v>2230</v>
      </c>
      <c r="C72" s="1753"/>
      <c r="D72" s="1767" t="s">
        <v>2286</v>
      </c>
      <c r="E72" s="1745">
        <v>2000</v>
      </c>
      <c r="F72" s="1746" t="s">
        <v>2244</v>
      </c>
      <c r="G72" s="1747" t="s">
        <v>1764</v>
      </c>
      <c r="H72" s="1748">
        <v>58</v>
      </c>
      <c r="I72" s="1784"/>
      <c r="J72" s="1749"/>
      <c r="K72" s="1750"/>
      <c r="L72" s="1751">
        <f t="shared" si="1"/>
        <v>116000</v>
      </c>
      <c r="M72" s="1752"/>
      <c r="N72" s="1240"/>
    </row>
    <row r="73" spans="1:14" s="783" customFormat="1" ht="14.25" customHeight="1">
      <c r="A73" s="776"/>
      <c r="B73" s="776" t="s">
        <v>2230</v>
      </c>
      <c r="C73" s="1753"/>
      <c r="D73" s="1767" t="s">
        <v>2287</v>
      </c>
      <c r="E73" s="1745">
        <v>1000</v>
      </c>
      <c r="F73" s="1746" t="s">
        <v>2001</v>
      </c>
      <c r="G73" s="1747" t="s">
        <v>1764</v>
      </c>
      <c r="H73" s="1748">
        <v>195</v>
      </c>
      <c r="I73" s="1784"/>
      <c r="J73" s="1749"/>
      <c r="K73" s="1750"/>
      <c r="L73" s="1751">
        <f t="shared" si="1"/>
        <v>195000</v>
      </c>
      <c r="M73" s="1752"/>
      <c r="N73" s="1240"/>
    </row>
    <row r="74" spans="1:14" s="783" customFormat="1" ht="14.25" customHeight="1">
      <c r="A74" s="776"/>
      <c r="B74" s="776" t="s">
        <v>2230</v>
      </c>
      <c r="C74" s="1753"/>
      <c r="D74" s="1767" t="s">
        <v>2288</v>
      </c>
      <c r="E74" s="1745">
        <v>1000</v>
      </c>
      <c r="F74" s="1746" t="s">
        <v>2001</v>
      </c>
      <c r="G74" s="1747" t="s">
        <v>1764</v>
      </c>
      <c r="H74" s="1748">
        <v>140</v>
      </c>
      <c r="I74" s="1784"/>
      <c r="J74" s="1749"/>
      <c r="K74" s="1750"/>
      <c r="L74" s="1751">
        <f t="shared" si="1"/>
        <v>140000</v>
      </c>
      <c r="M74" s="1752"/>
      <c r="N74" s="1240"/>
    </row>
    <row r="75" spans="1:14" s="783" customFormat="1" ht="14.25" customHeight="1">
      <c r="A75" s="776"/>
      <c r="B75" s="776" t="s">
        <v>2230</v>
      </c>
      <c r="C75" s="1753"/>
      <c r="D75" s="1767" t="s">
        <v>2289</v>
      </c>
      <c r="E75" s="1745">
        <v>1000</v>
      </c>
      <c r="F75" s="1746" t="s">
        <v>2222</v>
      </c>
      <c r="G75" s="1747" t="s">
        <v>1764</v>
      </c>
      <c r="H75" s="1748">
        <v>13</v>
      </c>
      <c r="I75" s="1784"/>
      <c r="J75" s="1749"/>
      <c r="K75" s="1750"/>
      <c r="L75" s="1751">
        <f t="shared" si="1"/>
        <v>13000</v>
      </c>
      <c r="M75" s="1752"/>
      <c r="N75" s="1240"/>
    </row>
    <row r="76" spans="1:14" s="783" customFormat="1" ht="14.25" customHeight="1">
      <c r="A76" s="776"/>
      <c r="B76" s="776" t="s">
        <v>2230</v>
      </c>
      <c r="C76" s="1753"/>
      <c r="D76" s="1767" t="s">
        <v>2290</v>
      </c>
      <c r="E76" s="1745">
        <v>3000</v>
      </c>
      <c r="F76" s="1746" t="s">
        <v>2244</v>
      </c>
      <c r="G76" s="1747" t="s">
        <v>1764</v>
      </c>
      <c r="H76" s="1748">
        <v>26</v>
      </c>
      <c r="I76" s="1784"/>
      <c r="J76" s="1749"/>
      <c r="K76" s="1750"/>
      <c r="L76" s="1751">
        <f t="shared" si="1"/>
        <v>78000</v>
      </c>
      <c r="M76" s="1752"/>
      <c r="N76" s="1240"/>
    </row>
    <row r="77" spans="1:14" s="783" customFormat="1" ht="14.25" customHeight="1">
      <c r="A77" s="776"/>
      <c r="B77" s="776" t="s">
        <v>2230</v>
      </c>
      <c r="C77" s="1753"/>
      <c r="D77" s="1767" t="s">
        <v>2291</v>
      </c>
      <c r="E77" s="1745">
        <v>1000</v>
      </c>
      <c r="F77" s="1746" t="s">
        <v>2242</v>
      </c>
      <c r="G77" s="1747" t="s">
        <v>1764</v>
      </c>
      <c r="H77" s="1748">
        <v>5</v>
      </c>
      <c r="I77" s="1784"/>
      <c r="J77" s="1749"/>
      <c r="K77" s="1750"/>
      <c r="L77" s="1751">
        <f t="shared" si="1"/>
        <v>5000</v>
      </c>
      <c r="M77" s="1752"/>
      <c r="N77" s="1240"/>
    </row>
    <row r="78" spans="1:14" s="783" customFormat="1" ht="14.25" customHeight="1">
      <c r="A78" s="776"/>
      <c r="B78" s="776" t="s">
        <v>2230</v>
      </c>
      <c r="C78" s="1753"/>
      <c r="D78" s="1767" t="s">
        <v>2292</v>
      </c>
      <c r="E78" s="1745">
        <v>3000</v>
      </c>
      <c r="F78" s="1746" t="s">
        <v>2001</v>
      </c>
      <c r="G78" s="1747" t="s">
        <v>1764</v>
      </c>
      <c r="H78" s="1748">
        <v>40</v>
      </c>
      <c r="I78" s="1784"/>
      <c r="J78" s="1749"/>
      <c r="K78" s="1750"/>
      <c r="L78" s="1751">
        <f t="shared" si="1"/>
        <v>120000</v>
      </c>
      <c r="M78" s="1752"/>
      <c r="N78" s="1240"/>
    </row>
    <row r="79" spans="1:14" s="783" customFormat="1" ht="14.25" customHeight="1">
      <c r="A79" s="776"/>
      <c r="B79" s="776" t="s">
        <v>2230</v>
      </c>
      <c r="C79" s="1753"/>
      <c r="D79" s="1767" t="s">
        <v>2293</v>
      </c>
      <c r="E79" s="1745">
        <v>3000</v>
      </c>
      <c r="F79" s="1746" t="s">
        <v>2222</v>
      </c>
      <c r="G79" s="1747" t="s">
        <v>1764</v>
      </c>
      <c r="H79" s="1748">
        <v>3</v>
      </c>
      <c r="I79" s="1784"/>
      <c r="J79" s="1749"/>
      <c r="K79" s="1750"/>
      <c r="L79" s="1751">
        <f t="shared" si="1"/>
        <v>9000</v>
      </c>
      <c r="M79" s="1752"/>
      <c r="N79" s="1240"/>
    </row>
    <row r="80" spans="1:14" s="783" customFormat="1" ht="14.25" customHeight="1">
      <c r="A80" s="776"/>
      <c r="B80" s="776" t="s">
        <v>2230</v>
      </c>
      <c r="C80" s="1753"/>
      <c r="D80" s="1767" t="s">
        <v>2294</v>
      </c>
      <c r="E80" s="1745">
        <v>1000</v>
      </c>
      <c r="F80" s="1746" t="s">
        <v>2001</v>
      </c>
      <c r="G80" s="1747" t="s">
        <v>1764</v>
      </c>
      <c r="H80" s="1748">
        <v>50</v>
      </c>
      <c r="I80" s="1784"/>
      <c r="J80" s="1749"/>
      <c r="K80" s="1750"/>
      <c r="L80" s="1751">
        <f t="shared" si="1"/>
        <v>50000</v>
      </c>
      <c r="M80" s="1752"/>
      <c r="N80" s="1240"/>
    </row>
    <row r="81" spans="1:14" s="783" customFormat="1" ht="14.25" customHeight="1">
      <c r="A81" s="776"/>
      <c r="B81" s="776" t="s">
        <v>2230</v>
      </c>
      <c r="C81" s="1753"/>
      <c r="D81" s="1760" t="s">
        <v>2295</v>
      </c>
      <c r="E81" s="1745">
        <v>3000</v>
      </c>
      <c r="F81" s="1746" t="s">
        <v>2001</v>
      </c>
      <c r="G81" s="1747" t="s">
        <v>1764</v>
      </c>
      <c r="H81" s="1748">
        <v>52</v>
      </c>
      <c r="I81" s="1784"/>
      <c r="J81" s="1749"/>
      <c r="K81" s="1750"/>
      <c r="L81" s="1751">
        <f t="shared" si="1"/>
        <v>156000</v>
      </c>
      <c r="M81" s="1752"/>
      <c r="N81" s="1240"/>
    </row>
    <row r="82" spans="1:14" s="783" customFormat="1" ht="14.25" customHeight="1">
      <c r="A82" s="776"/>
      <c r="B82" s="776" t="s">
        <v>2230</v>
      </c>
      <c r="C82" s="1753"/>
      <c r="D82" s="1767" t="s">
        <v>2296</v>
      </c>
      <c r="E82" s="1746">
        <v>100</v>
      </c>
      <c r="F82" s="1746" t="s">
        <v>2222</v>
      </c>
      <c r="G82" s="1747" t="s">
        <v>1764</v>
      </c>
      <c r="H82" s="1748">
        <v>2</v>
      </c>
      <c r="I82" s="1784"/>
      <c r="J82" s="1749"/>
      <c r="K82" s="1750"/>
      <c r="L82" s="1751">
        <f t="shared" si="1"/>
        <v>200</v>
      </c>
      <c r="M82" s="1752"/>
      <c r="N82" s="1240"/>
    </row>
    <row r="83" spans="1:14" s="783" customFormat="1" ht="14.25" customHeight="1">
      <c r="A83" s="776"/>
      <c r="B83" s="776" t="s">
        <v>2230</v>
      </c>
      <c r="C83" s="1753"/>
      <c r="D83" s="1767" t="s">
        <v>2297</v>
      </c>
      <c r="E83" s="1746">
        <v>100</v>
      </c>
      <c r="F83" s="1746" t="s">
        <v>2222</v>
      </c>
      <c r="G83" s="1747" t="s">
        <v>1764</v>
      </c>
      <c r="H83" s="1769">
        <v>2</v>
      </c>
      <c r="I83" s="1784"/>
      <c r="J83" s="1749"/>
      <c r="K83" s="1750"/>
      <c r="L83" s="1751">
        <f t="shared" si="1"/>
        <v>200</v>
      </c>
      <c r="M83" s="1752"/>
      <c r="N83" s="1240"/>
    </row>
    <row r="84" spans="1:14" s="783" customFormat="1" ht="14.25" customHeight="1">
      <c r="A84" s="776"/>
      <c r="B84" s="776" t="s">
        <v>2230</v>
      </c>
      <c r="C84" s="1753"/>
      <c r="D84" s="1767" t="s">
        <v>2298</v>
      </c>
      <c r="E84" s="1746">
        <v>500</v>
      </c>
      <c r="F84" s="1746" t="s">
        <v>2222</v>
      </c>
      <c r="G84" s="1747" t="s">
        <v>1764</v>
      </c>
      <c r="H84" s="1748">
        <v>5.5</v>
      </c>
      <c r="I84" s="1784"/>
      <c r="J84" s="1749"/>
      <c r="K84" s="1750"/>
      <c r="L84" s="1751">
        <f t="shared" ref="L84:L147" si="2">E84*H84</f>
        <v>2750</v>
      </c>
      <c r="M84" s="1752"/>
      <c r="N84" s="1240"/>
    </row>
    <row r="85" spans="1:14" s="783" customFormat="1" ht="14.25" customHeight="1">
      <c r="A85" s="776"/>
      <c r="B85" s="776" t="s">
        <v>2230</v>
      </c>
      <c r="C85" s="1753"/>
      <c r="D85" s="1767" t="s">
        <v>2299</v>
      </c>
      <c r="E85" s="1745">
        <v>2000</v>
      </c>
      <c r="F85" s="1746" t="s">
        <v>2001</v>
      </c>
      <c r="G85" s="1747" t="s">
        <v>1764</v>
      </c>
      <c r="H85" s="1748">
        <v>175</v>
      </c>
      <c r="I85" s="1784"/>
      <c r="J85" s="1749"/>
      <c r="K85" s="1750"/>
      <c r="L85" s="1751">
        <f t="shared" si="2"/>
        <v>350000</v>
      </c>
      <c r="M85" s="1752"/>
      <c r="N85" s="1240"/>
    </row>
    <row r="86" spans="1:14" s="783" customFormat="1" ht="14.25" customHeight="1">
      <c r="A86" s="776"/>
      <c r="B86" s="776" t="s">
        <v>2230</v>
      </c>
      <c r="C86" s="1753"/>
      <c r="D86" s="1772" t="s">
        <v>2300</v>
      </c>
      <c r="E86" s="1745">
        <v>1000</v>
      </c>
      <c r="F86" s="1746" t="s">
        <v>2222</v>
      </c>
      <c r="G86" s="1747" t="s">
        <v>1764</v>
      </c>
      <c r="H86" s="1748">
        <v>16</v>
      </c>
      <c r="I86" s="1784"/>
      <c r="J86" s="1749"/>
      <c r="K86" s="1750"/>
      <c r="L86" s="1751">
        <f t="shared" si="2"/>
        <v>16000</v>
      </c>
      <c r="M86" s="1752"/>
      <c r="N86" s="1240"/>
    </row>
    <row r="87" spans="1:14" s="783" customFormat="1" ht="14.25" customHeight="1">
      <c r="A87" s="776"/>
      <c r="B87" s="776" t="s">
        <v>2230</v>
      </c>
      <c r="C87" s="1753"/>
      <c r="D87" s="1744" t="s">
        <v>2301</v>
      </c>
      <c r="E87" s="1746">
        <v>500</v>
      </c>
      <c r="F87" s="1746" t="s">
        <v>2242</v>
      </c>
      <c r="G87" s="1747" t="s">
        <v>1764</v>
      </c>
      <c r="H87" s="1748">
        <v>7.5</v>
      </c>
      <c r="I87" s="1784"/>
      <c r="J87" s="1749"/>
      <c r="K87" s="1750"/>
      <c r="L87" s="1751">
        <f t="shared" si="2"/>
        <v>3750</v>
      </c>
      <c r="M87" s="1752"/>
      <c r="N87" s="1240"/>
    </row>
    <row r="88" spans="1:14" s="783" customFormat="1" ht="14.25" customHeight="1">
      <c r="A88" s="776"/>
      <c r="B88" s="776" t="s">
        <v>2230</v>
      </c>
      <c r="C88" s="1753"/>
      <c r="D88" s="1744" t="s">
        <v>2302</v>
      </c>
      <c r="E88" s="1745">
        <v>1000</v>
      </c>
      <c r="F88" s="1746" t="s">
        <v>2222</v>
      </c>
      <c r="G88" s="1747" t="s">
        <v>1764</v>
      </c>
      <c r="H88" s="1748">
        <v>7.5</v>
      </c>
      <c r="I88" s="1784"/>
      <c r="J88" s="1749"/>
      <c r="K88" s="1750"/>
      <c r="L88" s="1751">
        <f t="shared" si="2"/>
        <v>7500</v>
      </c>
      <c r="M88" s="1752"/>
      <c r="N88" s="1240"/>
    </row>
    <row r="89" spans="1:14" s="783" customFormat="1" ht="14.25" customHeight="1">
      <c r="A89" s="776"/>
      <c r="B89" s="776" t="s">
        <v>2230</v>
      </c>
      <c r="C89" s="1753"/>
      <c r="D89" s="1744" t="s">
        <v>2219</v>
      </c>
      <c r="E89" s="1745">
        <v>1275</v>
      </c>
      <c r="F89" s="1746" t="s">
        <v>2220</v>
      </c>
      <c r="G89" s="1747" t="s">
        <v>1764</v>
      </c>
      <c r="H89" s="1748">
        <v>108</v>
      </c>
      <c r="I89" s="1784"/>
      <c r="J89" s="1749"/>
      <c r="K89" s="1750"/>
      <c r="L89" s="1751">
        <f t="shared" si="2"/>
        <v>137700</v>
      </c>
      <c r="M89" s="1752"/>
      <c r="N89" s="1240"/>
    </row>
    <row r="90" spans="1:14" s="783" customFormat="1" ht="14.25" customHeight="1">
      <c r="A90" s="776"/>
      <c r="B90" s="776" t="s">
        <v>2230</v>
      </c>
      <c r="C90" s="1753"/>
      <c r="D90" s="1744" t="s">
        <v>2303</v>
      </c>
      <c r="E90" s="1745">
        <v>1000</v>
      </c>
      <c r="F90" s="1746" t="s">
        <v>2222</v>
      </c>
      <c r="G90" s="1747" t="s">
        <v>1764</v>
      </c>
      <c r="H90" s="1748">
        <v>5</v>
      </c>
      <c r="I90" s="1784"/>
      <c r="J90" s="1749"/>
      <c r="K90" s="1750"/>
      <c r="L90" s="1751">
        <f t="shared" si="2"/>
        <v>5000</v>
      </c>
      <c r="M90" s="1752"/>
      <c r="N90" s="1240"/>
    </row>
    <row r="91" spans="1:14" s="783" customFormat="1" ht="14.25" customHeight="1">
      <c r="A91" s="776"/>
      <c r="B91" s="776" t="s">
        <v>2230</v>
      </c>
      <c r="C91" s="1753"/>
      <c r="D91" s="1744" t="s">
        <v>2304</v>
      </c>
      <c r="E91" s="1745">
        <v>1000</v>
      </c>
      <c r="F91" s="1746" t="s">
        <v>2222</v>
      </c>
      <c r="G91" s="1747" t="s">
        <v>1764</v>
      </c>
      <c r="H91" s="1748">
        <v>2.5</v>
      </c>
      <c r="I91" s="1784"/>
      <c r="J91" s="1749"/>
      <c r="K91" s="1750"/>
      <c r="L91" s="1751">
        <f t="shared" si="2"/>
        <v>2500</v>
      </c>
      <c r="M91" s="1752"/>
      <c r="N91" s="1240"/>
    </row>
    <row r="92" spans="1:14" s="783" customFormat="1" ht="14.25" customHeight="1">
      <c r="A92" s="776"/>
      <c r="B92" s="776" t="s">
        <v>2230</v>
      </c>
      <c r="C92" s="1753"/>
      <c r="D92" s="1744" t="s">
        <v>2305</v>
      </c>
      <c r="E92" s="1746">
        <v>100</v>
      </c>
      <c r="F92" s="1746" t="s">
        <v>2001</v>
      </c>
      <c r="G92" s="1747" t="s">
        <v>1764</v>
      </c>
      <c r="H92" s="1748">
        <v>40</v>
      </c>
      <c r="I92" s="1784"/>
      <c r="J92" s="1749"/>
      <c r="K92" s="1750"/>
      <c r="L92" s="1751">
        <f t="shared" si="2"/>
        <v>4000</v>
      </c>
      <c r="M92" s="1752"/>
      <c r="N92" s="1240"/>
    </row>
    <row r="93" spans="1:14" s="783" customFormat="1" ht="14.25" customHeight="1">
      <c r="A93" s="776"/>
      <c r="B93" s="776" t="s">
        <v>2230</v>
      </c>
      <c r="C93" s="1753"/>
      <c r="D93" s="1744" t="s">
        <v>2306</v>
      </c>
      <c r="E93" s="1745">
        <v>1000</v>
      </c>
      <c r="F93" s="1746" t="s">
        <v>2242</v>
      </c>
      <c r="G93" s="1747" t="s">
        <v>1764</v>
      </c>
      <c r="H93" s="1748">
        <v>5</v>
      </c>
      <c r="I93" s="1784"/>
      <c r="J93" s="1749"/>
      <c r="K93" s="1750"/>
      <c r="L93" s="1751">
        <f t="shared" si="2"/>
        <v>5000</v>
      </c>
      <c r="M93" s="1752"/>
      <c r="N93" s="1240"/>
    </row>
    <row r="94" spans="1:14" s="783" customFormat="1" ht="14.25" customHeight="1">
      <c r="A94" s="776"/>
      <c r="B94" s="776" t="s">
        <v>2230</v>
      </c>
      <c r="C94" s="1753"/>
      <c r="D94" s="1754" t="s">
        <v>2307</v>
      </c>
      <c r="E94" s="1745">
        <v>2000</v>
      </c>
      <c r="F94" s="1746" t="s">
        <v>2001</v>
      </c>
      <c r="G94" s="1747" t="s">
        <v>1764</v>
      </c>
      <c r="H94" s="1748">
        <v>195</v>
      </c>
      <c r="I94" s="1784"/>
      <c r="J94" s="1749"/>
      <c r="K94" s="1750"/>
      <c r="L94" s="1751">
        <f t="shared" si="2"/>
        <v>390000</v>
      </c>
      <c r="M94" s="1752"/>
      <c r="N94" s="1240"/>
    </row>
    <row r="95" spans="1:14" s="783" customFormat="1" ht="14.25" customHeight="1">
      <c r="A95" s="776"/>
      <c r="B95" s="776" t="s">
        <v>2230</v>
      </c>
      <c r="C95" s="1753"/>
      <c r="D95" s="1744" t="s">
        <v>2221</v>
      </c>
      <c r="E95" s="1745">
        <v>2030</v>
      </c>
      <c r="F95" s="1746" t="s">
        <v>2222</v>
      </c>
      <c r="G95" s="1747" t="s">
        <v>1764</v>
      </c>
      <c r="H95" s="1748">
        <v>10</v>
      </c>
      <c r="I95" s="1784"/>
      <c r="J95" s="1749"/>
      <c r="K95" s="1750"/>
      <c r="L95" s="1751">
        <f t="shared" si="2"/>
        <v>20300</v>
      </c>
      <c r="M95" s="1752"/>
      <c r="N95" s="1240"/>
    </row>
    <row r="96" spans="1:14" s="783" customFormat="1" ht="14.25" customHeight="1">
      <c r="A96" s="776"/>
      <c r="B96" s="776" t="s">
        <v>2230</v>
      </c>
      <c r="C96" s="1753"/>
      <c r="D96" s="1744" t="s">
        <v>2223</v>
      </c>
      <c r="E96" s="1745">
        <v>2000</v>
      </c>
      <c r="F96" s="1746" t="s">
        <v>2222</v>
      </c>
      <c r="G96" s="1747" t="s">
        <v>1764</v>
      </c>
      <c r="H96" s="1748">
        <v>35</v>
      </c>
      <c r="I96" s="1784"/>
      <c r="J96" s="1749"/>
      <c r="K96" s="1750"/>
      <c r="L96" s="1751">
        <f t="shared" si="2"/>
        <v>70000</v>
      </c>
      <c r="M96" s="1752"/>
      <c r="N96" s="1240"/>
    </row>
    <row r="97" spans="1:14" s="783" customFormat="1" ht="14.25" customHeight="1">
      <c r="A97" s="776"/>
      <c r="B97" s="776" t="s">
        <v>2230</v>
      </c>
      <c r="C97" s="1753"/>
      <c r="D97" s="1744" t="s">
        <v>2308</v>
      </c>
      <c r="E97" s="1746">
        <v>500</v>
      </c>
      <c r="F97" s="1746" t="s">
        <v>2222</v>
      </c>
      <c r="G97" s="1747" t="s">
        <v>1764</v>
      </c>
      <c r="H97" s="1748">
        <v>2.5</v>
      </c>
      <c r="I97" s="1784"/>
      <c r="J97" s="1749"/>
      <c r="K97" s="1750"/>
      <c r="L97" s="1751">
        <f t="shared" si="2"/>
        <v>1250</v>
      </c>
      <c r="M97" s="1752"/>
      <c r="N97" s="1240"/>
    </row>
    <row r="98" spans="1:14" s="783" customFormat="1" ht="14.25" customHeight="1">
      <c r="A98" s="776"/>
      <c r="B98" s="776" t="s">
        <v>2230</v>
      </c>
      <c r="C98" s="1753"/>
      <c r="D98" s="1744" t="s">
        <v>2309</v>
      </c>
      <c r="E98" s="1746">
        <v>50</v>
      </c>
      <c r="F98" s="1746" t="s">
        <v>2222</v>
      </c>
      <c r="G98" s="1747" t="s">
        <v>1764</v>
      </c>
      <c r="H98" s="1748">
        <v>1.5</v>
      </c>
      <c r="I98" s="1784"/>
      <c r="J98" s="1749"/>
      <c r="K98" s="1750"/>
      <c r="L98" s="1751">
        <f t="shared" si="2"/>
        <v>75</v>
      </c>
      <c r="M98" s="1752"/>
      <c r="N98" s="1240"/>
    </row>
    <row r="99" spans="1:14" s="783" customFormat="1" ht="14.25" customHeight="1">
      <c r="A99" s="776"/>
      <c r="B99" s="776" t="s">
        <v>2230</v>
      </c>
      <c r="C99" s="1753"/>
      <c r="D99" s="1744" t="s">
        <v>2310</v>
      </c>
      <c r="E99" s="1746">
        <v>50</v>
      </c>
      <c r="F99" s="1746" t="s">
        <v>2222</v>
      </c>
      <c r="G99" s="1747" t="s">
        <v>1764</v>
      </c>
      <c r="H99" s="1748">
        <v>40</v>
      </c>
      <c r="I99" s="1784"/>
      <c r="J99" s="1749"/>
      <c r="K99" s="1750"/>
      <c r="L99" s="1751">
        <f t="shared" si="2"/>
        <v>2000</v>
      </c>
      <c r="M99" s="1752"/>
      <c r="N99" s="1240"/>
    </row>
    <row r="100" spans="1:14" s="783" customFormat="1" ht="14.25" customHeight="1">
      <c r="A100" s="776"/>
      <c r="B100" s="776" t="s">
        <v>2230</v>
      </c>
      <c r="C100" s="1753"/>
      <c r="D100" s="1744" t="s">
        <v>2311</v>
      </c>
      <c r="E100" s="1746">
        <v>50</v>
      </c>
      <c r="F100" s="1746" t="s">
        <v>2222</v>
      </c>
      <c r="G100" s="1747" t="s">
        <v>1764</v>
      </c>
      <c r="H100" s="1748">
        <v>3.5</v>
      </c>
      <c r="I100" s="1784"/>
      <c r="J100" s="1749"/>
      <c r="K100" s="1750"/>
      <c r="L100" s="1751">
        <f t="shared" si="2"/>
        <v>175</v>
      </c>
      <c r="M100" s="1752"/>
      <c r="N100" s="1240"/>
    </row>
    <row r="101" spans="1:14" s="783" customFormat="1" ht="14.25" customHeight="1">
      <c r="A101" s="776"/>
      <c r="B101" s="776" t="s">
        <v>2230</v>
      </c>
      <c r="C101" s="1753"/>
      <c r="D101" s="1767" t="s">
        <v>2312</v>
      </c>
      <c r="E101" s="1745">
        <v>1000</v>
      </c>
      <c r="F101" s="1746" t="s">
        <v>2220</v>
      </c>
      <c r="G101" s="1747" t="s">
        <v>1764</v>
      </c>
      <c r="H101" s="1748">
        <v>10.5</v>
      </c>
      <c r="I101" s="1784"/>
      <c r="J101" s="1749"/>
      <c r="K101" s="1750"/>
      <c r="L101" s="1751">
        <f t="shared" si="2"/>
        <v>10500</v>
      </c>
      <c r="M101" s="1752"/>
      <c r="N101" s="1240"/>
    </row>
    <row r="102" spans="1:14" s="783" customFormat="1" ht="14.25" customHeight="1">
      <c r="A102" s="776"/>
      <c r="B102" s="776" t="s">
        <v>2230</v>
      </c>
      <c r="C102" s="1753"/>
      <c r="D102" s="1744" t="s">
        <v>2313</v>
      </c>
      <c r="E102" s="1745">
        <v>1000</v>
      </c>
      <c r="F102" s="1746" t="s">
        <v>2001</v>
      </c>
      <c r="G102" s="1747" t="s">
        <v>1764</v>
      </c>
      <c r="H102" s="1748">
        <v>55</v>
      </c>
      <c r="I102" s="1784"/>
      <c r="J102" s="1749"/>
      <c r="K102" s="1750"/>
      <c r="L102" s="1751">
        <f t="shared" si="2"/>
        <v>55000</v>
      </c>
      <c r="M102" s="1752"/>
      <c r="N102" s="1240"/>
    </row>
    <row r="103" spans="1:14" s="783" customFormat="1" ht="14.25" customHeight="1">
      <c r="A103" s="776"/>
      <c r="B103" s="776" t="s">
        <v>2230</v>
      </c>
      <c r="C103" s="1753"/>
      <c r="D103" s="1754" t="s">
        <v>2224</v>
      </c>
      <c r="E103" s="1745">
        <v>2000</v>
      </c>
      <c r="F103" s="1746" t="s">
        <v>2001</v>
      </c>
      <c r="G103" s="1747" t="s">
        <v>1764</v>
      </c>
      <c r="H103" s="1748">
        <v>65</v>
      </c>
      <c r="I103" s="1784"/>
      <c r="J103" s="1749"/>
      <c r="K103" s="1750"/>
      <c r="L103" s="1751">
        <f t="shared" si="2"/>
        <v>130000</v>
      </c>
      <c r="M103" s="1752"/>
      <c r="N103" s="1240"/>
    </row>
    <row r="104" spans="1:14" s="783" customFormat="1" ht="14.25" customHeight="1">
      <c r="A104" s="776"/>
      <c r="B104" s="776" t="s">
        <v>2230</v>
      </c>
      <c r="C104" s="1753"/>
      <c r="D104" s="1744" t="s">
        <v>2225</v>
      </c>
      <c r="E104" s="1745">
        <v>2000</v>
      </c>
      <c r="F104" s="1746" t="s">
        <v>2001</v>
      </c>
      <c r="G104" s="1747" t="s">
        <v>1764</v>
      </c>
      <c r="H104" s="1748">
        <v>65</v>
      </c>
      <c r="I104" s="1784"/>
      <c r="J104" s="1749"/>
      <c r="K104" s="1750"/>
      <c r="L104" s="1751">
        <f t="shared" si="2"/>
        <v>130000</v>
      </c>
      <c r="M104" s="1752"/>
      <c r="N104" s="1240"/>
    </row>
    <row r="105" spans="1:14" s="783" customFormat="1" ht="14.25" customHeight="1">
      <c r="A105" s="776"/>
      <c r="B105" s="776" t="s">
        <v>2230</v>
      </c>
      <c r="C105" s="1753"/>
      <c r="D105" s="1744" t="s">
        <v>2314</v>
      </c>
      <c r="E105" s="1746">
        <v>500</v>
      </c>
      <c r="F105" s="1746" t="s">
        <v>2001</v>
      </c>
      <c r="G105" s="1747" t="s">
        <v>1764</v>
      </c>
      <c r="H105" s="1748">
        <v>55</v>
      </c>
      <c r="I105" s="1784"/>
      <c r="J105" s="1749"/>
      <c r="K105" s="1750"/>
      <c r="L105" s="1751">
        <f t="shared" si="2"/>
        <v>27500</v>
      </c>
      <c r="M105" s="1752"/>
      <c r="N105" s="1240"/>
    </row>
    <row r="106" spans="1:14" s="783" customFormat="1" ht="14.25" customHeight="1">
      <c r="A106" s="776"/>
      <c r="B106" s="776" t="s">
        <v>2230</v>
      </c>
      <c r="C106" s="1753"/>
      <c r="D106" s="1744" t="s">
        <v>2315</v>
      </c>
      <c r="E106" s="1745">
        <v>1000</v>
      </c>
      <c r="F106" s="1746" t="s">
        <v>2001</v>
      </c>
      <c r="G106" s="1747" t="s">
        <v>1764</v>
      </c>
      <c r="H106" s="1748">
        <v>65</v>
      </c>
      <c r="I106" s="1784"/>
      <c r="J106" s="1749"/>
      <c r="K106" s="1750"/>
      <c r="L106" s="1751">
        <f t="shared" si="2"/>
        <v>65000</v>
      </c>
      <c r="M106" s="1752"/>
      <c r="N106" s="1240"/>
    </row>
    <row r="107" spans="1:14" s="783" customFormat="1" ht="14.25" customHeight="1">
      <c r="A107" s="776"/>
      <c r="B107" s="776" t="s">
        <v>2230</v>
      </c>
      <c r="C107" s="1753"/>
      <c r="D107" s="1744" t="s">
        <v>2316</v>
      </c>
      <c r="E107" s="1745">
        <v>1000</v>
      </c>
      <c r="F107" s="1746" t="s">
        <v>2001</v>
      </c>
      <c r="G107" s="1747" t="s">
        <v>1764</v>
      </c>
      <c r="H107" s="1748">
        <v>55</v>
      </c>
      <c r="I107" s="1784"/>
      <c r="J107" s="1749"/>
      <c r="K107" s="1750"/>
      <c r="L107" s="1751">
        <f t="shared" si="2"/>
        <v>55000</v>
      </c>
      <c r="M107" s="1757"/>
      <c r="N107" s="1240"/>
    </row>
    <row r="108" spans="1:14" s="783" customFormat="1" ht="14.25" customHeight="1">
      <c r="A108" s="776"/>
      <c r="B108" s="776" t="s">
        <v>2230</v>
      </c>
      <c r="C108" s="1753"/>
      <c r="D108" s="1767" t="s">
        <v>2317</v>
      </c>
      <c r="E108" s="1746">
        <v>500</v>
      </c>
      <c r="F108" s="1746" t="s">
        <v>2220</v>
      </c>
      <c r="G108" s="1747" t="s">
        <v>1764</v>
      </c>
      <c r="H108" s="1769">
        <v>150</v>
      </c>
      <c r="I108" s="1784"/>
      <c r="J108" s="1749"/>
      <c r="K108" s="1750"/>
      <c r="L108" s="1751">
        <f t="shared" si="2"/>
        <v>75000</v>
      </c>
      <c r="M108" s="1757"/>
      <c r="N108" s="1240"/>
    </row>
    <row r="109" spans="1:14" s="783" customFormat="1" ht="14.25" customHeight="1">
      <c r="A109" s="776"/>
      <c r="B109" s="776" t="s">
        <v>2230</v>
      </c>
      <c r="C109" s="1753"/>
      <c r="D109" s="1767" t="s">
        <v>2318</v>
      </c>
      <c r="E109" s="1746">
        <v>100</v>
      </c>
      <c r="F109" s="1746" t="s">
        <v>2220</v>
      </c>
      <c r="G109" s="1747" t="s">
        <v>1764</v>
      </c>
      <c r="H109" s="1748">
        <v>20</v>
      </c>
      <c r="I109" s="1784"/>
      <c r="J109" s="1749"/>
      <c r="K109" s="1750"/>
      <c r="L109" s="1751">
        <f t="shared" si="2"/>
        <v>2000</v>
      </c>
      <c r="M109" s="1757"/>
      <c r="N109" s="1240"/>
    </row>
    <row r="110" spans="1:14" s="783" customFormat="1" ht="14.25" customHeight="1">
      <c r="A110" s="776"/>
      <c r="B110" s="776" t="s">
        <v>2230</v>
      </c>
      <c r="C110" s="1753"/>
      <c r="D110" s="1744" t="s">
        <v>2319</v>
      </c>
      <c r="E110" s="1746">
        <v>500</v>
      </c>
      <c r="F110" s="1746" t="s">
        <v>2222</v>
      </c>
      <c r="G110" s="1747" t="s">
        <v>1764</v>
      </c>
      <c r="H110" s="1748">
        <v>2.75</v>
      </c>
      <c r="I110" s="1784"/>
      <c r="J110" s="1749"/>
      <c r="K110" s="1750"/>
      <c r="L110" s="1751">
        <f t="shared" si="2"/>
        <v>1375</v>
      </c>
      <c r="M110" s="1757"/>
      <c r="N110" s="1240"/>
    </row>
    <row r="111" spans="1:14" s="783" customFormat="1" ht="14.25" customHeight="1">
      <c r="A111" s="776"/>
      <c r="B111" s="776" t="s">
        <v>2230</v>
      </c>
      <c r="C111" s="1753"/>
      <c r="D111" s="1744" t="s">
        <v>2320</v>
      </c>
      <c r="E111" s="1745">
        <v>1000</v>
      </c>
      <c r="F111" s="1761" t="s">
        <v>2001</v>
      </c>
      <c r="G111" s="1747" t="s">
        <v>1764</v>
      </c>
      <c r="H111" s="1748">
        <v>65</v>
      </c>
      <c r="I111" s="1784"/>
      <c r="J111" s="1749"/>
      <c r="K111" s="1750"/>
      <c r="L111" s="1751">
        <f t="shared" si="2"/>
        <v>65000</v>
      </c>
      <c r="M111" s="1757"/>
      <c r="N111" s="1240"/>
    </row>
    <row r="112" spans="1:14" s="783" customFormat="1" ht="14.25" customHeight="1">
      <c r="A112" s="776"/>
      <c r="B112" s="776" t="s">
        <v>2230</v>
      </c>
      <c r="C112" s="1753"/>
      <c r="D112" s="1767" t="s">
        <v>2321</v>
      </c>
      <c r="E112" s="1745">
        <v>1000</v>
      </c>
      <c r="F112" s="1746" t="s">
        <v>2222</v>
      </c>
      <c r="G112" s="1747" t="s">
        <v>1764</v>
      </c>
      <c r="H112" s="1748">
        <v>5.5</v>
      </c>
      <c r="I112" s="1784"/>
      <c r="J112" s="1749"/>
      <c r="K112" s="1750"/>
      <c r="L112" s="1751">
        <f t="shared" si="2"/>
        <v>5500</v>
      </c>
      <c r="M112" s="1757"/>
      <c r="N112" s="1240"/>
    </row>
    <row r="113" spans="1:14" s="783" customFormat="1" ht="14.25" customHeight="1">
      <c r="A113" s="776"/>
      <c r="B113" s="776" t="s">
        <v>2230</v>
      </c>
      <c r="C113" s="1753"/>
      <c r="D113" s="1767" t="s">
        <v>2322</v>
      </c>
      <c r="E113" s="1745">
        <v>500</v>
      </c>
      <c r="F113" s="1746" t="s">
        <v>2220</v>
      </c>
      <c r="G113" s="1747" t="s">
        <v>1764</v>
      </c>
      <c r="H113" s="1748">
        <v>165</v>
      </c>
      <c r="I113" s="1784"/>
      <c r="J113" s="1749"/>
      <c r="K113" s="1750"/>
      <c r="L113" s="1751">
        <f t="shared" si="2"/>
        <v>82500</v>
      </c>
      <c r="M113" s="1757"/>
      <c r="N113" s="1240"/>
    </row>
    <row r="114" spans="1:14" s="783" customFormat="1" ht="14.25" customHeight="1">
      <c r="A114" s="776"/>
      <c r="B114" s="776" t="s">
        <v>2230</v>
      </c>
      <c r="C114" s="1753"/>
      <c r="D114" s="1767" t="s">
        <v>2323</v>
      </c>
      <c r="E114" s="1746">
        <v>500</v>
      </c>
      <c r="F114" s="1746" t="s">
        <v>2001</v>
      </c>
      <c r="G114" s="1747" t="s">
        <v>1764</v>
      </c>
      <c r="H114" s="1748">
        <v>35</v>
      </c>
      <c r="I114" s="1784"/>
      <c r="J114" s="1749"/>
      <c r="K114" s="1750"/>
      <c r="L114" s="1751">
        <f t="shared" si="2"/>
        <v>17500</v>
      </c>
      <c r="M114" s="1757"/>
      <c r="N114" s="1240"/>
    </row>
    <row r="115" spans="1:14" s="783" customFormat="1" ht="14.25" customHeight="1">
      <c r="A115" s="776"/>
      <c r="B115" s="776" t="s">
        <v>2230</v>
      </c>
      <c r="C115" s="1753"/>
      <c r="D115" s="1767" t="s">
        <v>2324</v>
      </c>
      <c r="E115" s="1746">
        <v>100</v>
      </c>
      <c r="F115" s="1746" t="s">
        <v>2242</v>
      </c>
      <c r="G115" s="1747" t="s">
        <v>1764</v>
      </c>
      <c r="H115" s="1748">
        <v>4</v>
      </c>
      <c r="I115" s="1784"/>
      <c r="J115" s="1749"/>
      <c r="K115" s="1750"/>
      <c r="L115" s="1751">
        <f t="shared" si="2"/>
        <v>400</v>
      </c>
      <c r="M115" s="1757"/>
      <c r="N115" s="1240"/>
    </row>
    <row r="116" spans="1:14" s="783" customFormat="1" ht="14.25" customHeight="1">
      <c r="A116" s="776"/>
      <c r="B116" s="776" t="s">
        <v>2230</v>
      </c>
      <c r="C116" s="1753"/>
      <c r="D116" s="1767" t="s">
        <v>2325</v>
      </c>
      <c r="E116" s="1746">
        <v>90</v>
      </c>
      <c r="F116" s="1746" t="s">
        <v>2242</v>
      </c>
      <c r="G116" s="1747" t="s">
        <v>1764</v>
      </c>
      <c r="H116" s="1748">
        <v>3</v>
      </c>
      <c r="I116" s="1784"/>
      <c r="J116" s="1749"/>
      <c r="K116" s="1750"/>
      <c r="L116" s="1751">
        <f t="shared" si="2"/>
        <v>270</v>
      </c>
      <c r="M116" s="1757"/>
      <c r="N116" s="1240"/>
    </row>
    <row r="117" spans="1:14" s="783" customFormat="1" ht="14.25" customHeight="1">
      <c r="A117" s="776"/>
      <c r="B117" s="776" t="s">
        <v>2230</v>
      </c>
      <c r="C117" s="1753"/>
      <c r="D117" s="1744" t="s">
        <v>2326</v>
      </c>
      <c r="E117" s="1746">
        <v>500</v>
      </c>
      <c r="F117" s="1746" t="s">
        <v>2220</v>
      </c>
      <c r="G117" s="1747" t="s">
        <v>1764</v>
      </c>
      <c r="H117" s="1748">
        <v>52</v>
      </c>
      <c r="I117" s="1784"/>
      <c r="J117" s="1749"/>
      <c r="K117" s="1750"/>
      <c r="L117" s="1751">
        <f t="shared" si="2"/>
        <v>26000</v>
      </c>
      <c r="M117" s="1757"/>
      <c r="N117" s="1240"/>
    </row>
    <row r="118" spans="1:14" s="783" customFormat="1" ht="14.25" customHeight="1">
      <c r="A118" s="776"/>
      <c r="B118" s="776" t="s">
        <v>2230</v>
      </c>
      <c r="C118" s="1753"/>
      <c r="D118" s="1767" t="s">
        <v>2327</v>
      </c>
      <c r="E118" s="1745">
        <v>500</v>
      </c>
      <c r="F118" s="1746" t="s">
        <v>2220</v>
      </c>
      <c r="G118" s="1747" t="s">
        <v>1764</v>
      </c>
      <c r="H118" s="1748">
        <v>105</v>
      </c>
      <c r="I118" s="1784"/>
      <c r="J118" s="1749"/>
      <c r="K118" s="1750"/>
      <c r="L118" s="1751">
        <f t="shared" si="2"/>
        <v>52500</v>
      </c>
      <c r="M118" s="1757"/>
      <c r="N118" s="1240"/>
    </row>
    <row r="119" spans="1:14" s="783" customFormat="1" ht="14.25" customHeight="1">
      <c r="A119" s="776"/>
      <c r="B119" s="776" t="s">
        <v>2230</v>
      </c>
      <c r="C119" s="1753"/>
      <c r="D119" s="1767" t="s">
        <v>2328</v>
      </c>
      <c r="E119" s="1745">
        <v>1000</v>
      </c>
      <c r="F119" s="1746" t="s">
        <v>2001</v>
      </c>
      <c r="G119" s="1747" t="s">
        <v>1764</v>
      </c>
      <c r="H119" s="1748">
        <v>85</v>
      </c>
      <c r="I119" s="1784"/>
      <c r="J119" s="1749"/>
      <c r="K119" s="1750"/>
      <c r="L119" s="1751">
        <f t="shared" si="2"/>
        <v>85000</v>
      </c>
      <c r="M119" s="1757"/>
      <c r="N119" s="1240"/>
    </row>
    <row r="120" spans="1:14" s="783" customFormat="1" ht="14.25" customHeight="1">
      <c r="A120" s="776"/>
      <c r="B120" s="776" t="s">
        <v>2230</v>
      </c>
      <c r="C120" s="1753"/>
      <c r="D120" s="1767" t="s">
        <v>2329</v>
      </c>
      <c r="E120" s="1745">
        <v>1000</v>
      </c>
      <c r="F120" s="1746" t="s">
        <v>2222</v>
      </c>
      <c r="G120" s="1747" t="s">
        <v>1764</v>
      </c>
      <c r="H120" s="1748">
        <v>5</v>
      </c>
      <c r="I120" s="1784"/>
      <c r="J120" s="1749"/>
      <c r="K120" s="1750"/>
      <c r="L120" s="1751">
        <f t="shared" si="2"/>
        <v>5000</v>
      </c>
      <c r="M120" s="1757"/>
      <c r="N120" s="1240"/>
    </row>
    <row r="121" spans="1:14" s="783" customFormat="1" ht="14.25" customHeight="1">
      <c r="A121" s="776"/>
      <c r="B121" s="776" t="s">
        <v>2230</v>
      </c>
      <c r="C121" s="1753"/>
      <c r="D121" s="1773" t="s">
        <v>2330</v>
      </c>
      <c r="E121" s="1745">
        <v>1000</v>
      </c>
      <c r="F121" s="1761" t="s">
        <v>2220</v>
      </c>
      <c r="G121" s="1747" t="s">
        <v>1764</v>
      </c>
      <c r="H121" s="1748">
        <v>45</v>
      </c>
      <c r="I121" s="1784"/>
      <c r="J121" s="1749"/>
      <c r="K121" s="1750"/>
      <c r="L121" s="1751">
        <f t="shared" si="2"/>
        <v>45000</v>
      </c>
      <c r="M121" s="1757"/>
      <c r="N121" s="1240"/>
    </row>
    <row r="122" spans="1:14" s="783" customFormat="1" ht="14.25" customHeight="1">
      <c r="A122" s="776"/>
      <c r="B122" s="776" t="s">
        <v>2230</v>
      </c>
      <c r="C122" s="1753"/>
      <c r="D122" s="1774" t="s">
        <v>2331</v>
      </c>
      <c r="E122" s="1746">
        <v>200</v>
      </c>
      <c r="F122" s="1746" t="s">
        <v>2242</v>
      </c>
      <c r="G122" s="1747" t="s">
        <v>1764</v>
      </c>
      <c r="H122" s="1748">
        <v>5</v>
      </c>
      <c r="I122" s="1784"/>
      <c r="J122" s="1749"/>
      <c r="K122" s="1750"/>
      <c r="L122" s="1751">
        <f t="shared" si="2"/>
        <v>1000</v>
      </c>
      <c r="M122" s="1757"/>
      <c r="N122" s="1240"/>
    </row>
    <row r="123" spans="1:14" s="783" customFormat="1" ht="14.25" customHeight="1">
      <c r="A123" s="776"/>
      <c r="B123" s="776" t="s">
        <v>2230</v>
      </c>
      <c r="C123" s="1753"/>
      <c r="D123" s="1744" t="s">
        <v>2332</v>
      </c>
      <c r="E123" s="1745">
        <v>500</v>
      </c>
      <c r="F123" s="1746" t="s">
        <v>2222</v>
      </c>
      <c r="G123" s="1747" t="s">
        <v>1764</v>
      </c>
      <c r="H123" s="1748">
        <v>65</v>
      </c>
      <c r="I123" s="1784"/>
      <c r="J123" s="1749"/>
      <c r="K123" s="1750"/>
      <c r="L123" s="1751">
        <f t="shared" si="2"/>
        <v>32500</v>
      </c>
      <c r="M123" s="1757"/>
      <c r="N123" s="1240"/>
    </row>
    <row r="124" spans="1:14" s="783" customFormat="1" ht="14.25" customHeight="1">
      <c r="A124" s="776"/>
      <c r="B124" s="776" t="s">
        <v>2230</v>
      </c>
      <c r="C124" s="1755"/>
      <c r="D124" s="1744" t="s">
        <v>2226</v>
      </c>
      <c r="E124" s="1745">
        <v>1000</v>
      </c>
      <c r="F124" s="1746" t="s">
        <v>2220</v>
      </c>
      <c r="G124" s="1747" t="s">
        <v>1764</v>
      </c>
      <c r="H124" s="1748">
        <v>28</v>
      </c>
      <c r="I124" s="1784"/>
      <c r="J124" s="1756"/>
      <c r="K124" s="1750"/>
      <c r="L124" s="1751">
        <f t="shared" si="2"/>
        <v>28000</v>
      </c>
      <c r="M124" s="1757"/>
      <c r="N124" s="1240"/>
    </row>
    <row r="125" spans="1:14" s="783" customFormat="1" ht="14.25" customHeight="1">
      <c r="A125" s="776"/>
      <c r="B125" s="776" t="s">
        <v>2230</v>
      </c>
      <c r="C125" s="1755"/>
      <c r="D125" s="1760" t="s">
        <v>2333</v>
      </c>
      <c r="E125" s="1746">
        <v>100</v>
      </c>
      <c r="F125" s="1746" t="s">
        <v>2334</v>
      </c>
      <c r="G125" s="1747" t="s">
        <v>1764</v>
      </c>
      <c r="H125" s="1748">
        <v>200</v>
      </c>
      <c r="I125" s="1784"/>
      <c r="J125" s="1756"/>
      <c r="K125" s="1750"/>
      <c r="L125" s="1751">
        <f t="shared" si="2"/>
        <v>20000</v>
      </c>
      <c r="M125" s="1757"/>
      <c r="N125" s="1240"/>
    </row>
    <row r="126" spans="1:14" s="783" customFormat="1" ht="14.25" customHeight="1">
      <c r="A126" s="776"/>
      <c r="B126" s="776" t="s">
        <v>2230</v>
      </c>
      <c r="C126" s="1755"/>
      <c r="D126" s="1760" t="s">
        <v>2335</v>
      </c>
      <c r="E126" s="1746">
        <v>100</v>
      </c>
      <c r="F126" s="1746" t="s">
        <v>2001</v>
      </c>
      <c r="G126" s="1747" t="s">
        <v>1764</v>
      </c>
      <c r="H126" s="1748">
        <v>65</v>
      </c>
      <c r="I126" s="1784"/>
      <c r="J126" s="1756"/>
      <c r="K126" s="1750"/>
      <c r="L126" s="1751">
        <f t="shared" si="2"/>
        <v>6500</v>
      </c>
      <c r="M126" s="1757"/>
      <c r="N126" s="1240"/>
    </row>
    <row r="127" spans="1:14" s="783" customFormat="1" ht="14.25" customHeight="1">
      <c r="A127" s="776"/>
      <c r="B127" s="776" t="s">
        <v>2230</v>
      </c>
      <c r="C127" s="1755"/>
      <c r="D127" s="1767" t="s">
        <v>2336</v>
      </c>
      <c r="E127" s="1746">
        <v>500</v>
      </c>
      <c r="F127" s="1746" t="s">
        <v>2222</v>
      </c>
      <c r="G127" s="1747" t="s">
        <v>1764</v>
      </c>
      <c r="H127" s="1748">
        <v>5</v>
      </c>
      <c r="I127" s="1784"/>
      <c r="J127" s="1756"/>
      <c r="K127" s="1750"/>
      <c r="L127" s="1751">
        <f t="shared" si="2"/>
        <v>2500</v>
      </c>
      <c r="M127" s="1757"/>
      <c r="N127" s="1240"/>
    </row>
    <row r="128" spans="1:14" s="783" customFormat="1" ht="14.25" customHeight="1">
      <c r="A128" s="776"/>
      <c r="B128" s="776" t="s">
        <v>2230</v>
      </c>
      <c r="C128" s="1755"/>
      <c r="D128" s="1744" t="s">
        <v>2337</v>
      </c>
      <c r="E128" s="1745">
        <v>1000</v>
      </c>
      <c r="F128" s="1746" t="s">
        <v>2001</v>
      </c>
      <c r="G128" s="1747" t="s">
        <v>1764</v>
      </c>
      <c r="H128" s="1748">
        <v>30</v>
      </c>
      <c r="I128" s="1784"/>
      <c r="J128" s="1756"/>
      <c r="K128" s="1750"/>
      <c r="L128" s="1751">
        <f t="shared" si="2"/>
        <v>30000</v>
      </c>
      <c r="M128" s="1757"/>
      <c r="N128" s="1240"/>
    </row>
    <row r="129" spans="1:14" s="783" customFormat="1" ht="14.25" customHeight="1">
      <c r="A129" s="776"/>
      <c r="B129" s="776" t="s">
        <v>2230</v>
      </c>
      <c r="C129" s="1755"/>
      <c r="D129" s="1744" t="s">
        <v>2338</v>
      </c>
      <c r="E129" s="1745">
        <v>1000</v>
      </c>
      <c r="F129" s="1775" t="s">
        <v>2001</v>
      </c>
      <c r="G129" s="1747" t="s">
        <v>1764</v>
      </c>
      <c r="H129" s="1748">
        <v>38</v>
      </c>
      <c r="I129" s="1784"/>
      <c r="J129" s="1756"/>
      <c r="K129" s="1750"/>
      <c r="L129" s="1751">
        <f t="shared" si="2"/>
        <v>38000</v>
      </c>
      <c r="M129" s="1757"/>
      <c r="N129" s="1240"/>
    </row>
    <row r="130" spans="1:14" s="783" customFormat="1" ht="14.25" customHeight="1">
      <c r="A130" s="776"/>
      <c r="B130" s="776" t="s">
        <v>2230</v>
      </c>
      <c r="C130" s="1755"/>
      <c r="D130" s="1767" t="s">
        <v>2339</v>
      </c>
      <c r="E130" s="1745">
        <v>1000</v>
      </c>
      <c r="F130" s="1746" t="s">
        <v>2222</v>
      </c>
      <c r="G130" s="1747" t="s">
        <v>1764</v>
      </c>
      <c r="H130" s="1748">
        <v>2</v>
      </c>
      <c r="I130" s="1784"/>
      <c r="J130" s="1756"/>
      <c r="K130" s="1750"/>
      <c r="L130" s="1751">
        <f t="shared" si="2"/>
        <v>2000</v>
      </c>
      <c r="M130" s="1757"/>
      <c r="N130" s="1240"/>
    </row>
    <row r="131" spans="1:14" s="783" customFormat="1" ht="14.25" customHeight="1">
      <c r="A131" s="776"/>
      <c r="B131" s="776" t="s">
        <v>2230</v>
      </c>
      <c r="C131" s="1755"/>
      <c r="D131" s="1744" t="s">
        <v>2340</v>
      </c>
      <c r="E131" s="1745">
        <v>1000</v>
      </c>
      <c r="F131" s="1746" t="s">
        <v>2242</v>
      </c>
      <c r="G131" s="1747" t="s">
        <v>1764</v>
      </c>
      <c r="H131" s="1748">
        <v>3</v>
      </c>
      <c r="I131" s="1784"/>
      <c r="J131" s="1756"/>
      <c r="K131" s="1750"/>
      <c r="L131" s="1751">
        <f t="shared" si="2"/>
        <v>3000</v>
      </c>
      <c r="M131" s="1757"/>
      <c r="N131" s="1240"/>
    </row>
    <row r="132" spans="1:14" s="783" customFormat="1" ht="14.25" customHeight="1">
      <c r="A132" s="776"/>
      <c r="B132" s="776" t="s">
        <v>2230</v>
      </c>
      <c r="C132" s="1755"/>
      <c r="D132" s="1758" t="s">
        <v>2227</v>
      </c>
      <c r="E132" s="1745">
        <v>1000</v>
      </c>
      <c r="F132" s="1759"/>
      <c r="G132" s="1747" t="s">
        <v>1764</v>
      </c>
      <c r="H132" s="1748">
        <v>68</v>
      </c>
      <c r="I132" s="1784"/>
      <c r="J132" s="1749"/>
      <c r="K132" s="1750"/>
      <c r="L132" s="1751">
        <f t="shared" si="2"/>
        <v>68000</v>
      </c>
      <c r="M132" s="1757"/>
      <c r="N132" s="1240"/>
    </row>
    <row r="133" spans="1:14" s="783" customFormat="1" ht="14.25" customHeight="1">
      <c r="A133" s="776"/>
      <c r="B133" s="776" t="s">
        <v>2230</v>
      </c>
      <c r="C133" s="1755"/>
      <c r="D133" s="1767" t="s">
        <v>2341</v>
      </c>
      <c r="E133" s="1746">
        <v>500</v>
      </c>
      <c r="F133" s="1746" t="s">
        <v>2222</v>
      </c>
      <c r="G133" s="1747" t="s">
        <v>1764</v>
      </c>
      <c r="H133" s="1748">
        <v>5</v>
      </c>
      <c r="I133" s="1784"/>
      <c r="J133" s="1749"/>
      <c r="K133" s="1750"/>
      <c r="L133" s="1751">
        <f t="shared" si="2"/>
        <v>2500</v>
      </c>
      <c r="M133" s="1757"/>
      <c r="N133" s="1240"/>
    </row>
    <row r="134" spans="1:14" s="783" customFormat="1" ht="14.25" customHeight="1">
      <c r="A134" s="776"/>
      <c r="B134" s="776" t="s">
        <v>2230</v>
      </c>
      <c r="C134" s="1755"/>
      <c r="D134" s="1767" t="s">
        <v>2342</v>
      </c>
      <c r="E134" s="1746">
        <v>500</v>
      </c>
      <c r="F134" s="1746" t="s">
        <v>2222</v>
      </c>
      <c r="G134" s="1747" t="s">
        <v>1764</v>
      </c>
      <c r="H134" s="1748">
        <v>8</v>
      </c>
      <c r="I134" s="1784"/>
      <c r="J134" s="1749"/>
      <c r="K134" s="1750"/>
      <c r="L134" s="1751">
        <f t="shared" si="2"/>
        <v>4000</v>
      </c>
      <c r="M134" s="1757"/>
      <c r="N134" s="1240"/>
    </row>
    <row r="135" spans="1:14" s="783" customFormat="1" ht="14.25" customHeight="1">
      <c r="A135" s="776"/>
      <c r="B135" s="776" t="s">
        <v>2230</v>
      </c>
      <c r="C135" s="1755"/>
      <c r="D135" s="1760" t="s">
        <v>2228</v>
      </c>
      <c r="E135" s="1745">
        <v>2000</v>
      </c>
      <c r="F135" s="1761" t="s">
        <v>2220</v>
      </c>
      <c r="G135" s="1747" t="s">
        <v>1764</v>
      </c>
      <c r="H135" s="1748">
        <v>28</v>
      </c>
      <c r="I135" s="1784"/>
      <c r="J135" s="1749"/>
      <c r="K135" s="1750"/>
      <c r="L135" s="1751">
        <f t="shared" si="2"/>
        <v>56000</v>
      </c>
      <c r="M135" s="1757"/>
      <c r="N135" s="1240"/>
    </row>
    <row r="136" spans="1:14" s="783" customFormat="1" ht="14.25" customHeight="1">
      <c r="A136" s="776"/>
      <c r="B136" s="776" t="s">
        <v>2230</v>
      </c>
      <c r="C136" s="1755"/>
      <c r="D136" s="1767" t="s">
        <v>2343</v>
      </c>
      <c r="E136" s="1745">
        <v>1000</v>
      </c>
      <c r="F136" s="1746" t="s">
        <v>2222</v>
      </c>
      <c r="G136" s="1747" t="s">
        <v>1764</v>
      </c>
      <c r="H136" s="1748">
        <v>4.5</v>
      </c>
      <c r="I136" s="1784"/>
      <c r="J136" s="1749"/>
      <c r="K136" s="1750"/>
      <c r="L136" s="1751">
        <f t="shared" si="2"/>
        <v>4500</v>
      </c>
      <c r="M136" s="1757"/>
      <c r="N136" s="1240"/>
    </row>
    <row r="137" spans="1:14" s="783" customFormat="1" ht="14.25" customHeight="1">
      <c r="A137" s="776"/>
      <c r="B137" s="776" t="s">
        <v>2230</v>
      </c>
      <c r="C137" s="1755"/>
      <c r="D137" s="1767" t="s">
        <v>2344</v>
      </c>
      <c r="E137" s="1745">
        <v>500</v>
      </c>
      <c r="F137" s="1746" t="s">
        <v>2222</v>
      </c>
      <c r="G137" s="1747" t="s">
        <v>1764</v>
      </c>
      <c r="H137" s="1748">
        <v>15</v>
      </c>
      <c r="I137" s="1784"/>
      <c r="J137" s="1749"/>
      <c r="K137" s="1750"/>
      <c r="L137" s="1751">
        <f t="shared" si="2"/>
        <v>7500</v>
      </c>
      <c r="M137" s="1757"/>
      <c r="N137" s="1240"/>
    </row>
    <row r="138" spans="1:14" s="783" customFormat="1" ht="14.25" customHeight="1">
      <c r="A138" s="776"/>
      <c r="B138" s="776" t="s">
        <v>2230</v>
      </c>
      <c r="C138" s="1755"/>
      <c r="D138" s="1767" t="s">
        <v>2345</v>
      </c>
      <c r="E138" s="1745">
        <v>1000</v>
      </c>
      <c r="F138" s="1746" t="s">
        <v>2222</v>
      </c>
      <c r="G138" s="1747" t="s">
        <v>1764</v>
      </c>
      <c r="H138" s="1748">
        <v>6</v>
      </c>
      <c r="I138" s="1784"/>
      <c r="J138" s="1749"/>
      <c r="K138" s="1750"/>
      <c r="L138" s="1751">
        <f t="shared" si="2"/>
        <v>6000</v>
      </c>
      <c r="M138" s="1757"/>
      <c r="N138" s="1240"/>
    </row>
    <row r="139" spans="1:14" s="783" customFormat="1" ht="14.25" customHeight="1">
      <c r="A139" s="776"/>
      <c r="B139" s="776" t="s">
        <v>2230</v>
      </c>
      <c r="C139" s="1755"/>
      <c r="D139" s="1767" t="s">
        <v>2346</v>
      </c>
      <c r="E139" s="1745">
        <v>500</v>
      </c>
      <c r="F139" s="1746" t="s">
        <v>2244</v>
      </c>
      <c r="G139" s="1747" t="s">
        <v>1764</v>
      </c>
      <c r="H139" s="1748">
        <v>80</v>
      </c>
      <c r="I139" s="1784"/>
      <c r="J139" s="1749"/>
      <c r="K139" s="1750"/>
      <c r="L139" s="1751">
        <f t="shared" si="2"/>
        <v>40000</v>
      </c>
      <c r="M139" s="1757"/>
      <c r="N139" s="1240"/>
    </row>
    <row r="140" spans="1:14" s="783" customFormat="1" ht="14.25" customHeight="1">
      <c r="A140" s="776"/>
      <c r="B140" s="776" t="s">
        <v>2230</v>
      </c>
      <c r="C140" s="1755"/>
      <c r="D140" s="1767" t="s">
        <v>2347</v>
      </c>
      <c r="E140" s="1746">
        <v>100</v>
      </c>
      <c r="F140" s="1746" t="s">
        <v>2222</v>
      </c>
      <c r="G140" s="1747" t="s">
        <v>1764</v>
      </c>
      <c r="H140" s="1748">
        <v>3</v>
      </c>
      <c r="I140" s="1784"/>
      <c r="J140" s="1749"/>
      <c r="K140" s="1750"/>
      <c r="L140" s="1751">
        <f t="shared" si="2"/>
        <v>300</v>
      </c>
      <c r="M140" s="1757"/>
      <c r="N140" s="1240"/>
    </row>
    <row r="141" spans="1:14" s="783" customFormat="1" ht="14.25" customHeight="1">
      <c r="A141" s="776"/>
      <c r="B141" s="776" t="s">
        <v>2230</v>
      </c>
      <c r="C141" s="1755"/>
      <c r="D141" s="1767" t="s">
        <v>2348</v>
      </c>
      <c r="E141" s="1746">
        <v>20</v>
      </c>
      <c r="F141" s="1746" t="s">
        <v>2220</v>
      </c>
      <c r="G141" s="1747" t="s">
        <v>1764</v>
      </c>
      <c r="H141" s="1748">
        <v>700</v>
      </c>
      <c r="I141" s="1784"/>
      <c r="J141" s="1749"/>
      <c r="K141" s="1750"/>
      <c r="L141" s="1751">
        <f t="shared" si="2"/>
        <v>14000</v>
      </c>
      <c r="M141" s="1757"/>
      <c r="N141" s="1240"/>
    </row>
    <row r="142" spans="1:14" s="783" customFormat="1" ht="14.25" customHeight="1">
      <c r="A142" s="776"/>
      <c r="B142" s="776" t="s">
        <v>2230</v>
      </c>
      <c r="C142" s="1755"/>
      <c r="D142" s="1760" t="s">
        <v>2229</v>
      </c>
      <c r="E142" s="1762">
        <v>1000</v>
      </c>
      <c r="F142" s="1763" t="s">
        <v>2220</v>
      </c>
      <c r="G142" s="1747" t="s">
        <v>1764</v>
      </c>
      <c r="H142" s="1764">
        <v>45</v>
      </c>
      <c r="I142" s="1784"/>
      <c r="J142" s="1765"/>
      <c r="K142" s="1750"/>
      <c r="L142" s="1751">
        <f t="shared" si="2"/>
        <v>45000</v>
      </c>
      <c r="M142" s="1757"/>
      <c r="N142" s="1240"/>
    </row>
    <row r="143" spans="1:14" s="783" customFormat="1" ht="14.25" customHeight="1">
      <c r="A143" s="776"/>
      <c r="B143" s="776" t="s">
        <v>2230</v>
      </c>
      <c r="C143" s="1755"/>
      <c r="D143" s="1767" t="s">
        <v>2349</v>
      </c>
      <c r="E143" s="1770">
        <v>50</v>
      </c>
      <c r="F143" s="1776" t="s">
        <v>2334</v>
      </c>
      <c r="G143" s="1747" t="s">
        <v>1764</v>
      </c>
      <c r="H143" s="1748">
        <v>95</v>
      </c>
      <c r="I143" s="1784"/>
      <c r="J143" s="1749"/>
      <c r="K143" s="1750"/>
      <c r="L143" s="1751">
        <f t="shared" si="2"/>
        <v>4750</v>
      </c>
      <c r="M143" s="1757"/>
      <c r="N143" s="1240"/>
    </row>
    <row r="144" spans="1:14" s="783" customFormat="1" ht="14.25" customHeight="1">
      <c r="A144" s="776"/>
      <c r="B144" s="776" t="s">
        <v>2230</v>
      </c>
      <c r="C144" s="1755"/>
      <c r="D144" s="1760" t="s">
        <v>2350</v>
      </c>
      <c r="E144" s="1745">
        <v>500</v>
      </c>
      <c r="F144" s="1770" t="s">
        <v>2244</v>
      </c>
      <c r="G144" s="1747" t="s">
        <v>1764</v>
      </c>
      <c r="H144" s="1748">
        <v>125</v>
      </c>
      <c r="I144" s="1784"/>
      <c r="J144" s="1749"/>
      <c r="K144" s="1750"/>
      <c r="L144" s="1751">
        <f t="shared" si="2"/>
        <v>62500</v>
      </c>
      <c r="M144" s="1757"/>
      <c r="N144" s="1240"/>
    </row>
    <row r="145" spans="1:14" s="783" customFormat="1" ht="14.25" customHeight="1">
      <c r="A145" s="776"/>
      <c r="B145" s="776" t="s">
        <v>2230</v>
      </c>
      <c r="C145" s="1755"/>
      <c r="D145" s="1760" t="s">
        <v>2351</v>
      </c>
      <c r="E145" s="1745">
        <v>800</v>
      </c>
      <c r="F145" s="1746" t="s">
        <v>2244</v>
      </c>
      <c r="G145" s="1747" t="s">
        <v>1764</v>
      </c>
      <c r="H145" s="1748">
        <v>200</v>
      </c>
      <c r="I145" s="1784"/>
      <c r="J145" s="1749"/>
      <c r="K145" s="1750"/>
      <c r="L145" s="1751">
        <f t="shared" si="2"/>
        <v>160000</v>
      </c>
      <c r="M145" s="1757"/>
      <c r="N145" s="1240"/>
    </row>
    <row r="146" spans="1:14" s="783" customFormat="1" ht="14.25" customHeight="1">
      <c r="A146" s="776"/>
      <c r="B146" s="776" t="s">
        <v>2230</v>
      </c>
      <c r="C146" s="1755"/>
      <c r="D146" s="1767" t="s">
        <v>2352</v>
      </c>
      <c r="E146" s="1745">
        <v>1000</v>
      </c>
      <c r="F146" s="1746" t="s">
        <v>2222</v>
      </c>
      <c r="G146" s="1747" t="s">
        <v>1764</v>
      </c>
      <c r="H146" s="1748">
        <v>5</v>
      </c>
      <c r="I146" s="1784"/>
      <c r="J146" s="1749"/>
      <c r="K146" s="1750"/>
      <c r="L146" s="1751">
        <f t="shared" si="2"/>
        <v>5000</v>
      </c>
      <c r="M146" s="1757"/>
      <c r="N146" s="1240"/>
    </row>
    <row r="147" spans="1:14" s="783" customFormat="1" ht="14.25" customHeight="1">
      <c r="A147" s="776"/>
      <c r="B147" s="776" t="s">
        <v>2230</v>
      </c>
      <c r="C147" s="1755"/>
      <c r="D147" s="1767" t="s">
        <v>2353</v>
      </c>
      <c r="E147" s="1745">
        <v>500</v>
      </c>
      <c r="F147" s="1777" t="s">
        <v>2220</v>
      </c>
      <c r="G147" s="1747" t="s">
        <v>1764</v>
      </c>
      <c r="H147" s="1748">
        <v>50</v>
      </c>
      <c r="I147" s="1784"/>
      <c r="J147" s="1749"/>
      <c r="K147" s="1750"/>
      <c r="L147" s="1751">
        <f t="shared" si="2"/>
        <v>25000</v>
      </c>
      <c r="M147" s="1757"/>
      <c r="N147" s="1240"/>
    </row>
    <row r="148" spans="1:14" s="783" customFormat="1" ht="14.25" customHeight="1">
      <c r="A148" s="776"/>
      <c r="B148" s="776" t="s">
        <v>2230</v>
      </c>
      <c r="C148" s="1755"/>
      <c r="D148" s="1767" t="s">
        <v>2354</v>
      </c>
      <c r="E148" s="1745">
        <v>500</v>
      </c>
      <c r="F148" s="1746" t="s">
        <v>2001</v>
      </c>
      <c r="G148" s="1747" t="s">
        <v>1764</v>
      </c>
      <c r="H148" s="1748">
        <v>85</v>
      </c>
      <c r="I148" s="1784"/>
      <c r="J148" s="1749"/>
      <c r="K148" s="1750"/>
      <c r="L148" s="1751">
        <f t="shared" ref="L148:L211" si="3">E148*H148</f>
        <v>42500</v>
      </c>
      <c r="M148" s="1757"/>
      <c r="N148" s="1240"/>
    </row>
    <row r="149" spans="1:14" s="783" customFormat="1" ht="14.25" customHeight="1">
      <c r="A149" s="776"/>
      <c r="B149" s="776" t="s">
        <v>2230</v>
      </c>
      <c r="C149" s="1755"/>
      <c r="D149" s="1767" t="s">
        <v>2355</v>
      </c>
      <c r="E149" s="1746">
        <v>300</v>
      </c>
      <c r="F149" s="1746" t="s">
        <v>2222</v>
      </c>
      <c r="G149" s="1747" t="s">
        <v>1764</v>
      </c>
      <c r="H149" s="1748">
        <v>4.5</v>
      </c>
      <c r="I149" s="1784"/>
      <c r="J149" s="1749"/>
      <c r="K149" s="1750"/>
      <c r="L149" s="1751">
        <f t="shared" si="3"/>
        <v>1350</v>
      </c>
      <c r="M149" s="1757"/>
      <c r="N149" s="1240"/>
    </row>
    <row r="150" spans="1:14" s="783" customFormat="1" ht="14.25" customHeight="1">
      <c r="A150" s="776"/>
      <c r="B150" s="776" t="s">
        <v>2230</v>
      </c>
      <c r="C150" s="1755"/>
      <c r="D150" s="1744" t="s">
        <v>2356</v>
      </c>
      <c r="E150" s="1746">
        <v>100</v>
      </c>
      <c r="F150" s="1746" t="s">
        <v>2270</v>
      </c>
      <c r="G150" s="1747" t="s">
        <v>1764</v>
      </c>
      <c r="H150" s="1748">
        <v>785</v>
      </c>
      <c r="I150" s="1784"/>
      <c r="J150" s="1749"/>
      <c r="K150" s="1750"/>
      <c r="L150" s="1751">
        <f t="shared" si="3"/>
        <v>78500</v>
      </c>
      <c r="M150" s="1757"/>
      <c r="N150" s="1240"/>
    </row>
    <row r="151" spans="1:14" s="783" customFormat="1" ht="14.25" customHeight="1">
      <c r="A151" s="776"/>
      <c r="B151" s="776" t="s">
        <v>2230</v>
      </c>
      <c r="C151" s="1755"/>
      <c r="D151" s="1744" t="s">
        <v>2357</v>
      </c>
      <c r="E151" s="1745">
        <v>3000</v>
      </c>
      <c r="F151" s="1746" t="s">
        <v>1571</v>
      </c>
      <c r="G151" s="1747" t="s">
        <v>1764</v>
      </c>
      <c r="H151" s="1748">
        <v>27</v>
      </c>
      <c r="I151" s="1784"/>
      <c r="J151" s="1749"/>
      <c r="K151" s="1750"/>
      <c r="L151" s="1751">
        <f t="shared" si="3"/>
        <v>81000</v>
      </c>
      <c r="M151" s="1757"/>
      <c r="N151" s="1240"/>
    </row>
    <row r="152" spans="1:14" s="783" customFormat="1" ht="14.25" customHeight="1">
      <c r="A152" s="776"/>
      <c r="B152" s="776" t="s">
        <v>2230</v>
      </c>
      <c r="C152" s="1755"/>
      <c r="D152" s="1767" t="s">
        <v>2358</v>
      </c>
      <c r="E152" s="1745">
        <v>1000</v>
      </c>
      <c r="F152" s="1778" t="s">
        <v>2222</v>
      </c>
      <c r="G152" s="1747" t="s">
        <v>1764</v>
      </c>
      <c r="H152" s="1748">
        <v>15</v>
      </c>
      <c r="I152" s="1784"/>
      <c r="J152" s="1749"/>
      <c r="K152" s="1750"/>
      <c r="L152" s="1751">
        <f t="shared" si="3"/>
        <v>15000</v>
      </c>
      <c r="M152" s="1757"/>
      <c r="N152" s="1240"/>
    </row>
    <row r="153" spans="1:14" s="783" customFormat="1" ht="14.25" customHeight="1">
      <c r="A153" s="776"/>
      <c r="B153" s="776" t="s">
        <v>2230</v>
      </c>
      <c r="C153" s="1755"/>
      <c r="D153" s="1767" t="s">
        <v>2359</v>
      </c>
      <c r="E153" s="1745">
        <v>1000</v>
      </c>
      <c r="F153" s="1746" t="s">
        <v>2222</v>
      </c>
      <c r="G153" s="1747" t="s">
        <v>1764</v>
      </c>
      <c r="H153" s="1748">
        <v>10</v>
      </c>
      <c r="I153" s="1784"/>
      <c r="J153" s="1749"/>
      <c r="K153" s="1750"/>
      <c r="L153" s="1751">
        <f t="shared" si="3"/>
        <v>10000</v>
      </c>
      <c r="M153" s="1757"/>
      <c r="N153" s="1240"/>
    </row>
    <row r="154" spans="1:14" s="783" customFormat="1" ht="14.25" customHeight="1">
      <c r="A154" s="776"/>
      <c r="B154" s="776" t="s">
        <v>2230</v>
      </c>
      <c r="C154" s="1755"/>
      <c r="D154" s="1767" t="s">
        <v>2360</v>
      </c>
      <c r="E154" s="1745">
        <v>1000</v>
      </c>
      <c r="F154" s="1746" t="s">
        <v>2222</v>
      </c>
      <c r="G154" s="1747" t="s">
        <v>1764</v>
      </c>
      <c r="H154" s="1748">
        <v>8</v>
      </c>
      <c r="I154" s="1784"/>
      <c r="J154" s="1749"/>
      <c r="K154" s="1750"/>
      <c r="L154" s="1751">
        <f t="shared" si="3"/>
        <v>8000</v>
      </c>
      <c r="M154" s="1757"/>
      <c r="N154" s="1240"/>
    </row>
    <row r="155" spans="1:14" s="783" customFormat="1" ht="14.25" customHeight="1">
      <c r="A155" s="776"/>
      <c r="B155" s="776" t="s">
        <v>2230</v>
      </c>
      <c r="C155" s="1755"/>
      <c r="D155" s="1760" t="s">
        <v>2361</v>
      </c>
      <c r="E155" s="1761">
        <v>500</v>
      </c>
      <c r="F155" s="1746" t="s">
        <v>2222</v>
      </c>
      <c r="G155" s="1747" t="s">
        <v>1764</v>
      </c>
      <c r="H155" s="1748">
        <v>19.5</v>
      </c>
      <c r="I155" s="1784"/>
      <c r="J155" s="1749"/>
      <c r="K155" s="1750"/>
      <c r="L155" s="1751">
        <f t="shared" si="3"/>
        <v>9750</v>
      </c>
      <c r="M155" s="1757"/>
      <c r="N155" s="1240"/>
    </row>
    <row r="156" spans="1:14" s="783" customFormat="1" ht="14.25" customHeight="1">
      <c r="A156" s="776"/>
      <c r="B156" s="776" t="s">
        <v>2230</v>
      </c>
      <c r="C156" s="1755"/>
      <c r="D156" s="1767" t="s">
        <v>2362</v>
      </c>
      <c r="E156" s="1745">
        <v>500</v>
      </c>
      <c r="F156" s="1746" t="s">
        <v>2001</v>
      </c>
      <c r="G156" s="1747" t="s">
        <v>1764</v>
      </c>
      <c r="H156" s="1748">
        <v>50</v>
      </c>
      <c r="I156" s="1784"/>
      <c r="J156" s="1749"/>
      <c r="K156" s="1750"/>
      <c r="L156" s="1751">
        <f t="shared" si="3"/>
        <v>25000</v>
      </c>
      <c r="M156" s="1757"/>
      <c r="N156" s="1240"/>
    </row>
    <row r="157" spans="1:14" s="783" customFormat="1" ht="14.25" customHeight="1">
      <c r="A157" s="776"/>
      <c r="B157" s="776" t="s">
        <v>2230</v>
      </c>
      <c r="C157" s="1755"/>
      <c r="D157" s="1767" t="s">
        <v>2363</v>
      </c>
      <c r="E157" s="1745">
        <v>1000</v>
      </c>
      <c r="F157" s="1746" t="s">
        <v>2001</v>
      </c>
      <c r="G157" s="1747" t="s">
        <v>1764</v>
      </c>
      <c r="H157" s="1748">
        <v>75</v>
      </c>
      <c r="I157" s="1784"/>
      <c r="J157" s="1749"/>
      <c r="K157" s="1750"/>
      <c r="L157" s="1751">
        <f t="shared" si="3"/>
        <v>75000</v>
      </c>
      <c r="M157" s="1757"/>
      <c r="N157" s="1240"/>
    </row>
    <row r="158" spans="1:14" s="783" customFormat="1" ht="14.25" customHeight="1">
      <c r="A158" s="776"/>
      <c r="B158" s="776" t="s">
        <v>2230</v>
      </c>
      <c r="C158" s="1755"/>
      <c r="D158" s="1767" t="s">
        <v>2364</v>
      </c>
      <c r="E158" s="1745">
        <v>1000</v>
      </c>
      <c r="F158" s="1746" t="s">
        <v>2001</v>
      </c>
      <c r="G158" s="1747" t="s">
        <v>1764</v>
      </c>
      <c r="H158" s="1748">
        <v>55</v>
      </c>
      <c r="I158" s="1784"/>
      <c r="J158" s="1749"/>
      <c r="K158" s="1750"/>
      <c r="L158" s="1751">
        <f t="shared" si="3"/>
        <v>55000</v>
      </c>
      <c r="M158" s="1757"/>
      <c r="N158" s="1240"/>
    </row>
    <row r="159" spans="1:14" s="783" customFormat="1" ht="14.25" customHeight="1">
      <c r="A159" s="776"/>
      <c r="B159" s="776" t="s">
        <v>2230</v>
      </c>
      <c r="C159" s="1755"/>
      <c r="D159" s="1767" t="s">
        <v>2365</v>
      </c>
      <c r="E159" s="1746">
        <v>200</v>
      </c>
      <c r="F159" s="1746" t="s">
        <v>2001</v>
      </c>
      <c r="G159" s="1747" t="s">
        <v>1764</v>
      </c>
      <c r="H159" s="1748">
        <v>150</v>
      </c>
      <c r="I159" s="1784"/>
      <c r="J159" s="1749"/>
      <c r="K159" s="1750"/>
      <c r="L159" s="1751">
        <f t="shared" si="3"/>
        <v>30000</v>
      </c>
      <c r="M159" s="1757"/>
      <c r="N159" s="1240"/>
    </row>
    <row r="160" spans="1:14" s="783" customFormat="1" ht="14.25" customHeight="1">
      <c r="A160" s="776"/>
      <c r="B160" s="776" t="s">
        <v>2230</v>
      </c>
      <c r="C160" s="1755"/>
      <c r="D160" s="1744" t="s">
        <v>2366</v>
      </c>
      <c r="E160" s="1746">
        <v>100</v>
      </c>
      <c r="F160" s="1746" t="s">
        <v>2001</v>
      </c>
      <c r="G160" s="1747" t="s">
        <v>1764</v>
      </c>
      <c r="H160" s="1748">
        <v>75</v>
      </c>
      <c r="I160" s="1784"/>
      <c r="J160" s="1749"/>
      <c r="K160" s="1750"/>
      <c r="L160" s="1751">
        <f t="shared" si="3"/>
        <v>7500</v>
      </c>
      <c r="M160" s="1757"/>
      <c r="N160" s="1240"/>
    </row>
    <row r="161" spans="1:14" s="783" customFormat="1" ht="14.25" customHeight="1">
      <c r="A161" s="776"/>
      <c r="B161" s="776" t="s">
        <v>2230</v>
      </c>
      <c r="C161" s="1755"/>
      <c r="D161" s="1744" t="s">
        <v>2367</v>
      </c>
      <c r="E161" s="1746">
        <v>500</v>
      </c>
      <c r="F161" s="1746" t="s">
        <v>2222</v>
      </c>
      <c r="G161" s="1747" t="s">
        <v>1764</v>
      </c>
      <c r="H161" s="1748">
        <v>3.5</v>
      </c>
      <c r="I161" s="1784"/>
      <c r="J161" s="1749"/>
      <c r="K161" s="1750"/>
      <c r="L161" s="1751">
        <f t="shared" si="3"/>
        <v>1750</v>
      </c>
      <c r="M161" s="1757"/>
      <c r="N161" s="1240"/>
    </row>
    <row r="162" spans="1:14" s="783" customFormat="1" ht="14.25" customHeight="1">
      <c r="A162" s="776"/>
      <c r="B162" s="776" t="s">
        <v>2230</v>
      </c>
      <c r="C162" s="1755"/>
      <c r="D162" s="1744" t="s">
        <v>2368</v>
      </c>
      <c r="E162" s="1745">
        <v>1000</v>
      </c>
      <c r="F162" s="1746" t="s">
        <v>2222</v>
      </c>
      <c r="G162" s="1747" t="s">
        <v>1764</v>
      </c>
      <c r="H162" s="1748">
        <v>25</v>
      </c>
      <c r="I162" s="1784"/>
      <c r="J162" s="1749"/>
      <c r="K162" s="1750"/>
      <c r="L162" s="1751">
        <f t="shared" si="3"/>
        <v>25000</v>
      </c>
      <c r="M162" s="1757"/>
      <c r="N162" s="1240"/>
    </row>
    <row r="163" spans="1:14" s="783" customFormat="1" ht="14.25" customHeight="1">
      <c r="A163" s="776"/>
      <c r="B163" s="776" t="s">
        <v>2230</v>
      </c>
      <c r="C163" s="1755"/>
      <c r="D163" s="1744" t="s">
        <v>2369</v>
      </c>
      <c r="E163" s="1745">
        <v>1000</v>
      </c>
      <c r="F163" s="1746" t="s">
        <v>2222</v>
      </c>
      <c r="G163" s="1747" t="s">
        <v>1764</v>
      </c>
      <c r="H163" s="1748">
        <v>5</v>
      </c>
      <c r="I163" s="1784"/>
      <c r="J163" s="1749"/>
      <c r="K163" s="1750"/>
      <c r="L163" s="1751">
        <f t="shared" si="3"/>
        <v>5000</v>
      </c>
      <c r="M163" s="1757"/>
      <c r="N163" s="1240"/>
    </row>
    <row r="164" spans="1:14" s="783" customFormat="1" ht="14.25" customHeight="1">
      <c r="A164" s="776"/>
      <c r="B164" s="776" t="s">
        <v>2230</v>
      </c>
      <c r="C164" s="1755"/>
      <c r="D164" s="1744" t="s">
        <v>2370</v>
      </c>
      <c r="E164" s="1745">
        <v>500</v>
      </c>
      <c r="F164" s="1746" t="s">
        <v>2222</v>
      </c>
      <c r="G164" s="1747" t="s">
        <v>1764</v>
      </c>
      <c r="H164" s="1748">
        <v>5</v>
      </c>
      <c r="I164" s="1784"/>
      <c r="J164" s="1749"/>
      <c r="K164" s="1750"/>
      <c r="L164" s="1751">
        <f t="shared" si="3"/>
        <v>2500</v>
      </c>
      <c r="M164" s="1757"/>
      <c r="N164" s="1240"/>
    </row>
    <row r="165" spans="1:14" s="783" customFormat="1" ht="14.25" customHeight="1">
      <c r="A165" s="776"/>
      <c r="B165" s="776" t="s">
        <v>2230</v>
      </c>
      <c r="C165" s="1755"/>
      <c r="D165" s="1744" t="s">
        <v>2371</v>
      </c>
      <c r="E165" s="1745">
        <v>500</v>
      </c>
      <c r="F165" s="1746" t="s">
        <v>2220</v>
      </c>
      <c r="G165" s="1747" t="s">
        <v>1764</v>
      </c>
      <c r="H165" s="1748">
        <v>75</v>
      </c>
      <c r="I165" s="1784"/>
      <c r="J165" s="1749"/>
      <c r="K165" s="1750"/>
      <c r="L165" s="1751">
        <f t="shared" si="3"/>
        <v>37500</v>
      </c>
      <c r="M165" s="1757"/>
      <c r="N165" s="1240"/>
    </row>
    <row r="166" spans="1:14" s="783" customFormat="1" ht="14.25" customHeight="1">
      <c r="A166" s="776"/>
      <c r="B166" s="776" t="s">
        <v>2230</v>
      </c>
      <c r="C166" s="1755"/>
      <c r="D166" s="1744" t="s">
        <v>2372</v>
      </c>
      <c r="E166" s="1745">
        <v>800</v>
      </c>
      <c r="F166" s="1746" t="s">
        <v>2001</v>
      </c>
      <c r="G166" s="1747" t="s">
        <v>1764</v>
      </c>
      <c r="H166" s="1748">
        <v>200</v>
      </c>
      <c r="I166" s="1784"/>
      <c r="J166" s="1749"/>
      <c r="K166" s="1750"/>
      <c r="L166" s="1751">
        <f t="shared" si="3"/>
        <v>160000</v>
      </c>
      <c r="M166" s="1757"/>
      <c r="N166" s="1240"/>
    </row>
    <row r="167" spans="1:14" s="783" customFormat="1" ht="14.25" customHeight="1">
      <c r="A167" s="776"/>
      <c r="B167" s="776" t="s">
        <v>2230</v>
      </c>
      <c r="C167" s="1755"/>
      <c r="D167" s="1744" t="s">
        <v>2373</v>
      </c>
      <c r="E167" s="1745">
        <v>500</v>
      </c>
      <c r="F167" s="1746" t="s">
        <v>2001</v>
      </c>
      <c r="G167" s="1747" t="s">
        <v>1764</v>
      </c>
      <c r="H167" s="1748">
        <v>40</v>
      </c>
      <c r="I167" s="1784"/>
      <c r="J167" s="1749"/>
      <c r="K167" s="1750"/>
      <c r="L167" s="1751">
        <f t="shared" si="3"/>
        <v>20000</v>
      </c>
      <c r="M167" s="1757"/>
      <c r="N167" s="1240"/>
    </row>
    <row r="168" spans="1:14" s="783" customFormat="1" ht="14.25" customHeight="1">
      <c r="A168" s="776"/>
      <c r="B168" s="776" t="s">
        <v>2230</v>
      </c>
      <c r="C168" s="1755"/>
      <c r="D168" s="1744" t="s">
        <v>2374</v>
      </c>
      <c r="E168" s="1746">
        <v>500</v>
      </c>
      <c r="F168" s="1746" t="s">
        <v>2222</v>
      </c>
      <c r="G168" s="1747" t="s">
        <v>1764</v>
      </c>
      <c r="H168" s="1748">
        <v>3.5</v>
      </c>
      <c r="I168" s="1784"/>
      <c r="J168" s="1749"/>
      <c r="K168" s="1750"/>
      <c r="L168" s="1751">
        <f t="shared" si="3"/>
        <v>1750</v>
      </c>
      <c r="M168" s="1757"/>
      <c r="N168" s="1240"/>
    </row>
    <row r="169" spans="1:14" s="783" customFormat="1" ht="14.25" customHeight="1">
      <c r="A169" s="776"/>
      <c r="B169" s="776" t="s">
        <v>2230</v>
      </c>
      <c r="C169" s="1755"/>
      <c r="D169" s="1744" t="s">
        <v>2375</v>
      </c>
      <c r="E169" s="1745">
        <v>1000</v>
      </c>
      <c r="F169" s="1746" t="s">
        <v>2242</v>
      </c>
      <c r="G169" s="1747" t="s">
        <v>1764</v>
      </c>
      <c r="H169" s="1748">
        <v>5</v>
      </c>
      <c r="I169" s="1784"/>
      <c r="J169" s="1749"/>
      <c r="K169" s="1750"/>
      <c r="L169" s="1751">
        <f t="shared" si="3"/>
        <v>5000</v>
      </c>
      <c r="M169" s="1757"/>
      <c r="N169" s="1240"/>
    </row>
    <row r="170" spans="1:14" s="783" customFormat="1" ht="14.25" customHeight="1">
      <c r="A170" s="776"/>
      <c r="B170" s="776" t="s">
        <v>2230</v>
      </c>
      <c r="C170" s="1755"/>
      <c r="D170" s="1744" t="s">
        <v>2376</v>
      </c>
      <c r="E170" s="1745">
        <v>1000</v>
      </c>
      <c r="F170" s="1746" t="s">
        <v>2222</v>
      </c>
      <c r="G170" s="1747" t="s">
        <v>1764</v>
      </c>
      <c r="H170" s="1748">
        <v>8</v>
      </c>
      <c r="I170" s="1784"/>
      <c r="J170" s="1749"/>
      <c r="K170" s="1750"/>
      <c r="L170" s="1751">
        <f t="shared" si="3"/>
        <v>8000</v>
      </c>
      <c r="M170" s="1757"/>
      <c r="N170" s="1240"/>
    </row>
    <row r="171" spans="1:14" s="783" customFormat="1" ht="14.25" customHeight="1">
      <c r="A171" s="776"/>
      <c r="B171" s="776" t="s">
        <v>2230</v>
      </c>
      <c r="C171" s="1755"/>
      <c r="D171" s="1744" t="s">
        <v>2377</v>
      </c>
      <c r="E171" s="1745">
        <v>750</v>
      </c>
      <c r="F171" s="1746" t="s">
        <v>2222</v>
      </c>
      <c r="G171" s="1747" t="s">
        <v>1764</v>
      </c>
      <c r="H171" s="1748">
        <v>10</v>
      </c>
      <c r="I171" s="1784"/>
      <c r="J171" s="1749"/>
      <c r="K171" s="1750"/>
      <c r="L171" s="1751">
        <f t="shared" si="3"/>
        <v>7500</v>
      </c>
      <c r="M171" s="1757"/>
      <c r="N171" s="1240"/>
    </row>
    <row r="172" spans="1:14" s="783" customFormat="1" ht="14.25" customHeight="1">
      <c r="A172" s="776"/>
      <c r="B172" s="776" t="s">
        <v>2230</v>
      </c>
      <c r="C172" s="1755"/>
      <c r="D172" s="1744" t="s">
        <v>2378</v>
      </c>
      <c r="E172" s="1746">
        <v>200</v>
      </c>
      <c r="F172" s="1746" t="s">
        <v>2222</v>
      </c>
      <c r="G172" s="1747" t="s">
        <v>1764</v>
      </c>
      <c r="H172" s="1748">
        <v>5</v>
      </c>
      <c r="I172" s="1784"/>
      <c r="J172" s="1749"/>
      <c r="K172" s="1750"/>
      <c r="L172" s="1751">
        <f t="shared" si="3"/>
        <v>1000</v>
      </c>
      <c r="M172" s="1757"/>
      <c r="N172" s="1240"/>
    </row>
    <row r="173" spans="1:14" s="783" customFormat="1" ht="14.25" customHeight="1">
      <c r="A173" s="776"/>
      <c r="B173" s="776" t="s">
        <v>2230</v>
      </c>
      <c r="C173" s="1755"/>
      <c r="D173" s="1744" t="s">
        <v>2379</v>
      </c>
      <c r="E173" s="1745">
        <v>2000</v>
      </c>
      <c r="F173" s="1746" t="s">
        <v>2220</v>
      </c>
      <c r="G173" s="1747" t="s">
        <v>1764</v>
      </c>
      <c r="H173" s="1748">
        <v>10</v>
      </c>
      <c r="I173" s="1784"/>
      <c r="J173" s="1749"/>
      <c r="K173" s="1750"/>
      <c r="L173" s="1751">
        <f t="shared" si="3"/>
        <v>20000</v>
      </c>
      <c r="M173" s="1757"/>
      <c r="N173" s="1240"/>
    </row>
    <row r="174" spans="1:14" s="783" customFormat="1" ht="14.25" customHeight="1">
      <c r="A174" s="776"/>
      <c r="B174" s="776" t="s">
        <v>2230</v>
      </c>
      <c r="C174" s="1755"/>
      <c r="D174" s="1744" t="s">
        <v>2380</v>
      </c>
      <c r="E174" s="1746">
        <v>500</v>
      </c>
      <c r="F174" s="1746" t="s">
        <v>2222</v>
      </c>
      <c r="G174" s="1747" t="s">
        <v>1764</v>
      </c>
      <c r="H174" s="1748">
        <v>2.5</v>
      </c>
      <c r="I174" s="1784"/>
      <c r="J174" s="1749"/>
      <c r="K174" s="1750"/>
      <c r="L174" s="1751">
        <f t="shared" si="3"/>
        <v>1250</v>
      </c>
      <c r="M174" s="1757"/>
      <c r="N174" s="1240"/>
    </row>
    <row r="175" spans="1:14" s="783" customFormat="1" ht="14.25" customHeight="1">
      <c r="A175" s="776"/>
      <c r="B175" s="776" t="s">
        <v>2230</v>
      </c>
      <c r="C175" s="1755"/>
      <c r="D175" s="1744" t="s">
        <v>2381</v>
      </c>
      <c r="E175" s="1746">
        <v>500</v>
      </c>
      <c r="F175" s="1746" t="s">
        <v>2222</v>
      </c>
      <c r="G175" s="1747" t="s">
        <v>1764</v>
      </c>
      <c r="H175" s="1748">
        <v>2.5</v>
      </c>
      <c r="I175" s="1784"/>
      <c r="J175" s="1749"/>
      <c r="K175" s="1750"/>
      <c r="L175" s="1751">
        <f t="shared" si="3"/>
        <v>1250</v>
      </c>
      <c r="M175" s="1757"/>
      <c r="N175" s="1240"/>
    </row>
    <row r="176" spans="1:14" s="783" customFormat="1" ht="14.25" customHeight="1">
      <c r="A176" s="776"/>
      <c r="B176" s="776" t="s">
        <v>2230</v>
      </c>
      <c r="C176" s="1755"/>
      <c r="D176" s="1744" t="s">
        <v>2382</v>
      </c>
      <c r="E176" s="1745">
        <v>1000</v>
      </c>
      <c r="F176" s="1746" t="s">
        <v>2001</v>
      </c>
      <c r="G176" s="1747" t="s">
        <v>1764</v>
      </c>
      <c r="H176" s="1748">
        <v>120</v>
      </c>
      <c r="I176" s="1784"/>
      <c r="J176" s="1749"/>
      <c r="K176" s="1750"/>
      <c r="L176" s="1751">
        <f t="shared" si="3"/>
        <v>120000</v>
      </c>
      <c r="M176" s="1757"/>
      <c r="N176" s="1240"/>
    </row>
    <row r="177" spans="1:14" s="783" customFormat="1" ht="14.25" customHeight="1">
      <c r="A177" s="776"/>
      <c r="B177" s="776" t="s">
        <v>2230</v>
      </c>
      <c r="C177" s="1755"/>
      <c r="D177" s="1744" t="s">
        <v>2383</v>
      </c>
      <c r="E177" s="1745">
        <v>2000</v>
      </c>
      <c r="F177" s="1746" t="s">
        <v>2222</v>
      </c>
      <c r="G177" s="1747" t="s">
        <v>1764</v>
      </c>
      <c r="H177" s="1748">
        <v>10</v>
      </c>
      <c r="I177" s="1784"/>
      <c r="J177" s="1749"/>
      <c r="K177" s="1750"/>
      <c r="L177" s="1751">
        <f t="shared" si="3"/>
        <v>20000</v>
      </c>
      <c r="M177" s="1757"/>
      <c r="N177" s="1240"/>
    </row>
    <row r="178" spans="1:14" s="783" customFormat="1" ht="14.25" customHeight="1">
      <c r="A178" s="776"/>
      <c r="B178" s="776" t="s">
        <v>2230</v>
      </c>
      <c r="C178" s="1755"/>
      <c r="D178" s="1744" t="s">
        <v>2384</v>
      </c>
      <c r="E178" s="1746">
        <v>500</v>
      </c>
      <c r="F178" s="1746" t="s">
        <v>2222</v>
      </c>
      <c r="G178" s="1747" t="s">
        <v>1764</v>
      </c>
      <c r="H178" s="1748">
        <v>10</v>
      </c>
      <c r="I178" s="1784"/>
      <c r="J178" s="1749"/>
      <c r="K178" s="1750"/>
      <c r="L178" s="1751">
        <f t="shared" si="3"/>
        <v>5000</v>
      </c>
      <c r="M178" s="1757"/>
      <c r="N178" s="1240"/>
    </row>
    <row r="179" spans="1:14" s="783" customFormat="1" ht="14.25" customHeight="1">
      <c r="A179" s="776"/>
      <c r="B179" s="776" t="s">
        <v>2230</v>
      </c>
      <c r="C179" s="1755"/>
      <c r="D179" s="1744" t="s">
        <v>2385</v>
      </c>
      <c r="E179" s="1746">
        <v>400</v>
      </c>
      <c r="F179" s="1746" t="s">
        <v>2222</v>
      </c>
      <c r="G179" s="1747" t="s">
        <v>1764</v>
      </c>
      <c r="H179" s="1748">
        <v>25</v>
      </c>
      <c r="I179" s="1784"/>
      <c r="J179" s="1749"/>
      <c r="K179" s="1750"/>
      <c r="L179" s="1751">
        <f t="shared" si="3"/>
        <v>10000</v>
      </c>
      <c r="M179" s="1757"/>
      <c r="N179" s="1240"/>
    </row>
    <row r="180" spans="1:14" s="783" customFormat="1" ht="14.25" customHeight="1">
      <c r="A180" s="776"/>
      <c r="B180" s="776" t="s">
        <v>2230</v>
      </c>
      <c r="C180" s="1755"/>
      <c r="D180" s="1744" t="s">
        <v>2386</v>
      </c>
      <c r="E180" s="1746">
        <v>30</v>
      </c>
      <c r="F180" s="1746" t="s">
        <v>2220</v>
      </c>
      <c r="G180" s="1747" t="s">
        <v>1764</v>
      </c>
      <c r="H180" s="1748">
        <v>95</v>
      </c>
      <c r="I180" s="1784"/>
      <c r="J180" s="1749"/>
      <c r="K180" s="1750"/>
      <c r="L180" s="1751">
        <f t="shared" si="3"/>
        <v>2850</v>
      </c>
      <c r="M180" s="1757"/>
      <c r="N180" s="1240"/>
    </row>
    <row r="181" spans="1:14" s="783" customFormat="1" ht="14.25" customHeight="1">
      <c r="A181" s="776"/>
      <c r="B181" s="776" t="s">
        <v>2230</v>
      </c>
      <c r="C181" s="1755"/>
      <c r="D181" s="1744" t="s">
        <v>2387</v>
      </c>
      <c r="E181" s="1746">
        <v>500</v>
      </c>
      <c r="F181" s="1746" t="s">
        <v>2242</v>
      </c>
      <c r="G181" s="1747" t="s">
        <v>1764</v>
      </c>
      <c r="H181" s="1748">
        <v>4</v>
      </c>
      <c r="I181" s="1784"/>
      <c r="J181" s="1749"/>
      <c r="K181" s="1750"/>
      <c r="L181" s="1751">
        <f t="shared" si="3"/>
        <v>2000</v>
      </c>
      <c r="M181" s="1757"/>
      <c r="N181" s="1240"/>
    </row>
    <row r="182" spans="1:14" s="783" customFormat="1" ht="14.25" customHeight="1">
      <c r="A182" s="776"/>
      <c r="B182" s="776" t="s">
        <v>2230</v>
      </c>
      <c r="C182" s="1755"/>
      <c r="D182" s="1744" t="s">
        <v>2388</v>
      </c>
      <c r="E182" s="1746">
        <v>50</v>
      </c>
      <c r="F182" s="1746" t="s">
        <v>2001</v>
      </c>
      <c r="G182" s="1747" t="s">
        <v>1764</v>
      </c>
      <c r="H182" s="1748">
        <v>55</v>
      </c>
      <c r="I182" s="1784"/>
      <c r="J182" s="1749"/>
      <c r="K182" s="1750"/>
      <c r="L182" s="1751">
        <f t="shared" si="3"/>
        <v>2750</v>
      </c>
      <c r="M182" s="1757"/>
      <c r="N182" s="1240"/>
    </row>
    <row r="183" spans="1:14" s="783" customFormat="1" ht="14.25" customHeight="1">
      <c r="A183" s="776"/>
      <c r="B183" s="776" t="s">
        <v>2230</v>
      </c>
      <c r="C183" s="1755"/>
      <c r="D183" s="1744" t="s">
        <v>2389</v>
      </c>
      <c r="E183" s="1746">
        <v>500</v>
      </c>
      <c r="F183" s="1746" t="s">
        <v>2334</v>
      </c>
      <c r="G183" s="1747" t="s">
        <v>1764</v>
      </c>
      <c r="H183" s="1748">
        <v>85</v>
      </c>
      <c r="I183" s="1784"/>
      <c r="J183" s="1749"/>
      <c r="K183" s="1750"/>
      <c r="L183" s="1751">
        <f t="shared" si="3"/>
        <v>42500</v>
      </c>
      <c r="M183" s="1757"/>
      <c r="N183" s="1240"/>
    </row>
    <row r="184" spans="1:14" s="783" customFormat="1" ht="14.25" customHeight="1">
      <c r="A184" s="776"/>
      <c r="B184" s="776" t="s">
        <v>2230</v>
      </c>
      <c r="C184" s="1755"/>
      <c r="D184" s="1744" t="s">
        <v>2390</v>
      </c>
      <c r="E184" s="1745">
        <v>200</v>
      </c>
      <c r="F184" s="1746" t="s">
        <v>2220</v>
      </c>
      <c r="G184" s="1747" t="s">
        <v>1764</v>
      </c>
      <c r="H184" s="1748">
        <v>500</v>
      </c>
      <c r="I184" s="1784"/>
      <c r="J184" s="1749"/>
      <c r="K184" s="1750"/>
      <c r="L184" s="1751">
        <f t="shared" si="3"/>
        <v>100000</v>
      </c>
      <c r="M184" s="1757"/>
      <c r="N184" s="1240"/>
    </row>
    <row r="185" spans="1:14" s="783" customFormat="1" ht="14.25" customHeight="1">
      <c r="A185" s="776"/>
      <c r="B185" s="776" t="s">
        <v>2230</v>
      </c>
      <c r="C185" s="1755"/>
      <c r="D185" s="1744" t="s">
        <v>2391</v>
      </c>
      <c r="E185" s="1745">
        <v>300</v>
      </c>
      <c r="F185" s="1746" t="s">
        <v>2220</v>
      </c>
      <c r="G185" s="1747" t="s">
        <v>1764</v>
      </c>
      <c r="H185" s="1748">
        <v>385</v>
      </c>
      <c r="I185" s="1784"/>
      <c r="J185" s="1749"/>
      <c r="K185" s="1750"/>
      <c r="L185" s="1751">
        <f t="shared" si="3"/>
        <v>115500</v>
      </c>
      <c r="M185" s="1757"/>
      <c r="N185" s="1240"/>
    </row>
    <row r="186" spans="1:14" s="783" customFormat="1" ht="14.25" customHeight="1">
      <c r="A186" s="776"/>
      <c r="B186" s="776" t="s">
        <v>2230</v>
      </c>
      <c r="C186" s="1755"/>
      <c r="D186" s="1744" t="s">
        <v>2392</v>
      </c>
      <c r="E186" s="1745">
        <v>1000</v>
      </c>
      <c r="F186" s="1746" t="s">
        <v>2242</v>
      </c>
      <c r="G186" s="1747" t="s">
        <v>1764</v>
      </c>
      <c r="H186" s="1748">
        <v>85</v>
      </c>
      <c r="I186" s="1784"/>
      <c r="J186" s="1749"/>
      <c r="K186" s="1750"/>
      <c r="L186" s="1751">
        <f t="shared" si="3"/>
        <v>85000</v>
      </c>
      <c r="M186" s="1757"/>
      <c r="N186" s="1240"/>
    </row>
    <row r="187" spans="1:14" s="783" customFormat="1" ht="14.25" customHeight="1">
      <c r="A187" s="776"/>
      <c r="B187" s="776" t="s">
        <v>2230</v>
      </c>
      <c r="C187" s="1755"/>
      <c r="D187" s="1744" t="s">
        <v>2393</v>
      </c>
      <c r="E187" s="1745">
        <v>2000</v>
      </c>
      <c r="F187" s="1746" t="s">
        <v>2242</v>
      </c>
      <c r="G187" s="1747" t="s">
        <v>1764</v>
      </c>
      <c r="H187" s="1748">
        <v>10</v>
      </c>
      <c r="I187" s="1784"/>
      <c r="J187" s="1749"/>
      <c r="K187" s="1750"/>
      <c r="L187" s="1751">
        <f t="shared" si="3"/>
        <v>20000</v>
      </c>
      <c r="M187" s="1757"/>
      <c r="N187" s="1240"/>
    </row>
    <row r="188" spans="1:14" s="783" customFormat="1" ht="14.25" customHeight="1">
      <c r="A188" s="776"/>
      <c r="B188" s="776" t="s">
        <v>2230</v>
      </c>
      <c r="C188" s="1755"/>
      <c r="D188" s="1744" t="s">
        <v>2394</v>
      </c>
      <c r="E188" s="1745">
        <v>500</v>
      </c>
      <c r="F188" s="1746" t="s">
        <v>2244</v>
      </c>
      <c r="G188" s="1747" t="s">
        <v>1764</v>
      </c>
      <c r="H188" s="1748">
        <v>175</v>
      </c>
      <c r="I188" s="1784"/>
      <c r="J188" s="1749"/>
      <c r="K188" s="1750"/>
      <c r="L188" s="1751">
        <f t="shared" si="3"/>
        <v>87500</v>
      </c>
      <c r="M188" s="1757"/>
      <c r="N188" s="1240"/>
    </row>
    <row r="189" spans="1:14" s="783" customFormat="1" ht="14.25" customHeight="1">
      <c r="A189" s="776"/>
      <c r="B189" s="776" t="s">
        <v>2230</v>
      </c>
      <c r="C189" s="1755"/>
      <c r="D189" s="1744" t="s">
        <v>2395</v>
      </c>
      <c r="E189" s="1745">
        <v>2000</v>
      </c>
      <c r="F189" s="1746" t="s">
        <v>2396</v>
      </c>
      <c r="G189" s="1747" t="s">
        <v>1764</v>
      </c>
      <c r="H189" s="1748">
        <v>16</v>
      </c>
      <c r="I189" s="1784"/>
      <c r="J189" s="1749"/>
      <c r="K189" s="1750"/>
      <c r="L189" s="1751">
        <f t="shared" si="3"/>
        <v>32000</v>
      </c>
      <c r="M189" s="1757"/>
      <c r="N189" s="1240"/>
    </row>
    <row r="190" spans="1:14" s="783" customFormat="1" ht="14.25" customHeight="1">
      <c r="A190" s="776"/>
      <c r="B190" s="776" t="s">
        <v>2230</v>
      </c>
      <c r="C190" s="1755"/>
      <c r="D190" s="1744" t="s">
        <v>2397</v>
      </c>
      <c r="E190" s="1745">
        <v>500</v>
      </c>
      <c r="F190" s="1746" t="s">
        <v>2220</v>
      </c>
      <c r="G190" s="1747" t="s">
        <v>1764</v>
      </c>
      <c r="H190" s="1748">
        <v>105</v>
      </c>
      <c r="I190" s="1784"/>
      <c r="J190" s="1749"/>
      <c r="K190" s="1750"/>
      <c r="L190" s="1751">
        <f t="shared" si="3"/>
        <v>52500</v>
      </c>
      <c r="M190" s="1757"/>
      <c r="N190" s="1240"/>
    </row>
    <row r="191" spans="1:14" s="783" customFormat="1" ht="14.25" customHeight="1">
      <c r="A191" s="776"/>
      <c r="B191" s="776" t="s">
        <v>2230</v>
      </c>
      <c r="C191" s="1755"/>
      <c r="D191" s="1744" t="s">
        <v>2398</v>
      </c>
      <c r="E191" s="1745">
        <v>500</v>
      </c>
      <c r="F191" s="1746" t="s">
        <v>2001</v>
      </c>
      <c r="G191" s="1747" t="s">
        <v>1764</v>
      </c>
      <c r="H191" s="1748">
        <v>35</v>
      </c>
      <c r="I191" s="1784"/>
      <c r="J191" s="1749"/>
      <c r="K191" s="1750"/>
      <c r="L191" s="1751">
        <f t="shared" si="3"/>
        <v>17500</v>
      </c>
      <c r="M191" s="1757"/>
      <c r="N191" s="1240"/>
    </row>
    <row r="192" spans="1:14" s="783" customFormat="1" ht="14.25" customHeight="1">
      <c r="A192" s="776"/>
      <c r="B192" s="776" t="s">
        <v>2230</v>
      </c>
      <c r="C192" s="1755"/>
      <c r="D192" s="1744" t="s">
        <v>2399</v>
      </c>
      <c r="E192" s="1745">
        <v>1000</v>
      </c>
      <c r="F192" s="1746" t="s">
        <v>2001</v>
      </c>
      <c r="G192" s="1747" t="s">
        <v>1764</v>
      </c>
      <c r="H192" s="1748">
        <v>19</v>
      </c>
      <c r="I192" s="1784"/>
      <c r="J192" s="1749"/>
      <c r="K192" s="1750"/>
      <c r="L192" s="1751">
        <f t="shared" si="3"/>
        <v>19000</v>
      </c>
      <c r="M192" s="1757"/>
      <c r="N192" s="1240"/>
    </row>
    <row r="193" spans="1:14" s="783" customFormat="1" ht="14.25" customHeight="1">
      <c r="A193" s="776"/>
      <c r="B193" s="776" t="s">
        <v>2230</v>
      </c>
      <c r="C193" s="1755"/>
      <c r="D193" s="1744" t="s">
        <v>2400</v>
      </c>
      <c r="E193" s="1745">
        <v>2000</v>
      </c>
      <c r="F193" s="1746" t="s">
        <v>2220</v>
      </c>
      <c r="G193" s="1747" t="s">
        <v>1764</v>
      </c>
      <c r="H193" s="1748">
        <v>12</v>
      </c>
      <c r="I193" s="1784"/>
      <c r="J193" s="1749"/>
      <c r="K193" s="1750"/>
      <c r="L193" s="1751">
        <f t="shared" si="3"/>
        <v>24000</v>
      </c>
      <c r="M193" s="1757"/>
      <c r="N193" s="1240"/>
    </row>
    <row r="194" spans="1:14" s="783" customFormat="1" ht="14.25" customHeight="1">
      <c r="A194" s="776"/>
      <c r="B194" s="776" t="s">
        <v>2230</v>
      </c>
      <c r="C194" s="1755"/>
      <c r="D194" s="1744" t="s">
        <v>2401</v>
      </c>
      <c r="E194" s="1746">
        <v>20</v>
      </c>
      <c r="F194" s="1746" t="s">
        <v>1571</v>
      </c>
      <c r="G194" s="1747" t="s">
        <v>1764</v>
      </c>
      <c r="H194" s="1748">
        <v>48</v>
      </c>
      <c r="I194" s="1784"/>
      <c r="J194" s="1749"/>
      <c r="K194" s="1750"/>
      <c r="L194" s="1751">
        <f t="shared" si="3"/>
        <v>960</v>
      </c>
      <c r="M194" s="1757"/>
      <c r="N194" s="1240"/>
    </row>
    <row r="195" spans="1:14" s="783" customFormat="1" ht="14.25" customHeight="1">
      <c r="A195" s="776"/>
      <c r="B195" s="776" t="s">
        <v>2230</v>
      </c>
      <c r="C195" s="1755"/>
      <c r="D195" s="1744" t="s">
        <v>2402</v>
      </c>
      <c r="E195" s="1745">
        <v>2000</v>
      </c>
      <c r="F195" s="1746" t="s">
        <v>2001</v>
      </c>
      <c r="G195" s="1747" t="s">
        <v>1764</v>
      </c>
      <c r="H195" s="1748">
        <v>35</v>
      </c>
      <c r="I195" s="1784"/>
      <c r="J195" s="1749"/>
      <c r="K195" s="1750"/>
      <c r="L195" s="1751">
        <f t="shared" si="3"/>
        <v>70000</v>
      </c>
      <c r="M195" s="1757"/>
      <c r="N195" s="1240"/>
    </row>
    <row r="196" spans="1:14" s="783" customFormat="1" ht="14.25" customHeight="1">
      <c r="A196" s="776"/>
      <c r="B196" s="776" t="s">
        <v>2230</v>
      </c>
      <c r="C196" s="1755"/>
      <c r="D196" s="1744" t="s">
        <v>2403</v>
      </c>
      <c r="E196" s="1745">
        <v>2000</v>
      </c>
      <c r="F196" s="1746" t="s">
        <v>2222</v>
      </c>
      <c r="G196" s="1747" t="s">
        <v>1764</v>
      </c>
      <c r="H196" s="1748">
        <v>2</v>
      </c>
      <c r="I196" s="1784"/>
      <c r="J196" s="1749"/>
      <c r="K196" s="1750"/>
      <c r="L196" s="1751">
        <f t="shared" si="3"/>
        <v>4000</v>
      </c>
      <c r="M196" s="1757"/>
      <c r="N196" s="1240"/>
    </row>
    <row r="197" spans="1:14" s="783" customFormat="1" ht="14.25" customHeight="1">
      <c r="A197" s="776"/>
      <c r="B197" s="776" t="s">
        <v>2230</v>
      </c>
      <c r="C197" s="1755"/>
      <c r="D197" s="1744" t="s">
        <v>2404</v>
      </c>
      <c r="E197" s="1746">
        <v>100</v>
      </c>
      <c r="F197" s="1746" t="s">
        <v>2222</v>
      </c>
      <c r="G197" s="1747" t="s">
        <v>1764</v>
      </c>
      <c r="H197" s="1748">
        <v>8</v>
      </c>
      <c r="I197" s="1784"/>
      <c r="J197" s="1749"/>
      <c r="K197" s="1750"/>
      <c r="L197" s="1751">
        <f t="shared" si="3"/>
        <v>800</v>
      </c>
      <c r="M197" s="1757"/>
      <c r="N197" s="1240"/>
    </row>
    <row r="198" spans="1:14" s="783" customFormat="1" ht="14.25" customHeight="1">
      <c r="A198" s="776"/>
      <c r="B198" s="776" t="s">
        <v>2230</v>
      </c>
      <c r="C198" s="1755"/>
      <c r="D198" s="1744" t="s">
        <v>2405</v>
      </c>
      <c r="E198" s="1746">
        <v>100</v>
      </c>
      <c r="F198" s="1746" t="s">
        <v>2242</v>
      </c>
      <c r="G198" s="1747" t="s">
        <v>1764</v>
      </c>
      <c r="H198" s="1748">
        <v>25</v>
      </c>
      <c r="I198" s="1784"/>
      <c r="J198" s="1749"/>
      <c r="K198" s="1750"/>
      <c r="L198" s="1751">
        <f t="shared" si="3"/>
        <v>2500</v>
      </c>
      <c r="M198" s="1757"/>
      <c r="N198" s="1240"/>
    </row>
    <row r="199" spans="1:14" s="783" customFormat="1" ht="14.25" customHeight="1">
      <c r="A199" s="776"/>
      <c r="B199" s="776" t="s">
        <v>2230</v>
      </c>
      <c r="C199" s="1755"/>
      <c r="D199" s="1744" t="s">
        <v>2406</v>
      </c>
      <c r="E199" s="1746">
        <v>20</v>
      </c>
      <c r="F199" s="1746" t="s">
        <v>2220</v>
      </c>
      <c r="G199" s="1747" t="s">
        <v>1764</v>
      </c>
      <c r="H199" s="1748">
        <v>250</v>
      </c>
      <c r="I199" s="1784"/>
      <c r="J199" s="1749"/>
      <c r="K199" s="1750"/>
      <c r="L199" s="1751">
        <f t="shared" si="3"/>
        <v>5000</v>
      </c>
      <c r="M199" s="1757"/>
      <c r="N199" s="1240"/>
    </row>
    <row r="200" spans="1:14" s="783" customFormat="1" ht="14.25" customHeight="1">
      <c r="A200" s="776"/>
      <c r="B200" s="776" t="s">
        <v>2230</v>
      </c>
      <c r="C200" s="1755"/>
      <c r="D200" s="1744" t="s">
        <v>2407</v>
      </c>
      <c r="E200" s="1745">
        <v>1000</v>
      </c>
      <c r="F200" s="1746" t="s">
        <v>2220</v>
      </c>
      <c r="G200" s="1747" t="s">
        <v>1764</v>
      </c>
      <c r="H200" s="1748">
        <v>43</v>
      </c>
      <c r="I200" s="1784"/>
      <c r="J200" s="1749"/>
      <c r="K200" s="1750"/>
      <c r="L200" s="1751">
        <f t="shared" si="3"/>
        <v>43000</v>
      </c>
      <c r="M200" s="1757"/>
      <c r="N200" s="1240"/>
    </row>
    <row r="201" spans="1:14" s="783" customFormat="1" ht="14.25" customHeight="1">
      <c r="A201" s="776"/>
      <c r="B201" s="776" t="s">
        <v>2230</v>
      </c>
      <c r="C201" s="1755"/>
      <c r="D201" s="1779" t="s">
        <v>2408</v>
      </c>
      <c r="E201" s="1745">
        <v>1000</v>
      </c>
      <c r="F201" s="1746" t="s">
        <v>2244</v>
      </c>
      <c r="G201" s="1747" t="s">
        <v>1764</v>
      </c>
      <c r="H201" s="1748">
        <v>45</v>
      </c>
      <c r="I201" s="1784"/>
      <c r="J201" s="1749"/>
      <c r="K201" s="1750"/>
      <c r="L201" s="1751">
        <f t="shared" si="3"/>
        <v>45000</v>
      </c>
      <c r="M201" s="1757"/>
      <c r="N201" s="1240"/>
    </row>
    <row r="202" spans="1:14" s="783" customFormat="1" ht="14.25" customHeight="1">
      <c r="A202" s="776"/>
      <c r="B202" s="776" t="s">
        <v>2230</v>
      </c>
      <c r="C202" s="1755"/>
      <c r="D202" s="1744" t="s">
        <v>2409</v>
      </c>
      <c r="E202" s="1745">
        <v>2000</v>
      </c>
      <c r="F202" s="1746" t="s">
        <v>2222</v>
      </c>
      <c r="G202" s="1747" t="s">
        <v>1764</v>
      </c>
      <c r="H202" s="1748">
        <v>20</v>
      </c>
      <c r="I202" s="1784"/>
      <c r="J202" s="1749"/>
      <c r="K202" s="1750"/>
      <c r="L202" s="1751">
        <f t="shared" si="3"/>
        <v>40000</v>
      </c>
      <c r="M202" s="1757"/>
      <c r="N202" s="1240"/>
    </row>
    <row r="203" spans="1:14" s="783" customFormat="1" ht="14.25" customHeight="1">
      <c r="A203" s="776"/>
      <c r="B203" s="776" t="s">
        <v>2230</v>
      </c>
      <c r="C203" s="1755"/>
      <c r="D203" s="1744" t="s">
        <v>2410</v>
      </c>
      <c r="E203" s="1746">
        <v>200</v>
      </c>
      <c r="F203" s="1746" t="s">
        <v>2222</v>
      </c>
      <c r="G203" s="1747" t="s">
        <v>1764</v>
      </c>
      <c r="H203" s="1748">
        <v>4.25</v>
      </c>
      <c r="I203" s="1784"/>
      <c r="J203" s="1749"/>
      <c r="K203" s="1750"/>
      <c r="L203" s="1751">
        <f t="shared" si="3"/>
        <v>850</v>
      </c>
      <c r="M203" s="1757"/>
      <c r="N203" s="1240"/>
    </row>
    <row r="204" spans="1:14" s="783" customFormat="1" ht="14.25" customHeight="1">
      <c r="A204" s="776"/>
      <c r="B204" s="776" t="s">
        <v>2230</v>
      </c>
      <c r="C204" s="1755"/>
      <c r="D204" s="1744" t="s">
        <v>2411</v>
      </c>
      <c r="E204" s="1746">
        <v>50</v>
      </c>
      <c r="F204" s="1746" t="s">
        <v>2001</v>
      </c>
      <c r="G204" s="1747" t="s">
        <v>1764</v>
      </c>
      <c r="H204" s="1748">
        <v>95</v>
      </c>
      <c r="I204" s="1784"/>
      <c r="J204" s="1749"/>
      <c r="K204" s="1750"/>
      <c r="L204" s="1751">
        <f t="shared" si="3"/>
        <v>4750</v>
      </c>
      <c r="M204" s="1757"/>
      <c r="N204" s="1240"/>
    </row>
    <row r="205" spans="1:14" s="783" customFormat="1" ht="14.25" customHeight="1">
      <c r="A205" s="776"/>
      <c r="B205" s="776" t="s">
        <v>2230</v>
      </c>
      <c r="C205" s="1755"/>
      <c r="D205" s="1744" t="s">
        <v>2412</v>
      </c>
      <c r="E205" s="1746">
        <v>100</v>
      </c>
      <c r="F205" s="1746" t="s">
        <v>2222</v>
      </c>
      <c r="G205" s="1747" t="s">
        <v>1764</v>
      </c>
      <c r="H205" s="1748">
        <v>6</v>
      </c>
      <c r="I205" s="1784"/>
      <c r="J205" s="1749"/>
      <c r="K205" s="1750"/>
      <c r="L205" s="1751">
        <f t="shared" si="3"/>
        <v>600</v>
      </c>
      <c r="M205" s="1757"/>
      <c r="N205" s="1240"/>
    </row>
    <row r="206" spans="1:14" s="783" customFormat="1" ht="14.25" customHeight="1">
      <c r="A206" s="776"/>
      <c r="B206" s="776" t="s">
        <v>2230</v>
      </c>
      <c r="C206" s="1755"/>
      <c r="D206" s="1744" t="s">
        <v>2413</v>
      </c>
      <c r="E206" s="1746">
        <v>100</v>
      </c>
      <c r="F206" s="1746" t="s">
        <v>2222</v>
      </c>
      <c r="G206" s="1747" t="s">
        <v>1764</v>
      </c>
      <c r="H206" s="1748">
        <v>3</v>
      </c>
      <c r="I206" s="1784"/>
      <c r="J206" s="1749"/>
      <c r="K206" s="1750"/>
      <c r="L206" s="1751">
        <f t="shared" si="3"/>
        <v>300</v>
      </c>
      <c r="M206" s="1757"/>
      <c r="N206" s="1240"/>
    </row>
    <row r="207" spans="1:14" s="783" customFormat="1" ht="14.25" customHeight="1">
      <c r="A207" s="776"/>
      <c r="B207" s="776" t="s">
        <v>2230</v>
      </c>
      <c r="C207" s="1755"/>
      <c r="D207" s="1744" t="s">
        <v>2414</v>
      </c>
      <c r="E207" s="1745">
        <v>1000</v>
      </c>
      <c r="F207" s="1746" t="s">
        <v>2220</v>
      </c>
      <c r="G207" s="1747" t="s">
        <v>1764</v>
      </c>
      <c r="H207" s="1748">
        <v>25</v>
      </c>
      <c r="I207" s="1784"/>
      <c r="J207" s="1749"/>
      <c r="K207" s="1750"/>
      <c r="L207" s="1751">
        <f t="shared" si="3"/>
        <v>25000</v>
      </c>
      <c r="M207" s="1757"/>
      <c r="N207" s="1240"/>
    </row>
    <row r="208" spans="1:14" s="783" customFormat="1" ht="14.25" customHeight="1">
      <c r="A208" s="776"/>
      <c r="B208" s="776" t="s">
        <v>2230</v>
      </c>
      <c r="C208" s="1755"/>
      <c r="D208" s="1744" t="s">
        <v>2415</v>
      </c>
      <c r="E208" s="1746">
        <v>100</v>
      </c>
      <c r="F208" s="1746" t="s">
        <v>2222</v>
      </c>
      <c r="G208" s="1747" t="s">
        <v>1764</v>
      </c>
      <c r="H208" s="1748">
        <v>3.5</v>
      </c>
      <c r="I208" s="1784"/>
      <c r="J208" s="1749"/>
      <c r="K208" s="1750"/>
      <c r="L208" s="1751">
        <f t="shared" si="3"/>
        <v>350</v>
      </c>
      <c r="M208" s="1757"/>
      <c r="N208" s="1240"/>
    </row>
    <row r="209" spans="1:14" s="783" customFormat="1" ht="14.25" customHeight="1">
      <c r="A209" s="776"/>
      <c r="B209" s="776" t="s">
        <v>2230</v>
      </c>
      <c r="C209" s="1755"/>
      <c r="D209" s="1744" t="s">
        <v>2416</v>
      </c>
      <c r="E209" s="1746">
        <v>50</v>
      </c>
      <c r="F209" s="1746" t="s">
        <v>2244</v>
      </c>
      <c r="G209" s="1747" t="s">
        <v>1764</v>
      </c>
      <c r="H209" s="1748">
        <v>375</v>
      </c>
      <c r="I209" s="1784"/>
      <c r="J209" s="1749"/>
      <c r="K209" s="1750"/>
      <c r="L209" s="1751">
        <f t="shared" si="3"/>
        <v>18750</v>
      </c>
      <c r="M209" s="1757"/>
      <c r="N209" s="1240"/>
    </row>
    <row r="210" spans="1:14" s="783" customFormat="1" ht="14.25" customHeight="1">
      <c r="A210" s="776"/>
      <c r="B210" s="776" t="s">
        <v>2230</v>
      </c>
      <c r="C210" s="1755"/>
      <c r="D210" s="1744" t="s">
        <v>2417</v>
      </c>
      <c r="E210" s="1746">
        <v>200</v>
      </c>
      <c r="F210" s="1746" t="s">
        <v>2222</v>
      </c>
      <c r="G210" s="1747" t="s">
        <v>1764</v>
      </c>
      <c r="H210" s="1748">
        <v>14.5</v>
      </c>
      <c r="I210" s="1784"/>
      <c r="J210" s="1749"/>
      <c r="K210" s="1750"/>
      <c r="L210" s="1751">
        <f t="shared" si="3"/>
        <v>2900</v>
      </c>
      <c r="M210" s="1757"/>
      <c r="N210" s="1240"/>
    </row>
    <row r="211" spans="1:14" s="783" customFormat="1" ht="14.25" customHeight="1">
      <c r="A211" s="776"/>
      <c r="B211" s="776" t="s">
        <v>2230</v>
      </c>
      <c r="C211" s="1755"/>
      <c r="D211" s="1744" t="s">
        <v>2418</v>
      </c>
      <c r="E211" s="1746">
        <v>200</v>
      </c>
      <c r="F211" s="1746" t="s">
        <v>2222</v>
      </c>
      <c r="G211" s="1747" t="s">
        <v>1764</v>
      </c>
      <c r="H211" s="1748">
        <v>25</v>
      </c>
      <c r="I211" s="1784"/>
      <c r="J211" s="1749"/>
      <c r="K211" s="1750"/>
      <c r="L211" s="1751">
        <f t="shared" si="3"/>
        <v>5000</v>
      </c>
      <c r="M211" s="1757"/>
      <c r="N211" s="1240"/>
    </row>
    <row r="212" spans="1:14" s="783" customFormat="1" ht="14.25" customHeight="1">
      <c r="A212" s="776"/>
      <c r="B212" s="776" t="s">
        <v>2230</v>
      </c>
      <c r="C212" s="1755"/>
      <c r="D212" s="1744" t="s">
        <v>2419</v>
      </c>
      <c r="E212" s="1745">
        <v>2000</v>
      </c>
      <c r="F212" s="1746" t="s">
        <v>2220</v>
      </c>
      <c r="G212" s="1747" t="s">
        <v>1764</v>
      </c>
      <c r="H212" s="1748">
        <v>17</v>
      </c>
      <c r="I212" s="1784"/>
      <c r="J212" s="1749"/>
      <c r="K212" s="1750"/>
      <c r="L212" s="1751">
        <f t="shared" ref="L212:L237" si="4">E212*H212</f>
        <v>34000</v>
      </c>
      <c r="M212" s="1757"/>
      <c r="N212" s="1240"/>
    </row>
    <row r="213" spans="1:14" s="783" customFormat="1" ht="14.25" customHeight="1">
      <c r="A213" s="776"/>
      <c r="B213" s="776" t="s">
        <v>2230</v>
      </c>
      <c r="C213" s="1755"/>
      <c r="D213" s="1744" t="s">
        <v>2420</v>
      </c>
      <c r="E213" s="1746">
        <v>50</v>
      </c>
      <c r="F213" s="1746" t="s">
        <v>2270</v>
      </c>
      <c r="G213" s="1747" t="s">
        <v>1764</v>
      </c>
      <c r="H213" s="1748">
        <v>100</v>
      </c>
      <c r="I213" s="1784"/>
      <c r="J213" s="1749"/>
      <c r="K213" s="1750"/>
      <c r="L213" s="1751">
        <f t="shared" si="4"/>
        <v>5000</v>
      </c>
      <c r="M213" s="1757"/>
      <c r="N213" s="1240"/>
    </row>
    <row r="214" spans="1:14" s="783" customFormat="1" ht="14.25" customHeight="1">
      <c r="A214" s="776"/>
      <c r="B214" s="776" t="s">
        <v>2230</v>
      </c>
      <c r="C214" s="1755"/>
      <c r="D214" s="1744" t="s">
        <v>2421</v>
      </c>
      <c r="E214" s="1746">
        <v>50</v>
      </c>
      <c r="F214" s="1746" t="s">
        <v>2001</v>
      </c>
      <c r="G214" s="1747" t="s">
        <v>1764</v>
      </c>
      <c r="H214" s="1748">
        <v>48</v>
      </c>
      <c r="I214" s="1784"/>
      <c r="J214" s="1749"/>
      <c r="K214" s="1750"/>
      <c r="L214" s="1751">
        <f t="shared" si="4"/>
        <v>2400</v>
      </c>
      <c r="M214" s="1757"/>
      <c r="N214" s="1240"/>
    </row>
    <row r="215" spans="1:14" s="783" customFormat="1" ht="14.25" customHeight="1">
      <c r="A215" s="776"/>
      <c r="B215" s="776" t="s">
        <v>2230</v>
      </c>
      <c r="C215" s="1755"/>
      <c r="D215" s="1744" t="s">
        <v>2422</v>
      </c>
      <c r="E215" s="1745">
        <v>3000</v>
      </c>
      <c r="F215" s="1746" t="s">
        <v>1571</v>
      </c>
      <c r="G215" s="1747" t="s">
        <v>1764</v>
      </c>
      <c r="H215" s="1748">
        <v>9</v>
      </c>
      <c r="I215" s="1784"/>
      <c r="J215" s="1749"/>
      <c r="K215" s="1750"/>
      <c r="L215" s="1751">
        <f t="shared" si="4"/>
        <v>27000</v>
      </c>
      <c r="M215" s="1757"/>
      <c r="N215" s="1240"/>
    </row>
    <row r="216" spans="1:14" s="783" customFormat="1" ht="14.25" customHeight="1">
      <c r="A216" s="776"/>
      <c r="B216" s="776" t="s">
        <v>2230</v>
      </c>
      <c r="C216" s="1755"/>
      <c r="D216" s="1744" t="s">
        <v>2423</v>
      </c>
      <c r="E216" s="1745">
        <v>1000</v>
      </c>
      <c r="F216" s="1746" t="s">
        <v>2222</v>
      </c>
      <c r="G216" s="1747" t="s">
        <v>1764</v>
      </c>
      <c r="H216" s="1748">
        <v>6</v>
      </c>
      <c r="I216" s="1784"/>
      <c r="J216" s="1749"/>
      <c r="K216" s="1750"/>
      <c r="L216" s="1751">
        <f t="shared" si="4"/>
        <v>6000</v>
      </c>
      <c r="M216" s="1757"/>
      <c r="N216" s="1240"/>
    </row>
    <row r="217" spans="1:14" s="783" customFormat="1" ht="14.25" customHeight="1">
      <c r="A217" s="776"/>
      <c r="B217" s="776" t="s">
        <v>2230</v>
      </c>
      <c r="C217" s="1755"/>
      <c r="D217" s="1744" t="s">
        <v>2424</v>
      </c>
      <c r="E217" s="1745">
        <v>100</v>
      </c>
      <c r="F217" s="1746" t="s">
        <v>2220</v>
      </c>
      <c r="G217" s="1747" t="s">
        <v>1764</v>
      </c>
      <c r="H217" s="1748">
        <v>120</v>
      </c>
      <c r="I217" s="1784"/>
      <c r="J217" s="1749"/>
      <c r="K217" s="1750"/>
      <c r="L217" s="1751">
        <f t="shared" si="4"/>
        <v>12000</v>
      </c>
      <c r="M217" s="1757"/>
      <c r="N217" s="1240"/>
    </row>
    <row r="218" spans="1:14" s="783" customFormat="1" ht="14.25" customHeight="1">
      <c r="A218" s="776"/>
      <c r="B218" s="776" t="s">
        <v>2230</v>
      </c>
      <c r="C218" s="1755"/>
      <c r="D218" s="1744" t="s">
        <v>2425</v>
      </c>
      <c r="E218" s="1745">
        <v>1000</v>
      </c>
      <c r="F218" s="1746" t="s">
        <v>2334</v>
      </c>
      <c r="G218" s="1747" t="s">
        <v>1764</v>
      </c>
      <c r="H218" s="1748">
        <v>95</v>
      </c>
      <c r="I218" s="1784"/>
      <c r="J218" s="1749"/>
      <c r="K218" s="1750"/>
      <c r="L218" s="1751">
        <f t="shared" si="4"/>
        <v>95000</v>
      </c>
      <c r="M218" s="1757"/>
      <c r="N218" s="1240"/>
    </row>
    <row r="219" spans="1:14" s="783" customFormat="1" ht="14.25" customHeight="1">
      <c r="A219" s="776"/>
      <c r="B219" s="776" t="s">
        <v>2230</v>
      </c>
      <c r="C219" s="1755"/>
      <c r="D219" s="1744" t="s">
        <v>2426</v>
      </c>
      <c r="E219" s="1746">
        <v>200</v>
      </c>
      <c r="F219" s="1746" t="s">
        <v>2220</v>
      </c>
      <c r="G219" s="1747" t="s">
        <v>1764</v>
      </c>
      <c r="H219" s="1748">
        <v>105</v>
      </c>
      <c r="I219" s="1784"/>
      <c r="J219" s="1749"/>
      <c r="K219" s="1750"/>
      <c r="L219" s="1751">
        <f t="shared" si="4"/>
        <v>21000</v>
      </c>
      <c r="M219" s="1757"/>
      <c r="N219" s="1240"/>
    </row>
    <row r="220" spans="1:14" s="783" customFormat="1" ht="14.25" customHeight="1">
      <c r="A220" s="776"/>
      <c r="B220" s="776" t="s">
        <v>2230</v>
      </c>
      <c r="C220" s="1755"/>
      <c r="D220" s="1744" t="s">
        <v>2427</v>
      </c>
      <c r="E220" s="1745">
        <v>1000</v>
      </c>
      <c r="F220" s="1746" t="s">
        <v>2222</v>
      </c>
      <c r="G220" s="1747" t="s">
        <v>1764</v>
      </c>
      <c r="H220" s="1748">
        <v>3.5</v>
      </c>
      <c r="I220" s="1784"/>
      <c r="J220" s="1749"/>
      <c r="K220" s="1750"/>
      <c r="L220" s="1751">
        <f t="shared" si="4"/>
        <v>3500</v>
      </c>
      <c r="M220" s="1757"/>
      <c r="N220" s="1240"/>
    </row>
    <row r="221" spans="1:14" s="783" customFormat="1" ht="14.25" customHeight="1">
      <c r="A221" s="776"/>
      <c r="B221" s="776" t="s">
        <v>2230</v>
      </c>
      <c r="C221" s="1755"/>
      <c r="D221" s="1744" t="s">
        <v>2428</v>
      </c>
      <c r="E221" s="1745">
        <v>1000</v>
      </c>
      <c r="F221" s="1746" t="s">
        <v>2001</v>
      </c>
      <c r="G221" s="1747" t="s">
        <v>1764</v>
      </c>
      <c r="H221" s="1748">
        <v>55</v>
      </c>
      <c r="I221" s="1784"/>
      <c r="J221" s="1749"/>
      <c r="K221" s="1750"/>
      <c r="L221" s="1751">
        <f t="shared" si="4"/>
        <v>55000</v>
      </c>
      <c r="M221" s="1757"/>
      <c r="N221" s="1240"/>
    </row>
    <row r="222" spans="1:14" s="783" customFormat="1" ht="14.25" customHeight="1">
      <c r="A222" s="776"/>
      <c r="B222" s="776" t="s">
        <v>2230</v>
      </c>
      <c r="C222" s="1755"/>
      <c r="D222" s="1744" t="s">
        <v>2429</v>
      </c>
      <c r="E222" s="1745">
        <v>1000</v>
      </c>
      <c r="F222" s="1746" t="s">
        <v>2001</v>
      </c>
      <c r="G222" s="1747" t="s">
        <v>1764</v>
      </c>
      <c r="H222" s="1748">
        <v>75</v>
      </c>
      <c r="I222" s="1784"/>
      <c r="J222" s="1749"/>
      <c r="K222" s="1750"/>
      <c r="L222" s="1751">
        <f t="shared" si="4"/>
        <v>75000</v>
      </c>
      <c r="M222" s="1757"/>
      <c r="N222" s="1240"/>
    </row>
    <row r="223" spans="1:14" s="783" customFormat="1" ht="14.25" customHeight="1">
      <c r="A223" s="776"/>
      <c r="B223" s="776" t="s">
        <v>2230</v>
      </c>
      <c r="C223" s="1755"/>
      <c r="D223" s="1744" t="s">
        <v>2430</v>
      </c>
      <c r="E223" s="1746">
        <v>47</v>
      </c>
      <c r="F223" s="1746" t="s">
        <v>2244</v>
      </c>
      <c r="G223" s="1747" t="s">
        <v>1764</v>
      </c>
      <c r="H223" s="1748">
        <v>35</v>
      </c>
      <c r="I223" s="1784"/>
      <c r="J223" s="1749"/>
      <c r="K223" s="1750"/>
      <c r="L223" s="1751">
        <f t="shared" si="4"/>
        <v>1645</v>
      </c>
      <c r="M223" s="1757"/>
      <c r="N223" s="1240"/>
    </row>
    <row r="224" spans="1:14" s="783" customFormat="1" ht="14.25" customHeight="1">
      <c r="A224" s="776"/>
      <c r="B224" s="776" t="s">
        <v>2230</v>
      </c>
      <c r="C224" s="1755"/>
      <c r="D224" s="1744" t="s">
        <v>2431</v>
      </c>
      <c r="E224" s="1746">
        <v>500</v>
      </c>
      <c r="F224" s="1746" t="s">
        <v>2222</v>
      </c>
      <c r="G224" s="1747" t="s">
        <v>1764</v>
      </c>
      <c r="H224" s="1748">
        <v>17.5</v>
      </c>
      <c r="I224" s="1784"/>
      <c r="J224" s="1749"/>
      <c r="K224" s="1750"/>
      <c r="L224" s="1751">
        <f t="shared" si="4"/>
        <v>8750</v>
      </c>
      <c r="M224" s="1757"/>
      <c r="N224" s="1240"/>
    </row>
    <row r="225" spans="1:15" s="783" customFormat="1" ht="14.25" customHeight="1">
      <c r="A225" s="776"/>
      <c r="B225" s="776" t="s">
        <v>2230</v>
      </c>
      <c r="C225" s="1755"/>
      <c r="D225" s="1744" t="s">
        <v>2432</v>
      </c>
      <c r="E225" s="1745">
        <v>1000</v>
      </c>
      <c r="F225" s="1746" t="s">
        <v>2001</v>
      </c>
      <c r="G225" s="1747" t="s">
        <v>1764</v>
      </c>
      <c r="H225" s="1748">
        <v>60</v>
      </c>
      <c r="I225" s="1784"/>
      <c r="J225" s="1749"/>
      <c r="K225" s="1750"/>
      <c r="L225" s="1751">
        <f t="shared" si="4"/>
        <v>60000</v>
      </c>
      <c r="M225" s="1757"/>
      <c r="N225" s="1240"/>
    </row>
    <row r="226" spans="1:15" s="783" customFormat="1" ht="14.25" customHeight="1">
      <c r="A226" s="776"/>
      <c r="B226" s="776" t="s">
        <v>2230</v>
      </c>
      <c r="C226" s="1755"/>
      <c r="D226" s="1744" t="s">
        <v>2433</v>
      </c>
      <c r="E226" s="1746">
        <v>80</v>
      </c>
      <c r="F226" s="1746" t="s">
        <v>1571</v>
      </c>
      <c r="G226" s="1747" t="s">
        <v>1764</v>
      </c>
      <c r="H226" s="1748">
        <v>1200</v>
      </c>
      <c r="I226" s="1784"/>
      <c r="J226" s="1749"/>
      <c r="K226" s="1750"/>
      <c r="L226" s="1751">
        <f t="shared" si="4"/>
        <v>96000</v>
      </c>
      <c r="M226" s="1757"/>
      <c r="N226" s="1240"/>
    </row>
    <row r="227" spans="1:15" s="783" customFormat="1" ht="14.25" customHeight="1">
      <c r="A227" s="776"/>
      <c r="B227" s="776" t="s">
        <v>2230</v>
      </c>
      <c r="C227" s="1755"/>
      <c r="D227" s="1744" t="s">
        <v>2434</v>
      </c>
      <c r="E227" s="1745">
        <v>900</v>
      </c>
      <c r="F227" s="1746" t="s">
        <v>2220</v>
      </c>
      <c r="G227" s="1747" t="s">
        <v>1764</v>
      </c>
      <c r="H227" s="1748">
        <v>80</v>
      </c>
      <c r="I227" s="1784"/>
      <c r="J227" s="1749"/>
      <c r="K227" s="1750"/>
      <c r="L227" s="1751">
        <f t="shared" si="4"/>
        <v>72000</v>
      </c>
      <c r="M227" s="1757"/>
      <c r="N227" s="1240"/>
    </row>
    <row r="228" spans="1:15" s="783" customFormat="1" ht="14.25" customHeight="1">
      <c r="A228" s="776"/>
      <c r="B228" s="776" t="s">
        <v>2230</v>
      </c>
      <c r="C228" s="1755"/>
      <c r="D228" s="1744" t="s">
        <v>2435</v>
      </c>
      <c r="E228" s="1746">
        <v>200</v>
      </c>
      <c r="F228" s="1746" t="s">
        <v>2001</v>
      </c>
      <c r="G228" s="1747" t="s">
        <v>1764</v>
      </c>
      <c r="H228" s="1748">
        <v>310</v>
      </c>
      <c r="I228" s="1784"/>
      <c r="J228" s="1749"/>
      <c r="K228" s="1750"/>
      <c r="L228" s="1751">
        <f t="shared" si="4"/>
        <v>62000</v>
      </c>
      <c r="M228" s="1757"/>
      <c r="N228" s="1240"/>
    </row>
    <row r="229" spans="1:15" s="783" customFormat="1" ht="14.25" customHeight="1">
      <c r="A229" s="776"/>
      <c r="B229" s="776" t="s">
        <v>2230</v>
      </c>
      <c r="C229" s="1755"/>
      <c r="D229" s="1744" t="s">
        <v>2436</v>
      </c>
      <c r="E229" s="1746">
        <v>100</v>
      </c>
      <c r="F229" s="1746" t="s">
        <v>2001</v>
      </c>
      <c r="G229" s="1747" t="s">
        <v>1764</v>
      </c>
      <c r="H229" s="1748">
        <v>200</v>
      </c>
      <c r="I229" s="1784"/>
      <c r="J229" s="1749"/>
      <c r="K229" s="1750"/>
      <c r="L229" s="1751">
        <f t="shared" si="4"/>
        <v>20000</v>
      </c>
      <c r="M229" s="1757"/>
      <c r="N229" s="1240"/>
    </row>
    <row r="230" spans="1:15" s="783" customFormat="1" ht="14.25" customHeight="1">
      <c r="A230" s="776"/>
      <c r="B230" s="776" t="s">
        <v>2230</v>
      </c>
      <c r="C230" s="1755"/>
      <c r="D230" s="1744" t="s">
        <v>2437</v>
      </c>
      <c r="E230" s="1745">
        <v>1000</v>
      </c>
      <c r="F230" s="1746" t="s">
        <v>2242</v>
      </c>
      <c r="G230" s="1747" t="s">
        <v>1764</v>
      </c>
      <c r="H230" s="1748">
        <v>4.5</v>
      </c>
      <c r="I230" s="1784"/>
      <c r="J230" s="1749"/>
      <c r="K230" s="1750"/>
      <c r="L230" s="1751">
        <f t="shared" si="4"/>
        <v>4500</v>
      </c>
      <c r="M230" s="1757"/>
      <c r="N230" s="1240"/>
    </row>
    <row r="231" spans="1:15" s="783" customFormat="1" ht="14.25" customHeight="1">
      <c r="A231" s="776"/>
      <c r="B231" s="776" t="s">
        <v>2230</v>
      </c>
      <c r="C231" s="1755"/>
      <c r="D231" s="1744" t="s">
        <v>2438</v>
      </c>
      <c r="E231" s="1745">
        <v>1000</v>
      </c>
      <c r="F231" s="1746" t="s">
        <v>2220</v>
      </c>
      <c r="G231" s="1747" t="s">
        <v>1764</v>
      </c>
      <c r="H231" s="1748">
        <v>45</v>
      </c>
      <c r="I231" s="1784"/>
      <c r="J231" s="1749"/>
      <c r="K231" s="1750"/>
      <c r="L231" s="1751">
        <f t="shared" si="4"/>
        <v>45000</v>
      </c>
      <c r="M231" s="1757"/>
      <c r="N231" s="1240"/>
    </row>
    <row r="232" spans="1:15" s="783" customFormat="1" ht="14.25" customHeight="1">
      <c r="A232" s="776"/>
      <c r="B232" s="776" t="s">
        <v>2230</v>
      </c>
      <c r="C232" s="1755"/>
      <c r="D232" s="1744" t="s">
        <v>2439</v>
      </c>
      <c r="E232" s="1745">
        <v>1000</v>
      </c>
      <c r="F232" s="1746" t="s">
        <v>2220</v>
      </c>
      <c r="G232" s="1747" t="s">
        <v>1764</v>
      </c>
      <c r="H232" s="1748">
        <v>60</v>
      </c>
      <c r="I232" s="1784"/>
      <c r="J232" s="1749"/>
      <c r="K232" s="1750"/>
      <c r="L232" s="1751">
        <f t="shared" si="4"/>
        <v>60000</v>
      </c>
      <c r="M232" s="1757"/>
      <c r="N232" s="1240"/>
    </row>
    <row r="233" spans="1:15" s="783" customFormat="1" ht="14.25" customHeight="1">
      <c r="A233" s="776"/>
      <c r="B233" s="776" t="s">
        <v>2230</v>
      </c>
      <c r="C233" s="1755"/>
      <c r="D233" s="1744" t="s">
        <v>2440</v>
      </c>
      <c r="E233" s="1745">
        <v>1000</v>
      </c>
      <c r="F233" s="1746" t="s">
        <v>2242</v>
      </c>
      <c r="G233" s="1747" t="s">
        <v>1764</v>
      </c>
      <c r="H233" s="1748">
        <v>30</v>
      </c>
      <c r="I233" s="1784"/>
      <c r="J233" s="1749"/>
      <c r="K233" s="1750"/>
      <c r="L233" s="1751">
        <f t="shared" si="4"/>
        <v>30000</v>
      </c>
      <c r="M233" s="1757"/>
      <c r="N233" s="1240"/>
    </row>
    <row r="234" spans="1:15" s="783" customFormat="1" ht="14.25" customHeight="1">
      <c r="A234" s="776"/>
      <c r="B234" s="776" t="s">
        <v>2230</v>
      </c>
      <c r="C234" s="1755"/>
      <c r="D234" s="1744" t="s">
        <v>2441</v>
      </c>
      <c r="E234" s="1746">
        <v>300</v>
      </c>
      <c r="F234" s="1746" t="s">
        <v>2220</v>
      </c>
      <c r="G234" s="1747" t="s">
        <v>1764</v>
      </c>
      <c r="H234" s="1748">
        <v>35</v>
      </c>
      <c r="I234" s="1784"/>
      <c r="J234" s="1749"/>
      <c r="K234" s="1750"/>
      <c r="L234" s="1751">
        <f t="shared" si="4"/>
        <v>10500</v>
      </c>
      <c r="M234" s="1757"/>
      <c r="N234" s="1240"/>
    </row>
    <row r="235" spans="1:15" s="783" customFormat="1" ht="14.25" customHeight="1">
      <c r="A235" s="776"/>
      <c r="B235" s="776" t="s">
        <v>2230</v>
      </c>
      <c r="C235" s="1755"/>
      <c r="D235" s="1744" t="s">
        <v>2442</v>
      </c>
      <c r="E235" s="1745">
        <v>300</v>
      </c>
      <c r="F235" s="1746" t="s">
        <v>2222</v>
      </c>
      <c r="G235" s="1747" t="s">
        <v>1764</v>
      </c>
      <c r="H235" s="1748">
        <v>11</v>
      </c>
      <c r="I235" s="1784"/>
      <c r="J235" s="1749"/>
      <c r="K235" s="1750"/>
      <c r="L235" s="1751">
        <f t="shared" si="4"/>
        <v>3300</v>
      </c>
      <c r="M235" s="1757"/>
      <c r="N235" s="1240"/>
    </row>
    <row r="236" spans="1:15" s="783" customFormat="1" ht="14.25" customHeight="1">
      <c r="A236" s="776"/>
      <c r="B236" s="776" t="s">
        <v>2230</v>
      </c>
      <c r="C236" s="1755"/>
      <c r="D236" s="1744" t="s">
        <v>2443</v>
      </c>
      <c r="E236" s="1745">
        <v>1000</v>
      </c>
      <c r="F236" s="1746" t="s">
        <v>2001</v>
      </c>
      <c r="G236" s="1747" t="s">
        <v>1764</v>
      </c>
      <c r="H236" s="1748">
        <v>40</v>
      </c>
      <c r="I236" s="1784"/>
      <c r="J236" s="1749"/>
      <c r="K236" s="1750"/>
      <c r="L236" s="1751">
        <f t="shared" si="4"/>
        <v>40000</v>
      </c>
      <c r="M236" s="1757"/>
      <c r="N236" s="1240"/>
    </row>
    <row r="237" spans="1:15" s="783" customFormat="1" ht="14.25" customHeight="1">
      <c r="A237" s="776"/>
      <c r="B237" s="776" t="s">
        <v>2230</v>
      </c>
      <c r="C237" s="1755"/>
      <c r="D237" s="1744" t="s">
        <v>2444</v>
      </c>
      <c r="E237" s="1745">
        <v>900</v>
      </c>
      <c r="F237" s="1746" t="s">
        <v>2001</v>
      </c>
      <c r="G237" s="1747" t="s">
        <v>1764</v>
      </c>
      <c r="H237" s="1748">
        <v>60</v>
      </c>
      <c r="I237" s="1784"/>
      <c r="J237" s="1749"/>
      <c r="K237" s="1750"/>
      <c r="L237" s="1751">
        <f t="shared" si="4"/>
        <v>54000</v>
      </c>
      <c r="M237" s="1757"/>
      <c r="N237" s="1240"/>
    </row>
    <row r="238" spans="1:15" s="783" customFormat="1" ht="14.25" customHeight="1">
      <c r="A238" s="776"/>
      <c r="B238" s="777"/>
      <c r="C238" s="1755"/>
      <c r="D238" s="1780"/>
      <c r="E238" s="1762"/>
      <c r="F238" s="1746"/>
      <c r="G238" s="1747"/>
      <c r="H238" s="1781">
        <v>60</v>
      </c>
      <c r="I238" s="1749"/>
      <c r="J238" s="1749"/>
      <c r="K238" s="1750"/>
      <c r="L238" s="1749"/>
      <c r="M238" s="1782"/>
      <c r="N238" s="1757"/>
      <c r="O238" s="1240"/>
    </row>
    <row r="239" spans="1:15" s="783" customFormat="1" ht="14.25" customHeight="1">
      <c r="A239" s="776"/>
      <c r="B239" s="777"/>
      <c r="C239" s="2057"/>
      <c r="D239" s="2058"/>
      <c r="E239" s="2059"/>
      <c r="F239" s="2060"/>
      <c r="G239" s="2061"/>
      <c r="H239" s="2062"/>
      <c r="I239" s="2063"/>
      <c r="J239" s="2063"/>
      <c r="K239" s="2064"/>
      <c r="L239" s="2063"/>
      <c r="M239" s="1740"/>
      <c r="N239" s="2065"/>
      <c r="O239" s="1240"/>
    </row>
    <row r="240" spans="1:15" s="783" customFormat="1" ht="14.25" customHeight="1">
      <c r="A240" s="776"/>
      <c r="B240" s="777"/>
      <c r="C240" s="2057"/>
      <c r="D240" s="2058"/>
      <c r="E240" s="2059"/>
      <c r="F240" s="2061"/>
      <c r="G240" s="2062"/>
      <c r="H240" s="2063"/>
      <c r="I240" s="2063"/>
      <c r="J240" s="2064"/>
      <c r="K240" s="2063"/>
      <c r="M240" s="1740"/>
      <c r="N240" s="2065"/>
      <c r="O240" s="1240"/>
    </row>
    <row r="241" spans="1:15" s="783" customFormat="1" ht="14.25" customHeight="1">
      <c r="A241" s="776"/>
      <c r="B241" s="777" t="s">
        <v>2929</v>
      </c>
      <c r="C241" s="2066" t="s">
        <v>3005</v>
      </c>
      <c r="D241" s="2067" t="s">
        <v>637</v>
      </c>
      <c r="E241" s="2075"/>
      <c r="F241" s="2003" t="s">
        <v>1764</v>
      </c>
      <c r="G241" s="2069" t="s">
        <v>1</v>
      </c>
      <c r="H241" s="2073"/>
      <c r="I241" s="2073"/>
      <c r="J241" s="2073"/>
      <c r="K241" s="2074" t="s">
        <v>748</v>
      </c>
      <c r="M241" s="2073" t="s">
        <v>2924</v>
      </c>
      <c r="N241" s="2074" t="s">
        <v>703</v>
      </c>
    </row>
    <row r="242" spans="1:15" s="783" customFormat="1" ht="14.25" customHeight="1">
      <c r="A242" s="776"/>
      <c r="B242" s="777" t="s">
        <v>2929</v>
      </c>
      <c r="C242" s="2068"/>
      <c r="D242" s="2005" t="s">
        <v>3006</v>
      </c>
      <c r="E242" s="2001">
        <v>200</v>
      </c>
      <c r="F242" s="2069" t="s">
        <v>3007</v>
      </c>
      <c r="G242" s="2006"/>
      <c r="H242" s="2008" t="s">
        <v>2213</v>
      </c>
      <c r="I242" s="2009">
        <v>46174</v>
      </c>
      <c r="J242" s="2010" t="s">
        <v>2215</v>
      </c>
      <c r="L242" s="2033">
        <v>90000</v>
      </c>
      <c r="M242" s="2085"/>
      <c r="N242" s="2013"/>
      <c r="O242" s="2011"/>
    </row>
    <row r="243" spans="1:15" s="783" customFormat="1" ht="14.25" customHeight="1">
      <c r="A243" s="776"/>
      <c r="B243" s="777" t="s">
        <v>2929</v>
      </c>
      <c r="C243" s="2068"/>
      <c r="D243" s="2005" t="s">
        <v>3008</v>
      </c>
      <c r="E243" s="2001">
        <v>200</v>
      </c>
      <c r="F243" s="2069" t="s">
        <v>3007</v>
      </c>
      <c r="G243" s="2006"/>
      <c r="H243" s="2008"/>
      <c r="I243" s="2008"/>
      <c r="J243" s="1588" t="s">
        <v>2927</v>
      </c>
      <c r="L243" s="2033">
        <v>160000</v>
      </c>
      <c r="M243" s="2085"/>
      <c r="N243" s="2013"/>
      <c r="O243" s="2011"/>
    </row>
    <row r="244" spans="1:15" s="783" customFormat="1" ht="14.25" customHeight="1">
      <c r="A244" s="776"/>
      <c r="B244" s="777" t="s">
        <v>2929</v>
      </c>
      <c r="C244" s="2068"/>
      <c r="D244" s="2005" t="s">
        <v>3009</v>
      </c>
      <c r="E244" s="2001">
        <v>200</v>
      </c>
      <c r="F244" s="2069" t="s">
        <v>3007</v>
      </c>
      <c r="G244" s="2061"/>
      <c r="H244" s="2062"/>
      <c r="I244" s="2063"/>
      <c r="J244" s="2063"/>
      <c r="K244" s="2064"/>
      <c r="L244" s="2033">
        <v>132000</v>
      </c>
      <c r="M244" s="2086"/>
      <c r="N244" s="2065"/>
      <c r="O244" s="1240"/>
    </row>
    <row r="245" spans="1:15" s="783" customFormat="1" ht="14.25" customHeight="1">
      <c r="A245" s="776"/>
      <c r="B245" s="777" t="s">
        <v>2929</v>
      </c>
      <c r="C245" s="2068"/>
      <c r="D245" s="2005" t="s">
        <v>3010</v>
      </c>
      <c r="E245" s="2001">
        <v>200</v>
      </c>
      <c r="F245" s="2069" t="s">
        <v>3007</v>
      </c>
      <c r="G245" s="2061"/>
      <c r="H245" s="2062"/>
      <c r="I245" s="2063"/>
      <c r="J245" s="2063"/>
      <c r="K245" s="2064"/>
      <c r="L245" s="2033">
        <v>180000</v>
      </c>
      <c r="M245" s="2086"/>
      <c r="N245" s="2065"/>
      <c r="O245" s="1240"/>
    </row>
    <row r="246" spans="1:15" s="783" customFormat="1" ht="14.25" customHeight="1">
      <c r="A246" s="776"/>
      <c r="B246" s="777" t="s">
        <v>2929</v>
      </c>
      <c r="C246" s="2068"/>
      <c r="D246" s="2005" t="s">
        <v>3011</v>
      </c>
      <c r="E246" s="2001">
        <v>100</v>
      </c>
      <c r="F246" s="2069" t="s">
        <v>3007</v>
      </c>
      <c r="G246" s="2061"/>
      <c r="H246" s="2062"/>
      <c r="I246" s="2063"/>
      <c r="J246" s="2063"/>
      <c r="K246" s="2064"/>
      <c r="L246" s="2033">
        <v>125000</v>
      </c>
      <c r="M246" s="2086"/>
      <c r="N246" s="2065"/>
      <c r="O246" s="1240"/>
    </row>
    <row r="247" spans="1:15" s="783" customFormat="1" ht="14.25" customHeight="1">
      <c r="A247" s="776"/>
      <c r="B247" s="777" t="s">
        <v>2929</v>
      </c>
      <c r="C247" s="2068"/>
      <c r="D247" s="2005" t="s">
        <v>3012</v>
      </c>
      <c r="E247" s="2001">
        <v>150</v>
      </c>
      <c r="F247" s="2069" t="s">
        <v>3007</v>
      </c>
      <c r="G247" s="2061"/>
      <c r="H247" s="2062"/>
      <c r="I247" s="2063"/>
      <c r="J247" s="2063"/>
      <c r="K247" s="2064"/>
      <c r="L247" s="2033">
        <v>112500</v>
      </c>
      <c r="M247" s="2086"/>
      <c r="N247" s="2065"/>
      <c r="O247" s="1240"/>
    </row>
    <row r="248" spans="1:15" s="783" customFormat="1" ht="14.25" customHeight="1">
      <c r="A248" s="776"/>
      <c r="B248" s="777" t="s">
        <v>2929</v>
      </c>
      <c r="C248" s="2068"/>
      <c r="D248" s="2005" t="s">
        <v>3013</v>
      </c>
      <c r="E248" s="2001">
        <v>150</v>
      </c>
      <c r="F248" s="2069" t="s">
        <v>3007</v>
      </c>
      <c r="G248" s="2061"/>
      <c r="H248" s="2062"/>
      <c r="I248" s="2063"/>
      <c r="J248" s="2063"/>
      <c r="K248" s="2064"/>
      <c r="L248" s="2033">
        <v>67500</v>
      </c>
      <c r="M248" s="2086"/>
      <c r="N248" s="2065"/>
      <c r="O248" s="1240"/>
    </row>
    <row r="249" spans="1:15" s="783" customFormat="1" ht="14.25" customHeight="1">
      <c r="A249" s="776"/>
      <c r="B249" s="777" t="s">
        <v>2929</v>
      </c>
      <c r="C249" s="2068"/>
      <c r="D249" s="2005" t="s">
        <v>3014</v>
      </c>
      <c r="E249" s="2001">
        <v>100</v>
      </c>
      <c r="F249" s="2069" t="s">
        <v>3007</v>
      </c>
      <c r="G249" s="2061"/>
      <c r="H249" s="2062"/>
      <c r="I249" s="2063"/>
      <c r="J249" s="2063"/>
      <c r="K249" s="2064"/>
      <c r="L249" s="2033">
        <v>175000</v>
      </c>
      <c r="M249" s="2086"/>
      <c r="N249" s="2065"/>
      <c r="O249" s="1240"/>
    </row>
    <row r="250" spans="1:15" s="783" customFormat="1" ht="14.25" customHeight="1">
      <c r="A250" s="776"/>
      <c r="B250" s="777" t="s">
        <v>2929</v>
      </c>
      <c r="C250" s="2068"/>
      <c r="D250" s="2005" t="s">
        <v>3015</v>
      </c>
      <c r="E250" s="2001">
        <v>10</v>
      </c>
      <c r="F250" s="2069" t="s">
        <v>3016</v>
      </c>
      <c r="G250" s="2061"/>
      <c r="H250" s="2062"/>
      <c r="I250" s="2063"/>
      <c r="J250" s="2063"/>
      <c r="K250" s="2064"/>
      <c r="L250" s="2033">
        <v>4450</v>
      </c>
      <c r="M250" s="2086"/>
      <c r="N250" s="2065"/>
      <c r="O250" s="1240"/>
    </row>
    <row r="251" spans="1:15" s="783" customFormat="1" ht="14.25" customHeight="1">
      <c r="A251" s="776"/>
      <c r="B251" s="777" t="s">
        <v>2929</v>
      </c>
      <c r="C251" s="2068"/>
      <c r="D251" s="2005" t="s">
        <v>3017</v>
      </c>
      <c r="E251" s="2001">
        <v>10</v>
      </c>
      <c r="F251" s="2069" t="s">
        <v>3018</v>
      </c>
      <c r="G251" s="2061"/>
      <c r="H251" s="2062"/>
      <c r="I251" s="2063"/>
      <c r="J251" s="2063"/>
      <c r="K251" s="2064"/>
      <c r="L251" s="2033">
        <v>2500</v>
      </c>
      <c r="M251" s="2086"/>
      <c r="N251" s="2065"/>
      <c r="O251" s="1240"/>
    </row>
    <row r="252" spans="1:15" s="783" customFormat="1" ht="14.25" customHeight="1">
      <c r="A252" s="776"/>
      <c r="B252" s="777" t="s">
        <v>2929</v>
      </c>
      <c r="C252" s="2068"/>
      <c r="D252" s="2005" t="s">
        <v>3019</v>
      </c>
      <c r="E252" s="2001">
        <v>25</v>
      </c>
      <c r="F252" s="2069" t="s">
        <v>3020</v>
      </c>
      <c r="G252" s="2061"/>
      <c r="H252" s="2062"/>
      <c r="I252" s="2063"/>
      <c r="J252" s="2063"/>
      <c r="K252" s="2064"/>
      <c r="L252" s="2033">
        <v>3250</v>
      </c>
      <c r="M252" s="2086"/>
      <c r="N252" s="2065"/>
      <c r="O252" s="1240"/>
    </row>
    <row r="253" spans="1:15" s="783" customFormat="1" ht="14.25" customHeight="1">
      <c r="A253" s="776"/>
      <c r="B253" s="777" t="s">
        <v>2929</v>
      </c>
      <c r="C253" s="2068"/>
      <c r="D253" s="2005" t="s">
        <v>3021</v>
      </c>
      <c r="E253" s="2001">
        <v>25</v>
      </c>
      <c r="F253" s="2069" t="s">
        <v>3007</v>
      </c>
      <c r="G253" s="2061"/>
      <c r="H253" s="2062"/>
      <c r="I253" s="2063"/>
      <c r="J253" s="2063"/>
      <c r="K253" s="2064"/>
      <c r="L253" s="2033">
        <v>10000</v>
      </c>
      <c r="M253" s="2086"/>
      <c r="N253" s="2065"/>
      <c r="O253" s="1240"/>
    </row>
    <row r="254" spans="1:15" s="783" customFormat="1" ht="14.25" customHeight="1">
      <c r="A254" s="776"/>
      <c r="B254" s="777" t="s">
        <v>2929</v>
      </c>
      <c r="C254" s="2068"/>
      <c r="D254" s="2005" t="s">
        <v>3022</v>
      </c>
      <c r="E254" s="2001">
        <v>180</v>
      </c>
      <c r="F254" s="2069" t="s">
        <v>3023</v>
      </c>
      <c r="G254" s="2061"/>
      <c r="H254" s="2062"/>
      <c r="I254" s="2063"/>
      <c r="J254" s="2063"/>
      <c r="K254" s="2064"/>
      <c r="L254" s="2033">
        <v>6919.2</v>
      </c>
      <c r="M254" s="2086"/>
      <c r="N254" s="2065"/>
      <c r="O254" s="1240"/>
    </row>
    <row r="255" spans="1:15" s="783" customFormat="1" ht="14.25" customHeight="1">
      <c r="A255" s="776"/>
      <c r="B255" s="777" t="s">
        <v>2929</v>
      </c>
      <c r="C255" s="2068"/>
      <c r="D255" s="2070" t="s">
        <v>3024</v>
      </c>
      <c r="E255" s="2071">
        <v>120</v>
      </c>
      <c r="F255" s="2072" t="s">
        <v>3025</v>
      </c>
      <c r="G255" s="2061"/>
      <c r="H255" s="2062"/>
      <c r="I255" s="2063"/>
      <c r="J255" s="2063"/>
      <c r="K255" s="2064"/>
      <c r="L255" s="2033">
        <v>4200</v>
      </c>
      <c r="M255" s="2086"/>
      <c r="N255" s="2065"/>
      <c r="O255" s="1240"/>
    </row>
    <row r="256" spans="1:15" s="783" customFormat="1" ht="14.25" customHeight="1">
      <c r="A256" s="776"/>
      <c r="B256" s="777" t="s">
        <v>2929</v>
      </c>
      <c r="C256" s="2068"/>
      <c r="D256" s="2070" t="s">
        <v>3026</v>
      </c>
      <c r="E256" s="2071">
        <v>10</v>
      </c>
      <c r="F256" s="2072" t="s">
        <v>3007</v>
      </c>
      <c r="G256" s="2061"/>
      <c r="H256" s="2062"/>
      <c r="I256" s="2063"/>
      <c r="J256" s="2063"/>
      <c r="K256" s="2064"/>
      <c r="L256" s="2033">
        <v>10000</v>
      </c>
      <c r="M256" s="2086"/>
      <c r="N256" s="2065"/>
      <c r="O256" s="1240"/>
    </row>
    <row r="257" spans="1:15" s="783" customFormat="1" ht="14.25" customHeight="1">
      <c r="A257" s="776"/>
      <c r="B257" s="777" t="s">
        <v>2929</v>
      </c>
      <c r="C257" s="2068"/>
      <c r="D257" s="2070" t="s">
        <v>3027</v>
      </c>
      <c r="E257" s="2071">
        <v>20</v>
      </c>
      <c r="F257" s="2072" t="s">
        <v>3007</v>
      </c>
      <c r="G257" s="2061"/>
      <c r="H257" s="2062"/>
      <c r="I257" s="2063"/>
      <c r="J257" s="2063"/>
      <c r="K257" s="2064"/>
      <c r="L257" s="2033">
        <v>15000</v>
      </c>
      <c r="M257" s="2086"/>
      <c r="N257" s="2065"/>
      <c r="O257" s="1240"/>
    </row>
    <row r="258" spans="1:15" s="783" customFormat="1" ht="14.25" customHeight="1">
      <c r="A258" s="776"/>
      <c r="B258" s="777" t="s">
        <v>2929</v>
      </c>
      <c r="C258" s="2068"/>
      <c r="D258" s="2005" t="s">
        <v>3028</v>
      </c>
      <c r="E258" s="2001">
        <v>21</v>
      </c>
      <c r="F258" s="2069" t="s">
        <v>3023</v>
      </c>
      <c r="G258" s="2061"/>
      <c r="H258" s="2062"/>
      <c r="I258" s="2063"/>
      <c r="J258" s="2063"/>
      <c r="K258" s="2064"/>
      <c r="L258" s="2033">
        <v>456.33</v>
      </c>
      <c r="M258" s="2086"/>
      <c r="N258" s="2065"/>
      <c r="O258" s="1240"/>
    </row>
    <row r="259" spans="1:15" s="783" customFormat="1" ht="14.25" customHeight="1">
      <c r="A259" s="776"/>
      <c r="B259" s="777" t="s">
        <v>2929</v>
      </c>
      <c r="C259" s="2068"/>
      <c r="D259" s="2005" t="s">
        <v>3029</v>
      </c>
      <c r="E259" s="2001">
        <v>10</v>
      </c>
      <c r="F259" s="2069" t="s">
        <v>3023</v>
      </c>
      <c r="G259" s="2061"/>
      <c r="H259" s="2062"/>
      <c r="I259" s="2063"/>
      <c r="J259" s="2063"/>
      <c r="K259" s="2064"/>
      <c r="L259" s="2033">
        <v>1400</v>
      </c>
      <c r="M259" s="2086"/>
      <c r="N259" s="2065"/>
      <c r="O259" s="1240"/>
    </row>
    <row r="260" spans="1:15" s="783" customFormat="1" ht="14.25" customHeight="1">
      <c r="A260" s="776"/>
      <c r="B260" s="777" t="s">
        <v>2929</v>
      </c>
      <c r="C260" s="2068"/>
      <c r="D260" s="2005" t="s">
        <v>3030</v>
      </c>
      <c r="E260" s="2001">
        <v>9</v>
      </c>
      <c r="F260" s="2069" t="s">
        <v>3023</v>
      </c>
      <c r="G260" s="2061"/>
      <c r="H260" s="2062"/>
      <c r="I260" s="2063"/>
      <c r="J260" s="2063"/>
      <c r="K260" s="2064"/>
      <c r="L260" s="2033">
        <v>319.5</v>
      </c>
      <c r="M260" s="2086"/>
      <c r="N260" s="2065"/>
      <c r="O260" s="1240"/>
    </row>
    <row r="261" spans="1:15" s="783" customFormat="1" ht="14.25" customHeight="1">
      <c r="A261" s="776"/>
      <c r="B261" s="777" t="s">
        <v>2929</v>
      </c>
      <c r="C261" s="2068"/>
      <c r="D261" s="2005" t="s">
        <v>3031</v>
      </c>
      <c r="E261" s="2001">
        <v>150</v>
      </c>
      <c r="F261" s="2069" t="s">
        <v>3016</v>
      </c>
      <c r="G261" s="2061"/>
      <c r="H261" s="2062"/>
      <c r="I261" s="2063"/>
      <c r="J261" s="2063"/>
      <c r="K261" s="2064"/>
      <c r="L261" s="2033">
        <v>22500</v>
      </c>
      <c r="M261" s="2086"/>
      <c r="N261" s="2065"/>
      <c r="O261" s="1240"/>
    </row>
    <row r="262" spans="1:15" s="783" customFormat="1" ht="14.25" customHeight="1">
      <c r="A262" s="776"/>
      <c r="B262" s="777" t="s">
        <v>2929</v>
      </c>
      <c r="C262" s="2068"/>
      <c r="D262" s="2005" t="s">
        <v>3032</v>
      </c>
      <c r="E262" s="2001">
        <v>600</v>
      </c>
      <c r="F262" s="2069" t="s">
        <v>3016</v>
      </c>
      <c r="G262" s="2061"/>
      <c r="H262" s="2062"/>
      <c r="I262" s="2063"/>
      <c r="J262" s="2063"/>
      <c r="K262" s="2064"/>
      <c r="L262" s="2033">
        <v>7218</v>
      </c>
      <c r="M262" s="2086"/>
      <c r="N262" s="2065"/>
      <c r="O262" s="1240"/>
    </row>
    <row r="263" spans="1:15" s="783" customFormat="1" ht="14.25" customHeight="1">
      <c r="A263" s="776"/>
      <c r="B263" s="777" t="s">
        <v>2929</v>
      </c>
      <c r="C263" s="2068"/>
      <c r="D263" s="2005" t="s">
        <v>3033</v>
      </c>
      <c r="E263" s="2001">
        <v>400</v>
      </c>
      <c r="F263" s="2069" t="s">
        <v>3016</v>
      </c>
      <c r="G263" s="2061"/>
      <c r="H263" s="2062"/>
      <c r="I263" s="2063"/>
      <c r="J263" s="2063"/>
      <c r="K263" s="2064"/>
      <c r="L263" s="2033">
        <v>4836</v>
      </c>
      <c r="M263" s="2086"/>
      <c r="N263" s="2065"/>
      <c r="O263" s="1240"/>
    </row>
    <row r="264" spans="1:15" s="783" customFormat="1" ht="14.25" customHeight="1">
      <c r="A264" s="776"/>
      <c r="B264" s="777" t="s">
        <v>2929</v>
      </c>
      <c r="C264" s="2068"/>
      <c r="D264" s="2005" t="s">
        <v>3034</v>
      </c>
      <c r="E264" s="2001">
        <v>10</v>
      </c>
      <c r="F264" s="2069" t="s">
        <v>3016</v>
      </c>
      <c r="G264" s="2061"/>
      <c r="H264" s="2062"/>
      <c r="I264" s="2063"/>
      <c r="J264" s="2063"/>
      <c r="K264" s="2064"/>
      <c r="L264" s="2033">
        <v>12000</v>
      </c>
      <c r="M264" s="2086"/>
      <c r="N264" s="2065"/>
      <c r="O264" s="1240"/>
    </row>
    <row r="265" spans="1:15" s="783" customFormat="1" ht="14.25" customHeight="1">
      <c r="A265" s="776"/>
      <c r="B265" s="777" t="s">
        <v>2929</v>
      </c>
      <c r="C265" s="2068"/>
      <c r="D265" s="2005" t="s">
        <v>3035</v>
      </c>
      <c r="E265" s="2001">
        <v>4</v>
      </c>
      <c r="F265" s="2069" t="s">
        <v>3007</v>
      </c>
      <c r="G265" s="2061"/>
      <c r="H265" s="2062"/>
      <c r="I265" s="2063"/>
      <c r="J265" s="2063"/>
      <c r="K265" s="2064"/>
      <c r="L265" s="2033">
        <v>1400</v>
      </c>
      <c r="M265" s="2086"/>
      <c r="N265" s="2065"/>
      <c r="O265" s="1240"/>
    </row>
    <row r="266" spans="1:15" s="783" customFormat="1" ht="14.25" customHeight="1">
      <c r="A266" s="776"/>
      <c r="B266" s="777" t="s">
        <v>2929</v>
      </c>
      <c r="C266" s="2068"/>
      <c r="D266" s="2005" t="s">
        <v>3036</v>
      </c>
      <c r="E266" s="1692">
        <v>50</v>
      </c>
      <c r="F266" s="2069" t="s">
        <v>3025</v>
      </c>
      <c r="G266" s="2061"/>
      <c r="H266" s="2062"/>
      <c r="I266" s="2063"/>
      <c r="J266" s="2063"/>
      <c r="K266" s="2064"/>
      <c r="L266" s="2033">
        <v>1250</v>
      </c>
      <c r="M266" s="2086"/>
      <c r="N266" s="2065"/>
      <c r="O266" s="1240"/>
    </row>
    <row r="267" spans="1:15" s="783" customFormat="1" ht="14.25" customHeight="1">
      <c r="A267" s="776"/>
      <c r="B267" s="777" t="s">
        <v>2929</v>
      </c>
      <c r="C267" s="2068"/>
      <c r="D267" s="2005" t="s">
        <v>3037</v>
      </c>
      <c r="E267" s="2001">
        <v>80</v>
      </c>
      <c r="F267" s="2069" t="s">
        <v>3025</v>
      </c>
      <c r="G267" s="2061"/>
      <c r="H267" s="2062"/>
      <c r="I267" s="2063"/>
      <c r="J267" s="2063"/>
      <c r="K267" s="2064"/>
      <c r="L267" s="2033">
        <v>16000</v>
      </c>
      <c r="M267" s="2086"/>
      <c r="N267" s="2065"/>
      <c r="O267" s="1240"/>
    </row>
    <row r="268" spans="1:15" s="783" customFormat="1" ht="14.25" customHeight="1">
      <c r="A268" s="776"/>
      <c r="B268" s="777" t="s">
        <v>2929</v>
      </c>
      <c r="C268" s="2068"/>
      <c r="D268" s="2070" t="s">
        <v>3038</v>
      </c>
      <c r="E268" s="2071">
        <v>70</v>
      </c>
      <c r="F268" s="2072" t="s">
        <v>3025</v>
      </c>
      <c r="G268" s="2061"/>
      <c r="H268" s="2062"/>
      <c r="I268" s="2063"/>
      <c r="J268" s="2063"/>
      <c r="K268" s="2064"/>
      <c r="L268" s="2033">
        <v>16800</v>
      </c>
      <c r="M268" s="2086"/>
      <c r="N268" s="2065"/>
      <c r="O268" s="1240"/>
    </row>
    <row r="269" spans="1:15" s="783" customFormat="1" ht="14.25" customHeight="1">
      <c r="A269" s="776"/>
      <c r="B269" s="777" t="s">
        <v>2929</v>
      </c>
      <c r="C269" s="2068"/>
      <c r="D269" s="2070" t="s">
        <v>3039</v>
      </c>
      <c r="E269" s="2071">
        <v>80</v>
      </c>
      <c r="F269" s="2072" t="s">
        <v>3025</v>
      </c>
      <c r="G269" s="2061"/>
      <c r="H269" s="2062"/>
      <c r="I269" s="2063"/>
      <c r="J269" s="2063"/>
      <c r="K269" s="2064"/>
      <c r="L269" s="2033">
        <v>16000</v>
      </c>
      <c r="M269" s="2086"/>
      <c r="N269" s="2065"/>
      <c r="O269" s="1240"/>
    </row>
    <row r="270" spans="1:15" s="783" customFormat="1" ht="14.25" customHeight="1">
      <c r="A270" s="776"/>
      <c r="B270" s="777" t="s">
        <v>2929</v>
      </c>
      <c r="C270" s="2068"/>
      <c r="D270" s="2005" t="s">
        <v>3040</v>
      </c>
      <c r="E270" s="2001">
        <v>20</v>
      </c>
      <c r="F270" s="2069" t="s">
        <v>3023</v>
      </c>
      <c r="G270" s="2061"/>
      <c r="H270" s="2062"/>
      <c r="I270" s="2063"/>
      <c r="J270" s="2063"/>
      <c r="K270" s="2064"/>
      <c r="L270" s="2033">
        <v>1760</v>
      </c>
      <c r="M270" s="2086"/>
      <c r="N270" s="2065"/>
      <c r="O270" s="1240"/>
    </row>
    <row r="271" spans="1:15" s="783" customFormat="1" ht="14.25" customHeight="1">
      <c r="A271" s="776"/>
      <c r="B271" s="777" t="s">
        <v>2929</v>
      </c>
      <c r="C271" s="2068"/>
      <c r="D271" s="2005" t="s">
        <v>3041</v>
      </c>
      <c r="E271" s="2001">
        <v>100</v>
      </c>
      <c r="F271" s="2069" t="s">
        <v>3025</v>
      </c>
      <c r="G271" s="2061"/>
      <c r="H271" s="2062"/>
      <c r="I271" s="2063"/>
      <c r="J271" s="2063"/>
      <c r="K271" s="2064"/>
      <c r="L271" s="2033">
        <v>4500</v>
      </c>
      <c r="M271" s="2086"/>
      <c r="N271" s="2065"/>
      <c r="O271" s="1240"/>
    </row>
    <row r="272" spans="1:15" s="783" customFormat="1" ht="14.25" customHeight="1">
      <c r="A272" s="776"/>
      <c r="B272" s="777" t="s">
        <v>2929</v>
      </c>
      <c r="C272" s="2068"/>
      <c r="D272" s="2005" t="s">
        <v>3042</v>
      </c>
      <c r="E272" s="2001">
        <v>80</v>
      </c>
      <c r="F272" s="2069" t="s">
        <v>3007</v>
      </c>
      <c r="G272" s="2061"/>
      <c r="H272" s="2062"/>
      <c r="I272" s="2063"/>
      <c r="J272" s="2063"/>
      <c r="K272" s="2064"/>
      <c r="L272" s="2033">
        <v>3200</v>
      </c>
      <c r="M272" s="2086"/>
      <c r="N272" s="2065"/>
      <c r="O272" s="1240"/>
    </row>
    <row r="273" spans="1:15" s="783" customFormat="1" ht="14.25" customHeight="1">
      <c r="A273" s="776"/>
      <c r="B273" s="777" t="s">
        <v>2929</v>
      </c>
      <c r="C273" s="2068"/>
      <c r="D273" s="2070" t="s">
        <v>3043</v>
      </c>
      <c r="E273" s="2071">
        <v>180</v>
      </c>
      <c r="F273" s="2069" t="s">
        <v>3007</v>
      </c>
      <c r="G273" s="2061"/>
      <c r="H273" s="2062"/>
      <c r="I273" s="2063"/>
      <c r="J273" s="2063"/>
      <c r="K273" s="2064"/>
      <c r="L273" s="2033">
        <v>8499.6</v>
      </c>
      <c r="M273" s="2086"/>
      <c r="N273" s="2065"/>
      <c r="O273" s="1240"/>
    </row>
    <row r="274" spans="1:15" s="783" customFormat="1" ht="14.25" customHeight="1">
      <c r="A274" s="776"/>
      <c r="B274" s="777" t="s">
        <v>2929</v>
      </c>
      <c r="C274" s="2068"/>
      <c r="D274" s="2070" t="s">
        <v>3044</v>
      </c>
      <c r="E274" s="2071">
        <v>100</v>
      </c>
      <c r="F274" s="2069" t="s">
        <v>3016</v>
      </c>
      <c r="G274" s="2061"/>
      <c r="H274" s="2062"/>
      <c r="I274" s="2063"/>
      <c r="J274" s="2063"/>
      <c r="K274" s="2064"/>
      <c r="L274" s="2033">
        <v>3800</v>
      </c>
      <c r="M274" s="2086"/>
      <c r="N274" s="2065"/>
      <c r="O274" s="1240"/>
    </row>
    <row r="275" spans="1:15" s="783" customFormat="1" ht="14.25" customHeight="1">
      <c r="A275" s="776"/>
      <c r="B275" s="777" t="s">
        <v>2929</v>
      </c>
      <c r="C275" s="2068"/>
      <c r="D275" s="2070" t="s">
        <v>3045</v>
      </c>
      <c r="E275" s="2071">
        <v>60</v>
      </c>
      <c r="F275" s="2069" t="s">
        <v>3016</v>
      </c>
      <c r="G275" s="2061"/>
      <c r="H275" s="2062"/>
      <c r="I275" s="2063"/>
      <c r="J275" s="2063"/>
      <c r="K275" s="2064"/>
      <c r="L275" s="2033">
        <v>13200</v>
      </c>
      <c r="M275" s="2086"/>
      <c r="N275" s="2065"/>
      <c r="O275" s="1240"/>
    </row>
    <row r="276" spans="1:15" s="783" customFormat="1" ht="14.25" customHeight="1">
      <c r="A276" s="776"/>
      <c r="B276" s="777" t="s">
        <v>2929</v>
      </c>
      <c r="C276" s="2068"/>
      <c r="D276" s="2070" t="s">
        <v>3046</v>
      </c>
      <c r="E276" s="2071">
        <v>10</v>
      </c>
      <c r="F276" s="2069" t="s">
        <v>3007</v>
      </c>
      <c r="G276" s="2061"/>
      <c r="H276" s="2062"/>
      <c r="I276" s="2063"/>
      <c r="J276" s="2063"/>
      <c r="K276" s="2064"/>
      <c r="L276" s="2033">
        <v>2050</v>
      </c>
      <c r="M276" s="2086"/>
      <c r="N276" s="2065"/>
      <c r="O276" s="1240"/>
    </row>
    <row r="277" spans="1:15" s="783" customFormat="1" ht="14.25" customHeight="1">
      <c r="A277" s="776"/>
      <c r="B277" s="777" t="s">
        <v>2929</v>
      </c>
      <c r="C277" s="2068"/>
      <c r="D277" s="2070" t="s">
        <v>3047</v>
      </c>
      <c r="E277" s="2071">
        <v>30</v>
      </c>
      <c r="F277" s="2069" t="s">
        <v>3048</v>
      </c>
      <c r="G277" s="2061"/>
      <c r="H277" s="2062"/>
      <c r="I277" s="2063"/>
      <c r="J277" s="2063"/>
      <c r="K277" s="2064"/>
      <c r="L277" s="2033">
        <v>1183.2</v>
      </c>
      <c r="M277" s="2086"/>
      <c r="N277" s="2065"/>
      <c r="O277" s="1240"/>
    </row>
    <row r="278" spans="1:15" s="783" customFormat="1" ht="14.25" customHeight="1">
      <c r="A278" s="776"/>
      <c r="B278" s="777" t="s">
        <v>2929</v>
      </c>
      <c r="C278" s="2068"/>
      <c r="D278" s="2070" t="s">
        <v>3049</v>
      </c>
      <c r="E278" s="2071">
        <v>30</v>
      </c>
      <c r="F278" s="2069" t="s">
        <v>3048</v>
      </c>
      <c r="G278" s="2061"/>
      <c r="H278" s="2062"/>
      <c r="I278" s="2063"/>
      <c r="J278" s="2063"/>
      <c r="K278" s="2064"/>
      <c r="L278" s="2033">
        <v>1950</v>
      </c>
      <c r="M278" s="2086"/>
      <c r="N278" s="2065"/>
      <c r="O278" s="1240"/>
    </row>
    <row r="279" spans="1:15" s="783" customFormat="1" ht="14.25" customHeight="1">
      <c r="A279" s="776"/>
      <c r="B279" s="777" t="s">
        <v>2929</v>
      </c>
      <c r="C279" s="2068"/>
      <c r="D279" s="2070" t="s">
        <v>3050</v>
      </c>
      <c r="E279" s="2071">
        <v>38</v>
      </c>
      <c r="F279" s="2069" t="s">
        <v>3020</v>
      </c>
      <c r="G279" s="2061"/>
      <c r="H279" s="2062"/>
      <c r="I279" s="2063"/>
      <c r="J279" s="2063"/>
      <c r="K279" s="2064"/>
      <c r="L279" s="2033">
        <v>94.24</v>
      </c>
      <c r="M279" s="2086"/>
      <c r="N279" s="2065"/>
      <c r="O279" s="1240"/>
    </row>
    <row r="280" spans="1:15" s="783" customFormat="1" ht="14.25" customHeight="1">
      <c r="A280" s="776"/>
      <c r="B280" s="777" t="s">
        <v>2929</v>
      </c>
      <c r="C280" s="2068"/>
      <c r="D280" s="2070" t="s">
        <v>3051</v>
      </c>
      <c r="E280" s="2071">
        <v>10</v>
      </c>
      <c r="F280" s="2069" t="s">
        <v>3025</v>
      </c>
      <c r="G280" s="2061"/>
      <c r="H280" s="2062"/>
      <c r="I280" s="2063"/>
      <c r="J280" s="2063"/>
      <c r="K280" s="2064"/>
      <c r="L280" s="2033">
        <v>131.4</v>
      </c>
      <c r="M280" s="2086"/>
      <c r="N280" s="2065"/>
      <c r="O280" s="1240"/>
    </row>
    <row r="281" spans="1:15" s="783" customFormat="1" ht="14.25" customHeight="1">
      <c r="A281" s="776"/>
      <c r="B281" s="777" t="s">
        <v>2929</v>
      </c>
      <c r="C281" s="2068"/>
      <c r="D281" s="2070" t="s">
        <v>3052</v>
      </c>
      <c r="E281" s="2071">
        <v>50</v>
      </c>
      <c r="F281" s="2069" t="s">
        <v>3053</v>
      </c>
      <c r="G281" s="2061"/>
      <c r="H281" s="2062"/>
      <c r="I281" s="2063"/>
      <c r="J281" s="2063"/>
      <c r="K281" s="2064"/>
      <c r="L281" s="2033">
        <v>3000</v>
      </c>
      <c r="M281" s="2086"/>
      <c r="N281" s="2065"/>
      <c r="O281" s="1240"/>
    </row>
    <row r="282" spans="1:15" s="783" customFormat="1" ht="14.25" customHeight="1">
      <c r="A282" s="776"/>
      <c r="B282" s="777" t="s">
        <v>2929</v>
      </c>
      <c r="C282" s="2068"/>
      <c r="D282" s="2070" t="s">
        <v>3054</v>
      </c>
      <c r="E282" s="2071">
        <v>30</v>
      </c>
      <c r="F282" s="2069" t="s">
        <v>3023</v>
      </c>
      <c r="G282" s="2061"/>
      <c r="H282" s="2062"/>
      <c r="I282" s="2063"/>
      <c r="J282" s="2063"/>
      <c r="K282" s="2064"/>
      <c r="L282" s="2033">
        <v>3600</v>
      </c>
      <c r="M282" s="2086"/>
      <c r="N282" s="2065"/>
      <c r="O282" s="1240"/>
    </row>
    <row r="283" spans="1:15" s="783" customFormat="1" ht="14.25" customHeight="1">
      <c r="A283" s="776"/>
      <c r="B283" s="777" t="s">
        <v>2929</v>
      </c>
      <c r="C283" s="2068"/>
      <c r="D283" s="2070" t="s">
        <v>3055</v>
      </c>
      <c r="E283" s="2071">
        <v>40</v>
      </c>
      <c r="F283" s="2069" t="s">
        <v>3023</v>
      </c>
      <c r="G283" s="2061"/>
      <c r="H283" s="2062"/>
      <c r="I283" s="2063"/>
      <c r="J283" s="2063"/>
      <c r="K283" s="2064"/>
      <c r="L283" s="2033">
        <v>11400</v>
      </c>
      <c r="M283" s="2086"/>
      <c r="N283" s="2065"/>
      <c r="O283" s="1240"/>
    </row>
    <row r="284" spans="1:15" s="783" customFormat="1" ht="14.25" customHeight="1">
      <c r="A284" s="776"/>
      <c r="B284" s="777" t="s">
        <v>2929</v>
      </c>
      <c r="C284" s="2068"/>
      <c r="D284" s="2070" t="s">
        <v>3056</v>
      </c>
      <c r="E284" s="2071">
        <v>100</v>
      </c>
      <c r="F284" s="2069" t="s">
        <v>3023</v>
      </c>
      <c r="G284" s="2061"/>
      <c r="H284" s="2062"/>
      <c r="I284" s="2063"/>
      <c r="J284" s="2063"/>
      <c r="K284" s="2064"/>
      <c r="L284" s="2033">
        <v>2750</v>
      </c>
      <c r="M284" s="2086"/>
      <c r="N284" s="2065"/>
      <c r="O284" s="1240"/>
    </row>
    <row r="285" spans="1:15" s="783" customFormat="1" ht="14.25" customHeight="1">
      <c r="A285" s="776"/>
      <c r="B285" s="777" t="s">
        <v>2929</v>
      </c>
      <c r="C285" s="2068"/>
      <c r="D285" s="2070" t="s">
        <v>3057</v>
      </c>
      <c r="E285" s="2071">
        <v>100</v>
      </c>
      <c r="F285" s="2069" t="s">
        <v>3023</v>
      </c>
      <c r="G285" s="2061"/>
      <c r="H285" s="2062"/>
      <c r="I285" s="2063"/>
      <c r="J285" s="2063"/>
      <c r="K285" s="2064"/>
      <c r="L285" s="2033">
        <v>5000</v>
      </c>
      <c r="M285" s="2086"/>
      <c r="N285" s="2065"/>
      <c r="O285" s="1240"/>
    </row>
    <row r="286" spans="1:15" s="783" customFormat="1" ht="14.25" customHeight="1">
      <c r="A286" s="776"/>
      <c r="B286" s="777" t="s">
        <v>2929</v>
      </c>
      <c r="C286" s="2068"/>
      <c r="D286" s="2070" t="s">
        <v>3058</v>
      </c>
      <c r="E286" s="2071">
        <v>22</v>
      </c>
      <c r="F286" s="2069" t="s">
        <v>3007</v>
      </c>
      <c r="G286" s="2061"/>
      <c r="H286" s="2062"/>
      <c r="I286" s="2063"/>
      <c r="J286" s="2063"/>
      <c r="K286" s="2064"/>
      <c r="L286" s="2033">
        <v>897.6</v>
      </c>
      <c r="M286" s="2086"/>
      <c r="N286" s="2065"/>
      <c r="O286" s="1240"/>
    </row>
    <row r="287" spans="1:15" s="783" customFormat="1" ht="14.25" customHeight="1">
      <c r="A287" s="776"/>
      <c r="B287" s="777" t="s">
        <v>2929</v>
      </c>
      <c r="C287" s="2068"/>
      <c r="D287" s="2070" t="s">
        <v>3059</v>
      </c>
      <c r="E287" s="2071">
        <v>150</v>
      </c>
      <c r="F287" s="2069" t="s">
        <v>3023</v>
      </c>
      <c r="G287" s="2061"/>
      <c r="H287" s="2062"/>
      <c r="I287" s="2063"/>
      <c r="J287" s="2063"/>
      <c r="K287" s="2064"/>
      <c r="L287" s="2033">
        <v>6225</v>
      </c>
      <c r="M287" s="2086"/>
      <c r="N287" s="2065"/>
      <c r="O287" s="1240"/>
    </row>
    <row r="288" spans="1:15" s="783" customFormat="1" ht="14.25" customHeight="1">
      <c r="A288" s="776"/>
      <c r="B288" s="777" t="s">
        <v>2929</v>
      </c>
      <c r="C288" s="2068"/>
      <c r="D288" s="2070" t="s">
        <v>3060</v>
      </c>
      <c r="E288" s="2071">
        <v>53</v>
      </c>
      <c r="F288" s="2069" t="s">
        <v>3007</v>
      </c>
      <c r="G288" s="2061"/>
      <c r="H288" s="2062"/>
      <c r="I288" s="2063"/>
      <c r="J288" s="2063"/>
      <c r="K288" s="2064"/>
      <c r="L288" s="2033">
        <v>191.33</v>
      </c>
      <c r="M288" s="2086"/>
      <c r="N288" s="2065"/>
      <c r="O288" s="1240"/>
    </row>
    <row r="289" spans="1:15" s="783" customFormat="1" ht="14.25" customHeight="1">
      <c r="A289" s="776"/>
      <c r="B289" s="777" t="s">
        <v>2929</v>
      </c>
      <c r="C289" s="2068"/>
      <c r="D289" s="2070" t="s">
        <v>3061</v>
      </c>
      <c r="E289" s="2071">
        <v>300</v>
      </c>
      <c r="F289" s="2069" t="s">
        <v>3016</v>
      </c>
      <c r="G289" s="2061"/>
      <c r="H289" s="2062"/>
      <c r="I289" s="2063"/>
      <c r="J289" s="2063"/>
      <c r="K289" s="2064"/>
      <c r="L289" s="2033">
        <v>5895</v>
      </c>
      <c r="M289" s="2086"/>
      <c r="N289" s="2065"/>
      <c r="O289" s="1240"/>
    </row>
    <row r="290" spans="1:15" s="783" customFormat="1" ht="14.25" customHeight="1">
      <c r="A290" s="776"/>
      <c r="B290" s="777" t="s">
        <v>2929</v>
      </c>
      <c r="C290" s="2068"/>
      <c r="D290" s="2070" t="s">
        <v>3062</v>
      </c>
      <c r="E290" s="2071">
        <v>20</v>
      </c>
      <c r="F290" s="2069" t="s">
        <v>3023</v>
      </c>
      <c r="G290" s="2061"/>
      <c r="H290" s="2062"/>
      <c r="I290" s="2063"/>
      <c r="J290" s="2063"/>
      <c r="K290" s="2064"/>
      <c r="L290" s="2033">
        <v>3000</v>
      </c>
      <c r="M290" s="2086"/>
      <c r="N290" s="2065"/>
      <c r="O290" s="1240"/>
    </row>
    <row r="291" spans="1:15" s="783" customFormat="1" ht="14.25" customHeight="1">
      <c r="A291" s="776"/>
      <c r="B291" s="777" t="s">
        <v>2929</v>
      </c>
      <c r="C291" s="2068"/>
      <c r="D291" s="2070" t="s">
        <v>3063</v>
      </c>
      <c r="E291" s="2071">
        <v>100</v>
      </c>
      <c r="F291" s="2069" t="s">
        <v>3064</v>
      </c>
      <c r="G291" s="2061"/>
      <c r="H291" s="2062"/>
      <c r="I291" s="2063"/>
      <c r="J291" s="2063"/>
      <c r="K291" s="2064"/>
      <c r="L291" s="2033">
        <v>2100</v>
      </c>
      <c r="M291" s="2086"/>
      <c r="N291" s="2065"/>
      <c r="O291" s="1240"/>
    </row>
    <row r="292" spans="1:15" s="783" customFormat="1" ht="14.25" customHeight="1">
      <c r="A292" s="776"/>
      <c r="B292" s="777" t="s">
        <v>2929</v>
      </c>
      <c r="C292" s="2068"/>
      <c r="D292" s="2070" t="s">
        <v>3065</v>
      </c>
      <c r="E292" s="2071">
        <v>400</v>
      </c>
      <c r="F292" s="2069" t="s">
        <v>3016</v>
      </c>
      <c r="G292" s="2061"/>
      <c r="H292" s="2062"/>
      <c r="I292" s="2063"/>
      <c r="J292" s="2063"/>
      <c r="K292" s="2064"/>
      <c r="L292" s="2033">
        <v>6000</v>
      </c>
      <c r="M292" s="2086"/>
      <c r="N292" s="2065"/>
      <c r="O292" s="1240"/>
    </row>
    <row r="293" spans="1:15" s="783" customFormat="1" ht="14.25" customHeight="1">
      <c r="A293" s="776"/>
      <c r="B293" s="777" t="s">
        <v>2929</v>
      </c>
      <c r="C293" s="2068"/>
      <c r="D293" s="2070" t="s">
        <v>3066</v>
      </c>
      <c r="E293" s="2071">
        <v>50</v>
      </c>
      <c r="F293" s="2069" t="s">
        <v>3023</v>
      </c>
      <c r="G293" s="2061"/>
      <c r="H293" s="2062"/>
      <c r="I293" s="2063"/>
      <c r="J293" s="2063"/>
      <c r="K293" s="2064"/>
      <c r="L293" s="2033">
        <v>6250</v>
      </c>
      <c r="M293" s="2086"/>
      <c r="N293" s="2065"/>
      <c r="O293" s="1240"/>
    </row>
    <row r="294" spans="1:15" s="783" customFormat="1" ht="14.25" customHeight="1">
      <c r="A294" s="776"/>
      <c r="B294" s="777" t="s">
        <v>2929</v>
      </c>
      <c r="C294" s="2068"/>
      <c r="D294" s="2070" t="s">
        <v>3067</v>
      </c>
      <c r="E294" s="2071">
        <v>50</v>
      </c>
      <c r="F294" s="2069" t="s">
        <v>3023</v>
      </c>
      <c r="G294" s="2061"/>
      <c r="H294" s="2062"/>
      <c r="I294" s="2063"/>
      <c r="J294" s="2063"/>
      <c r="K294" s="2064"/>
      <c r="L294" s="2033">
        <v>6500</v>
      </c>
      <c r="M294" s="2086"/>
      <c r="N294" s="2065"/>
      <c r="O294" s="1240"/>
    </row>
    <row r="295" spans="1:15" s="783" customFormat="1" ht="14.25" customHeight="1">
      <c r="A295" s="776"/>
      <c r="B295" s="777" t="s">
        <v>2929</v>
      </c>
      <c r="C295" s="2068"/>
      <c r="D295" s="2070" t="s">
        <v>3068</v>
      </c>
      <c r="E295" s="2071">
        <v>20</v>
      </c>
      <c r="F295" s="2069" t="s">
        <v>3007</v>
      </c>
      <c r="G295" s="2061"/>
      <c r="H295" s="2062"/>
      <c r="I295" s="2063"/>
      <c r="J295" s="2063"/>
      <c r="K295" s="2064"/>
      <c r="L295" s="2033">
        <v>7200</v>
      </c>
      <c r="M295" s="2086"/>
      <c r="N295" s="2065"/>
      <c r="O295" s="1240"/>
    </row>
    <row r="296" spans="1:15" s="783" customFormat="1" ht="14.25" customHeight="1">
      <c r="A296" s="776"/>
      <c r="B296" s="777" t="s">
        <v>2929</v>
      </c>
      <c r="C296" s="2068"/>
      <c r="D296" s="2070" t="s">
        <v>3069</v>
      </c>
      <c r="E296" s="2071">
        <v>500</v>
      </c>
      <c r="F296" s="2069" t="s">
        <v>3016</v>
      </c>
      <c r="G296" s="2061"/>
      <c r="H296" s="2062"/>
      <c r="I296" s="2063"/>
      <c r="J296" s="2063"/>
      <c r="K296" s="2064"/>
      <c r="L296" s="2033">
        <v>9445</v>
      </c>
      <c r="M296" s="2086"/>
      <c r="N296" s="2065"/>
      <c r="O296" s="1240"/>
    </row>
    <row r="297" spans="1:15" s="783" customFormat="1" ht="14.25" customHeight="1">
      <c r="A297" s="776"/>
      <c r="B297" s="777" t="s">
        <v>2929</v>
      </c>
      <c r="C297" s="2068"/>
      <c r="D297" s="2070" t="s">
        <v>3070</v>
      </c>
      <c r="E297" s="2071">
        <v>10</v>
      </c>
      <c r="F297" s="2069" t="s">
        <v>3007</v>
      </c>
      <c r="G297" s="2061"/>
      <c r="H297" s="2062"/>
      <c r="I297" s="2063"/>
      <c r="J297" s="2063"/>
      <c r="K297" s="2064"/>
      <c r="L297" s="2033">
        <v>6300</v>
      </c>
      <c r="M297" s="2086"/>
      <c r="N297" s="2065"/>
      <c r="O297" s="1240"/>
    </row>
    <row r="298" spans="1:15" s="783" customFormat="1" ht="14.25" customHeight="1">
      <c r="A298" s="776"/>
      <c r="B298" s="777" t="s">
        <v>2929</v>
      </c>
      <c r="C298" s="2068"/>
      <c r="D298" s="2070" t="s">
        <v>2293</v>
      </c>
      <c r="E298" s="2071">
        <v>50</v>
      </c>
      <c r="F298" s="2069" t="s">
        <v>3007</v>
      </c>
      <c r="G298" s="2061"/>
      <c r="H298" s="2062"/>
      <c r="I298" s="2063"/>
      <c r="J298" s="2063"/>
      <c r="K298" s="2064"/>
      <c r="L298" s="2033">
        <v>5000</v>
      </c>
      <c r="M298" s="2086"/>
      <c r="N298" s="2065"/>
      <c r="O298" s="1240"/>
    </row>
    <row r="299" spans="1:15" s="783" customFormat="1" ht="14.25" customHeight="1">
      <c r="A299" s="776"/>
      <c r="B299" s="777" t="s">
        <v>2929</v>
      </c>
      <c r="C299" s="2068"/>
      <c r="D299" s="2070" t="s">
        <v>3071</v>
      </c>
      <c r="E299" s="2071">
        <v>100</v>
      </c>
      <c r="F299" s="2069" t="s">
        <v>3023</v>
      </c>
      <c r="G299" s="2061"/>
      <c r="H299" s="2062"/>
      <c r="I299" s="2063"/>
      <c r="J299" s="2063"/>
      <c r="K299" s="2064"/>
      <c r="L299" s="2033">
        <v>3667</v>
      </c>
      <c r="M299" s="2086"/>
      <c r="N299" s="2065"/>
      <c r="O299" s="1240"/>
    </row>
    <row r="300" spans="1:15" s="783" customFormat="1" ht="14.25" customHeight="1">
      <c r="A300" s="776"/>
      <c r="B300" s="777" t="s">
        <v>2929</v>
      </c>
      <c r="C300" s="2068"/>
      <c r="D300" s="2070" t="s">
        <v>3072</v>
      </c>
      <c r="E300" s="2071">
        <v>150</v>
      </c>
      <c r="F300" s="2069" t="s">
        <v>3023</v>
      </c>
      <c r="G300" s="2061"/>
      <c r="H300" s="2062"/>
      <c r="I300" s="2063"/>
      <c r="J300" s="2063"/>
      <c r="K300" s="2064"/>
      <c r="L300" s="2033">
        <v>8100</v>
      </c>
      <c r="M300" s="2086"/>
      <c r="N300" s="2065"/>
      <c r="O300" s="1240"/>
    </row>
    <row r="301" spans="1:15" s="783" customFormat="1" ht="14.25" customHeight="1">
      <c r="A301" s="776"/>
      <c r="B301" s="777" t="s">
        <v>2929</v>
      </c>
      <c r="C301" s="2068"/>
      <c r="D301" s="2070" t="s">
        <v>3073</v>
      </c>
      <c r="E301" s="2071">
        <v>50</v>
      </c>
      <c r="F301" s="2069" t="s">
        <v>3016</v>
      </c>
      <c r="G301" s="2061"/>
      <c r="H301" s="2062"/>
      <c r="I301" s="2063"/>
      <c r="J301" s="2063"/>
      <c r="K301" s="2064"/>
      <c r="L301" s="2033">
        <v>2116</v>
      </c>
      <c r="M301" s="2086"/>
      <c r="N301" s="2065"/>
      <c r="O301" s="1240"/>
    </row>
    <row r="302" spans="1:15" s="783" customFormat="1" ht="14.25" customHeight="1">
      <c r="A302" s="776"/>
      <c r="B302" s="777" t="s">
        <v>2929</v>
      </c>
      <c r="C302" s="2068"/>
      <c r="D302" s="2070" t="s">
        <v>3074</v>
      </c>
      <c r="E302" s="2071">
        <v>2</v>
      </c>
      <c r="F302" s="2069" t="s">
        <v>3007</v>
      </c>
      <c r="G302" s="2061"/>
      <c r="H302" s="2062"/>
      <c r="I302" s="2063"/>
      <c r="J302" s="2063"/>
      <c r="K302" s="2064"/>
      <c r="L302" s="2033">
        <v>400</v>
      </c>
      <c r="M302" s="2086"/>
      <c r="N302" s="2065"/>
      <c r="O302" s="1240"/>
    </row>
    <row r="303" spans="1:15" s="783" customFormat="1" ht="14.25" customHeight="1">
      <c r="A303" s="776"/>
      <c r="B303" s="777" t="s">
        <v>2929</v>
      </c>
      <c r="C303" s="2068"/>
      <c r="D303" s="2070" t="s">
        <v>3075</v>
      </c>
      <c r="E303" s="2071">
        <v>15</v>
      </c>
      <c r="F303" s="2069" t="s">
        <v>3016</v>
      </c>
      <c r="G303" s="2061"/>
      <c r="H303" s="2062"/>
      <c r="I303" s="2063"/>
      <c r="J303" s="2063"/>
      <c r="K303" s="2064"/>
      <c r="L303" s="2033">
        <v>6000</v>
      </c>
      <c r="M303" s="2086"/>
      <c r="N303" s="2065"/>
      <c r="O303" s="1240"/>
    </row>
    <row r="304" spans="1:15" s="783" customFormat="1" ht="14.25" customHeight="1">
      <c r="A304" s="776"/>
      <c r="B304" s="777" t="s">
        <v>2929</v>
      </c>
      <c r="C304" s="2068"/>
      <c r="D304" s="2070" t="s">
        <v>3076</v>
      </c>
      <c r="E304" s="2071">
        <v>5</v>
      </c>
      <c r="F304" s="2069" t="s">
        <v>3007</v>
      </c>
      <c r="G304" s="2061"/>
      <c r="H304" s="2062"/>
      <c r="I304" s="2063"/>
      <c r="J304" s="2063"/>
      <c r="K304" s="2064"/>
      <c r="L304" s="2033">
        <v>3000</v>
      </c>
      <c r="M304" s="2086"/>
      <c r="N304" s="2065"/>
      <c r="O304" s="1240"/>
    </row>
    <row r="305" spans="1:15" s="783" customFormat="1" ht="14.25" customHeight="1">
      <c r="A305" s="776"/>
      <c r="B305" s="777" t="s">
        <v>2929</v>
      </c>
      <c r="C305" s="2068"/>
      <c r="D305" s="2070" t="s">
        <v>3077</v>
      </c>
      <c r="E305" s="2071">
        <v>50</v>
      </c>
      <c r="F305" s="2069" t="s">
        <v>3025</v>
      </c>
      <c r="G305" s="2061"/>
      <c r="H305" s="2062"/>
      <c r="I305" s="2063"/>
      <c r="J305" s="2063"/>
      <c r="K305" s="2064"/>
      <c r="L305" s="2033">
        <v>1750</v>
      </c>
      <c r="M305" s="2086"/>
      <c r="N305" s="2065"/>
      <c r="O305" s="1240"/>
    </row>
    <row r="306" spans="1:15" s="783" customFormat="1" ht="14.25" customHeight="1">
      <c r="A306" s="776"/>
      <c r="B306" s="777" t="s">
        <v>2929</v>
      </c>
      <c r="C306" s="2068"/>
      <c r="D306" s="2070" t="s">
        <v>3078</v>
      </c>
      <c r="E306" s="2071">
        <v>30</v>
      </c>
      <c r="F306" s="2069" t="s">
        <v>3023</v>
      </c>
      <c r="G306" s="2061"/>
      <c r="H306" s="2062"/>
      <c r="I306" s="2063"/>
      <c r="J306" s="2063"/>
      <c r="K306" s="2064"/>
      <c r="L306" s="2033">
        <v>3600</v>
      </c>
      <c r="M306" s="2086"/>
      <c r="N306" s="2065"/>
      <c r="O306" s="1240"/>
    </row>
    <row r="307" spans="1:15" s="783" customFormat="1" ht="14.25" customHeight="1">
      <c r="A307" s="776"/>
      <c r="B307" s="777" t="s">
        <v>2929</v>
      </c>
      <c r="C307" s="2068"/>
      <c r="D307" s="2070" t="s">
        <v>3079</v>
      </c>
      <c r="E307" s="2071">
        <v>10</v>
      </c>
      <c r="F307" s="2069" t="s">
        <v>3007</v>
      </c>
      <c r="G307" s="2061"/>
      <c r="H307" s="2062"/>
      <c r="I307" s="2063"/>
      <c r="J307" s="2063"/>
      <c r="K307" s="2064"/>
      <c r="L307" s="2033">
        <v>3000</v>
      </c>
      <c r="M307" s="2086"/>
      <c r="N307" s="2065"/>
      <c r="O307" s="1240"/>
    </row>
    <row r="308" spans="1:15" s="783" customFormat="1" ht="14.25" customHeight="1">
      <c r="A308" s="776"/>
      <c r="B308" s="777" t="s">
        <v>2929</v>
      </c>
      <c r="C308" s="2068"/>
      <c r="D308" s="2070" t="s">
        <v>3080</v>
      </c>
      <c r="E308" s="2071">
        <v>20</v>
      </c>
      <c r="F308" s="2069" t="s">
        <v>3023</v>
      </c>
      <c r="G308" s="2061"/>
      <c r="H308" s="2062"/>
      <c r="I308" s="2063"/>
      <c r="J308" s="2063"/>
      <c r="K308" s="2064"/>
      <c r="L308" s="2033">
        <v>2530</v>
      </c>
      <c r="M308" s="2086"/>
      <c r="N308" s="2065"/>
      <c r="O308" s="1240"/>
    </row>
    <row r="309" spans="1:15" s="783" customFormat="1" ht="14.25" customHeight="1">
      <c r="A309" s="776"/>
      <c r="B309" s="777" t="s">
        <v>2929</v>
      </c>
      <c r="C309" s="2068"/>
      <c r="D309" s="2070" t="s">
        <v>3081</v>
      </c>
      <c r="E309" s="2071">
        <v>20</v>
      </c>
      <c r="F309" s="2069" t="s">
        <v>3020</v>
      </c>
      <c r="G309" s="2061"/>
      <c r="H309" s="2062"/>
      <c r="I309" s="2063"/>
      <c r="J309" s="2063"/>
      <c r="K309" s="2064"/>
      <c r="L309" s="2033">
        <v>7600</v>
      </c>
      <c r="M309" s="2086"/>
      <c r="N309" s="2065"/>
      <c r="O309" s="1240"/>
    </row>
    <row r="310" spans="1:15" s="783" customFormat="1" ht="14.25" customHeight="1">
      <c r="A310" s="776"/>
      <c r="B310" s="777" t="s">
        <v>2929</v>
      </c>
      <c r="C310" s="2068"/>
      <c r="D310" s="2070" t="s">
        <v>3082</v>
      </c>
      <c r="E310" s="2071">
        <v>10</v>
      </c>
      <c r="F310" s="2069" t="s">
        <v>3007</v>
      </c>
      <c r="G310" s="2061"/>
      <c r="H310" s="2062"/>
      <c r="I310" s="2063"/>
      <c r="J310" s="2063"/>
      <c r="K310" s="2064"/>
      <c r="L310" s="2033">
        <v>6000</v>
      </c>
      <c r="M310" s="2086"/>
      <c r="N310" s="2065"/>
      <c r="O310" s="1240"/>
    </row>
    <row r="311" spans="1:15" s="783" customFormat="1" ht="14.25" customHeight="1">
      <c r="A311" s="776"/>
      <c r="B311" s="777" t="s">
        <v>2929</v>
      </c>
      <c r="C311" s="2068"/>
      <c r="D311" s="2070" t="s">
        <v>3083</v>
      </c>
      <c r="E311" s="2071">
        <v>10</v>
      </c>
      <c r="F311" s="2069" t="s">
        <v>3023</v>
      </c>
      <c r="G311" s="2061"/>
      <c r="H311" s="2062"/>
      <c r="I311" s="2063"/>
      <c r="J311" s="2063"/>
      <c r="K311" s="2064"/>
      <c r="L311" s="2033">
        <v>1645</v>
      </c>
      <c r="M311" s="2086"/>
      <c r="N311" s="2065"/>
      <c r="O311" s="1240"/>
    </row>
    <row r="312" spans="1:15" s="783" customFormat="1" ht="14.25" customHeight="1">
      <c r="A312" s="776"/>
      <c r="B312" s="777" t="s">
        <v>2929</v>
      </c>
      <c r="C312" s="2068"/>
      <c r="D312" s="2070" t="s">
        <v>3084</v>
      </c>
      <c r="E312" s="2071">
        <v>10</v>
      </c>
      <c r="F312" s="2069" t="s">
        <v>3023</v>
      </c>
      <c r="G312" s="2061"/>
      <c r="H312" s="2062"/>
      <c r="I312" s="2063"/>
      <c r="J312" s="2063"/>
      <c r="K312" s="2064"/>
      <c r="L312" s="2033">
        <v>4064.3</v>
      </c>
      <c r="M312" s="2086"/>
      <c r="N312" s="2065"/>
      <c r="O312" s="1240"/>
    </row>
    <row r="313" spans="1:15" s="783" customFormat="1" ht="14.25" customHeight="1">
      <c r="A313" s="776"/>
      <c r="B313" s="777" t="s">
        <v>2929</v>
      </c>
      <c r="C313" s="2068"/>
      <c r="D313" s="2070" t="s">
        <v>3085</v>
      </c>
      <c r="E313" s="2071">
        <v>100</v>
      </c>
      <c r="F313" s="2069" t="s">
        <v>3064</v>
      </c>
      <c r="G313" s="2061"/>
      <c r="H313" s="2062"/>
      <c r="I313" s="2063"/>
      <c r="J313" s="2063"/>
      <c r="K313" s="2064"/>
      <c r="L313" s="2033">
        <v>1495</v>
      </c>
      <c r="M313" s="2086"/>
      <c r="N313" s="2065"/>
      <c r="O313" s="1240"/>
    </row>
    <row r="314" spans="1:15" s="783" customFormat="1" ht="14.25" customHeight="1">
      <c r="A314" s="776"/>
      <c r="B314" s="777" t="s">
        <v>2929</v>
      </c>
      <c r="C314" s="2068"/>
      <c r="D314" s="2070" t="s">
        <v>3086</v>
      </c>
      <c r="E314" s="2071">
        <v>4</v>
      </c>
      <c r="F314" s="2069" t="s">
        <v>3007</v>
      </c>
      <c r="G314" s="2061"/>
      <c r="H314" s="2062"/>
      <c r="I314" s="2063"/>
      <c r="J314" s="2063"/>
      <c r="K314" s="2064"/>
      <c r="L314" s="2033">
        <v>1120</v>
      </c>
      <c r="M314" s="2086"/>
      <c r="N314" s="2065"/>
      <c r="O314" s="1240"/>
    </row>
    <row r="315" spans="1:15" s="783" customFormat="1" ht="14.25" customHeight="1">
      <c r="A315" s="776"/>
      <c r="B315" s="777" t="s">
        <v>2929</v>
      </c>
      <c r="C315" s="2068"/>
      <c r="D315" s="2070" t="s">
        <v>3087</v>
      </c>
      <c r="E315" s="2071">
        <v>5</v>
      </c>
      <c r="F315" s="2069" t="s">
        <v>3007</v>
      </c>
      <c r="G315" s="2061"/>
      <c r="H315" s="2062"/>
      <c r="I315" s="2063"/>
      <c r="J315" s="2063"/>
      <c r="K315" s="2064"/>
      <c r="L315" s="2033">
        <v>1600</v>
      </c>
      <c r="M315" s="2086"/>
      <c r="N315" s="2065"/>
      <c r="O315" s="1240"/>
    </row>
    <row r="316" spans="1:15" s="783" customFormat="1" ht="14.25" customHeight="1">
      <c r="A316" s="776"/>
      <c r="B316" s="777" t="s">
        <v>2929</v>
      </c>
      <c r="C316" s="2068"/>
      <c r="D316" s="2070" t="s">
        <v>3088</v>
      </c>
      <c r="E316" s="2071">
        <v>50</v>
      </c>
      <c r="F316" s="2069" t="s">
        <v>3023</v>
      </c>
      <c r="G316" s="2061"/>
      <c r="H316" s="2062"/>
      <c r="I316" s="2063"/>
      <c r="J316" s="2063"/>
      <c r="K316" s="2064"/>
      <c r="L316" s="2033">
        <v>3000</v>
      </c>
      <c r="M316" s="2086"/>
      <c r="N316" s="2065"/>
      <c r="O316" s="1240"/>
    </row>
    <row r="317" spans="1:15" s="783" customFormat="1" ht="14.25" customHeight="1">
      <c r="A317" s="776"/>
      <c r="B317" s="777" t="s">
        <v>2929</v>
      </c>
      <c r="C317" s="2068"/>
      <c r="D317" s="2070" t="s">
        <v>3089</v>
      </c>
      <c r="E317" s="2071">
        <v>10</v>
      </c>
      <c r="F317" s="2069" t="s">
        <v>3007</v>
      </c>
      <c r="G317" s="2061"/>
      <c r="H317" s="2062"/>
      <c r="I317" s="2063"/>
      <c r="J317" s="2063"/>
      <c r="K317" s="2064"/>
      <c r="L317" s="2033">
        <v>2850</v>
      </c>
      <c r="M317" s="2086"/>
      <c r="N317" s="2065"/>
      <c r="O317" s="1240"/>
    </row>
    <row r="318" spans="1:15" s="783" customFormat="1" ht="14.25" customHeight="1">
      <c r="A318" s="776"/>
      <c r="B318" s="777" t="s">
        <v>2929</v>
      </c>
      <c r="C318" s="2068"/>
      <c r="D318" s="2070" t="s">
        <v>3090</v>
      </c>
      <c r="E318" s="2071">
        <v>150</v>
      </c>
      <c r="F318" s="2069" t="s">
        <v>3023</v>
      </c>
      <c r="G318" s="2061"/>
      <c r="H318" s="2062"/>
      <c r="I318" s="2063"/>
      <c r="J318" s="2063"/>
      <c r="K318" s="2064"/>
      <c r="L318" s="2033">
        <v>6000</v>
      </c>
      <c r="M318" s="2086"/>
      <c r="N318" s="2065"/>
      <c r="O318" s="1240"/>
    </row>
    <row r="319" spans="1:15" s="783" customFormat="1" ht="14.25" customHeight="1">
      <c r="A319" s="776"/>
      <c r="B319" s="777" t="s">
        <v>2929</v>
      </c>
      <c r="C319" s="2068"/>
      <c r="D319" s="2070" t="s">
        <v>3091</v>
      </c>
      <c r="E319" s="2071">
        <v>15</v>
      </c>
      <c r="F319" s="2069" t="s">
        <v>3092</v>
      </c>
      <c r="G319" s="2061"/>
      <c r="H319" s="2062"/>
      <c r="I319" s="2063"/>
      <c r="J319" s="2063"/>
      <c r="K319" s="2064"/>
      <c r="L319" s="2033">
        <v>6750</v>
      </c>
      <c r="M319" s="2086"/>
      <c r="N319" s="2065"/>
      <c r="O319" s="1240"/>
    </row>
    <row r="320" spans="1:15" s="783" customFormat="1" ht="14.25" customHeight="1">
      <c r="A320" s="776"/>
      <c r="B320" s="777" t="s">
        <v>2929</v>
      </c>
      <c r="C320" s="2068"/>
      <c r="D320" s="2070" t="s">
        <v>3093</v>
      </c>
      <c r="E320" s="2071">
        <v>30</v>
      </c>
      <c r="F320" s="2069" t="s">
        <v>3023</v>
      </c>
      <c r="G320" s="2061"/>
      <c r="H320" s="2062"/>
      <c r="I320" s="2063"/>
      <c r="J320" s="2063"/>
      <c r="K320" s="2064"/>
      <c r="L320" s="2033">
        <v>7800</v>
      </c>
      <c r="M320" s="2086"/>
      <c r="N320" s="2065"/>
      <c r="O320" s="1240"/>
    </row>
    <row r="321" spans="1:15" s="783" customFormat="1" ht="14.25" customHeight="1">
      <c r="A321" s="776"/>
      <c r="B321" s="777" t="s">
        <v>2929</v>
      </c>
      <c r="C321" s="2068"/>
      <c r="D321" s="2070" t="s">
        <v>3094</v>
      </c>
      <c r="E321" s="2071">
        <v>20</v>
      </c>
      <c r="F321" s="2069" t="s">
        <v>3023</v>
      </c>
      <c r="G321" s="2061"/>
      <c r="H321" s="2062"/>
      <c r="I321" s="2063"/>
      <c r="J321" s="2063"/>
      <c r="K321" s="2064"/>
      <c r="L321" s="2033">
        <v>5500</v>
      </c>
      <c r="M321" s="2086"/>
      <c r="N321" s="2065"/>
      <c r="O321" s="1240"/>
    </row>
    <row r="322" spans="1:15" s="783" customFormat="1" ht="14.25" customHeight="1">
      <c r="A322" s="776"/>
      <c r="B322" s="777" t="s">
        <v>2929</v>
      </c>
      <c r="C322" s="2068"/>
      <c r="D322" s="2070" t="s">
        <v>3095</v>
      </c>
      <c r="E322" s="2071">
        <v>10</v>
      </c>
      <c r="F322" s="2069" t="s">
        <v>3092</v>
      </c>
      <c r="G322" s="2061"/>
      <c r="H322" s="2062"/>
      <c r="I322" s="2063"/>
      <c r="J322" s="2063"/>
      <c r="K322" s="2064"/>
      <c r="L322" s="2033">
        <v>4000</v>
      </c>
      <c r="M322" s="2086"/>
      <c r="N322" s="2065"/>
      <c r="O322" s="1240"/>
    </row>
    <row r="323" spans="1:15" s="783" customFormat="1" ht="14.25" customHeight="1">
      <c r="A323" s="776"/>
      <c r="B323" s="777" t="s">
        <v>2929</v>
      </c>
      <c r="C323" s="2068"/>
      <c r="D323" s="2070" t="s">
        <v>3096</v>
      </c>
      <c r="E323" s="2071">
        <v>11</v>
      </c>
      <c r="F323" s="2069" t="s">
        <v>3023</v>
      </c>
      <c r="G323" s="2061"/>
      <c r="H323" s="2062"/>
      <c r="I323" s="2063"/>
      <c r="J323" s="2063"/>
      <c r="K323" s="2064"/>
      <c r="L323" s="2033">
        <v>3795</v>
      </c>
      <c r="M323" s="2086"/>
      <c r="N323" s="2065"/>
      <c r="O323" s="1240"/>
    </row>
    <row r="324" spans="1:15" s="783" customFormat="1" ht="14.25" customHeight="1">
      <c r="A324" s="776"/>
      <c r="B324" s="777" t="s">
        <v>2929</v>
      </c>
      <c r="C324" s="2068"/>
      <c r="D324" s="2070" t="s">
        <v>3097</v>
      </c>
      <c r="E324" s="2071">
        <v>30</v>
      </c>
      <c r="F324" s="2069" t="s">
        <v>3007</v>
      </c>
      <c r="G324" s="2061"/>
      <c r="H324" s="2062"/>
      <c r="I324" s="2063"/>
      <c r="J324" s="2063"/>
      <c r="K324" s="2064"/>
      <c r="L324" s="2033">
        <v>7500</v>
      </c>
      <c r="M324" s="2086"/>
      <c r="N324" s="2065"/>
      <c r="O324" s="1240"/>
    </row>
    <row r="325" spans="1:15" s="783" customFormat="1" ht="14.25" customHeight="1">
      <c r="A325" s="776"/>
      <c r="B325" s="777" t="s">
        <v>2929</v>
      </c>
      <c r="C325" s="2068"/>
      <c r="D325" s="2070" t="s">
        <v>3098</v>
      </c>
      <c r="E325" s="2071">
        <v>70</v>
      </c>
      <c r="F325" s="2069" t="s">
        <v>3023</v>
      </c>
      <c r="G325" s="2061"/>
      <c r="H325" s="2062"/>
      <c r="I325" s="2063"/>
      <c r="J325" s="2063"/>
      <c r="K325" s="2064"/>
      <c r="L325" s="2033">
        <v>3850</v>
      </c>
      <c r="M325" s="2086"/>
      <c r="N325" s="2065"/>
      <c r="O325" s="1240"/>
    </row>
    <row r="326" spans="1:15" s="783" customFormat="1" ht="14.25" customHeight="1">
      <c r="A326" s="776"/>
      <c r="B326" s="777" t="s">
        <v>2929</v>
      </c>
      <c r="C326" s="2068"/>
      <c r="D326" s="2070" t="s">
        <v>3099</v>
      </c>
      <c r="E326" s="2071">
        <v>10</v>
      </c>
      <c r="F326" s="2069" t="s">
        <v>3007</v>
      </c>
      <c r="G326" s="2061"/>
      <c r="H326" s="2062"/>
      <c r="I326" s="2063"/>
      <c r="J326" s="2063"/>
      <c r="K326" s="2064"/>
      <c r="L326" s="2033">
        <v>1300</v>
      </c>
      <c r="M326" s="2086"/>
      <c r="N326" s="2065"/>
      <c r="O326" s="1240"/>
    </row>
    <row r="327" spans="1:15" s="783" customFormat="1" ht="14.25" customHeight="1">
      <c r="A327" s="776"/>
      <c r="B327" s="777" t="s">
        <v>2929</v>
      </c>
      <c r="C327" s="2068"/>
      <c r="D327" s="2070" t="s">
        <v>3100</v>
      </c>
      <c r="E327" s="2071">
        <v>30</v>
      </c>
      <c r="F327" s="2069" t="s">
        <v>3007</v>
      </c>
      <c r="G327" s="2061"/>
      <c r="H327" s="2062"/>
      <c r="I327" s="2063"/>
      <c r="J327" s="2063"/>
      <c r="K327" s="2064"/>
      <c r="L327" s="2033">
        <v>7500</v>
      </c>
      <c r="M327" s="2086"/>
      <c r="N327" s="2065"/>
      <c r="O327" s="1240"/>
    </row>
    <row r="328" spans="1:15" s="783" customFormat="1" ht="14.25" customHeight="1">
      <c r="A328" s="776"/>
      <c r="B328" s="777" t="s">
        <v>2929</v>
      </c>
      <c r="C328" s="2068"/>
      <c r="D328" s="2070" t="s">
        <v>3101</v>
      </c>
      <c r="E328" s="2071">
        <v>15</v>
      </c>
      <c r="F328" s="2069" t="s">
        <v>3007</v>
      </c>
      <c r="G328" s="2061"/>
      <c r="H328" s="2062"/>
      <c r="I328" s="2063"/>
      <c r="J328" s="2063"/>
      <c r="K328" s="2064"/>
      <c r="L328" s="2033">
        <v>16200</v>
      </c>
      <c r="M328" s="2086"/>
      <c r="N328" s="2065"/>
      <c r="O328" s="1240"/>
    </row>
    <row r="329" spans="1:15" s="783" customFormat="1" ht="14.25" customHeight="1">
      <c r="A329" s="776"/>
      <c r="B329" s="777" t="s">
        <v>2929</v>
      </c>
      <c r="C329" s="2068"/>
      <c r="D329" s="2070" t="s">
        <v>3102</v>
      </c>
      <c r="E329" s="2071">
        <v>10</v>
      </c>
      <c r="F329" s="2069" t="s">
        <v>3007</v>
      </c>
      <c r="G329" s="2061"/>
      <c r="H329" s="2062"/>
      <c r="I329" s="2063"/>
      <c r="J329" s="2063"/>
      <c r="K329" s="2064"/>
      <c r="L329" s="2033">
        <v>20400</v>
      </c>
      <c r="M329" s="2086"/>
      <c r="N329" s="2065"/>
      <c r="O329" s="1240"/>
    </row>
    <row r="330" spans="1:15" s="783" customFormat="1" ht="14.25" customHeight="1">
      <c r="A330" s="776"/>
      <c r="B330" s="777" t="s">
        <v>2929</v>
      </c>
      <c r="C330" s="2068"/>
      <c r="D330" s="2070" t="s">
        <v>3103</v>
      </c>
      <c r="E330" s="2071">
        <v>10</v>
      </c>
      <c r="F330" s="2069" t="s">
        <v>3016</v>
      </c>
      <c r="G330" s="2061"/>
      <c r="H330" s="2062"/>
      <c r="I330" s="2063"/>
      <c r="J330" s="2063"/>
      <c r="K330" s="2064"/>
      <c r="L330" s="2033">
        <v>450</v>
      </c>
      <c r="M330" s="2086"/>
      <c r="N330" s="2065"/>
      <c r="O330" s="1240"/>
    </row>
    <row r="331" spans="1:15" s="783" customFormat="1" ht="14.25" customHeight="1">
      <c r="A331" s="776"/>
      <c r="B331" s="777" t="s">
        <v>2929</v>
      </c>
      <c r="C331" s="2068"/>
      <c r="D331" s="2070" t="s">
        <v>3104</v>
      </c>
      <c r="E331" s="2071">
        <v>9</v>
      </c>
      <c r="F331" s="2069" t="s">
        <v>3016</v>
      </c>
      <c r="G331" s="2061"/>
      <c r="H331" s="2062"/>
      <c r="I331" s="2063"/>
      <c r="J331" s="2063"/>
      <c r="K331" s="2064"/>
      <c r="L331" s="2033">
        <v>225</v>
      </c>
      <c r="M331" s="2086"/>
      <c r="N331" s="2065"/>
      <c r="O331" s="1240"/>
    </row>
    <row r="332" spans="1:15" s="783" customFormat="1" ht="14.25" customHeight="1">
      <c r="A332" s="776"/>
      <c r="B332" s="777" t="s">
        <v>2929</v>
      </c>
      <c r="C332" s="2068"/>
      <c r="D332" s="2070" t="s">
        <v>3105</v>
      </c>
      <c r="E332" s="2071">
        <v>10</v>
      </c>
      <c r="F332" s="2069" t="s">
        <v>3023</v>
      </c>
      <c r="G332" s="2061"/>
      <c r="H332" s="2062"/>
      <c r="I332" s="2063"/>
      <c r="J332" s="2063"/>
      <c r="K332" s="2064"/>
      <c r="L332" s="2033">
        <v>5717.5</v>
      </c>
      <c r="M332" s="2086"/>
      <c r="N332" s="2065"/>
      <c r="O332" s="1240"/>
    </row>
    <row r="333" spans="1:15" s="783" customFormat="1" ht="14.25" customHeight="1">
      <c r="A333" s="776"/>
      <c r="B333" s="777" t="s">
        <v>2929</v>
      </c>
      <c r="C333" s="2068"/>
      <c r="D333" s="2070" t="s">
        <v>3106</v>
      </c>
      <c r="E333" s="2071">
        <v>1</v>
      </c>
      <c r="F333" s="2069" t="s">
        <v>3007</v>
      </c>
      <c r="G333" s="2061"/>
      <c r="H333" s="2062"/>
      <c r="I333" s="2063"/>
      <c r="J333" s="2063"/>
      <c r="K333" s="2064"/>
      <c r="L333" s="2033">
        <v>137.69</v>
      </c>
      <c r="M333" s="2086"/>
      <c r="N333" s="2065"/>
      <c r="O333" s="1240"/>
    </row>
    <row r="334" spans="1:15" s="783" customFormat="1" ht="14.25" customHeight="1">
      <c r="A334" s="776"/>
      <c r="B334" s="777" t="s">
        <v>2929</v>
      </c>
      <c r="C334" s="2068"/>
      <c r="D334" s="2070" t="s">
        <v>3107</v>
      </c>
      <c r="E334" s="2071">
        <v>100</v>
      </c>
      <c r="F334" s="2069" t="s">
        <v>3025</v>
      </c>
      <c r="G334" s="2061"/>
      <c r="H334" s="2062"/>
      <c r="I334" s="2063"/>
      <c r="J334" s="2063"/>
      <c r="K334" s="2064"/>
      <c r="L334" s="2033">
        <v>5000</v>
      </c>
      <c r="M334" s="2086"/>
      <c r="N334" s="2065"/>
      <c r="O334" s="1240"/>
    </row>
    <row r="335" spans="1:15" s="783" customFormat="1" ht="14.25" customHeight="1">
      <c r="A335" s="776"/>
      <c r="B335" s="777" t="s">
        <v>2929</v>
      </c>
      <c r="C335" s="2068"/>
      <c r="D335" s="2070" t="s">
        <v>3108</v>
      </c>
      <c r="E335" s="2071">
        <v>30</v>
      </c>
      <c r="F335" s="2069" t="s">
        <v>3007</v>
      </c>
      <c r="G335" s="2061"/>
      <c r="H335" s="2062"/>
      <c r="I335" s="2063"/>
      <c r="J335" s="2063"/>
      <c r="K335" s="2064"/>
      <c r="L335" s="2033">
        <v>2970</v>
      </c>
      <c r="M335" s="2086"/>
      <c r="N335" s="2065"/>
      <c r="O335" s="1240"/>
    </row>
    <row r="336" spans="1:15" s="783" customFormat="1" ht="14.25" customHeight="1">
      <c r="A336" s="776"/>
      <c r="B336" s="777" t="s">
        <v>2929</v>
      </c>
      <c r="C336" s="2068"/>
      <c r="D336" s="2070" t="s">
        <v>3109</v>
      </c>
      <c r="E336" s="2071">
        <v>100</v>
      </c>
      <c r="F336" s="2069" t="s">
        <v>3023</v>
      </c>
      <c r="G336" s="2061"/>
      <c r="H336" s="2062"/>
      <c r="I336" s="2063"/>
      <c r="J336" s="2063"/>
      <c r="K336" s="2064"/>
      <c r="L336" s="2033">
        <v>2800</v>
      </c>
      <c r="M336" s="2086"/>
      <c r="N336" s="2065"/>
      <c r="O336" s="1240"/>
    </row>
    <row r="337" spans="1:15" s="783" customFormat="1" ht="14.25" customHeight="1">
      <c r="A337" s="776"/>
      <c r="B337" s="777" t="s">
        <v>2929</v>
      </c>
      <c r="C337" s="2068"/>
      <c r="D337" s="2070" t="s">
        <v>3110</v>
      </c>
      <c r="E337" s="2071">
        <v>100</v>
      </c>
      <c r="F337" s="2069" t="s">
        <v>3020</v>
      </c>
      <c r="G337" s="2061"/>
      <c r="H337" s="2062"/>
      <c r="I337" s="2063"/>
      <c r="J337" s="2063"/>
      <c r="K337" s="2064"/>
      <c r="L337" s="2033">
        <v>450</v>
      </c>
      <c r="M337" s="2086"/>
      <c r="N337" s="2065"/>
      <c r="O337" s="1240"/>
    </row>
    <row r="338" spans="1:15" s="783" customFormat="1" ht="14.25" customHeight="1">
      <c r="A338" s="776"/>
      <c r="B338" s="777" t="s">
        <v>2929</v>
      </c>
      <c r="C338" s="2068"/>
      <c r="D338" s="2070" t="s">
        <v>3111</v>
      </c>
      <c r="E338" s="2071">
        <v>10</v>
      </c>
      <c r="F338" s="2069" t="s">
        <v>3025</v>
      </c>
      <c r="G338" s="2061"/>
      <c r="H338" s="2062"/>
      <c r="I338" s="2063"/>
      <c r="J338" s="2063"/>
      <c r="K338" s="2064"/>
      <c r="L338" s="2033">
        <v>987.8</v>
      </c>
      <c r="M338" s="2086"/>
      <c r="N338" s="2065"/>
      <c r="O338" s="1240"/>
    </row>
    <row r="339" spans="1:15" s="783" customFormat="1" ht="14.25" customHeight="1">
      <c r="A339" s="776"/>
      <c r="B339" s="777" t="s">
        <v>2929</v>
      </c>
      <c r="C339" s="2068"/>
      <c r="D339" s="2070" t="s">
        <v>3112</v>
      </c>
      <c r="E339" s="2071">
        <v>87</v>
      </c>
      <c r="F339" s="2069" t="s">
        <v>3020</v>
      </c>
      <c r="G339" s="2061"/>
      <c r="H339" s="2062"/>
      <c r="I339" s="2063"/>
      <c r="J339" s="2063"/>
      <c r="K339" s="2064"/>
      <c r="L339" s="2033">
        <v>116.58</v>
      </c>
      <c r="M339" s="2086"/>
      <c r="N339" s="2065"/>
      <c r="O339" s="1240"/>
    </row>
    <row r="340" spans="1:15" s="783" customFormat="1" ht="14.25" customHeight="1">
      <c r="A340" s="776"/>
      <c r="B340" s="777" t="s">
        <v>2929</v>
      </c>
      <c r="C340" s="2068"/>
      <c r="D340" s="2070" t="s">
        <v>3113</v>
      </c>
      <c r="E340" s="2071">
        <v>10</v>
      </c>
      <c r="F340" s="2069" t="s">
        <v>3025</v>
      </c>
      <c r="G340" s="2061"/>
      <c r="H340" s="2062"/>
      <c r="I340" s="2063"/>
      <c r="J340" s="2063"/>
      <c r="K340" s="2064"/>
      <c r="L340" s="2033">
        <v>142.1</v>
      </c>
      <c r="M340" s="2086"/>
      <c r="N340" s="2065"/>
      <c r="O340" s="1240"/>
    </row>
    <row r="341" spans="1:15" s="783" customFormat="1" ht="14.25" customHeight="1">
      <c r="A341" s="776"/>
      <c r="B341" s="777" t="s">
        <v>2929</v>
      </c>
      <c r="C341" s="2068"/>
      <c r="D341" s="2070" t="s">
        <v>3114</v>
      </c>
      <c r="E341" s="2071">
        <v>6</v>
      </c>
      <c r="F341" s="2069" t="s">
        <v>3025</v>
      </c>
      <c r="G341" s="2061"/>
      <c r="H341" s="2062"/>
      <c r="I341" s="2063"/>
      <c r="J341" s="2063"/>
      <c r="K341" s="2064"/>
      <c r="L341" s="2033">
        <v>1530</v>
      </c>
      <c r="M341" s="2086"/>
      <c r="N341" s="2065"/>
      <c r="O341" s="1240"/>
    </row>
    <row r="342" spans="1:15" s="783" customFormat="1" ht="14.25" customHeight="1">
      <c r="A342" s="776"/>
      <c r="B342" s="777" t="s">
        <v>2929</v>
      </c>
      <c r="C342" s="2068"/>
      <c r="D342" s="2070" t="s">
        <v>2329</v>
      </c>
      <c r="E342" s="2071">
        <v>200</v>
      </c>
      <c r="F342" s="2069" t="s">
        <v>3020</v>
      </c>
      <c r="G342" s="948"/>
      <c r="H342" s="813"/>
      <c r="I342" s="813"/>
      <c r="J342" s="813"/>
      <c r="L342" s="2033">
        <v>420</v>
      </c>
      <c r="M342" s="815"/>
      <c r="N342" s="813"/>
      <c r="O342" s="785"/>
    </row>
    <row r="343" spans="1:15" s="783" customFormat="1" ht="14.25" customHeight="1">
      <c r="A343" s="776"/>
      <c r="B343" s="777" t="s">
        <v>2929</v>
      </c>
      <c r="C343" s="2068"/>
      <c r="D343" s="2070" t="s">
        <v>3115</v>
      </c>
      <c r="E343" s="2071">
        <v>10</v>
      </c>
      <c r="F343" s="2069" t="s">
        <v>3016</v>
      </c>
      <c r="G343" s="948"/>
      <c r="H343" s="813"/>
      <c r="I343" s="813"/>
      <c r="J343" s="813"/>
      <c r="L343" s="2033">
        <v>950</v>
      </c>
      <c r="M343" s="815"/>
      <c r="N343" s="813"/>
      <c r="O343" s="785"/>
    </row>
    <row r="344" spans="1:15" s="783" customFormat="1" ht="14.25" customHeight="1">
      <c r="A344" s="776"/>
      <c r="B344" s="777" t="s">
        <v>2929</v>
      </c>
      <c r="C344" s="2068"/>
      <c r="D344" s="2070" t="s">
        <v>2332</v>
      </c>
      <c r="E344" s="2071">
        <v>40</v>
      </c>
      <c r="F344" s="2069" t="s">
        <v>3020</v>
      </c>
      <c r="G344" s="948"/>
      <c r="H344" s="813"/>
      <c r="I344" s="813"/>
      <c r="J344" s="813"/>
      <c r="L344" s="2033">
        <v>2720</v>
      </c>
      <c r="M344" s="815"/>
      <c r="N344" s="813"/>
      <c r="O344" s="785"/>
    </row>
    <row r="345" spans="1:15" s="783" customFormat="1" ht="14.25" customHeight="1">
      <c r="A345" s="776"/>
      <c r="B345" s="777" t="s">
        <v>2929</v>
      </c>
      <c r="C345" s="2068"/>
      <c r="D345" s="2070" t="s">
        <v>3116</v>
      </c>
      <c r="E345" s="2071">
        <v>100</v>
      </c>
      <c r="F345" s="2069" t="s">
        <v>3025</v>
      </c>
      <c r="G345" s="948"/>
      <c r="H345" s="813"/>
      <c r="I345" s="813"/>
      <c r="J345" s="813"/>
      <c r="L345" s="2033">
        <v>1288</v>
      </c>
      <c r="M345" s="815"/>
      <c r="N345" s="813"/>
      <c r="O345" s="785"/>
    </row>
    <row r="346" spans="1:15" s="783" customFormat="1" ht="14.25" customHeight="1">
      <c r="A346" s="776"/>
      <c r="B346" s="777" t="s">
        <v>2929</v>
      </c>
      <c r="C346" s="2068"/>
      <c r="D346" s="2070" t="s">
        <v>3117</v>
      </c>
      <c r="E346" s="2071">
        <v>10</v>
      </c>
      <c r="F346" s="2069" t="s">
        <v>3023</v>
      </c>
      <c r="G346" s="948"/>
      <c r="H346" s="813"/>
      <c r="I346" s="813"/>
      <c r="J346" s="813"/>
      <c r="L346" s="2033">
        <v>1440</v>
      </c>
      <c r="M346" s="815"/>
      <c r="N346" s="813"/>
      <c r="O346" s="785"/>
    </row>
    <row r="347" spans="1:15" s="783" customFormat="1" ht="14.25" customHeight="1">
      <c r="A347" s="776"/>
      <c r="B347" s="777" t="s">
        <v>2929</v>
      </c>
      <c r="C347" s="2068"/>
      <c r="D347" s="2070" t="s">
        <v>3118</v>
      </c>
      <c r="E347" s="2071">
        <v>10</v>
      </c>
      <c r="F347" s="2069" t="s">
        <v>3023</v>
      </c>
      <c r="G347" s="948"/>
      <c r="H347" s="813"/>
      <c r="I347" s="813"/>
      <c r="J347" s="813"/>
      <c r="L347" s="2033">
        <v>1300</v>
      </c>
      <c r="M347" s="815"/>
      <c r="N347" s="813"/>
      <c r="O347" s="785"/>
    </row>
    <row r="348" spans="1:15" s="783" customFormat="1" ht="14.25" customHeight="1">
      <c r="A348" s="776"/>
      <c r="B348" s="777" t="s">
        <v>2929</v>
      </c>
      <c r="C348" s="2068"/>
      <c r="D348" s="2070" t="s">
        <v>3119</v>
      </c>
      <c r="E348" s="2071">
        <v>200</v>
      </c>
      <c r="F348" s="2069" t="s">
        <v>3064</v>
      </c>
      <c r="G348" s="948"/>
      <c r="H348" s="813"/>
      <c r="I348" s="813"/>
      <c r="J348" s="813"/>
      <c r="L348" s="2033">
        <v>3000</v>
      </c>
      <c r="M348" s="815"/>
      <c r="N348" s="813"/>
      <c r="O348" s="785"/>
    </row>
    <row r="349" spans="1:15" s="783" customFormat="1" ht="14.25" customHeight="1">
      <c r="A349" s="776"/>
      <c r="B349" s="777" t="s">
        <v>2929</v>
      </c>
      <c r="C349" s="2068"/>
      <c r="D349" s="2070" t="s">
        <v>3120</v>
      </c>
      <c r="E349" s="2071">
        <v>100</v>
      </c>
      <c r="F349" s="2069" t="s">
        <v>3064</v>
      </c>
      <c r="G349" s="948"/>
      <c r="H349" s="813"/>
      <c r="I349" s="813"/>
      <c r="J349" s="813"/>
      <c r="L349" s="2033">
        <v>545</v>
      </c>
      <c r="M349" s="815"/>
      <c r="N349" s="813"/>
      <c r="O349" s="785"/>
    </row>
    <row r="350" spans="1:15" s="783" customFormat="1" ht="14.25" customHeight="1">
      <c r="A350" s="776"/>
      <c r="B350" s="777" t="s">
        <v>2929</v>
      </c>
      <c r="C350" s="2068"/>
      <c r="D350" s="2070" t="s">
        <v>3121</v>
      </c>
      <c r="E350" s="2071">
        <v>100</v>
      </c>
      <c r="F350" s="2069" t="s">
        <v>3025</v>
      </c>
      <c r="G350" s="948"/>
      <c r="H350" s="813"/>
      <c r="I350" s="813"/>
      <c r="J350" s="813"/>
      <c r="L350" s="2033">
        <v>458</v>
      </c>
      <c r="M350" s="815"/>
      <c r="N350" s="813"/>
      <c r="O350" s="785"/>
    </row>
    <row r="351" spans="1:15" s="783" customFormat="1" ht="14.25" customHeight="1">
      <c r="A351" s="776"/>
      <c r="B351" s="777" t="s">
        <v>2929</v>
      </c>
      <c r="C351" s="2068"/>
      <c r="D351" s="2070" t="s">
        <v>3122</v>
      </c>
      <c r="E351" s="2071">
        <v>5</v>
      </c>
      <c r="F351" s="2069" t="s">
        <v>3007</v>
      </c>
      <c r="G351" s="948"/>
      <c r="H351" s="813"/>
      <c r="I351" s="813"/>
      <c r="J351" s="813"/>
      <c r="L351" s="2033">
        <v>750</v>
      </c>
      <c r="M351" s="815"/>
      <c r="N351" s="813"/>
      <c r="O351" s="785"/>
    </row>
    <row r="352" spans="1:15" s="783" customFormat="1" ht="14.25" customHeight="1">
      <c r="A352" s="776"/>
      <c r="B352" s="777" t="s">
        <v>2929</v>
      </c>
      <c r="C352" s="2068"/>
      <c r="D352" s="2070" t="s">
        <v>3123</v>
      </c>
      <c r="E352" s="2071">
        <v>150</v>
      </c>
      <c r="F352" s="2069" t="s">
        <v>3025</v>
      </c>
      <c r="G352" s="948"/>
      <c r="H352" s="813"/>
      <c r="I352" s="813"/>
      <c r="J352" s="813"/>
      <c r="L352" s="2033">
        <v>4500</v>
      </c>
      <c r="M352" s="815"/>
      <c r="N352" s="813"/>
      <c r="O352" s="785"/>
    </row>
    <row r="353" spans="1:15" s="783" customFormat="1" ht="14.25" customHeight="1">
      <c r="A353" s="776"/>
      <c r="B353" s="777" t="s">
        <v>2929</v>
      </c>
      <c r="C353" s="2068"/>
      <c r="D353" s="2070" t="s">
        <v>3124</v>
      </c>
      <c r="E353" s="2071">
        <v>10</v>
      </c>
      <c r="F353" s="2069" t="s">
        <v>3016</v>
      </c>
      <c r="G353" s="948"/>
      <c r="H353" s="813"/>
      <c r="I353" s="813"/>
      <c r="J353" s="813"/>
      <c r="L353" s="2033">
        <v>1200</v>
      </c>
      <c r="M353" s="815"/>
      <c r="N353" s="813"/>
      <c r="O353" s="785"/>
    </row>
    <row r="354" spans="1:15" s="783" customFormat="1" ht="14.25" customHeight="1">
      <c r="A354" s="776"/>
      <c r="B354" s="777" t="s">
        <v>2929</v>
      </c>
      <c r="C354" s="2068"/>
      <c r="D354" s="2070" t="s">
        <v>3125</v>
      </c>
      <c r="E354" s="2071">
        <v>10</v>
      </c>
      <c r="F354" s="2069" t="s">
        <v>3007</v>
      </c>
      <c r="G354" s="948"/>
      <c r="H354" s="813"/>
      <c r="I354" s="813"/>
      <c r="J354" s="813"/>
      <c r="L354" s="2033">
        <v>4000</v>
      </c>
      <c r="M354" s="815"/>
      <c r="N354" s="813"/>
      <c r="O354" s="785"/>
    </row>
    <row r="355" spans="1:15" s="783" customFormat="1" ht="14.25" customHeight="1">
      <c r="A355" s="776"/>
      <c r="B355" s="777" t="s">
        <v>2929</v>
      </c>
      <c r="C355" s="2068"/>
      <c r="D355" s="2070" t="s">
        <v>3126</v>
      </c>
      <c r="E355" s="2071">
        <v>5</v>
      </c>
      <c r="F355" s="2069" t="s">
        <v>3025</v>
      </c>
      <c r="G355" s="948"/>
      <c r="H355" s="813"/>
      <c r="I355" s="813"/>
      <c r="J355" s="813"/>
      <c r="L355" s="2033">
        <v>3644.45</v>
      </c>
      <c r="M355" s="815"/>
      <c r="N355" s="813"/>
      <c r="O355" s="785"/>
    </row>
    <row r="356" spans="1:15" s="783" customFormat="1" ht="14.25" customHeight="1">
      <c r="A356" s="776"/>
      <c r="B356" s="777" t="s">
        <v>2929</v>
      </c>
      <c r="C356" s="2068"/>
      <c r="D356" s="2070" t="s">
        <v>3127</v>
      </c>
      <c r="E356" s="2071">
        <v>3</v>
      </c>
      <c r="F356" s="2069" t="s">
        <v>3025</v>
      </c>
      <c r="G356" s="948"/>
      <c r="H356" s="813"/>
      <c r="I356" s="813"/>
      <c r="J356" s="813"/>
      <c r="L356" s="2033">
        <v>12450</v>
      </c>
      <c r="M356" s="815"/>
      <c r="N356" s="813"/>
      <c r="O356" s="785"/>
    </row>
    <row r="357" spans="1:15" s="783" customFormat="1" ht="14.25" customHeight="1">
      <c r="A357" s="776"/>
      <c r="B357" s="777" t="s">
        <v>2929</v>
      </c>
      <c r="C357" s="2068"/>
      <c r="D357" s="2070" t="s">
        <v>3128</v>
      </c>
      <c r="E357" s="2071">
        <v>28</v>
      </c>
      <c r="F357" s="2069" t="s">
        <v>3025</v>
      </c>
      <c r="G357" s="948"/>
      <c r="H357" s="813"/>
      <c r="I357" s="813"/>
      <c r="J357" s="813"/>
      <c r="L357" s="2033">
        <v>606.48</v>
      </c>
      <c r="M357" s="815"/>
      <c r="N357" s="813"/>
      <c r="O357" s="785"/>
    </row>
    <row r="358" spans="1:15" s="783" customFormat="1" ht="14.25" customHeight="1">
      <c r="A358" s="776"/>
      <c r="B358" s="777" t="s">
        <v>2929</v>
      </c>
      <c r="C358" s="2068"/>
      <c r="D358" s="2070" t="s">
        <v>3129</v>
      </c>
      <c r="E358" s="2071">
        <v>250</v>
      </c>
      <c r="F358" s="2069" t="s">
        <v>3016</v>
      </c>
      <c r="G358" s="948"/>
      <c r="H358" s="813"/>
      <c r="I358" s="813"/>
      <c r="J358" s="813"/>
      <c r="L358" s="2033">
        <v>4040</v>
      </c>
      <c r="M358" s="815"/>
      <c r="N358" s="813"/>
      <c r="O358" s="785"/>
    </row>
    <row r="359" spans="1:15" s="783" customFormat="1" ht="14.25" customHeight="1">
      <c r="A359" s="776"/>
      <c r="B359" s="777" t="s">
        <v>2929</v>
      </c>
      <c r="C359" s="2068"/>
      <c r="D359" s="2070" t="s">
        <v>3130</v>
      </c>
      <c r="E359" s="2071">
        <v>20</v>
      </c>
      <c r="F359" s="2069" t="s">
        <v>3016</v>
      </c>
      <c r="G359" s="948"/>
      <c r="H359" s="813"/>
      <c r="I359" s="813"/>
      <c r="J359" s="813"/>
      <c r="L359" s="2033">
        <v>6500</v>
      </c>
      <c r="M359" s="815"/>
      <c r="N359" s="813"/>
      <c r="O359" s="785"/>
    </row>
    <row r="360" spans="1:15" s="783" customFormat="1" ht="14.25" customHeight="1">
      <c r="A360" s="776"/>
      <c r="B360" s="777" t="s">
        <v>2929</v>
      </c>
      <c r="C360" s="2068"/>
      <c r="D360" s="2070" t="s">
        <v>3131</v>
      </c>
      <c r="E360" s="2071">
        <v>200</v>
      </c>
      <c r="F360" s="2069" t="s">
        <v>3025</v>
      </c>
      <c r="G360" s="948"/>
      <c r="H360" s="813"/>
      <c r="I360" s="813"/>
      <c r="J360" s="813"/>
      <c r="L360" s="2033">
        <v>3098</v>
      </c>
      <c r="M360" s="815"/>
      <c r="N360" s="813"/>
      <c r="O360" s="785"/>
    </row>
    <row r="361" spans="1:15" s="783" customFormat="1" ht="14.25" customHeight="1">
      <c r="A361" s="776"/>
      <c r="B361" s="777" t="s">
        <v>2929</v>
      </c>
      <c r="C361" s="2068"/>
      <c r="D361" s="2070" t="s">
        <v>3132</v>
      </c>
      <c r="E361" s="2071">
        <v>10</v>
      </c>
      <c r="F361" s="2069" t="s">
        <v>3007</v>
      </c>
      <c r="G361" s="948"/>
      <c r="H361" s="813"/>
      <c r="I361" s="813"/>
      <c r="J361" s="813"/>
      <c r="L361" s="2033">
        <v>4500</v>
      </c>
      <c r="M361" s="815"/>
      <c r="N361" s="813"/>
      <c r="O361" s="785"/>
    </row>
    <row r="362" spans="1:15" s="783" customFormat="1" ht="14.25" customHeight="1">
      <c r="A362" s="776"/>
      <c r="B362" s="777" t="s">
        <v>2929</v>
      </c>
      <c r="C362" s="2068"/>
      <c r="D362" s="2070" t="s">
        <v>3133</v>
      </c>
      <c r="E362" s="2071">
        <v>80</v>
      </c>
      <c r="F362" s="2069" t="s">
        <v>3025</v>
      </c>
      <c r="G362" s="948"/>
      <c r="H362" s="813"/>
      <c r="I362" s="813"/>
      <c r="J362" s="813"/>
      <c r="L362" s="2033">
        <v>5520</v>
      </c>
      <c r="M362" s="815"/>
      <c r="N362" s="813"/>
      <c r="O362" s="785"/>
    </row>
    <row r="363" spans="1:15" s="783" customFormat="1" ht="14.25" customHeight="1">
      <c r="A363" s="776"/>
      <c r="B363" s="777" t="s">
        <v>2929</v>
      </c>
      <c r="C363" s="2068"/>
      <c r="D363" s="2070" t="s">
        <v>3134</v>
      </c>
      <c r="E363" s="2071">
        <v>2</v>
      </c>
      <c r="F363" s="2069" t="s">
        <v>3007</v>
      </c>
      <c r="G363" s="948"/>
      <c r="H363" s="813"/>
      <c r="I363" s="813"/>
      <c r="J363" s="813"/>
      <c r="L363" s="2033">
        <v>340</v>
      </c>
      <c r="M363" s="815"/>
      <c r="N363" s="813"/>
      <c r="O363" s="785"/>
    </row>
    <row r="364" spans="1:15" s="783" customFormat="1" ht="14.25" customHeight="1">
      <c r="A364" s="776"/>
      <c r="B364" s="777" t="s">
        <v>2929</v>
      </c>
      <c r="C364" s="2068"/>
      <c r="D364" s="2070" t="s">
        <v>3135</v>
      </c>
      <c r="E364" s="2071">
        <v>1</v>
      </c>
      <c r="F364" s="2069" t="s">
        <v>3007</v>
      </c>
      <c r="G364" s="948"/>
      <c r="H364" s="813"/>
      <c r="I364" s="813"/>
      <c r="J364" s="813"/>
      <c r="L364" s="2033">
        <v>900</v>
      </c>
      <c r="M364" s="815"/>
      <c r="N364" s="813"/>
      <c r="O364" s="785"/>
    </row>
    <row r="365" spans="1:15" s="783" customFormat="1" ht="14.25" customHeight="1">
      <c r="A365" s="840"/>
      <c r="B365" s="777" t="s">
        <v>2929</v>
      </c>
      <c r="C365" s="2068"/>
      <c r="D365" s="2070" t="s">
        <v>3136</v>
      </c>
      <c r="E365" s="2071">
        <v>20</v>
      </c>
      <c r="F365" s="2069" t="s">
        <v>3007</v>
      </c>
      <c r="G365" s="797"/>
      <c r="H365" s="833"/>
      <c r="I365" s="833"/>
      <c r="J365" s="833"/>
      <c r="K365" s="832"/>
      <c r="L365" s="2033">
        <v>8000</v>
      </c>
      <c r="M365" s="2087"/>
      <c r="N365" s="784"/>
      <c r="O365" s="785"/>
    </row>
    <row r="366" spans="1:15" s="783" customFormat="1" ht="14.25" customHeight="1">
      <c r="A366" s="938"/>
      <c r="B366" s="777" t="s">
        <v>2929</v>
      </c>
      <c r="C366" s="2068"/>
      <c r="D366" s="2070" t="s">
        <v>3137</v>
      </c>
      <c r="E366" s="2071">
        <v>4</v>
      </c>
      <c r="F366" s="2069" t="s">
        <v>3007</v>
      </c>
      <c r="G366" s="940"/>
      <c r="H366" s="941"/>
      <c r="I366" s="941"/>
      <c r="J366" s="941"/>
      <c r="K366" s="2076"/>
      <c r="L366" s="2033">
        <v>1940</v>
      </c>
      <c r="M366" s="2087"/>
      <c r="N366" s="784"/>
      <c r="O366" s="785"/>
    </row>
    <row r="367" spans="1:15" s="783" customFormat="1" ht="14.25" customHeight="1">
      <c r="A367" s="840"/>
      <c r="B367" s="777" t="s">
        <v>2929</v>
      </c>
      <c r="C367" s="2068"/>
      <c r="D367" s="2070" t="s">
        <v>3138</v>
      </c>
      <c r="E367" s="2071">
        <v>50</v>
      </c>
      <c r="F367" s="2069" t="s">
        <v>3023</v>
      </c>
      <c r="G367" s="797"/>
      <c r="H367" s="833"/>
      <c r="I367" s="833"/>
      <c r="J367" s="833"/>
      <c r="K367" s="832"/>
      <c r="L367" s="2033">
        <v>4500</v>
      </c>
      <c r="M367" s="2087"/>
      <c r="N367" s="784"/>
      <c r="O367" s="785"/>
    </row>
    <row r="368" spans="1:15" s="783" customFormat="1" ht="14.25" customHeight="1">
      <c r="A368" s="840"/>
      <c r="B368" s="777" t="s">
        <v>2929</v>
      </c>
      <c r="C368" s="2068"/>
      <c r="D368" s="2070" t="s">
        <v>3139</v>
      </c>
      <c r="E368" s="2071">
        <v>100</v>
      </c>
      <c r="F368" s="2069" t="s">
        <v>3064</v>
      </c>
      <c r="G368" s="797"/>
      <c r="H368" s="833"/>
      <c r="I368" s="833"/>
      <c r="J368" s="833"/>
      <c r="K368" s="832"/>
      <c r="L368" s="2033">
        <v>4500</v>
      </c>
      <c r="M368" s="2087"/>
      <c r="N368" s="784"/>
      <c r="O368" s="785"/>
    </row>
    <row r="369" spans="1:15" ht="14.25" customHeight="1">
      <c r="A369" s="125"/>
      <c r="B369" s="777" t="s">
        <v>2929</v>
      </c>
      <c r="C369" s="2068"/>
      <c r="D369" s="2070" t="s">
        <v>3140</v>
      </c>
      <c r="E369" s="2071">
        <v>50</v>
      </c>
      <c r="F369" s="2069" t="s">
        <v>3007</v>
      </c>
      <c r="G369" s="90"/>
      <c r="H369" s="91"/>
      <c r="I369" s="91"/>
      <c r="J369" s="91"/>
      <c r="K369" s="2077"/>
      <c r="L369" s="2033">
        <v>7500</v>
      </c>
      <c r="M369" s="2088"/>
      <c r="N369" s="91"/>
      <c r="O369" s="91"/>
    </row>
    <row r="370" spans="1:15" ht="14.25" customHeight="1">
      <c r="A370" s="125"/>
      <c r="B370" s="777" t="s">
        <v>2929</v>
      </c>
      <c r="C370" s="2068"/>
      <c r="D370" s="2070" t="s">
        <v>3141</v>
      </c>
      <c r="E370" s="2071">
        <v>10</v>
      </c>
      <c r="F370" s="2069" t="s">
        <v>3023</v>
      </c>
      <c r="G370" s="90"/>
      <c r="H370" s="91"/>
      <c r="I370" s="91"/>
      <c r="J370" s="91"/>
      <c r="K370" s="2077"/>
      <c r="L370" s="2033">
        <v>2980</v>
      </c>
      <c r="M370" s="2088"/>
      <c r="N370" s="91"/>
      <c r="O370" s="124"/>
    </row>
    <row r="371" spans="1:15" ht="22.5" customHeight="1">
      <c r="A371" s="125"/>
      <c r="B371" s="777" t="s">
        <v>2929</v>
      </c>
      <c r="C371" s="2068"/>
      <c r="D371" s="2070" t="s">
        <v>2369</v>
      </c>
      <c r="E371" s="2071">
        <v>20</v>
      </c>
      <c r="F371" s="2069" t="s">
        <v>3007</v>
      </c>
      <c r="G371" s="88"/>
      <c r="H371" s="89"/>
      <c r="I371" s="89"/>
      <c r="J371" s="89"/>
      <c r="K371" s="2078"/>
      <c r="L371" s="2033">
        <v>9000</v>
      </c>
      <c r="M371" s="2089"/>
      <c r="N371" s="19"/>
      <c r="O371" s="77"/>
    </row>
    <row r="372" spans="1:15" ht="14.25" customHeight="1">
      <c r="A372" s="125"/>
      <c r="B372" s="777" t="s">
        <v>2929</v>
      </c>
      <c r="C372" s="2068"/>
      <c r="D372" s="2070" t="s">
        <v>2370</v>
      </c>
      <c r="E372" s="2071">
        <v>50</v>
      </c>
      <c r="F372" s="2069" t="s">
        <v>3007</v>
      </c>
      <c r="G372" s="59"/>
      <c r="H372" s="60"/>
      <c r="I372" s="60"/>
      <c r="J372" s="60"/>
      <c r="K372" s="143"/>
      <c r="L372" s="2033">
        <v>7500</v>
      </c>
      <c r="M372" s="109"/>
      <c r="N372" s="19"/>
      <c r="O372" s="62"/>
    </row>
    <row r="373" spans="1:15" ht="14.25" customHeight="1">
      <c r="A373" s="125"/>
      <c r="B373" s="777" t="s">
        <v>2929</v>
      </c>
      <c r="C373" s="2068"/>
      <c r="D373" s="2070" t="s">
        <v>3142</v>
      </c>
      <c r="E373" s="2071">
        <v>50</v>
      </c>
      <c r="F373" s="2069" t="s">
        <v>3016</v>
      </c>
      <c r="G373" s="59"/>
      <c r="H373" s="60"/>
      <c r="I373" s="60"/>
      <c r="J373" s="60"/>
      <c r="K373" s="143"/>
      <c r="L373" s="2033">
        <v>3500</v>
      </c>
      <c r="M373" s="109"/>
      <c r="N373" s="19"/>
      <c r="O373" s="62"/>
    </row>
    <row r="374" spans="1:15">
      <c r="A374" s="125"/>
      <c r="B374" s="777" t="s">
        <v>2929</v>
      </c>
      <c r="C374" s="2068"/>
      <c r="D374" s="2070" t="s">
        <v>3143</v>
      </c>
      <c r="E374" s="2071">
        <v>1</v>
      </c>
      <c r="F374" s="2069" t="s">
        <v>3007</v>
      </c>
      <c r="G374" s="59"/>
      <c r="H374" s="60"/>
      <c r="I374" s="60"/>
      <c r="J374" s="60"/>
      <c r="K374" s="143"/>
      <c r="L374" s="2033">
        <v>220</v>
      </c>
      <c r="M374" s="109"/>
      <c r="N374" s="19"/>
      <c r="O374" s="62"/>
    </row>
    <row r="375" spans="1:15">
      <c r="A375" s="125"/>
      <c r="B375" s="777" t="s">
        <v>2929</v>
      </c>
      <c r="C375" s="2068"/>
      <c r="D375" s="2070" t="s">
        <v>3144</v>
      </c>
      <c r="E375" s="2071">
        <v>30</v>
      </c>
      <c r="F375" s="2069" t="s">
        <v>3023</v>
      </c>
      <c r="G375" s="59"/>
      <c r="H375" s="60"/>
      <c r="I375" s="60"/>
      <c r="J375" s="60"/>
      <c r="K375" s="143"/>
      <c r="L375" s="2033">
        <v>2700</v>
      </c>
      <c r="M375" s="109"/>
      <c r="N375" s="19"/>
      <c r="O375" s="62"/>
    </row>
    <row r="376" spans="1:15">
      <c r="B376" s="777" t="s">
        <v>2929</v>
      </c>
      <c r="C376" s="2068"/>
      <c r="D376" s="2070" t="s">
        <v>3145</v>
      </c>
      <c r="E376" s="2071">
        <v>1</v>
      </c>
      <c r="F376" s="2069" t="s">
        <v>3007</v>
      </c>
      <c r="G376" s="91"/>
      <c r="H376" s="91"/>
      <c r="I376" s="91"/>
      <c r="J376" s="91"/>
      <c r="K376" s="2079"/>
      <c r="L376" s="2033">
        <v>245</v>
      </c>
      <c r="M376" s="120"/>
      <c r="N376" s="19"/>
      <c r="O376" s="91"/>
    </row>
    <row r="377" spans="1:15">
      <c r="A377" s="125"/>
      <c r="B377" s="777" t="s">
        <v>2929</v>
      </c>
      <c r="C377" s="2068"/>
      <c r="D377" s="2070" t="s">
        <v>3146</v>
      </c>
      <c r="E377" s="2071">
        <v>50</v>
      </c>
      <c r="F377" s="2069" t="s">
        <v>3020</v>
      </c>
      <c r="G377" s="88"/>
      <c r="H377" s="89"/>
      <c r="I377" s="89"/>
      <c r="J377" s="89"/>
      <c r="K377" s="2078"/>
      <c r="L377" s="2033">
        <v>800</v>
      </c>
      <c r="M377" s="2089"/>
      <c r="N377" s="19"/>
      <c r="O377" s="77"/>
    </row>
    <row r="378" spans="1:15">
      <c r="A378" s="125"/>
      <c r="B378" s="777" t="s">
        <v>2929</v>
      </c>
      <c r="C378" s="2068"/>
      <c r="D378" s="2070" t="s">
        <v>3147</v>
      </c>
      <c r="E378" s="2071">
        <v>20</v>
      </c>
      <c r="F378" s="2069" t="s">
        <v>3007</v>
      </c>
      <c r="G378" s="59"/>
      <c r="H378" s="60"/>
      <c r="I378" s="60"/>
      <c r="J378" s="60"/>
      <c r="K378" s="143"/>
      <c r="L378" s="2033">
        <v>2400</v>
      </c>
      <c r="M378" s="109"/>
      <c r="N378" s="19"/>
      <c r="O378" s="62"/>
    </row>
    <row r="379" spans="1:15">
      <c r="A379" s="125"/>
      <c r="B379" s="777" t="s">
        <v>2929</v>
      </c>
      <c r="C379" s="2068"/>
      <c r="D379" s="2070" t="s">
        <v>3148</v>
      </c>
      <c r="E379" s="2071">
        <v>40</v>
      </c>
      <c r="F379" s="2069" t="s">
        <v>3007</v>
      </c>
      <c r="G379" s="58"/>
      <c r="H379" s="59"/>
      <c r="I379" s="60"/>
      <c r="J379" s="60"/>
      <c r="K379" s="2080"/>
      <c r="L379" s="2033">
        <v>6000</v>
      </c>
      <c r="M379" s="2090"/>
      <c r="N379" s="58"/>
      <c r="O379" s="62"/>
    </row>
    <row r="380" spans="1:15">
      <c r="A380" s="125"/>
      <c r="B380" s="777" t="s">
        <v>2929</v>
      </c>
      <c r="C380" s="2068"/>
      <c r="D380" s="2070" t="s">
        <v>3149</v>
      </c>
      <c r="E380" s="2071">
        <v>100</v>
      </c>
      <c r="F380" s="2069" t="s">
        <v>3023</v>
      </c>
      <c r="G380" s="58"/>
      <c r="H380" s="59"/>
      <c r="I380" s="60"/>
      <c r="J380" s="60"/>
      <c r="K380" s="2080"/>
      <c r="L380" s="2033">
        <v>3500</v>
      </c>
      <c r="M380" s="2090"/>
      <c r="N380" s="58"/>
      <c r="O380" s="62"/>
    </row>
    <row r="381" spans="1:15">
      <c r="A381" s="125"/>
      <c r="B381" s="777" t="s">
        <v>2929</v>
      </c>
      <c r="C381" s="2068"/>
      <c r="D381" s="2070" t="s">
        <v>3150</v>
      </c>
      <c r="E381" s="2071">
        <v>10</v>
      </c>
      <c r="F381" s="2069" t="s">
        <v>3007</v>
      </c>
      <c r="G381" s="58"/>
      <c r="H381" s="59"/>
      <c r="I381" s="60"/>
      <c r="J381" s="60"/>
      <c r="K381" s="2080"/>
      <c r="L381" s="2033">
        <v>2200</v>
      </c>
      <c r="M381" s="2090"/>
      <c r="N381" s="58"/>
      <c r="O381" s="62"/>
    </row>
    <row r="382" spans="1:15">
      <c r="A382" s="125"/>
      <c r="B382" s="777" t="s">
        <v>2929</v>
      </c>
      <c r="C382" s="2068"/>
      <c r="D382" s="2070" t="s">
        <v>3151</v>
      </c>
      <c r="E382" s="2071">
        <v>1</v>
      </c>
      <c r="F382" s="2069" t="s">
        <v>3007</v>
      </c>
      <c r="G382" s="90"/>
      <c r="H382" s="91"/>
      <c r="I382" s="91"/>
      <c r="J382" s="91"/>
      <c r="K382" s="2077"/>
      <c r="L382" s="2033">
        <v>640</v>
      </c>
      <c r="M382" s="2088"/>
      <c r="N382" s="91"/>
      <c r="O382" s="124"/>
    </row>
    <row r="383" spans="1:15">
      <c r="A383" s="125"/>
      <c r="B383" s="777" t="s">
        <v>2929</v>
      </c>
      <c r="C383" s="2068"/>
      <c r="D383" s="2070" t="s">
        <v>3152</v>
      </c>
      <c r="E383" s="2071">
        <v>30</v>
      </c>
      <c r="F383" s="2069" t="s">
        <v>3025</v>
      </c>
      <c r="G383" s="88"/>
      <c r="H383" s="89"/>
      <c r="I383" s="89"/>
      <c r="J383" s="89"/>
      <c r="K383" s="2078"/>
      <c r="L383" s="2033">
        <v>3960</v>
      </c>
      <c r="M383" s="2089"/>
      <c r="N383" s="19"/>
      <c r="O383" s="77"/>
    </row>
    <row r="384" spans="1:15">
      <c r="A384" s="125"/>
      <c r="B384" s="777" t="s">
        <v>2929</v>
      </c>
      <c r="C384" s="2068"/>
      <c r="D384" s="2070" t="s">
        <v>3153</v>
      </c>
      <c r="E384" s="2071">
        <v>10</v>
      </c>
      <c r="F384" s="2069" t="s">
        <v>3007</v>
      </c>
      <c r="G384" s="59"/>
      <c r="H384" s="60"/>
      <c r="I384" s="60"/>
      <c r="J384" s="60"/>
      <c r="K384" s="143"/>
      <c r="L384" s="2033">
        <v>3100</v>
      </c>
      <c r="M384" s="109"/>
      <c r="N384" s="19"/>
      <c r="O384" s="62"/>
    </row>
    <row r="385" spans="1:15">
      <c r="A385" s="125"/>
      <c r="B385" s="777" t="s">
        <v>2929</v>
      </c>
      <c r="C385" s="2068"/>
      <c r="D385" s="2070" t="s">
        <v>3154</v>
      </c>
      <c r="E385" s="2071">
        <v>6</v>
      </c>
      <c r="F385" s="2069" t="s">
        <v>3007</v>
      </c>
      <c r="G385" s="59"/>
      <c r="H385" s="60"/>
      <c r="I385" s="60"/>
      <c r="J385" s="60"/>
      <c r="K385" s="143"/>
      <c r="L385" s="2033">
        <v>900</v>
      </c>
      <c r="M385" s="109"/>
      <c r="N385" s="19"/>
      <c r="O385" s="62"/>
    </row>
    <row r="386" spans="1:15">
      <c r="A386" s="125"/>
      <c r="B386" s="777" t="s">
        <v>2929</v>
      </c>
      <c r="C386" s="2068"/>
      <c r="D386" s="2070" t="s">
        <v>3155</v>
      </c>
      <c r="E386" s="2071">
        <v>6</v>
      </c>
      <c r="F386" s="2069" t="s">
        <v>3007</v>
      </c>
      <c r="G386" s="58"/>
      <c r="H386" s="59"/>
      <c r="I386" s="60"/>
      <c r="J386" s="60"/>
      <c r="K386" s="2080"/>
      <c r="L386" s="2033">
        <v>1200</v>
      </c>
      <c r="M386" s="2090"/>
      <c r="N386" s="58"/>
      <c r="O386" s="62"/>
    </row>
    <row r="387" spans="1:15">
      <c r="A387" s="125"/>
      <c r="B387" s="777" t="s">
        <v>2929</v>
      </c>
      <c r="C387" s="2068"/>
      <c r="D387" s="2070" t="s">
        <v>3156</v>
      </c>
      <c r="E387" s="2071">
        <v>50</v>
      </c>
      <c r="F387" s="2069" t="s">
        <v>3023</v>
      </c>
      <c r="G387" s="58"/>
      <c r="H387" s="59"/>
      <c r="I387" s="60"/>
      <c r="J387" s="60"/>
      <c r="K387" s="2080"/>
      <c r="L387" s="2033">
        <v>1750</v>
      </c>
      <c r="M387" s="2090"/>
      <c r="N387" s="58"/>
      <c r="O387" s="62"/>
    </row>
    <row r="388" spans="1:15">
      <c r="B388" s="777" t="s">
        <v>2929</v>
      </c>
      <c r="C388" s="2068"/>
      <c r="D388" s="2070" t="s">
        <v>3157</v>
      </c>
      <c r="E388" s="2071">
        <v>400</v>
      </c>
      <c r="F388" s="2069" t="s">
        <v>3025</v>
      </c>
      <c r="G388" s="90"/>
      <c r="H388" s="91"/>
      <c r="I388" s="91"/>
      <c r="J388" s="91"/>
      <c r="K388" s="2077"/>
      <c r="L388" s="2033">
        <v>6000</v>
      </c>
      <c r="M388" s="2088"/>
      <c r="N388" s="91"/>
      <c r="O388" s="124"/>
    </row>
    <row r="389" spans="1:15">
      <c r="B389" s="777" t="s">
        <v>2929</v>
      </c>
      <c r="C389" s="2068"/>
      <c r="D389" s="2070" t="s">
        <v>3158</v>
      </c>
      <c r="E389" s="2071">
        <v>30</v>
      </c>
      <c r="F389" s="2069" t="s">
        <v>3007</v>
      </c>
      <c r="G389" s="90"/>
      <c r="H389" s="91"/>
      <c r="I389" s="91"/>
      <c r="J389" s="91"/>
      <c r="K389" s="2077"/>
      <c r="L389" s="2033">
        <v>6000</v>
      </c>
      <c r="M389" s="2088"/>
      <c r="N389" s="91"/>
      <c r="O389" s="124"/>
    </row>
    <row r="390" spans="1:15">
      <c r="A390" s="125"/>
      <c r="B390" s="777" t="s">
        <v>2929</v>
      </c>
      <c r="C390" s="2068"/>
      <c r="D390" s="2070" t="s">
        <v>3159</v>
      </c>
      <c r="E390" s="2071">
        <v>50</v>
      </c>
      <c r="F390" s="2069" t="s">
        <v>3007</v>
      </c>
      <c r="G390" s="88"/>
      <c r="H390" s="89"/>
      <c r="I390" s="89"/>
      <c r="J390" s="89"/>
      <c r="K390" s="2078"/>
      <c r="L390" s="2033">
        <v>5000</v>
      </c>
      <c r="M390" s="2089"/>
      <c r="N390" s="77"/>
    </row>
    <row r="391" spans="1:15">
      <c r="A391" s="125"/>
      <c r="B391" s="777" t="s">
        <v>2929</v>
      </c>
      <c r="C391" s="2068"/>
      <c r="D391" s="2070" t="s">
        <v>3160</v>
      </c>
      <c r="E391" s="2071">
        <v>200</v>
      </c>
      <c r="F391" s="2069" t="s">
        <v>3023</v>
      </c>
      <c r="G391" s="59"/>
      <c r="H391" s="60"/>
      <c r="I391" s="60"/>
      <c r="J391" s="60"/>
      <c r="K391" s="143"/>
      <c r="L391" s="2033">
        <v>7000</v>
      </c>
      <c r="M391" s="109"/>
      <c r="N391" s="62"/>
    </row>
    <row r="392" spans="1:15">
      <c r="A392" s="125"/>
      <c r="B392" s="777" t="s">
        <v>2929</v>
      </c>
      <c r="C392" s="2068"/>
      <c r="D392" s="2070" t="s">
        <v>3161</v>
      </c>
      <c r="E392" s="2071">
        <v>30</v>
      </c>
      <c r="F392" s="2069" t="s">
        <v>3007</v>
      </c>
      <c r="G392" s="58"/>
      <c r="H392" s="59"/>
      <c r="I392" s="60"/>
      <c r="J392" s="60"/>
      <c r="K392" s="2080"/>
      <c r="L392" s="2033">
        <v>3000</v>
      </c>
      <c r="M392" s="2090"/>
      <c r="N392" s="58"/>
      <c r="O392" s="62"/>
    </row>
    <row r="393" spans="1:15">
      <c r="A393" s="125"/>
      <c r="B393" s="777" t="s">
        <v>2929</v>
      </c>
      <c r="C393" s="2068"/>
      <c r="D393" s="2070" t="s">
        <v>3162</v>
      </c>
      <c r="E393" s="2071">
        <v>30</v>
      </c>
      <c r="F393" s="2069" t="s">
        <v>3020</v>
      </c>
      <c r="G393" s="58"/>
      <c r="H393" s="59"/>
      <c r="I393" s="60"/>
      <c r="J393" s="60"/>
      <c r="K393" s="2080"/>
      <c r="L393" s="2033">
        <v>1500</v>
      </c>
      <c r="M393" s="2090"/>
      <c r="N393" s="58"/>
      <c r="O393" s="62"/>
    </row>
    <row r="394" spans="1:15">
      <c r="A394" s="125"/>
      <c r="B394" s="777" t="s">
        <v>2929</v>
      </c>
      <c r="C394" s="2068"/>
      <c r="D394" s="2070" t="s">
        <v>3163</v>
      </c>
      <c r="E394" s="2071">
        <v>5</v>
      </c>
      <c r="F394" s="2069" t="s">
        <v>3007</v>
      </c>
      <c r="G394" s="58"/>
      <c r="H394" s="59"/>
      <c r="I394" s="60"/>
      <c r="J394" s="60"/>
      <c r="K394" s="2080"/>
      <c r="L394" s="2033">
        <v>4000</v>
      </c>
      <c r="M394" s="2090"/>
      <c r="N394" s="58"/>
      <c r="O394" s="62"/>
    </row>
    <row r="395" spans="1:15">
      <c r="B395" s="777" t="s">
        <v>2929</v>
      </c>
      <c r="C395" s="2068"/>
      <c r="D395" s="2070" t="s">
        <v>3164</v>
      </c>
      <c r="E395" s="2071">
        <v>2</v>
      </c>
      <c r="F395" s="2069" t="s">
        <v>3007</v>
      </c>
      <c r="G395" s="90"/>
      <c r="H395" s="91"/>
      <c r="I395" s="91"/>
      <c r="J395" s="91"/>
      <c r="K395" s="2077"/>
      <c r="L395" s="2033">
        <v>1400</v>
      </c>
      <c r="M395" s="2088"/>
      <c r="N395" s="91"/>
      <c r="O395" s="124"/>
    </row>
    <row r="396" spans="1:15">
      <c r="A396" s="58"/>
      <c r="B396" s="777" t="s">
        <v>2929</v>
      </c>
      <c r="C396" s="2068"/>
      <c r="D396" s="2070" t="s">
        <v>3165</v>
      </c>
      <c r="E396" s="2071">
        <v>10</v>
      </c>
      <c r="F396" s="2069" t="s">
        <v>3025</v>
      </c>
      <c r="G396" s="88"/>
      <c r="H396" s="89"/>
      <c r="I396" s="89"/>
      <c r="J396" s="89"/>
      <c r="K396" s="2078"/>
      <c r="L396" s="2033">
        <v>500</v>
      </c>
      <c r="M396" s="2089"/>
      <c r="O396" s="77"/>
    </row>
    <row r="397" spans="1:15">
      <c r="A397" s="58"/>
      <c r="B397" s="777" t="s">
        <v>2929</v>
      </c>
      <c r="C397" s="2068"/>
      <c r="D397" s="2070" t="s">
        <v>3166</v>
      </c>
      <c r="E397" s="2071">
        <v>20</v>
      </c>
      <c r="F397" s="2069" t="s">
        <v>3167</v>
      </c>
      <c r="G397" s="59"/>
      <c r="H397" s="60"/>
      <c r="I397" s="60"/>
      <c r="J397" s="60"/>
      <c r="K397" s="143"/>
      <c r="L397" s="2033">
        <v>3600</v>
      </c>
      <c r="M397" s="109"/>
      <c r="O397" s="62"/>
    </row>
    <row r="398" spans="1:15">
      <c r="A398" s="58"/>
      <c r="B398" s="777" t="s">
        <v>2929</v>
      </c>
      <c r="C398" s="2068"/>
      <c r="D398" s="2070" t="s">
        <v>3168</v>
      </c>
      <c r="E398" s="2071">
        <v>15</v>
      </c>
      <c r="F398" s="2069" t="s">
        <v>3169</v>
      </c>
      <c r="G398" s="59"/>
      <c r="H398" s="60"/>
      <c r="I398" s="60"/>
      <c r="J398" s="60"/>
      <c r="K398" s="143"/>
      <c r="L398" s="2033">
        <v>750</v>
      </c>
      <c r="M398" s="109"/>
      <c r="O398" s="62"/>
    </row>
    <row r="399" spans="1:15">
      <c r="A399" s="58"/>
      <c r="B399" s="777" t="s">
        <v>2929</v>
      </c>
      <c r="C399" s="2068"/>
      <c r="D399" s="2070" t="s">
        <v>3170</v>
      </c>
      <c r="E399" s="2071">
        <v>10</v>
      </c>
      <c r="F399" s="2069" t="s">
        <v>3007</v>
      </c>
      <c r="G399" s="58"/>
      <c r="H399" s="59"/>
      <c r="I399" s="60"/>
      <c r="J399" s="60"/>
      <c r="K399" s="2080"/>
      <c r="L399" s="2033">
        <v>4000</v>
      </c>
      <c r="M399" s="2090"/>
      <c r="N399" s="58"/>
      <c r="O399" s="62"/>
    </row>
    <row r="400" spans="1:15">
      <c r="A400" s="58"/>
      <c r="B400" s="777" t="s">
        <v>2929</v>
      </c>
      <c r="C400" s="2068"/>
      <c r="D400" s="2070" t="s">
        <v>3171</v>
      </c>
      <c r="E400" s="2071">
        <v>10</v>
      </c>
      <c r="F400" s="2069" t="s">
        <v>3007</v>
      </c>
      <c r="G400" s="58"/>
      <c r="H400" s="59"/>
      <c r="I400" s="60"/>
      <c r="J400" s="60"/>
      <c r="K400" s="2080"/>
      <c r="L400" s="2033">
        <v>2150</v>
      </c>
      <c r="M400" s="2090"/>
      <c r="N400" s="58"/>
      <c r="O400" s="62"/>
    </row>
    <row r="401" spans="2:15">
      <c r="B401" s="777" t="s">
        <v>2929</v>
      </c>
      <c r="C401" s="2068"/>
      <c r="D401" s="2070" t="s">
        <v>3172</v>
      </c>
      <c r="E401" s="2071">
        <v>10</v>
      </c>
      <c r="F401" s="2069" t="s">
        <v>3025</v>
      </c>
      <c r="G401" s="90"/>
      <c r="H401" s="91"/>
      <c r="I401" s="91"/>
      <c r="J401" s="91"/>
      <c r="K401" s="2077"/>
      <c r="L401" s="2033">
        <v>700</v>
      </c>
      <c r="M401" s="2088"/>
      <c r="N401" s="91"/>
      <c r="O401" s="91"/>
    </row>
    <row r="402" spans="2:15">
      <c r="B402" s="777" t="s">
        <v>2929</v>
      </c>
      <c r="C402" s="2068"/>
      <c r="D402" s="2070" t="s">
        <v>3173</v>
      </c>
      <c r="E402" s="2071">
        <v>5</v>
      </c>
      <c r="F402" s="2069" t="s">
        <v>3007</v>
      </c>
      <c r="G402" s="90"/>
      <c r="H402" s="91"/>
      <c r="I402" s="91"/>
      <c r="J402" s="91"/>
      <c r="K402" s="2077"/>
      <c r="L402" s="2033">
        <v>1500</v>
      </c>
      <c r="M402" s="2088"/>
      <c r="N402" s="91"/>
      <c r="O402" s="124"/>
    </row>
    <row r="403" spans="2:15">
      <c r="B403" s="777" t="s">
        <v>2929</v>
      </c>
      <c r="C403" s="2068"/>
      <c r="D403" s="2070" t="s">
        <v>3174</v>
      </c>
      <c r="E403" s="2071">
        <v>50</v>
      </c>
      <c r="F403" s="2069" t="s">
        <v>3007</v>
      </c>
      <c r="G403" s="90"/>
      <c r="H403" s="91"/>
      <c r="I403" s="91"/>
      <c r="J403" s="91"/>
      <c r="K403" s="2077"/>
      <c r="L403" s="2033">
        <v>7500</v>
      </c>
      <c r="M403" s="2088"/>
      <c r="N403" s="91"/>
      <c r="O403" s="124"/>
    </row>
    <row r="404" spans="2:15">
      <c r="B404" s="777" t="s">
        <v>2929</v>
      </c>
      <c r="C404" s="2068"/>
      <c r="D404" s="2070" t="s">
        <v>3175</v>
      </c>
      <c r="E404" s="2071">
        <v>8</v>
      </c>
      <c r="F404" s="2069" t="s">
        <v>3016</v>
      </c>
      <c r="G404" s="90"/>
      <c r="H404" s="91"/>
      <c r="I404" s="91"/>
      <c r="J404" s="91"/>
      <c r="K404" s="2077"/>
      <c r="L404" s="2033">
        <v>1520</v>
      </c>
      <c r="M404" s="2088"/>
      <c r="N404" s="91"/>
      <c r="O404" s="124"/>
    </row>
    <row r="405" spans="2:15">
      <c r="B405" s="777" t="s">
        <v>2929</v>
      </c>
      <c r="C405" s="2068"/>
      <c r="D405" s="2070" t="s">
        <v>3176</v>
      </c>
      <c r="E405" s="2071">
        <v>8</v>
      </c>
      <c r="F405" s="2069" t="s">
        <v>3007</v>
      </c>
      <c r="G405" s="90"/>
      <c r="H405" s="91"/>
      <c r="I405" s="91"/>
      <c r="J405" s="91"/>
      <c r="K405" s="2077"/>
      <c r="L405" s="2033">
        <v>3040</v>
      </c>
      <c r="M405" s="2088"/>
      <c r="N405" s="91"/>
      <c r="O405" s="124"/>
    </row>
    <row r="406" spans="2:15">
      <c r="B406" s="777" t="s">
        <v>2929</v>
      </c>
      <c r="C406" s="2068"/>
      <c r="D406" s="2070" t="s">
        <v>3177</v>
      </c>
      <c r="E406" s="2071">
        <v>100</v>
      </c>
      <c r="F406" s="2069" t="s">
        <v>3053</v>
      </c>
      <c r="G406" s="90"/>
      <c r="H406" s="91"/>
      <c r="I406" s="91"/>
      <c r="J406" s="91"/>
      <c r="K406" s="2077"/>
      <c r="L406" s="2033">
        <v>1500</v>
      </c>
      <c r="M406" s="2088"/>
      <c r="N406" s="91"/>
      <c r="O406" s="124"/>
    </row>
    <row r="407" spans="2:15">
      <c r="B407" s="777" t="s">
        <v>2929</v>
      </c>
      <c r="C407" s="2068"/>
      <c r="D407" s="2070" t="s">
        <v>3178</v>
      </c>
      <c r="E407" s="2071">
        <v>50</v>
      </c>
      <c r="F407" s="2069" t="s">
        <v>3020</v>
      </c>
      <c r="G407" s="90"/>
      <c r="H407" s="91"/>
      <c r="I407" s="91"/>
      <c r="J407" s="91"/>
      <c r="K407" s="2077"/>
      <c r="L407" s="2033">
        <v>750</v>
      </c>
      <c r="M407" s="2088"/>
      <c r="N407" s="91"/>
      <c r="O407" s="124"/>
    </row>
    <row r="408" spans="2:15">
      <c r="B408" s="777" t="s">
        <v>2929</v>
      </c>
      <c r="C408" s="2068"/>
      <c r="D408" s="2070" t="s">
        <v>3179</v>
      </c>
      <c r="E408" s="2071">
        <v>70</v>
      </c>
      <c r="F408" s="2069" t="s">
        <v>3025</v>
      </c>
      <c r="G408" s="90"/>
      <c r="H408" s="91"/>
      <c r="I408" s="91"/>
      <c r="J408" s="91"/>
      <c r="K408" s="2077"/>
      <c r="L408" s="2033">
        <v>8400</v>
      </c>
      <c r="M408" s="2088"/>
      <c r="N408" s="91"/>
      <c r="O408" s="124"/>
    </row>
    <row r="409" spans="2:15">
      <c r="B409" s="777" t="s">
        <v>2929</v>
      </c>
      <c r="C409" s="2068"/>
      <c r="D409" s="2070" t="s">
        <v>3180</v>
      </c>
      <c r="E409" s="2071">
        <v>300</v>
      </c>
      <c r="F409" s="2069" t="s">
        <v>3023</v>
      </c>
      <c r="G409" s="90"/>
      <c r="H409" s="91"/>
      <c r="I409" s="91"/>
      <c r="J409" s="91"/>
      <c r="K409" s="2077"/>
      <c r="L409" s="2033">
        <v>6000</v>
      </c>
      <c r="M409" s="2088"/>
      <c r="N409" s="91"/>
      <c r="O409" s="124"/>
    </row>
    <row r="410" spans="2:15">
      <c r="B410" s="777" t="s">
        <v>2929</v>
      </c>
      <c r="C410" s="2068"/>
      <c r="D410" s="2070" t="s">
        <v>3181</v>
      </c>
      <c r="E410" s="2071">
        <v>100</v>
      </c>
      <c r="F410" s="2069" t="s">
        <v>3048</v>
      </c>
      <c r="G410" s="90"/>
      <c r="H410" s="91"/>
      <c r="I410" s="91"/>
      <c r="J410" s="91"/>
      <c r="K410" s="2077"/>
      <c r="L410" s="2033">
        <v>7500</v>
      </c>
      <c r="M410" s="2088"/>
      <c r="N410" s="91"/>
      <c r="O410" s="124"/>
    </row>
    <row r="411" spans="2:15">
      <c r="B411" s="777" t="s">
        <v>2929</v>
      </c>
      <c r="C411" s="2068"/>
      <c r="D411" s="2070" t="s">
        <v>3182</v>
      </c>
      <c r="E411" s="2071">
        <v>100</v>
      </c>
      <c r="F411" s="2069" t="s">
        <v>3023</v>
      </c>
      <c r="G411" s="6"/>
      <c r="H411" s="5"/>
      <c r="I411" s="5"/>
      <c r="J411" s="5"/>
      <c r="K411" s="2081"/>
      <c r="L411" s="2033">
        <v>2000</v>
      </c>
      <c r="M411" s="2091"/>
      <c r="N411" s="2"/>
    </row>
    <row r="412" spans="2:15">
      <c r="B412" s="777" t="s">
        <v>2929</v>
      </c>
      <c r="C412" s="2068"/>
      <c r="D412" s="2070" t="s">
        <v>3183</v>
      </c>
      <c r="E412" s="2071">
        <v>50</v>
      </c>
      <c r="F412" s="2069" t="s">
        <v>3025</v>
      </c>
      <c r="G412" s="6"/>
      <c r="H412" s="5"/>
      <c r="I412" s="5"/>
      <c r="J412" s="5"/>
      <c r="K412" s="2081"/>
      <c r="L412" s="2033">
        <v>1750</v>
      </c>
      <c r="M412" s="2091"/>
      <c r="N412" s="2"/>
    </row>
    <row r="413" spans="2:15">
      <c r="B413" s="777" t="s">
        <v>2929</v>
      </c>
      <c r="C413" s="2068"/>
      <c r="D413" s="2070" t="s">
        <v>3184</v>
      </c>
      <c r="E413" s="2071">
        <v>100</v>
      </c>
      <c r="F413" s="2069" t="s">
        <v>3048</v>
      </c>
      <c r="G413" s="6"/>
      <c r="H413" s="5"/>
      <c r="I413" s="5"/>
      <c r="J413" s="5"/>
      <c r="K413" s="2081"/>
      <c r="L413" s="2033">
        <v>5000</v>
      </c>
      <c r="M413" s="2091"/>
      <c r="N413" s="2"/>
    </row>
    <row r="414" spans="2:15">
      <c r="B414" s="777" t="s">
        <v>2929</v>
      </c>
      <c r="C414" s="2068"/>
      <c r="D414" s="2070" t="s">
        <v>3185</v>
      </c>
      <c r="E414" s="2071">
        <v>200</v>
      </c>
      <c r="F414" s="2069" t="s">
        <v>3023</v>
      </c>
      <c r="G414" s="6"/>
      <c r="H414" s="5"/>
      <c r="I414" s="5"/>
      <c r="J414" s="5"/>
      <c r="K414" s="2081"/>
      <c r="L414" s="2033">
        <v>5400</v>
      </c>
      <c r="M414" s="2091"/>
      <c r="N414" s="2"/>
    </row>
    <row r="415" spans="2:15">
      <c r="B415" s="777" t="s">
        <v>2929</v>
      </c>
      <c r="C415" s="2068"/>
      <c r="D415" s="2070" t="s">
        <v>3186</v>
      </c>
      <c r="E415" s="2071">
        <v>50</v>
      </c>
      <c r="F415" s="2069" t="s">
        <v>3007</v>
      </c>
      <c r="G415" s="6"/>
      <c r="H415" s="5"/>
      <c r="I415" s="5"/>
      <c r="J415" s="5"/>
      <c r="K415" s="2081"/>
      <c r="L415" s="2033">
        <v>5500</v>
      </c>
      <c r="M415" s="2091"/>
      <c r="N415" s="2"/>
    </row>
    <row r="416" spans="2:15">
      <c r="B416" s="777" t="s">
        <v>2929</v>
      </c>
      <c r="C416" s="2068"/>
      <c r="D416" s="2070" t="s">
        <v>3187</v>
      </c>
      <c r="E416" s="2071">
        <v>10</v>
      </c>
      <c r="F416" s="2069" t="s">
        <v>3023</v>
      </c>
      <c r="G416" s="6"/>
      <c r="H416" s="5"/>
      <c r="I416" s="5"/>
      <c r="J416" s="5"/>
      <c r="K416" s="2081"/>
      <c r="L416" s="2033">
        <v>1150</v>
      </c>
      <c r="M416" s="2091"/>
      <c r="N416" s="2"/>
    </row>
    <row r="417" spans="2:14">
      <c r="B417" s="777" t="s">
        <v>2929</v>
      </c>
      <c r="C417" s="2068"/>
      <c r="D417" s="2070" t="s">
        <v>3188</v>
      </c>
      <c r="E417" s="2071">
        <v>10</v>
      </c>
      <c r="F417" s="2069" t="s">
        <v>3025</v>
      </c>
      <c r="G417" s="6"/>
      <c r="H417" s="5"/>
      <c r="I417" s="5"/>
      <c r="J417" s="5"/>
      <c r="K417" s="2081"/>
      <c r="L417" s="2033">
        <v>3500</v>
      </c>
      <c r="M417" s="2091"/>
      <c r="N417" s="2"/>
    </row>
    <row r="418" spans="2:14">
      <c r="B418" s="777" t="s">
        <v>2929</v>
      </c>
      <c r="C418" s="2068"/>
      <c r="D418" s="2070" t="s">
        <v>3189</v>
      </c>
      <c r="E418" s="2071">
        <v>30</v>
      </c>
      <c r="F418" s="2069" t="s">
        <v>3064</v>
      </c>
      <c r="G418" s="6"/>
      <c r="H418" s="5"/>
      <c r="I418" s="5"/>
      <c r="J418" s="5"/>
      <c r="K418" s="2081"/>
      <c r="L418" s="2033">
        <v>450</v>
      </c>
      <c r="M418" s="2091"/>
      <c r="N418" s="2"/>
    </row>
    <row r="419" spans="2:14">
      <c r="B419" s="777" t="s">
        <v>2929</v>
      </c>
      <c r="C419" s="2068"/>
      <c r="D419" s="2070" t="s">
        <v>3190</v>
      </c>
      <c r="E419" s="2071">
        <v>10</v>
      </c>
      <c r="F419" s="2069" t="s">
        <v>3023</v>
      </c>
      <c r="G419" s="6"/>
      <c r="H419" s="5"/>
      <c r="I419" s="5"/>
      <c r="J419" s="5"/>
      <c r="K419" s="2081"/>
      <c r="L419" s="2033">
        <v>4500</v>
      </c>
      <c r="M419" s="2091"/>
      <c r="N419" s="2"/>
    </row>
    <row r="420" spans="2:14">
      <c r="B420" s="777" t="s">
        <v>2929</v>
      </c>
      <c r="C420" s="2068"/>
      <c r="D420" s="2070" t="s">
        <v>3191</v>
      </c>
      <c r="E420" s="2071">
        <v>10</v>
      </c>
      <c r="F420" s="2069" t="s">
        <v>3025</v>
      </c>
      <c r="G420" s="6"/>
      <c r="H420" s="5"/>
      <c r="I420" s="5"/>
      <c r="J420" s="5"/>
      <c r="K420" s="2081"/>
      <c r="L420" s="2033">
        <v>2400</v>
      </c>
      <c r="M420" s="2091"/>
      <c r="N420" s="2"/>
    </row>
    <row r="421" spans="2:14">
      <c r="B421" s="777" t="s">
        <v>2929</v>
      </c>
      <c r="C421" s="2068"/>
      <c r="D421" s="2070" t="s">
        <v>3192</v>
      </c>
      <c r="E421" s="2071">
        <v>498</v>
      </c>
      <c r="F421" s="2069" t="s">
        <v>3025</v>
      </c>
      <c r="G421" s="6"/>
      <c r="H421" s="5"/>
      <c r="I421" s="5"/>
      <c r="J421" s="5"/>
      <c r="K421" s="2081"/>
      <c r="L421" s="2033">
        <v>7470</v>
      </c>
      <c r="M421" s="2091"/>
      <c r="N421" s="2"/>
    </row>
    <row r="422" spans="2:14">
      <c r="B422" s="777" t="s">
        <v>2929</v>
      </c>
      <c r="C422" s="2068"/>
      <c r="D422" s="2070" t="s">
        <v>3193</v>
      </c>
      <c r="E422" s="2071">
        <v>40</v>
      </c>
      <c r="F422" s="2069" t="s">
        <v>3025</v>
      </c>
      <c r="G422" s="6"/>
      <c r="H422" s="5"/>
      <c r="I422" s="5"/>
      <c r="J422" s="5"/>
      <c r="K422" s="2081"/>
      <c r="L422" s="2033">
        <v>800</v>
      </c>
      <c r="M422" s="2091"/>
      <c r="N422" s="2"/>
    </row>
    <row r="423" spans="2:14">
      <c r="B423" s="777" t="s">
        <v>2929</v>
      </c>
      <c r="C423" s="2068"/>
      <c r="D423" s="2070" t="s">
        <v>3194</v>
      </c>
      <c r="E423" s="2071">
        <v>100</v>
      </c>
      <c r="F423" s="2069" t="s">
        <v>3064</v>
      </c>
      <c r="G423" s="6"/>
      <c r="H423" s="5"/>
      <c r="I423" s="5"/>
      <c r="J423" s="5"/>
      <c r="K423" s="2081"/>
      <c r="L423" s="2033">
        <v>3600</v>
      </c>
      <c r="M423" s="2091"/>
      <c r="N423" s="2"/>
    </row>
    <row r="424" spans="2:14" ht="14.25" customHeight="1">
      <c r="B424" s="777" t="s">
        <v>2929</v>
      </c>
      <c r="C424" s="2068"/>
      <c r="D424" s="2070" t="s">
        <v>3195</v>
      </c>
      <c r="E424" s="2071">
        <v>20</v>
      </c>
      <c r="F424" s="2069" t="s">
        <v>3007</v>
      </c>
      <c r="G424" s="6"/>
      <c r="H424" s="5"/>
      <c r="I424" s="5"/>
      <c r="J424" s="5"/>
      <c r="K424" s="2081"/>
      <c r="L424" s="2033">
        <v>1300</v>
      </c>
      <c r="M424" s="2091"/>
      <c r="N424" s="2"/>
    </row>
    <row r="425" spans="2:14" ht="14.25" customHeight="1">
      <c r="B425" s="777" t="s">
        <v>2929</v>
      </c>
      <c r="C425" s="2068"/>
      <c r="D425" s="2070" t="s">
        <v>3196</v>
      </c>
      <c r="E425" s="2071">
        <v>100</v>
      </c>
      <c r="F425" s="2069" t="s">
        <v>3020</v>
      </c>
      <c r="G425" s="6"/>
      <c r="H425" s="5"/>
      <c r="I425" s="5"/>
      <c r="J425" s="5"/>
      <c r="K425" s="2081"/>
      <c r="L425" s="2033">
        <v>4000</v>
      </c>
      <c r="M425" s="2091"/>
      <c r="N425" s="2"/>
    </row>
    <row r="426" spans="2:14" ht="14.25" customHeight="1">
      <c r="B426" s="777" t="s">
        <v>2929</v>
      </c>
      <c r="C426" s="2068"/>
      <c r="D426" s="2070" t="s">
        <v>3197</v>
      </c>
      <c r="E426" s="2071">
        <v>10</v>
      </c>
      <c r="F426" s="2069" t="s">
        <v>3023</v>
      </c>
      <c r="G426" s="6"/>
      <c r="H426" s="5"/>
      <c r="I426" s="5"/>
      <c r="J426" s="5"/>
      <c r="K426" s="2081"/>
      <c r="L426" s="2033">
        <v>700</v>
      </c>
      <c r="M426" s="2091"/>
      <c r="N426" s="2"/>
    </row>
    <row r="427" spans="2:14" ht="14.25" customHeight="1">
      <c r="B427" s="777" t="s">
        <v>2929</v>
      </c>
      <c r="C427" s="2068"/>
      <c r="D427" s="2070" t="s">
        <v>3198</v>
      </c>
      <c r="E427" s="2071">
        <v>6</v>
      </c>
      <c r="F427" s="2069" t="s">
        <v>3016</v>
      </c>
      <c r="G427" s="6"/>
      <c r="H427" s="5"/>
      <c r="I427" s="5"/>
      <c r="J427" s="5"/>
      <c r="K427" s="2081"/>
      <c r="L427" s="2033">
        <v>300</v>
      </c>
      <c r="M427" s="2091"/>
      <c r="N427" s="2"/>
    </row>
    <row r="428" spans="2:14" ht="14.25" customHeight="1">
      <c r="B428" s="777" t="s">
        <v>2929</v>
      </c>
      <c r="C428" s="2068"/>
      <c r="D428" s="2070" t="s">
        <v>3199</v>
      </c>
      <c r="E428" s="2071">
        <v>180</v>
      </c>
      <c r="F428" s="2069" t="s">
        <v>3025</v>
      </c>
      <c r="G428" s="6"/>
      <c r="H428" s="5"/>
      <c r="I428" s="5"/>
      <c r="J428" s="5"/>
      <c r="K428" s="2081"/>
      <c r="L428" s="2033">
        <v>2700</v>
      </c>
      <c r="M428" s="2091"/>
      <c r="N428" s="2"/>
    </row>
    <row r="429" spans="2:14" ht="14.25" customHeight="1">
      <c r="B429" s="777" t="s">
        <v>2929</v>
      </c>
      <c r="C429" s="2068"/>
      <c r="D429" s="2070" t="s">
        <v>3200</v>
      </c>
      <c r="E429" s="2071">
        <v>4</v>
      </c>
      <c r="F429" s="2069" t="s">
        <v>3007</v>
      </c>
      <c r="G429" s="6"/>
      <c r="H429" s="5"/>
      <c r="I429" s="5"/>
      <c r="J429" s="5"/>
      <c r="K429" s="2081"/>
      <c r="L429" s="2033">
        <v>643.70000000000005</v>
      </c>
      <c r="M429" s="2091"/>
      <c r="N429" s="2"/>
    </row>
    <row r="430" spans="2:14" ht="14.25" customHeight="1">
      <c r="B430" s="777" t="s">
        <v>2929</v>
      </c>
      <c r="C430" s="2068"/>
      <c r="D430" s="2070" t="s">
        <v>3201</v>
      </c>
      <c r="E430" s="2071">
        <v>24</v>
      </c>
      <c r="F430" s="2069" t="s">
        <v>3007</v>
      </c>
      <c r="G430" s="6"/>
      <c r="H430" s="5"/>
      <c r="I430" s="5"/>
      <c r="J430" s="5"/>
      <c r="K430" s="2081"/>
      <c r="L430" s="2033">
        <v>1800</v>
      </c>
      <c r="M430" s="2091"/>
      <c r="N430" s="2"/>
    </row>
    <row r="431" spans="2:14" ht="14.25" customHeight="1">
      <c r="B431" s="777" t="s">
        <v>2929</v>
      </c>
      <c r="C431" s="2068"/>
      <c r="D431" s="2070" t="s">
        <v>3202</v>
      </c>
      <c r="E431" s="2071">
        <v>60</v>
      </c>
      <c r="F431" s="2069" t="s">
        <v>3023</v>
      </c>
      <c r="G431" s="6"/>
      <c r="H431" s="5"/>
      <c r="I431" s="5"/>
      <c r="J431" s="5"/>
      <c r="K431" s="2081"/>
      <c r="L431" s="2033">
        <v>1500</v>
      </c>
      <c r="M431" s="2091"/>
      <c r="N431" s="2"/>
    </row>
    <row r="432" spans="2:14" ht="14.25" customHeight="1">
      <c r="B432" s="777" t="s">
        <v>2929</v>
      </c>
      <c r="C432" s="2068"/>
      <c r="D432" s="2070" t="s">
        <v>3203</v>
      </c>
      <c r="E432" s="2071">
        <v>800</v>
      </c>
      <c r="F432" s="2069" t="s">
        <v>3016</v>
      </c>
      <c r="G432" s="6"/>
      <c r="H432" s="5"/>
      <c r="I432" s="5"/>
      <c r="J432" s="5"/>
      <c r="K432" s="2081"/>
      <c r="L432" s="2033">
        <v>4000</v>
      </c>
      <c r="M432" s="2091"/>
      <c r="N432" s="2"/>
    </row>
    <row r="433" spans="2:14" ht="14.25" customHeight="1">
      <c r="B433" s="777" t="s">
        <v>2929</v>
      </c>
      <c r="C433" s="2068"/>
      <c r="D433" s="2070" t="s">
        <v>3204</v>
      </c>
      <c r="E433" s="2071">
        <v>150</v>
      </c>
      <c r="F433" s="2069" t="s">
        <v>3023</v>
      </c>
      <c r="G433" s="6"/>
      <c r="H433" s="5"/>
      <c r="I433" s="5"/>
      <c r="J433" s="5"/>
      <c r="K433" s="2081"/>
      <c r="L433" s="2033">
        <v>3750</v>
      </c>
      <c r="M433" s="2091"/>
      <c r="N433" s="2"/>
    </row>
    <row r="434" spans="2:14" ht="14.25" customHeight="1">
      <c r="B434" s="777" t="s">
        <v>2929</v>
      </c>
      <c r="C434" s="2068"/>
      <c r="D434" s="2070" t="s">
        <v>3205</v>
      </c>
      <c r="E434" s="2071">
        <v>20</v>
      </c>
      <c r="F434" s="2069" t="s">
        <v>3007</v>
      </c>
      <c r="G434" s="6"/>
      <c r="H434" s="5"/>
      <c r="I434" s="5"/>
      <c r="J434" s="5"/>
      <c r="K434" s="2081"/>
      <c r="L434" s="2033">
        <v>3800</v>
      </c>
      <c r="M434" s="2091"/>
      <c r="N434" s="2"/>
    </row>
    <row r="435" spans="2:14" ht="14.25" customHeight="1">
      <c r="B435" s="777" t="s">
        <v>2929</v>
      </c>
      <c r="C435" s="2068"/>
      <c r="D435" s="2070" t="s">
        <v>3206</v>
      </c>
      <c r="E435" s="2071">
        <v>2</v>
      </c>
      <c r="F435" s="2069" t="s">
        <v>3016</v>
      </c>
      <c r="G435" s="6"/>
      <c r="H435" s="5"/>
      <c r="I435" s="5"/>
      <c r="J435" s="5"/>
      <c r="K435" s="2081"/>
      <c r="L435" s="2033">
        <v>2200</v>
      </c>
      <c r="M435" s="2091"/>
      <c r="N435" s="2"/>
    </row>
    <row r="436" spans="2:14" ht="14.25" customHeight="1">
      <c r="B436" s="777" t="s">
        <v>2929</v>
      </c>
      <c r="C436" s="2068"/>
      <c r="D436" s="2070" t="s">
        <v>3207</v>
      </c>
      <c r="E436" s="2071">
        <v>1</v>
      </c>
      <c r="F436" s="2069" t="s">
        <v>3208</v>
      </c>
      <c r="G436" s="6"/>
      <c r="H436" s="5"/>
      <c r="I436" s="5"/>
      <c r="J436" s="5"/>
      <c r="K436" s="2081"/>
      <c r="L436" s="2033">
        <v>2000</v>
      </c>
      <c r="M436" s="2091"/>
      <c r="N436" s="2"/>
    </row>
    <row r="437" spans="2:14" ht="14.25" customHeight="1">
      <c r="B437" s="777" t="s">
        <v>2929</v>
      </c>
      <c r="C437" s="2068"/>
      <c r="D437" s="2070" t="s">
        <v>3209</v>
      </c>
      <c r="E437" s="2071">
        <v>20</v>
      </c>
      <c r="F437" s="2069" t="s">
        <v>3016</v>
      </c>
      <c r="G437" s="6"/>
      <c r="H437" s="5"/>
      <c r="I437" s="5"/>
      <c r="J437" s="5"/>
      <c r="K437" s="2081"/>
      <c r="L437" s="2033">
        <v>1400</v>
      </c>
      <c r="M437" s="2091"/>
      <c r="N437" s="2"/>
    </row>
    <row r="438" spans="2:14" ht="14.25" customHeight="1">
      <c r="B438" s="777" t="s">
        <v>2929</v>
      </c>
      <c r="C438" s="2068"/>
      <c r="D438" s="2070" t="s">
        <v>3210</v>
      </c>
      <c r="E438" s="2071">
        <v>10</v>
      </c>
      <c r="F438" s="2069" t="s">
        <v>3007</v>
      </c>
      <c r="G438" s="6"/>
      <c r="H438" s="5"/>
      <c r="I438" s="5"/>
      <c r="J438" s="5"/>
      <c r="K438" s="2081"/>
      <c r="L438" s="2033">
        <v>1150</v>
      </c>
      <c r="M438" s="2091"/>
      <c r="N438" s="2"/>
    </row>
    <row r="439" spans="2:14" ht="14.25" customHeight="1">
      <c r="B439" s="777" t="s">
        <v>2929</v>
      </c>
      <c r="C439" s="2068"/>
      <c r="D439" s="2070" t="s">
        <v>3211</v>
      </c>
      <c r="E439" s="2071">
        <v>54</v>
      </c>
      <c r="F439" s="2069" t="s">
        <v>1885</v>
      </c>
      <c r="G439" s="6"/>
      <c r="H439" s="5"/>
      <c r="I439" s="5"/>
      <c r="J439" s="5"/>
      <c r="K439" s="2081"/>
      <c r="L439" s="2033">
        <v>1350</v>
      </c>
      <c r="M439" s="2092"/>
      <c r="N439" s="2"/>
    </row>
    <row r="440" spans="2:14" ht="14.25" customHeight="1">
      <c r="B440" s="777" t="s">
        <v>2929</v>
      </c>
      <c r="C440" s="2068"/>
      <c r="D440" s="2070" t="s">
        <v>3212</v>
      </c>
      <c r="E440" s="2071">
        <v>10</v>
      </c>
      <c r="F440" s="2069" t="s">
        <v>3025</v>
      </c>
      <c r="G440" s="5"/>
      <c r="H440" s="5"/>
      <c r="I440" s="5"/>
      <c r="J440" s="5"/>
      <c r="K440" s="2082"/>
      <c r="L440" s="2033">
        <v>800</v>
      </c>
      <c r="M440" s="2092"/>
      <c r="N440" s="2"/>
    </row>
    <row r="441" spans="2:14" ht="14.25" customHeight="1">
      <c r="B441" s="777" t="s">
        <v>2929</v>
      </c>
      <c r="C441" s="2068"/>
      <c r="D441" s="2070" t="s">
        <v>3213</v>
      </c>
      <c r="E441" s="2071">
        <v>10</v>
      </c>
      <c r="F441" s="2069" t="s">
        <v>2334</v>
      </c>
      <c r="G441" s="19"/>
      <c r="H441" s="19"/>
      <c r="I441" s="19"/>
      <c r="J441" s="19"/>
      <c r="K441" s="562"/>
      <c r="L441" s="2033">
        <v>1300</v>
      </c>
      <c r="M441" s="2093"/>
      <c r="N441" s="19"/>
    </row>
    <row r="442" spans="2:14" ht="14.25" customHeight="1">
      <c r="B442" s="777" t="s">
        <v>2929</v>
      </c>
      <c r="C442" s="2068"/>
      <c r="D442" s="2070" t="s">
        <v>3214</v>
      </c>
      <c r="E442" s="2071">
        <v>67</v>
      </c>
      <c r="F442" s="2069" t="s">
        <v>3025</v>
      </c>
      <c r="G442" s="28"/>
      <c r="H442" s="26"/>
      <c r="I442" s="26"/>
      <c r="J442" s="26"/>
      <c r="K442" s="2083"/>
      <c r="L442" s="2033">
        <v>6030.85</v>
      </c>
      <c r="M442" s="2094"/>
      <c r="N442" s="27"/>
    </row>
    <row r="443" spans="2:14" s="1" customFormat="1" ht="14.25" customHeight="1">
      <c r="B443" s="777" t="s">
        <v>2929</v>
      </c>
      <c r="C443" s="2068"/>
      <c r="D443" s="2070" t="s">
        <v>3215</v>
      </c>
      <c r="E443" s="2071">
        <v>10</v>
      </c>
      <c r="F443" s="2069" t="s">
        <v>3007</v>
      </c>
      <c r="G443" s="28"/>
      <c r="H443" s="26"/>
      <c r="I443" s="26"/>
      <c r="J443" s="26"/>
      <c r="K443" s="2083"/>
      <c r="L443" s="2033">
        <v>2000</v>
      </c>
      <c r="M443" s="2094"/>
      <c r="N443" s="27"/>
    </row>
    <row r="444" spans="2:14" s="1" customFormat="1" ht="14.25" customHeight="1">
      <c r="B444" s="777" t="s">
        <v>2929</v>
      </c>
      <c r="C444" s="2068"/>
      <c r="D444" s="2070" t="s">
        <v>3216</v>
      </c>
      <c r="E444" s="2071">
        <v>8</v>
      </c>
      <c r="F444" s="2069" t="s">
        <v>3007</v>
      </c>
      <c r="G444" s="22"/>
      <c r="H444" s="23"/>
      <c r="I444" s="23"/>
      <c r="J444" s="23"/>
      <c r="K444" s="2084"/>
      <c r="L444" s="2033">
        <v>1440</v>
      </c>
      <c r="M444" s="2095"/>
      <c r="N444" s="25"/>
    </row>
    <row r="445" spans="2:14">
      <c r="B445" s="777" t="s">
        <v>2929</v>
      </c>
      <c r="C445" s="2068"/>
      <c r="D445" s="2070" t="s">
        <v>3217</v>
      </c>
      <c r="E445" s="2071">
        <v>86</v>
      </c>
      <c r="F445" s="2069" t="s">
        <v>3025</v>
      </c>
      <c r="G445" s="19"/>
      <c r="H445" s="19"/>
      <c r="I445" s="19"/>
      <c r="J445" s="19"/>
      <c r="K445" s="19"/>
      <c r="L445" s="2033">
        <v>7912</v>
      </c>
      <c r="M445" s="19"/>
      <c r="N445" s="19"/>
    </row>
    <row r="446" spans="2:14">
      <c r="B446" s="777" t="s">
        <v>2929</v>
      </c>
      <c r="C446" s="2068"/>
      <c r="D446" s="2070" t="s">
        <v>3218</v>
      </c>
      <c r="E446" s="2071">
        <v>10</v>
      </c>
      <c r="F446" s="2069" t="s">
        <v>3007</v>
      </c>
      <c r="G446" s="19"/>
      <c r="H446" s="19"/>
      <c r="I446" s="19"/>
      <c r="J446" s="19"/>
      <c r="K446" s="19"/>
      <c r="L446" s="2033">
        <v>3500</v>
      </c>
      <c r="M446" s="19"/>
      <c r="N446" s="19"/>
    </row>
    <row r="447" spans="2:14">
      <c r="B447" s="777" t="s">
        <v>2929</v>
      </c>
      <c r="C447" s="2068"/>
      <c r="D447" s="2070" t="s">
        <v>3219</v>
      </c>
      <c r="E447" s="2071">
        <v>80</v>
      </c>
      <c r="F447" s="2069" t="s">
        <v>3025</v>
      </c>
      <c r="G447" s="19"/>
      <c r="H447" s="19"/>
      <c r="I447" s="19"/>
      <c r="J447" s="19"/>
      <c r="K447" s="19"/>
      <c r="L447" s="2033">
        <v>2000</v>
      </c>
      <c r="M447" s="19"/>
      <c r="N447" s="19"/>
    </row>
    <row r="448" spans="2:14">
      <c r="B448" s="777" t="s">
        <v>2929</v>
      </c>
      <c r="C448" s="2068"/>
      <c r="D448" s="2070" t="s">
        <v>3220</v>
      </c>
      <c r="E448" s="2071">
        <v>9</v>
      </c>
      <c r="F448" s="2069" t="s">
        <v>3007</v>
      </c>
      <c r="G448" s="19"/>
      <c r="H448" s="19"/>
      <c r="I448" s="19"/>
      <c r="J448" s="19"/>
      <c r="K448" s="19"/>
      <c r="L448" s="2033">
        <v>4014</v>
      </c>
      <c r="M448" s="19"/>
      <c r="N448" s="19"/>
    </row>
    <row r="449" spans="2:16">
      <c r="B449" s="777" t="s">
        <v>2929</v>
      </c>
      <c r="C449" s="2068"/>
      <c r="D449" s="2070" t="s">
        <v>3221</v>
      </c>
      <c r="E449" s="2071">
        <v>10</v>
      </c>
      <c r="F449" s="2069" t="s">
        <v>3025</v>
      </c>
      <c r="G449" s="19"/>
      <c r="H449" s="19"/>
      <c r="I449" s="19"/>
      <c r="J449" s="19"/>
      <c r="K449" s="19"/>
      <c r="L449" s="2033">
        <v>3200</v>
      </c>
      <c r="M449" s="19"/>
      <c r="N449" s="19"/>
    </row>
    <row r="450" spans="2:16">
      <c r="B450" s="777" t="s">
        <v>2929</v>
      </c>
      <c r="C450" s="2068"/>
      <c r="D450" s="2070" t="s">
        <v>3222</v>
      </c>
      <c r="E450" s="2071">
        <v>30</v>
      </c>
      <c r="F450" s="2069" t="s">
        <v>3007</v>
      </c>
      <c r="G450" s="19"/>
      <c r="H450" s="19"/>
      <c r="I450" s="19"/>
      <c r="J450" s="19"/>
      <c r="K450" s="19"/>
      <c r="L450" s="2033">
        <v>2700</v>
      </c>
      <c r="M450" s="19"/>
      <c r="N450" s="19"/>
    </row>
    <row r="451" spans="2:16">
      <c r="B451" s="777" t="s">
        <v>2929</v>
      </c>
      <c r="C451" s="2068"/>
      <c r="D451" s="2070" t="s">
        <v>3223</v>
      </c>
      <c r="E451" s="2071">
        <v>50</v>
      </c>
      <c r="F451" s="2069" t="s">
        <v>3023</v>
      </c>
      <c r="G451" s="19"/>
      <c r="H451" s="19"/>
      <c r="I451" s="19"/>
      <c r="J451" s="19"/>
      <c r="K451" s="19"/>
      <c r="L451" s="2033">
        <v>2500</v>
      </c>
      <c r="M451" s="19"/>
      <c r="N451" s="19"/>
    </row>
    <row r="452" spans="2:16">
      <c r="B452" s="777" t="s">
        <v>2929</v>
      </c>
      <c r="C452" s="2011"/>
      <c r="D452" s="2070" t="s">
        <v>3224</v>
      </c>
      <c r="E452" s="2071">
        <v>80</v>
      </c>
      <c r="F452" s="2069" t="s">
        <v>3023</v>
      </c>
      <c r="G452" s="19"/>
      <c r="H452" s="19"/>
      <c r="I452" s="19"/>
      <c r="J452" s="19"/>
      <c r="K452" s="19"/>
      <c r="L452" s="2033">
        <v>3600</v>
      </c>
      <c r="M452" s="19"/>
      <c r="N452" s="19"/>
    </row>
    <row r="453" spans="2:16">
      <c r="B453" s="777"/>
      <c r="C453" s="2800"/>
      <c r="D453" s="2801"/>
      <c r="E453" s="2802"/>
      <c r="F453" s="2803"/>
      <c r="G453" s="2804"/>
      <c r="H453" s="2804"/>
      <c r="I453" s="2804"/>
      <c r="J453" s="2804"/>
      <c r="K453" s="2804"/>
      <c r="L453" s="2805"/>
      <c r="M453" s="2804"/>
      <c r="N453" s="2804"/>
    </row>
    <row r="454" spans="2:16" ht="15.75" thickBot="1">
      <c r="B454" s="777"/>
      <c r="C454" s="2800"/>
      <c r="D454" s="2801"/>
      <c r="E454" s="2802"/>
      <c r="F454" s="2803"/>
      <c r="G454" s="2804"/>
      <c r="H454" s="2804"/>
      <c r="I454" s="2804"/>
      <c r="J454" s="2804"/>
      <c r="K454" s="2804"/>
      <c r="L454" s="2805"/>
      <c r="M454" s="2804"/>
      <c r="N454" s="2804"/>
    </row>
    <row r="455" spans="2:16" ht="157.5" customHeight="1">
      <c r="B455" s="827" t="s">
        <v>4006</v>
      </c>
      <c r="C455" s="1912" t="s">
        <v>4008</v>
      </c>
      <c r="D455" s="2828" t="s">
        <v>4009</v>
      </c>
      <c r="E455" s="19"/>
      <c r="F455" s="2829" t="s">
        <v>116</v>
      </c>
      <c r="G455" s="2829" t="s">
        <v>4012</v>
      </c>
      <c r="H455" s="2830">
        <v>46023</v>
      </c>
      <c r="I455" s="2830">
        <v>46174</v>
      </c>
      <c r="J455" s="2829" t="s">
        <v>4410</v>
      </c>
      <c r="K455" s="2829" t="s">
        <v>4411</v>
      </c>
      <c r="L455" s="19"/>
      <c r="M455" s="1912" t="s">
        <v>2217</v>
      </c>
      <c r="P455" s="2807"/>
    </row>
    <row r="456" spans="2:16" ht="67.5" customHeight="1">
      <c r="B456" s="827" t="s">
        <v>4006</v>
      </c>
      <c r="C456" s="1912"/>
      <c r="D456" s="2831" t="s">
        <v>4011</v>
      </c>
      <c r="E456" s="2832">
        <v>25</v>
      </c>
      <c r="F456" s="2832" t="s">
        <v>4010</v>
      </c>
      <c r="G456" s="19"/>
      <c r="H456" s="2829"/>
      <c r="I456" s="2829"/>
      <c r="J456" s="2830"/>
      <c r="K456" s="2830"/>
      <c r="L456" s="2833">
        <v>375</v>
      </c>
      <c r="M456" s="2829"/>
      <c r="O456" s="2811"/>
      <c r="P456" s="2810"/>
    </row>
    <row r="457" spans="2:16">
      <c r="B457" s="827" t="s">
        <v>4006</v>
      </c>
      <c r="C457" s="1912"/>
      <c r="D457" s="2831" t="s">
        <v>4013</v>
      </c>
      <c r="E457" s="2832">
        <v>10000</v>
      </c>
      <c r="F457" s="2832" t="s">
        <v>4010</v>
      </c>
      <c r="G457" s="19"/>
      <c r="H457" s="2829" t="s">
        <v>2757</v>
      </c>
      <c r="I457" s="2829"/>
      <c r="J457" s="2829"/>
      <c r="K457" s="2829"/>
      <c r="L457" s="2833">
        <v>220000</v>
      </c>
      <c r="M457" s="2829"/>
      <c r="O457" s="2811"/>
      <c r="P457" s="2810"/>
    </row>
    <row r="458" spans="2:16">
      <c r="B458" s="827" t="s">
        <v>4006</v>
      </c>
      <c r="C458" s="1912"/>
      <c r="D458" s="2831" t="s">
        <v>4015</v>
      </c>
      <c r="E458" s="2832">
        <v>10</v>
      </c>
      <c r="F458" s="2832" t="s">
        <v>4014</v>
      </c>
      <c r="G458" s="19"/>
      <c r="H458" s="2829" t="s">
        <v>2757</v>
      </c>
      <c r="I458" s="2829"/>
      <c r="J458" s="2829"/>
      <c r="K458" s="2829"/>
      <c r="L458" s="2833">
        <v>5960</v>
      </c>
      <c r="M458" s="2829"/>
      <c r="O458" s="2811"/>
      <c r="P458" s="2810"/>
    </row>
    <row r="459" spans="2:16">
      <c r="B459" s="827" t="s">
        <v>4006</v>
      </c>
      <c r="C459" s="1912"/>
      <c r="D459" s="2831" t="s">
        <v>4017</v>
      </c>
      <c r="E459" s="2832">
        <v>10</v>
      </c>
      <c r="F459" s="2834" t="s">
        <v>4016</v>
      </c>
      <c r="G459" s="19"/>
      <c r="H459" s="2829" t="s">
        <v>2757</v>
      </c>
      <c r="I459" s="2829"/>
      <c r="J459" s="2829"/>
      <c r="K459" s="2829"/>
      <c r="L459" s="2833">
        <v>500</v>
      </c>
      <c r="M459" s="2829"/>
      <c r="O459" s="2809" t="s">
        <v>2757</v>
      </c>
      <c r="P459" s="2810"/>
    </row>
    <row r="460" spans="2:16">
      <c r="B460" s="827" t="s">
        <v>4006</v>
      </c>
      <c r="C460" s="1912"/>
      <c r="D460" s="2831" t="s">
        <v>4018</v>
      </c>
      <c r="E460" s="2832">
        <v>50</v>
      </c>
      <c r="F460" s="2832" t="s">
        <v>1909</v>
      </c>
      <c r="G460" s="19"/>
      <c r="H460" s="2829" t="s">
        <v>2757</v>
      </c>
      <c r="I460" s="2829"/>
      <c r="J460" s="2829"/>
      <c r="K460" s="2829"/>
      <c r="L460" s="2833">
        <v>165000</v>
      </c>
      <c r="M460" s="2829"/>
      <c r="O460" s="2809" t="s">
        <v>2757</v>
      </c>
      <c r="P460" s="2810"/>
    </row>
    <row r="461" spans="2:16">
      <c r="B461" s="827" t="s">
        <v>4006</v>
      </c>
      <c r="C461" s="1912"/>
      <c r="D461" s="2831" t="s">
        <v>4019</v>
      </c>
      <c r="E461" s="2832">
        <v>200</v>
      </c>
      <c r="F461" s="2832" t="s">
        <v>4010</v>
      </c>
      <c r="G461" s="19"/>
      <c r="H461" s="2829" t="s">
        <v>2757</v>
      </c>
      <c r="I461" s="2829"/>
      <c r="J461" s="2829"/>
      <c r="K461" s="2829"/>
      <c r="L461" s="2833">
        <v>600</v>
      </c>
      <c r="M461" s="2829"/>
      <c r="O461" s="2809" t="s">
        <v>2757</v>
      </c>
      <c r="P461" s="2810"/>
    </row>
    <row r="462" spans="2:16" ht="27">
      <c r="B462" s="827" t="s">
        <v>4006</v>
      </c>
      <c r="C462" s="1912"/>
      <c r="D462" s="2831" t="s">
        <v>4021</v>
      </c>
      <c r="E462" s="2832">
        <v>600</v>
      </c>
      <c r="F462" s="2834" t="s">
        <v>4020</v>
      </c>
      <c r="G462" s="19"/>
      <c r="H462" s="2829" t="s">
        <v>2757</v>
      </c>
      <c r="I462" s="2829"/>
      <c r="J462" s="2829"/>
      <c r="K462" s="2829"/>
      <c r="L462" s="2833">
        <v>29400</v>
      </c>
      <c r="M462" s="2829"/>
      <c r="O462" s="2809" t="s">
        <v>2757</v>
      </c>
      <c r="P462" s="2810"/>
    </row>
    <row r="463" spans="2:16" ht="27">
      <c r="B463" s="827" t="s">
        <v>4006</v>
      </c>
      <c r="C463" s="1912"/>
      <c r="D463" s="2831" t="s">
        <v>4022</v>
      </c>
      <c r="E463" s="2832">
        <v>2</v>
      </c>
      <c r="F463" s="2832" t="s">
        <v>4014</v>
      </c>
      <c r="G463" s="19"/>
      <c r="H463" s="2829" t="s">
        <v>2757</v>
      </c>
      <c r="I463" s="2829"/>
      <c r="J463" s="2829"/>
      <c r="K463" s="2829"/>
      <c r="L463" s="2833">
        <v>2112</v>
      </c>
      <c r="M463" s="2829"/>
      <c r="O463" s="2809" t="s">
        <v>2757</v>
      </c>
      <c r="P463" s="2810"/>
    </row>
    <row r="464" spans="2:16" ht="27">
      <c r="B464" s="827" t="s">
        <v>4006</v>
      </c>
      <c r="C464" s="1912"/>
      <c r="D464" s="2831" t="s">
        <v>4023</v>
      </c>
      <c r="E464" s="2832">
        <v>2</v>
      </c>
      <c r="F464" s="2832" t="s">
        <v>4014</v>
      </c>
      <c r="G464" s="19"/>
      <c r="H464" s="2829" t="s">
        <v>2757</v>
      </c>
      <c r="I464" s="2829"/>
      <c r="J464" s="2829"/>
      <c r="K464" s="2829"/>
      <c r="L464" s="2833">
        <v>1990</v>
      </c>
      <c r="M464" s="2829"/>
      <c r="O464" s="2809" t="s">
        <v>2757</v>
      </c>
      <c r="P464" s="2810"/>
    </row>
    <row r="465" spans="2:16" ht="40.5">
      <c r="B465" s="827" t="s">
        <v>4006</v>
      </c>
      <c r="C465" s="1912"/>
      <c r="D465" s="2831" t="s">
        <v>4024</v>
      </c>
      <c r="E465" s="2832">
        <v>2</v>
      </c>
      <c r="F465" s="2832" t="s">
        <v>4014</v>
      </c>
      <c r="G465" s="19"/>
      <c r="H465" s="2829" t="s">
        <v>2757</v>
      </c>
      <c r="I465" s="2829"/>
      <c r="J465" s="2829"/>
      <c r="K465" s="2829"/>
      <c r="L465" s="2833">
        <v>2492</v>
      </c>
      <c r="M465" s="2829"/>
      <c r="O465" s="2809" t="s">
        <v>2757</v>
      </c>
      <c r="P465" s="2810"/>
    </row>
    <row r="466" spans="2:16" ht="27">
      <c r="B466" s="827" t="s">
        <v>4006</v>
      </c>
      <c r="C466" s="1912"/>
      <c r="D466" s="2831" t="s">
        <v>4026</v>
      </c>
      <c r="E466" s="2832">
        <v>100</v>
      </c>
      <c r="F466" s="2832" t="s">
        <v>4025</v>
      </c>
      <c r="G466" s="19"/>
      <c r="H466" s="2829" t="s">
        <v>2757</v>
      </c>
      <c r="I466" s="2829"/>
      <c r="J466" s="2829"/>
      <c r="K466" s="2829"/>
      <c r="L466" s="2833">
        <v>34000</v>
      </c>
      <c r="M466" s="2829"/>
      <c r="O466" s="2809" t="s">
        <v>2757</v>
      </c>
      <c r="P466" s="2810"/>
    </row>
    <row r="467" spans="2:16">
      <c r="B467" s="827" t="s">
        <v>4006</v>
      </c>
      <c r="C467" s="1912"/>
      <c r="D467" s="2831" t="s">
        <v>4027</v>
      </c>
      <c r="E467" s="2832">
        <v>100</v>
      </c>
      <c r="F467" s="2832" t="s">
        <v>4010</v>
      </c>
      <c r="G467" s="19"/>
      <c r="H467" s="2829" t="s">
        <v>2757</v>
      </c>
      <c r="I467" s="2829"/>
      <c r="J467" s="2829"/>
      <c r="K467" s="2829"/>
      <c r="L467" s="2833">
        <v>3200</v>
      </c>
      <c r="M467" s="2829"/>
      <c r="O467" s="2809" t="s">
        <v>2757</v>
      </c>
      <c r="P467" s="2810"/>
    </row>
    <row r="468" spans="2:16">
      <c r="B468" s="827" t="s">
        <v>4006</v>
      </c>
      <c r="C468" s="1912"/>
      <c r="D468" s="2831" t="s">
        <v>4028</v>
      </c>
      <c r="E468" s="2832">
        <v>50</v>
      </c>
      <c r="F468" s="2832" t="s">
        <v>4025</v>
      </c>
      <c r="G468" s="19"/>
      <c r="H468" s="2829" t="s">
        <v>2757</v>
      </c>
      <c r="I468" s="2829"/>
      <c r="J468" s="2829"/>
      <c r="K468" s="2829"/>
      <c r="L468" s="2833">
        <v>1200</v>
      </c>
      <c r="M468" s="2829"/>
      <c r="O468" s="2809" t="s">
        <v>2757</v>
      </c>
      <c r="P468" s="2810"/>
    </row>
    <row r="469" spans="2:16">
      <c r="B469" s="827" t="s">
        <v>4006</v>
      </c>
      <c r="C469" s="1912"/>
      <c r="D469" s="2831" t="s">
        <v>4029</v>
      </c>
      <c r="E469" s="2832">
        <v>3000</v>
      </c>
      <c r="F469" s="2832" t="s">
        <v>4010</v>
      </c>
      <c r="G469" s="19"/>
      <c r="H469" s="2829" t="s">
        <v>2757</v>
      </c>
      <c r="I469" s="2829"/>
      <c r="J469" s="2829"/>
      <c r="K469" s="2829"/>
      <c r="L469" s="2833">
        <v>30000</v>
      </c>
      <c r="M469" s="2829"/>
      <c r="O469" s="2809" t="s">
        <v>2757</v>
      </c>
      <c r="P469" s="2810"/>
    </row>
    <row r="470" spans="2:16" ht="27">
      <c r="B470" s="827" t="s">
        <v>4006</v>
      </c>
      <c r="C470" s="1912"/>
      <c r="D470" s="2831" t="s">
        <v>4030</v>
      </c>
      <c r="E470" s="2832">
        <v>25</v>
      </c>
      <c r="F470" s="2832" t="s">
        <v>4014</v>
      </c>
      <c r="G470" s="19"/>
      <c r="H470" s="2829" t="s">
        <v>2757</v>
      </c>
      <c r="I470" s="2829"/>
      <c r="J470" s="2829"/>
      <c r="K470" s="2829"/>
      <c r="L470" s="2833">
        <v>1075</v>
      </c>
      <c r="M470" s="2829"/>
      <c r="O470" s="2809" t="s">
        <v>2757</v>
      </c>
      <c r="P470" s="2810"/>
    </row>
    <row r="471" spans="2:16">
      <c r="B471" s="827" t="s">
        <v>4006</v>
      </c>
      <c r="C471" s="1912"/>
      <c r="D471" s="2831" t="s">
        <v>4032</v>
      </c>
      <c r="E471" s="2832">
        <v>4000</v>
      </c>
      <c r="F471" s="2832" t="s">
        <v>4031</v>
      </c>
      <c r="G471" s="19"/>
      <c r="H471" s="2829" t="s">
        <v>2757</v>
      </c>
      <c r="I471" s="2829"/>
      <c r="J471" s="2829"/>
      <c r="K471" s="2829"/>
      <c r="L471" s="2833">
        <v>84000</v>
      </c>
      <c r="M471" s="2829"/>
      <c r="O471" s="2809" t="s">
        <v>2757</v>
      </c>
      <c r="P471" s="2810"/>
    </row>
    <row r="472" spans="2:16">
      <c r="B472" s="827" t="s">
        <v>4006</v>
      </c>
      <c r="C472" s="1912"/>
      <c r="D472" s="2831" t="s">
        <v>4033</v>
      </c>
      <c r="E472" s="2832">
        <v>4000</v>
      </c>
      <c r="F472" s="2832" t="s">
        <v>4031</v>
      </c>
      <c r="G472" s="19"/>
      <c r="H472" s="2829" t="s">
        <v>2757</v>
      </c>
      <c r="I472" s="2829"/>
      <c r="J472" s="2829"/>
      <c r="K472" s="2829"/>
      <c r="L472" s="2833">
        <v>88000</v>
      </c>
      <c r="M472" s="2829"/>
      <c r="O472" s="2809" t="s">
        <v>2757</v>
      </c>
      <c r="P472" s="2810"/>
    </row>
    <row r="473" spans="2:16">
      <c r="B473" s="827" t="s">
        <v>4006</v>
      </c>
      <c r="C473" s="1912"/>
      <c r="D473" s="2831" t="s">
        <v>4034</v>
      </c>
      <c r="E473" s="2832">
        <v>3000</v>
      </c>
      <c r="F473" s="2832" t="s">
        <v>4031</v>
      </c>
      <c r="G473" s="19"/>
      <c r="H473" s="2829" t="s">
        <v>2757</v>
      </c>
      <c r="I473" s="2829"/>
      <c r="J473" s="2829"/>
      <c r="K473" s="2829"/>
      <c r="L473" s="2833">
        <v>1170000</v>
      </c>
      <c r="M473" s="2829"/>
      <c r="O473" s="2809" t="s">
        <v>2757</v>
      </c>
      <c r="P473" s="2810"/>
    </row>
    <row r="474" spans="2:16">
      <c r="B474" s="827" t="s">
        <v>4006</v>
      </c>
      <c r="C474" s="1912"/>
      <c r="D474" s="2831" t="s">
        <v>4035</v>
      </c>
      <c r="E474" s="2832">
        <v>1000</v>
      </c>
      <c r="F474" s="2832" t="s">
        <v>4031</v>
      </c>
      <c r="G474" s="19"/>
      <c r="H474" s="2829" t="s">
        <v>2757</v>
      </c>
      <c r="I474" s="2829"/>
      <c r="J474" s="2829"/>
      <c r="K474" s="2829"/>
      <c r="L474" s="2833">
        <v>244000</v>
      </c>
      <c r="M474" s="2829"/>
      <c r="O474" s="2809" t="s">
        <v>2757</v>
      </c>
      <c r="P474" s="2810"/>
    </row>
    <row r="475" spans="2:16">
      <c r="B475" s="827" t="s">
        <v>4006</v>
      </c>
      <c r="C475" s="1912"/>
      <c r="D475" s="2831" t="s">
        <v>4037</v>
      </c>
      <c r="E475" s="2832">
        <v>120</v>
      </c>
      <c r="F475" s="2834" t="s">
        <v>4036</v>
      </c>
      <c r="G475" s="19"/>
      <c r="H475" s="2829" t="s">
        <v>2757</v>
      </c>
      <c r="I475" s="2829"/>
      <c r="J475" s="2829"/>
      <c r="K475" s="2829"/>
      <c r="L475" s="2833">
        <v>240000</v>
      </c>
      <c r="M475" s="2829"/>
      <c r="O475" s="2809" t="s">
        <v>2757</v>
      </c>
      <c r="P475" s="2810"/>
    </row>
    <row r="476" spans="2:16" ht="27">
      <c r="B476" s="827" t="s">
        <v>4006</v>
      </c>
      <c r="C476" s="1912"/>
      <c r="D476" s="2831" t="s">
        <v>4038</v>
      </c>
      <c r="E476" s="2832">
        <v>1000</v>
      </c>
      <c r="F476" s="2832" t="s">
        <v>4025</v>
      </c>
      <c r="G476" s="19"/>
      <c r="H476" s="2829" t="s">
        <v>2757</v>
      </c>
      <c r="I476" s="2829"/>
      <c r="J476" s="2829"/>
      <c r="K476" s="2829"/>
      <c r="L476" s="2833">
        <v>148000</v>
      </c>
      <c r="M476" s="2829"/>
      <c r="O476" s="2809" t="s">
        <v>2757</v>
      </c>
      <c r="P476" s="2810"/>
    </row>
    <row r="477" spans="2:16" ht="27">
      <c r="B477" s="827" t="s">
        <v>4006</v>
      </c>
      <c r="C477" s="1912"/>
      <c r="D477" s="2831" t="s">
        <v>4039</v>
      </c>
      <c r="E477" s="2832">
        <v>10</v>
      </c>
      <c r="F477" s="2832" t="s">
        <v>4014</v>
      </c>
      <c r="G477" s="19"/>
      <c r="H477" s="2829" t="s">
        <v>2757</v>
      </c>
      <c r="I477" s="2829"/>
      <c r="J477" s="2829"/>
      <c r="K477" s="2829"/>
      <c r="L477" s="2833">
        <v>300</v>
      </c>
      <c r="M477" s="2829"/>
      <c r="O477" s="2809" t="s">
        <v>2757</v>
      </c>
      <c r="P477" s="2810"/>
    </row>
    <row r="478" spans="2:16">
      <c r="B478" s="827" t="s">
        <v>4006</v>
      </c>
      <c r="C478" s="1912"/>
      <c r="D478" s="2831" t="s">
        <v>4040</v>
      </c>
      <c r="E478" s="2832">
        <v>1000</v>
      </c>
      <c r="F478" s="2832" t="s">
        <v>4010</v>
      </c>
      <c r="G478" s="19"/>
      <c r="H478" s="2829" t="s">
        <v>2757</v>
      </c>
      <c r="I478" s="2829"/>
      <c r="J478" s="2829"/>
      <c r="K478" s="2829"/>
      <c r="L478" s="2833">
        <v>2000</v>
      </c>
      <c r="M478" s="2829"/>
      <c r="O478" s="2809" t="s">
        <v>2757</v>
      </c>
      <c r="P478" s="2810"/>
    </row>
    <row r="479" spans="2:16">
      <c r="B479" s="827" t="s">
        <v>4006</v>
      </c>
      <c r="C479" s="1912"/>
      <c r="D479" s="2831" t="s">
        <v>4041</v>
      </c>
      <c r="E479" s="2832">
        <v>20</v>
      </c>
      <c r="F479" s="2832" t="s">
        <v>4010</v>
      </c>
      <c r="G479" s="19"/>
      <c r="H479" s="2829" t="s">
        <v>2757</v>
      </c>
      <c r="I479" s="2829"/>
      <c r="J479" s="2829"/>
      <c r="K479" s="2829"/>
      <c r="L479" s="2833">
        <v>100</v>
      </c>
      <c r="M479" s="2829"/>
      <c r="O479" s="2809" t="s">
        <v>2757</v>
      </c>
      <c r="P479" s="2810"/>
    </row>
    <row r="480" spans="2:16">
      <c r="B480" s="827" t="s">
        <v>4006</v>
      </c>
      <c r="C480" s="1912"/>
      <c r="D480" s="2831" t="s">
        <v>4042</v>
      </c>
      <c r="E480" s="2832">
        <v>50</v>
      </c>
      <c r="F480" s="2832" t="s">
        <v>4010</v>
      </c>
      <c r="G480" s="19"/>
      <c r="H480" s="2829" t="s">
        <v>2757</v>
      </c>
      <c r="I480" s="2829"/>
      <c r="J480" s="2829"/>
      <c r="K480" s="2829"/>
      <c r="L480" s="2833">
        <v>300</v>
      </c>
      <c r="M480" s="2829"/>
      <c r="O480" s="2809" t="s">
        <v>2757</v>
      </c>
      <c r="P480" s="2810"/>
    </row>
    <row r="481" spans="2:16">
      <c r="B481" s="827" t="s">
        <v>4006</v>
      </c>
      <c r="C481" s="1912"/>
      <c r="D481" s="2831" t="s">
        <v>4043</v>
      </c>
      <c r="E481" s="2832">
        <v>500</v>
      </c>
      <c r="F481" s="2832" t="s">
        <v>4010</v>
      </c>
      <c r="G481" s="19"/>
      <c r="H481" s="2829" t="s">
        <v>2757</v>
      </c>
      <c r="I481" s="2829"/>
      <c r="J481" s="2829"/>
      <c r="K481" s="2829"/>
      <c r="L481" s="2833">
        <v>2500</v>
      </c>
      <c r="M481" s="2829"/>
      <c r="O481" s="2809" t="s">
        <v>2757</v>
      </c>
      <c r="P481" s="2810"/>
    </row>
    <row r="482" spans="2:16">
      <c r="B482" s="827" t="s">
        <v>4006</v>
      </c>
      <c r="C482" s="1912"/>
      <c r="D482" s="2831" t="s">
        <v>4044</v>
      </c>
      <c r="E482" s="2832">
        <v>2500</v>
      </c>
      <c r="F482" s="2832" t="s">
        <v>4010</v>
      </c>
      <c r="G482" s="19"/>
      <c r="H482" s="2829" t="s">
        <v>2757</v>
      </c>
      <c r="I482" s="2829"/>
      <c r="J482" s="2829"/>
      <c r="K482" s="2829"/>
      <c r="L482" s="2833">
        <v>32500</v>
      </c>
      <c r="M482" s="2829"/>
      <c r="O482" s="2809" t="s">
        <v>2757</v>
      </c>
      <c r="P482" s="2810"/>
    </row>
    <row r="483" spans="2:16">
      <c r="B483" s="827" t="s">
        <v>4006</v>
      </c>
      <c r="C483" s="1912"/>
      <c r="D483" s="2831" t="s">
        <v>4045</v>
      </c>
      <c r="E483" s="2832">
        <v>1000</v>
      </c>
      <c r="F483" s="2832" t="s">
        <v>4010</v>
      </c>
      <c r="G483" s="19"/>
      <c r="H483" s="2829" t="s">
        <v>2757</v>
      </c>
      <c r="I483" s="2829"/>
      <c r="J483" s="2829"/>
      <c r="K483" s="2829"/>
      <c r="L483" s="2833">
        <v>16000</v>
      </c>
      <c r="M483" s="2829"/>
      <c r="O483" s="2809" t="s">
        <v>2757</v>
      </c>
      <c r="P483" s="2810"/>
    </row>
    <row r="484" spans="2:16" ht="27">
      <c r="B484" s="827" t="s">
        <v>4006</v>
      </c>
      <c r="C484" s="1912"/>
      <c r="D484" s="2831" t="s">
        <v>4046</v>
      </c>
      <c r="E484" s="2832">
        <v>100</v>
      </c>
      <c r="F484" s="2832" t="s">
        <v>4025</v>
      </c>
      <c r="G484" s="19"/>
      <c r="H484" s="2829" t="s">
        <v>2757</v>
      </c>
      <c r="I484" s="2829"/>
      <c r="J484" s="2829"/>
      <c r="K484" s="2829"/>
      <c r="L484" s="2833">
        <v>18700</v>
      </c>
      <c r="M484" s="2829"/>
      <c r="O484" s="2809" t="s">
        <v>2757</v>
      </c>
      <c r="P484" s="2810"/>
    </row>
    <row r="485" spans="2:16">
      <c r="B485" s="827" t="s">
        <v>4006</v>
      </c>
      <c r="C485" s="1912"/>
      <c r="D485" s="2831" t="s">
        <v>4047</v>
      </c>
      <c r="E485" s="2832">
        <v>100</v>
      </c>
      <c r="F485" s="2832" t="s">
        <v>4025</v>
      </c>
      <c r="G485" s="19"/>
      <c r="H485" s="2829" t="s">
        <v>2757</v>
      </c>
      <c r="I485" s="2829"/>
      <c r="J485" s="2829"/>
      <c r="K485" s="2829"/>
      <c r="L485" s="2833">
        <v>5900</v>
      </c>
      <c r="M485" s="2829"/>
      <c r="O485" s="2809" t="s">
        <v>2757</v>
      </c>
      <c r="P485" s="2810"/>
    </row>
    <row r="486" spans="2:16">
      <c r="B486" s="827" t="s">
        <v>4006</v>
      </c>
      <c r="C486" s="1912"/>
      <c r="D486" s="2831" t="s">
        <v>4048</v>
      </c>
      <c r="E486" s="2832">
        <v>2500</v>
      </c>
      <c r="F486" s="2832" t="s">
        <v>4010</v>
      </c>
      <c r="G486" s="19"/>
      <c r="H486" s="2829" t="s">
        <v>2757</v>
      </c>
      <c r="I486" s="2829"/>
      <c r="J486" s="2829"/>
      <c r="K486" s="2829"/>
      <c r="L486" s="2833">
        <v>157500</v>
      </c>
      <c r="M486" s="2829"/>
      <c r="O486" s="2809" t="s">
        <v>2757</v>
      </c>
      <c r="P486" s="2810"/>
    </row>
    <row r="487" spans="2:16">
      <c r="B487" s="827" t="s">
        <v>4006</v>
      </c>
      <c r="C487" s="1912"/>
      <c r="D487" s="2831" t="s">
        <v>4049</v>
      </c>
      <c r="E487" s="2832">
        <v>60</v>
      </c>
      <c r="F487" s="2832" t="s">
        <v>4014</v>
      </c>
      <c r="G487" s="19"/>
      <c r="H487" s="2829" t="s">
        <v>2757</v>
      </c>
      <c r="I487" s="2829"/>
      <c r="J487" s="2829"/>
      <c r="K487" s="2829"/>
      <c r="L487" s="2833">
        <v>11880</v>
      </c>
      <c r="M487" s="2829"/>
      <c r="O487" s="2809" t="s">
        <v>2757</v>
      </c>
      <c r="P487" s="2810"/>
    </row>
    <row r="488" spans="2:16">
      <c r="B488" s="827" t="s">
        <v>4006</v>
      </c>
      <c r="C488" s="1912"/>
      <c r="D488" s="2831" t="s">
        <v>4050</v>
      </c>
      <c r="E488" s="2832">
        <v>100</v>
      </c>
      <c r="F488" s="2832" t="s">
        <v>4031</v>
      </c>
      <c r="G488" s="19"/>
      <c r="H488" s="2829" t="s">
        <v>2757</v>
      </c>
      <c r="I488" s="2829"/>
      <c r="J488" s="2829"/>
      <c r="K488" s="2829"/>
      <c r="L488" s="2833">
        <v>28200</v>
      </c>
      <c r="M488" s="2829"/>
      <c r="O488" s="2809" t="s">
        <v>2757</v>
      </c>
      <c r="P488" s="2810"/>
    </row>
    <row r="489" spans="2:16">
      <c r="B489" s="827" t="s">
        <v>4006</v>
      </c>
      <c r="C489" s="1912"/>
      <c r="D489" s="2831" t="s">
        <v>4051</v>
      </c>
      <c r="E489" s="2832">
        <v>190</v>
      </c>
      <c r="F489" s="2832" t="s">
        <v>4010</v>
      </c>
      <c r="G489" s="19"/>
      <c r="H489" s="2829" t="s">
        <v>2757</v>
      </c>
      <c r="I489" s="2829"/>
      <c r="J489" s="2829"/>
      <c r="K489" s="2829"/>
      <c r="L489" s="2833">
        <v>2470</v>
      </c>
      <c r="M489" s="2829"/>
      <c r="O489" s="2809" t="s">
        <v>2757</v>
      </c>
      <c r="P489" s="2810"/>
    </row>
    <row r="490" spans="2:16" ht="27">
      <c r="B490" s="827" t="s">
        <v>4006</v>
      </c>
      <c r="C490" s="1912"/>
      <c r="D490" s="2831" t="s">
        <v>4052</v>
      </c>
      <c r="E490" s="2832">
        <v>150</v>
      </c>
      <c r="F490" s="2832" t="s">
        <v>4031</v>
      </c>
      <c r="G490" s="19"/>
      <c r="H490" s="2829" t="s">
        <v>2757</v>
      </c>
      <c r="I490" s="2829"/>
      <c r="J490" s="2829"/>
      <c r="K490" s="2829"/>
      <c r="L490" s="2833">
        <v>427500</v>
      </c>
      <c r="M490" s="2829"/>
      <c r="O490" s="2809" t="s">
        <v>2757</v>
      </c>
      <c r="P490" s="2810"/>
    </row>
    <row r="491" spans="2:16" ht="27">
      <c r="B491" s="827" t="s">
        <v>4006</v>
      </c>
      <c r="C491" s="1912"/>
      <c r="D491" s="2831" t="s">
        <v>4053</v>
      </c>
      <c r="E491" s="2832">
        <v>1000</v>
      </c>
      <c r="F491" s="2832" t="s">
        <v>4010</v>
      </c>
      <c r="G491" s="19"/>
      <c r="H491" s="2829" t="s">
        <v>2757</v>
      </c>
      <c r="I491" s="2829"/>
      <c r="J491" s="2829"/>
      <c r="K491" s="2829"/>
      <c r="L491" s="2833">
        <v>32000</v>
      </c>
      <c r="M491" s="2829"/>
      <c r="O491" s="2809" t="s">
        <v>2757</v>
      </c>
      <c r="P491" s="2810"/>
    </row>
    <row r="492" spans="2:16" ht="27">
      <c r="B492" s="827" t="s">
        <v>4006</v>
      </c>
      <c r="C492" s="1912"/>
      <c r="D492" s="2831" t="s">
        <v>4054</v>
      </c>
      <c r="E492" s="2832">
        <v>1200</v>
      </c>
      <c r="F492" s="2832" t="s">
        <v>4010</v>
      </c>
      <c r="G492" s="19"/>
      <c r="H492" s="2829" t="s">
        <v>2757</v>
      </c>
      <c r="I492" s="2829"/>
      <c r="J492" s="2829"/>
      <c r="K492" s="2829"/>
      <c r="L492" s="2833">
        <v>31200</v>
      </c>
      <c r="M492" s="2829"/>
      <c r="O492" s="2809" t="s">
        <v>2757</v>
      </c>
      <c r="P492" s="2810"/>
    </row>
    <row r="493" spans="2:16" ht="27">
      <c r="B493" s="827" t="s">
        <v>4006</v>
      </c>
      <c r="C493" s="1912"/>
      <c r="D493" s="2831" t="s">
        <v>4055</v>
      </c>
      <c r="E493" s="2832">
        <v>5</v>
      </c>
      <c r="F493" s="2832" t="s">
        <v>3167</v>
      </c>
      <c r="G493" s="19"/>
      <c r="H493" s="2829" t="s">
        <v>2757</v>
      </c>
      <c r="I493" s="2829"/>
      <c r="J493" s="2829"/>
      <c r="K493" s="2829"/>
      <c r="L493" s="2833">
        <v>495</v>
      </c>
      <c r="M493" s="2829"/>
      <c r="O493" s="2809" t="s">
        <v>2757</v>
      </c>
      <c r="P493" s="2810"/>
    </row>
    <row r="494" spans="2:16">
      <c r="B494" s="827" t="s">
        <v>4006</v>
      </c>
      <c r="C494" s="1912"/>
      <c r="D494" s="2831" t="s">
        <v>4056</v>
      </c>
      <c r="E494" s="2832">
        <v>15</v>
      </c>
      <c r="F494" s="2832" t="s">
        <v>4010</v>
      </c>
      <c r="G494" s="19"/>
      <c r="H494" s="2829" t="s">
        <v>2757</v>
      </c>
      <c r="I494" s="2829"/>
      <c r="J494" s="2829"/>
      <c r="K494" s="2829"/>
      <c r="L494" s="2833">
        <v>45</v>
      </c>
      <c r="M494" s="2829"/>
      <c r="O494" s="2809" t="s">
        <v>2757</v>
      </c>
      <c r="P494" s="2810"/>
    </row>
    <row r="495" spans="2:16" ht="54">
      <c r="B495" s="827" t="s">
        <v>4006</v>
      </c>
      <c r="C495" s="1912"/>
      <c r="D495" s="2831" t="s">
        <v>4057</v>
      </c>
      <c r="E495" s="2832">
        <v>30</v>
      </c>
      <c r="F495" s="2832" t="s">
        <v>4031</v>
      </c>
      <c r="G495" s="19"/>
      <c r="H495" s="2829" t="s">
        <v>2757</v>
      </c>
      <c r="I495" s="2829"/>
      <c r="J495" s="2829"/>
      <c r="K495" s="2829"/>
      <c r="L495" s="2833">
        <v>10200</v>
      </c>
      <c r="M495" s="2829"/>
      <c r="O495" s="2809" t="s">
        <v>2757</v>
      </c>
      <c r="P495" s="2810"/>
    </row>
    <row r="496" spans="2:16">
      <c r="B496" s="827" t="s">
        <v>4006</v>
      </c>
      <c r="C496" s="1912"/>
      <c r="D496" s="2831" t="s">
        <v>4058</v>
      </c>
      <c r="E496" s="2832">
        <v>300</v>
      </c>
      <c r="F496" s="2832" t="s">
        <v>3048</v>
      </c>
      <c r="G496" s="19"/>
      <c r="H496" s="2829" t="s">
        <v>2757</v>
      </c>
      <c r="I496" s="2829"/>
      <c r="J496" s="2829"/>
      <c r="K496" s="2829"/>
      <c r="L496" s="2833">
        <v>17400</v>
      </c>
      <c r="M496" s="2829"/>
      <c r="O496" s="2809" t="s">
        <v>2757</v>
      </c>
      <c r="P496" s="2810"/>
    </row>
    <row r="497" spans="2:16">
      <c r="B497" s="827" t="s">
        <v>4006</v>
      </c>
      <c r="C497" s="1912"/>
      <c r="D497" s="2831" t="s">
        <v>4059</v>
      </c>
      <c r="E497" s="2832">
        <v>25</v>
      </c>
      <c r="F497" s="2832" t="s">
        <v>3048</v>
      </c>
      <c r="G497" s="19"/>
      <c r="H497" s="2829" t="s">
        <v>2757</v>
      </c>
      <c r="I497" s="2829"/>
      <c r="J497" s="2829"/>
      <c r="K497" s="2829"/>
      <c r="L497" s="2833">
        <v>575</v>
      </c>
      <c r="M497" s="2829"/>
      <c r="O497" s="2809" t="s">
        <v>2757</v>
      </c>
      <c r="P497" s="2810"/>
    </row>
    <row r="498" spans="2:16">
      <c r="B498" s="827" t="s">
        <v>4006</v>
      </c>
      <c r="C498" s="1912"/>
      <c r="D498" s="2831" t="s">
        <v>4060</v>
      </c>
      <c r="E498" s="2832">
        <v>200</v>
      </c>
      <c r="F498" s="2832" t="s">
        <v>4010</v>
      </c>
      <c r="G498" s="19"/>
      <c r="H498" s="2829" t="s">
        <v>2757</v>
      </c>
      <c r="I498" s="2829"/>
      <c r="J498" s="2829"/>
      <c r="K498" s="2829"/>
      <c r="L498" s="2833">
        <v>1000</v>
      </c>
      <c r="M498" s="2829"/>
      <c r="O498" s="2809" t="s">
        <v>2757</v>
      </c>
      <c r="P498" s="2810"/>
    </row>
    <row r="499" spans="2:16">
      <c r="B499" s="827" t="s">
        <v>4006</v>
      </c>
      <c r="C499" s="1912"/>
      <c r="D499" s="2831" t="s">
        <v>4061</v>
      </c>
      <c r="E499" s="2832">
        <v>1000</v>
      </c>
      <c r="F499" s="2832" t="s">
        <v>4010</v>
      </c>
      <c r="G499" s="19"/>
      <c r="H499" s="2829" t="s">
        <v>2757</v>
      </c>
      <c r="I499" s="2829"/>
      <c r="J499" s="2829"/>
      <c r="K499" s="2829"/>
      <c r="L499" s="2833">
        <v>28000</v>
      </c>
      <c r="M499" s="2829"/>
      <c r="O499" s="2809" t="s">
        <v>2757</v>
      </c>
      <c r="P499" s="2810"/>
    </row>
    <row r="500" spans="2:16" ht="27">
      <c r="B500" s="827" t="s">
        <v>4006</v>
      </c>
      <c r="C500" s="1912"/>
      <c r="D500" s="2831" t="s">
        <v>4063</v>
      </c>
      <c r="E500" s="2832">
        <v>3000</v>
      </c>
      <c r="F500" s="2832" t="s">
        <v>4062</v>
      </c>
      <c r="G500" s="19"/>
      <c r="H500" s="2829" t="s">
        <v>2757</v>
      </c>
      <c r="I500" s="2829"/>
      <c r="J500" s="2829"/>
      <c r="K500" s="2829"/>
      <c r="L500" s="2833">
        <v>111000</v>
      </c>
      <c r="M500" s="2829"/>
      <c r="O500" s="2809" t="s">
        <v>2757</v>
      </c>
      <c r="P500" s="2810"/>
    </row>
    <row r="501" spans="2:16" ht="27">
      <c r="B501" s="827" t="s">
        <v>4006</v>
      </c>
      <c r="C501" s="1912"/>
      <c r="D501" s="2831" t="s">
        <v>4065</v>
      </c>
      <c r="E501" s="2832">
        <v>100</v>
      </c>
      <c r="F501" s="2832" t="s">
        <v>4064</v>
      </c>
      <c r="G501" s="19"/>
      <c r="H501" s="2829" t="s">
        <v>2757</v>
      </c>
      <c r="I501" s="2829"/>
      <c r="J501" s="2829"/>
      <c r="K501" s="2829"/>
      <c r="L501" s="2833">
        <v>84200</v>
      </c>
      <c r="M501" s="2829"/>
      <c r="O501" s="2809" t="s">
        <v>2757</v>
      </c>
      <c r="P501" s="2810"/>
    </row>
    <row r="502" spans="2:16" ht="27">
      <c r="B502" s="827" t="s">
        <v>4006</v>
      </c>
      <c r="C502" s="1912"/>
      <c r="D502" s="2831" t="s">
        <v>4066</v>
      </c>
      <c r="E502" s="2832">
        <v>500</v>
      </c>
      <c r="F502" s="2832" t="s">
        <v>4025</v>
      </c>
      <c r="G502" s="19"/>
      <c r="H502" s="2829" t="s">
        <v>2757</v>
      </c>
      <c r="I502" s="2829"/>
      <c r="J502" s="2829"/>
      <c r="K502" s="2829"/>
      <c r="L502" s="2833">
        <v>382500</v>
      </c>
      <c r="M502" s="2829"/>
      <c r="O502" s="2809" t="s">
        <v>2757</v>
      </c>
      <c r="P502" s="2810"/>
    </row>
    <row r="503" spans="2:16" ht="28.5">
      <c r="B503" s="827" t="s">
        <v>4006</v>
      </c>
      <c r="C503" s="1912"/>
      <c r="D503" s="2831" t="s">
        <v>4409</v>
      </c>
      <c r="E503" s="2832">
        <v>500</v>
      </c>
      <c r="F503" s="2832" t="s">
        <v>4025</v>
      </c>
      <c r="G503" s="19"/>
      <c r="H503" s="2829" t="s">
        <v>2757</v>
      </c>
      <c r="I503" s="2829"/>
      <c r="J503" s="2829"/>
      <c r="K503" s="2829"/>
      <c r="L503" s="2833">
        <v>282500</v>
      </c>
      <c r="M503" s="2829"/>
      <c r="O503" s="2809" t="s">
        <v>2757</v>
      </c>
      <c r="P503" s="2810"/>
    </row>
    <row r="504" spans="2:16">
      <c r="B504" s="827" t="s">
        <v>4006</v>
      </c>
      <c r="C504" s="1912"/>
      <c r="D504" s="2831" t="s">
        <v>4067</v>
      </c>
      <c r="E504" s="2832">
        <v>500</v>
      </c>
      <c r="F504" s="2832" t="s">
        <v>4010</v>
      </c>
      <c r="G504" s="19"/>
      <c r="H504" s="2829" t="s">
        <v>2757</v>
      </c>
      <c r="I504" s="2829"/>
      <c r="J504" s="2829"/>
      <c r="K504" s="2829"/>
      <c r="L504" s="2833">
        <v>5500</v>
      </c>
      <c r="M504" s="2829"/>
      <c r="O504" s="2809" t="s">
        <v>2757</v>
      </c>
      <c r="P504" s="2810"/>
    </row>
    <row r="505" spans="2:16" ht="27">
      <c r="B505" s="827" t="s">
        <v>4006</v>
      </c>
      <c r="C505" s="1912"/>
      <c r="D505" s="2831" t="s">
        <v>4068</v>
      </c>
      <c r="E505" s="2832">
        <v>3</v>
      </c>
      <c r="F505" s="2832" t="s">
        <v>4014</v>
      </c>
      <c r="G505" s="19"/>
      <c r="H505" s="2829" t="s">
        <v>2757</v>
      </c>
      <c r="I505" s="2829"/>
      <c r="J505" s="2829"/>
      <c r="K505" s="2829"/>
      <c r="L505" s="2833">
        <v>543</v>
      </c>
      <c r="M505" s="2829"/>
      <c r="O505" s="2809" t="s">
        <v>2757</v>
      </c>
      <c r="P505" s="2810"/>
    </row>
    <row r="506" spans="2:16" ht="27">
      <c r="B506" s="827" t="s">
        <v>4006</v>
      </c>
      <c r="C506" s="1912"/>
      <c r="D506" s="2831" t="s">
        <v>4069</v>
      </c>
      <c r="E506" s="2832">
        <v>125</v>
      </c>
      <c r="F506" s="2832" t="s">
        <v>4025</v>
      </c>
      <c r="G506" s="19"/>
      <c r="H506" s="2829" t="s">
        <v>2757</v>
      </c>
      <c r="I506" s="2829"/>
      <c r="J506" s="2829"/>
      <c r="K506" s="2829"/>
      <c r="L506" s="2833">
        <v>52375</v>
      </c>
      <c r="M506" s="2829"/>
      <c r="O506" s="2809" t="s">
        <v>2757</v>
      </c>
      <c r="P506" s="2810"/>
    </row>
    <row r="507" spans="2:16">
      <c r="B507" s="827" t="s">
        <v>4006</v>
      </c>
      <c r="C507" s="1912"/>
      <c r="D507" s="2831" t="s">
        <v>4070</v>
      </c>
      <c r="E507" s="2832">
        <v>5</v>
      </c>
      <c r="F507" s="2832" t="s">
        <v>4014</v>
      </c>
      <c r="G507" s="19"/>
      <c r="H507" s="2829" t="s">
        <v>2757</v>
      </c>
      <c r="I507" s="2829"/>
      <c r="J507" s="2829"/>
      <c r="K507" s="2829"/>
      <c r="L507" s="2833">
        <v>565</v>
      </c>
      <c r="M507" s="2829"/>
      <c r="O507" s="2809" t="s">
        <v>2757</v>
      </c>
      <c r="P507" s="2810"/>
    </row>
    <row r="508" spans="2:16">
      <c r="B508" s="827" t="s">
        <v>4006</v>
      </c>
      <c r="C508" s="1912"/>
      <c r="D508" s="2831" t="s">
        <v>4071</v>
      </c>
      <c r="E508" s="2832">
        <v>2000</v>
      </c>
      <c r="F508" s="2832" t="s">
        <v>4010</v>
      </c>
      <c r="G508" s="19"/>
      <c r="H508" s="2829" t="s">
        <v>2757</v>
      </c>
      <c r="I508" s="2829"/>
      <c r="J508" s="2829"/>
      <c r="K508" s="2829"/>
      <c r="L508" s="2833">
        <v>8000</v>
      </c>
      <c r="M508" s="2829"/>
      <c r="O508" s="2809" t="s">
        <v>2757</v>
      </c>
      <c r="P508" s="2810"/>
    </row>
    <row r="509" spans="2:16" ht="27">
      <c r="B509" s="827" t="s">
        <v>4006</v>
      </c>
      <c r="C509" s="1912"/>
      <c r="D509" s="2831" t="s">
        <v>4072</v>
      </c>
      <c r="E509" s="2832">
        <v>500</v>
      </c>
      <c r="F509" s="2832" t="s">
        <v>4010</v>
      </c>
      <c r="G509" s="19"/>
      <c r="H509" s="2829" t="s">
        <v>2757</v>
      </c>
      <c r="I509" s="2829"/>
      <c r="J509" s="2829"/>
      <c r="K509" s="2829"/>
      <c r="L509" s="2833">
        <v>2000</v>
      </c>
      <c r="M509" s="2829"/>
      <c r="O509" s="2809" t="s">
        <v>2757</v>
      </c>
      <c r="P509" s="2810"/>
    </row>
    <row r="510" spans="2:16" ht="27">
      <c r="B510" s="827" t="s">
        <v>4006</v>
      </c>
      <c r="C510" s="1912"/>
      <c r="D510" s="2831" t="s">
        <v>4073</v>
      </c>
      <c r="E510" s="2832">
        <v>1000</v>
      </c>
      <c r="F510" s="2834" t="s">
        <v>4020</v>
      </c>
      <c r="G510" s="19"/>
      <c r="H510" s="2829" t="s">
        <v>2757</v>
      </c>
      <c r="I510" s="2829"/>
      <c r="J510" s="2829"/>
      <c r="K510" s="2829"/>
      <c r="L510" s="2833">
        <v>65000</v>
      </c>
      <c r="M510" s="2829"/>
      <c r="O510" s="2809" t="s">
        <v>2757</v>
      </c>
      <c r="P510" s="2810"/>
    </row>
    <row r="511" spans="2:16">
      <c r="B511" s="827" t="s">
        <v>4006</v>
      </c>
      <c r="C511" s="1912"/>
      <c r="D511" s="2831" t="s">
        <v>4074</v>
      </c>
      <c r="E511" s="2832">
        <v>100</v>
      </c>
      <c r="F511" s="2832" t="s">
        <v>4010</v>
      </c>
      <c r="G511" s="19"/>
      <c r="H511" s="2829" t="s">
        <v>2757</v>
      </c>
      <c r="I511" s="2829"/>
      <c r="J511" s="2829"/>
      <c r="K511" s="2829"/>
      <c r="L511" s="2833">
        <v>200</v>
      </c>
      <c r="M511" s="2829"/>
      <c r="O511" s="2809" t="s">
        <v>2757</v>
      </c>
      <c r="P511" s="2810"/>
    </row>
    <row r="512" spans="2:16">
      <c r="B512" s="827" t="s">
        <v>4006</v>
      </c>
      <c r="C512" s="1912"/>
      <c r="D512" s="2831" t="s">
        <v>4075</v>
      </c>
      <c r="E512" s="2832">
        <v>15</v>
      </c>
      <c r="F512" s="2832" t="s">
        <v>4010</v>
      </c>
      <c r="G512" s="19"/>
      <c r="H512" s="2829" t="s">
        <v>2757</v>
      </c>
      <c r="I512" s="2829"/>
      <c r="J512" s="2829"/>
      <c r="K512" s="2829"/>
      <c r="L512" s="2833">
        <v>45</v>
      </c>
      <c r="M512" s="2829"/>
      <c r="O512" s="2809" t="s">
        <v>2757</v>
      </c>
      <c r="P512" s="2810"/>
    </row>
    <row r="513" spans="2:16">
      <c r="B513" s="827" t="s">
        <v>4006</v>
      </c>
      <c r="C513" s="1912"/>
      <c r="D513" s="2831" t="s">
        <v>4076</v>
      </c>
      <c r="E513" s="2832">
        <v>25</v>
      </c>
      <c r="F513" s="2832" t="s">
        <v>4010</v>
      </c>
      <c r="G513" s="19"/>
      <c r="H513" s="2829" t="s">
        <v>2757</v>
      </c>
      <c r="I513" s="2829"/>
      <c r="J513" s="2829"/>
      <c r="K513" s="2829"/>
      <c r="L513" s="2833">
        <v>475</v>
      </c>
      <c r="M513" s="2829"/>
      <c r="O513" s="2809" t="s">
        <v>2757</v>
      </c>
      <c r="P513" s="2810"/>
    </row>
    <row r="514" spans="2:16">
      <c r="B514" s="827" t="s">
        <v>4006</v>
      </c>
      <c r="C514" s="1912"/>
      <c r="D514" s="2831" t="s">
        <v>4077</v>
      </c>
      <c r="E514" s="2832">
        <v>20</v>
      </c>
      <c r="F514" s="2832" t="s">
        <v>4025</v>
      </c>
      <c r="G514" s="19"/>
      <c r="H514" s="2829" t="s">
        <v>2757</v>
      </c>
      <c r="I514" s="2829"/>
      <c r="J514" s="2829"/>
      <c r="K514" s="2829"/>
      <c r="L514" s="2833">
        <v>29940</v>
      </c>
      <c r="M514" s="2829"/>
      <c r="O514" s="2809" t="s">
        <v>2757</v>
      </c>
      <c r="P514" s="2810"/>
    </row>
    <row r="515" spans="2:16">
      <c r="B515" s="827" t="s">
        <v>4006</v>
      </c>
      <c r="C515" s="1912"/>
      <c r="D515" s="2831" t="s">
        <v>4078</v>
      </c>
      <c r="E515" s="2832">
        <v>200</v>
      </c>
      <c r="F515" s="2832" t="s">
        <v>4025</v>
      </c>
      <c r="G515" s="19"/>
      <c r="H515" s="2829" t="s">
        <v>2757</v>
      </c>
      <c r="I515" s="2829"/>
      <c r="J515" s="2829"/>
      <c r="K515" s="2829"/>
      <c r="L515" s="2833">
        <v>47600</v>
      </c>
      <c r="M515" s="2829"/>
      <c r="O515" s="2809" t="s">
        <v>2757</v>
      </c>
      <c r="P515" s="2810"/>
    </row>
    <row r="516" spans="2:16">
      <c r="B516" s="827" t="s">
        <v>4006</v>
      </c>
      <c r="C516" s="1912"/>
      <c r="D516" s="2831" t="s">
        <v>4079</v>
      </c>
      <c r="E516" s="2832">
        <v>2000</v>
      </c>
      <c r="F516" s="2832" t="s">
        <v>4010</v>
      </c>
      <c r="G516" s="19"/>
      <c r="H516" s="2829" t="s">
        <v>2757</v>
      </c>
      <c r="I516" s="2829"/>
      <c r="J516" s="2829"/>
      <c r="K516" s="2829"/>
      <c r="L516" s="2833">
        <v>8000</v>
      </c>
      <c r="M516" s="2829"/>
      <c r="O516" s="2809" t="s">
        <v>2757</v>
      </c>
      <c r="P516" s="2810"/>
    </row>
    <row r="517" spans="2:16">
      <c r="B517" s="827" t="s">
        <v>4006</v>
      </c>
      <c r="C517" s="1912"/>
      <c r="D517" s="2831" t="s">
        <v>4080</v>
      </c>
      <c r="E517" s="2832">
        <v>500</v>
      </c>
      <c r="F517" s="2832" t="s">
        <v>4010</v>
      </c>
      <c r="G517" s="19"/>
      <c r="H517" s="2829" t="s">
        <v>2757</v>
      </c>
      <c r="I517" s="2829"/>
      <c r="J517" s="2829"/>
      <c r="K517" s="2829"/>
      <c r="L517" s="2833">
        <v>5500</v>
      </c>
      <c r="M517" s="2829"/>
      <c r="O517" s="2809" t="s">
        <v>2757</v>
      </c>
      <c r="P517" s="2810"/>
    </row>
    <row r="518" spans="2:16" ht="27">
      <c r="B518" s="827" t="s">
        <v>4006</v>
      </c>
      <c r="C518" s="1912"/>
      <c r="D518" s="2831" t="s">
        <v>4081</v>
      </c>
      <c r="E518" s="2832">
        <v>3</v>
      </c>
      <c r="F518" s="2832" t="s">
        <v>4014</v>
      </c>
      <c r="G518" s="19"/>
      <c r="H518" s="2829" t="s">
        <v>2757</v>
      </c>
      <c r="I518" s="2829"/>
      <c r="J518" s="2829"/>
      <c r="K518" s="2829"/>
      <c r="L518" s="2833">
        <v>105</v>
      </c>
      <c r="M518" s="2829"/>
      <c r="O518" s="2809" t="s">
        <v>2757</v>
      </c>
      <c r="P518" s="2810"/>
    </row>
    <row r="519" spans="2:16" ht="27">
      <c r="B519" s="827" t="s">
        <v>4006</v>
      </c>
      <c r="C519" s="1912"/>
      <c r="D519" s="2831" t="s">
        <v>4082</v>
      </c>
      <c r="E519" s="2832">
        <v>3</v>
      </c>
      <c r="F519" s="2832" t="s">
        <v>4014</v>
      </c>
      <c r="G519" s="19"/>
      <c r="H519" s="2829" t="s">
        <v>2757</v>
      </c>
      <c r="I519" s="2829"/>
      <c r="J519" s="2829"/>
      <c r="K519" s="2829"/>
      <c r="L519" s="2833">
        <v>117</v>
      </c>
      <c r="M519" s="2829"/>
      <c r="O519" s="2809" t="s">
        <v>2757</v>
      </c>
      <c r="P519" s="2810"/>
    </row>
    <row r="520" spans="2:16" ht="27">
      <c r="B520" s="827" t="s">
        <v>4006</v>
      </c>
      <c r="C520" s="1912"/>
      <c r="D520" s="2831" t="s">
        <v>4083</v>
      </c>
      <c r="E520" s="2832">
        <v>5</v>
      </c>
      <c r="F520" s="2832" t="s">
        <v>4014</v>
      </c>
      <c r="G520" s="19"/>
      <c r="H520" s="2829" t="s">
        <v>2757</v>
      </c>
      <c r="I520" s="2829"/>
      <c r="J520" s="2829"/>
      <c r="K520" s="2829"/>
      <c r="L520" s="2833">
        <v>210</v>
      </c>
      <c r="M520" s="2829"/>
      <c r="O520" s="2809" t="s">
        <v>2757</v>
      </c>
      <c r="P520" s="2810"/>
    </row>
    <row r="521" spans="2:16">
      <c r="B521" s="827" t="s">
        <v>4006</v>
      </c>
      <c r="C521" s="1912"/>
      <c r="D521" s="2831" t="s">
        <v>4084</v>
      </c>
      <c r="E521" s="2832">
        <v>1000</v>
      </c>
      <c r="F521" s="2832" t="s">
        <v>4031</v>
      </c>
      <c r="G521" s="19"/>
      <c r="H521" s="2829" t="s">
        <v>2757</v>
      </c>
      <c r="I521" s="2829"/>
      <c r="J521" s="2829"/>
      <c r="K521" s="2829"/>
      <c r="L521" s="2833">
        <v>150000</v>
      </c>
      <c r="M521" s="2829"/>
      <c r="O521" s="2809" t="s">
        <v>2757</v>
      </c>
      <c r="P521" s="2810"/>
    </row>
    <row r="522" spans="2:16">
      <c r="B522" s="827" t="s">
        <v>4006</v>
      </c>
      <c r="C522" s="1912"/>
      <c r="D522" s="2831" t="s">
        <v>4085</v>
      </c>
      <c r="E522" s="2832">
        <v>500</v>
      </c>
      <c r="F522" s="2832" t="s">
        <v>4031</v>
      </c>
      <c r="G522" s="19"/>
      <c r="H522" s="2829" t="s">
        <v>2757</v>
      </c>
      <c r="I522" s="2829"/>
      <c r="J522" s="2829"/>
      <c r="K522" s="2829"/>
      <c r="L522" s="2833">
        <v>102000</v>
      </c>
      <c r="M522" s="2829"/>
      <c r="O522" s="2809" t="s">
        <v>2757</v>
      </c>
      <c r="P522" s="2810"/>
    </row>
    <row r="523" spans="2:16">
      <c r="B523" s="827" t="s">
        <v>4006</v>
      </c>
      <c r="C523" s="1912"/>
      <c r="D523" s="2831" t="s">
        <v>4086</v>
      </c>
      <c r="E523" s="2832">
        <v>10</v>
      </c>
      <c r="F523" s="2832" t="s">
        <v>4014</v>
      </c>
      <c r="G523" s="19"/>
      <c r="H523" s="2829" t="s">
        <v>2757</v>
      </c>
      <c r="I523" s="2829"/>
      <c r="J523" s="2829"/>
      <c r="K523" s="2829"/>
      <c r="L523" s="2833">
        <v>1650</v>
      </c>
      <c r="M523" s="2829"/>
      <c r="O523" s="2809" t="s">
        <v>2757</v>
      </c>
      <c r="P523" s="2810"/>
    </row>
    <row r="524" spans="2:16">
      <c r="B524" s="827" t="s">
        <v>4006</v>
      </c>
      <c r="C524" s="1912"/>
      <c r="D524" s="2831" t="s">
        <v>4087</v>
      </c>
      <c r="E524" s="2832">
        <v>3</v>
      </c>
      <c r="F524" s="2832" t="s">
        <v>4014</v>
      </c>
      <c r="G524" s="19"/>
      <c r="H524" s="2829" t="s">
        <v>2757</v>
      </c>
      <c r="I524" s="2829"/>
      <c r="J524" s="2829"/>
      <c r="K524" s="2829"/>
      <c r="L524" s="2833">
        <v>384</v>
      </c>
      <c r="M524" s="2829"/>
      <c r="O524" s="2809" t="s">
        <v>2757</v>
      </c>
      <c r="P524" s="2810"/>
    </row>
    <row r="525" spans="2:16">
      <c r="B525" s="827" t="s">
        <v>4006</v>
      </c>
      <c r="C525" s="1912"/>
      <c r="D525" s="2831" t="s">
        <v>4089</v>
      </c>
      <c r="E525" s="2832">
        <v>400</v>
      </c>
      <c r="F525" s="2832" t="s">
        <v>4088</v>
      </c>
      <c r="G525" s="19"/>
      <c r="H525" s="2829" t="s">
        <v>2757</v>
      </c>
      <c r="I525" s="2829"/>
      <c r="J525" s="2829"/>
      <c r="K525" s="2829"/>
      <c r="L525" s="2833">
        <v>10800</v>
      </c>
      <c r="M525" s="2829"/>
      <c r="O525" s="2809" t="s">
        <v>2757</v>
      </c>
      <c r="P525" s="2810"/>
    </row>
    <row r="526" spans="2:16" ht="27">
      <c r="B526" s="827" t="s">
        <v>4006</v>
      </c>
      <c r="C526" s="1912"/>
      <c r="D526" s="2831" t="s">
        <v>4090</v>
      </c>
      <c r="E526" s="2832">
        <v>500</v>
      </c>
      <c r="F526" s="2832" t="s">
        <v>4031</v>
      </c>
      <c r="G526" s="19"/>
      <c r="H526" s="2829" t="s">
        <v>2757</v>
      </c>
      <c r="I526" s="2829"/>
      <c r="J526" s="2829"/>
      <c r="K526" s="2829"/>
      <c r="L526" s="2833">
        <v>218500</v>
      </c>
      <c r="M526" s="2829"/>
      <c r="O526" s="2809" t="s">
        <v>2757</v>
      </c>
      <c r="P526" s="2810"/>
    </row>
    <row r="527" spans="2:16">
      <c r="B527" s="827" t="s">
        <v>4006</v>
      </c>
      <c r="C527" s="1912"/>
      <c r="D527" s="2831" t="s">
        <v>4091</v>
      </c>
      <c r="E527" s="2832">
        <v>500</v>
      </c>
      <c r="F527" s="2832" t="s">
        <v>4031</v>
      </c>
      <c r="G527" s="19"/>
      <c r="H527" s="2829" t="s">
        <v>2757</v>
      </c>
      <c r="I527" s="2829"/>
      <c r="J527" s="2829"/>
      <c r="K527" s="2829"/>
      <c r="L527" s="2833">
        <v>168500</v>
      </c>
      <c r="M527" s="2829"/>
      <c r="O527" s="2809" t="s">
        <v>2757</v>
      </c>
      <c r="P527" s="2810"/>
    </row>
    <row r="528" spans="2:16" ht="27">
      <c r="B528" s="827" t="s">
        <v>4006</v>
      </c>
      <c r="C528" s="1912"/>
      <c r="D528" s="2831" t="s">
        <v>4092</v>
      </c>
      <c r="E528" s="2832">
        <v>12000</v>
      </c>
      <c r="F528" s="2832" t="s">
        <v>4031</v>
      </c>
      <c r="G528" s="19"/>
      <c r="H528" s="2829" t="s">
        <v>2757</v>
      </c>
      <c r="I528" s="2829"/>
      <c r="J528" s="2829"/>
      <c r="K528" s="2829"/>
      <c r="L528" s="2833">
        <v>1902000</v>
      </c>
      <c r="M528" s="2829"/>
      <c r="O528" s="2809" t="s">
        <v>2757</v>
      </c>
      <c r="P528" s="2810"/>
    </row>
    <row r="529" spans="2:16" ht="27">
      <c r="B529" s="827" t="s">
        <v>4006</v>
      </c>
      <c r="C529" s="1912"/>
      <c r="D529" s="2831" t="s">
        <v>4093</v>
      </c>
      <c r="E529" s="2832">
        <v>3</v>
      </c>
      <c r="F529" s="2832" t="s">
        <v>4014</v>
      </c>
      <c r="G529" s="19"/>
      <c r="H529" s="2829" t="s">
        <v>2757</v>
      </c>
      <c r="I529" s="2829"/>
      <c r="J529" s="2829"/>
      <c r="K529" s="2829"/>
      <c r="L529" s="2833">
        <v>450</v>
      </c>
      <c r="M529" s="2829"/>
      <c r="O529" s="2809" t="s">
        <v>2757</v>
      </c>
      <c r="P529" s="2810"/>
    </row>
    <row r="530" spans="2:16">
      <c r="B530" s="827" t="s">
        <v>4006</v>
      </c>
      <c r="C530" s="1912"/>
      <c r="D530" s="2831" t="s">
        <v>4094</v>
      </c>
      <c r="E530" s="2832">
        <v>20</v>
      </c>
      <c r="F530" s="2832" t="s">
        <v>4014</v>
      </c>
      <c r="G530" s="19"/>
      <c r="H530" s="2829" t="s">
        <v>2757</v>
      </c>
      <c r="I530" s="2829"/>
      <c r="J530" s="2829"/>
      <c r="K530" s="2829"/>
      <c r="L530" s="2833">
        <v>2600</v>
      </c>
      <c r="M530" s="2829"/>
      <c r="O530" s="2809" t="s">
        <v>2757</v>
      </c>
      <c r="P530" s="2810"/>
    </row>
    <row r="531" spans="2:16">
      <c r="B531" s="827" t="s">
        <v>4006</v>
      </c>
      <c r="C531" s="1912"/>
      <c r="D531" s="2831" t="s">
        <v>4095</v>
      </c>
      <c r="E531" s="2832">
        <v>5000</v>
      </c>
      <c r="F531" s="2832" t="s">
        <v>4010</v>
      </c>
      <c r="G531" s="19"/>
      <c r="H531" s="2829" t="s">
        <v>2757</v>
      </c>
      <c r="I531" s="2829"/>
      <c r="J531" s="2829"/>
      <c r="K531" s="2829"/>
      <c r="L531" s="2833">
        <v>120000</v>
      </c>
      <c r="M531" s="2829"/>
      <c r="O531" s="2809" t="s">
        <v>2757</v>
      </c>
      <c r="P531" s="2810"/>
    </row>
    <row r="532" spans="2:16">
      <c r="B532" s="827" t="s">
        <v>4006</v>
      </c>
      <c r="C532" s="1912"/>
      <c r="D532" s="2831" t="s">
        <v>4096</v>
      </c>
      <c r="E532" s="2832">
        <v>3000</v>
      </c>
      <c r="F532" s="2832" t="s">
        <v>4031</v>
      </c>
      <c r="G532" s="19"/>
      <c r="H532" s="2829" t="s">
        <v>2757</v>
      </c>
      <c r="I532" s="2829"/>
      <c r="J532" s="2829"/>
      <c r="K532" s="2829"/>
      <c r="L532" s="2833">
        <v>156000</v>
      </c>
      <c r="M532" s="2829"/>
      <c r="O532" s="2809" t="s">
        <v>2757</v>
      </c>
      <c r="P532" s="2810"/>
    </row>
    <row r="533" spans="2:16">
      <c r="B533" s="827" t="s">
        <v>4006</v>
      </c>
      <c r="C533" s="1912"/>
      <c r="D533" s="2831" t="s">
        <v>4097</v>
      </c>
      <c r="E533" s="2832">
        <v>3000</v>
      </c>
      <c r="F533" s="2832" t="s">
        <v>4088</v>
      </c>
      <c r="G533" s="19"/>
      <c r="H533" s="2829" t="s">
        <v>2757</v>
      </c>
      <c r="I533" s="2829"/>
      <c r="J533" s="2829"/>
      <c r="K533" s="2829"/>
      <c r="L533" s="2833">
        <v>48000</v>
      </c>
      <c r="M533" s="2829"/>
      <c r="O533" s="2809" t="s">
        <v>2757</v>
      </c>
      <c r="P533" s="2810"/>
    </row>
    <row r="534" spans="2:16">
      <c r="B534" s="827" t="s">
        <v>4006</v>
      </c>
      <c r="C534" s="1912"/>
      <c r="D534" s="2831" t="s">
        <v>4098</v>
      </c>
      <c r="E534" s="2832">
        <v>200</v>
      </c>
      <c r="F534" s="2832" t="s">
        <v>4088</v>
      </c>
      <c r="G534" s="19"/>
      <c r="H534" s="2829" t="s">
        <v>2757</v>
      </c>
      <c r="I534" s="2829"/>
      <c r="J534" s="2829"/>
      <c r="K534" s="2829"/>
      <c r="L534" s="2833">
        <v>1800</v>
      </c>
      <c r="M534" s="2829"/>
      <c r="O534" s="2809" t="s">
        <v>2757</v>
      </c>
      <c r="P534" s="2810"/>
    </row>
    <row r="535" spans="2:16" ht="27">
      <c r="B535" s="827" t="s">
        <v>4006</v>
      </c>
      <c r="C535" s="1912"/>
      <c r="D535" s="2831" t="s">
        <v>4099</v>
      </c>
      <c r="E535" s="2832">
        <v>5</v>
      </c>
      <c r="F535" s="2832" t="s">
        <v>4014</v>
      </c>
      <c r="G535" s="19"/>
      <c r="H535" s="2829" t="s">
        <v>2757</v>
      </c>
      <c r="I535" s="2829"/>
      <c r="J535" s="2829"/>
      <c r="K535" s="2829"/>
      <c r="L535" s="2833">
        <v>290</v>
      </c>
      <c r="M535" s="2829"/>
      <c r="O535" s="2809" t="s">
        <v>2757</v>
      </c>
      <c r="P535" s="2810"/>
    </row>
    <row r="536" spans="2:16" ht="27">
      <c r="B536" s="827" t="s">
        <v>4006</v>
      </c>
      <c r="C536" s="1912"/>
      <c r="D536" s="2831" t="s">
        <v>4100</v>
      </c>
      <c r="E536" s="2832">
        <v>100</v>
      </c>
      <c r="F536" s="2832" t="s">
        <v>4014</v>
      </c>
      <c r="G536" s="19"/>
      <c r="H536" s="2829" t="s">
        <v>2757</v>
      </c>
      <c r="I536" s="2829"/>
      <c r="J536" s="2829"/>
      <c r="K536" s="2829"/>
      <c r="L536" s="2833">
        <v>4600</v>
      </c>
      <c r="M536" s="2829"/>
      <c r="O536" s="2809" t="s">
        <v>2757</v>
      </c>
      <c r="P536" s="2810"/>
    </row>
    <row r="537" spans="2:16" ht="27">
      <c r="B537" s="827" t="s">
        <v>4006</v>
      </c>
      <c r="C537" s="1912"/>
      <c r="D537" s="2831" t="s">
        <v>4101</v>
      </c>
      <c r="E537" s="2832">
        <v>25</v>
      </c>
      <c r="F537" s="2832" t="s">
        <v>4014</v>
      </c>
      <c r="G537" s="19"/>
      <c r="H537" s="2829" t="s">
        <v>2757</v>
      </c>
      <c r="I537" s="2829"/>
      <c r="J537" s="2829"/>
      <c r="K537" s="2829"/>
      <c r="L537" s="2833">
        <v>1750</v>
      </c>
      <c r="M537" s="2829"/>
      <c r="O537" s="2809" t="s">
        <v>2757</v>
      </c>
      <c r="P537" s="2810"/>
    </row>
    <row r="538" spans="2:16">
      <c r="B538" s="827" t="s">
        <v>4006</v>
      </c>
      <c r="C538" s="1912"/>
      <c r="D538" s="2831" t="s">
        <v>4102</v>
      </c>
      <c r="E538" s="2832">
        <v>3000</v>
      </c>
      <c r="F538" s="2832" t="s">
        <v>4010</v>
      </c>
      <c r="G538" s="19"/>
      <c r="H538" s="2829" t="s">
        <v>2757</v>
      </c>
      <c r="I538" s="2829"/>
      <c r="J538" s="2829"/>
      <c r="K538" s="2829"/>
      <c r="L538" s="2833">
        <v>42000</v>
      </c>
      <c r="M538" s="2829"/>
      <c r="O538" s="2809" t="s">
        <v>2757</v>
      </c>
      <c r="P538" s="2810"/>
    </row>
    <row r="539" spans="2:16">
      <c r="B539" s="827" t="s">
        <v>4006</v>
      </c>
      <c r="C539" s="1912"/>
      <c r="D539" s="2831" t="s">
        <v>4103</v>
      </c>
      <c r="E539" s="2832">
        <v>50</v>
      </c>
      <c r="F539" s="2832" t="s">
        <v>4014</v>
      </c>
      <c r="G539" s="19"/>
      <c r="H539" s="2829" t="s">
        <v>2757</v>
      </c>
      <c r="I539" s="2829"/>
      <c r="J539" s="2829"/>
      <c r="K539" s="2829"/>
      <c r="L539" s="2833">
        <v>8300</v>
      </c>
      <c r="M539" s="2829"/>
      <c r="O539" s="2809" t="s">
        <v>2757</v>
      </c>
      <c r="P539" s="2810"/>
    </row>
    <row r="540" spans="2:16">
      <c r="B540" s="827" t="s">
        <v>4006</v>
      </c>
      <c r="C540" s="1912"/>
      <c r="D540" s="2831" t="s">
        <v>4104</v>
      </c>
      <c r="E540" s="2832">
        <v>200</v>
      </c>
      <c r="F540" s="2832" t="s">
        <v>4010</v>
      </c>
      <c r="G540" s="19"/>
      <c r="H540" s="2829" t="s">
        <v>2757</v>
      </c>
      <c r="I540" s="2829"/>
      <c r="J540" s="2829"/>
      <c r="K540" s="2829"/>
      <c r="L540" s="2833">
        <v>2000</v>
      </c>
      <c r="M540" s="2829"/>
      <c r="O540" s="2809" t="s">
        <v>2757</v>
      </c>
      <c r="P540" s="2810"/>
    </row>
    <row r="541" spans="2:16">
      <c r="B541" s="827" t="s">
        <v>4006</v>
      </c>
      <c r="C541" s="1912"/>
      <c r="D541" s="2831" t="s">
        <v>4105</v>
      </c>
      <c r="E541" s="2832">
        <v>300</v>
      </c>
      <c r="F541" s="2832" t="s">
        <v>4010</v>
      </c>
      <c r="G541" s="19"/>
      <c r="H541" s="2829" t="s">
        <v>2757</v>
      </c>
      <c r="I541" s="2829"/>
      <c r="J541" s="2829"/>
      <c r="K541" s="2829"/>
      <c r="L541" s="2833">
        <v>600</v>
      </c>
      <c r="M541" s="2829"/>
      <c r="O541" s="2809" t="s">
        <v>2757</v>
      </c>
      <c r="P541" s="2810"/>
    </row>
    <row r="542" spans="2:16">
      <c r="B542" s="827" t="s">
        <v>4006</v>
      </c>
      <c r="C542" s="1912"/>
      <c r="D542" s="2831" t="s">
        <v>4106</v>
      </c>
      <c r="E542" s="2832">
        <v>500</v>
      </c>
      <c r="F542" s="2832" t="s">
        <v>4010</v>
      </c>
      <c r="G542" s="19"/>
      <c r="H542" s="2829" t="s">
        <v>2757</v>
      </c>
      <c r="I542" s="2829"/>
      <c r="J542" s="2829"/>
      <c r="K542" s="2829"/>
      <c r="L542" s="2833">
        <v>5500</v>
      </c>
      <c r="M542" s="2829"/>
      <c r="O542" s="2809" t="s">
        <v>2757</v>
      </c>
      <c r="P542" s="2810"/>
    </row>
    <row r="543" spans="2:16">
      <c r="B543" s="827" t="s">
        <v>4006</v>
      </c>
      <c r="C543" s="1912"/>
      <c r="D543" s="2831" t="s">
        <v>4107</v>
      </c>
      <c r="E543" s="2832">
        <v>100</v>
      </c>
      <c r="F543" s="2832" t="s">
        <v>4031</v>
      </c>
      <c r="G543" s="19"/>
      <c r="H543" s="2829" t="s">
        <v>2757</v>
      </c>
      <c r="I543" s="2829"/>
      <c r="J543" s="2829"/>
      <c r="K543" s="2829"/>
      <c r="L543" s="2833">
        <v>50400</v>
      </c>
      <c r="M543" s="2829"/>
      <c r="O543" s="2809" t="s">
        <v>2757</v>
      </c>
      <c r="P543" s="2810"/>
    </row>
    <row r="544" spans="2:16" ht="27">
      <c r="B544" s="827" t="s">
        <v>4006</v>
      </c>
      <c r="C544" s="1912"/>
      <c r="D544" s="2831" t="s">
        <v>4108</v>
      </c>
      <c r="E544" s="2832">
        <v>25</v>
      </c>
      <c r="F544" s="2832" t="s">
        <v>4406</v>
      </c>
      <c r="G544" s="19"/>
      <c r="H544" s="2829" t="s">
        <v>2757</v>
      </c>
      <c r="I544" s="2829"/>
      <c r="J544" s="2829"/>
      <c r="K544" s="2829"/>
      <c r="L544" s="2833">
        <v>4925</v>
      </c>
      <c r="M544" s="2829"/>
      <c r="O544" s="2809" t="s">
        <v>2757</v>
      </c>
      <c r="P544" s="2810"/>
    </row>
    <row r="545" spans="2:16">
      <c r="B545" s="827" t="s">
        <v>4006</v>
      </c>
      <c r="C545" s="1912"/>
      <c r="D545" s="2831" t="s">
        <v>4109</v>
      </c>
      <c r="E545" s="2832">
        <v>20</v>
      </c>
      <c r="F545" s="2832" t="s">
        <v>4010</v>
      </c>
      <c r="G545" s="19"/>
      <c r="H545" s="2829" t="s">
        <v>2757</v>
      </c>
      <c r="I545" s="2829"/>
      <c r="J545" s="2829"/>
      <c r="K545" s="2829"/>
      <c r="L545" s="2833">
        <v>460</v>
      </c>
      <c r="M545" s="2829"/>
      <c r="O545" s="2809" t="s">
        <v>2757</v>
      </c>
      <c r="P545" s="2810"/>
    </row>
    <row r="546" spans="2:16">
      <c r="B546" s="827" t="s">
        <v>4006</v>
      </c>
      <c r="C546" s="1912"/>
      <c r="D546" s="2831" t="s">
        <v>4110</v>
      </c>
      <c r="E546" s="2832">
        <v>1000</v>
      </c>
      <c r="F546" s="2832" t="s">
        <v>4010</v>
      </c>
      <c r="G546" s="19"/>
      <c r="H546" s="2829" t="s">
        <v>2757</v>
      </c>
      <c r="I546" s="2829"/>
      <c r="J546" s="2829"/>
      <c r="K546" s="2829"/>
      <c r="L546" s="2833">
        <v>88000</v>
      </c>
      <c r="M546" s="2829"/>
      <c r="O546" s="2809" t="s">
        <v>2757</v>
      </c>
      <c r="P546" s="2810"/>
    </row>
    <row r="547" spans="2:16">
      <c r="B547" s="827" t="s">
        <v>4006</v>
      </c>
      <c r="C547" s="1912"/>
      <c r="D547" s="2831" t="s">
        <v>4111</v>
      </c>
      <c r="E547" s="2832">
        <v>1000</v>
      </c>
      <c r="F547" s="2832" t="s">
        <v>4010</v>
      </c>
      <c r="G547" s="19"/>
      <c r="H547" s="2829" t="s">
        <v>2757</v>
      </c>
      <c r="I547" s="2829"/>
      <c r="J547" s="2829"/>
      <c r="K547" s="2829"/>
      <c r="L547" s="2833">
        <v>20000</v>
      </c>
      <c r="M547" s="2829"/>
      <c r="O547" s="2809" t="s">
        <v>2757</v>
      </c>
      <c r="P547" s="2810"/>
    </row>
    <row r="548" spans="2:16" ht="27">
      <c r="B548" s="827" t="s">
        <v>4006</v>
      </c>
      <c r="C548" s="1912"/>
      <c r="D548" s="2831" t="s">
        <v>4112</v>
      </c>
      <c r="E548" s="2832">
        <v>5000</v>
      </c>
      <c r="F548" s="2832" t="s">
        <v>4025</v>
      </c>
      <c r="G548" s="19"/>
      <c r="H548" s="2829" t="s">
        <v>2757</v>
      </c>
      <c r="I548" s="2829"/>
      <c r="J548" s="2829"/>
      <c r="K548" s="2829"/>
      <c r="L548" s="2833">
        <v>1015000</v>
      </c>
      <c r="M548" s="2829"/>
      <c r="O548" s="2809" t="s">
        <v>2757</v>
      </c>
      <c r="P548" s="2810"/>
    </row>
    <row r="549" spans="2:16" ht="27">
      <c r="B549" s="827" t="s">
        <v>4006</v>
      </c>
      <c r="C549" s="1912"/>
      <c r="D549" s="2831" t="s">
        <v>4113</v>
      </c>
      <c r="E549" s="2832">
        <v>10</v>
      </c>
      <c r="F549" s="2832" t="s">
        <v>4014</v>
      </c>
      <c r="G549" s="19"/>
      <c r="H549" s="2829" t="s">
        <v>2757</v>
      </c>
      <c r="I549" s="2829"/>
      <c r="J549" s="2829"/>
      <c r="K549" s="2829"/>
      <c r="L549" s="2833">
        <v>4330</v>
      </c>
      <c r="M549" s="2829"/>
      <c r="O549" s="2809" t="s">
        <v>2757</v>
      </c>
      <c r="P549" s="2810"/>
    </row>
    <row r="550" spans="2:16">
      <c r="B550" s="827" t="s">
        <v>4006</v>
      </c>
      <c r="C550" s="1912"/>
      <c r="D550" s="2831" t="s">
        <v>4114</v>
      </c>
      <c r="E550" s="2832">
        <v>3</v>
      </c>
      <c r="F550" s="2832" t="s">
        <v>3167</v>
      </c>
      <c r="G550" s="19"/>
      <c r="H550" s="2829" t="s">
        <v>2757</v>
      </c>
      <c r="I550" s="2829"/>
      <c r="J550" s="2829"/>
      <c r="K550" s="2829"/>
      <c r="L550" s="2833">
        <v>225</v>
      </c>
      <c r="M550" s="2829"/>
      <c r="O550" s="2809" t="s">
        <v>2757</v>
      </c>
      <c r="P550" s="2810"/>
    </row>
    <row r="551" spans="2:16">
      <c r="B551" s="827" t="s">
        <v>4006</v>
      </c>
      <c r="C551" s="1912"/>
      <c r="D551" s="2831" t="s">
        <v>4115</v>
      </c>
      <c r="E551" s="2832">
        <v>1500</v>
      </c>
      <c r="F551" s="2832" t="s">
        <v>4010</v>
      </c>
      <c r="G551" s="19"/>
      <c r="H551" s="2829" t="s">
        <v>2757</v>
      </c>
      <c r="I551" s="2829"/>
      <c r="J551" s="2829"/>
      <c r="K551" s="2829"/>
      <c r="L551" s="2833">
        <v>10500</v>
      </c>
      <c r="M551" s="2829"/>
      <c r="O551" s="2809" t="s">
        <v>2757</v>
      </c>
      <c r="P551" s="2810"/>
    </row>
    <row r="552" spans="2:16" ht="27">
      <c r="B552" s="827" t="s">
        <v>4006</v>
      </c>
      <c r="C552" s="1912"/>
      <c r="D552" s="2831" t="s">
        <v>4116</v>
      </c>
      <c r="E552" s="2832">
        <v>30</v>
      </c>
      <c r="F552" s="2832" t="s">
        <v>4025</v>
      </c>
      <c r="G552" s="19"/>
      <c r="H552" s="2829" t="s">
        <v>2757</v>
      </c>
      <c r="I552" s="2829"/>
      <c r="J552" s="2829"/>
      <c r="K552" s="2829"/>
      <c r="L552" s="2833">
        <v>2580</v>
      </c>
      <c r="M552" s="2829"/>
      <c r="O552" s="2809" t="s">
        <v>2757</v>
      </c>
      <c r="P552" s="2810"/>
    </row>
    <row r="553" spans="2:16">
      <c r="B553" s="827" t="s">
        <v>4006</v>
      </c>
      <c r="C553" s="1912"/>
      <c r="D553" s="2831" t="s">
        <v>4117</v>
      </c>
      <c r="E553" s="2832">
        <v>1000</v>
      </c>
      <c r="F553" s="2832" t="s">
        <v>4010</v>
      </c>
      <c r="G553" s="19"/>
      <c r="H553" s="2829" t="s">
        <v>2757</v>
      </c>
      <c r="I553" s="2829"/>
      <c r="J553" s="2829"/>
      <c r="K553" s="2829"/>
      <c r="L553" s="2833">
        <v>15000</v>
      </c>
      <c r="M553" s="2829"/>
      <c r="O553" s="2809" t="s">
        <v>2757</v>
      </c>
      <c r="P553" s="2810"/>
    </row>
    <row r="554" spans="2:16">
      <c r="B554" s="827" t="s">
        <v>4006</v>
      </c>
      <c r="C554" s="1912"/>
      <c r="D554" s="2831" t="s">
        <v>4118</v>
      </c>
      <c r="E554" s="2832">
        <v>6</v>
      </c>
      <c r="F554" s="2832" t="s">
        <v>3167</v>
      </c>
      <c r="G554" s="19"/>
      <c r="H554" s="2829" t="s">
        <v>2757</v>
      </c>
      <c r="I554" s="2829"/>
      <c r="J554" s="2829"/>
      <c r="K554" s="2829"/>
      <c r="L554" s="2833">
        <v>654</v>
      </c>
      <c r="M554" s="2829"/>
      <c r="O554" s="2809" t="s">
        <v>2757</v>
      </c>
      <c r="P554" s="2810"/>
    </row>
    <row r="555" spans="2:16">
      <c r="B555" s="827" t="s">
        <v>4006</v>
      </c>
      <c r="C555" s="1912"/>
      <c r="D555" s="2831" t="s">
        <v>4119</v>
      </c>
      <c r="E555" s="2832">
        <v>200</v>
      </c>
      <c r="F555" s="2832" t="s">
        <v>4088</v>
      </c>
      <c r="G555" s="19"/>
      <c r="H555" s="2829" t="s">
        <v>2757</v>
      </c>
      <c r="I555" s="2829"/>
      <c r="J555" s="2829"/>
      <c r="K555" s="2829"/>
      <c r="L555" s="2833">
        <v>1000</v>
      </c>
      <c r="M555" s="2829"/>
      <c r="O555" s="2809" t="s">
        <v>2757</v>
      </c>
      <c r="P555" s="2810"/>
    </row>
    <row r="556" spans="2:16">
      <c r="B556" s="827" t="s">
        <v>4006</v>
      </c>
      <c r="C556" s="1912"/>
      <c r="D556" s="2831" t="s">
        <v>4120</v>
      </c>
      <c r="E556" s="2832">
        <v>25</v>
      </c>
      <c r="F556" s="2832" t="s">
        <v>4010</v>
      </c>
      <c r="G556" s="19"/>
      <c r="H556" s="2829" t="s">
        <v>2757</v>
      </c>
      <c r="I556" s="2829"/>
      <c r="J556" s="2829"/>
      <c r="K556" s="2829"/>
      <c r="L556" s="2833">
        <v>1475</v>
      </c>
      <c r="M556" s="2829"/>
      <c r="O556" s="2809" t="s">
        <v>2757</v>
      </c>
      <c r="P556" s="2810"/>
    </row>
    <row r="557" spans="2:16">
      <c r="B557" s="827" t="s">
        <v>4006</v>
      </c>
      <c r="C557" s="1912"/>
      <c r="D557" s="2831" t="s">
        <v>4121</v>
      </c>
      <c r="E557" s="2832">
        <v>4000</v>
      </c>
      <c r="F557" s="2832" t="s">
        <v>4010</v>
      </c>
      <c r="G557" s="19"/>
      <c r="H557" s="2829" t="s">
        <v>2757</v>
      </c>
      <c r="I557" s="2829"/>
      <c r="J557" s="2829"/>
      <c r="K557" s="2829"/>
      <c r="L557" s="2833">
        <v>152000</v>
      </c>
      <c r="M557" s="2829"/>
      <c r="O557" s="2809" t="s">
        <v>2757</v>
      </c>
      <c r="P557" s="2810"/>
    </row>
    <row r="558" spans="2:16" ht="27">
      <c r="B558" s="827" t="s">
        <v>4006</v>
      </c>
      <c r="C558" s="1912"/>
      <c r="D558" s="2831" t="s">
        <v>4122</v>
      </c>
      <c r="E558" s="2832">
        <v>5</v>
      </c>
      <c r="F558" s="2832" t="s">
        <v>4014</v>
      </c>
      <c r="G558" s="19"/>
      <c r="H558" s="2829" t="s">
        <v>2757</v>
      </c>
      <c r="I558" s="2829"/>
      <c r="J558" s="2829"/>
      <c r="K558" s="2829"/>
      <c r="L558" s="2833">
        <v>990</v>
      </c>
      <c r="M558" s="2829"/>
      <c r="O558" s="2809" t="s">
        <v>2757</v>
      </c>
      <c r="P558" s="2810"/>
    </row>
    <row r="559" spans="2:16" ht="27">
      <c r="B559" s="827" t="s">
        <v>4006</v>
      </c>
      <c r="C559" s="1912"/>
      <c r="D559" s="2831" t="s">
        <v>4123</v>
      </c>
      <c r="E559" s="2832">
        <v>5</v>
      </c>
      <c r="F559" s="2832" t="s">
        <v>4014</v>
      </c>
      <c r="G559" s="19"/>
      <c r="H559" s="2829" t="s">
        <v>2757</v>
      </c>
      <c r="I559" s="2829"/>
      <c r="J559" s="2829"/>
      <c r="K559" s="2829"/>
      <c r="L559" s="2833">
        <v>1140</v>
      </c>
      <c r="M559" s="2829"/>
      <c r="O559" s="2809" t="s">
        <v>2757</v>
      </c>
      <c r="P559" s="2810"/>
    </row>
    <row r="560" spans="2:16" ht="27">
      <c r="B560" s="827" t="s">
        <v>4006</v>
      </c>
      <c r="C560" s="1912"/>
      <c r="D560" s="2831" t="s">
        <v>4124</v>
      </c>
      <c r="E560" s="2832">
        <v>30</v>
      </c>
      <c r="F560" s="2832" t="s">
        <v>4014</v>
      </c>
      <c r="G560" s="19"/>
      <c r="H560" s="2829" t="s">
        <v>2757</v>
      </c>
      <c r="I560" s="2829"/>
      <c r="J560" s="2829"/>
      <c r="K560" s="2829"/>
      <c r="L560" s="2833">
        <v>5460</v>
      </c>
      <c r="M560" s="2829"/>
      <c r="O560" s="2809" t="s">
        <v>2757</v>
      </c>
      <c r="P560" s="2810"/>
    </row>
    <row r="561" spans="2:16">
      <c r="B561" s="827" t="s">
        <v>4006</v>
      </c>
      <c r="C561" s="1912"/>
      <c r="D561" s="2831" t="s">
        <v>4125</v>
      </c>
      <c r="E561" s="2832">
        <v>500</v>
      </c>
      <c r="F561" s="2832" t="s">
        <v>4010</v>
      </c>
      <c r="G561" s="19"/>
      <c r="H561" s="2829" t="s">
        <v>2757</v>
      </c>
      <c r="I561" s="2829"/>
      <c r="J561" s="2829"/>
      <c r="K561" s="2829"/>
      <c r="L561" s="2833">
        <v>6000</v>
      </c>
      <c r="M561" s="2829"/>
      <c r="O561" s="2809" t="s">
        <v>2757</v>
      </c>
      <c r="P561" s="2810"/>
    </row>
    <row r="562" spans="2:16">
      <c r="B562" s="827" t="s">
        <v>4006</v>
      </c>
      <c r="C562" s="1912"/>
      <c r="D562" s="2831" t="s">
        <v>4126</v>
      </c>
      <c r="E562" s="2832">
        <v>1000</v>
      </c>
      <c r="F562" s="2832" t="s">
        <v>4010</v>
      </c>
      <c r="G562" s="19"/>
      <c r="H562" s="2829" t="s">
        <v>2757</v>
      </c>
      <c r="I562" s="2829"/>
      <c r="J562" s="2829"/>
      <c r="K562" s="2829"/>
      <c r="L562" s="2833">
        <v>3000</v>
      </c>
      <c r="M562" s="2829"/>
      <c r="O562" s="2809" t="s">
        <v>2757</v>
      </c>
      <c r="P562" s="2810"/>
    </row>
    <row r="563" spans="2:16">
      <c r="B563" s="827" t="s">
        <v>4006</v>
      </c>
      <c r="C563" s="1912"/>
      <c r="D563" s="2831" t="s">
        <v>4127</v>
      </c>
      <c r="E563" s="2832">
        <v>10</v>
      </c>
      <c r="F563" s="2832" t="s">
        <v>4010</v>
      </c>
      <c r="G563" s="19"/>
      <c r="H563" s="2829" t="s">
        <v>2757</v>
      </c>
      <c r="I563" s="2829"/>
      <c r="J563" s="2829"/>
      <c r="K563" s="2829"/>
      <c r="L563" s="2833">
        <v>330</v>
      </c>
      <c r="M563" s="2829"/>
      <c r="O563" s="2809" t="s">
        <v>2757</v>
      </c>
      <c r="P563" s="2810"/>
    </row>
    <row r="564" spans="2:16">
      <c r="B564" s="827" t="s">
        <v>4006</v>
      </c>
      <c r="C564" s="1912"/>
      <c r="D564" s="2831" t="s">
        <v>4128</v>
      </c>
      <c r="E564" s="2832">
        <v>100</v>
      </c>
      <c r="F564" s="2832" t="s">
        <v>4010</v>
      </c>
      <c r="G564" s="19"/>
      <c r="H564" s="2829" t="s">
        <v>2757</v>
      </c>
      <c r="I564" s="2829"/>
      <c r="J564" s="2829"/>
      <c r="K564" s="2829"/>
      <c r="L564" s="2833">
        <v>500</v>
      </c>
      <c r="M564" s="2829"/>
      <c r="O564" s="2809" t="s">
        <v>2757</v>
      </c>
      <c r="P564" s="2810"/>
    </row>
    <row r="565" spans="2:16">
      <c r="B565" s="827" t="s">
        <v>4006</v>
      </c>
      <c r="C565" s="1912"/>
      <c r="D565" s="2831" t="s">
        <v>4129</v>
      </c>
      <c r="E565" s="2832">
        <v>100</v>
      </c>
      <c r="F565" s="2832" t="s">
        <v>4088</v>
      </c>
      <c r="G565" s="19"/>
      <c r="H565" s="2829" t="s">
        <v>2757</v>
      </c>
      <c r="I565" s="2829"/>
      <c r="J565" s="2829"/>
      <c r="K565" s="2829"/>
      <c r="L565" s="2833">
        <v>8700</v>
      </c>
      <c r="M565" s="2829"/>
      <c r="O565" s="2809" t="s">
        <v>2757</v>
      </c>
      <c r="P565" s="2810"/>
    </row>
    <row r="566" spans="2:16">
      <c r="B566" s="827" t="s">
        <v>4006</v>
      </c>
      <c r="C566" s="1912"/>
      <c r="D566" s="2831" t="s">
        <v>4130</v>
      </c>
      <c r="E566" s="2832">
        <v>100</v>
      </c>
      <c r="F566" s="2832" t="s">
        <v>4088</v>
      </c>
      <c r="G566" s="19"/>
      <c r="H566" s="2829" t="s">
        <v>2757</v>
      </c>
      <c r="I566" s="2829"/>
      <c r="J566" s="2829"/>
      <c r="K566" s="2829"/>
      <c r="L566" s="2833">
        <v>8700</v>
      </c>
      <c r="M566" s="2829"/>
      <c r="O566" s="2809" t="s">
        <v>2757</v>
      </c>
      <c r="P566" s="2810"/>
    </row>
    <row r="567" spans="2:16">
      <c r="B567" s="827" t="s">
        <v>4006</v>
      </c>
      <c r="C567" s="1912"/>
      <c r="D567" s="2831" t="s">
        <v>4131</v>
      </c>
      <c r="E567" s="2832">
        <v>300</v>
      </c>
      <c r="F567" s="2832" t="s">
        <v>4010</v>
      </c>
      <c r="G567" s="19"/>
      <c r="H567" s="2829" t="s">
        <v>2757</v>
      </c>
      <c r="I567" s="2829"/>
      <c r="J567" s="2829"/>
      <c r="K567" s="2829"/>
      <c r="L567" s="2833">
        <v>13200</v>
      </c>
      <c r="M567" s="2829"/>
      <c r="O567" s="2809" t="s">
        <v>2757</v>
      </c>
      <c r="P567" s="2810"/>
    </row>
    <row r="568" spans="2:16">
      <c r="B568" s="827" t="s">
        <v>4006</v>
      </c>
      <c r="C568" s="1912"/>
      <c r="D568" s="2831" t="s">
        <v>4132</v>
      </c>
      <c r="E568" s="2832">
        <v>30</v>
      </c>
      <c r="F568" s="2832" t="s">
        <v>4010</v>
      </c>
      <c r="G568" s="19"/>
      <c r="H568" s="2829" t="s">
        <v>2757</v>
      </c>
      <c r="I568" s="2829"/>
      <c r="J568" s="2829"/>
      <c r="K568" s="2829"/>
      <c r="L568" s="2833">
        <v>840</v>
      </c>
      <c r="M568" s="2829"/>
      <c r="O568" s="2809" t="s">
        <v>2757</v>
      </c>
      <c r="P568" s="2810"/>
    </row>
    <row r="569" spans="2:16">
      <c r="B569" s="827" t="s">
        <v>4006</v>
      </c>
      <c r="C569" s="1912"/>
      <c r="D569" s="2831" t="s">
        <v>4133</v>
      </c>
      <c r="E569" s="2832">
        <v>30</v>
      </c>
      <c r="F569" s="2832" t="s">
        <v>4010</v>
      </c>
      <c r="G569" s="19"/>
      <c r="H569" s="2829" t="s">
        <v>2757</v>
      </c>
      <c r="I569" s="2829"/>
      <c r="J569" s="2829"/>
      <c r="K569" s="2829"/>
      <c r="L569" s="2833">
        <v>750</v>
      </c>
      <c r="M569" s="2829"/>
      <c r="O569" s="2809" t="s">
        <v>2757</v>
      </c>
      <c r="P569" s="2810"/>
    </row>
    <row r="570" spans="2:16" ht="27">
      <c r="B570" s="827" t="s">
        <v>4006</v>
      </c>
      <c r="C570" s="1912"/>
      <c r="D570" s="2831" t="s">
        <v>4134</v>
      </c>
      <c r="E570" s="2832">
        <v>1000</v>
      </c>
      <c r="F570" s="2832" t="s">
        <v>4025</v>
      </c>
      <c r="G570" s="19"/>
      <c r="H570" s="2829" t="s">
        <v>2757</v>
      </c>
      <c r="I570" s="2829"/>
      <c r="J570" s="2829"/>
      <c r="K570" s="2829"/>
      <c r="L570" s="2833">
        <v>20000</v>
      </c>
      <c r="M570" s="2829"/>
      <c r="O570" s="2809" t="s">
        <v>2757</v>
      </c>
      <c r="P570" s="2810"/>
    </row>
    <row r="571" spans="2:16">
      <c r="B571" s="827" t="s">
        <v>4006</v>
      </c>
      <c r="C571" s="1912"/>
      <c r="D571" s="2831" t="s">
        <v>4135</v>
      </c>
      <c r="E571" s="2832">
        <v>20</v>
      </c>
      <c r="F571" s="2832" t="s">
        <v>4014</v>
      </c>
      <c r="G571" s="19"/>
      <c r="H571" s="2829" t="s">
        <v>2757</v>
      </c>
      <c r="I571" s="2829"/>
      <c r="J571" s="2829"/>
      <c r="K571" s="2829"/>
      <c r="L571" s="2833">
        <v>860</v>
      </c>
      <c r="M571" s="2829"/>
      <c r="O571" s="2809" t="s">
        <v>2757</v>
      </c>
      <c r="P571" s="2810"/>
    </row>
    <row r="572" spans="2:16">
      <c r="B572" s="827" t="s">
        <v>4006</v>
      </c>
      <c r="C572" s="1912"/>
      <c r="D572" s="2831" t="s">
        <v>4136</v>
      </c>
      <c r="E572" s="2832">
        <v>100</v>
      </c>
      <c r="F572" s="2832" t="s">
        <v>4010</v>
      </c>
      <c r="G572" s="19"/>
      <c r="H572" s="2829" t="s">
        <v>2757</v>
      </c>
      <c r="I572" s="2829"/>
      <c r="J572" s="2829"/>
      <c r="K572" s="2829"/>
      <c r="L572" s="2833">
        <v>400</v>
      </c>
      <c r="M572" s="2829"/>
      <c r="O572" s="2809" t="s">
        <v>2757</v>
      </c>
      <c r="P572" s="2810"/>
    </row>
    <row r="573" spans="2:16">
      <c r="B573" s="827" t="s">
        <v>4006</v>
      </c>
      <c r="C573" s="1912"/>
      <c r="D573" s="2831" t="s">
        <v>4137</v>
      </c>
      <c r="E573" s="2832">
        <v>50</v>
      </c>
      <c r="F573" s="2832" t="s">
        <v>4025</v>
      </c>
      <c r="G573" s="19"/>
      <c r="H573" s="2829" t="s">
        <v>2757</v>
      </c>
      <c r="I573" s="2829"/>
      <c r="J573" s="2829"/>
      <c r="K573" s="2829"/>
      <c r="L573" s="2833">
        <v>7300</v>
      </c>
      <c r="M573" s="2829"/>
      <c r="O573" s="2809" t="s">
        <v>2757</v>
      </c>
      <c r="P573" s="2810"/>
    </row>
    <row r="574" spans="2:16" ht="27">
      <c r="B574" s="827" t="s">
        <v>4006</v>
      </c>
      <c r="C574" s="1912"/>
      <c r="D574" s="2831" t="s">
        <v>4138</v>
      </c>
      <c r="E574" s="2832">
        <v>50</v>
      </c>
      <c r="F574" s="2832" t="s">
        <v>4088</v>
      </c>
      <c r="G574" s="19"/>
      <c r="H574" s="2829" t="s">
        <v>2757</v>
      </c>
      <c r="I574" s="2829"/>
      <c r="J574" s="2829"/>
      <c r="K574" s="2829"/>
      <c r="L574" s="2833">
        <v>200</v>
      </c>
      <c r="M574" s="2829"/>
      <c r="O574" s="2809" t="s">
        <v>2757</v>
      </c>
      <c r="P574" s="2810"/>
    </row>
    <row r="575" spans="2:16" ht="27">
      <c r="B575" s="827" t="s">
        <v>4006</v>
      </c>
      <c r="C575" s="1912"/>
      <c r="D575" s="2831" t="s">
        <v>4139</v>
      </c>
      <c r="E575" s="2832">
        <v>500</v>
      </c>
      <c r="F575" s="2832" t="s">
        <v>4025</v>
      </c>
      <c r="G575" s="19"/>
      <c r="H575" s="2829" t="s">
        <v>2757</v>
      </c>
      <c r="I575" s="2829"/>
      <c r="J575" s="2829"/>
      <c r="K575" s="2829"/>
      <c r="L575" s="2833">
        <v>25500</v>
      </c>
      <c r="M575" s="2829"/>
      <c r="O575" s="2809" t="s">
        <v>2757</v>
      </c>
      <c r="P575" s="2810"/>
    </row>
    <row r="576" spans="2:16" ht="27">
      <c r="B576" s="827" t="s">
        <v>4006</v>
      </c>
      <c r="C576" s="1912"/>
      <c r="D576" s="2831" t="s">
        <v>4140</v>
      </c>
      <c r="E576" s="2832">
        <v>100</v>
      </c>
      <c r="F576" s="2832" t="s">
        <v>4088</v>
      </c>
      <c r="G576" s="19"/>
      <c r="H576" s="2829" t="s">
        <v>2757</v>
      </c>
      <c r="I576" s="2829"/>
      <c r="J576" s="2829"/>
      <c r="K576" s="2829"/>
      <c r="L576" s="2833">
        <v>200</v>
      </c>
      <c r="M576" s="2829"/>
      <c r="O576" s="2809" t="s">
        <v>2757</v>
      </c>
      <c r="P576" s="2810"/>
    </row>
    <row r="577" spans="2:16" ht="27">
      <c r="B577" s="827" t="s">
        <v>4006</v>
      </c>
      <c r="C577" s="1912"/>
      <c r="D577" s="2831" t="s">
        <v>4141</v>
      </c>
      <c r="E577" s="2832">
        <v>5</v>
      </c>
      <c r="F577" s="2832" t="s">
        <v>4014</v>
      </c>
      <c r="G577" s="19"/>
      <c r="H577" s="2829" t="s">
        <v>2757</v>
      </c>
      <c r="I577" s="2829"/>
      <c r="J577" s="2829"/>
      <c r="K577" s="2829"/>
      <c r="L577" s="2833">
        <v>230</v>
      </c>
      <c r="M577" s="2829"/>
      <c r="O577" s="2809" t="s">
        <v>2757</v>
      </c>
      <c r="P577" s="2810"/>
    </row>
    <row r="578" spans="2:16" ht="27">
      <c r="B578" s="827" t="s">
        <v>4006</v>
      </c>
      <c r="C578" s="1912"/>
      <c r="D578" s="2831" t="s">
        <v>4142</v>
      </c>
      <c r="E578" s="2832">
        <v>400</v>
      </c>
      <c r="F578" s="2832" t="s">
        <v>4025</v>
      </c>
      <c r="G578" s="19"/>
      <c r="H578" s="2829" t="s">
        <v>2757</v>
      </c>
      <c r="I578" s="2829"/>
      <c r="J578" s="2829"/>
      <c r="K578" s="2829"/>
      <c r="L578" s="2833">
        <v>51600</v>
      </c>
      <c r="M578" s="2829"/>
      <c r="O578" s="2809" t="s">
        <v>2757</v>
      </c>
      <c r="P578" s="2810"/>
    </row>
    <row r="579" spans="2:16">
      <c r="B579" s="827" t="s">
        <v>4006</v>
      </c>
      <c r="C579" s="1912"/>
      <c r="D579" s="2831" t="s">
        <v>4143</v>
      </c>
      <c r="E579" s="2832">
        <v>200</v>
      </c>
      <c r="F579" s="2832" t="s">
        <v>4010</v>
      </c>
      <c r="G579" s="19"/>
      <c r="H579" s="2829" t="s">
        <v>2757</v>
      </c>
      <c r="I579" s="2829"/>
      <c r="J579" s="2829"/>
      <c r="K579" s="2829"/>
      <c r="L579" s="2833">
        <v>1600</v>
      </c>
      <c r="M579" s="2829"/>
      <c r="O579" s="2809" t="s">
        <v>2757</v>
      </c>
      <c r="P579" s="2810"/>
    </row>
    <row r="580" spans="2:16">
      <c r="B580" s="827" t="s">
        <v>4006</v>
      </c>
      <c r="C580" s="1912"/>
      <c r="D580" s="2831" t="s">
        <v>4144</v>
      </c>
      <c r="E580" s="2832">
        <v>300</v>
      </c>
      <c r="F580" s="2832" t="s">
        <v>4014</v>
      </c>
      <c r="G580" s="19"/>
      <c r="H580" s="2829" t="s">
        <v>2757</v>
      </c>
      <c r="I580" s="2829"/>
      <c r="J580" s="2829"/>
      <c r="K580" s="2829"/>
      <c r="L580" s="2833">
        <v>27300</v>
      </c>
      <c r="M580" s="2829"/>
      <c r="O580" s="2809" t="s">
        <v>2757</v>
      </c>
      <c r="P580" s="2810"/>
    </row>
    <row r="581" spans="2:16" ht="27">
      <c r="B581" s="827" t="s">
        <v>4006</v>
      </c>
      <c r="C581" s="1912"/>
      <c r="D581" s="2831" t="s">
        <v>4145</v>
      </c>
      <c r="E581" s="2832">
        <v>100</v>
      </c>
      <c r="F581" s="2832" t="s">
        <v>4025</v>
      </c>
      <c r="G581" s="19"/>
      <c r="H581" s="2829" t="s">
        <v>2757</v>
      </c>
      <c r="I581" s="2829"/>
      <c r="J581" s="2829"/>
      <c r="K581" s="2829"/>
      <c r="L581" s="2833">
        <v>8900</v>
      </c>
      <c r="M581" s="2829"/>
      <c r="O581" s="2809" t="s">
        <v>2757</v>
      </c>
      <c r="P581" s="2810"/>
    </row>
    <row r="582" spans="2:16">
      <c r="B582" s="827" t="s">
        <v>4006</v>
      </c>
      <c r="C582" s="1912"/>
      <c r="D582" s="2831" t="s">
        <v>4146</v>
      </c>
      <c r="E582" s="2832">
        <v>200</v>
      </c>
      <c r="F582" s="2832" t="s">
        <v>4088</v>
      </c>
      <c r="G582" s="19"/>
      <c r="H582" s="2829" t="s">
        <v>2757</v>
      </c>
      <c r="I582" s="2829"/>
      <c r="J582" s="2829"/>
      <c r="K582" s="2829"/>
      <c r="L582" s="2833">
        <v>1400</v>
      </c>
      <c r="M582" s="2829"/>
      <c r="O582" s="2809" t="s">
        <v>2757</v>
      </c>
      <c r="P582" s="2810"/>
    </row>
    <row r="583" spans="2:16">
      <c r="B583" s="827" t="s">
        <v>4006</v>
      </c>
      <c r="C583" s="1912"/>
      <c r="D583" s="2831" t="s">
        <v>4147</v>
      </c>
      <c r="E583" s="2832">
        <v>100</v>
      </c>
      <c r="F583" s="2832" t="s">
        <v>4010</v>
      </c>
      <c r="G583" s="19"/>
      <c r="H583" s="2829" t="s">
        <v>2757</v>
      </c>
      <c r="I583" s="2829"/>
      <c r="J583" s="2829"/>
      <c r="K583" s="2829"/>
      <c r="L583" s="2833">
        <v>4900</v>
      </c>
      <c r="M583" s="2829"/>
      <c r="O583" s="2809" t="s">
        <v>2757</v>
      </c>
      <c r="P583" s="2810"/>
    </row>
    <row r="584" spans="2:16">
      <c r="B584" s="827" t="s">
        <v>4006</v>
      </c>
      <c r="C584" s="1912"/>
      <c r="D584" s="2831" t="s">
        <v>4148</v>
      </c>
      <c r="E584" s="2832">
        <v>100</v>
      </c>
      <c r="F584" s="2832" t="s">
        <v>4010</v>
      </c>
      <c r="G584" s="19"/>
      <c r="H584" s="2829" t="s">
        <v>2757</v>
      </c>
      <c r="I584" s="2829"/>
      <c r="J584" s="2829"/>
      <c r="K584" s="2829"/>
      <c r="L584" s="2833">
        <v>600</v>
      </c>
      <c r="M584" s="2829"/>
      <c r="O584" s="2809" t="s">
        <v>2757</v>
      </c>
      <c r="P584" s="2810"/>
    </row>
    <row r="585" spans="2:16" ht="27">
      <c r="B585" s="827" t="s">
        <v>4006</v>
      </c>
      <c r="C585" s="1912"/>
      <c r="D585" s="2831" t="s">
        <v>4150</v>
      </c>
      <c r="E585" s="2832">
        <v>500</v>
      </c>
      <c r="F585" s="2832" t="s">
        <v>4149</v>
      </c>
      <c r="G585" s="19"/>
      <c r="H585" s="2829" t="s">
        <v>2757</v>
      </c>
      <c r="I585" s="2829"/>
      <c r="J585" s="2829"/>
      <c r="K585" s="2829"/>
      <c r="L585" s="2833">
        <v>166500</v>
      </c>
      <c r="M585" s="2829"/>
      <c r="O585" s="2809" t="s">
        <v>2757</v>
      </c>
      <c r="P585" s="2810"/>
    </row>
    <row r="586" spans="2:16">
      <c r="B586" s="827" t="s">
        <v>4006</v>
      </c>
      <c r="C586" s="1912"/>
      <c r="D586" s="2831" t="s">
        <v>4151</v>
      </c>
      <c r="E586" s="2832">
        <v>200</v>
      </c>
      <c r="F586" s="2832" t="s">
        <v>4010</v>
      </c>
      <c r="G586" s="19"/>
      <c r="H586" s="2829" t="s">
        <v>2757</v>
      </c>
      <c r="I586" s="2829"/>
      <c r="J586" s="2829"/>
      <c r="K586" s="2829"/>
      <c r="L586" s="2833">
        <v>4000</v>
      </c>
      <c r="M586" s="2829"/>
      <c r="O586" s="2809" t="s">
        <v>2757</v>
      </c>
      <c r="P586" s="2810"/>
    </row>
    <row r="587" spans="2:16" ht="27">
      <c r="B587" s="827" t="s">
        <v>4006</v>
      </c>
      <c r="C587" s="1912"/>
      <c r="D587" s="2831" t="s">
        <v>4152</v>
      </c>
      <c r="E587" s="2832">
        <v>1000</v>
      </c>
      <c r="F587" s="2832" t="s">
        <v>4025</v>
      </c>
      <c r="G587" s="19"/>
      <c r="H587" s="2829" t="s">
        <v>2757</v>
      </c>
      <c r="I587" s="2829"/>
      <c r="J587" s="2829"/>
      <c r="K587" s="2829"/>
      <c r="L587" s="2833">
        <v>21000</v>
      </c>
      <c r="M587" s="2829"/>
      <c r="O587" s="2809" t="s">
        <v>2757</v>
      </c>
      <c r="P587" s="2810"/>
    </row>
    <row r="588" spans="2:16" ht="40.5">
      <c r="B588" s="827" t="s">
        <v>4006</v>
      </c>
      <c r="C588" s="1912"/>
      <c r="D588" s="2831" t="s">
        <v>4153</v>
      </c>
      <c r="E588" s="2832">
        <v>200</v>
      </c>
      <c r="F588" s="2832" t="s">
        <v>4149</v>
      </c>
      <c r="G588" s="19"/>
      <c r="H588" s="2829" t="s">
        <v>2757</v>
      </c>
      <c r="I588" s="2829"/>
      <c r="J588" s="2829"/>
      <c r="K588" s="2829"/>
      <c r="L588" s="2833">
        <v>72400</v>
      </c>
      <c r="M588" s="2829"/>
      <c r="O588" s="2809" t="s">
        <v>2757</v>
      </c>
      <c r="P588" s="2810"/>
    </row>
    <row r="589" spans="2:16" ht="27">
      <c r="B589" s="827" t="s">
        <v>4006</v>
      </c>
      <c r="C589" s="1912"/>
      <c r="D589" s="2831" t="s">
        <v>4154</v>
      </c>
      <c r="E589" s="2832">
        <v>3</v>
      </c>
      <c r="F589" s="2832" t="s">
        <v>4014</v>
      </c>
      <c r="G589" s="19"/>
      <c r="H589" s="2829" t="s">
        <v>2757</v>
      </c>
      <c r="I589" s="2829"/>
      <c r="J589" s="2829"/>
      <c r="K589" s="2829"/>
      <c r="L589" s="2833">
        <v>219</v>
      </c>
      <c r="M589" s="2829"/>
      <c r="O589" s="2809" t="s">
        <v>2757</v>
      </c>
      <c r="P589" s="2810"/>
    </row>
    <row r="590" spans="2:16">
      <c r="B590" s="827" t="s">
        <v>4006</v>
      </c>
      <c r="C590" s="1912"/>
      <c r="D590" s="2831" t="s">
        <v>4155</v>
      </c>
      <c r="E590" s="2832">
        <v>50</v>
      </c>
      <c r="F590" s="2832" t="s">
        <v>3167</v>
      </c>
      <c r="G590" s="19"/>
      <c r="H590" s="2829" t="s">
        <v>2757</v>
      </c>
      <c r="I590" s="2829"/>
      <c r="J590" s="2829"/>
      <c r="K590" s="2829"/>
      <c r="L590" s="2833">
        <v>17200</v>
      </c>
      <c r="M590" s="2829"/>
      <c r="O590" s="2809" t="s">
        <v>2757</v>
      </c>
      <c r="P590" s="2810"/>
    </row>
    <row r="591" spans="2:16">
      <c r="B591" s="827" t="s">
        <v>4006</v>
      </c>
      <c r="C591" s="1912"/>
      <c r="D591" s="2831" t="s">
        <v>4156</v>
      </c>
      <c r="E591" s="2832">
        <v>50</v>
      </c>
      <c r="F591" s="2832" t="s">
        <v>4010</v>
      </c>
      <c r="G591" s="19"/>
      <c r="H591" s="2829" t="s">
        <v>2757</v>
      </c>
      <c r="I591" s="2829"/>
      <c r="J591" s="2829"/>
      <c r="K591" s="2829"/>
      <c r="L591" s="2833">
        <v>250</v>
      </c>
      <c r="M591" s="2829"/>
      <c r="O591" s="2809" t="s">
        <v>2757</v>
      </c>
      <c r="P591" s="2810"/>
    </row>
    <row r="592" spans="2:16">
      <c r="B592" s="827" t="s">
        <v>4006</v>
      </c>
      <c r="C592" s="1912"/>
      <c r="D592" s="2831" t="s">
        <v>4157</v>
      </c>
      <c r="E592" s="2832">
        <v>25</v>
      </c>
      <c r="F592" s="2832" t="s">
        <v>4010</v>
      </c>
      <c r="G592" s="19"/>
      <c r="H592" s="2829" t="s">
        <v>2757</v>
      </c>
      <c r="I592" s="2829"/>
      <c r="J592" s="2829"/>
      <c r="K592" s="2829"/>
      <c r="L592" s="2833">
        <v>325</v>
      </c>
      <c r="M592" s="2829"/>
      <c r="O592" s="2809" t="s">
        <v>2757</v>
      </c>
      <c r="P592" s="2810"/>
    </row>
    <row r="593" spans="2:16">
      <c r="B593" s="827" t="s">
        <v>4006</v>
      </c>
      <c r="C593" s="1912"/>
      <c r="D593" s="2831" t="s">
        <v>4158</v>
      </c>
      <c r="E593" s="2832">
        <v>15</v>
      </c>
      <c r="F593" s="2832" t="s">
        <v>4031</v>
      </c>
      <c r="G593" s="19"/>
      <c r="H593" s="2829" t="s">
        <v>2757</v>
      </c>
      <c r="I593" s="2829"/>
      <c r="J593" s="2829"/>
      <c r="K593" s="2829"/>
      <c r="L593" s="2833">
        <v>10545</v>
      </c>
      <c r="M593" s="2829"/>
      <c r="O593" s="2809" t="s">
        <v>2757</v>
      </c>
      <c r="P593" s="2810"/>
    </row>
    <row r="594" spans="2:16">
      <c r="B594" s="827" t="s">
        <v>4006</v>
      </c>
      <c r="C594" s="1912"/>
      <c r="D594" s="2831" t="s">
        <v>4159</v>
      </c>
      <c r="E594" s="2832">
        <v>50</v>
      </c>
      <c r="F594" s="2832" t="s">
        <v>4010</v>
      </c>
      <c r="G594" s="19"/>
      <c r="H594" s="2829" t="s">
        <v>2757</v>
      </c>
      <c r="I594" s="2829"/>
      <c r="J594" s="2829"/>
      <c r="K594" s="2829"/>
      <c r="L594" s="2833">
        <v>200</v>
      </c>
      <c r="M594" s="2829"/>
      <c r="O594" s="2809" t="s">
        <v>2757</v>
      </c>
      <c r="P594" s="2810"/>
    </row>
    <row r="595" spans="2:16" ht="27">
      <c r="B595" s="827" t="s">
        <v>4006</v>
      </c>
      <c r="C595" s="1912"/>
      <c r="D595" s="2831" t="s">
        <v>4160</v>
      </c>
      <c r="E595" s="2832">
        <v>5000</v>
      </c>
      <c r="F595" s="2834" t="s">
        <v>4088</v>
      </c>
      <c r="G595" s="19"/>
      <c r="H595" s="2829" t="s">
        <v>2757</v>
      </c>
      <c r="I595" s="2829"/>
      <c r="J595" s="2829"/>
      <c r="K595" s="2829"/>
      <c r="L595" s="2833">
        <v>10000</v>
      </c>
      <c r="M595" s="2829"/>
      <c r="O595" s="2809" t="s">
        <v>2757</v>
      </c>
      <c r="P595" s="2810"/>
    </row>
    <row r="596" spans="2:16" ht="27">
      <c r="B596" s="827" t="s">
        <v>4006</v>
      </c>
      <c r="C596" s="1912"/>
      <c r="D596" s="2831" t="s">
        <v>4161</v>
      </c>
      <c r="E596" s="2832">
        <v>15</v>
      </c>
      <c r="F596" s="2832" t="s">
        <v>4014</v>
      </c>
      <c r="G596" s="19"/>
      <c r="H596" s="2829" t="s">
        <v>2757</v>
      </c>
      <c r="I596" s="2829"/>
      <c r="J596" s="2829"/>
      <c r="K596" s="2829"/>
      <c r="L596" s="2833">
        <v>420</v>
      </c>
      <c r="M596" s="2829"/>
      <c r="O596" s="2809" t="s">
        <v>2757</v>
      </c>
      <c r="P596" s="2810"/>
    </row>
    <row r="597" spans="2:16" ht="27">
      <c r="B597" s="827" t="s">
        <v>4006</v>
      </c>
      <c r="C597" s="1912"/>
      <c r="D597" s="2831" t="s">
        <v>4162</v>
      </c>
      <c r="E597" s="2832">
        <v>30</v>
      </c>
      <c r="F597" s="2832" t="s">
        <v>4014</v>
      </c>
      <c r="G597" s="19"/>
      <c r="H597" s="2829" t="s">
        <v>2757</v>
      </c>
      <c r="I597" s="2829"/>
      <c r="J597" s="2829"/>
      <c r="K597" s="2829"/>
      <c r="L597" s="2833">
        <v>810</v>
      </c>
      <c r="M597" s="2829"/>
      <c r="O597" s="2809" t="s">
        <v>2757</v>
      </c>
      <c r="P597" s="2810"/>
    </row>
    <row r="598" spans="2:16">
      <c r="B598" s="827" t="s">
        <v>4006</v>
      </c>
      <c r="C598" s="1912"/>
      <c r="D598" s="2831" t="s">
        <v>4163</v>
      </c>
      <c r="E598" s="2832">
        <v>200</v>
      </c>
      <c r="F598" s="2832" t="s">
        <v>4010</v>
      </c>
      <c r="G598" s="19"/>
      <c r="H598" s="2829" t="s">
        <v>2757</v>
      </c>
      <c r="I598" s="2829"/>
      <c r="J598" s="2829"/>
      <c r="K598" s="2829"/>
      <c r="L598" s="2833">
        <v>2400</v>
      </c>
      <c r="M598" s="2829"/>
      <c r="O598" s="2809" t="s">
        <v>2757</v>
      </c>
      <c r="P598" s="2810"/>
    </row>
    <row r="599" spans="2:16">
      <c r="B599" s="827" t="s">
        <v>4006</v>
      </c>
      <c r="C599" s="1912"/>
      <c r="D599" s="2831" t="s">
        <v>4164</v>
      </c>
      <c r="E599" s="2832">
        <v>200</v>
      </c>
      <c r="F599" s="2832" t="s">
        <v>4088</v>
      </c>
      <c r="G599" s="19"/>
      <c r="H599" s="2829" t="s">
        <v>2757</v>
      </c>
      <c r="I599" s="2829"/>
      <c r="J599" s="2829"/>
      <c r="K599" s="2829"/>
      <c r="L599" s="2833">
        <v>23600</v>
      </c>
      <c r="M599" s="2829"/>
      <c r="O599" s="2809" t="s">
        <v>2757</v>
      </c>
      <c r="P599" s="2810"/>
    </row>
    <row r="600" spans="2:16">
      <c r="B600" s="827" t="s">
        <v>4006</v>
      </c>
      <c r="C600" s="1912"/>
      <c r="D600" s="2831" t="s">
        <v>4165</v>
      </c>
      <c r="E600" s="2832">
        <v>100</v>
      </c>
      <c r="F600" s="2832" t="s">
        <v>4031</v>
      </c>
      <c r="G600" s="19"/>
      <c r="H600" s="2829" t="s">
        <v>2757</v>
      </c>
      <c r="I600" s="2829"/>
      <c r="J600" s="2829"/>
      <c r="K600" s="2829"/>
      <c r="L600" s="2833">
        <v>26300</v>
      </c>
      <c r="M600" s="2829"/>
      <c r="O600" s="2809" t="s">
        <v>2757</v>
      </c>
      <c r="P600" s="2810"/>
    </row>
    <row r="601" spans="2:16" ht="40.5">
      <c r="B601" s="827" t="s">
        <v>4006</v>
      </c>
      <c r="C601" s="1912"/>
      <c r="D601" s="2831" t="s">
        <v>4166</v>
      </c>
      <c r="E601" s="2832">
        <v>18</v>
      </c>
      <c r="F601" s="2832" t="s">
        <v>4064</v>
      </c>
      <c r="G601" s="19"/>
      <c r="H601" s="2829" t="s">
        <v>2757</v>
      </c>
      <c r="I601" s="2829"/>
      <c r="J601" s="2829"/>
      <c r="K601" s="2829"/>
      <c r="L601" s="2833">
        <v>8874</v>
      </c>
      <c r="M601" s="2829"/>
      <c r="O601" s="2809" t="s">
        <v>2757</v>
      </c>
      <c r="P601" s="2810"/>
    </row>
    <row r="602" spans="2:16" ht="27">
      <c r="B602" s="827" t="s">
        <v>4006</v>
      </c>
      <c r="C602" s="1912"/>
      <c r="D602" s="2831" t="s">
        <v>4167</v>
      </c>
      <c r="E602" s="2832">
        <v>100</v>
      </c>
      <c r="F602" s="2832" t="s">
        <v>4064</v>
      </c>
      <c r="G602" s="19"/>
      <c r="H602" s="2829" t="s">
        <v>2757</v>
      </c>
      <c r="I602" s="2829"/>
      <c r="J602" s="2829"/>
      <c r="K602" s="2829"/>
      <c r="L602" s="2833">
        <v>33000</v>
      </c>
      <c r="M602" s="2829"/>
      <c r="O602" s="2809" t="s">
        <v>2757</v>
      </c>
      <c r="P602" s="2810"/>
    </row>
    <row r="603" spans="2:16" ht="27">
      <c r="B603" s="827" t="s">
        <v>4006</v>
      </c>
      <c r="C603" s="1912"/>
      <c r="D603" s="2831" t="s">
        <v>4168</v>
      </c>
      <c r="E603" s="2832">
        <v>20</v>
      </c>
      <c r="F603" s="2832" t="s">
        <v>4064</v>
      </c>
      <c r="G603" s="19"/>
      <c r="H603" s="2829" t="s">
        <v>2757</v>
      </c>
      <c r="I603" s="2829"/>
      <c r="J603" s="2829"/>
      <c r="K603" s="2829"/>
      <c r="L603" s="2833">
        <v>4740</v>
      </c>
      <c r="M603" s="2829"/>
      <c r="O603" s="2809" t="s">
        <v>2757</v>
      </c>
      <c r="P603" s="2810"/>
    </row>
    <row r="604" spans="2:16">
      <c r="B604" s="827" t="s">
        <v>4006</v>
      </c>
      <c r="C604" s="1912"/>
      <c r="D604" s="2831" t="s">
        <v>4169</v>
      </c>
      <c r="E604" s="2832">
        <v>100</v>
      </c>
      <c r="F604" s="2832" t="s">
        <v>4088</v>
      </c>
      <c r="G604" s="19"/>
      <c r="H604" s="2829" t="s">
        <v>2757</v>
      </c>
      <c r="I604" s="2829"/>
      <c r="J604" s="2829"/>
      <c r="K604" s="2829"/>
      <c r="L604" s="2833">
        <v>300</v>
      </c>
      <c r="M604" s="2829"/>
      <c r="O604" s="2809" t="s">
        <v>2757</v>
      </c>
      <c r="P604" s="2810"/>
    </row>
    <row r="605" spans="2:16">
      <c r="B605" s="827" t="s">
        <v>4006</v>
      </c>
      <c r="C605" s="1912"/>
      <c r="D605" s="2831" t="s">
        <v>4170</v>
      </c>
      <c r="E605" s="2832">
        <v>500</v>
      </c>
      <c r="F605" s="2832" t="s">
        <v>4010</v>
      </c>
      <c r="G605" s="19"/>
      <c r="H605" s="2829" t="s">
        <v>2757</v>
      </c>
      <c r="I605" s="2829"/>
      <c r="J605" s="2829"/>
      <c r="K605" s="2829"/>
      <c r="L605" s="2833">
        <v>2500</v>
      </c>
      <c r="M605" s="2829"/>
      <c r="O605" s="2809" t="s">
        <v>2757</v>
      </c>
      <c r="P605" s="2810"/>
    </row>
    <row r="606" spans="2:16">
      <c r="B606" s="827" t="s">
        <v>4006</v>
      </c>
      <c r="C606" s="1912"/>
      <c r="D606" s="2831" t="s">
        <v>4171</v>
      </c>
      <c r="E606" s="2832">
        <v>100</v>
      </c>
      <c r="F606" s="2832" t="s">
        <v>4010</v>
      </c>
      <c r="G606" s="19"/>
      <c r="H606" s="2829" t="s">
        <v>2757</v>
      </c>
      <c r="I606" s="2829"/>
      <c r="J606" s="2829"/>
      <c r="K606" s="2829"/>
      <c r="L606" s="2833">
        <v>300</v>
      </c>
      <c r="M606" s="2829"/>
      <c r="O606" s="2809" t="s">
        <v>2757</v>
      </c>
      <c r="P606" s="2810"/>
    </row>
    <row r="607" spans="2:16">
      <c r="B607" s="827" t="s">
        <v>4006</v>
      </c>
      <c r="C607" s="1912"/>
      <c r="D607" s="2831" t="s">
        <v>4172</v>
      </c>
      <c r="E607" s="2832">
        <v>18000</v>
      </c>
      <c r="F607" s="2832" t="s">
        <v>4025</v>
      </c>
      <c r="G607" s="19"/>
      <c r="H607" s="2829" t="s">
        <v>2757</v>
      </c>
      <c r="I607" s="2829"/>
      <c r="J607" s="2829"/>
      <c r="K607" s="2829"/>
      <c r="L607" s="2833">
        <v>424000</v>
      </c>
      <c r="M607" s="2829"/>
      <c r="O607" s="2809" t="s">
        <v>2757</v>
      </c>
      <c r="P607" s="2810"/>
    </row>
    <row r="608" spans="2:16">
      <c r="B608" s="827" t="s">
        <v>4006</v>
      </c>
      <c r="C608" s="1912"/>
      <c r="D608" s="2831" t="s">
        <v>4173</v>
      </c>
      <c r="E608" s="2832">
        <v>300</v>
      </c>
      <c r="F608" s="2832" t="s">
        <v>4088</v>
      </c>
      <c r="G608" s="19"/>
      <c r="H608" s="2829" t="s">
        <v>2757</v>
      </c>
      <c r="I608" s="2829"/>
      <c r="J608" s="2829"/>
      <c r="K608" s="2829"/>
      <c r="L608" s="2833">
        <v>3900</v>
      </c>
      <c r="M608" s="2829"/>
      <c r="O608" s="2809" t="s">
        <v>2757</v>
      </c>
      <c r="P608" s="2810"/>
    </row>
    <row r="609" spans="2:16">
      <c r="B609" s="827" t="s">
        <v>4006</v>
      </c>
      <c r="C609" s="1912"/>
      <c r="D609" s="2831" t="s">
        <v>4174</v>
      </c>
      <c r="E609" s="2832">
        <v>300</v>
      </c>
      <c r="F609" s="2832" t="s">
        <v>4088</v>
      </c>
      <c r="G609" s="19"/>
      <c r="H609" s="2829" t="s">
        <v>2757</v>
      </c>
      <c r="I609" s="2829"/>
      <c r="J609" s="2829"/>
      <c r="K609" s="2829"/>
      <c r="L609" s="2833">
        <v>5400</v>
      </c>
      <c r="M609" s="2829"/>
      <c r="O609" s="2809" t="s">
        <v>2757</v>
      </c>
      <c r="P609" s="2810"/>
    </row>
    <row r="610" spans="2:16">
      <c r="B610" s="827" t="s">
        <v>4006</v>
      </c>
      <c r="C610" s="1912"/>
      <c r="D610" s="2831" t="s">
        <v>4175</v>
      </c>
      <c r="E610" s="2832">
        <v>2000</v>
      </c>
      <c r="F610" s="2832" t="s">
        <v>4025</v>
      </c>
      <c r="G610" s="19"/>
      <c r="H610" s="2829" t="s">
        <v>2757</v>
      </c>
      <c r="I610" s="2829"/>
      <c r="J610" s="2829"/>
      <c r="K610" s="2829"/>
      <c r="L610" s="2833">
        <v>34000</v>
      </c>
      <c r="M610" s="2829"/>
      <c r="O610" s="2809" t="s">
        <v>2757</v>
      </c>
      <c r="P610" s="2810"/>
    </row>
    <row r="611" spans="2:16">
      <c r="B611" s="827" t="s">
        <v>4006</v>
      </c>
      <c r="C611" s="1912"/>
      <c r="D611" s="2831" t="s">
        <v>4176</v>
      </c>
      <c r="E611" s="2832">
        <v>100</v>
      </c>
      <c r="F611" s="2832" t="s">
        <v>4010</v>
      </c>
      <c r="G611" s="19"/>
      <c r="H611" s="2829" t="s">
        <v>2757</v>
      </c>
      <c r="I611" s="2829"/>
      <c r="J611" s="2829"/>
      <c r="K611" s="2829"/>
      <c r="L611" s="2833">
        <v>300</v>
      </c>
      <c r="M611" s="2829"/>
      <c r="O611" s="2809" t="s">
        <v>2757</v>
      </c>
      <c r="P611" s="2810"/>
    </row>
    <row r="612" spans="2:16">
      <c r="B612" s="827" t="s">
        <v>4006</v>
      </c>
      <c r="C612" s="1912"/>
      <c r="D612" s="2831" t="s">
        <v>4177</v>
      </c>
      <c r="E612" s="2832">
        <v>600</v>
      </c>
      <c r="F612" s="2832" t="s">
        <v>4010</v>
      </c>
      <c r="G612" s="19"/>
      <c r="H612" s="2829" t="s">
        <v>2757</v>
      </c>
      <c r="I612" s="2829"/>
      <c r="J612" s="2829"/>
      <c r="K612" s="2829"/>
      <c r="L612" s="2833">
        <v>6600</v>
      </c>
      <c r="M612" s="2829"/>
      <c r="O612" s="2809"/>
      <c r="P612" s="2810"/>
    </row>
    <row r="613" spans="2:16">
      <c r="B613" s="827" t="s">
        <v>4006</v>
      </c>
      <c r="C613" s="1912"/>
      <c r="D613" s="2831" t="s">
        <v>4178</v>
      </c>
      <c r="E613" s="2832">
        <v>500</v>
      </c>
      <c r="F613" s="2832" t="s">
        <v>4010</v>
      </c>
      <c r="G613" s="19"/>
      <c r="H613" s="2829" t="s">
        <v>2757</v>
      </c>
      <c r="I613" s="2829"/>
      <c r="J613" s="2829"/>
      <c r="K613" s="2829"/>
      <c r="L613" s="2833">
        <v>2000</v>
      </c>
      <c r="M613" s="2829"/>
      <c r="O613" s="2809"/>
      <c r="P613" s="2810"/>
    </row>
    <row r="614" spans="2:16">
      <c r="B614" s="827" t="s">
        <v>4006</v>
      </c>
      <c r="C614" s="1912"/>
      <c r="D614" s="2831" t="s">
        <v>4179</v>
      </c>
      <c r="E614" s="2832">
        <v>20</v>
      </c>
      <c r="F614" s="2832" t="s">
        <v>4025</v>
      </c>
      <c r="G614" s="19"/>
      <c r="H614" s="2829" t="s">
        <v>2757</v>
      </c>
      <c r="I614" s="2829"/>
      <c r="J614" s="2829"/>
      <c r="K614" s="2829"/>
      <c r="L614" s="2833">
        <v>11700</v>
      </c>
      <c r="M614" s="2829"/>
      <c r="O614" s="2809"/>
      <c r="P614" s="2810"/>
    </row>
    <row r="615" spans="2:16" ht="27">
      <c r="B615" s="827" t="s">
        <v>4006</v>
      </c>
      <c r="C615" s="1912"/>
      <c r="D615" s="2831" t="s">
        <v>4180</v>
      </c>
      <c r="E615" s="2832">
        <v>50</v>
      </c>
      <c r="F615" s="2832" t="s">
        <v>4031</v>
      </c>
      <c r="G615" s="19"/>
      <c r="H615" s="2829" t="s">
        <v>2757</v>
      </c>
      <c r="I615" s="2829"/>
      <c r="J615" s="2829"/>
      <c r="K615" s="2829"/>
      <c r="L615" s="2833">
        <v>120000</v>
      </c>
      <c r="M615" s="19"/>
      <c r="O615" s="2809"/>
      <c r="P615" s="2810"/>
    </row>
    <row r="616" spans="2:16" ht="27">
      <c r="B616" s="827" t="s">
        <v>4006</v>
      </c>
      <c r="C616" s="1912"/>
      <c r="D616" s="2831" t="s">
        <v>4181</v>
      </c>
      <c r="E616" s="2832">
        <v>30</v>
      </c>
      <c r="F616" s="2832" t="s">
        <v>4031</v>
      </c>
      <c r="G616" s="19"/>
      <c r="H616" s="2829" t="s">
        <v>2757</v>
      </c>
      <c r="I616" s="2829"/>
      <c r="J616" s="2829"/>
      <c r="K616" s="2829"/>
      <c r="L616" s="2833">
        <v>66000</v>
      </c>
      <c r="M616" s="19"/>
      <c r="O616" s="2809"/>
      <c r="P616" s="2810"/>
    </row>
    <row r="617" spans="2:16">
      <c r="B617" s="827" t="s">
        <v>4006</v>
      </c>
      <c r="C617" s="1912"/>
      <c r="D617" s="2831" t="s">
        <v>4182</v>
      </c>
      <c r="E617" s="2832">
        <v>800</v>
      </c>
      <c r="F617" s="2832" t="s">
        <v>4014</v>
      </c>
      <c r="G617" s="19"/>
      <c r="H617" s="2829" t="s">
        <v>2757</v>
      </c>
      <c r="I617" s="2829"/>
      <c r="J617" s="2829"/>
      <c r="K617" s="2829"/>
      <c r="L617" s="2833">
        <v>2960000</v>
      </c>
      <c r="M617" s="19"/>
      <c r="O617" s="2809"/>
      <c r="P617" s="2810"/>
    </row>
    <row r="618" spans="2:16" ht="27">
      <c r="B618" s="827" t="s">
        <v>4006</v>
      </c>
      <c r="C618" s="1912"/>
      <c r="D618" s="2831" t="s">
        <v>4184</v>
      </c>
      <c r="E618" s="2832">
        <v>1000</v>
      </c>
      <c r="F618" s="2832" t="s">
        <v>4183</v>
      </c>
      <c r="G618" s="19"/>
      <c r="H618" s="2829" t="s">
        <v>2757</v>
      </c>
      <c r="I618" s="2829"/>
      <c r="J618" s="2829"/>
      <c r="K618" s="2829"/>
      <c r="L618" s="2833">
        <v>1330000</v>
      </c>
      <c r="M618" s="19"/>
      <c r="O618" s="2809"/>
      <c r="P618" s="2810"/>
    </row>
    <row r="619" spans="2:16" ht="27">
      <c r="B619" s="827" t="s">
        <v>4006</v>
      </c>
      <c r="C619" s="1912"/>
      <c r="D619" s="2831" t="s">
        <v>4185</v>
      </c>
      <c r="E619" s="2832">
        <v>200</v>
      </c>
      <c r="F619" s="2832" t="s">
        <v>4025</v>
      </c>
      <c r="G619" s="19"/>
      <c r="H619" s="2829" t="s">
        <v>2757</v>
      </c>
      <c r="I619" s="2829"/>
      <c r="J619" s="2829"/>
      <c r="K619" s="2829"/>
      <c r="L619" s="2833">
        <v>6200</v>
      </c>
      <c r="M619" s="19"/>
      <c r="O619" s="2809"/>
      <c r="P619" s="2810"/>
    </row>
    <row r="620" spans="2:16">
      <c r="B620" s="827" t="s">
        <v>4006</v>
      </c>
      <c r="C620" s="1912"/>
      <c r="D620" s="2831" t="s">
        <v>4186</v>
      </c>
      <c r="E620" s="2832">
        <v>100</v>
      </c>
      <c r="F620" s="2832" t="s">
        <v>4010</v>
      </c>
      <c r="G620" s="19"/>
      <c r="H620" s="2829" t="s">
        <v>2757</v>
      </c>
      <c r="I620" s="2829"/>
      <c r="J620" s="2829"/>
      <c r="K620" s="2829"/>
      <c r="L620" s="2833">
        <v>500</v>
      </c>
      <c r="M620" s="19"/>
      <c r="O620" s="2809"/>
      <c r="P620" s="2810"/>
    </row>
    <row r="621" spans="2:16">
      <c r="B621" s="827" t="s">
        <v>4006</v>
      </c>
      <c r="C621" s="1912"/>
      <c r="D621" s="2831" t="s">
        <v>4187</v>
      </c>
      <c r="E621" s="2832">
        <v>20</v>
      </c>
      <c r="F621" s="2832" t="s">
        <v>4010</v>
      </c>
      <c r="G621" s="19"/>
      <c r="H621" s="2829" t="s">
        <v>2757</v>
      </c>
      <c r="I621" s="2829"/>
      <c r="J621" s="2829"/>
      <c r="K621" s="2829"/>
      <c r="L621" s="2833">
        <v>100</v>
      </c>
      <c r="M621" s="19"/>
      <c r="O621" s="2809"/>
      <c r="P621" s="2810"/>
    </row>
    <row r="622" spans="2:16">
      <c r="B622" s="827" t="s">
        <v>4006</v>
      </c>
      <c r="C622" s="1912"/>
      <c r="D622" s="2831" t="s">
        <v>4188</v>
      </c>
      <c r="E622" s="2832">
        <v>5</v>
      </c>
      <c r="F622" s="2832" t="s">
        <v>3167</v>
      </c>
      <c r="G622" s="19"/>
      <c r="H622" s="2829" t="s">
        <v>2757</v>
      </c>
      <c r="I622" s="2829"/>
      <c r="J622" s="2829"/>
      <c r="K622" s="2829"/>
      <c r="L622" s="2833">
        <v>500</v>
      </c>
      <c r="M622" s="19"/>
      <c r="O622" s="2809"/>
      <c r="P622" s="2810"/>
    </row>
    <row r="623" spans="2:16" ht="27">
      <c r="B623" s="827" t="s">
        <v>4006</v>
      </c>
      <c r="C623" s="1912"/>
      <c r="D623" s="2831" t="s">
        <v>4189</v>
      </c>
      <c r="E623" s="2832">
        <v>750</v>
      </c>
      <c r="F623" s="2832" t="s">
        <v>4031</v>
      </c>
      <c r="G623" s="19"/>
      <c r="H623" s="2829" t="s">
        <v>2757</v>
      </c>
      <c r="I623" s="2829"/>
      <c r="J623" s="2829"/>
      <c r="K623" s="2829"/>
      <c r="L623" s="2833">
        <v>115500</v>
      </c>
      <c r="M623" s="19"/>
      <c r="O623" s="2809"/>
      <c r="P623" s="2810"/>
    </row>
    <row r="624" spans="2:16" ht="27">
      <c r="B624" s="827" t="s">
        <v>4006</v>
      </c>
      <c r="C624" s="1912"/>
      <c r="D624" s="2831" t="s">
        <v>4190</v>
      </c>
      <c r="E624" s="2832">
        <v>6500</v>
      </c>
      <c r="F624" s="2832" t="s">
        <v>4031</v>
      </c>
      <c r="G624" s="19"/>
      <c r="H624" s="2829" t="s">
        <v>2757</v>
      </c>
      <c r="I624" s="2829"/>
      <c r="J624" s="2829"/>
      <c r="K624" s="2829"/>
      <c r="L624" s="2833">
        <v>438000</v>
      </c>
      <c r="M624" s="19"/>
      <c r="O624" s="2809"/>
      <c r="P624" s="2810"/>
    </row>
    <row r="625" spans="2:16">
      <c r="B625" s="827" t="s">
        <v>4006</v>
      </c>
      <c r="C625" s="1912"/>
      <c r="D625" s="2831" t="s">
        <v>4191</v>
      </c>
      <c r="E625" s="2832">
        <v>50</v>
      </c>
      <c r="F625" s="2832" t="s">
        <v>4088</v>
      </c>
      <c r="G625" s="19"/>
      <c r="H625" s="2829" t="s">
        <v>2757</v>
      </c>
      <c r="I625" s="2829"/>
      <c r="J625" s="2829"/>
      <c r="K625" s="2829"/>
      <c r="L625" s="2833">
        <v>1300</v>
      </c>
      <c r="M625" s="19"/>
      <c r="O625" s="2809"/>
      <c r="P625" s="2810"/>
    </row>
    <row r="626" spans="2:16" ht="27">
      <c r="B626" s="827" t="s">
        <v>4006</v>
      </c>
      <c r="C626" s="1912"/>
      <c r="D626" s="2831" t="s">
        <v>4192</v>
      </c>
      <c r="E626" s="2832">
        <v>20</v>
      </c>
      <c r="F626" s="2832" t="s">
        <v>1883</v>
      </c>
      <c r="G626" s="19"/>
      <c r="H626" s="2829" t="s">
        <v>2757</v>
      </c>
      <c r="I626" s="2829"/>
      <c r="J626" s="2829"/>
      <c r="K626" s="2829"/>
      <c r="L626" s="2833">
        <v>15600</v>
      </c>
      <c r="M626" s="19"/>
      <c r="O626" s="2809"/>
      <c r="P626" s="2810"/>
    </row>
    <row r="627" spans="2:16">
      <c r="B627" s="827" t="s">
        <v>4006</v>
      </c>
      <c r="C627" s="1912"/>
      <c r="D627" s="2831" t="s">
        <v>4193</v>
      </c>
      <c r="E627" s="2832">
        <v>600</v>
      </c>
      <c r="F627" s="2832" t="s">
        <v>4010</v>
      </c>
      <c r="G627" s="19"/>
      <c r="H627" s="2829" t="s">
        <v>2757</v>
      </c>
      <c r="I627" s="2829"/>
      <c r="J627" s="2829"/>
      <c r="K627" s="2829"/>
      <c r="L627" s="2833">
        <v>3000</v>
      </c>
      <c r="M627" s="19"/>
      <c r="O627" s="2809"/>
      <c r="P627" s="2810"/>
    </row>
    <row r="628" spans="2:16" ht="27">
      <c r="B628" s="827" t="s">
        <v>4006</v>
      </c>
      <c r="C628" s="1912"/>
      <c r="D628" s="2831" t="s">
        <v>4194</v>
      </c>
      <c r="E628" s="2832">
        <v>3750</v>
      </c>
      <c r="F628" s="2832" t="s">
        <v>4025</v>
      </c>
      <c r="G628" s="19"/>
      <c r="H628" s="2829" t="s">
        <v>2757</v>
      </c>
      <c r="I628" s="2829"/>
      <c r="J628" s="2829"/>
      <c r="K628" s="2829"/>
      <c r="L628" s="2833">
        <v>123750</v>
      </c>
      <c r="M628" s="19"/>
      <c r="O628" s="2809"/>
      <c r="P628" s="2810"/>
    </row>
    <row r="629" spans="2:16">
      <c r="B629" s="827" t="s">
        <v>4006</v>
      </c>
      <c r="C629" s="1912"/>
      <c r="D629" s="2831" t="s">
        <v>4195</v>
      </c>
      <c r="E629" s="2832">
        <v>25</v>
      </c>
      <c r="F629" s="2832" t="s">
        <v>1883</v>
      </c>
      <c r="G629" s="19"/>
      <c r="H629" s="2829" t="s">
        <v>2757</v>
      </c>
      <c r="I629" s="2829"/>
      <c r="J629" s="2829"/>
      <c r="K629" s="2829"/>
      <c r="L629" s="2833">
        <v>23250</v>
      </c>
      <c r="M629" s="19"/>
      <c r="O629" s="2809"/>
      <c r="P629" s="2810"/>
    </row>
    <row r="630" spans="2:16">
      <c r="B630" s="827" t="s">
        <v>4006</v>
      </c>
      <c r="C630" s="1912"/>
      <c r="D630" s="2831" t="s">
        <v>4196</v>
      </c>
      <c r="E630" s="2832">
        <v>20</v>
      </c>
      <c r="F630" s="2832" t="s">
        <v>4010</v>
      </c>
      <c r="G630" s="19"/>
      <c r="H630" s="2829" t="s">
        <v>2757</v>
      </c>
      <c r="I630" s="2829"/>
      <c r="J630" s="2829"/>
      <c r="K630" s="2829"/>
      <c r="L630" s="2833">
        <v>60</v>
      </c>
      <c r="M630" s="19"/>
      <c r="O630" s="2809"/>
      <c r="P630" s="2810"/>
    </row>
    <row r="631" spans="2:16">
      <c r="B631" s="827" t="s">
        <v>4006</v>
      </c>
      <c r="C631" s="1912"/>
      <c r="D631" s="2831" t="s">
        <v>4197</v>
      </c>
      <c r="E631" s="2832">
        <v>20</v>
      </c>
      <c r="F631" s="2832" t="s">
        <v>4010</v>
      </c>
      <c r="G631" s="19"/>
      <c r="H631" s="2829" t="s">
        <v>2757</v>
      </c>
      <c r="I631" s="2829"/>
      <c r="J631" s="2829"/>
      <c r="K631" s="2829"/>
      <c r="L631" s="2833">
        <v>60</v>
      </c>
      <c r="M631" s="19"/>
      <c r="O631" s="2809"/>
      <c r="P631" s="2810"/>
    </row>
    <row r="632" spans="2:16">
      <c r="B632" s="827" t="s">
        <v>4006</v>
      </c>
      <c r="C632" s="1912"/>
      <c r="D632" s="2831" t="s">
        <v>4198</v>
      </c>
      <c r="E632" s="2832">
        <v>40</v>
      </c>
      <c r="F632" s="2832" t="s">
        <v>4014</v>
      </c>
      <c r="G632" s="19"/>
      <c r="H632" s="2829" t="s">
        <v>2757</v>
      </c>
      <c r="I632" s="2829"/>
      <c r="J632" s="2829"/>
      <c r="K632" s="2829"/>
      <c r="L632" s="2833">
        <v>3600</v>
      </c>
      <c r="M632" s="19"/>
      <c r="O632" s="2809"/>
      <c r="P632" s="2810"/>
    </row>
    <row r="633" spans="2:16" ht="27">
      <c r="B633" s="827" t="s">
        <v>4006</v>
      </c>
      <c r="C633" s="1912"/>
      <c r="D633" s="2831" t="s">
        <v>4199</v>
      </c>
      <c r="E633" s="2832">
        <v>10</v>
      </c>
      <c r="F633" s="2832" t="s">
        <v>4149</v>
      </c>
      <c r="G633" s="19"/>
      <c r="H633" s="2829" t="s">
        <v>2757</v>
      </c>
      <c r="I633" s="2829"/>
      <c r="J633" s="2829"/>
      <c r="K633" s="2829"/>
      <c r="L633" s="2833">
        <v>6000</v>
      </c>
      <c r="M633" s="19"/>
      <c r="O633" s="2809"/>
      <c r="P633" s="2810"/>
    </row>
    <row r="634" spans="2:16" ht="27">
      <c r="B634" s="827" t="s">
        <v>4006</v>
      </c>
      <c r="C634" s="1912"/>
      <c r="D634" s="2831" t="s">
        <v>4200</v>
      </c>
      <c r="E634" s="2832">
        <v>5</v>
      </c>
      <c r="F634" s="2832" t="s">
        <v>4031</v>
      </c>
      <c r="G634" s="19"/>
      <c r="H634" s="2829" t="s">
        <v>2757</v>
      </c>
      <c r="I634" s="2829"/>
      <c r="J634" s="2829"/>
      <c r="K634" s="2829"/>
      <c r="L634" s="2833">
        <v>5680</v>
      </c>
      <c r="M634" s="19"/>
      <c r="O634" s="2809"/>
      <c r="P634" s="2810"/>
    </row>
    <row r="635" spans="2:16" ht="27">
      <c r="B635" s="827" t="s">
        <v>4006</v>
      </c>
      <c r="C635" s="1912"/>
      <c r="D635" s="2831" t="s">
        <v>4201</v>
      </c>
      <c r="E635" s="2832">
        <v>50</v>
      </c>
      <c r="F635" s="2832" t="s">
        <v>4031</v>
      </c>
      <c r="G635" s="19"/>
      <c r="H635" s="2829" t="s">
        <v>2757</v>
      </c>
      <c r="I635" s="2829"/>
      <c r="J635" s="2829"/>
      <c r="K635" s="2829"/>
      <c r="L635" s="2833">
        <v>107500</v>
      </c>
      <c r="M635" s="19"/>
      <c r="O635" s="2809"/>
      <c r="P635" s="2810"/>
    </row>
    <row r="636" spans="2:16" ht="27">
      <c r="B636" s="827" t="s">
        <v>4006</v>
      </c>
      <c r="C636" s="1912"/>
      <c r="D636" s="2831" t="s">
        <v>4202</v>
      </c>
      <c r="E636" s="2832">
        <v>50</v>
      </c>
      <c r="F636" s="2832" t="s">
        <v>4031</v>
      </c>
      <c r="G636" s="19"/>
      <c r="H636" s="2829" t="s">
        <v>2757</v>
      </c>
      <c r="I636" s="2829"/>
      <c r="J636" s="2829"/>
      <c r="K636" s="2829"/>
      <c r="L636" s="2833">
        <v>187500</v>
      </c>
      <c r="M636" s="19"/>
      <c r="O636" s="2809"/>
      <c r="P636" s="2810"/>
    </row>
    <row r="637" spans="2:16">
      <c r="B637" s="827" t="s">
        <v>4006</v>
      </c>
      <c r="C637" s="1912"/>
      <c r="D637" s="2831" t="s">
        <v>4204</v>
      </c>
      <c r="E637" s="2832">
        <v>200</v>
      </c>
      <c r="F637" s="2832" t="s">
        <v>4203</v>
      </c>
      <c r="G637" s="19"/>
      <c r="H637" s="2829" t="s">
        <v>2757</v>
      </c>
      <c r="I637" s="2829"/>
      <c r="J637" s="2829"/>
      <c r="K637" s="2829"/>
      <c r="L637" s="2833">
        <v>24400</v>
      </c>
      <c r="M637" s="19"/>
      <c r="O637" s="2809"/>
      <c r="P637" s="2810"/>
    </row>
    <row r="638" spans="2:16" ht="27">
      <c r="B638" s="827" t="s">
        <v>4006</v>
      </c>
      <c r="C638" s="1912"/>
      <c r="D638" s="2831" t="s">
        <v>4205</v>
      </c>
      <c r="E638" s="2832">
        <v>15000</v>
      </c>
      <c r="F638" s="2832" t="s">
        <v>4203</v>
      </c>
      <c r="G638" s="19"/>
      <c r="H638" s="2829" t="s">
        <v>2757</v>
      </c>
      <c r="I638" s="2829"/>
      <c r="J638" s="2829"/>
      <c r="K638" s="2829"/>
      <c r="L638" s="2833">
        <v>255000</v>
      </c>
      <c r="M638" s="19"/>
      <c r="O638" s="2809"/>
      <c r="P638" s="2810"/>
    </row>
    <row r="639" spans="2:16">
      <c r="B639" s="827" t="s">
        <v>4006</v>
      </c>
      <c r="C639" s="1912"/>
      <c r="D639" s="2831" t="s">
        <v>4206</v>
      </c>
      <c r="E639" s="2832">
        <v>100</v>
      </c>
      <c r="F639" s="2832" t="s">
        <v>4010</v>
      </c>
      <c r="G639" s="19"/>
      <c r="H639" s="2829" t="s">
        <v>2757</v>
      </c>
      <c r="I639" s="2829"/>
      <c r="J639" s="2829"/>
      <c r="K639" s="2829"/>
      <c r="L639" s="2833">
        <v>600</v>
      </c>
      <c r="M639" s="19"/>
      <c r="O639" s="2809"/>
      <c r="P639" s="2810"/>
    </row>
    <row r="640" spans="2:16">
      <c r="B640" s="827" t="s">
        <v>4006</v>
      </c>
      <c r="C640" s="1912"/>
      <c r="D640" s="2831" t="s">
        <v>4207</v>
      </c>
      <c r="E640" s="2832">
        <v>50</v>
      </c>
      <c r="F640" s="2832" t="s">
        <v>4010</v>
      </c>
      <c r="G640" s="19"/>
      <c r="H640" s="2829" t="s">
        <v>2757</v>
      </c>
      <c r="I640" s="2829"/>
      <c r="J640" s="2829"/>
      <c r="K640" s="2829"/>
      <c r="L640" s="2833">
        <v>750</v>
      </c>
      <c r="M640" s="19"/>
      <c r="O640" s="2809"/>
      <c r="P640" s="2810"/>
    </row>
    <row r="641" spans="2:16" ht="27">
      <c r="B641" s="827" t="s">
        <v>4006</v>
      </c>
      <c r="C641" s="1912"/>
      <c r="D641" s="2831" t="s">
        <v>4208</v>
      </c>
      <c r="E641" s="2832">
        <v>25</v>
      </c>
      <c r="F641" s="2832" t="s">
        <v>4010</v>
      </c>
      <c r="G641" s="19"/>
      <c r="H641" s="2829" t="s">
        <v>2757</v>
      </c>
      <c r="I641" s="2829"/>
      <c r="J641" s="2829"/>
      <c r="K641" s="2829"/>
      <c r="L641" s="2833">
        <v>225</v>
      </c>
      <c r="M641" s="19"/>
      <c r="O641" s="2809"/>
      <c r="P641" s="2810"/>
    </row>
    <row r="642" spans="2:16">
      <c r="B642" s="827" t="s">
        <v>4006</v>
      </c>
      <c r="C642" s="1912"/>
      <c r="D642" s="2831" t="s">
        <v>4209</v>
      </c>
      <c r="E642" s="2832">
        <v>400</v>
      </c>
      <c r="F642" s="2832" t="s">
        <v>4025</v>
      </c>
      <c r="G642" s="19"/>
      <c r="H642" s="2829" t="s">
        <v>2757</v>
      </c>
      <c r="I642" s="2829"/>
      <c r="J642" s="2829"/>
      <c r="K642" s="2829"/>
      <c r="L642" s="2833">
        <v>38000</v>
      </c>
      <c r="M642" s="19"/>
      <c r="O642" s="2809"/>
      <c r="P642" s="2810"/>
    </row>
    <row r="643" spans="2:16">
      <c r="B643" s="827" t="s">
        <v>4006</v>
      </c>
      <c r="C643" s="1912"/>
      <c r="D643" s="2831" t="s">
        <v>4210</v>
      </c>
      <c r="E643" s="2832">
        <v>3</v>
      </c>
      <c r="F643" s="2832" t="s">
        <v>4014</v>
      </c>
      <c r="G643" s="19"/>
      <c r="H643" s="2829" t="s">
        <v>2757</v>
      </c>
      <c r="I643" s="2829"/>
      <c r="J643" s="2829"/>
      <c r="K643" s="2829"/>
      <c r="L643" s="2833">
        <v>7479</v>
      </c>
      <c r="M643" s="19"/>
      <c r="O643" s="2809"/>
      <c r="P643" s="2810"/>
    </row>
    <row r="644" spans="2:16" ht="40.5">
      <c r="B644" s="827" t="s">
        <v>4006</v>
      </c>
      <c r="C644" s="1912"/>
      <c r="D644" s="2831" t="s">
        <v>4211</v>
      </c>
      <c r="E644" s="2832">
        <v>2000</v>
      </c>
      <c r="F644" s="2832" t="s">
        <v>4010</v>
      </c>
      <c r="G644" s="19"/>
      <c r="H644" s="2829" t="s">
        <v>2757</v>
      </c>
      <c r="I644" s="2829"/>
      <c r="J644" s="2829"/>
      <c r="K644" s="2829"/>
      <c r="L644" s="2833">
        <v>20000</v>
      </c>
      <c r="M644" s="19"/>
      <c r="O644" s="2809"/>
      <c r="P644" s="2810"/>
    </row>
    <row r="645" spans="2:16">
      <c r="B645" s="827" t="s">
        <v>4006</v>
      </c>
      <c r="C645" s="1912"/>
      <c r="D645" s="2831" t="s">
        <v>4212</v>
      </c>
      <c r="E645" s="2832">
        <v>10</v>
      </c>
      <c r="F645" s="2832" t="s">
        <v>4014</v>
      </c>
      <c r="G645" s="19"/>
      <c r="H645" s="2829" t="s">
        <v>2757</v>
      </c>
      <c r="I645" s="2829"/>
      <c r="J645" s="2829"/>
      <c r="K645" s="2829"/>
      <c r="L645" s="2833">
        <v>1270</v>
      </c>
      <c r="M645" s="19"/>
      <c r="O645" s="2809"/>
      <c r="P645" s="2810"/>
    </row>
    <row r="646" spans="2:16">
      <c r="B646" s="827" t="s">
        <v>4006</v>
      </c>
      <c r="C646" s="1912"/>
      <c r="D646" s="2831" t="s">
        <v>4213</v>
      </c>
      <c r="E646" s="2832">
        <v>200</v>
      </c>
      <c r="F646" s="2832" t="s">
        <v>4010</v>
      </c>
      <c r="G646" s="19"/>
      <c r="H646" s="2829" t="s">
        <v>2757</v>
      </c>
      <c r="I646" s="2829"/>
      <c r="J646" s="2829"/>
      <c r="K646" s="2829"/>
      <c r="L646" s="2833">
        <v>5400</v>
      </c>
      <c r="M646" s="19"/>
      <c r="O646" s="2809"/>
      <c r="P646" s="2810"/>
    </row>
    <row r="647" spans="2:16">
      <c r="B647" s="827" t="s">
        <v>4006</v>
      </c>
      <c r="C647" s="1912"/>
      <c r="D647" s="2831" t="s">
        <v>4214</v>
      </c>
      <c r="E647" s="2832">
        <v>200</v>
      </c>
      <c r="F647" s="2832" t="s">
        <v>4010</v>
      </c>
      <c r="G647" s="19"/>
      <c r="H647" s="2829" t="s">
        <v>2757</v>
      </c>
      <c r="I647" s="2829"/>
      <c r="J647" s="2829"/>
      <c r="K647" s="2829"/>
      <c r="L647" s="2833">
        <v>2200</v>
      </c>
      <c r="M647" s="19"/>
      <c r="O647" s="2809"/>
      <c r="P647" s="2810"/>
    </row>
    <row r="648" spans="2:16">
      <c r="B648" s="827" t="s">
        <v>4006</v>
      </c>
      <c r="C648" s="1912"/>
      <c r="D648" s="2831" t="s">
        <v>4215</v>
      </c>
      <c r="E648" s="2832">
        <v>50</v>
      </c>
      <c r="F648" s="2832" t="s">
        <v>4025</v>
      </c>
      <c r="G648" s="19"/>
      <c r="H648" s="2829" t="s">
        <v>2757</v>
      </c>
      <c r="I648" s="2829"/>
      <c r="J648" s="2829"/>
      <c r="K648" s="2829"/>
      <c r="L648" s="2833">
        <v>55250</v>
      </c>
      <c r="M648" s="19"/>
      <c r="O648" s="2809"/>
      <c r="P648" s="2810"/>
    </row>
    <row r="649" spans="2:16">
      <c r="B649" s="827" t="s">
        <v>4006</v>
      </c>
      <c r="C649" s="1912"/>
      <c r="D649" s="2831" t="s">
        <v>4216</v>
      </c>
      <c r="E649" s="2832">
        <v>600</v>
      </c>
      <c r="F649" s="2832" t="s">
        <v>4010</v>
      </c>
      <c r="G649" s="19"/>
      <c r="H649" s="2829" t="s">
        <v>2757</v>
      </c>
      <c r="I649" s="2829"/>
      <c r="J649" s="2829"/>
      <c r="K649" s="2829"/>
      <c r="L649" s="2833">
        <v>6000</v>
      </c>
      <c r="M649" s="19"/>
      <c r="O649" s="2809"/>
      <c r="P649" s="2810"/>
    </row>
    <row r="650" spans="2:16">
      <c r="B650" s="827" t="s">
        <v>4006</v>
      </c>
      <c r="C650" s="1912"/>
      <c r="D650" s="2831" t="s">
        <v>4217</v>
      </c>
      <c r="E650" s="2832">
        <v>300</v>
      </c>
      <c r="F650" s="2832" t="s">
        <v>4010</v>
      </c>
      <c r="G650" s="19"/>
      <c r="H650" s="2829" t="s">
        <v>2757</v>
      </c>
      <c r="I650" s="2829"/>
      <c r="J650" s="2829"/>
      <c r="K650" s="2829"/>
      <c r="L650" s="2833">
        <v>2100</v>
      </c>
      <c r="M650" s="19"/>
      <c r="O650" s="2809"/>
      <c r="P650" s="2810"/>
    </row>
    <row r="651" spans="2:16">
      <c r="B651" s="827" t="s">
        <v>4006</v>
      </c>
      <c r="C651" s="1912"/>
      <c r="D651" s="2831" t="s">
        <v>4218</v>
      </c>
      <c r="E651" s="2832">
        <v>200</v>
      </c>
      <c r="F651" s="2832" t="s">
        <v>4010</v>
      </c>
      <c r="G651" s="19"/>
      <c r="H651" s="2829" t="s">
        <v>2757</v>
      </c>
      <c r="I651" s="2829"/>
      <c r="J651" s="2829"/>
      <c r="K651" s="2829"/>
      <c r="L651" s="2833">
        <v>2400</v>
      </c>
      <c r="M651" s="19"/>
      <c r="O651" s="2809"/>
      <c r="P651" s="2810"/>
    </row>
    <row r="652" spans="2:16" ht="27">
      <c r="B652" s="827" t="s">
        <v>4006</v>
      </c>
      <c r="C652" s="1912"/>
      <c r="D652" s="2831" t="s">
        <v>4219</v>
      </c>
      <c r="E652" s="2832">
        <v>300</v>
      </c>
      <c r="F652" s="2832" t="s">
        <v>4025</v>
      </c>
      <c r="G652" s="19"/>
      <c r="H652" s="2829" t="s">
        <v>2757</v>
      </c>
      <c r="I652" s="2829"/>
      <c r="J652" s="2829"/>
      <c r="K652" s="2829"/>
      <c r="L652" s="2833">
        <v>44400</v>
      </c>
      <c r="M652" s="19"/>
      <c r="O652" s="2809"/>
      <c r="P652" s="2810"/>
    </row>
    <row r="653" spans="2:16" ht="27">
      <c r="B653" s="827" t="s">
        <v>4006</v>
      </c>
      <c r="C653" s="1912"/>
      <c r="D653" s="2831" t="s">
        <v>4220</v>
      </c>
      <c r="E653" s="2832">
        <v>5000</v>
      </c>
      <c r="F653" s="2832" t="s">
        <v>4025</v>
      </c>
      <c r="G653" s="19"/>
      <c r="H653" s="2829" t="s">
        <v>2757</v>
      </c>
      <c r="I653" s="2829"/>
      <c r="J653" s="2829"/>
      <c r="K653" s="2829"/>
      <c r="L653" s="2833">
        <v>220000</v>
      </c>
      <c r="M653" s="19"/>
      <c r="O653" s="2809"/>
      <c r="P653" s="2810"/>
    </row>
    <row r="654" spans="2:16" ht="27">
      <c r="B654" s="827" t="s">
        <v>4006</v>
      </c>
      <c r="C654" s="1912"/>
      <c r="D654" s="2831" t="s">
        <v>4221</v>
      </c>
      <c r="E654" s="2832">
        <v>300</v>
      </c>
      <c r="F654" s="2832" t="s">
        <v>4014</v>
      </c>
      <c r="G654" s="19"/>
      <c r="H654" s="2829" t="s">
        <v>2757</v>
      </c>
      <c r="I654" s="2829"/>
      <c r="J654" s="2829"/>
      <c r="K654" s="2829"/>
      <c r="L654" s="2833">
        <v>47700</v>
      </c>
      <c r="M654" s="19"/>
      <c r="O654" s="2809"/>
      <c r="P654" s="2810"/>
    </row>
    <row r="655" spans="2:16">
      <c r="B655" s="827" t="s">
        <v>4006</v>
      </c>
      <c r="C655" s="1912"/>
      <c r="D655" s="2831" t="s">
        <v>4222</v>
      </c>
      <c r="E655" s="2832">
        <v>100</v>
      </c>
      <c r="F655" s="2832" t="s">
        <v>4010</v>
      </c>
      <c r="G655" s="19"/>
      <c r="H655" s="2829" t="s">
        <v>2757</v>
      </c>
      <c r="I655" s="2829"/>
      <c r="J655" s="2829"/>
      <c r="K655" s="2829"/>
      <c r="L655" s="2833">
        <v>300</v>
      </c>
      <c r="M655" s="19"/>
      <c r="O655" s="2809"/>
      <c r="P655" s="2810"/>
    </row>
    <row r="656" spans="2:16" ht="27">
      <c r="B656" s="827" t="s">
        <v>4006</v>
      </c>
      <c r="C656" s="1912"/>
      <c r="D656" s="2831" t="s">
        <v>4223</v>
      </c>
      <c r="E656" s="2832">
        <v>20</v>
      </c>
      <c r="F656" s="2832" t="s">
        <v>4014</v>
      </c>
      <c r="G656" s="19"/>
      <c r="H656" s="2829" t="s">
        <v>2757</v>
      </c>
      <c r="I656" s="2829"/>
      <c r="J656" s="2829"/>
      <c r="K656" s="2829"/>
      <c r="L656" s="2833">
        <v>22500</v>
      </c>
      <c r="M656" s="19"/>
      <c r="O656" s="2809"/>
      <c r="P656" s="2810"/>
    </row>
    <row r="657" spans="2:16">
      <c r="B657" s="827" t="s">
        <v>4006</v>
      </c>
      <c r="C657" s="1912"/>
      <c r="D657" s="2831" t="s">
        <v>4224</v>
      </c>
      <c r="E657" s="2832">
        <v>200</v>
      </c>
      <c r="F657" s="2832" t="s">
        <v>4031</v>
      </c>
      <c r="G657" s="19"/>
      <c r="H657" s="2829" t="s">
        <v>2757</v>
      </c>
      <c r="I657" s="2829"/>
      <c r="J657" s="2829"/>
      <c r="K657" s="2829"/>
      <c r="L657" s="2833">
        <v>180000</v>
      </c>
      <c r="M657" s="19"/>
      <c r="O657" s="2809"/>
      <c r="P657" s="2810"/>
    </row>
    <row r="658" spans="2:16">
      <c r="B658" s="827" t="s">
        <v>4006</v>
      </c>
      <c r="C658" s="1912"/>
      <c r="D658" s="2831" t="s">
        <v>4225</v>
      </c>
      <c r="E658" s="2832">
        <v>200</v>
      </c>
      <c r="F658" s="2832" t="s">
        <v>4010</v>
      </c>
      <c r="G658" s="19"/>
      <c r="H658" s="2829" t="s">
        <v>2757</v>
      </c>
      <c r="I658" s="2829"/>
      <c r="J658" s="2829"/>
      <c r="K658" s="2829"/>
      <c r="L658" s="2833">
        <v>4400</v>
      </c>
      <c r="M658" s="19"/>
      <c r="O658" s="2809"/>
      <c r="P658" s="2810"/>
    </row>
    <row r="659" spans="2:16">
      <c r="B659" s="827" t="s">
        <v>4006</v>
      </c>
      <c r="C659" s="1912"/>
      <c r="D659" s="2831" t="s">
        <v>4226</v>
      </c>
      <c r="E659" s="2832">
        <v>50</v>
      </c>
      <c r="F659" s="2832" t="s">
        <v>4031</v>
      </c>
      <c r="G659" s="19"/>
      <c r="H659" s="2829" t="s">
        <v>2757</v>
      </c>
      <c r="I659" s="2829"/>
      <c r="J659" s="2829"/>
      <c r="K659" s="2829"/>
      <c r="L659" s="2833">
        <v>28200</v>
      </c>
      <c r="M659" s="19"/>
      <c r="O659" s="2809"/>
      <c r="P659" s="2810"/>
    </row>
    <row r="660" spans="2:16" ht="27">
      <c r="B660" s="827" t="s">
        <v>4006</v>
      </c>
      <c r="C660" s="1912"/>
      <c r="D660" s="2831" t="s">
        <v>4227</v>
      </c>
      <c r="E660" s="2832">
        <v>50</v>
      </c>
      <c r="F660" s="2832" t="s">
        <v>4010</v>
      </c>
      <c r="G660" s="19"/>
      <c r="H660" s="2829" t="s">
        <v>2757</v>
      </c>
      <c r="I660" s="2829"/>
      <c r="J660" s="2829"/>
      <c r="K660" s="2829"/>
      <c r="L660" s="2833">
        <v>200</v>
      </c>
      <c r="M660" s="19"/>
      <c r="O660" s="2809"/>
      <c r="P660" s="2810"/>
    </row>
    <row r="661" spans="2:16" ht="27">
      <c r="B661" s="827" t="s">
        <v>4006</v>
      </c>
      <c r="C661" s="1912"/>
      <c r="D661" s="2831" t="s">
        <v>4228</v>
      </c>
      <c r="E661" s="2832">
        <v>25</v>
      </c>
      <c r="F661" s="2832" t="s">
        <v>4010</v>
      </c>
      <c r="G661" s="19"/>
      <c r="H661" s="2829" t="s">
        <v>2757</v>
      </c>
      <c r="I661" s="2829"/>
      <c r="J661" s="2829"/>
      <c r="K661" s="2829"/>
      <c r="L661" s="2833">
        <v>175</v>
      </c>
      <c r="M661" s="19"/>
      <c r="O661" s="2809"/>
      <c r="P661" s="2810"/>
    </row>
    <row r="662" spans="2:16">
      <c r="B662" s="827" t="s">
        <v>4006</v>
      </c>
      <c r="C662" s="1912"/>
      <c r="D662" s="2831" t="s">
        <v>4229</v>
      </c>
      <c r="E662" s="2832">
        <v>150</v>
      </c>
      <c r="F662" s="2832" t="s">
        <v>4031</v>
      </c>
      <c r="G662" s="19"/>
      <c r="H662" s="2829" t="s">
        <v>2757</v>
      </c>
      <c r="I662" s="2829"/>
      <c r="J662" s="2829"/>
      <c r="K662" s="2829"/>
      <c r="L662" s="2833">
        <v>6150</v>
      </c>
      <c r="M662" s="19"/>
      <c r="O662" s="2809"/>
      <c r="P662" s="2810"/>
    </row>
    <row r="663" spans="2:16">
      <c r="B663" s="827" t="s">
        <v>4006</v>
      </c>
      <c r="C663" s="1912"/>
      <c r="D663" s="2831" t="s">
        <v>4230</v>
      </c>
      <c r="E663" s="2832">
        <v>10</v>
      </c>
      <c r="F663" s="2832" t="s">
        <v>4406</v>
      </c>
      <c r="G663" s="19"/>
      <c r="H663" s="2829" t="s">
        <v>2757</v>
      </c>
      <c r="I663" s="2829"/>
      <c r="J663" s="2829"/>
      <c r="K663" s="2829"/>
      <c r="L663" s="2833">
        <v>26950</v>
      </c>
      <c r="M663" s="19"/>
      <c r="O663" s="2809"/>
      <c r="P663" s="2810"/>
    </row>
    <row r="664" spans="2:16" ht="27">
      <c r="B664" s="827" t="s">
        <v>4006</v>
      </c>
      <c r="C664" s="1912"/>
      <c r="D664" s="2831" t="s">
        <v>4232</v>
      </c>
      <c r="E664" s="2832">
        <v>500</v>
      </c>
      <c r="F664" s="2832" t="s">
        <v>4231</v>
      </c>
      <c r="G664" s="19"/>
      <c r="H664" s="2829" t="s">
        <v>2757</v>
      </c>
      <c r="I664" s="2829"/>
      <c r="J664" s="2829"/>
      <c r="K664" s="2829"/>
      <c r="L664" s="2833">
        <v>27000</v>
      </c>
      <c r="M664" s="19"/>
      <c r="O664" s="2809"/>
      <c r="P664" s="2810"/>
    </row>
    <row r="665" spans="2:16">
      <c r="B665" s="827" t="s">
        <v>4006</v>
      </c>
      <c r="C665" s="1912"/>
      <c r="D665" s="2831" t="s">
        <v>4233</v>
      </c>
      <c r="E665" s="2832">
        <v>300</v>
      </c>
      <c r="F665" s="2832" t="s">
        <v>4088</v>
      </c>
      <c r="G665" s="19"/>
      <c r="H665" s="2829" t="s">
        <v>2757</v>
      </c>
      <c r="I665" s="2829"/>
      <c r="J665" s="2829"/>
      <c r="K665" s="2829"/>
      <c r="L665" s="2833">
        <v>600</v>
      </c>
      <c r="M665" s="19"/>
      <c r="O665" s="2809"/>
      <c r="P665" s="2810"/>
    </row>
    <row r="666" spans="2:16">
      <c r="B666" s="827" t="s">
        <v>4006</v>
      </c>
      <c r="C666" s="1912"/>
      <c r="D666" s="2831" t="s">
        <v>4234</v>
      </c>
      <c r="E666" s="2832">
        <v>100</v>
      </c>
      <c r="F666" s="2832" t="s">
        <v>4010</v>
      </c>
      <c r="G666" s="19"/>
      <c r="H666" s="2829" t="s">
        <v>2757</v>
      </c>
      <c r="I666" s="2829"/>
      <c r="J666" s="2829"/>
      <c r="K666" s="2829"/>
      <c r="L666" s="2833">
        <v>400</v>
      </c>
      <c r="M666" s="19"/>
      <c r="O666" s="2809"/>
      <c r="P666" s="2810"/>
    </row>
    <row r="667" spans="2:16">
      <c r="B667" s="827" t="s">
        <v>4006</v>
      </c>
      <c r="C667" s="1912"/>
      <c r="D667" s="2831" t="s">
        <v>4235</v>
      </c>
      <c r="E667" s="2832">
        <v>2000</v>
      </c>
      <c r="F667" s="2832" t="s">
        <v>4010</v>
      </c>
      <c r="G667" s="19"/>
      <c r="H667" s="2829" t="s">
        <v>2757</v>
      </c>
      <c r="I667" s="2829"/>
      <c r="J667" s="2829"/>
      <c r="K667" s="2829"/>
      <c r="L667" s="2833">
        <v>18000</v>
      </c>
      <c r="M667" s="19"/>
      <c r="O667" s="2809"/>
      <c r="P667" s="2810"/>
    </row>
    <row r="668" spans="2:16">
      <c r="B668" s="827" t="s">
        <v>4006</v>
      </c>
      <c r="C668" s="1912"/>
      <c r="D668" s="2831" t="s">
        <v>4236</v>
      </c>
      <c r="E668" s="2832">
        <v>3500</v>
      </c>
      <c r="F668" s="2832" t="s">
        <v>4010</v>
      </c>
      <c r="G668" s="19"/>
      <c r="H668" s="2829" t="s">
        <v>2757</v>
      </c>
      <c r="I668" s="2829"/>
      <c r="J668" s="2829"/>
      <c r="K668" s="2829"/>
      <c r="L668" s="2833">
        <v>38500</v>
      </c>
      <c r="M668" s="19"/>
      <c r="O668" s="2809" t="s">
        <v>2757</v>
      </c>
      <c r="P668" s="2810"/>
    </row>
    <row r="669" spans="2:16" ht="27">
      <c r="B669" s="827" t="s">
        <v>4006</v>
      </c>
      <c r="C669" s="1912"/>
      <c r="D669" s="2831" t="s">
        <v>4237</v>
      </c>
      <c r="E669" s="2832">
        <v>250</v>
      </c>
      <c r="F669" s="2832" t="s">
        <v>4010</v>
      </c>
      <c r="G669" s="19"/>
      <c r="H669" s="2829" t="s">
        <v>2757</v>
      </c>
      <c r="I669" s="2829"/>
      <c r="J669" s="2829"/>
      <c r="K669" s="2829"/>
      <c r="L669" s="2833">
        <v>2750</v>
      </c>
      <c r="M669" s="19"/>
      <c r="O669" s="2809" t="s">
        <v>2757</v>
      </c>
      <c r="P669" s="2810"/>
    </row>
    <row r="670" spans="2:16" ht="27">
      <c r="B670" s="827" t="s">
        <v>4006</v>
      </c>
      <c r="C670" s="1912"/>
      <c r="D670" s="2831" t="s">
        <v>4238</v>
      </c>
      <c r="E670" s="2832">
        <v>900</v>
      </c>
      <c r="F670" s="2832" t="s">
        <v>4025</v>
      </c>
      <c r="G670" s="19"/>
      <c r="H670" s="2829" t="s">
        <v>2757</v>
      </c>
      <c r="I670" s="2829"/>
      <c r="J670" s="2829"/>
      <c r="K670" s="2829"/>
      <c r="L670" s="2833">
        <v>65700</v>
      </c>
      <c r="M670" s="19"/>
      <c r="O670" s="2809" t="s">
        <v>2757</v>
      </c>
      <c r="P670" s="2810"/>
    </row>
    <row r="671" spans="2:16" ht="27">
      <c r="B671" s="827" t="s">
        <v>4006</v>
      </c>
      <c r="C671" s="1912"/>
      <c r="D671" s="2831" t="s">
        <v>4239</v>
      </c>
      <c r="E671" s="2832">
        <v>400</v>
      </c>
      <c r="F671" s="2832" t="s">
        <v>4025</v>
      </c>
      <c r="G671" s="19"/>
      <c r="H671" s="2829" t="s">
        <v>2757</v>
      </c>
      <c r="I671" s="2829"/>
      <c r="J671" s="2829"/>
      <c r="K671" s="2829"/>
      <c r="L671" s="2833">
        <v>28800</v>
      </c>
      <c r="M671" s="19"/>
      <c r="O671" s="2809" t="s">
        <v>2757</v>
      </c>
      <c r="P671" s="2810"/>
    </row>
    <row r="672" spans="2:16">
      <c r="B672" s="827" t="s">
        <v>4006</v>
      </c>
      <c r="C672" s="1912"/>
      <c r="D672" s="2831" t="s">
        <v>4240</v>
      </c>
      <c r="E672" s="2832">
        <v>50</v>
      </c>
      <c r="F672" s="2832" t="s">
        <v>4010</v>
      </c>
      <c r="G672" s="19"/>
      <c r="H672" s="2829" t="s">
        <v>2757</v>
      </c>
      <c r="I672" s="2829"/>
      <c r="J672" s="2829"/>
      <c r="K672" s="2829"/>
      <c r="L672" s="2833">
        <v>150</v>
      </c>
      <c r="M672" s="19"/>
      <c r="O672" s="2809" t="s">
        <v>2757</v>
      </c>
      <c r="P672" s="2810"/>
    </row>
    <row r="673" spans="2:16">
      <c r="B673" s="827" t="s">
        <v>4006</v>
      </c>
      <c r="C673" s="1912"/>
      <c r="D673" s="2831" t="s">
        <v>4241</v>
      </c>
      <c r="E673" s="2832">
        <v>10</v>
      </c>
      <c r="F673" s="2832" t="s">
        <v>4014</v>
      </c>
      <c r="G673" s="19"/>
      <c r="H673" s="2829" t="s">
        <v>2757</v>
      </c>
      <c r="I673" s="2829"/>
      <c r="J673" s="2829"/>
      <c r="K673" s="2829"/>
      <c r="L673" s="2833">
        <v>310</v>
      </c>
      <c r="M673" s="19"/>
      <c r="O673" s="2809" t="s">
        <v>2757</v>
      </c>
      <c r="P673" s="2810"/>
    </row>
    <row r="674" spans="2:16" ht="27">
      <c r="B674" s="827" t="s">
        <v>4006</v>
      </c>
      <c r="C674" s="1912"/>
      <c r="D674" s="2831" t="s">
        <v>4242</v>
      </c>
      <c r="E674" s="2832">
        <v>30</v>
      </c>
      <c r="F674" s="2832" t="s">
        <v>4010</v>
      </c>
      <c r="G674" s="19"/>
      <c r="H674" s="2829" t="s">
        <v>2757</v>
      </c>
      <c r="I674" s="2829"/>
      <c r="J674" s="2829"/>
      <c r="K674" s="2829"/>
      <c r="L674" s="2833">
        <v>2490</v>
      </c>
      <c r="M674" s="19"/>
      <c r="O674" s="2809" t="s">
        <v>2757</v>
      </c>
      <c r="P674" s="2810"/>
    </row>
    <row r="675" spans="2:16">
      <c r="B675" s="827" t="s">
        <v>4006</v>
      </c>
      <c r="C675" s="1912"/>
      <c r="D675" s="2831" t="s">
        <v>4243</v>
      </c>
      <c r="E675" s="2832">
        <v>10000</v>
      </c>
      <c r="F675" s="2832" t="s">
        <v>4088</v>
      </c>
      <c r="G675" s="19"/>
      <c r="H675" s="2829" t="s">
        <v>2757</v>
      </c>
      <c r="I675" s="2829"/>
      <c r="J675" s="2829"/>
      <c r="K675" s="2829"/>
      <c r="L675" s="2833">
        <v>40000</v>
      </c>
      <c r="M675" s="19"/>
      <c r="O675" s="2809" t="s">
        <v>2757</v>
      </c>
      <c r="P675" s="2810"/>
    </row>
    <row r="676" spans="2:16">
      <c r="B676" s="827" t="s">
        <v>4006</v>
      </c>
      <c r="C676" s="1912"/>
      <c r="D676" s="2831" t="s">
        <v>4244</v>
      </c>
      <c r="E676" s="2832">
        <v>1000</v>
      </c>
      <c r="F676" s="2832" t="s">
        <v>4031</v>
      </c>
      <c r="G676" s="19"/>
      <c r="H676" s="2829" t="s">
        <v>2757</v>
      </c>
      <c r="I676" s="2829"/>
      <c r="J676" s="2829"/>
      <c r="K676" s="2829"/>
      <c r="L676" s="2833">
        <v>981000</v>
      </c>
      <c r="M676" s="19"/>
      <c r="O676" s="2809" t="s">
        <v>2757</v>
      </c>
      <c r="P676" s="2810"/>
    </row>
    <row r="677" spans="2:16">
      <c r="B677" s="827" t="s">
        <v>4006</v>
      </c>
      <c r="C677" s="1912"/>
      <c r="D677" s="2831" t="s">
        <v>4246</v>
      </c>
      <c r="E677" s="2832">
        <v>300</v>
      </c>
      <c r="F677" s="2832" t="s">
        <v>4245</v>
      </c>
      <c r="G677" s="19"/>
      <c r="H677" s="2829" t="s">
        <v>2757</v>
      </c>
      <c r="I677" s="2829"/>
      <c r="J677" s="2829"/>
      <c r="K677" s="2829"/>
      <c r="L677" s="2833">
        <v>84900</v>
      </c>
      <c r="M677" s="19"/>
      <c r="O677" s="2809" t="s">
        <v>2757</v>
      </c>
      <c r="P677" s="2810"/>
    </row>
    <row r="678" spans="2:16">
      <c r="B678" s="827" t="s">
        <v>4006</v>
      </c>
      <c r="C678" s="1912"/>
      <c r="D678" s="2831" t="s">
        <v>4247</v>
      </c>
      <c r="E678" s="2832">
        <v>2000</v>
      </c>
      <c r="F678" s="2832" t="s">
        <v>4010</v>
      </c>
      <c r="G678" s="19"/>
      <c r="H678" s="2829" t="s">
        <v>2757</v>
      </c>
      <c r="I678" s="2829"/>
      <c r="J678" s="2829"/>
      <c r="K678" s="2829"/>
      <c r="L678" s="2833">
        <v>12000</v>
      </c>
      <c r="M678" s="19"/>
      <c r="O678" s="2809" t="s">
        <v>2757</v>
      </c>
      <c r="P678" s="2810"/>
    </row>
    <row r="679" spans="2:16">
      <c r="B679" s="827" t="s">
        <v>4006</v>
      </c>
      <c r="C679" s="1912"/>
      <c r="D679" s="2831" t="s">
        <v>4248</v>
      </c>
      <c r="E679" s="2832">
        <v>100</v>
      </c>
      <c r="F679" s="2832" t="s">
        <v>4010</v>
      </c>
      <c r="G679" s="19"/>
      <c r="H679" s="2829" t="s">
        <v>2757</v>
      </c>
      <c r="I679" s="2829"/>
      <c r="J679" s="2829"/>
      <c r="K679" s="2829"/>
      <c r="L679" s="2833">
        <v>700</v>
      </c>
      <c r="M679" s="19"/>
      <c r="O679" s="2809" t="s">
        <v>2757</v>
      </c>
      <c r="P679" s="2810"/>
    </row>
    <row r="680" spans="2:16">
      <c r="B680" s="827" t="s">
        <v>4006</v>
      </c>
      <c r="C680" s="1912"/>
      <c r="D680" s="2831" t="s">
        <v>4249</v>
      </c>
      <c r="E680" s="2832">
        <v>50</v>
      </c>
      <c r="F680" s="2832" t="s">
        <v>4010</v>
      </c>
      <c r="G680" s="19"/>
      <c r="H680" s="2829" t="s">
        <v>2757</v>
      </c>
      <c r="I680" s="2829"/>
      <c r="J680" s="2829"/>
      <c r="K680" s="2829"/>
      <c r="L680" s="2833">
        <v>1000</v>
      </c>
      <c r="M680" s="19"/>
      <c r="O680" s="2809" t="s">
        <v>2757</v>
      </c>
      <c r="P680" s="2810"/>
    </row>
    <row r="681" spans="2:16">
      <c r="B681" s="827" t="s">
        <v>4006</v>
      </c>
      <c r="C681" s="1912"/>
      <c r="D681" s="2831" t="s">
        <v>4250</v>
      </c>
      <c r="E681" s="2832">
        <v>1000</v>
      </c>
      <c r="F681" s="2832" t="s">
        <v>4010</v>
      </c>
      <c r="G681" s="19"/>
      <c r="H681" s="2829" t="s">
        <v>2757</v>
      </c>
      <c r="I681" s="2829"/>
      <c r="J681" s="2829"/>
      <c r="K681" s="2829"/>
      <c r="L681" s="2833">
        <v>10000</v>
      </c>
      <c r="M681" s="19"/>
      <c r="O681" s="2809" t="s">
        <v>2757</v>
      </c>
      <c r="P681" s="2810"/>
    </row>
    <row r="682" spans="2:16" ht="27">
      <c r="B682" s="827" t="s">
        <v>4006</v>
      </c>
      <c r="C682" s="1912"/>
      <c r="D682" s="2831" t="s">
        <v>4251</v>
      </c>
      <c r="E682" s="2832">
        <v>1200</v>
      </c>
      <c r="F682" s="2832" t="s">
        <v>4025</v>
      </c>
      <c r="G682" s="19"/>
      <c r="H682" s="2829" t="s">
        <v>2757</v>
      </c>
      <c r="I682" s="2829"/>
      <c r="J682" s="2829"/>
      <c r="K682" s="2829"/>
      <c r="L682" s="2833">
        <v>104400</v>
      </c>
      <c r="M682" s="19"/>
      <c r="O682" s="2809" t="s">
        <v>2757</v>
      </c>
      <c r="P682" s="2810"/>
    </row>
    <row r="683" spans="2:16">
      <c r="B683" s="827" t="s">
        <v>4006</v>
      </c>
      <c r="C683" s="1912"/>
      <c r="D683" s="2831" t="s">
        <v>4252</v>
      </c>
      <c r="E683" s="2832">
        <v>20</v>
      </c>
      <c r="F683" s="2832" t="s">
        <v>4010</v>
      </c>
      <c r="G683" s="19"/>
      <c r="H683" s="2829" t="s">
        <v>2757</v>
      </c>
      <c r="I683" s="2829"/>
      <c r="J683" s="2829"/>
      <c r="K683" s="2829"/>
      <c r="L683" s="2833">
        <v>140</v>
      </c>
      <c r="M683" s="19"/>
      <c r="O683" s="2809" t="s">
        <v>2757</v>
      </c>
      <c r="P683" s="2810"/>
    </row>
    <row r="684" spans="2:16" ht="27">
      <c r="B684" s="827" t="s">
        <v>4006</v>
      </c>
      <c r="C684" s="1912"/>
      <c r="D684" s="2831" t="s">
        <v>4253</v>
      </c>
      <c r="E684" s="2832">
        <v>3</v>
      </c>
      <c r="F684" s="2832" t="s">
        <v>4031</v>
      </c>
      <c r="G684" s="19"/>
      <c r="H684" s="2829" t="s">
        <v>2757</v>
      </c>
      <c r="I684" s="2829"/>
      <c r="J684" s="2829"/>
      <c r="K684" s="2829"/>
      <c r="L684" s="2833">
        <v>1047</v>
      </c>
      <c r="M684" s="19"/>
      <c r="O684" s="2809" t="s">
        <v>2757</v>
      </c>
      <c r="P684" s="2810"/>
    </row>
    <row r="685" spans="2:16" ht="27">
      <c r="B685" s="827" t="s">
        <v>4006</v>
      </c>
      <c r="C685" s="1912"/>
      <c r="D685" s="2831" t="s">
        <v>4254</v>
      </c>
      <c r="E685" s="2832">
        <v>5</v>
      </c>
      <c r="F685" s="2832" t="s">
        <v>4031</v>
      </c>
      <c r="G685" s="19"/>
      <c r="H685" s="2829" t="s">
        <v>2757</v>
      </c>
      <c r="I685" s="2829"/>
      <c r="J685" s="2829"/>
      <c r="K685" s="2829"/>
      <c r="L685" s="2833">
        <v>10065</v>
      </c>
      <c r="M685" s="19"/>
      <c r="O685" s="2809" t="s">
        <v>2757</v>
      </c>
      <c r="P685" s="2810"/>
    </row>
    <row r="686" spans="2:16">
      <c r="B686" s="827" t="s">
        <v>4006</v>
      </c>
      <c r="C686" s="1912"/>
      <c r="D686" s="2831" t="s">
        <v>4255</v>
      </c>
      <c r="E686" s="2832">
        <v>100</v>
      </c>
      <c r="F686" s="2832" t="s">
        <v>2222</v>
      </c>
      <c r="G686" s="19"/>
      <c r="H686" s="2829" t="s">
        <v>2757</v>
      </c>
      <c r="I686" s="2829"/>
      <c r="J686" s="2829"/>
      <c r="K686" s="2829"/>
      <c r="L686" s="2833">
        <v>440</v>
      </c>
      <c r="M686" s="19"/>
      <c r="O686" s="2809" t="s">
        <v>2757</v>
      </c>
      <c r="P686" s="2810"/>
    </row>
    <row r="687" spans="2:16">
      <c r="B687" s="827" t="s">
        <v>4006</v>
      </c>
      <c r="C687" s="1912"/>
      <c r="D687" s="2831" t="s">
        <v>4256</v>
      </c>
      <c r="E687" s="2832">
        <v>4000</v>
      </c>
      <c r="F687" s="2832" t="s">
        <v>4025</v>
      </c>
      <c r="G687" s="19"/>
      <c r="H687" s="2829" t="s">
        <v>2757</v>
      </c>
      <c r="I687" s="2829"/>
      <c r="J687" s="2829"/>
      <c r="K687" s="2829"/>
      <c r="L687" s="2833">
        <v>10440</v>
      </c>
      <c r="M687" s="19"/>
      <c r="O687" s="2809" t="s">
        <v>2757</v>
      </c>
      <c r="P687" s="2810"/>
    </row>
    <row r="688" spans="2:16">
      <c r="B688" s="827" t="s">
        <v>4006</v>
      </c>
      <c r="C688" s="1912"/>
      <c r="D688" s="2831" t="s">
        <v>4257</v>
      </c>
      <c r="E688" s="2832">
        <v>200</v>
      </c>
      <c r="F688" s="2832" t="s">
        <v>4010</v>
      </c>
      <c r="G688" s="19"/>
      <c r="H688" s="2829" t="s">
        <v>2757</v>
      </c>
      <c r="I688" s="2829"/>
      <c r="J688" s="2829"/>
      <c r="K688" s="2829"/>
      <c r="L688" s="2833">
        <v>400</v>
      </c>
      <c r="M688" s="19"/>
      <c r="O688" s="2809" t="s">
        <v>2757</v>
      </c>
      <c r="P688" s="2810"/>
    </row>
    <row r="689" spans="2:16" ht="27">
      <c r="B689" s="827" t="s">
        <v>4006</v>
      </c>
      <c r="C689" s="1912"/>
      <c r="D689" s="2831" t="s">
        <v>4258</v>
      </c>
      <c r="E689" s="2832">
        <v>50</v>
      </c>
      <c r="F689" s="2832" t="s">
        <v>4014</v>
      </c>
      <c r="G689" s="19"/>
      <c r="H689" s="2829" t="s">
        <v>2757</v>
      </c>
      <c r="I689" s="2829"/>
      <c r="J689" s="2829"/>
      <c r="K689" s="2829"/>
      <c r="L689" s="2833">
        <v>3900</v>
      </c>
      <c r="M689" s="19"/>
      <c r="O689" s="2809" t="s">
        <v>2757</v>
      </c>
      <c r="P689" s="2810"/>
    </row>
    <row r="690" spans="2:16">
      <c r="B690" s="827" t="s">
        <v>4006</v>
      </c>
      <c r="C690" s="1912"/>
      <c r="D690" s="2831" t="s">
        <v>4259</v>
      </c>
      <c r="E690" s="2832">
        <v>4000</v>
      </c>
      <c r="F690" s="2832" t="s">
        <v>4010</v>
      </c>
      <c r="G690" s="19"/>
      <c r="H690" s="2829" t="s">
        <v>2757</v>
      </c>
      <c r="I690" s="2829"/>
      <c r="J690" s="2829"/>
      <c r="K690" s="2829"/>
      <c r="L690" s="2833">
        <v>44000</v>
      </c>
      <c r="M690" s="19"/>
      <c r="O690" s="2809" t="s">
        <v>2757</v>
      </c>
      <c r="P690" s="2810"/>
    </row>
    <row r="691" spans="2:16">
      <c r="B691" s="827" t="s">
        <v>4006</v>
      </c>
      <c r="C691" s="1912"/>
      <c r="D691" s="2831" t="s">
        <v>4260</v>
      </c>
      <c r="E691" s="2832">
        <v>3000</v>
      </c>
      <c r="F691" s="2832" t="s">
        <v>4031</v>
      </c>
      <c r="G691" s="19"/>
      <c r="H691" s="2829" t="s">
        <v>2757</v>
      </c>
      <c r="I691" s="2829"/>
      <c r="J691" s="2829"/>
      <c r="K691" s="2829"/>
      <c r="L691" s="2833">
        <v>141000</v>
      </c>
      <c r="M691" s="19"/>
      <c r="O691" s="2809" t="s">
        <v>2757</v>
      </c>
      <c r="P691" s="2810"/>
    </row>
    <row r="692" spans="2:16">
      <c r="B692" s="827" t="s">
        <v>4006</v>
      </c>
      <c r="C692" s="1912"/>
      <c r="D692" s="2831" t="s">
        <v>4261</v>
      </c>
      <c r="E692" s="2832">
        <v>20</v>
      </c>
      <c r="F692" s="2832" t="s">
        <v>3167</v>
      </c>
      <c r="G692" s="19"/>
      <c r="H692" s="2829" t="s">
        <v>2757</v>
      </c>
      <c r="I692" s="2829"/>
      <c r="J692" s="2829"/>
      <c r="K692" s="2829"/>
      <c r="L692" s="2833">
        <v>6500</v>
      </c>
      <c r="M692" s="19"/>
      <c r="O692" s="2809" t="s">
        <v>2757</v>
      </c>
      <c r="P692" s="2810"/>
    </row>
    <row r="693" spans="2:16" ht="40.5">
      <c r="B693" s="827" t="s">
        <v>4006</v>
      </c>
      <c r="C693" s="1912"/>
      <c r="D693" s="2831" t="s">
        <v>4262</v>
      </c>
      <c r="E693" s="2832">
        <v>3</v>
      </c>
      <c r="F693" s="2832" t="s">
        <v>4014</v>
      </c>
      <c r="G693" s="19"/>
      <c r="H693" s="2829" t="s">
        <v>2757</v>
      </c>
      <c r="I693" s="2829"/>
      <c r="J693" s="2829"/>
      <c r="K693" s="2829"/>
      <c r="L693" s="2833">
        <v>2400</v>
      </c>
      <c r="M693" s="19"/>
      <c r="O693" s="2809" t="s">
        <v>2757</v>
      </c>
      <c r="P693" s="2810"/>
    </row>
    <row r="694" spans="2:16" ht="27">
      <c r="B694" s="827" t="s">
        <v>4006</v>
      </c>
      <c r="C694" s="1912"/>
      <c r="D694" s="2831" t="s">
        <v>4263</v>
      </c>
      <c r="E694" s="2832">
        <v>10</v>
      </c>
      <c r="F694" s="2832" t="s">
        <v>4014</v>
      </c>
      <c r="G694" s="19"/>
      <c r="H694" s="2829" t="s">
        <v>2757</v>
      </c>
      <c r="I694" s="2829"/>
      <c r="J694" s="2829"/>
      <c r="K694" s="2829"/>
      <c r="L694" s="2833">
        <v>2550</v>
      </c>
      <c r="M694" s="19"/>
      <c r="O694" s="2809" t="s">
        <v>2757</v>
      </c>
      <c r="P694" s="2810"/>
    </row>
    <row r="695" spans="2:16" ht="27">
      <c r="B695" s="827" t="s">
        <v>4006</v>
      </c>
      <c r="C695" s="1912"/>
      <c r="D695" s="2831" t="s">
        <v>4264</v>
      </c>
      <c r="E695" s="2832">
        <v>100</v>
      </c>
      <c r="F695" s="2832" t="s">
        <v>3053</v>
      </c>
      <c r="G695" s="19"/>
      <c r="H695" s="2829" t="s">
        <v>2757</v>
      </c>
      <c r="I695" s="2829"/>
      <c r="J695" s="2829"/>
      <c r="K695" s="2829"/>
      <c r="L695" s="2833">
        <v>3600</v>
      </c>
      <c r="M695" s="19"/>
      <c r="O695" s="2809" t="s">
        <v>2757</v>
      </c>
      <c r="P695" s="2810"/>
    </row>
    <row r="696" spans="2:16" ht="27">
      <c r="B696" s="827" t="s">
        <v>4006</v>
      </c>
      <c r="C696" s="1912"/>
      <c r="D696" s="2831" t="s">
        <v>4265</v>
      </c>
      <c r="E696" s="2832">
        <v>100</v>
      </c>
      <c r="F696" s="2832" t="s">
        <v>4010</v>
      </c>
      <c r="G696" s="19"/>
      <c r="H696" s="2829" t="s">
        <v>2757</v>
      </c>
      <c r="I696" s="2829"/>
      <c r="J696" s="2829"/>
      <c r="K696" s="2829"/>
      <c r="L696" s="2833">
        <v>6900</v>
      </c>
      <c r="M696" s="19"/>
      <c r="O696" s="2809" t="s">
        <v>2757</v>
      </c>
      <c r="P696" s="2810"/>
    </row>
    <row r="697" spans="2:16" ht="27">
      <c r="B697" s="827" t="s">
        <v>4006</v>
      </c>
      <c r="C697" s="1912"/>
      <c r="D697" s="2831" t="s">
        <v>4266</v>
      </c>
      <c r="E697" s="2832">
        <v>50</v>
      </c>
      <c r="F697" s="2832" t="s">
        <v>4010</v>
      </c>
      <c r="G697" s="19"/>
      <c r="H697" s="2829" t="s">
        <v>2757</v>
      </c>
      <c r="I697" s="2829"/>
      <c r="J697" s="2829"/>
      <c r="K697" s="2829"/>
      <c r="L697" s="2833">
        <v>550</v>
      </c>
      <c r="M697" s="19"/>
      <c r="O697" s="2809" t="s">
        <v>2757</v>
      </c>
      <c r="P697" s="2810"/>
    </row>
    <row r="698" spans="2:16">
      <c r="B698" s="827" t="s">
        <v>4006</v>
      </c>
      <c r="C698" s="1912"/>
      <c r="D698" s="2831" t="s">
        <v>4267</v>
      </c>
      <c r="E698" s="2832">
        <v>600</v>
      </c>
      <c r="F698" s="2832" t="s">
        <v>4010</v>
      </c>
      <c r="G698" s="19"/>
      <c r="H698" s="2829" t="s">
        <v>2757</v>
      </c>
      <c r="I698" s="2829"/>
      <c r="J698" s="2829"/>
      <c r="K698" s="2829"/>
      <c r="L698" s="2833">
        <v>5400</v>
      </c>
      <c r="M698" s="19"/>
      <c r="O698" s="2809" t="s">
        <v>2757</v>
      </c>
      <c r="P698" s="2810"/>
    </row>
    <row r="699" spans="2:16">
      <c r="B699" s="827" t="s">
        <v>4006</v>
      </c>
      <c r="C699" s="1912"/>
      <c r="D699" s="2831" t="s">
        <v>4268</v>
      </c>
      <c r="E699" s="2832">
        <v>25</v>
      </c>
      <c r="F699" s="2832" t="s">
        <v>4010</v>
      </c>
      <c r="G699" s="19"/>
      <c r="H699" s="2829" t="s">
        <v>2757</v>
      </c>
      <c r="I699" s="2829"/>
      <c r="J699" s="2829"/>
      <c r="K699" s="2829"/>
      <c r="L699" s="2833">
        <v>2400</v>
      </c>
      <c r="M699" s="19"/>
      <c r="O699" s="2809" t="s">
        <v>2757</v>
      </c>
      <c r="P699" s="2810"/>
    </row>
    <row r="700" spans="2:16" ht="27">
      <c r="B700" s="827" t="s">
        <v>4006</v>
      </c>
      <c r="C700" s="1912"/>
      <c r="D700" s="2831" t="s">
        <v>4269</v>
      </c>
      <c r="E700" s="2832">
        <v>100</v>
      </c>
      <c r="F700" s="2832" t="s">
        <v>4014</v>
      </c>
      <c r="G700" s="19"/>
      <c r="H700" s="2829" t="s">
        <v>2757</v>
      </c>
      <c r="I700" s="2829"/>
      <c r="J700" s="2829"/>
      <c r="K700" s="2829"/>
      <c r="L700" s="2833">
        <v>45000</v>
      </c>
      <c r="M700" s="19"/>
      <c r="O700" s="2809" t="s">
        <v>2757</v>
      </c>
      <c r="P700" s="2810"/>
    </row>
    <row r="701" spans="2:16">
      <c r="B701" s="827" t="s">
        <v>4006</v>
      </c>
      <c r="C701" s="1912"/>
      <c r="D701" s="2831" t="s">
        <v>4270</v>
      </c>
      <c r="E701" s="2832">
        <v>700</v>
      </c>
      <c r="F701" s="2832" t="s">
        <v>4088</v>
      </c>
      <c r="G701" s="19"/>
      <c r="H701" s="2829" t="s">
        <v>2757</v>
      </c>
      <c r="I701" s="2829"/>
      <c r="J701" s="2829"/>
      <c r="K701" s="2829"/>
      <c r="L701" s="2833">
        <v>2100</v>
      </c>
      <c r="M701" s="19"/>
      <c r="O701" s="2809" t="s">
        <v>2757</v>
      </c>
      <c r="P701" s="2810"/>
    </row>
    <row r="702" spans="2:16">
      <c r="B702" s="827" t="s">
        <v>4006</v>
      </c>
      <c r="C702" s="1912"/>
      <c r="D702" s="2831" t="s">
        <v>4271</v>
      </c>
      <c r="E702" s="2832">
        <v>25</v>
      </c>
      <c r="F702" s="2832" t="s">
        <v>4014</v>
      </c>
      <c r="G702" s="19"/>
      <c r="H702" s="2829" t="s">
        <v>2757</v>
      </c>
      <c r="I702" s="2829"/>
      <c r="J702" s="2829"/>
      <c r="K702" s="2829"/>
      <c r="L702" s="2833">
        <v>1175</v>
      </c>
      <c r="M702" s="19"/>
      <c r="O702" s="2809" t="s">
        <v>2757</v>
      </c>
      <c r="P702" s="2810"/>
    </row>
    <row r="703" spans="2:16">
      <c r="B703" s="827" t="s">
        <v>4006</v>
      </c>
      <c r="C703" s="1912"/>
      <c r="D703" s="2831" t="s">
        <v>4272</v>
      </c>
      <c r="E703" s="2832">
        <v>20</v>
      </c>
      <c r="F703" s="2832" t="s">
        <v>4014</v>
      </c>
      <c r="G703" s="19"/>
      <c r="H703" s="2829" t="s">
        <v>2757</v>
      </c>
      <c r="I703" s="2829"/>
      <c r="J703" s="2829"/>
      <c r="K703" s="2829"/>
      <c r="L703" s="2833">
        <v>740</v>
      </c>
      <c r="M703" s="19"/>
      <c r="O703" s="2809" t="s">
        <v>2757</v>
      </c>
      <c r="P703" s="2810"/>
    </row>
    <row r="704" spans="2:16">
      <c r="B704" s="827" t="s">
        <v>4006</v>
      </c>
      <c r="C704" s="1912"/>
      <c r="D704" s="2831" t="s">
        <v>4273</v>
      </c>
      <c r="E704" s="2832">
        <v>700</v>
      </c>
      <c r="F704" s="2832" t="s">
        <v>3167</v>
      </c>
      <c r="G704" s="19"/>
      <c r="H704" s="2829" t="s">
        <v>2757</v>
      </c>
      <c r="I704" s="2829"/>
      <c r="J704" s="2829"/>
      <c r="K704" s="2829"/>
      <c r="L704" s="2833">
        <v>56000</v>
      </c>
      <c r="M704" s="19"/>
      <c r="O704" s="2809" t="s">
        <v>2757</v>
      </c>
      <c r="P704" s="2810"/>
    </row>
    <row r="705" spans="2:16" ht="27">
      <c r="B705" s="827" t="s">
        <v>4006</v>
      </c>
      <c r="C705" s="1912"/>
      <c r="D705" s="2831" t="s">
        <v>4274</v>
      </c>
      <c r="E705" s="2832">
        <v>10</v>
      </c>
      <c r="F705" s="2832" t="s">
        <v>4025</v>
      </c>
      <c r="G705" s="19"/>
      <c r="H705" s="2829" t="s">
        <v>2757</v>
      </c>
      <c r="I705" s="2829"/>
      <c r="J705" s="2829"/>
      <c r="K705" s="2829"/>
      <c r="L705" s="2833">
        <v>3230</v>
      </c>
      <c r="M705" s="19"/>
      <c r="O705" s="2809" t="s">
        <v>2757</v>
      </c>
      <c r="P705" s="2810"/>
    </row>
    <row r="706" spans="2:16" ht="27">
      <c r="B706" s="827" t="s">
        <v>4006</v>
      </c>
      <c r="C706" s="1912"/>
      <c r="D706" s="2831" t="s">
        <v>4275</v>
      </c>
      <c r="E706" s="2832">
        <v>15</v>
      </c>
      <c r="F706" s="2832" t="s">
        <v>4025</v>
      </c>
      <c r="G706" s="19"/>
      <c r="H706" s="2829" t="s">
        <v>2757</v>
      </c>
      <c r="I706" s="2829"/>
      <c r="J706" s="2829"/>
      <c r="K706" s="2829"/>
      <c r="L706" s="2833">
        <v>3465</v>
      </c>
      <c r="M706" s="19"/>
      <c r="O706" s="2809" t="s">
        <v>2757</v>
      </c>
      <c r="P706" s="2810"/>
    </row>
    <row r="707" spans="2:16" ht="27">
      <c r="B707" s="827" t="s">
        <v>4006</v>
      </c>
      <c r="C707" s="1912"/>
      <c r="D707" s="2831" t="s">
        <v>4276</v>
      </c>
      <c r="E707" s="2832">
        <v>250</v>
      </c>
      <c r="F707" s="2832" t="s">
        <v>4025</v>
      </c>
      <c r="G707" s="19"/>
      <c r="H707" s="2829" t="s">
        <v>2757</v>
      </c>
      <c r="I707" s="2829"/>
      <c r="J707" s="2829"/>
      <c r="K707" s="2829"/>
      <c r="L707" s="2833">
        <v>64000</v>
      </c>
      <c r="M707" s="19"/>
      <c r="O707" s="2809" t="s">
        <v>2757</v>
      </c>
      <c r="P707" s="2810"/>
    </row>
    <row r="708" spans="2:16">
      <c r="B708" s="827" t="s">
        <v>4006</v>
      </c>
      <c r="C708" s="1912"/>
      <c r="D708" s="2831" t="s">
        <v>4278</v>
      </c>
      <c r="E708" s="2832">
        <v>100</v>
      </c>
      <c r="F708" s="2832" t="s">
        <v>4277</v>
      </c>
      <c r="G708" s="19"/>
      <c r="H708" s="2829" t="s">
        <v>2757</v>
      </c>
      <c r="I708" s="2829"/>
      <c r="J708" s="2829"/>
      <c r="K708" s="2829"/>
      <c r="L708" s="2833">
        <v>2100</v>
      </c>
      <c r="M708" s="19"/>
      <c r="O708" s="2809" t="s">
        <v>2757</v>
      </c>
      <c r="P708" s="2810"/>
    </row>
    <row r="709" spans="2:16">
      <c r="B709" s="827" t="s">
        <v>4006</v>
      </c>
      <c r="C709" s="1912"/>
      <c r="D709" s="2831" t="s">
        <v>4279</v>
      </c>
      <c r="E709" s="2832">
        <v>50</v>
      </c>
      <c r="F709" s="2832" t="s">
        <v>4088</v>
      </c>
      <c r="G709" s="19"/>
      <c r="H709" s="2829" t="s">
        <v>2757</v>
      </c>
      <c r="I709" s="2829"/>
      <c r="J709" s="2829"/>
      <c r="K709" s="2829"/>
      <c r="L709" s="2833">
        <v>300</v>
      </c>
      <c r="M709" s="19"/>
      <c r="O709" s="2809" t="s">
        <v>2757</v>
      </c>
      <c r="P709" s="2810"/>
    </row>
    <row r="710" spans="2:16">
      <c r="B710" s="827" t="s">
        <v>4006</v>
      </c>
      <c r="C710" s="1912"/>
      <c r="D710" s="2831" t="s">
        <v>4280</v>
      </c>
      <c r="E710" s="2832">
        <v>20</v>
      </c>
      <c r="F710" s="2832" t="s">
        <v>4010</v>
      </c>
      <c r="G710" s="19"/>
      <c r="H710" s="2829" t="s">
        <v>2757</v>
      </c>
      <c r="I710" s="2829"/>
      <c r="J710" s="2829"/>
      <c r="K710" s="2829"/>
      <c r="L710" s="2833">
        <v>1280</v>
      </c>
      <c r="M710" s="19"/>
      <c r="O710" s="2809" t="s">
        <v>2757</v>
      </c>
      <c r="P710" s="2810"/>
    </row>
    <row r="711" spans="2:16" ht="27">
      <c r="B711" s="827" t="s">
        <v>4006</v>
      </c>
      <c r="C711" s="1912"/>
      <c r="D711" s="2831" t="s">
        <v>4281</v>
      </c>
      <c r="E711" s="2832">
        <v>20</v>
      </c>
      <c r="F711" s="2832" t="s">
        <v>4025</v>
      </c>
      <c r="G711" s="19"/>
      <c r="H711" s="2829" t="s">
        <v>2757</v>
      </c>
      <c r="I711" s="2829"/>
      <c r="J711" s="2829"/>
      <c r="K711" s="2829"/>
      <c r="L711" s="2833">
        <v>8800</v>
      </c>
      <c r="M711" s="19"/>
      <c r="O711" s="2809" t="s">
        <v>2757</v>
      </c>
      <c r="P711" s="2810"/>
    </row>
    <row r="712" spans="2:16" ht="27">
      <c r="B712" s="827" t="s">
        <v>4006</v>
      </c>
      <c r="C712" s="1912"/>
      <c r="D712" s="2831" t="s">
        <v>4282</v>
      </c>
      <c r="E712" s="2832">
        <v>500</v>
      </c>
      <c r="F712" s="2832" t="s">
        <v>4025</v>
      </c>
      <c r="G712" s="19"/>
      <c r="H712" s="2829" t="s">
        <v>2757</v>
      </c>
      <c r="I712" s="2829"/>
      <c r="J712" s="2829"/>
      <c r="K712" s="2829"/>
      <c r="L712" s="2833">
        <v>122000</v>
      </c>
      <c r="M712" s="19"/>
      <c r="O712" s="2809" t="s">
        <v>2757</v>
      </c>
      <c r="P712" s="2810"/>
    </row>
    <row r="713" spans="2:16" ht="27">
      <c r="B713" s="827" t="s">
        <v>4006</v>
      </c>
      <c r="C713" s="1912"/>
      <c r="D713" s="2831" t="s">
        <v>4283</v>
      </c>
      <c r="E713" s="2832">
        <v>3000</v>
      </c>
      <c r="F713" s="2832" t="s">
        <v>4025</v>
      </c>
      <c r="G713" s="19"/>
      <c r="H713" s="2829" t="s">
        <v>2757</v>
      </c>
      <c r="I713" s="2829"/>
      <c r="J713" s="2829"/>
      <c r="K713" s="2829"/>
      <c r="L713" s="2833">
        <v>906000</v>
      </c>
      <c r="M713" s="19"/>
      <c r="O713" s="2809" t="s">
        <v>2757</v>
      </c>
      <c r="P713" s="2810"/>
    </row>
    <row r="714" spans="2:16">
      <c r="B714" s="827" t="s">
        <v>4006</v>
      </c>
      <c r="C714" s="1912"/>
      <c r="D714" s="2831" t="s">
        <v>4284</v>
      </c>
      <c r="E714" s="2832">
        <v>50</v>
      </c>
      <c r="F714" s="2832" t="s">
        <v>4014</v>
      </c>
      <c r="G714" s="19"/>
      <c r="H714" s="2829" t="s">
        <v>2757</v>
      </c>
      <c r="I714" s="2829"/>
      <c r="J714" s="2829"/>
      <c r="K714" s="2829"/>
      <c r="L714" s="2833">
        <v>6250</v>
      </c>
      <c r="M714" s="19"/>
      <c r="O714" s="2809" t="s">
        <v>2757</v>
      </c>
      <c r="P714" s="2810"/>
    </row>
    <row r="715" spans="2:16">
      <c r="B715" s="827" t="s">
        <v>4006</v>
      </c>
      <c r="C715" s="1912"/>
      <c r="D715" s="2831" t="s">
        <v>4285</v>
      </c>
      <c r="E715" s="2832">
        <v>25</v>
      </c>
      <c r="F715" s="2832" t="s">
        <v>4010</v>
      </c>
      <c r="G715" s="19"/>
      <c r="H715" s="2829" t="s">
        <v>2757</v>
      </c>
      <c r="I715" s="2829"/>
      <c r="J715" s="2829"/>
      <c r="K715" s="2829"/>
      <c r="L715" s="2833">
        <v>175</v>
      </c>
      <c r="M715" s="19"/>
      <c r="O715" s="2809" t="s">
        <v>2757</v>
      </c>
      <c r="P715" s="2810"/>
    </row>
    <row r="716" spans="2:16">
      <c r="B716" s="827" t="s">
        <v>4006</v>
      </c>
      <c r="C716" s="1912"/>
      <c r="D716" s="2831" t="s">
        <v>4286</v>
      </c>
      <c r="E716" s="2832">
        <v>400</v>
      </c>
      <c r="F716" s="2832" t="s">
        <v>4088</v>
      </c>
      <c r="G716" s="19"/>
      <c r="H716" s="2829" t="s">
        <v>2757</v>
      </c>
      <c r="I716" s="2829"/>
      <c r="J716" s="2829"/>
      <c r="K716" s="2829"/>
      <c r="L716" s="2833">
        <v>25200</v>
      </c>
      <c r="M716" s="19"/>
      <c r="O716" s="2809" t="s">
        <v>2757</v>
      </c>
      <c r="P716" s="2810"/>
    </row>
    <row r="717" spans="2:16">
      <c r="B717" s="827" t="s">
        <v>4006</v>
      </c>
      <c r="C717" s="1912"/>
      <c r="D717" s="2831" t="s">
        <v>4287</v>
      </c>
      <c r="E717" s="2832">
        <v>1000</v>
      </c>
      <c r="F717" s="2832" t="s">
        <v>4088</v>
      </c>
      <c r="G717" s="19"/>
      <c r="H717" s="2829" t="s">
        <v>2757</v>
      </c>
      <c r="I717" s="2829"/>
      <c r="J717" s="2829"/>
      <c r="K717" s="2829"/>
      <c r="L717" s="2833">
        <v>44000</v>
      </c>
      <c r="M717" s="19"/>
      <c r="O717" s="2809" t="s">
        <v>2757</v>
      </c>
      <c r="P717" s="2810"/>
    </row>
    <row r="718" spans="2:16" ht="27">
      <c r="B718" s="827" t="s">
        <v>4006</v>
      </c>
      <c r="C718" s="1912"/>
      <c r="D718" s="2831" t="s">
        <v>4288</v>
      </c>
      <c r="E718" s="2832">
        <v>16000</v>
      </c>
      <c r="F718" s="2832" t="s">
        <v>4031</v>
      </c>
      <c r="G718" s="19"/>
      <c r="H718" s="2829" t="s">
        <v>2757</v>
      </c>
      <c r="I718" s="2829"/>
      <c r="J718" s="2829"/>
      <c r="K718" s="2829"/>
      <c r="L718" s="2833">
        <v>2726000</v>
      </c>
      <c r="M718" s="19"/>
      <c r="O718" s="2809" t="s">
        <v>2757</v>
      </c>
      <c r="P718" s="2810"/>
    </row>
    <row r="719" spans="2:16" ht="27">
      <c r="B719" s="827" t="s">
        <v>4006</v>
      </c>
      <c r="C719" s="1912"/>
      <c r="D719" s="2831" t="s">
        <v>4289</v>
      </c>
      <c r="E719" s="2832">
        <v>500</v>
      </c>
      <c r="F719" s="2832" t="s">
        <v>3248</v>
      </c>
      <c r="G719" s="19"/>
      <c r="H719" s="2829" t="s">
        <v>2757</v>
      </c>
      <c r="I719" s="2829"/>
      <c r="J719" s="2829"/>
      <c r="K719" s="2829"/>
      <c r="L719" s="2833">
        <v>5000</v>
      </c>
      <c r="M719" s="19"/>
      <c r="O719" s="2809" t="s">
        <v>2757</v>
      </c>
      <c r="P719" s="2810"/>
    </row>
    <row r="720" spans="2:16">
      <c r="B720" s="827" t="s">
        <v>4006</v>
      </c>
      <c r="C720" s="1912"/>
      <c r="D720" s="2831" t="s">
        <v>4290</v>
      </c>
      <c r="E720" s="2832">
        <v>50</v>
      </c>
      <c r="F720" s="2832" t="s">
        <v>4031</v>
      </c>
      <c r="G720" s="19"/>
      <c r="H720" s="2829" t="s">
        <v>2757</v>
      </c>
      <c r="I720" s="2829"/>
      <c r="J720" s="2829"/>
      <c r="K720" s="2829"/>
      <c r="L720" s="2833">
        <v>2500</v>
      </c>
      <c r="M720" s="19"/>
      <c r="O720" s="2809" t="s">
        <v>2757</v>
      </c>
      <c r="P720" s="2810"/>
    </row>
    <row r="721" spans="2:16">
      <c r="B721" s="827" t="s">
        <v>4006</v>
      </c>
      <c r="C721" s="1912"/>
      <c r="D721" s="2831" t="s">
        <v>4291</v>
      </c>
      <c r="E721" s="2832">
        <v>4000</v>
      </c>
      <c r="F721" s="2832" t="s">
        <v>4025</v>
      </c>
      <c r="G721" s="19"/>
      <c r="H721" s="2829" t="s">
        <v>2757</v>
      </c>
      <c r="I721" s="2829"/>
      <c r="J721" s="2829"/>
      <c r="K721" s="2829"/>
      <c r="L721" s="2833">
        <v>584000</v>
      </c>
      <c r="M721" s="19"/>
      <c r="O721" s="2809" t="s">
        <v>2757</v>
      </c>
      <c r="P721" s="2810"/>
    </row>
    <row r="722" spans="2:16">
      <c r="B722" s="827" t="s">
        <v>4006</v>
      </c>
      <c r="C722" s="1912"/>
      <c r="D722" s="2831" t="s">
        <v>4292</v>
      </c>
      <c r="E722" s="2832">
        <v>100</v>
      </c>
      <c r="F722" s="2832" t="s">
        <v>4010</v>
      </c>
      <c r="G722" s="19"/>
      <c r="H722" s="2829" t="s">
        <v>2757</v>
      </c>
      <c r="I722" s="2829"/>
      <c r="J722" s="2829"/>
      <c r="K722" s="2829"/>
      <c r="L722" s="2833">
        <v>4300</v>
      </c>
      <c r="M722" s="19"/>
      <c r="O722" s="2809" t="s">
        <v>2757</v>
      </c>
      <c r="P722" s="2810"/>
    </row>
    <row r="723" spans="2:16">
      <c r="B723" s="827" t="s">
        <v>4006</v>
      </c>
      <c r="C723" s="1912"/>
      <c r="D723" s="2831" t="s">
        <v>4293</v>
      </c>
      <c r="E723" s="2832">
        <v>200</v>
      </c>
      <c r="F723" s="2832" t="s">
        <v>4014</v>
      </c>
      <c r="G723" s="19"/>
      <c r="H723" s="2829" t="s">
        <v>2757</v>
      </c>
      <c r="I723" s="2829"/>
      <c r="J723" s="2829"/>
      <c r="K723" s="2829"/>
      <c r="L723" s="2833">
        <v>7200</v>
      </c>
      <c r="M723" s="19"/>
      <c r="O723" s="2809" t="s">
        <v>2757</v>
      </c>
      <c r="P723" s="2810"/>
    </row>
    <row r="724" spans="2:16">
      <c r="B724" s="827" t="s">
        <v>4006</v>
      </c>
      <c r="C724" s="1912"/>
      <c r="D724" s="2831" t="s">
        <v>4294</v>
      </c>
      <c r="E724" s="2832">
        <v>40</v>
      </c>
      <c r="F724" s="2832" t="s">
        <v>3048</v>
      </c>
      <c r="G724" s="19"/>
      <c r="H724" s="2829" t="s">
        <v>2757</v>
      </c>
      <c r="I724" s="2829"/>
      <c r="J724" s="2829"/>
      <c r="K724" s="2829"/>
      <c r="L724" s="2833">
        <v>560</v>
      </c>
      <c r="M724" s="19"/>
      <c r="O724" s="2809" t="s">
        <v>2757</v>
      </c>
      <c r="P724" s="2810"/>
    </row>
    <row r="725" spans="2:16">
      <c r="B725" s="827" t="s">
        <v>4006</v>
      </c>
      <c r="C725" s="1912"/>
      <c r="D725" s="2831" t="s">
        <v>4295</v>
      </c>
      <c r="E725" s="2832">
        <v>100</v>
      </c>
      <c r="F725" s="2832" t="s">
        <v>4014</v>
      </c>
      <c r="G725" s="19"/>
      <c r="H725" s="2829" t="s">
        <v>2757</v>
      </c>
      <c r="I725" s="2829"/>
      <c r="J725" s="2829"/>
      <c r="K725" s="2829"/>
      <c r="L725" s="2833">
        <v>1800</v>
      </c>
      <c r="M725" s="2829"/>
      <c r="O725" s="2809" t="s">
        <v>2757</v>
      </c>
      <c r="P725" s="2810"/>
    </row>
    <row r="726" spans="2:16">
      <c r="B726" s="827" t="s">
        <v>4006</v>
      </c>
      <c r="C726" s="1912"/>
      <c r="D726" s="2831" t="s">
        <v>4296</v>
      </c>
      <c r="E726" s="2832">
        <v>12000</v>
      </c>
      <c r="F726" s="2832" t="s">
        <v>4025</v>
      </c>
      <c r="G726" s="19"/>
      <c r="H726" s="2829" t="s">
        <v>2757</v>
      </c>
      <c r="I726" s="2829"/>
      <c r="J726" s="2829"/>
      <c r="K726" s="2829"/>
      <c r="L726" s="2833">
        <v>96000</v>
      </c>
      <c r="M726" s="2829"/>
      <c r="O726" s="2809" t="s">
        <v>2757</v>
      </c>
      <c r="P726" s="2810"/>
    </row>
    <row r="727" spans="2:16">
      <c r="B727" s="827" t="s">
        <v>4006</v>
      </c>
      <c r="C727" s="1912"/>
      <c r="D727" s="2831" t="s">
        <v>4297</v>
      </c>
      <c r="E727" s="2832">
        <v>400</v>
      </c>
      <c r="F727" s="2832" t="s">
        <v>4014</v>
      </c>
      <c r="G727" s="19"/>
      <c r="H727" s="2829" t="s">
        <v>2757</v>
      </c>
      <c r="I727" s="2829"/>
      <c r="J727" s="2829"/>
      <c r="K727" s="2829"/>
      <c r="L727" s="2833">
        <v>6400</v>
      </c>
      <c r="M727" s="2829"/>
      <c r="O727" s="2809" t="s">
        <v>2757</v>
      </c>
      <c r="P727" s="2810"/>
    </row>
    <row r="728" spans="2:16">
      <c r="B728" s="827" t="s">
        <v>4006</v>
      </c>
      <c r="C728" s="1912"/>
      <c r="D728" s="2831" t="s">
        <v>4298</v>
      </c>
      <c r="E728" s="2832">
        <v>2000</v>
      </c>
      <c r="F728" s="2832" t="s">
        <v>4010</v>
      </c>
      <c r="G728" s="19"/>
      <c r="H728" s="2829" t="s">
        <v>2757</v>
      </c>
      <c r="I728" s="2829"/>
      <c r="J728" s="2829"/>
      <c r="K728" s="2829"/>
      <c r="L728" s="2833">
        <v>4000</v>
      </c>
      <c r="M728" s="2829"/>
      <c r="O728" s="2809" t="s">
        <v>2757</v>
      </c>
      <c r="P728" s="2810"/>
    </row>
    <row r="729" spans="2:16" ht="27">
      <c r="B729" s="827" t="s">
        <v>4006</v>
      </c>
      <c r="C729" s="1912"/>
      <c r="D729" s="2831" t="s">
        <v>4299</v>
      </c>
      <c r="E729" s="2832">
        <v>30</v>
      </c>
      <c r="F729" s="2832" t="s">
        <v>4031</v>
      </c>
      <c r="G729" s="19"/>
      <c r="H729" s="2829" t="s">
        <v>2757</v>
      </c>
      <c r="I729" s="2829"/>
      <c r="J729" s="2829"/>
      <c r="K729" s="2829"/>
      <c r="L729" s="2833">
        <v>2790</v>
      </c>
      <c r="M729" s="2829"/>
      <c r="O729" s="2809" t="s">
        <v>2757</v>
      </c>
      <c r="P729" s="2810"/>
    </row>
    <row r="730" spans="2:16" ht="27">
      <c r="B730" s="827" t="s">
        <v>4006</v>
      </c>
      <c r="C730" s="1912"/>
      <c r="D730" s="2831" t="s">
        <v>4300</v>
      </c>
      <c r="E730" s="2832">
        <v>25</v>
      </c>
      <c r="F730" s="2832" t="s">
        <v>4031</v>
      </c>
      <c r="G730" s="19"/>
      <c r="H730" s="2829" t="s">
        <v>2757</v>
      </c>
      <c r="I730" s="2829"/>
      <c r="J730" s="2829"/>
      <c r="K730" s="2829"/>
      <c r="L730" s="2833">
        <v>350</v>
      </c>
      <c r="M730" s="2829"/>
      <c r="O730" s="2809" t="s">
        <v>2757</v>
      </c>
      <c r="P730" s="2810"/>
    </row>
    <row r="731" spans="2:16" ht="27">
      <c r="B731" s="827" t="s">
        <v>4006</v>
      </c>
      <c r="C731" s="1912"/>
      <c r="D731" s="2831" t="s">
        <v>4301</v>
      </c>
      <c r="E731" s="2832">
        <v>20</v>
      </c>
      <c r="F731" s="2832" t="s">
        <v>4031</v>
      </c>
      <c r="G731" s="19"/>
      <c r="H731" s="2829" t="s">
        <v>2757</v>
      </c>
      <c r="I731" s="2829"/>
      <c r="J731" s="2829"/>
      <c r="K731" s="2829"/>
      <c r="L731" s="2833">
        <v>460</v>
      </c>
      <c r="M731" s="2829"/>
      <c r="O731" s="2809" t="s">
        <v>2757</v>
      </c>
      <c r="P731" s="2810"/>
    </row>
    <row r="732" spans="2:16">
      <c r="B732" s="827" t="s">
        <v>4006</v>
      </c>
      <c r="C732" s="1912"/>
      <c r="D732" s="2831" t="s">
        <v>4302</v>
      </c>
      <c r="E732" s="2832">
        <v>50</v>
      </c>
      <c r="F732" s="2832" t="s">
        <v>4088</v>
      </c>
      <c r="G732" s="19"/>
      <c r="H732" s="2829" t="s">
        <v>2757</v>
      </c>
      <c r="I732" s="2829"/>
      <c r="J732" s="2829"/>
      <c r="K732" s="2829"/>
      <c r="L732" s="2833">
        <v>950</v>
      </c>
      <c r="M732" s="2829"/>
      <c r="O732" s="2809" t="s">
        <v>2757</v>
      </c>
      <c r="P732" s="2810"/>
    </row>
    <row r="733" spans="2:16" ht="27">
      <c r="B733" s="827" t="s">
        <v>4006</v>
      </c>
      <c r="C733" s="1912"/>
      <c r="D733" s="2831" t="s">
        <v>4303</v>
      </c>
      <c r="E733" s="2832">
        <v>400</v>
      </c>
      <c r="F733" s="2832" t="s">
        <v>4025</v>
      </c>
      <c r="G733" s="19"/>
      <c r="H733" s="2829" t="s">
        <v>2757</v>
      </c>
      <c r="I733" s="2829"/>
      <c r="J733" s="2829"/>
      <c r="K733" s="2829"/>
      <c r="L733" s="2833">
        <v>148400</v>
      </c>
      <c r="M733" s="2829"/>
      <c r="O733" s="2809" t="s">
        <v>2757</v>
      </c>
      <c r="P733" s="2810"/>
    </row>
    <row r="734" spans="2:16">
      <c r="B734" s="827" t="s">
        <v>4006</v>
      </c>
      <c r="C734" s="1912"/>
      <c r="D734" s="2831" t="s">
        <v>4304</v>
      </c>
      <c r="E734" s="2832">
        <v>500</v>
      </c>
      <c r="F734" s="2832" t="s">
        <v>4025</v>
      </c>
      <c r="G734" s="19"/>
      <c r="H734" s="2829" t="s">
        <v>2757</v>
      </c>
      <c r="I734" s="2829"/>
      <c r="J734" s="2829"/>
      <c r="K734" s="2829"/>
      <c r="L734" s="2833">
        <v>13000</v>
      </c>
      <c r="M734" s="2829"/>
      <c r="O734" s="2809" t="s">
        <v>2757</v>
      </c>
      <c r="P734" s="2810"/>
    </row>
    <row r="735" spans="2:16" ht="27">
      <c r="B735" s="827" t="s">
        <v>4006</v>
      </c>
      <c r="C735" s="1912"/>
      <c r="D735" s="2831" t="s">
        <v>4305</v>
      </c>
      <c r="E735" s="2832">
        <v>2000</v>
      </c>
      <c r="F735" s="2832" t="s">
        <v>4031</v>
      </c>
      <c r="G735" s="19"/>
      <c r="H735" s="2829" t="s">
        <v>2757</v>
      </c>
      <c r="I735" s="2829"/>
      <c r="J735" s="2829"/>
      <c r="K735" s="2829"/>
      <c r="L735" s="2833">
        <v>626000</v>
      </c>
      <c r="M735" s="2829"/>
      <c r="O735" s="2809" t="s">
        <v>2757</v>
      </c>
      <c r="P735" s="2810"/>
    </row>
    <row r="736" spans="2:16" ht="27">
      <c r="B736" s="827" t="s">
        <v>4006</v>
      </c>
      <c r="C736" s="1912"/>
      <c r="D736" s="2831" t="s">
        <v>4306</v>
      </c>
      <c r="E736" s="2832">
        <v>6000</v>
      </c>
      <c r="F736" s="2832" t="s">
        <v>4031</v>
      </c>
      <c r="G736" s="19"/>
      <c r="H736" s="2829" t="s">
        <v>2757</v>
      </c>
      <c r="I736" s="2829"/>
      <c r="J736" s="2829"/>
      <c r="K736" s="2829"/>
      <c r="L736" s="2833">
        <v>2366000</v>
      </c>
      <c r="M736" s="2829"/>
      <c r="O736" s="2809" t="s">
        <v>2757</v>
      </c>
      <c r="P736" s="2810"/>
    </row>
    <row r="737" spans="2:16" ht="27">
      <c r="B737" s="827" t="s">
        <v>4006</v>
      </c>
      <c r="C737" s="1912"/>
      <c r="D737" s="2831" t="s">
        <v>4308</v>
      </c>
      <c r="E737" s="2832">
        <v>30</v>
      </c>
      <c r="F737" s="2832" t="s">
        <v>4307</v>
      </c>
      <c r="G737" s="19"/>
      <c r="H737" s="2829" t="s">
        <v>2757</v>
      </c>
      <c r="I737" s="2829"/>
      <c r="J737" s="2829"/>
      <c r="K737" s="2829"/>
      <c r="L737" s="2833">
        <v>88500</v>
      </c>
      <c r="M737" s="2829"/>
      <c r="O737" s="2809" t="s">
        <v>2757</v>
      </c>
      <c r="P737" s="2810"/>
    </row>
    <row r="738" spans="2:16">
      <c r="B738" s="827" t="s">
        <v>4006</v>
      </c>
      <c r="C738" s="1912"/>
      <c r="D738" s="2831" t="s">
        <v>4309</v>
      </c>
      <c r="E738" s="2832">
        <v>800</v>
      </c>
      <c r="F738" s="2832" t="s">
        <v>4025</v>
      </c>
      <c r="G738" s="19"/>
      <c r="H738" s="2829" t="s">
        <v>2757</v>
      </c>
      <c r="I738" s="2829"/>
      <c r="J738" s="2829"/>
      <c r="K738" s="2829"/>
      <c r="L738" s="2833">
        <v>28000</v>
      </c>
      <c r="M738" s="2829"/>
      <c r="O738" s="2809" t="s">
        <v>2757</v>
      </c>
      <c r="P738" s="2810"/>
    </row>
    <row r="739" spans="2:16">
      <c r="B739" s="827" t="s">
        <v>4006</v>
      </c>
      <c r="C739" s="1912"/>
      <c r="D739" s="2831" t="s">
        <v>4310</v>
      </c>
      <c r="E739" s="2832">
        <v>8000</v>
      </c>
      <c r="F739" s="2832" t="s">
        <v>4010</v>
      </c>
      <c r="G739" s="19"/>
      <c r="H739" s="2829" t="s">
        <v>2757</v>
      </c>
      <c r="I739" s="2829"/>
      <c r="J739" s="2829"/>
      <c r="K739" s="2829"/>
      <c r="L739" s="2833">
        <v>144000</v>
      </c>
      <c r="M739" s="2829"/>
      <c r="O739" s="2809" t="s">
        <v>2757</v>
      </c>
      <c r="P739" s="2810"/>
    </row>
    <row r="740" spans="2:16">
      <c r="B740" s="827" t="s">
        <v>4006</v>
      </c>
      <c r="C740" s="1912"/>
      <c r="D740" s="2831" t="s">
        <v>4311</v>
      </c>
      <c r="E740" s="2832">
        <v>700</v>
      </c>
      <c r="F740" s="2832" t="s">
        <v>4010</v>
      </c>
      <c r="G740" s="19"/>
      <c r="H740" s="2829" t="s">
        <v>2757</v>
      </c>
      <c r="I740" s="2829"/>
      <c r="J740" s="2829"/>
      <c r="K740" s="2829"/>
      <c r="L740" s="2833">
        <v>6300</v>
      </c>
      <c r="M740" s="2829"/>
      <c r="O740" s="2809" t="s">
        <v>2757</v>
      </c>
      <c r="P740" s="2810"/>
    </row>
    <row r="741" spans="2:16" ht="27">
      <c r="B741" s="827" t="s">
        <v>4006</v>
      </c>
      <c r="C741" s="1912"/>
      <c r="D741" s="2831" t="s">
        <v>4312</v>
      </c>
      <c r="E741" s="2832">
        <v>6</v>
      </c>
      <c r="F741" s="2832" t="s">
        <v>4014</v>
      </c>
      <c r="G741" s="19"/>
      <c r="H741" s="2829" t="s">
        <v>2757</v>
      </c>
      <c r="I741" s="2829"/>
      <c r="J741" s="2829"/>
      <c r="K741" s="2829"/>
      <c r="L741" s="2833">
        <v>1326</v>
      </c>
      <c r="M741" s="2829"/>
      <c r="O741" s="2809" t="s">
        <v>2757</v>
      </c>
      <c r="P741" s="2810"/>
    </row>
    <row r="742" spans="2:16">
      <c r="B742" s="827" t="s">
        <v>4006</v>
      </c>
      <c r="C742" s="1912"/>
      <c r="D742" s="2831" t="s">
        <v>4313</v>
      </c>
      <c r="E742" s="2832">
        <v>200</v>
      </c>
      <c r="F742" s="2832" t="s">
        <v>4010</v>
      </c>
      <c r="G742" s="19"/>
      <c r="H742" s="2829" t="s">
        <v>2757</v>
      </c>
      <c r="I742" s="2829"/>
      <c r="J742" s="2829"/>
      <c r="K742" s="2829"/>
      <c r="L742" s="2833">
        <v>800</v>
      </c>
      <c r="M742" s="2829"/>
      <c r="O742" s="2809" t="s">
        <v>2757</v>
      </c>
      <c r="P742" s="2810"/>
    </row>
    <row r="743" spans="2:16">
      <c r="B743" s="827" t="s">
        <v>4006</v>
      </c>
      <c r="C743" s="1912"/>
      <c r="D743" s="2831" t="s">
        <v>4314</v>
      </c>
      <c r="E743" s="2832">
        <v>25</v>
      </c>
      <c r="F743" s="2832" t="s">
        <v>4014</v>
      </c>
      <c r="G743" s="19"/>
      <c r="H743" s="2829" t="s">
        <v>2757</v>
      </c>
      <c r="I743" s="2829"/>
      <c r="J743" s="2829"/>
      <c r="K743" s="2829"/>
      <c r="L743" s="2833">
        <v>2075</v>
      </c>
      <c r="M743" s="2829"/>
      <c r="O743" s="2809" t="s">
        <v>2757</v>
      </c>
      <c r="P743" s="2810"/>
    </row>
    <row r="744" spans="2:16">
      <c r="B744" s="827" t="s">
        <v>4006</v>
      </c>
      <c r="C744" s="1912"/>
      <c r="D744" s="2831" t="s">
        <v>4315</v>
      </c>
      <c r="E744" s="2832">
        <v>300</v>
      </c>
      <c r="F744" s="2832" t="s">
        <v>4010</v>
      </c>
      <c r="G744" s="19"/>
      <c r="H744" s="2829" t="s">
        <v>2757</v>
      </c>
      <c r="I744" s="2829"/>
      <c r="J744" s="2829"/>
      <c r="K744" s="2829"/>
      <c r="L744" s="2833">
        <v>3300</v>
      </c>
      <c r="M744" s="2829"/>
      <c r="O744" s="2809" t="s">
        <v>2757</v>
      </c>
      <c r="P744" s="2810"/>
    </row>
    <row r="745" spans="2:16">
      <c r="B745" s="827" t="s">
        <v>4006</v>
      </c>
      <c r="C745" s="1912"/>
      <c r="D745" s="2831" t="s">
        <v>4316</v>
      </c>
      <c r="E745" s="2832">
        <v>300</v>
      </c>
      <c r="F745" s="2832" t="s">
        <v>4010</v>
      </c>
      <c r="G745" s="19"/>
      <c r="H745" s="2829" t="s">
        <v>2757</v>
      </c>
      <c r="I745" s="2829"/>
      <c r="J745" s="2829"/>
      <c r="K745" s="2829"/>
      <c r="L745" s="2833">
        <v>1500</v>
      </c>
      <c r="M745" s="2829"/>
      <c r="O745" s="2809" t="s">
        <v>2757</v>
      </c>
      <c r="P745" s="2810"/>
    </row>
    <row r="746" spans="2:16">
      <c r="B746" s="827" t="s">
        <v>4006</v>
      </c>
      <c r="C746" s="1912"/>
      <c r="D746" s="2831" t="s">
        <v>4317</v>
      </c>
      <c r="E746" s="2832">
        <v>100</v>
      </c>
      <c r="F746" s="2834" t="s">
        <v>4020</v>
      </c>
      <c r="G746" s="19"/>
      <c r="H746" s="2829" t="s">
        <v>2757</v>
      </c>
      <c r="I746" s="2829"/>
      <c r="J746" s="2829"/>
      <c r="K746" s="2829"/>
      <c r="L746" s="2833">
        <v>29900</v>
      </c>
      <c r="M746" s="2829"/>
      <c r="O746" s="2809" t="s">
        <v>2757</v>
      </c>
      <c r="P746" s="2810"/>
    </row>
    <row r="747" spans="2:16">
      <c r="B747" s="827" t="s">
        <v>4006</v>
      </c>
      <c r="C747" s="1912"/>
      <c r="D747" s="2831" t="s">
        <v>4318</v>
      </c>
      <c r="E747" s="2832">
        <v>500</v>
      </c>
      <c r="F747" s="2832" t="s">
        <v>4010</v>
      </c>
      <c r="G747" s="19"/>
      <c r="H747" s="2829" t="s">
        <v>2757</v>
      </c>
      <c r="I747" s="2829"/>
      <c r="J747" s="2829"/>
      <c r="K747" s="2829"/>
      <c r="L747" s="2833">
        <v>8000</v>
      </c>
      <c r="M747" s="2829"/>
      <c r="O747" s="2809" t="s">
        <v>2757</v>
      </c>
      <c r="P747" s="2810"/>
    </row>
    <row r="748" spans="2:16" ht="27">
      <c r="B748" s="827" t="s">
        <v>4006</v>
      </c>
      <c r="C748" s="1912"/>
      <c r="D748" s="2831" t="s">
        <v>4319</v>
      </c>
      <c r="E748" s="2832">
        <v>10</v>
      </c>
      <c r="F748" s="2832" t="s">
        <v>4014</v>
      </c>
      <c r="G748" s="19"/>
      <c r="H748" s="2829" t="s">
        <v>2757</v>
      </c>
      <c r="I748" s="2829"/>
      <c r="J748" s="2829"/>
      <c r="K748" s="2829"/>
      <c r="L748" s="2833">
        <v>8190</v>
      </c>
      <c r="M748" s="2829"/>
      <c r="O748" s="2809" t="s">
        <v>2757</v>
      </c>
      <c r="P748" s="2810"/>
    </row>
    <row r="749" spans="2:16">
      <c r="B749" s="827" t="s">
        <v>4006</v>
      </c>
      <c r="C749" s="1912"/>
      <c r="D749" s="2831" t="s">
        <v>4320</v>
      </c>
      <c r="E749" s="2832">
        <v>50</v>
      </c>
      <c r="F749" s="2832" t="s">
        <v>4010</v>
      </c>
      <c r="G749" s="19"/>
      <c r="H749" s="2829" t="s">
        <v>2757</v>
      </c>
      <c r="I749" s="2829"/>
      <c r="J749" s="2829"/>
      <c r="K749" s="2829"/>
      <c r="L749" s="2833">
        <v>250</v>
      </c>
      <c r="M749" s="2829"/>
      <c r="O749" s="2809" t="s">
        <v>2757</v>
      </c>
      <c r="P749" s="2810"/>
    </row>
    <row r="750" spans="2:16">
      <c r="B750" s="827" t="s">
        <v>4006</v>
      </c>
      <c r="C750" s="1912"/>
      <c r="D750" s="2831" t="s">
        <v>4321</v>
      </c>
      <c r="E750" s="2832">
        <v>10</v>
      </c>
      <c r="F750" s="2832" t="s">
        <v>4014</v>
      </c>
      <c r="G750" s="19"/>
      <c r="H750" s="2829" t="s">
        <v>2757</v>
      </c>
      <c r="I750" s="2829"/>
      <c r="J750" s="2829"/>
      <c r="K750" s="2829"/>
      <c r="L750" s="2833">
        <v>940</v>
      </c>
      <c r="M750" s="2829"/>
      <c r="O750" s="2809" t="s">
        <v>2757</v>
      </c>
      <c r="P750" s="2810"/>
    </row>
    <row r="751" spans="2:16" ht="27">
      <c r="B751" s="827" t="s">
        <v>4006</v>
      </c>
      <c r="C751" s="1912"/>
      <c r="D751" s="2831" t="s">
        <v>4322</v>
      </c>
      <c r="E751" s="2832">
        <v>300</v>
      </c>
      <c r="F751" s="2832" t="s">
        <v>4031</v>
      </c>
      <c r="G751" s="19"/>
      <c r="H751" s="2829" t="s">
        <v>2757</v>
      </c>
      <c r="I751" s="2829"/>
      <c r="J751" s="2829"/>
      <c r="K751" s="2829"/>
      <c r="L751" s="2833">
        <v>390600</v>
      </c>
      <c r="M751" s="2829"/>
      <c r="O751" s="2809" t="s">
        <v>2757</v>
      </c>
      <c r="P751" s="2810"/>
    </row>
    <row r="752" spans="2:16">
      <c r="B752" s="827" t="s">
        <v>4006</v>
      </c>
      <c r="C752" s="1912"/>
      <c r="D752" s="2831" t="s">
        <v>4323</v>
      </c>
      <c r="E752" s="2832">
        <v>25</v>
      </c>
      <c r="F752" s="2832" t="s">
        <v>4031</v>
      </c>
      <c r="G752" s="19"/>
      <c r="H752" s="2829" t="s">
        <v>2757</v>
      </c>
      <c r="I752" s="2829"/>
      <c r="J752" s="2829"/>
      <c r="K752" s="2829"/>
      <c r="L752" s="2833">
        <v>8600</v>
      </c>
      <c r="M752" s="2829"/>
      <c r="O752" s="2809" t="s">
        <v>2757</v>
      </c>
      <c r="P752" s="2810"/>
    </row>
    <row r="753" spans="2:16">
      <c r="B753" s="827" t="s">
        <v>4006</v>
      </c>
      <c r="C753" s="1912"/>
      <c r="D753" s="2831" t="s">
        <v>4324</v>
      </c>
      <c r="E753" s="2832">
        <v>10</v>
      </c>
      <c r="F753" s="2832" t="s">
        <v>4014</v>
      </c>
      <c r="G753" s="19"/>
      <c r="H753" s="2829" t="s">
        <v>2757</v>
      </c>
      <c r="I753" s="2829"/>
      <c r="J753" s="2829"/>
      <c r="K753" s="2829"/>
      <c r="L753" s="2833">
        <v>2620</v>
      </c>
      <c r="M753" s="2829"/>
      <c r="O753" s="2809" t="s">
        <v>2757</v>
      </c>
      <c r="P753" s="2810"/>
    </row>
    <row r="754" spans="2:16">
      <c r="B754" s="827" t="s">
        <v>4006</v>
      </c>
      <c r="C754" s="1912"/>
      <c r="D754" s="2831" t="s">
        <v>4325</v>
      </c>
      <c r="E754" s="2832">
        <v>100</v>
      </c>
      <c r="F754" s="2832" t="s">
        <v>4010</v>
      </c>
      <c r="G754" s="19"/>
      <c r="H754" s="2829" t="s">
        <v>2757</v>
      </c>
      <c r="I754" s="2829"/>
      <c r="J754" s="2829"/>
      <c r="K754" s="2829"/>
      <c r="L754" s="2833">
        <v>6400</v>
      </c>
      <c r="M754" s="2829"/>
      <c r="O754" s="2809" t="s">
        <v>2757</v>
      </c>
      <c r="P754" s="2810"/>
    </row>
    <row r="755" spans="2:16">
      <c r="B755" s="827" t="s">
        <v>4006</v>
      </c>
      <c r="C755" s="1912"/>
      <c r="D755" s="2831" t="s">
        <v>4326</v>
      </c>
      <c r="E755" s="2832">
        <v>25</v>
      </c>
      <c r="F755" s="2832" t="s">
        <v>4010</v>
      </c>
      <c r="G755" s="19"/>
      <c r="H755" s="2829" t="s">
        <v>2757</v>
      </c>
      <c r="I755" s="2829"/>
      <c r="J755" s="2829"/>
      <c r="K755" s="2829"/>
      <c r="L755" s="2833">
        <v>350</v>
      </c>
      <c r="M755" s="2829"/>
      <c r="O755" s="2809" t="s">
        <v>2757</v>
      </c>
      <c r="P755" s="2810"/>
    </row>
    <row r="756" spans="2:16">
      <c r="B756" s="827" t="s">
        <v>4006</v>
      </c>
      <c r="C756" s="1912"/>
      <c r="D756" s="2831" t="s">
        <v>4327</v>
      </c>
      <c r="E756" s="2832">
        <v>100</v>
      </c>
      <c r="F756" s="2832" t="s">
        <v>4010</v>
      </c>
      <c r="G756" s="19"/>
      <c r="H756" s="2829" t="s">
        <v>2757</v>
      </c>
      <c r="I756" s="2829"/>
      <c r="J756" s="2829"/>
      <c r="K756" s="2829"/>
      <c r="L756" s="2833">
        <v>900</v>
      </c>
      <c r="M756" s="2829"/>
      <c r="O756" s="2809" t="s">
        <v>2757</v>
      </c>
      <c r="P756" s="2810"/>
    </row>
    <row r="757" spans="2:16">
      <c r="B757" s="827" t="s">
        <v>4006</v>
      </c>
      <c r="C757" s="1912"/>
      <c r="D757" s="2831" t="s">
        <v>4328</v>
      </c>
      <c r="E757" s="2832">
        <v>100</v>
      </c>
      <c r="F757" s="2832" t="s">
        <v>4010</v>
      </c>
      <c r="G757" s="19"/>
      <c r="H757" s="2829" t="s">
        <v>2757</v>
      </c>
      <c r="I757" s="2829"/>
      <c r="J757" s="2829"/>
      <c r="K757" s="2829"/>
      <c r="L757" s="2833">
        <v>1500</v>
      </c>
      <c r="M757" s="2829"/>
      <c r="O757" s="2809" t="s">
        <v>2757</v>
      </c>
      <c r="P757" s="2810"/>
    </row>
    <row r="758" spans="2:16" ht="27">
      <c r="B758" s="827" t="s">
        <v>4006</v>
      </c>
      <c r="C758" s="1912"/>
      <c r="D758" s="2831" t="s">
        <v>4329</v>
      </c>
      <c r="E758" s="2832">
        <v>500</v>
      </c>
      <c r="F758" s="2832" t="s">
        <v>4010</v>
      </c>
      <c r="G758" s="19"/>
      <c r="H758" s="2829" t="s">
        <v>2757</v>
      </c>
      <c r="I758" s="2829"/>
      <c r="J758" s="2829"/>
      <c r="K758" s="2829"/>
      <c r="L758" s="2833">
        <v>75000</v>
      </c>
      <c r="M758" s="2829"/>
      <c r="O758" s="2809" t="s">
        <v>2757</v>
      </c>
      <c r="P758" s="2810"/>
    </row>
    <row r="759" spans="2:16">
      <c r="B759" s="827" t="s">
        <v>4006</v>
      </c>
      <c r="C759" s="1912"/>
      <c r="D759" s="2831" t="s">
        <v>4330</v>
      </c>
      <c r="E759" s="2832">
        <v>10</v>
      </c>
      <c r="F759" s="2832" t="s">
        <v>4014</v>
      </c>
      <c r="G759" s="19"/>
      <c r="H759" s="2829" t="s">
        <v>2757</v>
      </c>
      <c r="I759" s="2829"/>
      <c r="J759" s="2829"/>
      <c r="K759" s="2829"/>
      <c r="L759" s="2833">
        <v>360</v>
      </c>
      <c r="M759" s="2829"/>
      <c r="O759" s="2809" t="s">
        <v>2757</v>
      </c>
      <c r="P759" s="2810"/>
    </row>
    <row r="760" spans="2:16">
      <c r="B760" s="827" t="s">
        <v>4006</v>
      </c>
      <c r="C760" s="1912"/>
      <c r="D760" s="2831" t="s">
        <v>4331</v>
      </c>
      <c r="E760" s="2832">
        <v>8000</v>
      </c>
      <c r="F760" s="2832" t="s">
        <v>4203</v>
      </c>
      <c r="G760" s="19"/>
      <c r="H760" s="2829" t="s">
        <v>2757</v>
      </c>
      <c r="I760" s="2829"/>
      <c r="J760" s="2829"/>
      <c r="K760" s="2829"/>
      <c r="L760" s="2833">
        <v>80000</v>
      </c>
      <c r="M760" s="2829"/>
      <c r="O760" s="2809" t="s">
        <v>2757</v>
      </c>
      <c r="P760" s="2810"/>
    </row>
    <row r="761" spans="2:16" ht="27">
      <c r="B761" s="827" t="s">
        <v>4006</v>
      </c>
      <c r="C761" s="1912"/>
      <c r="D761" s="2831" t="s">
        <v>4332</v>
      </c>
      <c r="E761" s="2832">
        <v>5</v>
      </c>
      <c r="F761" s="2832" t="s">
        <v>4064</v>
      </c>
      <c r="G761" s="19"/>
      <c r="H761" s="2829" t="s">
        <v>2757</v>
      </c>
      <c r="I761" s="2829"/>
      <c r="J761" s="2829"/>
      <c r="K761" s="2829"/>
      <c r="L761" s="2833">
        <v>520</v>
      </c>
      <c r="M761" s="2829"/>
      <c r="O761" s="2809" t="s">
        <v>2757</v>
      </c>
      <c r="P761" s="2810"/>
    </row>
    <row r="762" spans="2:16">
      <c r="B762" s="827" t="s">
        <v>4006</v>
      </c>
      <c r="C762" s="1912"/>
      <c r="D762" s="2831" t="s">
        <v>4333</v>
      </c>
      <c r="E762" s="2832">
        <v>500</v>
      </c>
      <c r="F762" s="2832" t="s">
        <v>4010</v>
      </c>
      <c r="G762" s="19"/>
      <c r="H762" s="2829" t="s">
        <v>2757</v>
      </c>
      <c r="I762" s="2829"/>
      <c r="J762" s="2829"/>
      <c r="K762" s="2829"/>
      <c r="L762" s="2833">
        <v>2500</v>
      </c>
      <c r="M762" s="2829"/>
      <c r="O762" s="2809" t="s">
        <v>2757</v>
      </c>
      <c r="P762" s="2810"/>
    </row>
    <row r="763" spans="2:16">
      <c r="B763" s="827" t="s">
        <v>4006</v>
      </c>
      <c r="C763" s="1912"/>
      <c r="D763" s="2831" t="s">
        <v>4334</v>
      </c>
      <c r="E763" s="2832">
        <v>12</v>
      </c>
      <c r="F763" s="2832" t="s">
        <v>4014</v>
      </c>
      <c r="G763" s="19"/>
      <c r="H763" s="2829" t="s">
        <v>2757</v>
      </c>
      <c r="I763" s="2829"/>
      <c r="J763" s="2829"/>
      <c r="K763" s="2829"/>
      <c r="L763" s="2833">
        <v>104004</v>
      </c>
      <c r="M763" s="2829"/>
      <c r="O763" s="2809" t="s">
        <v>2757</v>
      </c>
      <c r="P763" s="2810"/>
    </row>
    <row r="764" spans="2:16">
      <c r="B764" s="827" t="s">
        <v>4006</v>
      </c>
      <c r="C764" s="1912"/>
      <c r="D764" s="2831" t="s">
        <v>4335</v>
      </c>
      <c r="E764" s="2832">
        <v>400</v>
      </c>
      <c r="F764" s="2832" t="s">
        <v>3167</v>
      </c>
      <c r="G764" s="19"/>
      <c r="H764" s="2829" t="s">
        <v>2757</v>
      </c>
      <c r="I764" s="2829"/>
      <c r="J764" s="2829"/>
      <c r="K764" s="2829"/>
      <c r="L764" s="2833">
        <v>38400</v>
      </c>
      <c r="M764" s="2829"/>
      <c r="O764" s="2809" t="s">
        <v>2757</v>
      </c>
      <c r="P764" s="2810"/>
    </row>
    <row r="765" spans="2:16">
      <c r="B765" s="827" t="s">
        <v>4006</v>
      </c>
      <c r="C765" s="1912"/>
      <c r="D765" s="2831" t="s">
        <v>4336</v>
      </c>
      <c r="E765" s="2832">
        <v>200</v>
      </c>
      <c r="F765" s="2832" t="s">
        <v>4010</v>
      </c>
      <c r="G765" s="19"/>
      <c r="H765" s="2829" t="s">
        <v>2757</v>
      </c>
      <c r="I765" s="2829"/>
      <c r="J765" s="2829"/>
      <c r="K765" s="2829"/>
      <c r="L765" s="2833">
        <v>600</v>
      </c>
      <c r="M765" s="2829"/>
      <c r="O765" s="2809" t="s">
        <v>2757</v>
      </c>
      <c r="P765" s="2810"/>
    </row>
    <row r="766" spans="2:16">
      <c r="B766" s="827" t="s">
        <v>4006</v>
      </c>
      <c r="C766" s="1912"/>
      <c r="D766" s="2831" t="s">
        <v>4337</v>
      </c>
      <c r="E766" s="2832">
        <v>100</v>
      </c>
      <c r="F766" s="2832" t="s">
        <v>4010</v>
      </c>
      <c r="G766" s="19"/>
      <c r="H766" s="2829" t="s">
        <v>2757</v>
      </c>
      <c r="I766" s="2829"/>
      <c r="J766" s="2829"/>
      <c r="K766" s="2829"/>
      <c r="L766" s="2833">
        <v>500</v>
      </c>
      <c r="M766" s="2829"/>
      <c r="O766" s="2809" t="s">
        <v>2757</v>
      </c>
      <c r="P766" s="2810"/>
    </row>
    <row r="767" spans="2:16">
      <c r="B767" s="827" t="s">
        <v>4006</v>
      </c>
      <c r="C767" s="1912"/>
      <c r="D767" s="2831" t="s">
        <v>4338</v>
      </c>
      <c r="E767" s="2832">
        <v>8000</v>
      </c>
      <c r="F767" s="2832" t="s">
        <v>4010</v>
      </c>
      <c r="G767" s="19"/>
      <c r="H767" s="2829" t="s">
        <v>2757</v>
      </c>
      <c r="I767" s="2829"/>
      <c r="J767" s="2829"/>
      <c r="K767" s="2829"/>
      <c r="L767" s="2833">
        <v>16000</v>
      </c>
      <c r="M767" s="2829"/>
      <c r="O767" s="2809" t="s">
        <v>2757</v>
      </c>
      <c r="P767" s="2810"/>
    </row>
    <row r="768" spans="2:16">
      <c r="B768" s="827" t="s">
        <v>4006</v>
      </c>
      <c r="C768" s="1912"/>
      <c r="D768" s="2831" t="s">
        <v>4339</v>
      </c>
      <c r="E768" s="2832">
        <v>1200</v>
      </c>
      <c r="F768" s="2832" t="s">
        <v>4025</v>
      </c>
      <c r="G768" s="19"/>
      <c r="H768" s="2829" t="s">
        <v>2757</v>
      </c>
      <c r="I768" s="2829"/>
      <c r="J768" s="2829"/>
      <c r="K768" s="2829"/>
      <c r="L768" s="2833">
        <v>153600</v>
      </c>
      <c r="M768" s="2829"/>
      <c r="O768" s="2809" t="s">
        <v>2757</v>
      </c>
      <c r="P768" s="2810"/>
    </row>
    <row r="769" spans="2:16">
      <c r="B769" s="827" t="s">
        <v>4006</v>
      </c>
      <c r="C769" s="1912"/>
      <c r="D769" s="2831" t="s">
        <v>4340</v>
      </c>
      <c r="E769" s="2832">
        <v>20</v>
      </c>
      <c r="F769" s="2832" t="s">
        <v>4031</v>
      </c>
      <c r="G769" s="19"/>
      <c r="H769" s="2829" t="s">
        <v>2757</v>
      </c>
      <c r="I769" s="2829"/>
      <c r="J769" s="2829"/>
      <c r="K769" s="2829"/>
      <c r="L769" s="2833">
        <v>800</v>
      </c>
      <c r="M769" s="2829"/>
      <c r="O769" s="2809" t="s">
        <v>2757</v>
      </c>
      <c r="P769" s="2810"/>
    </row>
    <row r="770" spans="2:16">
      <c r="B770" s="827" t="s">
        <v>4006</v>
      </c>
      <c r="C770" s="1912"/>
      <c r="D770" s="2831" t="s">
        <v>4341</v>
      </c>
      <c r="E770" s="2832">
        <v>3000</v>
      </c>
      <c r="F770" s="2832" t="s">
        <v>4010</v>
      </c>
      <c r="G770" s="19"/>
      <c r="H770" s="2829" t="s">
        <v>2757</v>
      </c>
      <c r="I770" s="2829"/>
      <c r="J770" s="2829"/>
      <c r="K770" s="2829"/>
      <c r="L770" s="2833">
        <v>30000</v>
      </c>
      <c r="M770" s="2829"/>
      <c r="O770" s="2809" t="s">
        <v>2757</v>
      </c>
      <c r="P770" s="2810"/>
    </row>
    <row r="771" spans="2:16">
      <c r="B771" s="827" t="s">
        <v>4006</v>
      </c>
      <c r="C771" s="1912"/>
      <c r="D771" s="2831" t="s">
        <v>4342</v>
      </c>
      <c r="E771" s="2832">
        <v>300</v>
      </c>
      <c r="F771" s="2832" t="s">
        <v>4010</v>
      </c>
      <c r="G771" s="19"/>
      <c r="H771" s="2829" t="s">
        <v>2757</v>
      </c>
      <c r="I771" s="2829"/>
      <c r="J771" s="2829"/>
      <c r="K771" s="2829"/>
      <c r="L771" s="2833">
        <v>4800</v>
      </c>
      <c r="M771" s="2829"/>
      <c r="O771" s="2809" t="s">
        <v>2757</v>
      </c>
      <c r="P771" s="2810"/>
    </row>
    <row r="772" spans="2:16" ht="27">
      <c r="B772" s="827" t="s">
        <v>4006</v>
      </c>
      <c r="C772" s="1912"/>
      <c r="D772" s="2831" t="s">
        <v>4343</v>
      </c>
      <c r="E772" s="2832">
        <v>500</v>
      </c>
      <c r="F772" s="2832" t="s">
        <v>4010</v>
      </c>
      <c r="G772" s="19"/>
      <c r="H772" s="2829" t="s">
        <v>2757</v>
      </c>
      <c r="I772" s="2829"/>
      <c r="J772" s="2829"/>
      <c r="K772" s="2829"/>
      <c r="L772" s="2833">
        <v>8500</v>
      </c>
      <c r="M772" s="2829"/>
      <c r="O772" s="2809" t="s">
        <v>2757</v>
      </c>
      <c r="P772" s="2810"/>
    </row>
    <row r="773" spans="2:16" ht="27">
      <c r="B773" s="827" t="s">
        <v>4006</v>
      </c>
      <c r="C773" s="1912"/>
      <c r="D773" s="2831" t="s">
        <v>4344</v>
      </c>
      <c r="E773" s="2832">
        <v>20</v>
      </c>
      <c r="F773" s="2832" t="s">
        <v>4025</v>
      </c>
      <c r="G773" s="19"/>
      <c r="H773" s="2829" t="s">
        <v>2757</v>
      </c>
      <c r="I773" s="2829"/>
      <c r="J773" s="2829"/>
      <c r="K773" s="2829"/>
      <c r="L773" s="2833">
        <v>8260</v>
      </c>
      <c r="M773" s="2829"/>
      <c r="O773" s="2809" t="s">
        <v>2757</v>
      </c>
      <c r="P773" s="2810"/>
    </row>
    <row r="774" spans="2:16">
      <c r="B774" s="827" t="s">
        <v>4006</v>
      </c>
      <c r="C774" s="1912"/>
      <c r="D774" s="2831" t="s">
        <v>4345</v>
      </c>
      <c r="E774" s="2832">
        <v>3000</v>
      </c>
      <c r="F774" s="2832" t="s">
        <v>4010</v>
      </c>
      <c r="G774" s="19"/>
      <c r="H774" s="2829" t="s">
        <v>2757</v>
      </c>
      <c r="I774" s="2829"/>
      <c r="J774" s="2829"/>
      <c r="K774" s="2829"/>
      <c r="L774" s="2833">
        <v>132000</v>
      </c>
      <c r="M774" s="2829"/>
      <c r="O774" s="2809" t="s">
        <v>2757</v>
      </c>
      <c r="P774" s="2810"/>
    </row>
    <row r="775" spans="2:16">
      <c r="B775" s="827" t="s">
        <v>4006</v>
      </c>
      <c r="C775" s="1912"/>
      <c r="D775" s="2831" t="s">
        <v>4346</v>
      </c>
      <c r="E775" s="2832">
        <v>400</v>
      </c>
      <c r="F775" s="2832" t="s">
        <v>4010</v>
      </c>
      <c r="G775" s="19"/>
      <c r="H775" s="2829" t="s">
        <v>2757</v>
      </c>
      <c r="I775" s="2829"/>
      <c r="J775" s="2829"/>
      <c r="K775" s="2829"/>
      <c r="L775" s="2833">
        <v>5200</v>
      </c>
      <c r="M775" s="2829"/>
      <c r="O775" s="2809" t="s">
        <v>2757</v>
      </c>
      <c r="P775" s="2810"/>
    </row>
    <row r="776" spans="2:16">
      <c r="B776" s="827" t="s">
        <v>4006</v>
      </c>
      <c r="C776" s="1912"/>
      <c r="D776" s="2831" t="s">
        <v>4347</v>
      </c>
      <c r="E776" s="2832">
        <v>50</v>
      </c>
      <c r="F776" s="2832" t="s">
        <v>4010</v>
      </c>
      <c r="G776" s="19"/>
      <c r="H776" s="2829" t="s">
        <v>2757</v>
      </c>
      <c r="I776" s="2829"/>
      <c r="J776" s="2829"/>
      <c r="K776" s="2829"/>
      <c r="L776" s="2833">
        <v>950</v>
      </c>
      <c r="M776" s="2829"/>
      <c r="O776" s="2809" t="s">
        <v>2757</v>
      </c>
      <c r="P776" s="2810"/>
    </row>
    <row r="777" spans="2:16">
      <c r="B777" s="827" t="s">
        <v>4006</v>
      </c>
      <c r="C777" s="1912"/>
      <c r="D777" s="2831" t="s">
        <v>4348</v>
      </c>
      <c r="E777" s="2832">
        <v>100</v>
      </c>
      <c r="F777" s="2832" t="s">
        <v>4010</v>
      </c>
      <c r="G777" s="19"/>
      <c r="H777" s="2829" t="s">
        <v>2757</v>
      </c>
      <c r="I777" s="2829"/>
      <c r="J777" s="2829"/>
      <c r="K777" s="2829"/>
      <c r="L777" s="2833">
        <v>1000</v>
      </c>
      <c r="M777" s="2829"/>
      <c r="O777" s="2809" t="s">
        <v>2757</v>
      </c>
      <c r="P777" s="2810"/>
    </row>
    <row r="778" spans="2:16" ht="27">
      <c r="B778" s="827" t="s">
        <v>4006</v>
      </c>
      <c r="C778" s="2835"/>
      <c r="D778" s="2831" t="s">
        <v>4407</v>
      </c>
      <c r="E778" s="2836">
        <v>50</v>
      </c>
      <c r="F778" s="2836" t="s">
        <v>4010</v>
      </c>
      <c r="G778" s="19"/>
      <c r="H778" s="2837" t="s">
        <v>2757</v>
      </c>
      <c r="I778" s="2837"/>
      <c r="J778" s="2837"/>
      <c r="K778" s="2837"/>
      <c r="L778" s="2838">
        <v>850</v>
      </c>
      <c r="M778" s="2837"/>
      <c r="O778" s="2808" t="s">
        <v>2757</v>
      </c>
      <c r="P778" s="2812"/>
    </row>
    <row r="779" spans="2:16">
      <c r="B779" s="827" t="s">
        <v>4006</v>
      </c>
      <c r="C779" s="2835"/>
      <c r="D779" s="2831" t="s">
        <v>4408</v>
      </c>
      <c r="E779" s="2836"/>
      <c r="F779" s="2836"/>
      <c r="G779" s="19"/>
      <c r="H779" s="2837"/>
      <c r="I779" s="2837"/>
      <c r="J779" s="2837"/>
      <c r="K779" s="2837"/>
      <c r="L779" s="2838"/>
      <c r="M779" s="2837"/>
      <c r="O779" s="2808"/>
      <c r="P779" s="2812"/>
    </row>
    <row r="780" spans="2:16">
      <c r="B780" s="827" t="s">
        <v>4006</v>
      </c>
      <c r="C780" s="1912"/>
      <c r="D780" s="2831" t="s">
        <v>4349</v>
      </c>
      <c r="E780" s="2832">
        <v>40</v>
      </c>
      <c r="F780" s="2832" t="s">
        <v>4010</v>
      </c>
      <c r="G780" s="19"/>
      <c r="H780" s="2829" t="s">
        <v>2757</v>
      </c>
      <c r="I780" s="2829"/>
      <c r="J780" s="2829"/>
      <c r="K780" s="2829"/>
      <c r="L780" s="2833">
        <v>840</v>
      </c>
      <c r="M780" s="2829"/>
      <c r="O780" s="2809" t="s">
        <v>2757</v>
      </c>
      <c r="P780" s="2810"/>
    </row>
    <row r="781" spans="2:16">
      <c r="B781" s="827" t="s">
        <v>4006</v>
      </c>
      <c r="C781" s="1912"/>
      <c r="D781" s="2831" t="s">
        <v>4350</v>
      </c>
      <c r="E781" s="2832">
        <v>20</v>
      </c>
      <c r="F781" s="2832" t="s">
        <v>4010</v>
      </c>
      <c r="G781" s="19"/>
      <c r="H781" s="2829" t="s">
        <v>2757</v>
      </c>
      <c r="I781" s="2829"/>
      <c r="J781" s="2829"/>
      <c r="K781" s="2829"/>
      <c r="L781" s="2833">
        <v>5160</v>
      </c>
      <c r="M781" s="2829"/>
      <c r="O781" s="2809" t="s">
        <v>2757</v>
      </c>
      <c r="P781" s="2810"/>
    </row>
    <row r="782" spans="2:16">
      <c r="B782" s="827" t="s">
        <v>4006</v>
      </c>
      <c r="C782" s="1912"/>
      <c r="D782" s="2831" t="s">
        <v>4351</v>
      </c>
      <c r="E782" s="2832">
        <v>1000</v>
      </c>
      <c r="F782" s="2832" t="s">
        <v>4025</v>
      </c>
      <c r="G782" s="19"/>
      <c r="H782" s="2829" t="s">
        <v>2757</v>
      </c>
      <c r="I782" s="2829"/>
      <c r="J782" s="2829"/>
      <c r="K782" s="2829"/>
      <c r="L782" s="2833">
        <v>100000</v>
      </c>
      <c r="M782" s="2829"/>
      <c r="O782" s="2809" t="s">
        <v>2757</v>
      </c>
      <c r="P782" s="2810"/>
    </row>
    <row r="783" spans="2:16">
      <c r="B783" s="827" t="s">
        <v>4006</v>
      </c>
      <c r="C783" s="1912"/>
      <c r="D783" s="2831" t="s">
        <v>4352</v>
      </c>
      <c r="E783" s="2832">
        <v>6</v>
      </c>
      <c r="F783" s="2832" t="s">
        <v>4014</v>
      </c>
      <c r="G783" s="19"/>
      <c r="H783" s="2829" t="s">
        <v>2757</v>
      </c>
      <c r="I783" s="2829"/>
      <c r="J783" s="2829"/>
      <c r="K783" s="2829"/>
      <c r="L783" s="2833">
        <v>1164</v>
      </c>
      <c r="M783" s="2829"/>
      <c r="O783" s="2809" t="s">
        <v>2757</v>
      </c>
      <c r="P783" s="2810"/>
    </row>
    <row r="784" spans="2:16" ht="27">
      <c r="B784" s="827" t="s">
        <v>4006</v>
      </c>
      <c r="C784" s="1912"/>
      <c r="D784" s="2831" t="s">
        <v>4353</v>
      </c>
      <c r="E784" s="2832">
        <v>50</v>
      </c>
      <c r="F784" s="2832" t="s">
        <v>4014</v>
      </c>
      <c r="G784" s="19"/>
      <c r="H784" s="2829" t="s">
        <v>2757</v>
      </c>
      <c r="I784" s="2829"/>
      <c r="J784" s="2829"/>
      <c r="K784" s="2829"/>
      <c r="L784" s="2833">
        <v>13950</v>
      </c>
      <c r="M784" s="2829"/>
      <c r="O784" s="2809" t="s">
        <v>2757</v>
      </c>
      <c r="P784" s="2810"/>
    </row>
    <row r="785" spans="2:16">
      <c r="B785" s="827" t="s">
        <v>4006</v>
      </c>
      <c r="C785" s="1912"/>
      <c r="D785" s="2831" t="s">
        <v>4354</v>
      </c>
      <c r="E785" s="2832">
        <v>5</v>
      </c>
      <c r="F785" s="2832" t="s">
        <v>4010</v>
      </c>
      <c r="G785" s="19"/>
      <c r="H785" s="2829" t="s">
        <v>2757</v>
      </c>
      <c r="I785" s="2829"/>
      <c r="J785" s="2829"/>
      <c r="K785" s="2829"/>
      <c r="L785" s="2833">
        <v>45</v>
      </c>
      <c r="M785" s="2829"/>
      <c r="O785" s="2809" t="s">
        <v>2757</v>
      </c>
      <c r="P785" s="2810"/>
    </row>
    <row r="786" spans="2:16">
      <c r="B786" s="827" t="s">
        <v>4006</v>
      </c>
      <c r="C786" s="1912"/>
      <c r="D786" s="2831" t="s">
        <v>4355</v>
      </c>
      <c r="E786" s="2832">
        <v>100</v>
      </c>
      <c r="F786" s="2832" t="s">
        <v>4010</v>
      </c>
      <c r="G786" s="19"/>
      <c r="H786" s="2829" t="s">
        <v>2757</v>
      </c>
      <c r="I786" s="2829"/>
      <c r="J786" s="2829"/>
      <c r="K786" s="2829"/>
      <c r="L786" s="2833">
        <v>69300</v>
      </c>
      <c r="M786" s="2829"/>
      <c r="O786" s="2809" t="s">
        <v>2757</v>
      </c>
      <c r="P786" s="2810"/>
    </row>
    <row r="787" spans="2:16">
      <c r="B787" s="827" t="s">
        <v>4006</v>
      </c>
      <c r="C787" s="1912"/>
      <c r="D787" s="2831" t="s">
        <v>4356</v>
      </c>
      <c r="E787" s="2832">
        <v>700</v>
      </c>
      <c r="F787" s="2832" t="s">
        <v>4088</v>
      </c>
      <c r="G787" s="19"/>
      <c r="H787" s="2829" t="s">
        <v>2757</v>
      </c>
      <c r="I787" s="2829"/>
      <c r="J787" s="2829"/>
      <c r="K787" s="2829"/>
      <c r="L787" s="2833">
        <v>2100</v>
      </c>
      <c r="M787" s="2829"/>
      <c r="O787" s="2809" t="s">
        <v>2757</v>
      </c>
      <c r="P787" s="2810"/>
    </row>
    <row r="788" spans="2:16" ht="27">
      <c r="B788" s="827" t="s">
        <v>4006</v>
      </c>
      <c r="C788" s="1912"/>
      <c r="D788" s="2831" t="s">
        <v>4357</v>
      </c>
      <c r="E788" s="2832">
        <v>300</v>
      </c>
      <c r="F788" s="2832" t="s">
        <v>4025</v>
      </c>
      <c r="G788" s="19"/>
      <c r="H788" s="2829" t="s">
        <v>2757</v>
      </c>
      <c r="I788" s="2829"/>
      <c r="J788" s="2829"/>
      <c r="K788" s="2829"/>
      <c r="L788" s="2833">
        <v>63000</v>
      </c>
      <c r="M788" s="2829"/>
      <c r="O788" s="2809" t="s">
        <v>2757</v>
      </c>
      <c r="P788" s="2810"/>
    </row>
    <row r="789" spans="2:16">
      <c r="B789" s="827" t="s">
        <v>4006</v>
      </c>
      <c r="C789" s="1912"/>
      <c r="D789" s="2831" t="s">
        <v>4358</v>
      </c>
      <c r="E789" s="2832">
        <v>7000</v>
      </c>
      <c r="F789" s="2832" t="s">
        <v>4025</v>
      </c>
      <c r="G789" s="19"/>
      <c r="H789" s="2829" t="s">
        <v>2757</v>
      </c>
      <c r="I789" s="2829"/>
      <c r="J789" s="2829"/>
      <c r="K789" s="2829"/>
      <c r="L789" s="2833">
        <v>385000</v>
      </c>
      <c r="M789" s="2829"/>
      <c r="O789" s="2809" t="s">
        <v>2757</v>
      </c>
      <c r="P789" s="2810"/>
    </row>
    <row r="790" spans="2:16">
      <c r="B790" s="827" t="s">
        <v>4006</v>
      </c>
      <c r="C790" s="1912"/>
      <c r="D790" s="2831" t="s">
        <v>4359</v>
      </c>
      <c r="E790" s="2832">
        <v>100</v>
      </c>
      <c r="F790" s="2832" t="s">
        <v>4088</v>
      </c>
      <c r="G790" s="19"/>
      <c r="H790" s="2829" t="s">
        <v>2757</v>
      </c>
      <c r="I790" s="2829"/>
      <c r="J790" s="2829"/>
      <c r="K790" s="2829"/>
      <c r="L790" s="2833">
        <v>25000</v>
      </c>
      <c r="M790" s="2829"/>
      <c r="O790" s="2809" t="s">
        <v>2757</v>
      </c>
      <c r="P790" s="2810"/>
    </row>
    <row r="791" spans="2:16">
      <c r="B791" s="827" t="s">
        <v>4006</v>
      </c>
      <c r="C791" s="1912"/>
      <c r="D791" s="2831" t="s">
        <v>4360</v>
      </c>
      <c r="E791" s="2832">
        <v>100</v>
      </c>
      <c r="F791" s="2832" t="s">
        <v>4010</v>
      </c>
      <c r="G791" s="19"/>
      <c r="H791" s="2829" t="s">
        <v>2757</v>
      </c>
      <c r="I791" s="2829"/>
      <c r="J791" s="2829"/>
      <c r="K791" s="2829"/>
      <c r="L791" s="2833">
        <v>11000</v>
      </c>
      <c r="M791" s="2829"/>
      <c r="O791" s="2809" t="s">
        <v>2757</v>
      </c>
      <c r="P791" s="2810"/>
    </row>
    <row r="792" spans="2:16">
      <c r="B792" s="827" t="s">
        <v>4006</v>
      </c>
      <c r="C792" s="1912"/>
      <c r="D792" s="2831" t="s">
        <v>4362</v>
      </c>
      <c r="E792" s="2832">
        <v>1000</v>
      </c>
      <c r="F792" s="2834" t="s">
        <v>4361</v>
      </c>
      <c r="G792" s="19"/>
      <c r="H792" s="2829" t="s">
        <v>2757</v>
      </c>
      <c r="I792" s="2829"/>
      <c r="J792" s="2829"/>
      <c r="K792" s="2829"/>
      <c r="L792" s="2833">
        <v>26000</v>
      </c>
      <c r="M792" s="2829"/>
      <c r="O792" s="2809" t="s">
        <v>2757</v>
      </c>
      <c r="P792" s="2810"/>
    </row>
    <row r="793" spans="2:16" ht="27">
      <c r="B793" s="827" t="s">
        <v>4006</v>
      </c>
      <c r="C793" s="1912"/>
      <c r="D793" s="2831" t="s">
        <v>4363</v>
      </c>
      <c r="E793" s="2832">
        <v>50</v>
      </c>
      <c r="F793" s="2832" t="s">
        <v>4010</v>
      </c>
      <c r="G793" s="19"/>
      <c r="H793" s="2829" t="s">
        <v>2757</v>
      </c>
      <c r="I793" s="2829"/>
      <c r="J793" s="2829"/>
      <c r="K793" s="2829"/>
      <c r="L793" s="2833">
        <v>750</v>
      </c>
      <c r="M793" s="2829"/>
      <c r="O793" s="2809" t="s">
        <v>2757</v>
      </c>
      <c r="P793" s="2810"/>
    </row>
    <row r="794" spans="2:16">
      <c r="B794" s="827" t="s">
        <v>4006</v>
      </c>
      <c r="C794" s="1912"/>
      <c r="D794" s="2831" t="s">
        <v>4364</v>
      </c>
      <c r="E794" s="2832">
        <v>100</v>
      </c>
      <c r="F794" s="2832" t="s">
        <v>4031</v>
      </c>
      <c r="G794" s="19"/>
      <c r="H794" s="2829" t="s">
        <v>2757</v>
      </c>
      <c r="I794" s="2829"/>
      <c r="J794" s="2829"/>
      <c r="K794" s="2829"/>
      <c r="L794" s="2833">
        <v>52300</v>
      </c>
      <c r="M794" s="2829"/>
      <c r="O794" s="2809" t="s">
        <v>2757</v>
      </c>
      <c r="P794" s="2810"/>
    </row>
    <row r="795" spans="2:16">
      <c r="B795" s="827" t="s">
        <v>4006</v>
      </c>
      <c r="C795" s="1912"/>
      <c r="D795" s="2831" t="s">
        <v>4365</v>
      </c>
      <c r="E795" s="2832">
        <v>100</v>
      </c>
      <c r="F795" s="2832" t="s">
        <v>4031</v>
      </c>
      <c r="G795" s="19"/>
      <c r="H795" s="2829" t="s">
        <v>2757</v>
      </c>
      <c r="I795" s="2829"/>
      <c r="J795" s="2829"/>
      <c r="K795" s="2829"/>
      <c r="L795" s="2833">
        <v>73000</v>
      </c>
      <c r="M795" s="2829"/>
      <c r="O795" s="2809" t="s">
        <v>2757</v>
      </c>
      <c r="P795" s="2810"/>
    </row>
    <row r="796" spans="2:16">
      <c r="B796" s="827" t="s">
        <v>4006</v>
      </c>
      <c r="C796" s="1912"/>
      <c r="D796" s="2831" t="s">
        <v>4366</v>
      </c>
      <c r="E796" s="2832">
        <v>30</v>
      </c>
      <c r="F796" s="2832" t="s">
        <v>4010</v>
      </c>
      <c r="G796" s="19"/>
      <c r="H796" s="2829" t="s">
        <v>2757</v>
      </c>
      <c r="I796" s="2829"/>
      <c r="J796" s="2829"/>
      <c r="K796" s="2829"/>
      <c r="L796" s="2833">
        <v>570</v>
      </c>
      <c r="M796" s="2829"/>
      <c r="O796" s="2809" t="s">
        <v>2757</v>
      </c>
      <c r="P796" s="2810"/>
    </row>
    <row r="797" spans="2:16" ht="27">
      <c r="B797" s="827" t="s">
        <v>4006</v>
      </c>
      <c r="C797" s="1912"/>
      <c r="D797" s="2831" t="s">
        <v>4368</v>
      </c>
      <c r="E797" s="2832">
        <v>2000</v>
      </c>
      <c r="F797" s="2834" t="s">
        <v>4367</v>
      </c>
      <c r="G797" s="19"/>
      <c r="H797" s="2829" t="s">
        <v>2757</v>
      </c>
      <c r="I797" s="2829"/>
      <c r="J797" s="2829"/>
      <c r="K797" s="2829"/>
      <c r="L797" s="2833">
        <v>12000</v>
      </c>
      <c r="M797" s="2829"/>
      <c r="O797" s="2809" t="s">
        <v>2757</v>
      </c>
      <c r="P797" s="2810"/>
    </row>
    <row r="798" spans="2:16" ht="27">
      <c r="B798" s="827" t="s">
        <v>4006</v>
      </c>
      <c r="C798" s="1912"/>
      <c r="D798" s="2831" t="s">
        <v>4369</v>
      </c>
      <c r="E798" s="2832">
        <v>99</v>
      </c>
      <c r="F798" s="2832" t="s">
        <v>4025</v>
      </c>
      <c r="G798" s="19"/>
      <c r="H798" s="2829" t="s">
        <v>2757</v>
      </c>
      <c r="I798" s="2829"/>
      <c r="J798" s="2829"/>
      <c r="K798" s="2829"/>
      <c r="L798" s="2833">
        <v>9306</v>
      </c>
      <c r="M798" s="2829"/>
      <c r="O798" s="2809" t="s">
        <v>2757</v>
      </c>
      <c r="P798" s="2810"/>
    </row>
    <row r="799" spans="2:16" ht="27">
      <c r="B799" s="827" t="s">
        <v>4006</v>
      </c>
      <c r="C799" s="1912"/>
      <c r="D799" s="2831" t="s">
        <v>4370</v>
      </c>
      <c r="E799" s="2832">
        <v>100</v>
      </c>
      <c r="F799" s="2832" t="s">
        <v>4014</v>
      </c>
      <c r="G799" s="19"/>
      <c r="H799" s="2829" t="s">
        <v>2757</v>
      </c>
      <c r="I799" s="2829"/>
      <c r="J799" s="2829"/>
      <c r="K799" s="2829"/>
      <c r="L799" s="2833">
        <v>4000</v>
      </c>
      <c r="M799" s="2829"/>
      <c r="O799" s="2809" t="s">
        <v>2757</v>
      </c>
      <c r="P799" s="2810"/>
    </row>
    <row r="800" spans="2:16" ht="27">
      <c r="B800" s="827" t="s">
        <v>4006</v>
      </c>
      <c r="C800" s="1912"/>
      <c r="D800" s="2831" t="s">
        <v>4371</v>
      </c>
      <c r="E800" s="2832">
        <v>150</v>
      </c>
      <c r="F800" s="2832" t="s">
        <v>4014</v>
      </c>
      <c r="G800" s="19"/>
      <c r="H800" s="2829" t="s">
        <v>2757</v>
      </c>
      <c r="I800" s="2829"/>
      <c r="J800" s="2829"/>
      <c r="K800" s="2829"/>
      <c r="L800" s="2833">
        <v>6750</v>
      </c>
      <c r="M800" s="2829"/>
      <c r="O800" s="2809" t="s">
        <v>2757</v>
      </c>
      <c r="P800" s="2810"/>
    </row>
    <row r="801" spans="2:16" ht="210" customHeight="1">
      <c r="B801" s="827" t="s">
        <v>4006</v>
      </c>
      <c r="C801" s="1912"/>
      <c r="D801" s="2831" t="s">
        <v>4372</v>
      </c>
      <c r="E801" s="2832">
        <v>500</v>
      </c>
      <c r="F801" s="2832" t="s">
        <v>4010</v>
      </c>
      <c r="G801" s="19"/>
      <c r="H801" s="2829" t="s">
        <v>2757</v>
      </c>
      <c r="I801" s="2829"/>
      <c r="J801" s="2829"/>
      <c r="K801" s="2829"/>
      <c r="L801" s="2833">
        <v>3500</v>
      </c>
      <c r="M801" s="2829"/>
      <c r="O801" s="2809" t="s">
        <v>2757</v>
      </c>
      <c r="P801" s="2810"/>
    </row>
    <row r="802" spans="2:16">
      <c r="B802" s="827" t="s">
        <v>4006</v>
      </c>
      <c r="C802" s="2837" t="s">
        <v>4373</v>
      </c>
      <c r="D802" s="2831" t="s">
        <v>4013</v>
      </c>
      <c r="E802" s="2839">
        <v>3000</v>
      </c>
      <c r="F802" s="2832" t="s">
        <v>4010</v>
      </c>
      <c r="G802" s="19"/>
      <c r="H802" s="2829" t="s">
        <v>3</v>
      </c>
      <c r="I802" s="2829"/>
      <c r="J802" s="2829"/>
      <c r="K802" s="2829"/>
      <c r="L802" s="2840">
        <v>66000</v>
      </c>
      <c r="M802" s="2829"/>
      <c r="O802" s="2813" t="s">
        <v>2757</v>
      </c>
      <c r="P802" s="2810"/>
    </row>
    <row r="803" spans="2:16">
      <c r="B803" s="827" t="s">
        <v>4006</v>
      </c>
      <c r="C803" s="2837"/>
      <c r="D803" s="2831" t="s">
        <v>4019</v>
      </c>
      <c r="E803" s="2839">
        <v>175</v>
      </c>
      <c r="F803" s="2832" t="s">
        <v>4010</v>
      </c>
      <c r="G803" s="19"/>
      <c r="H803" s="2829" t="s">
        <v>2757</v>
      </c>
      <c r="I803" s="2829"/>
      <c r="J803" s="2829"/>
      <c r="K803" s="2829"/>
      <c r="L803" s="2840">
        <v>516.25</v>
      </c>
      <c r="M803" s="2829"/>
      <c r="O803" s="2813" t="s">
        <v>2757</v>
      </c>
      <c r="P803" s="2810"/>
    </row>
    <row r="804" spans="2:16">
      <c r="B804" s="827" t="s">
        <v>4006</v>
      </c>
      <c r="C804" s="2837"/>
      <c r="D804" s="2831" t="s">
        <v>4374</v>
      </c>
      <c r="E804" s="2839">
        <v>211</v>
      </c>
      <c r="F804" s="2832" t="s">
        <v>2222</v>
      </c>
      <c r="G804" s="19"/>
      <c r="H804" s="2829" t="s">
        <v>2757</v>
      </c>
      <c r="I804" s="2829"/>
      <c r="J804" s="2829"/>
      <c r="K804" s="2829"/>
      <c r="L804" s="2840">
        <v>1050</v>
      </c>
      <c r="M804" s="2829"/>
      <c r="O804" s="2813" t="s">
        <v>2757</v>
      </c>
      <c r="P804" s="2810"/>
    </row>
    <row r="805" spans="2:16" ht="27">
      <c r="B805" s="827" t="s">
        <v>4006</v>
      </c>
      <c r="C805" s="2837"/>
      <c r="D805" s="2831" t="s">
        <v>4021</v>
      </c>
      <c r="E805" s="2839">
        <v>150</v>
      </c>
      <c r="F805" s="2834" t="s">
        <v>4020</v>
      </c>
      <c r="G805" s="19"/>
      <c r="H805" s="2829" t="s">
        <v>2757</v>
      </c>
      <c r="I805" s="2829"/>
      <c r="J805" s="2829"/>
      <c r="K805" s="2829"/>
      <c r="L805" s="2840">
        <v>7350</v>
      </c>
      <c r="M805" s="2829"/>
      <c r="O805" s="2813" t="s">
        <v>2757</v>
      </c>
      <c r="P805" s="2810"/>
    </row>
    <row r="806" spans="2:16">
      <c r="B806" s="827" t="s">
        <v>4006</v>
      </c>
      <c r="C806" s="2837"/>
      <c r="D806" s="2831" t="s">
        <v>4027</v>
      </c>
      <c r="E806" s="2839">
        <v>20</v>
      </c>
      <c r="F806" s="2832" t="s">
        <v>4010</v>
      </c>
      <c r="G806" s="19"/>
      <c r="H806" s="2829" t="s">
        <v>2757</v>
      </c>
      <c r="I806" s="2829"/>
      <c r="J806" s="2829"/>
      <c r="K806" s="2829"/>
      <c r="L806" s="2840">
        <v>640</v>
      </c>
      <c r="M806" s="2829"/>
      <c r="O806" s="2813" t="s">
        <v>2757</v>
      </c>
      <c r="P806" s="2810"/>
    </row>
    <row r="807" spans="2:16">
      <c r="B807" s="827" t="s">
        <v>4006</v>
      </c>
      <c r="C807" s="2837"/>
      <c r="D807" s="2831" t="s">
        <v>4028</v>
      </c>
      <c r="E807" s="2839">
        <v>15</v>
      </c>
      <c r="F807" s="2832" t="s">
        <v>4025</v>
      </c>
      <c r="G807" s="19"/>
      <c r="H807" s="2829" t="s">
        <v>2757</v>
      </c>
      <c r="I807" s="2829"/>
      <c r="J807" s="2829"/>
      <c r="K807" s="2829"/>
      <c r="L807" s="2840">
        <v>360</v>
      </c>
      <c r="M807" s="2829"/>
      <c r="O807" s="2813" t="s">
        <v>2757</v>
      </c>
      <c r="P807" s="2810"/>
    </row>
    <row r="808" spans="2:16" ht="27">
      <c r="B808" s="827" t="s">
        <v>4006</v>
      </c>
      <c r="C808" s="2837"/>
      <c r="D808" s="2831" t="s">
        <v>4030</v>
      </c>
      <c r="E808" s="2839">
        <v>11</v>
      </c>
      <c r="F808" s="2832" t="s">
        <v>4014</v>
      </c>
      <c r="G808" s="19"/>
      <c r="H808" s="2829" t="s">
        <v>2757</v>
      </c>
      <c r="I808" s="2829"/>
      <c r="J808" s="2829"/>
      <c r="K808" s="2829"/>
      <c r="L808" s="2840">
        <v>472.7</v>
      </c>
      <c r="M808" s="2829"/>
      <c r="O808" s="2813" t="s">
        <v>2757</v>
      </c>
      <c r="P808" s="2810"/>
    </row>
    <row r="809" spans="2:16">
      <c r="B809" s="827" t="s">
        <v>4006</v>
      </c>
      <c r="C809" s="2837"/>
      <c r="D809" s="2831" t="s">
        <v>4035</v>
      </c>
      <c r="E809" s="2839">
        <v>100</v>
      </c>
      <c r="F809" s="2832" t="s">
        <v>4031</v>
      </c>
      <c r="G809" s="19"/>
      <c r="H809" s="2829" t="s">
        <v>2757</v>
      </c>
      <c r="I809" s="2829"/>
      <c r="J809" s="2829"/>
      <c r="K809" s="2829"/>
      <c r="L809" s="2840">
        <v>24400</v>
      </c>
      <c r="M809" s="2829"/>
      <c r="O809" s="2813" t="s">
        <v>2757</v>
      </c>
      <c r="P809" s="2810"/>
    </row>
    <row r="810" spans="2:16">
      <c r="B810" s="827" t="s">
        <v>4006</v>
      </c>
      <c r="C810" s="2837"/>
      <c r="D810" s="2831" t="s">
        <v>4040</v>
      </c>
      <c r="E810" s="2839">
        <v>925</v>
      </c>
      <c r="F810" s="2832" t="s">
        <v>4010</v>
      </c>
      <c r="G810" s="19"/>
      <c r="H810" s="2829" t="s">
        <v>2757</v>
      </c>
      <c r="I810" s="2829"/>
      <c r="J810" s="2829"/>
      <c r="K810" s="2829"/>
      <c r="L810" s="2840">
        <v>1843.75</v>
      </c>
      <c r="M810" s="2829"/>
      <c r="O810" s="2813" t="s">
        <v>2757</v>
      </c>
      <c r="P810" s="2810"/>
    </row>
    <row r="811" spans="2:16">
      <c r="B811" s="827" t="s">
        <v>4006</v>
      </c>
      <c r="C811" s="1912"/>
      <c r="D811" s="2831" t="s">
        <v>4047</v>
      </c>
      <c r="E811" s="2839">
        <v>7</v>
      </c>
      <c r="F811" s="2832" t="s">
        <v>4025</v>
      </c>
      <c r="G811" s="19"/>
      <c r="H811" s="2829" t="s">
        <v>2757</v>
      </c>
      <c r="I811" s="2829"/>
      <c r="J811" s="2829"/>
      <c r="K811" s="2829"/>
      <c r="L811" s="2840">
        <v>413</v>
      </c>
      <c r="M811" s="2829"/>
      <c r="O811" s="2813" t="s">
        <v>2757</v>
      </c>
      <c r="P811" s="2810"/>
    </row>
    <row r="812" spans="2:16">
      <c r="B812" s="827" t="s">
        <v>4006</v>
      </c>
      <c r="C812" s="1912"/>
      <c r="D812" s="2831" t="s">
        <v>4048</v>
      </c>
      <c r="E812" s="2839">
        <v>575</v>
      </c>
      <c r="F812" s="2832" t="s">
        <v>4010</v>
      </c>
      <c r="G812" s="19"/>
      <c r="H812" s="2829" t="s">
        <v>2757</v>
      </c>
      <c r="I812" s="2829"/>
      <c r="J812" s="2829"/>
      <c r="K812" s="2829"/>
      <c r="L812" s="2840">
        <v>36196.25</v>
      </c>
      <c r="M812" s="2829"/>
      <c r="O812" s="2813" t="s">
        <v>2757</v>
      </c>
      <c r="P812" s="2810"/>
    </row>
    <row r="813" spans="2:16">
      <c r="B813" s="827" t="s">
        <v>4006</v>
      </c>
      <c r="C813" s="1912"/>
      <c r="D813" s="2831" t="s">
        <v>4049</v>
      </c>
      <c r="E813" s="2839">
        <v>11</v>
      </c>
      <c r="F813" s="2832" t="s">
        <v>4014</v>
      </c>
      <c r="G813" s="19"/>
      <c r="H813" s="2829" t="s">
        <v>2757</v>
      </c>
      <c r="I813" s="2829"/>
      <c r="J813" s="2829"/>
      <c r="K813" s="2829"/>
      <c r="L813" s="2840">
        <v>2177.7800000000002</v>
      </c>
      <c r="M813" s="2829"/>
      <c r="O813" s="2813" t="s">
        <v>2757</v>
      </c>
      <c r="P813" s="2810"/>
    </row>
    <row r="814" spans="2:16">
      <c r="B814" s="827" t="s">
        <v>4006</v>
      </c>
      <c r="C814" s="1912"/>
      <c r="D814" s="2831" t="s">
        <v>4050</v>
      </c>
      <c r="E814" s="2839">
        <v>30</v>
      </c>
      <c r="F814" s="2832" t="s">
        <v>4031</v>
      </c>
      <c r="G814" s="19"/>
      <c r="H814" s="2829" t="s">
        <v>2757</v>
      </c>
      <c r="I814" s="2829"/>
      <c r="J814" s="2829"/>
      <c r="K814" s="2829"/>
      <c r="L814" s="2840">
        <v>8460</v>
      </c>
      <c r="M814" s="2829"/>
      <c r="O814" s="2813" t="s">
        <v>2757</v>
      </c>
      <c r="P814" s="2810"/>
    </row>
    <row r="815" spans="2:16" ht="27">
      <c r="B815" s="827" t="s">
        <v>4006</v>
      </c>
      <c r="C815" s="1912"/>
      <c r="D815" s="2831" t="s">
        <v>4053</v>
      </c>
      <c r="E815" s="2839">
        <v>150</v>
      </c>
      <c r="F815" s="2832" t="s">
        <v>4010</v>
      </c>
      <c r="G815" s="19"/>
      <c r="H815" s="2829" t="s">
        <v>2757</v>
      </c>
      <c r="I815" s="2829"/>
      <c r="J815" s="2829"/>
      <c r="K815" s="2829"/>
      <c r="L815" s="2840">
        <v>4792.5</v>
      </c>
      <c r="M815" s="2829"/>
      <c r="O815" s="2813" t="s">
        <v>2757</v>
      </c>
      <c r="P815" s="2810"/>
    </row>
    <row r="816" spans="2:16" ht="54">
      <c r="B816" s="827" t="s">
        <v>4006</v>
      </c>
      <c r="C816" s="1912"/>
      <c r="D816" s="2831" t="s">
        <v>4057</v>
      </c>
      <c r="E816" s="2839">
        <v>10</v>
      </c>
      <c r="F816" s="2832" t="s">
        <v>4031</v>
      </c>
      <c r="G816" s="19"/>
      <c r="H816" s="2829" t="s">
        <v>2757</v>
      </c>
      <c r="I816" s="2829"/>
      <c r="J816" s="2829"/>
      <c r="K816" s="2829"/>
      <c r="L816" s="2840">
        <v>3400</v>
      </c>
      <c r="M816" s="2829"/>
      <c r="O816" s="2813" t="s">
        <v>2757</v>
      </c>
      <c r="P816" s="2810"/>
    </row>
    <row r="817" spans="2:16">
      <c r="B817" s="827" t="s">
        <v>4006</v>
      </c>
      <c r="C817" s="1912"/>
      <c r="D817" s="2831" t="s">
        <v>4061</v>
      </c>
      <c r="E817" s="2839">
        <v>250</v>
      </c>
      <c r="F817" s="2832" t="s">
        <v>4010</v>
      </c>
      <c r="G817" s="19"/>
      <c r="H817" s="2829" t="s">
        <v>2757</v>
      </c>
      <c r="I817" s="2829"/>
      <c r="J817" s="2829"/>
      <c r="K817" s="2829"/>
      <c r="L817" s="2840">
        <v>7000</v>
      </c>
      <c r="M817" s="2829"/>
      <c r="O817" s="2813" t="s">
        <v>2757</v>
      </c>
      <c r="P817" s="2810"/>
    </row>
    <row r="818" spans="2:16" ht="27">
      <c r="B818" s="827" t="s">
        <v>4006</v>
      </c>
      <c r="C818" s="1912"/>
      <c r="D818" s="2831" t="s">
        <v>4063</v>
      </c>
      <c r="E818" s="2839">
        <v>3050</v>
      </c>
      <c r="F818" s="2832" t="s">
        <v>4062</v>
      </c>
      <c r="G818" s="19"/>
      <c r="H818" s="2829" t="s">
        <v>2757</v>
      </c>
      <c r="I818" s="2829"/>
      <c r="J818" s="2829"/>
      <c r="K818" s="2829"/>
      <c r="L818" s="2840">
        <v>112850</v>
      </c>
      <c r="M818" s="2829"/>
      <c r="O818" s="2813" t="s">
        <v>2757</v>
      </c>
      <c r="P818" s="2810"/>
    </row>
    <row r="819" spans="2:16" ht="27">
      <c r="B819" s="827" t="s">
        <v>4006</v>
      </c>
      <c r="C819" s="1912"/>
      <c r="D819" s="2831" t="s">
        <v>4065</v>
      </c>
      <c r="E819" s="2839">
        <v>40</v>
      </c>
      <c r="F819" s="2832" t="s">
        <v>4064</v>
      </c>
      <c r="G819" s="19"/>
      <c r="H819" s="2829" t="s">
        <v>2757</v>
      </c>
      <c r="I819" s="2829"/>
      <c r="J819" s="2829"/>
      <c r="K819" s="2829"/>
      <c r="L819" s="2840">
        <v>33680</v>
      </c>
      <c r="M819" s="2829"/>
      <c r="O819" s="2813" t="s">
        <v>2757</v>
      </c>
      <c r="P819" s="2810"/>
    </row>
    <row r="820" spans="2:16" ht="27">
      <c r="B820" s="827" t="s">
        <v>4006</v>
      </c>
      <c r="C820" s="1912"/>
      <c r="D820" s="2831" t="s">
        <v>4066</v>
      </c>
      <c r="E820" s="2839">
        <v>50</v>
      </c>
      <c r="F820" s="2832" t="s">
        <v>4025</v>
      </c>
      <c r="G820" s="19"/>
      <c r="H820" s="2829" t="s">
        <v>2757</v>
      </c>
      <c r="I820" s="2829"/>
      <c r="J820" s="2829"/>
      <c r="K820" s="2829"/>
      <c r="L820" s="2840">
        <v>15850</v>
      </c>
      <c r="M820" s="2829"/>
      <c r="O820" s="2813" t="s">
        <v>2757</v>
      </c>
      <c r="P820" s="2810"/>
    </row>
    <row r="821" spans="2:16">
      <c r="B821" s="827" t="s">
        <v>4006</v>
      </c>
      <c r="C821" s="1912"/>
      <c r="D821" s="2831" t="s">
        <v>4070</v>
      </c>
      <c r="E821" s="2839">
        <v>2</v>
      </c>
      <c r="F821" s="2832" t="s">
        <v>4014</v>
      </c>
      <c r="G821" s="19"/>
      <c r="H821" s="2829" t="s">
        <v>2757</v>
      </c>
      <c r="I821" s="2829"/>
      <c r="J821" s="2829"/>
      <c r="K821" s="2829"/>
      <c r="L821" s="2840">
        <v>226</v>
      </c>
      <c r="M821" s="2829"/>
      <c r="O821" s="2813" t="s">
        <v>2757</v>
      </c>
      <c r="P821" s="2810"/>
    </row>
    <row r="822" spans="2:16">
      <c r="B822" s="827" t="s">
        <v>4006</v>
      </c>
      <c r="C822" s="1912"/>
      <c r="D822" s="2831" t="s">
        <v>4077</v>
      </c>
      <c r="E822" s="2839">
        <v>5</v>
      </c>
      <c r="F822" s="2832" t="s">
        <v>4025</v>
      </c>
      <c r="G822" s="19"/>
      <c r="H822" s="2829" t="s">
        <v>2757</v>
      </c>
      <c r="I822" s="2829"/>
      <c r="J822" s="2829"/>
      <c r="K822" s="2829"/>
      <c r="L822" s="2840">
        <v>7485</v>
      </c>
      <c r="M822" s="2829"/>
      <c r="O822" s="2813" t="s">
        <v>2757</v>
      </c>
      <c r="P822" s="2810"/>
    </row>
    <row r="823" spans="2:16">
      <c r="B823" s="827" t="s">
        <v>4006</v>
      </c>
      <c r="C823" s="1912"/>
      <c r="D823" s="2831" t="s">
        <v>4080</v>
      </c>
      <c r="E823" s="2839">
        <v>100</v>
      </c>
      <c r="F823" s="2832" t="s">
        <v>4010</v>
      </c>
      <c r="G823" s="19"/>
      <c r="H823" s="2829" t="s">
        <v>2757</v>
      </c>
      <c r="I823" s="2829"/>
      <c r="J823" s="2829"/>
      <c r="K823" s="2829"/>
      <c r="L823" s="2840">
        <v>1100</v>
      </c>
      <c r="M823" s="2829"/>
      <c r="O823" s="2813" t="s">
        <v>2757</v>
      </c>
      <c r="P823" s="2810"/>
    </row>
    <row r="824" spans="2:16" ht="27">
      <c r="B824" s="827" t="s">
        <v>4006</v>
      </c>
      <c r="C824" s="1912"/>
      <c r="D824" s="2831" t="s">
        <v>4090</v>
      </c>
      <c r="E824" s="2839">
        <v>300</v>
      </c>
      <c r="F824" s="2832" t="s">
        <v>2244</v>
      </c>
      <c r="G824" s="19"/>
      <c r="H824" s="2829" t="s">
        <v>2757</v>
      </c>
      <c r="I824" s="2829"/>
      <c r="J824" s="2829"/>
      <c r="K824" s="2829"/>
      <c r="L824" s="2840">
        <v>130700</v>
      </c>
      <c r="M824" s="2829"/>
      <c r="O824" s="2813" t="s">
        <v>2757</v>
      </c>
      <c r="P824" s="2810"/>
    </row>
    <row r="825" spans="2:16" ht="27">
      <c r="B825" s="827" t="s">
        <v>4006</v>
      </c>
      <c r="C825" s="1912"/>
      <c r="D825" s="2831" t="s">
        <v>4092</v>
      </c>
      <c r="E825" s="2839">
        <v>7000</v>
      </c>
      <c r="F825" s="2832" t="s">
        <v>4031</v>
      </c>
      <c r="G825" s="19"/>
      <c r="H825" s="2829" t="s">
        <v>2757</v>
      </c>
      <c r="I825" s="2829"/>
      <c r="J825" s="2829"/>
      <c r="K825" s="2829"/>
      <c r="L825" s="2840">
        <v>1417000</v>
      </c>
      <c r="M825" s="2829"/>
      <c r="O825" s="2813" t="s">
        <v>2757</v>
      </c>
      <c r="P825" s="2810"/>
    </row>
    <row r="826" spans="2:16">
      <c r="B826" s="827" t="s">
        <v>4006</v>
      </c>
      <c r="C826" s="1912"/>
      <c r="D826" s="2831" t="s">
        <v>4094</v>
      </c>
      <c r="E826" s="2839">
        <v>9</v>
      </c>
      <c r="F826" s="2832" t="s">
        <v>4014</v>
      </c>
      <c r="G826" s="19"/>
      <c r="H826" s="2829" t="s">
        <v>2757</v>
      </c>
      <c r="I826" s="2829"/>
      <c r="J826" s="2829"/>
      <c r="K826" s="2829"/>
      <c r="L826" s="2840">
        <v>1169.8499999999999</v>
      </c>
      <c r="M826" s="2829"/>
      <c r="O826" s="2813" t="s">
        <v>2757</v>
      </c>
      <c r="P826" s="2810"/>
    </row>
    <row r="827" spans="2:16">
      <c r="B827" s="827" t="s">
        <v>4006</v>
      </c>
      <c r="C827" s="1912"/>
      <c r="D827" s="2831" t="s">
        <v>4095</v>
      </c>
      <c r="E827" s="2839">
        <v>4000</v>
      </c>
      <c r="F827" s="2832" t="s">
        <v>4010</v>
      </c>
      <c r="G827" s="19"/>
      <c r="H827" s="2829" t="s">
        <v>2757</v>
      </c>
      <c r="I827" s="2829"/>
      <c r="J827" s="2829"/>
      <c r="K827" s="2829"/>
      <c r="L827" s="2840">
        <v>94500</v>
      </c>
      <c r="M827" s="2829"/>
      <c r="O827" s="2813" t="s">
        <v>2757</v>
      </c>
      <c r="P827" s="2810"/>
    </row>
    <row r="828" spans="2:16" ht="27">
      <c r="B828" s="827" t="s">
        <v>4006</v>
      </c>
      <c r="C828" s="1912"/>
      <c r="D828" s="2831" t="s">
        <v>4100</v>
      </c>
      <c r="E828" s="2839">
        <v>45</v>
      </c>
      <c r="F828" s="2832" t="s">
        <v>4014</v>
      </c>
      <c r="G828" s="19"/>
      <c r="H828" s="2829" t="s">
        <v>2757</v>
      </c>
      <c r="I828" s="2829"/>
      <c r="J828" s="2829"/>
      <c r="K828" s="2829"/>
      <c r="L828" s="2840">
        <v>2070</v>
      </c>
      <c r="M828" s="2829"/>
      <c r="O828" s="2813" t="s">
        <v>2757</v>
      </c>
      <c r="P828" s="2810"/>
    </row>
    <row r="829" spans="2:16" ht="27">
      <c r="B829" s="827" t="s">
        <v>4006</v>
      </c>
      <c r="C829" s="1912"/>
      <c r="D829" s="2831" t="s">
        <v>4101</v>
      </c>
      <c r="E829" s="2839">
        <v>20</v>
      </c>
      <c r="F829" s="2832" t="s">
        <v>4014</v>
      </c>
      <c r="G829" s="19"/>
      <c r="H829" s="2829" t="s">
        <v>2757</v>
      </c>
      <c r="I829" s="2829"/>
      <c r="J829" s="2829"/>
      <c r="K829" s="2829"/>
      <c r="L829" s="2840">
        <v>1400</v>
      </c>
      <c r="M829" s="2829"/>
      <c r="O829" s="2813" t="s">
        <v>2757</v>
      </c>
      <c r="P829" s="2810"/>
    </row>
    <row r="830" spans="2:16">
      <c r="B830" s="827" t="s">
        <v>4006</v>
      </c>
      <c r="C830" s="1912"/>
      <c r="D830" s="2831" t="s">
        <v>4103</v>
      </c>
      <c r="E830" s="2839">
        <v>15</v>
      </c>
      <c r="F830" s="2832" t="s">
        <v>4014</v>
      </c>
      <c r="G830" s="19"/>
      <c r="H830" s="2829" t="s">
        <v>2757</v>
      </c>
      <c r="I830" s="2829"/>
      <c r="J830" s="2829"/>
      <c r="K830" s="2829"/>
      <c r="L830" s="2840">
        <v>2490</v>
      </c>
      <c r="M830" s="2829"/>
      <c r="O830" s="2813" t="s">
        <v>2757</v>
      </c>
      <c r="P830" s="2810"/>
    </row>
    <row r="831" spans="2:16" ht="27">
      <c r="B831" s="827" t="s">
        <v>4006</v>
      </c>
      <c r="C831" s="1912"/>
      <c r="D831" s="2831" t="s">
        <v>4108</v>
      </c>
      <c r="E831" s="2839">
        <v>15</v>
      </c>
      <c r="F831" s="2832" t="s">
        <v>4406</v>
      </c>
      <c r="G831" s="19"/>
      <c r="H831" s="2829" t="s">
        <v>2757</v>
      </c>
      <c r="I831" s="2829"/>
      <c r="J831" s="2829"/>
      <c r="K831" s="2829"/>
      <c r="L831" s="2840">
        <v>2955</v>
      </c>
      <c r="M831" s="2829"/>
      <c r="O831" s="2813" t="s">
        <v>2757</v>
      </c>
      <c r="P831" s="2810"/>
    </row>
    <row r="832" spans="2:16">
      <c r="B832" s="827" t="s">
        <v>4006</v>
      </c>
      <c r="C832" s="1912"/>
      <c r="D832" s="2831" t="s">
        <v>4118</v>
      </c>
      <c r="E832" s="2839">
        <v>3</v>
      </c>
      <c r="F832" s="2832" t="s">
        <v>3167</v>
      </c>
      <c r="G832" s="19"/>
      <c r="H832" s="2829" t="s">
        <v>2757</v>
      </c>
      <c r="I832" s="2829"/>
      <c r="J832" s="2829"/>
      <c r="K832" s="2829"/>
      <c r="L832" s="2840">
        <v>327</v>
      </c>
      <c r="M832" s="2829"/>
      <c r="O832" s="2813" t="s">
        <v>2757</v>
      </c>
      <c r="P832" s="2810"/>
    </row>
    <row r="833" spans="2:16" ht="27">
      <c r="B833" s="827" t="s">
        <v>4006</v>
      </c>
      <c r="C833" s="1912"/>
      <c r="D833" s="2831" t="s">
        <v>4124</v>
      </c>
      <c r="E833" s="2839">
        <v>19</v>
      </c>
      <c r="F833" s="2832" t="s">
        <v>4014</v>
      </c>
      <c r="G833" s="19"/>
      <c r="H833" s="2829" t="s">
        <v>2757</v>
      </c>
      <c r="I833" s="2829"/>
      <c r="J833" s="2829"/>
      <c r="K833" s="2829"/>
      <c r="L833" s="2840">
        <v>3458</v>
      </c>
      <c r="M833" s="2829"/>
      <c r="O833" s="2813" t="s">
        <v>2757</v>
      </c>
      <c r="P833" s="2810"/>
    </row>
    <row r="834" spans="2:16">
      <c r="B834" s="827" t="s">
        <v>4006</v>
      </c>
      <c r="C834" s="1912"/>
      <c r="D834" s="2831" t="s">
        <v>4125</v>
      </c>
      <c r="E834" s="2839">
        <v>250</v>
      </c>
      <c r="F834" s="2832" t="s">
        <v>4010</v>
      </c>
      <c r="G834" s="19"/>
      <c r="H834" s="2829" t="s">
        <v>2757</v>
      </c>
      <c r="I834" s="2829"/>
      <c r="J834" s="2829"/>
      <c r="K834" s="2829"/>
      <c r="L834" s="2840">
        <v>2995</v>
      </c>
      <c r="M834" s="2829"/>
      <c r="O834" s="2813" t="s">
        <v>2757</v>
      </c>
      <c r="P834" s="2810"/>
    </row>
    <row r="835" spans="2:16">
      <c r="B835" s="827" t="s">
        <v>4006</v>
      </c>
      <c r="C835" s="1912"/>
      <c r="D835" s="2831" t="s">
        <v>4126</v>
      </c>
      <c r="E835" s="2839">
        <v>375</v>
      </c>
      <c r="F835" s="2832" t="s">
        <v>4010</v>
      </c>
      <c r="G835" s="19"/>
      <c r="H835" s="2829" t="s">
        <v>2757</v>
      </c>
      <c r="I835" s="2829"/>
      <c r="J835" s="2829"/>
      <c r="K835" s="2829"/>
      <c r="L835" s="2840">
        <v>1106.25</v>
      </c>
      <c r="M835" s="2829"/>
      <c r="O835" s="2813" t="s">
        <v>2757</v>
      </c>
      <c r="P835" s="2810"/>
    </row>
    <row r="836" spans="2:16">
      <c r="B836" s="827" t="s">
        <v>4006</v>
      </c>
      <c r="C836" s="1912"/>
      <c r="D836" s="2831" t="s">
        <v>4131</v>
      </c>
      <c r="E836" s="2839">
        <v>375</v>
      </c>
      <c r="F836" s="2832" t="s">
        <v>4010</v>
      </c>
      <c r="G836" s="19"/>
      <c r="H836" s="2829" t="s">
        <v>2757</v>
      </c>
      <c r="I836" s="2829"/>
      <c r="J836" s="2829"/>
      <c r="K836" s="2829"/>
      <c r="L836" s="2840">
        <v>16496.25</v>
      </c>
      <c r="M836" s="2829"/>
      <c r="O836" s="2813" t="s">
        <v>2757</v>
      </c>
      <c r="P836" s="2810"/>
    </row>
    <row r="837" spans="2:16">
      <c r="B837" s="827" t="s">
        <v>4006</v>
      </c>
      <c r="C837" s="1912"/>
      <c r="D837" s="2831" t="s">
        <v>4133</v>
      </c>
      <c r="E837" s="2839">
        <v>30</v>
      </c>
      <c r="F837" s="2832" t="s">
        <v>4010</v>
      </c>
      <c r="G837" s="19"/>
      <c r="H837" s="2829" t="s">
        <v>2757</v>
      </c>
      <c r="I837" s="2829"/>
      <c r="J837" s="2829"/>
      <c r="K837" s="2829"/>
      <c r="L837" s="2840">
        <v>750</v>
      </c>
      <c r="M837" s="2829"/>
      <c r="O837" s="2813" t="s">
        <v>2757</v>
      </c>
      <c r="P837" s="2810"/>
    </row>
    <row r="838" spans="2:16">
      <c r="B838" s="827" t="s">
        <v>4006</v>
      </c>
      <c r="C838" s="1912"/>
      <c r="D838" s="2831" t="s">
        <v>4135</v>
      </c>
      <c r="E838" s="2839">
        <v>10</v>
      </c>
      <c r="F838" s="2832" t="s">
        <v>4014</v>
      </c>
      <c r="G838" s="19"/>
      <c r="H838" s="2829" t="s">
        <v>2757</v>
      </c>
      <c r="I838" s="2829"/>
      <c r="J838" s="2829"/>
      <c r="K838" s="2829"/>
      <c r="L838" s="2840">
        <v>430</v>
      </c>
      <c r="M838" s="2829"/>
      <c r="O838" s="2813" t="s">
        <v>2757</v>
      </c>
      <c r="P838" s="2810"/>
    </row>
    <row r="839" spans="2:16">
      <c r="B839" s="827" t="s">
        <v>4006</v>
      </c>
      <c r="C839" s="1912"/>
      <c r="D839" s="2831" t="s">
        <v>4137</v>
      </c>
      <c r="E839" s="2839">
        <v>25</v>
      </c>
      <c r="F839" s="2832" t="s">
        <v>4025</v>
      </c>
      <c r="G839" s="19"/>
      <c r="H839" s="2829" t="s">
        <v>2757</v>
      </c>
      <c r="I839" s="2829"/>
      <c r="J839" s="2829"/>
      <c r="K839" s="2829"/>
      <c r="L839" s="2840">
        <v>3650</v>
      </c>
      <c r="M839" s="2829"/>
      <c r="O839" s="2813" t="s">
        <v>2757</v>
      </c>
      <c r="P839" s="2810"/>
    </row>
    <row r="840" spans="2:16" ht="27">
      <c r="B840" s="827" t="s">
        <v>4006</v>
      </c>
      <c r="C840" s="1912"/>
      <c r="D840" s="2831" t="s">
        <v>4138</v>
      </c>
      <c r="E840" s="2839">
        <v>25</v>
      </c>
      <c r="F840" s="2832" t="s">
        <v>4088</v>
      </c>
      <c r="G840" s="19"/>
      <c r="H840" s="2829" t="s">
        <v>2757</v>
      </c>
      <c r="I840" s="2829"/>
      <c r="J840" s="2829"/>
      <c r="K840" s="2829"/>
      <c r="L840" s="2840">
        <v>100</v>
      </c>
      <c r="M840" s="2829"/>
      <c r="O840" s="2813" t="s">
        <v>2757</v>
      </c>
      <c r="P840" s="2810"/>
    </row>
    <row r="841" spans="2:16" ht="27">
      <c r="B841" s="827" t="s">
        <v>4006</v>
      </c>
      <c r="C841" s="1912"/>
      <c r="D841" s="2831" t="s">
        <v>4140</v>
      </c>
      <c r="E841" s="2839">
        <v>30</v>
      </c>
      <c r="F841" s="2832" t="s">
        <v>4088</v>
      </c>
      <c r="G841" s="19"/>
      <c r="H841" s="2829" t="s">
        <v>2757</v>
      </c>
      <c r="I841" s="2829"/>
      <c r="J841" s="2829"/>
      <c r="K841" s="2829"/>
      <c r="L841" s="2840">
        <v>60</v>
      </c>
      <c r="M841" s="2829"/>
      <c r="O841" s="2813" t="s">
        <v>2757</v>
      </c>
      <c r="P841" s="2810"/>
    </row>
    <row r="842" spans="2:16" ht="27">
      <c r="B842" s="827" t="s">
        <v>4006</v>
      </c>
      <c r="C842" s="1912"/>
      <c r="D842" s="2831" t="s">
        <v>4142</v>
      </c>
      <c r="E842" s="2839">
        <v>275</v>
      </c>
      <c r="F842" s="2832" t="s">
        <v>4025</v>
      </c>
      <c r="G842" s="19"/>
      <c r="H842" s="2829" t="s">
        <v>2757</v>
      </c>
      <c r="I842" s="2829"/>
      <c r="J842" s="2829"/>
      <c r="K842" s="2829"/>
      <c r="L842" s="2840">
        <v>35475</v>
      </c>
      <c r="M842" s="2829"/>
      <c r="O842" s="2813" t="s">
        <v>2757</v>
      </c>
      <c r="P842" s="2810"/>
    </row>
    <row r="843" spans="2:16">
      <c r="B843" s="827" t="s">
        <v>4006</v>
      </c>
      <c r="C843" s="1912"/>
      <c r="D843" s="2831" t="s">
        <v>4144</v>
      </c>
      <c r="E843" s="2839">
        <v>230</v>
      </c>
      <c r="F843" s="2832" t="s">
        <v>4014</v>
      </c>
      <c r="G843" s="19"/>
      <c r="H843" s="2829" t="s">
        <v>2757</v>
      </c>
      <c r="I843" s="2829"/>
      <c r="J843" s="2829"/>
      <c r="K843" s="2829"/>
      <c r="L843" s="2840">
        <v>20925</v>
      </c>
      <c r="M843" s="2829"/>
      <c r="O843" s="2813" t="s">
        <v>2757</v>
      </c>
      <c r="P843" s="2810"/>
    </row>
    <row r="844" spans="2:16">
      <c r="B844" s="827" t="s">
        <v>4006</v>
      </c>
      <c r="C844" s="1912"/>
      <c r="D844" s="2831" t="s">
        <v>4146</v>
      </c>
      <c r="E844" s="2839">
        <v>200</v>
      </c>
      <c r="F844" s="2832" t="s">
        <v>4088</v>
      </c>
      <c r="G844" s="19"/>
      <c r="H844" s="2829" t="s">
        <v>2757</v>
      </c>
      <c r="I844" s="2829"/>
      <c r="J844" s="2829"/>
      <c r="K844" s="2829"/>
      <c r="L844" s="2840">
        <v>1397.5</v>
      </c>
      <c r="M844" s="2829"/>
      <c r="O844" s="2813" t="s">
        <v>2757</v>
      </c>
      <c r="P844" s="2810"/>
    </row>
    <row r="845" spans="2:16" ht="27">
      <c r="B845" s="827" t="s">
        <v>4006</v>
      </c>
      <c r="C845" s="1912"/>
      <c r="D845" s="2831" t="s">
        <v>4152</v>
      </c>
      <c r="E845" s="2839">
        <v>1325</v>
      </c>
      <c r="F845" s="2832" t="s">
        <v>4025</v>
      </c>
      <c r="G845" s="19"/>
      <c r="H845" s="2829" t="s">
        <v>2757</v>
      </c>
      <c r="I845" s="2829"/>
      <c r="J845" s="2829"/>
      <c r="K845" s="2829"/>
      <c r="L845" s="2840">
        <v>27825</v>
      </c>
      <c r="M845" s="2829"/>
      <c r="O845" s="2813" t="s">
        <v>2757</v>
      </c>
      <c r="P845" s="2810"/>
    </row>
    <row r="846" spans="2:16" ht="27">
      <c r="B846" s="827" t="s">
        <v>4006</v>
      </c>
      <c r="C846" s="1912"/>
      <c r="D846" s="2831" t="s">
        <v>4162</v>
      </c>
      <c r="E846" s="2839">
        <v>23</v>
      </c>
      <c r="F846" s="2832" t="s">
        <v>4014</v>
      </c>
      <c r="G846" s="19"/>
      <c r="H846" s="2829" t="s">
        <v>2757</v>
      </c>
      <c r="I846" s="2829"/>
      <c r="J846" s="2829"/>
      <c r="K846" s="2829"/>
      <c r="L846" s="2840">
        <v>618</v>
      </c>
      <c r="M846" s="2829"/>
      <c r="O846" s="2813" t="s">
        <v>2757</v>
      </c>
      <c r="P846" s="2810"/>
    </row>
    <row r="847" spans="2:16">
      <c r="B847" s="827" t="s">
        <v>4006</v>
      </c>
      <c r="C847" s="1912"/>
      <c r="D847" s="2831" t="s">
        <v>4163</v>
      </c>
      <c r="E847" s="2839">
        <v>100</v>
      </c>
      <c r="F847" s="2832" t="s">
        <v>4010</v>
      </c>
      <c r="G847" s="19"/>
      <c r="H847" s="2829" t="s">
        <v>2757</v>
      </c>
      <c r="I847" s="2829"/>
      <c r="J847" s="2829"/>
      <c r="K847" s="2829"/>
      <c r="L847" s="2840">
        <v>1200</v>
      </c>
      <c r="M847" s="2829"/>
      <c r="O847" s="2813" t="s">
        <v>2757</v>
      </c>
      <c r="P847" s="2810"/>
    </row>
    <row r="848" spans="2:16" ht="40.5">
      <c r="B848" s="827" t="s">
        <v>4006</v>
      </c>
      <c r="C848" s="1912"/>
      <c r="D848" s="2831" t="s">
        <v>4166</v>
      </c>
      <c r="E848" s="2839">
        <v>2</v>
      </c>
      <c r="F848" s="2832" t="s">
        <v>4064</v>
      </c>
      <c r="G848" s="19"/>
      <c r="H848" s="2829" t="s">
        <v>2757</v>
      </c>
      <c r="I848" s="2829"/>
      <c r="J848" s="2829"/>
      <c r="K848" s="2829"/>
      <c r="L848" s="2840">
        <v>986</v>
      </c>
      <c r="M848" s="2829"/>
      <c r="O848" s="2813" t="s">
        <v>2757</v>
      </c>
      <c r="P848" s="2810"/>
    </row>
    <row r="849" spans="2:16" ht="27">
      <c r="B849" s="827" t="s">
        <v>4006</v>
      </c>
      <c r="C849" s="1912"/>
      <c r="D849" s="2831" t="s">
        <v>4167</v>
      </c>
      <c r="E849" s="2839">
        <v>45</v>
      </c>
      <c r="F849" s="2832" t="s">
        <v>4064</v>
      </c>
      <c r="G849" s="19"/>
      <c r="H849" s="2829" t="s">
        <v>2757</v>
      </c>
      <c r="I849" s="2829"/>
      <c r="J849" s="2829"/>
      <c r="K849" s="2829"/>
      <c r="L849" s="2840">
        <v>14850</v>
      </c>
      <c r="M849" s="2829"/>
      <c r="O849" s="2813" t="s">
        <v>2757</v>
      </c>
      <c r="P849" s="2810"/>
    </row>
    <row r="850" spans="2:16">
      <c r="B850" s="827" t="s">
        <v>4006</v>
      </c>
      <c r="C850" s="1912"/>
      <c r="D850" s="2831" t="s">
        <v>4170</v>
      </c>
      <c r="E850" s="2839">
        <v>200</v>
      </c>
      <c r="F850" s="2832" t="s">
        <v>4010</v>
      </c>
      <c r="G850" s="19"/>
      <c r="H850" s="2829" t="s">
        <v>2757</v>
      </c>
      <c r="I850" s="2829"/>
      <c r="J850" s="2829"/>
      <c r="K850" s="2829"/>
      <c r="L850" s="2840">
        <v>1000</v>
      </c>
      <c r="M850" s="2829"/>
      <c r="O850" s="2813" t="s">
        <v>2757</v>
      </c>
      <c r="P850" s="2810"/>
    </row>
    <row r="851" spans="2:16">
      <c r="B851" s="827" t="s">
        <v>4006</v>
      </c>
      <c r="C851" s="1912"/>
      <c r="D851" s="2831" t="s">
        <v>4172</v>
      </c>
      <c r="E851" s="2839">
        <v>10000</v>
      </c>
      <c r="F851" s="2832" t="s">
        <v>4025</v>
      </c>
      <c r="G851" s="19"/>
      <c r="H851" s="2829" t="s">
        <v>2757</v>
      </c>
      <c r="I851" s="2829"/>
      <c r="J851" s="2829"/>
      <c r="K851" s="2829"/>
      <c r="L851" s="2840">
        <v>312000</v>
      </c>
      <c r="M851" s="2829"/>
      <c r="O851" s="2813" t="s">
        <v>2757</v>
      </c>
      <c r="P851" s="2810"/>
    </row>
    <row r="852" spans="2:16">
      <c r="B852" s="827" t="s">
        <v>4006</v>
      </c>
      <c r="C852" s="1912"/>
      <c r="D852" s="2831" t="s">
        <v>4173</v>
      </c>
      <c r="E852" s="2839">
        <v>200</v>
      </c>
      <c r="F852" s="2832" t="s">
        <v>4088</v>
      </c>
      <c r="G852" s="19"/>
      <c r="H852" s="2829" t="s">
        <v>2757</v>
      </c>
      <c r="I852" s="2829"/>
      <c r="J852" s="2829"/>
      <c r="K852" s="2829"/>
      <c r="L852" s="2840">
        <v>2600</v>
      </c>
      <c r="M852" s="2829"/>
      <c r="O852" s="2813" t="s">
        <v>2757</v>
      </c>
      <c r="P852" s="2810"/>
    </row>
    <row r="853" spans="2:16">
      <c r="B853" s="827" t="s">
        <v>4006</v>
      </c>
      <c r="C853" s="1912"/>
      <c r="D853" s="2831" t="s">
        <v>4175</v>
      </c>
      <c r="E853" s="2839">
        <v>300</v>
      </c>
      <c r="F853" s="2832"/>
      <c r="G853" s="19"/>
      <c r="H853" s="2829" t="s">
        <v>2757</v>
      </c>
      <c r="I853" s="2829"/>
      <c r="J853" s="2829"/>
      <c r="K853" s="2829"/>
      <c r="L853" s="2840">
        <v>5100</v>
      </c>
      <c r="M853" s="2829"/>
      <c r="O853" s="2813" t="s">
        <v>2757</v>
      </c>
      <c r="P853" s="2810"/>
    </row>
    <row r="854" spans="2:16">
      <c r="B854" s="827" t="s">
        <v>4006</v>
      </c>
      <c r="C854" s="1912"/>
      <c r="D854" s="2831" t="s">
        <v>4178</v>
      </c>
      <c r="E854" s="2839">
        <v>325</v>
      </c>
      <c r="F854" s="2832" t="s">
        <v>4010</v>
      </c>
      <c r="G854" s="19"/>
      <c r="H854" s="2829" t="s">
        <v>2757</v>
      </c>
      <c r="I854" s="2829"/>
      <c r="J854" s="2829"/>
      <c r="K854" s="2829"/>
      <c r="L854" s="2840">
        <v>1293.75</v>
      </c>
      <c r="M854" s="2829"/>
      <c r="O854" s="2813" t="s">
        <v>2757</v>
      </c>
      <c r="P854" s="2810"/>
    </row>
    <row r="855" spans="2:16" ht="27">
      <c r="B855" s="827" t="s">
        <v>4006</v>
      </c>
      <c r="C855" s="1912"/>
      <c r="D855" s="2831" t="s">
        <v>4180</v>
      </c>
      <c r="E855" s="2839">
        <v>10</v>
      </c>
      <c r="F855" s="2832" t="s">
        <v>4031</v>
      </c>
      <c r="G855" s="19"/>
      <c r="H855" s="2829" t="s">
        <v>2757</v>
      </c>
      <c r="I855" s="2829"/>
      <c r="J855" s="2829"/>
      <c r="K855" s="2829"/>
      <c r="L855" s="2840">
        <v>24000</v>
      </c>
      <c r="M855" s="2829"/>
      <c r="O855" s="2813" t="s">
        <v>2757</v>
      </c>
      <c r="P855" s="2810"/>
    </row>
    <row r="856" spans="2:16" ht="27">
      <c r="B856" s="827" t="s">
        <v>4006</v>
      </c>
      <c r="C856" s="1912"/>
      <c r="D856" s="2831" t="s">
        <v>4185</v>
      </c>
      <c r="E856" s="2839">
        <v>125</v>
      </c>
      <c r="F856" s="2832" t="s">
        <v>4025</v>
      </c>
      <c r="G856" s="19"/>
      <c r="H856" s="2829" t="s">
        <v>2757</v>
      </c>
      <c r="I856" s="2829"/>
      <c r="J856" s="2829"/>
      <c r="K856" s="2829"/>
      <c r="L856" s="2840">
        <v>3875</v>
      </c>
      <c r="M856" s="2829"/>
      <c r="O856" s="2813" t="s">
        <v>2757</v>
      </c>
      <c r="P856" s="2810"/>
    </row>
    <row r="857" spans="2:16">
      <c r="B857" s="827" t="s">
        <v>4006</v>
      </c>
      <c r="C857" s="1912"/>
      <c r="D857" s="2831" t="s">
        <v>4188</v>
      </c>
      <c r="E857" s="2839">
        <v>12</v>
      </c>
      <c r="F857" s="2832" t="s">
        <v>3167</v>
      </c>
      <c r="G857" s="19"/>
      <c r="H857" s="2829" t="s">
        <v>2757</v>
      </c>
      <c r="I857" s="2829"/>
      <c r="J857" s="2829"/>
      <c r="K857" s="2829"/>
      <c r="L857" s="2840">
        <v>1200</v>
      </c>
      <c r="M857" s="2829"/>
      <c r="O857" s="2813" t="s">
        <v>2757</v>
      </c>
      <c r="P857" s="2810"/>
    </row>
    <row r="858" spans="2:16" ht="27">
      <c r="B858" s="827" t="s">
        <v>4006</v>
      </c>
      <c r="C858" s="1912"/>
      <c r="D858" s="2831" t="s">
        <v>4189</v>
      </c>
      <c r="E858" s="2839">
        <v>675</v>
      </c>
      <c r="F858" s="2832" t="s">
        <v>4031</v>
      </c>
      <c r="G858" s="19"/>
      <c r="H858" s="2829" t="s">
        <v>2757</v>
      </c>
      <c r="I858" s="2829"/>
      <c r="J858" s="2829"/>
      <c r="K858" s="2829"/>
      <c r="L858" s="2840">
        <v>103325</v>
      </c>
      <c r="M858" s="2829"/>
      <c r="O858" s="2813" t="s">
        <v>2757</v>
      </c>
      <c r="P858" s="2810"/>
    </row>
    <row r="859" spans="2:16" ht="27">
      <c r="B859" s="827" t="s">
        <v>4006</v>
      </c>
      <c r="C859" s="1912"/>
      <c r="D859" s="2831" t="s">
        <v>4190</v>
      </c>
      <c r="E859" s="2839">
        <v>6150</v>
      </c>
      <c r="F859" s="2832" t="s">
        <v>4031</v>
      </c>
      <c r="G859" s="19"/>
      <c r="H859" s="2829" t="s">
        <v>2757</v>
      </c>
      <c r="I859" s="2829"/>
      <c r="J859" s="2829"/>
      <c r="K859" s="2829"/>
      <c r="L859" s="2840">
        <v>491100</v>
      </c>
      <c r="M859" s="2829"/>
      <c r="O859" s="2813" t="s">
        <v>2757</v>
      </c>
      <c r="P859" s="2810"/>
    </row>
    <row r="860" spans="2:16" ht="27">
      <c r="B860" s="827" t="s">
        <v>4006</v>
      </c>
      <c r="C860" s="1912"/>
      <c r="D860" s="2831" t="s">
        <v>4192</v>
      </c>
      <c r="E860" s="2839">
        <v>20</v>
      </c>
      <c r="F860" s="2832" t="s">
        <v>1883</v>
      </c>
      <c r="G860" s="19"/>
      <c r="H860" s="2829" t="s">
        <v>2757</v>
      </c>
      <c r="I860" s="2829"/>
      <c r="J860" s="2829"/>
      <c r="K860" s="2829"/>
      <c r="L860" s="2840">
        <v>15600</v>
      </c>
      <c r="M860" s="2829"/>
      <c r="O860" s="2813" t="s">
        <v>2757</v>
      </c>
      <c r="P860" s="2810"/>
    </row>
    <row r="861" spans="2:16" ht="27">
      <c r="B861" s="827" t="s">
        <v>4006</v>
      </c>
      <c r="C861" s="1912"/>
      <c r="D861" s="2831" t="s">
        <v>4194</v>
      </c>
      <c r="E861" s="2839">
        <v>1000</v>
      </c>
      <c r="F861" s="2832" t="s">
        <v>4025</v>
      </c>
      <c r="G861" s="19"/>
      <c r="H861" s="2829" t="s">
        <v>2757</v>
      </c>
      <c r="I861" s="2829"/>
      <c r="J861" s="2829"/>
      <c r="K861" s="2829"/>
      <c r="L861" s="2840">
        <v>33000</v>
      </c>
      <c r="M861" s="2829"/>
      <c r="O861" s="2813" t="s">
        <v>2757</v>
      </c>
      <c r="P861" s="2810"/>
    </row>
    <row r="862" spans="2:16">
      <c r="B862" s="827" t="s">
        <v>4006</v>
      </c>
      <c r="C862" s="1912"/>
      <c r="D862" s="2831" t="s">
        <v>4195</v>
      </c>
      <c r="E862" s="2839">
        <v>20</v>
      </c>
      <c r="F862" s="2832" t="s">
        <v>1883</v>
      </c>
      <c r="G862" s="19"/>
      <c r="H862" s="2829" t="s">
        <v>2757</v>
      </c>
      <c r="I862" s="2829"/>
      <c r="J862" s="2829"/>
      <c r="K862" s="2829"/>
      <c r="L862" s="2840">
        <v>18600</v>
      </c>
      <c r="M862" s="2829"/>
      <c r="O862" s="2813" t="s">
        <v>2757</v>
      </c>
      <c r="P862" s="2810"/>
    </row>
    <row r="863" spans="2:16">
      <c r="B863" s="827" t="s">
        <v>4006</v>
      </c>
      <c r="C863" s="1912"/>
      <c r="D863" s="2831" t="s">
        <v>4198</v>
      </c>
      <c r="E863" s="2839">
        <v>15</v>
      </c>
      <c r="F863" s="2832" t="s">
        <v>4014</v>
      </c>
      <c r="G863" s="19"/>
      <c r="H863" s="2829" t="s">
        <v>2757</v>
      </c>
      <c r="I863" s="2829"/>
      <c r="J863" s="2829"/>
      <c r="K863" s="2829"/>
      <c r="L863" s="2840">
        <v>1349.79</v>
      </c>
      <c r="M863" s="2829"/>
      <c r="O863" s="2813" t="s">
        <v>2757</v>
      </c>
      <c r="P863" s="2810"/>
    </row>
    <row r="864" spans="2:16">
      <c r="B864" s="827" t="s">
        <v>4006</v>
      </c>
      <c r="C864" s="1912"/>
      <c r="D864" s="2831" t="s">
        <v>4204</v>
      </c>
      <c r="E864" s="2839">
        <v>30</v>
      </c>
      <c r="F864" s="2832" t="s">
        <v>4203</v>
      </c>
      <c r="G864" s="19"/>
      <c r="H864" s="2829" t="s">
        <v>2757</v>
      </c>
      <c r="I864" s="2829"/>
      <c r="J864" s="2829"/>
      <c r="K864" s="2829"/>
      <c r="L864" s="2840">
        <v>3660</v>
      </c>
      <c r="M864" s="2829"/>
      <c r="O864" s="2813" t="s">
        <v>2757</v>
      </c>
      <c r="P864" s="2810"/>
    </row>
    <row r="865" spans="2:16" ht="27">
      <c r="B865" s="827" t="s">
        <v>4006</v>
      </c>
      <c r="C865" s="1912"/>
      <c r="D865" s="2831" t="s">
        <v>4205</v>
      </c>
      <c r="E865" s="2839">
        <v>14235</v>
      </c>
      <c r="F865" s="2832" t="s">
        <v>4203</v>
      </c>
      <c r="G865" s="19"/>
      <c r="H865" s="2829" t="s">
        <v>2757</v>
      </c>
      <c r="I865" s="2829"/>
      <c r="J865" s="2829"/>
      <c r="K865" s="2829"/>
      <c r="L865" s="2840">
        <v>241682.5</v>
      </c>
      <c r="M865" s="2829"/>
      <c r="O865" s="2813" t="s">
        <v>2757</v>
      </c>
      <c r="P865" s="2810"/>
    </row>
    <row r="866" spans="2:16">
      <c r="B866" s="827" t="s">
        <v>4006</v>
      </c>
      <c r="C866" s="1912"/>
      <c r="D866" s="2831" t="s">
        <v>4209</v>
      </c>
      <c r="E866" s="2839">
        <v>200</v>
      </c>
      <c r="F866" s="2832" t="s">
        <v>4025</v>
      </c>
      <c r="G866" s="19"/>
      <c r="H866" s="2829" t="s">
        <v>2757</v>
      </c>
      <c r="I866" s="2829"/>
      <c r="J866" s="2829"/>
      <c r="K866" s="2829"/>
      <c r="L866" s="2840">
        <v>19000</v>
      </c>
      <c r="M866" s="2829"/>
      <c r="O866" s="2813" t="s">
        <v>2757</v>
      </c>
      <c r="P866" s="2810"/>
    </row>
    <row r="867" spans="2:16">
      <c r="B867" s="827" t="s">
        <v>4006</v>
      </c>
      <c r="C867" s="1912"/>
      <c r="D867" s="2831" t="s">
        <v>4213</v>
      </c>
      <c r="E867" s="2839">
        <v>75</v>
      </c>
      <c r="F867" s="2832" t="s">
        <v>4010</v>
      </c>
      <c r="G867" s="19"/>
      <c r="H867" s="2829" t="s">
        <v>2757</v>
      </c>
      <c r="I867" s="2829"/>
      <c r="J867" s="2829"/>
      <c r="K867" s="2829"/>
      <c r="L867" s="2840">
        <v>2023.75</v>
      </c>
      <c r="M867" s="2829"/>
      <c r="O867" s="2813" t="s">
        <v>2757</v>
      </c>
      <c r="P867" s="2810"/>
    </row>
    <row r="868" spans="2:16">
      <c r="B868" s="827" t="s">
        <v>4006</v>
      </c>
      <c r="C868" s="1912"/>
      <c r="D868" s="2831" t="s">
        <v>4214</v>
      </c>
      <c r="E868" s="2839">
        <v>200</v>
      </c>
      <c r="F868" s="2832" t="s">
        <v>4010</v>
      </c>
      <c r="G868" s="19"/>
      <c r="H868" s="2829" t="s">
        <v>2757</v>
      </c>
      <c r="I868" s="2829"/>
      <c r="J868" s="2829"/>
      <c r="K868" s="2829"/>
      <c r="L868" s="2840">
        <v>2200</v>
      </c>
      <c r="M868" s="2829"/>
      <c r="O868" s="2813" t="s">
        <v>2757</v>
      </c>
      <c r="P868" s="2810"/>
    </row>
    <row r="869" spans="2:16">
      <c r="B869" s="827" t="s">
        <v>4006</v>
      </c>
      <c r="C869" s="1912"/>
      <c r="D869" s="2831" t="s">
        <v>4216</v>
      </c>
      <c r="E869" s="2839">
        <v>200</v>
      </c>
      <c r="F869" s="2832" t="s">
        <v>4010</v>
      </c>
      <c r="G869" s="19"/>
      <c r="H869" s="2829" t="s">
        <v>2757</v>
      </c>
      <c r="I869" s="2829"/>
      <c r="J869" s="2829"/>
      <c r="K869" s="2829"/>
      <c r="L869" s="2840">
        <v>2000</v>
      </c>
      <c r="M869" s="2829"/>
      <c r="O869" s="2813" t="s">
        <v>2757</v>
      </c>
      <c r="P869" s="2810"/>
    </row>
    <row r="870" spans="2:16">
      <c r="B870" s="827" t="s">
        <v>4006</v>
      </c>
      <c r="C870" s="1912"/>
      <c r="D870" s="2831" t="s">
        <v>4222</v>
      </c>
      <c r="E870" s="2839">
        <v>50</v>
      </c>
      <c r="F870" s="2832" t="s">
        <v>4010</v>
      </c>
      <c r="G870" s="19"/>
      <c r="H870" s="2829" t="s">
        <v>2757</v>
      </c>
      <c r="I870" s="2829"/>
      <c r="J870" s="2829"/>
      <c r="K870" s="2829"/>
      <c r="L870" s="2840">
        <v>147.5</v>
      </c>
      <c r="M870" s="2829"/>
      <c r="O870" s="2813" t="s">
        <v>2757</v>
      </c>
      <c r="P870" s="2810"/>
    </row>
    <row r="871" spans="2:16">
      <c r="B871" s="827" t="s">
        <v>4006</v>
      </c>
      <c r="C871" s="1912"/>
      <c r="D871" s="2831" t="s">
        <v>4226</v>
      </c>
      <c r="E871" s="2839">
        <v>12</v>
      </c>
      <c r="F871" s="2832" t="s">
        <v>4031</v>
      </c>
      <c r="G871" s="19"/>
      <c r="H871" s="2829" t="s">
        <v>2757</v>
      </c>
      <c r="I871" s="2829"/>
      <c r="J871" s="2829"/>
      <c r="K871" s="2829"/>
      <c r="L871" s="2840">
        <v>6768</v>
      </c>
      <c r="M871" s="2829"/>
      <c r="O871" s="2813" t="s">
        <v>2757</v>
      </c>
      <c r="P871" s="2810"/>
    </row>
    <row r="872" spans="2:16">
      <c r="B872" s="827" t="s">
        <v>4006</v>
      </c>
      <c r="C872" s="1912"/>
      <c r="D872" s="2831" t="s">
        <v>4229</v>
      </c>
      <c r="E872" s="2839">
        <v>50</v>
      </c>
      <c r="F872" s="2832" t="s">
        <v>4031</v>
      </c>
      <c r="G872" s="19"/>
      <c r="H872" s="2829" t="s">
        <v>2757</v>
      </c>
      <c r="I872" s="2829"/>
      <c r="J872" s="2829"/>
      <c r="K872" s="2829"/>
      <c r="L872" s="2840">
        <v>2050</v>
      </c>
      <c r="M872" s="2829"/>
      <c r="O872" s="2813" t="s">
        <v>2757</v>
      </c>
      <c r="P872" s="2810"/>
    </row>
    <row r="873" spans="2:16">
      <c r="B873" s="827" t="s">
        <v>4006</v>
      </c>
      <c r="C873" s="1912"/>
      <c r="D873" s="2831" t="s">
        <v>4230</v>
      </c>
      <c r="E873" s="2839">
        <v>3</v>
      </c>
      <c r="F873" s="2832" t="s">
        <v>4406</v>
      </c>
      <c r="G873" s="19"/>
      <c r="H873" s="2829" t="s">
        <v>2757</v>
      </c>
      <c r="I873" s="2829"/>
      <c r="J873" s="2829"/>
      <c r="K873" s="2829"/>
      <c r="L873" s="2840">
        <v>8085</v>
      </c>
      <c r="M873" s="2829"/>
      <c r="O873" s="2813" t="s">
        <v>2757</v>
      </c>
      <c r="P873" s="2810"/>
    </row>
    <row r="874" spans="2:16">
      <c r="B874" s="827" t="s">
        <v>4006</v>
      </c>
      <c r="C874" s="1912"/>
      <c r="D874" s="2831" t="s">
        <v>4233</v>
      </c>
      <c r="E874" s="2839">
        <v>250</v>
      </c>
      <c r="F874" s="2832" t="s">
        <v>4088</v>
      </c>
      <c r="G874" s="19"/>
      <c r="H874" s="2829" t="s">
        <v>2757</v>
      </c>
      <c r="I874" s="2829"/>
      <c r="J874" s="2829"/>
      <c r="K874" s="2829"/>
      <c r="L874" s="2840">
        <v>497.5</v>
      </c>
      <c r="M874" s="2829"/>
      <c r="O874" s="2813" t="s">
        <v>2757</v>
      </c>
      <c r="P874" s="2810"/>
    </row>
    <row r="875" spans="2:16" ht="27">
      <c r="B875" s="827" t="s">
        <v>4006</v>
      </c>
      <c r="C875" s="1912"/>
      <c r="D875" s="2831" t="s">
        <v>4237</v>
      </c>
      <c r="E875" s="2839">
        <v>100</v>
      </c>
      <c r="F875" s="2832" t="s">
        <v>4010</v>
      </c>
      <c r="G875" s="19"/>
      <c r="H875" s="2829" t="s">
        <v>2757</v>
      </c>
      <c r="I875" s="2829"/>
      <c r="J875" s="2829"/>
      <c r="K875" s="2829"/>
      <c r="L875" s="2840">
        <v>1100</v>
      </c>
      <c r="M875" s="2829"/>
      <c r="O875" s="2813" t="s">
        <v>2757</v>
      </c>
      <c r="P875" s="2810"/>
    </row>
    <row r="876" spans="2:16" ht="27">
      <c r="B876" s="827" t="s">
        <v>4006</v>
      </c>
      <c r="C876" s="1912"/>
      <c r="D876" s="2831" t="s">
        <v>4238</v>
      </c>
      <c r="E876" s="2839">
        <v>800</v>
      </c>
      <c r="F876" s="2832" t="s">
        <v>4025</v>
      </c>
      <c r="G876" s="19"/>
      <c r="H876" s="2829" t="s">
        <v>2757</v>
      </c>
      <c r="I876" s="2829"/>
      <c r="J876" s="2829"/>
      <c r="K876" s="2829"/>
      <c r="L876" s="2840">
        <v>58400</v>
      </c>
      <c r="M876" s="2829"/>
      <c r="O876" s="2813" t="s">
        <v>2757</v>
      </c>
      <c r="P876" s="2810"/>
    </row>
    <row r="877" spans="2:16">
      <c r="B877" s="827" t="s">
        <v>4006</v>
      </c>
      <c r="C877" s="1912"/>
      <c r="D877" s="2831" t="s">
        <v>4243</v>
      </c>
      <c r="E877" s="2839">
        <v>10000</v>
      </c>
      <c r="F877" s="2832" t="s">
        <v>4088</v>
      </c>
      <c r="G877" s="19"/>
      <c r="H877" s="2829" t="s">
        <v>2757</v>
      </c>
      <c r="I877" s="2829"/>
      <c r="J877" s="2829"/>
      <c r="K877" s="2829"/>
      <c r="L877" s="2840">
        <v>40000</v>
      </c>
      <c r="M877" s="2829"/>
      <c r="O877" s="2813" t="s">
        <v>2757</v>
      </c>
      <c r="P877" s="2810"/>
    </row>
    <row r="878" spans="2:16">
      <c r="B878" s="827" t="s">
        <v>4006</v>
      </c>
      <c r="C878" s="1912"/>
      <c r="D878" s="2831" t="s">
        <v>4244</v>
      </c>
      <c r="E878" s="2839">
        <v>850</v>
      </c>
      <c r="F878" s="2832" t="s">
        <v>4031</v>
      </c>
      <c r="G878" s="19"/>
      <c r="H878" s="2829" t="s">
        <v>2757</v>
      </c>
      <c r="I878" s="2829"/>
      <c r="J878" s="2829"/>
      <c r="K878" s="2829"/>
      <c r="L878" s="2840">
        <v>737250</v>
      </c>
      <c r="M878" s="2829"/>
      <c r="O878" s="2813" t="s">
        <v>2757</v>
      </c>
      <c r="P878" s="2810"/>
    </row>
    <row r="879" spans="2:16">
      <c r="B879" s="827" t="s">
        <v>4006</v>
      </c>
      <c r="C879" s="1912"/>
      <c r="D879" s="2831" t="s">
        <v>4246</v>
      </c>
      <c r="E879" s="2839">
        <v>100</v>
      </c>
      <c r="F879" s="2832" t="s">
        <v>4245</v>
      </c>
      <c r="G879" s="19"/>
      <c r="H879" s="2829" t="s">
        <v>2757</v>
      </c>
      <c r="I879" s="2829"/>
      <c r="J879" s="2829"/>
      <c r="K879" s="2829"/>
      <c r="L879" s="2840">
        <v>28300</v>
      </c>
      <c r="M879" s="2829"/>
      <c r="O879" s="2813" t="s">
        <v>2757</v>
      </c>
      <c r="P879" s="2810"/>
    </row>
    <row r="880" spans="2:16">
      <c r="B880" s="827" t="s">
        <v>4006</v>
      </c>
      <c r="C880" s="1912"/>
      <c r="D880" s="2831" t="s">
        <v>4250</v>
      </c>
      <c r="E880" s="2839">
        <v>200</v>
      </c>
      <c r="F880" s="2832" t="s">
        <v>4010</v>
      </c>
      <c r="G880" s="19"/>
      <c r="H880" s="2829" t="s">
        <v>2757</v>
      </c>
      <c r="I880" s="2829"/>
      <c r="J880" s="2829"/>
      <c r="K880" s="2829"/>
      <c r="L880" s="2840">
        <v>2000</v>
      </c>
      <c r="M880" s="2829"/>
      <c r="O880" s="2813" t="s">
        <v>2757</v>
      </c>
      <c r="P880" s="2810"/>
    </row>
    <row r="881" spans="2:16" ht="27">
      <c r="B881" s="827" t="s">
        <v>4006</v>
      </c>
      <c r="C881" s="1912"/>
      <c r="D881" s="2831" t="s">
        <v>4251</v>
      </c>
      <c r="E881" s="2839">
        <v>650</v>
      </c>
      <c r="F881" s="2832" t="s">
        <v>4025</v>
      </c>
      <c r="G881" s="19"/>
      <c r="H881" s="2829" t="s">
        <v>2757</v>
      </c>
      <c r="I881" s="2829"/>
      <c r="J881" s="2829"/>
      <c r="K881" s="2829"/>
      <c r="L881" s="2840">
        <v>56550</v>
      </c>
      <c r="M881" s="2829"/>
      <c r="O881" s="2813" t="s">
        <v>2757</v>
      </c>
      <c r="P881" s="2810"/>
    </row>
    <row r="882" spans="2:16">
      <c r="B882" s="827" t="s">
        <v>4006</v>
      </c>
      <c r="C882" s="1912"/>
      <c r="D882" s="2831" t="s">
        <v>4256</v>
      </c>
      <c r="E882" s="2839">
        <v>1000</v>
      </c>
      <c r="F882" s="2832" t="s">
        <v>4025</v>
      </c>
      <c r="G882" s="19"/>
      <c r="H882" s="2829" t="s">
        <v>2757</v>
      </c>
      <c r="I882" s="2829"/>
      <c r="J882" s="2829"/>
      <c r="K882" s="2829"/>
      <c r="L882" s="2840">
        <v>14730</v>
      </c>
      <c r="M882" s="2829"/>
      <c r="O882" s="2813" t="s">
        <v>2757</v>
      </c>
      <c r="P882" s="2810"/>
    </row>
    <row r="883" spans="2:16">
      <c r="B883" s="827" t="s">
        <v>4006</v>
      </c>
      <c r="C883" s="1912"/>
      <c r="D883" s="2831" t="s">
        <v>4257</v>
      </c>
      <c r="E883" s="2839">
        <v>150</v>
      </c>
      <c r="F883" s="2832" t="s">
        <v>4010</v>
      </c>
      <c r="G883" s="19"/>
      <c r="H883" s="2829" t="s">
        <v>2757</v>
      </c>
      <c r="I883" s="2829"/>
      <c r="J883" s="2829"/>
      <c r="K883" s="2829"/>
      <c r="L883" s="2840">
        <v>299</v>
      </c>
      <c r="M883" s="2829"/>
      <c r="O883" s="2813" t="s">
        <v>2757</v>
      </c>
      <c r="P883" s="2810"/>
    </row>
    <row r="884" spans="2:16">
      <c r="B884" s="827" t="s">
        <v>4006</v>
      </c>
      <c r="C884" s="1912"/>
      <c r="D884" s="2831" t="s">
        <v>4261</v>
      </c>
      <c r="E884" s="2839">
        <v>10</v>
      </c>
      <c r="F884" s="2832" t="s">
        <v>3167</v>
      </c>
      <c r="G884" s="19"/>
      <c r="H884" s="2829" t="s">
        <v>2757</v>
      </c>
      <c r="I884" s="2829"/>
      <c r="J884" s="2829"/>
      <c r="K884" s="2829"/>
      <c r="L884" s="2840">
        <v>3250</v>
      </c>
      <c r="M884" s="2829"/>
      <c r="O884" s="2813" t="s">
        <v>2757</v>
      </c>
      <c r="P884" s="2810"/>
    </row>
    <row r="885" spans="2:16">
      <c r="B885" s="827" t="s">
        <v>4006</v>
      </c>
      <c r="C885" s="1912"/>
      <c r="D885" s="2831" t="s">
        <v>4267</v>
      </c>
      <c r="E885" s="2839">
        <v>550</v>
      </c>
      <c r="F885" s="2832" t="s">
        <v>4010</v>
      </c>
      <c r="G885" s="19"/>
      <c r="H885" s="2829" t="s">
        <v>2757</v>
      </c>
      <c r="I885" s="2829"/>
      <c r="J885" s="2829"/>
      <c r="K885" s="2829"/>
      <c r="L885" s="2840">
        <v>4937.5</v>
      </c>
      <c r="M885" s="2829"/>
      <c r="O885" s="2813" t="s">
        <v>2757</v>
      </c>
      <c r="P885" s="2810"/>
    </row>
    <row r="886" spans="2:16" ht="27">
      <c r="B886" s="827" t="s">
        <v>4006</v>
      </c>
      <c r="C886" s="1912"/>
      <c r="D886" s="2831" t="s">
        <v>4269</v>
      </c>
      <c r="E886" s="2839">
        <v>25</v>
      </c>
      <c r="F886" s="2832" t="s">
        <v>4014</v>
      </c>
      <c r="G886" s="19"/>
      <c r="H886" s="2829" t="s">
        <v>2757</v>
      </c>
      <c r="I886" s="2829"/>
      <c r="J886" s="2829"/>
      <c r="K886" s="2829"/>
      <c r="L886" s="2840">
        <v>11250</v>
      </c>
      <c r="M886" s="2829"/>
      <c r="O886" s="2813" t="s">
        <v>2757</v>
      </c>
      <c r="P886" s="2810"/>
    </row>
    <row r="887" spans="2:16">
      <c r="B887" s="827" t="s">
        <v>4006</v>
      </c>
      <c r="C887" s="1912"/>
      <c r="D887" s="2831" t="s">
        <v>4272</v>
      </c>
      <c r="E887" s="2839">
        <v>3</v>
      </c>
      <c r="F887" s="2832" t="s">
        <v>4014</v>
      </c>
      <c r="G887" s="19"/>
      <c r="H887" s="2829" t="s">
        <v>2757</v>
      </c>
      <c r="I887" s="2829"/>
      <c r="J887" s="2829"/>
      <c r="K887" s="2829"/>
      <c r="L887" s="2840">
        <v>110.85</v>
      </c>
      <c r="M887" s="2829"/>
      <c r="O887" s="2813" t="s">
        <v>2757</v>
      </c>
      <c r="P887" s="2810"/>
    </row>
    <row r="888" spans="2:16">
      <c r="B888" s="827" t="s">
        <v>4006</v>
      </c>
      <c r="C888" s="1912"/>
      <c r="D888" s="2831" t="s">
        <v>4273</v>
      </c>
      <c r="E888" s="2839">
        <v>200</v>
      </c>
      <c r="F888" s="2832" t="s">
        <v>3167</v>
      </c>
      <c r="G888" s="19"/>
      <c r="H888" s="2829" t="s">
        <v>2757</v>
      </c>
      <c r="I888" s="2829"/>
      <c r="J888" s="2829"/>
      <c r="K888" s="2829"/>
      <c r="L888" s="2840">
        <v>16000</v>
      </c>
      <c r="M888" s="2829"/>
      <c r="O888" s="2813" t="s">
        <v>2757</v>
      </c>
      <c r="P888" s="2810"/>
    </row>
    <row r="889" spans="2:16" ht="27">
      <c r="B889" s="827" t="s">
        <v>4006</v>
      </c>
      <c r="C889" s="1912"/>
      <c r="D889" s="2831" t="s">
        <v>4276</v>
      </c>
      <c r="E889" s="2839">
        <v>50</v>
      </c>
      <c r="F889" s="2832" t="s">
        <v>4025</v>
      </c>
      <c r="G889" s="19"/>
      <c r="H889" s="2829" t="s">
        <v>2757</v>
      </c>
      <c r="I889" s="2829"/>
      <c r="J889" s="2829"/>
      <c r="K889" s="2829"/>
      <c r="L889" s="2840">
        <v>6025</v>
      </c>
      <c r="M889" s="2829"/>
      <c r="O889" s="2813" t="s">
        <v>2757</v>
      </c>
      <c r="P889" s="2810"/>
    </row>
    <row r="890" spans="2:16" ht="27">
      <c r="B890" s="827" t="s">
        <v>4006</v>
      </c>
      <c r="C890" s="1912"/>
      <c r="D890" s="2831" t="s">
        <v>4283</v>
      </c>
      <c r="E890" s="2839">
        <v>300</v>
      </c>
      <c r="F890" s="2832" t="s">
        <v>4025</v>
      </c>
      <c r="G890" s="19"/>
      <c r="H890" s="2829" t="s">
        <v>2757</v>
      </c>
      <c r="I890" s="2829"/>
      <c r="J890" s="2829"/>
      <c r="K890" s="2829"/>
      <c r="L890" s="2840">
        <v>90600</v>
      </c>
      <c r="M890" s="2829"/>
      <c r="O890" s="2813" t="s">
        <v>2757</v>
      </c>
      <c r="P890" s="2810"/>
    </row>
    <row r="891" spans="2:16">
      <c r="B891" s="827" t="s">
        <v>4006</v>
      </c>
      <c r="C891" s="1912"/>
      <c r="D891" s="2831" t="s">
        <v>4286</v>
      </c>
      <c r="E891" s="2839">
        <v>100</v>
      </c>
      <c r="F891" s="2832" t="s">
        <v>4088</v>
      </c>
      <c r="G891" s="19"/>
      <c r="H891" s="2829" t="s">
        <v>2757</v>
      </c>
      <c r="I891" s="2829"/>
      <c r="J891" s="2829"/>
      <c r="K891" s="2829"/>
      <c r="L891" s="2840">
        <v>6300</v>
      </c>
      <c r="M891" s="2829"/>
      <c r="O891" s="2813" t="s">
        <v>2757</v>
      </c>
      <c r="P891" s="2810"/>
    </row>
    <row r="892" spans="2:16" ht="27">
      <c r="B892" s="827" t="s">
        <v>4006</v>
      </c>
      <c r="C892" s="1912"/>
      <c r="D892" s="2831" t="s">
        <v>4288</v>
      </c>
      <c r="E892" s="2839">
        <v>5500</v>
      </c>
      <c r="F892" s="2832" t="s">
        <v>4031</v>
      </c>
      <c r="G892" s="19"/>
      <c r="H892" s="2829" t="s">
        <v>2757</v>
      </c>
      <c r="I892" s="2829"/>
      <c r="J892" s="2829"/>
      <c r="K892" s="2829"/>
      <c r="L892" s="2840">
        <v>1170000</v>
      </c>
      <c r="M892" s="2829"/>
      <c r="O892" s="2813" t="s">
        <v>2757</v>
      </c>
      <c r="P892" s="2810"/>
    </row>
    <row r="893" spans="2:16" ht="27">
      <c r="B893" s="827" t="s">
        <v>4006</v>
      </c>
      <c r="C893" s="1912"/>
      <c r="D893" s="2831" t="s">
        <v>4289</v>
      </c>
      <c r="E893" s="2839">
        <v>75</v>
      </c>
      <c r="F893" s="2832" t="s">
        <v>3248</v>
      </c>
      <c r="G893" s="19"/>
      <c r="H893" s="2829" t="s">
        <v>2757</v>
      </c>
      <c r="I893" s="2829"/>
      <c r="J893" s="2829"/>
      <c r="K893" s="2829"/>
      <c r="L893" s="2840">
        <v>746.25</v>
      </c>
      <c r="M893" s="2829"/>
      <c r="O893" s="2813" t="s">
        <v>2757</v>
      </c>
      <c r="P893" s="2810"/>
    </row>
    <row r="894" spans="2:16">
      <c r="B894" s="827" t="s">
        <v>4006</v>
      </c>
      <c r="C894" s="1912"/>
      <c r="D894" s="2831" t="s">
        <v>4291</v>
      </c>
      <c r="E894" s="2839">
        <v>1875</v>
      </c>
      <c r="F894" s="2832" t="s">
        <v>4025</v>
      </c>
      <c r="G894" s="19"/>
      <c r="H894" s="2829" t="s">
        <v>2757</v>
      </c>
      <c r="I894" s="2829"/>
      <c r="J894" s="2829"/>
      <c r="K894" s="2829"/>
      <c r="L894" s="2840">
        <v>273750</v>
      </c>
      <c r="M894" s="2829"/>
      <c r="O894" s="2813" t="s">
        <v>2757</v>
      </c>
      <c r="P894" s="2810"/>
    </row>
    <row r="895" spans="2:16">
      <c r="B895" s="827" t="s">
        <v>4006</v>
      </c>
      <c r="C895" s="1912"/>
      <c r="D895" s="2831" t="s">
        <v>4296</v>
      </c>
      <c r="E895" s="2839">
        <v>3500</v>
      </c>
      <c r="F895" s="2832" t="s">
        <v>4025</v>
      </c>
      <c r="G895" s="19"/>
      <c r="H895" s="2829" t="s">
        <v>2757</v>
      </c>
      <c r="I895" s="2829"/>
      <c r="J895" s="2829"/>
      <c r="K895" s="2829"/>
      <c r="L895" s="2840">
        <v>28000</v>
      </c>
      <c r="M895" s="2829"/>
      <c r="O895" s="2813" t="s">
        <v>2757</v>
      </c>
      <c r="P895" s="2810"/>
    </row>
    <row r="896" spans="2:16">
      <c r="B896" s="827" t="s">
        <v>4006</v>
      </c>
      <c r="C896" s="1912"/>
      <c r="D896" s="2831" t="s">
        <v>4297</v>
      </c>
      <c r="E896" s="2839">
        <v>100</v>
      </c>
      <c r="F896" s="2832" t="s">
        <v>4014</v>
      </c>
      <c r="G896" s="19"/>
      <c r="H896" s="2829" t="s">
        <v>2757</v>
      </c>
      <c r="I896" s="2829"/>
      <c r="J896" s="2829"/>
      <c r="K896" s="2829"/>
      <c r="L896" s="2840">
        <v>1595</v>
      </c>
      <c r="M896" s="2829"/>
      <c r="O896" s="2813" t="s">
        <v>2757</v>
      </c>
      <c r="P896" s="2810"/>
    </row>
    <row r="897" spans="2:16">
      <c r="B897" s="827" t="s">
        <v>4006</v>
      </c>
      <c r="C897" s="1912"/>
      <c r="D897" s="2831" t="s">
        <v>4304</v>
      </c>
      <c r="E897" s="2839">
        <v>375</v>
      </c>
      <c r="F897" s="2832" t="s">
        <v>4025</v>
      </c>
      <c r="G897" s="19"/>
      <c r="H897" s="2829" t="s">
        <v>2757</v>
      </c>
      <c r="I897" s="2829"/>
      <c r="J897" s="2829"/>
      <c r="K897" s="2829"/>
      <c r="L897" s="2840">
        <v>9750</v>
      </c>
      <c r="M897" s="2829"/>
      <c r="O897" s="2813" t="s">
        <v>2757</v>
      </c>
      <c r="P897" s="2810"/>
    </row>
    <row r="898" spans="2:16" ht="27">
      <c r="B898" s="827" t="s">
        <v>4006</v>
      </c>
      <c r="C898" s="1912"/>
      <c r="D898" s="2831" t="s">
        <v>4305</v>
      </c>
      <c r="E898" s="2839">
        <v>700</v>
      </c>
      <c r="F898" s="2832" t="s">
        <v>4031</v>
      </c>
      <c r="G898" s="19"/>
      <c r="H898" s="2829" t="s">
        <v>2757</v>
      </c>
      <c r="I898" s="2829"/>
      <c r="J898" s="2829"/>
      <c r="K898" s="2829"/>
      <c r="L898" s="2840">
        <v>202850</v>
      </c>
      <c r="M898" s="2829"/>
      <c r="O898" s="2813" t="s">
        <v>2757</v>
      </c>
      <c r="P898" s="2810"/>
    </row>
    <row r="899" spans="2:16" ht="27">
      <c r="B899" s="827" t="s">
        <v>4006</v>
      </c>
      <c r="C899" s="1912"/>
      <c r="D899" s="2831" t="s">
        <v>4306</v>
      </c>
      <c r="E899" s="2839">
        <v>615</v>
      </c>
      <c r="F899" s="2832" t="s">
        <v>4031</v>
      </c>
      <c r="G899" s="19"/>
      <c r="H899" s="2829" t="s">
        <v>2757</v>
      </c>
      <c r="I899" s="2829"/>
      <c r="J899" s="2829"/>
      <c r="K899" s="2829"/>
      <c r="L899" s="2840">
        <v>215250</v>
      </c>
      <c r="M899" s="2829"/>
      <c r="O899" s="2813" t="s">
        <v>2757</v>
      </c>
      <c r="P899" s="2810"/>
    </row>
    <row r="900" spans="2:16">
      <c r="B900" s="827" t="s">
        <v>4006</v>
      </c>
      <c r="C900" s="1912"/>
      <c r="D900" s="2831" t="s">
        <v>4309</v>
      </c>
      <c r="E900" s="2839">
        <v>200</v>
      </c>
      <c r="F900" s="2832" t="s">
        <v>4025</v>
      </c>
      <c r="G900" s="19"/>
      <c r="H900" s="2829" t="s">
        <v>2757</v>
      </c>
      <c r="I900" s="2829"/>
      <c r="J900" s="2829"/>
      <c r="K900" s="2829"/>
      <c r="L900" s="2840">
        <v>7000</v>
      </c>
      <c r="M900" s="2829"/>
      <c r="O900" s="2813" t="s">
        <v>2757</v>
      </c>
      <c r="P900" s="2810"/>
    </row>
    <row r="901" spans="2:16">
      <c r="B901" s="827" t="s">
        <v>4006</v>
      </c>
      <c r="C901" s="1912"/>
      <c r="D901" s="2831" t="s">
        <v>4313</v>
      </c>
      <c r="E901" s="2839">
        <v>150</v>
      </c>
      <c r="F901" s="2832" t="s">
        <v>4010</v>
      </c>
      <c r="G901" s="19"/>
      <c r="H901" s="2829" t="s">
        <v>2757</v>
      </c>
      <c r="I901" s="2829"/>
      <c r="J901" s="2829"/>
      <c r="K901" s="2829"/>
      <c r="L901" s="2840">
        <v>597.5</v>
      </c>
      <c r="M901" s="2829"/>
      <c r="O901" s="2813" t="s">
        <v>2757</v>
      </c>
      <c r="P901" s="2810"/>
    </row>
    <row r="902" spans="2:16">
      <c r="B902" s="827" t="s">
        <v>4006</v>
      </c>
      <c r="C902" s="1912"/>
      <c r="D902" s="2831" t="s">
        <v>4314</v>
      </c>
      <c r="E902" s="2839">
        <v>7</v>
      </c>
      <c r="F902" s="2832" t="s">
        <v>4014</v>
      </c>
      <c r="G902" s="19"/>
      <c r="H902" s="2829" t="s">
        <v>2757</v>
      </c>
      <c r="I902" s="2829"/>
      <c r="J902" s="2829"/>
      <c r="K902" s="2829"/>
      <c r="L902" s="2840">
        <v>580.65</v>
      </c>
      <c r="M902" s="2829"/>
      <c r="O902" s="2813" t="s">
        <v>2757</v>
      </c>
      <c r="P902" s="2810"/>
    </row>
    <row r="903" spans="2:16">
      <c r="B903" s="827" t="s">
        <v>4006</v>
      </c>
      <c r="C903" s="1912"/>
      <c r="D903" s="2831" t="s">
        <v>4315</v>
      </c>
      <c r="E903" s="2839">
        <v>100</v>
      </c>
      <c r="F903" s="2832" t="s">
        <v>4010</v>
      </c>
      <c r="G903" s="19"/>
      <c r="H903" s="2829" t="s">
        <v>2757</v>
      </c>
      <c r="I903" s="2829"/>
      <c r="J903" s="2829"/>
      <c r="K903" s="2829"/>
      <c r="L903" s="2840">
        <v>1100</v>
      </c>
      <c r="M903" s="2829"/>
      <c r="O903" s="2813" t="s">
        <v>2757</v>
      </c>
      <c r="P903" s="2810"/>
    </row>
    <row r="904" spans="2:16">
      <c r="B904" s="827" t="s">
        <v>4006</v>
      </c>
      <c r="C904" s="1912"/>
      <c r="D904" s="2831" t="s">
        <v>4316</v>
      </c>
      <c r="E904" s="2839">
        <v>225</v>
      </c>
      <c r="F904" s="2832" t="s">
        <v>4010</v>
      </c>
      <c r="G904" s="19"/>
      <c r="H904" s="2829" t="s">
        <v>2757</v>
      </c>
      <c r="I904" s="2829"/>
      <c r="J904" s="2829"/>
      <c r="K904" s="2829"/>
      <c r="L904" s="2840">
        <v>1124.5</v>
      </c>
      <c r="M904" s="2829"/>
      <c r="O904" s="2813" t="s">
        <v>2757</v>
      </c>
      <c r="P904" s="2810"/>
    </row>
    <row r="905" spans="2:16">
      <c r="B905" s="827" t="s">
        <v>4006</v>
      </c>
      <c r="C905" s="1912"/>
      <c r="D905" s="2831" t="s">
        <v>4317</v>
      </c>
      <c r="E905" s="2839">
        <v>50</v>
      </c>
      <c r="F905" s="2834" t="s">
        <v>4020</v>
      </c>
      <c r="G905" s="19"/>
      <c r="H905" s="2829" t="s">
        <v>2757</v>
      </c>
      <c r="I905" s="2829"/>
      <c r="J905" s="2829"/>
      <c r="K905" s="2829"/>
      <c r="L905" s="2840">
        <v>14950</v>
      </c>
      <c r="M905" s="2829"/>
      <c r="O905" s="2813" t="s">
        <v>2757</v>
      </c>
      <c r="P905" s="2810"/>
    </row>
    <row r="906" spans="2:16">
      <c r="B906" s="827" t="s">
        <v>4006</v>
      </c>
      <c r="C906" s="1912"/>
      <c r="D906" s="2831" t="s">
        <v>4318</v>
      </c>
      <c r="E906" s="2839">
        <v>810</v>
      </c>
      <c r="F906" s="2832" t="s">
        <v>4010</v>
      </c>
      <c r="G906" s="19"/>
      <c r="H906" s="2829" t="s">
        <v>2757</v>
      </c>
      <c r="I906" s="2829"/>
      <c r="J906" s="2829"/>
      <c r="K906" s="2829"/>
      <c r="L906" s="2840">
        <v>12960</v>
      </c>
      <c r="M906" s="2829"/>
      <c r="O906" s="2813" t="s">
        <v>2757</v>
      </c>
      <c r="P906" s="2810"/>
    </row>
    <row r="907" spans="2:16">
      <c r="B907" s="827" t="s">
        <v>4006</v>
      </c>
      <c r="C907" s="1912"/>
      <c r="D907" s="2831" t="s">
        <v>4321</v>
      </c>
      <c r="E907" s="2839">
        <v>1</v>
      </c>
      <c r="F907" s="2832" t="s">
        <v>4014</v>
      </c>
      <c r="G907" s="19"/>
      <c r="H907" s="2829" t="s">
        <v>2757</v>
      </c>
      <c r="I907" s="2829"/>
      <c r="J907" s="2829"/>
      <c r="K907" s="2829"/>
      <c r="L907" s="2840">
        <v>93.95</v>
      </c>
      <c r="M907" s="2829"/>
      <c r="O907" s="2813" t="s">
        <v>2757</v>
      </c>
      <c r="P907" s="2810"/>
    </row>
    <row r="908" spans="2:16">
      <c r="B908" s="827" t="s">
        <v>4006</v>
      </c>
      <c r="C908" s="1912"/>
      <c r="D908" s="2831" t="s">
        <v>4325</v>
      </c>
      <c r="E908" s="2839">
        <v>100</v>
      </c>
      <c r="F908" s="2832" t="s">
        <v>4010</v>
      </c>
      <c r="G908" s="19"/>
      <c r="H908" s="2829" t="s">
        <v>2757</v>
      </c>
      <c r="I908" s="2829"/>
      <c r="J908" s="2829"/>
      <c r="K908" s="2829"/>
      <c r="L908" s="2840">
        <v>6400</v>
      </c>
      <c r="M908" s="2829"/>
      <c r="O908" s="2813" t="s">
        <v>2757</v>
      </c>
      <c r="P908" s="2810"/>
    </row>
    <row r="909" spans="2:16" ht="27">
      <c r="B909" s="827" t="s">
        <v>4006</v>
      </c>
      <c r="C909" s="1912"/>
      <c r="D909" s="2831" t="s">
        <v>4329</v>
      </c>
      <c r="E909" s="2839">
        <v>300</v>
      </c>
      <c r="F909" s="2832" t="s">
        <v>4010</v>
      </c>
      <c r="G909" s="19"/>
      <c r="H909" s="2829" t="s">
        <v>2757</v>
      </c>
      <c r="I909" s="2829"/>
      <c r="J909" s="2829"/>
      <c r="K909" s="2829"/>
      <c r="L909" s="2840">
        <v>45000</v>
      </c>
      <c r="M909" s="2829"/>
      <c r="O909" s="2813" t="s">
        <v>2757</v>
      </c>
      <c r="P909" s="2810"/>
    </row>
    <row r="910" spans="2:16">
      <c r="B910" s="827" t="s">
        <v>4006</v>
      </c>
      <c r="C910" s="1912"/>
      <c r="D910" s="2831" t="s">
        <v>4330</v>
      </c>
      <c r="E910" s="2839">
        <v>2</v>
      </c>
      <c r="F910" s="2832" t="s">
        <v>4014</v>
      </c>
      <c r="G910" s="19"/>
      <c r="H910" s="2829" t="s">
        <v>2757</v>
      </c>
      <c r="I910" s="2829"/>
      <c r="J910" s="2829"/>
      <c r="K910" s="2829"/>
      <c r="L910" s="2840">
        <v>72</v>
      </c>
      <c r="M910" s="2829"/>
      <c r="O910" s="2813" t="s">
        <v>2757</v>
      </c>
      <c r="P910" s="2810"/>
    </row>
    <row r="911" spans="2:16">
      <c r="B911" s="827" t="s">
        <v>4006</v>
      </c>
      <c r="C911" s="1912"/>
      <c r="D911" s="2831" t="s">
        <v>4331</v>
      </c>
      <c r="E911" s="2839">
        <v>4000</v>
      </c>
      <c r="F911" s="2832" t="s">
        <v>4203</v>
      </c>
      <c r="G911" s="19"/>
      <c r="H911" s="2829" t="s">
        <v>2757</v>
      </c>
      <c r="I911" s="2829"/>
      <c r="J911" s="2829"/>
      <c r="K911" s="2829"/>
      <c r="L911" s="2840">
        <v>40000</v>
      </c>
      <c r="M911" s="2829"/>
      <c r="O911" s="2813" t="s">
        <v>2757</v>
      </c>
      <c r="P911" s="2810"/>
    </row>
    <row r="912" spans="2:16">
      <c r="B912" s="827" t="s">
        <v>4006</v>
      </c>
      <c r="C912" s="1912"/>
      <c r="D912" s="2831" t="s">
        <v>4334</v>
      </c>
      <c r="E912" s="2839">
        <v>10</v>
      </c>
      <c r="F912" s="2832" t="s">
        <v>4014</v>
      </c>
      <c r="G912" s="19"/>
      <c r="H912" s="2829" t="s">
        <v>2757</v>
      </c>
      <c r="I912" s="2829"/>
      <c r="J912" s="2829"/>
      <c r="K912" s="2829"/>
      <c r="L912" s="2840">
        <v>86664</v>
      </c>
      <c r="M912" s="2829"/>
      <c r="O912" s="2813" t="s">
        <v>2757</v>
      </c>
      <c r="P912" s="2810"/>
    </row>
    <row r="913" spans="2:16">
      <c r="B913" s="827" t="s">
        <v>4006</v>
      </c>
      <c r="C913" s="1912"/>
      <c r="D913" s="2831" t="s">
        <v>4338</v>
      </c>
      <c r="E913" s="2839">
        <v>5750</v>
      </c>
      <c r="F913" s="2832" t="s">
        <v>4010</v>
      </c>
      <c r="G913" s="19"/>
      <c r="H913" s="2829" t="s">
        <v>2757</v>
      </c>
      <c r="I913" s="2829"/>
      <c r="J913" s="2829"/>
      <c r="K913" s="2829"/>
      <c r="L913" s="2840">
        <v>10450</v>
      </c>
      <c r="M913" s="2829"/>
      <c r="O913" s="2813" t="s">
        <v>2757</v>
      </c>
      <c r="P913" s="2810"/>
    </row>
    <row r="914" spans="2:16">
      <c r="B914" s="827" t="s">
        <v>4006</v>
      </c>
      <c r="C914" s="1912"/>
      <c r="D914" s="2831" t="s">
        <v>4339</v>
      </c>
      <c r="E914" s="2839">
        <v>1125</v>
      </c>
      <c r="F914" s="2832" t="s">
        <v>4025</v>
      </c>
      <c r="G914" s="19"/>
      <c r="H914" s="2829" t="s">
        <v>2757</v>
      </c>
      <c r="I914" s="2829"/>
      <c r="J914" s="2829"/>
      <c r="K914" s="2829"/>
      <c r="L914" s="2840">
        <v>143750</v>
      </c>
      <c r="M914" s="2829"/>
      <c r="O914" s="2813" t="s">
        <v>2757</v>
      </c>
      <c r="P914" s="2810"/>
    </row>
    <row r="915" spans="2:16">
      <c r="B915" s="827" t="s">
        <v>4006</v>
      </c>
      <c r="C915" s="1912"/>
      <c r="D915" s="2831" t="s">
        <v>4341</v>
      </c>
      <c r="E915" s="2839">
        <v>500</v>
      </c>
      <c r="F915" s="2832" t="s">
        <v>4010</v>
      </c>
      <c r="G915" s="19"/>
      <c r="H915" s="2829" t="s">
        <v>2757</v>
      </c>
      <c r="I915" s="2829"/>
      <c r="J915" s="2829"/>
      <c r="K915" s="2829"/>
      <c r="L915" s="2840">
        <v>4990</v>
      </c>
      <c r="M915" s="2829"/>
      <c r="O915" s="2813" t="s">
        <v>2757</v>
      </c>
      <c r="P915" s="2810"/>
    </row>
    <row r="916" spans="2:16">
      <c r="B916" s="827" t="s">
        <v>4006</v>
      </c>
      <c r="C916" s="1912"/>
      <c r="D916" s="2831" t="s">
        <v>4342</v>
      </c>
      <c r="E916" s="2839">
        <v>175</v>
      </c>
      <c r="F916" s="2832" t="s">
        <v>4010</v>
      </c>
      <c r="G916" s="19"/>
      <c r="H916" s="2829" t="s">
        <v>2757</v>
      </c>
      <c r="I916" s="2829"/>
      <c r="J916" s="2829"/>
      <c r="K916" s="2829"/>
      <c r="L916" s="2840">
        <v>2791.25</v>
      </c>
      <c r="M916" s="2829"/>
      <c r="O916" s="2813" t="s">
        <v>2757</v>
      </c>
      <c r="P916" s="2810"/>
    </row>
    <row r="917" spans="2:16" ht="27">
      <c r="B917" s="827" t="s">
        <v>4006</v>
      </c>
      <c r="C917" s="1912"/>
      <c r="D917" s="2831" t="s">
        <v>4343</v>
      </c>
      <c r="E917" s="2839">
        <v>400</v>
      </c>
      <c r="F917" s="2832" t="s">
        <v>4010</v>
      </c>
      <c r="G917" s="19"/>
      <c r="H917" s="2829" t="s">
        <v>2757</v>
      </c>
      <c r="I917" s="2829"/>
      <c r="J917" s="2829"/>
      <c r="K917" s="2829"/>
      <c r="L917" s="2840">
        <v>6800</v>
      </c>
      <c r="M917" s="2829"/>
      <c r="O917" s="2813" t="s">
        <v>2757</v>
      </c>
      <c r="P917" s="2810"/>
    </row>
    <row r="918" spans="2:16" ht="27">
      <c r="B918" s="827" t="s">
        <v>4006</v>
      </c>
      <c r="C918" s="1912"/>
      <c r="D918" s="2831" t="s">
        <v>4344</v>
      </c>
      <c r="E918" s="2839">
        <v>10</v>
      </c>
      <c r="F918" s="2832" t="s">
        <v>4025</v>
      </c>
      <c r="G918" s="19"/>
      <c r="H918" s="2829" t="s">
        <v>2757</v>
      </c>
      <c r="I918" s="2829"/>
      <c r="J918" s="2829"/>
      <c r="K918" s="2829"/>
      <c r="L918" s="2840">
        <v>4130</v>
      </c>
      <c r="M918" s="2829"/>
      <c r="O918" s="2813" t="s">
        <v>2757</v>
      </c>
      <c r="P918" s="2810"/>
    </row>
    <row r="919" spans="2:16">
      <c r="B919" s="827" t="s">
        <v>4006</v>
      </c>
      <c r="C919" s="1912"/>
      <c r="D919" s="2831" t="s">
        <v>4345</v>
      </c>
      <c r="E919" s="2839">
        <v>900</v>
      </c>
      <c r="F919" s="2832" t="s">
        <v>4010</v>
      </c>
      <c r="G919" s="19"/>
      <c r="H919" s="2829" t="s">
        <v>2757</v>
      </c>
      <c r="I919" s="2829"/>
      <c r="J919" s="2829"/>
      <c r="K919" s="2829"/>
      <c r="L919" s="2840">
        <v>39600</v>
      </c>
      <c r="M919" s="2829"/>
      <c r="O919" s="2813" t="s">
        <v>2757</v>
      </c>
      <c r="P919" s="2810"/>
    </row>
    <row r="920" spans="2:16">
      <c r="B920" s="827" t="s">
        <v>4006</v>
      </c>
      <c r="C920" s="1912"/>
      <c r="D920" s="2831" t="s">
        <v>4346</v>
      </c>
      <c r="E920" s="2839">
        <v>100</v>
      </c>
      <c r="F920" s="2832" t="s">
        <v>4010</v>
      </c>
      <c r="G920" s="19"/>
      <c r="H920" s="2829" t="s">
        <v>2757</v>
      </c>
      <c r="I920" s="2829"/>
      <c r="J920" s="2829"/>
      <c r="K920" s="2829"/>
      <c r="L920" s="2840">
        <v>1300</v>
      </c>
      <c r="M920" s="2829"/>
      <c r="O920" s="2813" t="s">
        <v>2757</v>
      </c>
      <c r="P920" s="2810"/>
    </row>
    <row r="921" spans="2:16">
      <c r="B921" s="827" t="s">
        <v>4006</v>
      </c>
      <c r="C921" s="1912"/>
      <c r="D921" s="2831" t="s">
        <v>4347</v>
      </c>
      <c r="E921" s="2839">
        <v>35</v>
      </c>
      <c r="F921" s="2832" t="s">
        <v>4010</v>
      </c>
      <c r="G921" s="19"/>
      <c r="H921" s="2829" t="s">
        <v>2757</v>
      </c>
      <c r="I921" s="2829"/>
      <c r="J921" s="2829"/>
      <c r="K921" s="2829"/>
      <c r="L921" s="2840">
        <v>663.25</v>
      </c>
      <c r="M921" s="2829"/>
      <c r="O921" s="2813" t="s">
        <v>2757</v>
      </c>
      <c r="P921" s="2810"/>
    </row>
    <row r="922" spans="2:16">
      <c r="B922" s="827" t="s">
        <v>4006</v>
      </c>
      <c r="C922" s="1912"/>
      <c r="D922" s="2831" t="s">
        <v>4355</v>
      </c>
      <c r="E922" s="2839">
        <v>100</v>
      </c>
      <c r="F922" s="2832" t="s">
        <v>4010</v>
      </c>
      <c r="G922" s="19"/>
      <c r="H922" s="2829" t="s">
        <v>2757</v>
      </c>
      <c r="I922" s="2829"/>
      <c r="J922" s="2829"/>
      <c r="K922" s="2829"/>
      <c r="L922" s="2840">
        <v>69300</v>
      </c>
      <c r="M922" s="2829"/>
      <c r="O922" s="2813" t="s">
        <v>2757</v>
      </c>
      <c r="P922" s="2810"/>
    </row>
    <row r="923" spans="2:16">
      <c r="B923" s="827" t="s">
        <v>4006</v>
      </c>
      <c r="C923" s="1912"/>
      <c r="D923" s="2831" t="s">
        <v>4358</v>
      </c>
      <c r="E923" s="2839">
        <v>2000</v>
      </c>
      <c r="F923" s="2832" t="s">
        <v>2220</v>
      </c>
      <c r="G923" s="19"/>
      <c r="H923" s="2829" t="s">
        <v>2757</v>
      </c>
      <c r="I923" s="2829"/>
      <c r="J923" s="2829"/>
      <c r="K923" s="2829"/>
      <c r="L923" s="2840">
        <v>240000</v>
      </c>
      <c r="M923" s="2829"/>
      <c r="O923" s="2813" t="s">
        <v>2757</v>
      </c>
      <c r="P923" s="2810"/>
    </row>
    <row r="924" spans="2:16">
      <c r="B924" s="827" t="s">
        <v>4006</v>
      </c>
      <c r="C924" s="1912"/>
      <c r="D924" s="2831" t="s">
        <v>4362</v>
      </c>
      <c r="E924" s="2839">
        <v>200</v>
      </c>
      <c r="F924" s="2834" t="s">
        <v>4361</v>
      </c>
      <c r="G924" s="19"/>
      <c r="H924" s="2829" t="s">
        <v>2757</v>
      </c>
      <c r="I924" s="2829"/>
      <c r="J924" s="2829"/>
      <c r="K924" s="2829"/>
      <c r="L924" s="2840">
        <v>5200</v>
      </c>
      <c r="M924" s="2829"/>
      <c r="O924" s="2813" t="s">
        <v>2757</v>
      </c>
      <c r="P924" s="2810"/>
    </row>
    <row r="925" spans="2:16" ht="27">
      <c r="B925" s="827" t="s">
        <v>4006</v>
      </c>
      <c r="C925" s="1912"/>
      <c r="D925" s="2831" t="s">
        <v>4368</v>
      </c>
      <c r="E925" s="2839">
        <v>30</v>
      </c>
      <c r="F925" s="2834" t="s">
        <v>4367</v>
      </c>
      <c r="G925" s="19"/>
      <c r="H925" s="2829" t="s">
        <v>2757</v>
      </c>
      <c r="I925" s="2829"/>
      <c r="J925" s="2829"/>
      <c r="K925" s="2829"/>
      <c r="L925" s="2840">
        <v>2820</v>
      </c>
      <c r="M925" s="2829"/>
      <c r="O925" s="2813" t="s">
        <v>2757</v>
      </c>
      <c r="P925" s="2810"/>
    </row>
    <row r="926" spans="2:16" ht="27">
      <c r="B926" s="827" t="s">
        <v>4006</v>
      </c>
      <c r="C926" s="1912"/>
      <c r="D926" s="2831" t="s">
        <v>4369</v>
      </c>
      <c r="E926" s="2839">
        <v>18</v>
      </c>
      <c r="F926" s="2832" t="s">
        <v>4025</v>
      </c>
      <c r="G926" s="19"/>
      <c r="H926" s="2829" t="s">
        <v>2757</v>
      </c>
      <c r="I926" s="2829"/>
      <c r="J926" s="2829"/>
      <c r="K926" s="2829"/>
      <c r="L926" s="2840">
        <v>1692</v>
      </c>
      <c r="M926" s="2829"/>
      <c r="O926" s="2813" t="s">
        <v>2757</v>
      </c>
      <c r="P926" s="2810"/>
    </row>
    <row r="927" spans="2:16" ht="27">
      <c r="B927" s="827" t="s">
        <v>4006</v>
      </c>
      <c r="C927" s="1912"/>
      <c r="D927" s="2831" t="s">
        <v>4375</v>
      </c>
      <c r="E927" s="2839">
        <v>364</v>
      </c>
      <c r="F927" s="2832" t="s">
        <v>4014</v>
      </c>
      <c r="G927" s="19"/>
      <c r="H927" s="2829" t="s">
        <v>2757</v>
      </c>
      <c r="I927" s="2829"/>
      <c r="J927" s="2829"/>
      <c r="K927" s="2829"/>
      <c r="L927" s="2840">
        <v>19656</v>
      </c>
      <c r="M927" s="2829"/>
      <c r="O927" s="2813" t="s">
        <v>2757</v>
      </c>
      <c r="P927" s="2810"/>
    </row>
    <row r="928" spans="2:16">
      <c r="B928" s="827" t="s">
        <v>4006</v>
      </c>
      <c r="C928" s="1912"/>
      <c r="D928" s="2831" t="s">
        <v>4376</v>
      </c>
      <c r="E928" s="2839">
        <v>240</v>
      </c>
      <c r="F928" s="2832" t="s">
        <v>4014</v>
      </c>
      <c r="G928" s="19"/>
      <c r="H928" s="2829" t="s">
        <v>2757</v>
      </c>
      <c r="I928" s="2829"/>
      <c r="J928" s="2829"/>
      <c r="K928" s="2829"/>
      <c r="L928" s="2840">
        <v>19440</v>
      </c>
      <c r="M928" s="2829"/>
      <c r="O928" s="2813" t="s">
        <v>2757</v>
      </c>
      <c r="P928" s="2810"/>
    </row>
    <row r="929" spans="2:16" ht="27">
      <c r="B929" s="827" t="s">
        <v>4006</v>
      </c>
      <c r="C929" s="1912"/>
      <c r="D929" s="2831" t="s">
        <v>4377</v>
      </c>
      <c r="E929" s="2839">
        <v>6000</v>
      </c>
      <c r="F929" s="2832" t="s">
        <v>4014</v>
      </c>
      <c r="G929" s="19"/>
      <c r="H929" s="2829" t="s">
        <v>2757</v>
      </c>
      <c r="I929" s="2829"/>
      <c r="J929" s="2829"/>
      <c r="K929" s="2829"/>
      <c r="L929" s="2840">
        <v>360000</v>
      </c>
      <c r="M929" s="2829"/>
      <c r="O929" s="2813" t="s">
        <v>2757</v>
      </c>
      <c r="P929" s="2810"/>
    </row>
    <row r="930" spans="2:16" ht="40.5">
      <c r="B930" s="827" t="s">
        <v>4006</v>
      </c>
      <c r="C930" s="1912"/>
      <c r="D930" s="2831" t="s">
        <v>4378</v>
      </c>
      <c r="E930" s="2839">
        <v>120</v>
      </c>
      <c r="F930" s="2832" t="s">
        <v>4014</v>
      </c>
      <c r="G930" s="19"/>
      <c r="H930" s="2829" t="s">
        <v>2757</v>
      </c>
      <c r="I930" s="2829"/>
      <c r="J930" s="2829"/>
      <c r="K930" s="2829"/>
      <c r="L930" s="2840">
        <v>6360</v>
      </c>
      <c r="M930" s="2829"/>
      <c r="O930" s="2813" t="s">
        <v>2757</v>
      </c>
      <c r="P930" s="2810"/>
    </row>
    <row r="931" spans="2:16" ht="27">
      <c r="B931" s="827" t="s">
        <v>4006</v>
      </c>
      <c r="C931" s="1912"/>
      <c r="D931" s="2831" t="s">
        <v>4379</v>
      </c>
      <c r="E931" s="2839">
        <v>1200</v>
      </c>
      <c r="F931" s="2832" t="s">
        <v>4014</v>
      </c>
      <c r="G931" s="19"/>
      <c r="H931" s="2829" t="s">
        <v>2757</v>
      </c>
      <c r="I931" s="2829"/>
      <c r="J931" s="2829"/>
      <c r="K931" s="2829"/>
      <c r="L931" s="2840">
        <v>73200</v>
      </c>
      <c r="M931" s="2829"/>
      <c r="O931" s="2813" t="s">
        <v>2757</v>
      </c>
      <c r="P931" s="2810"/>
    </row>
    <row r="932" spans="2:16">
      <c r="B932" s="827" t="s">
        <v>4006</v>
      </c>
      <c r="C932" s="1912"/>
      <c r="D932" s="2831" t="s">
        <v>4380</v>
      </c>
      <c r="E932" s="2839">
        <v>9600</v>
      </c>
      <c r="F932" s="2832" t="s">
        <v>4014</v>
      </c>
      <c r="G932" s="19"/>
      <c r="H932" s="2829" t="s">
        <v>2757</v>
      </c>
      <c r="I932" s="2829"/>
      <c r="J932" s="2829"/>
      <c r="K932" s="2829"/>
      <c r="L932" s="2840">
        <v>474000</v>
      </c>
      <c r="M932" s="2829"/>
      <c r="O932" s="2813" t="s">
        <v>2757</v>
      </c>
      <c r="P932" s="2810"/>
    </row>
    <row r="933" spans="2:16" ht="27">
      <c r="B933" s="827" t="s">
        <v>4006</v>
      </c>
      <c r="C933" s="1912"/>
      <c r="D933" s="2831" t="s">
        <v>4381</v>
      </c>
      <c r="E933" s="2839">
        <v>480</v>
      </c>
      <c r="F933" s="2832" t="s">
        <v>4014</v>
      </c>
      <c r="G933" s="19"/>
      <c r="H933" s="2829" t="s">
        <v>2757</v>
      </c>
      <c r="I933" s="2829"/>
      <c r="J933" s="2829"/>
      <c r="K933" s="2829"/>
      <c r="L933" s="2840">
        <v>23520</v>
      </c>
      <c r="M933" s="2829"/>
      <c r="O933" s="2813" t="s">
        <v>2757</v>
      </c>
      <c r="P933" s="2810"/>
    </row>
    <row r="934" spans="2:16" ht="27">
      <c r="B934" s="827" t="s">
        <v>4006</v>
      </c>
      <c r="C934" s="1912"/>
      <c r="D934" s="2831" t="s">
        <v>4382</v>
      </c>
      <c r="E934" s="2839">
        <v>1104</v>
      </c>
      <c r="F934" s="2832" t="s">
        <v>4014</v>
      </c>
      <c r="G934" s="19"/>
      <c r="H934" s="2829" t="s">
        <v>2757</v>
      </c>
      <c r="I934" s="2829"/>
      <c r="J934" s="2829"/>
      <c r="K934" s="2829"/>
      <c r="L934" s="2840">
        <v>65136</v>
      </c>
      <c r="M934" s="2829"/>
      <c r="O934" s="2813" t="s">
        <v>2757</v>
      </c>
      <c r="P934" s="2810"/>
    </row>
    <row r="935" spans="2:16" ht="27">
      <c r="B935" s="827" t="s">
        <v>4006</v>
      </c>
      <c r="C935" s="1912"/>
      <c r="D935" s="2831" t="s">
        <v>4383</v>
      </c>
      <c r="E935" s="2839">
        <v>960</v>
      </c>
      <c r="F935" s="2832" t="s">
        <v>4031</v>
      </c>
      <c r="G935" s="19"/>
      <c r="H935" s="2829" t="s">
        <v>2757</v>
      </c>
      <c r="I935" s="2829"/>
      <c r="J935" s="2829"/>
      <c r="K935" s="2829"/>
      <c r="L935" s="2840">
        <v>64320</v>
      </c>
      <c r="M935" s="2829"/>
      <c r="O935" s="2813" t="s">
        <v>2757</v>
      </c>
      <c r="P935" s="2810"/>
    </row>
    <row r="936" spans="2:16" ht="27">
      <c r="B936" s="827" t="s">
        <v>4006</v>
      </c>
      <c r="C936" s="1912"/>
      <c r="D936" s="2831" t="s">
        <v>4384</v>
      </c>
      <c r="E936" s="2839">
        <v>288</v>
      </c>
      <c r="F936" s="2832" t="s">
        <v>4014</v>
      </c>
      <c r="G936" s="19"/>
      <c r="H936" s="2829" t="s">
        <v>2757</v>
      </c>
      <c r="I936" s="2829"/>
      <c r="J936" s="2829"/>
      <c r="K936" s="2829"/>
      <c r="L936" s="2840">
        <v>18432</v>
      </c>
      <c r="M936" s="2829"/>
      <c r="O936" s="2813" t="s">
        <v>2757</v>
      </c>
      <c r="P936" s="2810"/>
    </row>
    <row r="937" spans="2:16" ht="40.5">
      <c r="B937" s="827" t="s">
        <v>4006</v>
      </c>
      <c r="C937" s="1912"/>
      <c r="D937" s="2831" t="s">
        <v>4385</v>
      </c>
      <c r="E937" s="2839">
        <v>240</v>
      </c>
      <c r="F937" s="2832" t="s">
        <v>4014</v>
      </c>
      <c r="G937" s="19"/>
      <c r="H937" s="2829" t="s">
        <v>2757</v>
      </c>
      <c r="I937" s="2829"/>
      <c r="J937" s="2829"/>
      <c r="K937" s="2829"/>
      <c r="L937" s="2840">
        <v>15600</v>
      </c>
      <c r="M937" s="2829"/>
      <c r="O937" s="2813" t="s">
        <v>2757</v>
      </c>
      <c r="P937" s="2810"/>
    </row>
    <row r="938" spans="2:16" ht="27">
      <c r="B938" s="827" t="s">
        <v>4006</v>
      </c>
      <c r="C938" s="1912"/>
      <c r="D938" s="2831" t="s">
        <v>4386</v>
      </c>
      <c r="E938" s="2839">
        <v>1728</v>
      </c>
      <c r="F938" s="2832" t="s">
        <v>4014</v>
      </c>
      <c r="G938" s="19"/>
      <c r="H938" s="2829" t="s">
        <v>2757</v>
      </c>
      <c r="I938" s="2829"/>
      <c r="J938" s="2829"/>
      <c r="K938" s="2829"/>
      <c r="L938" s="2840">
        <v>112320</v>
      </c>
      <c r="M938" s="2829"/>
      <c r="O938" s="2813" t="s">
        <v>2757</v>
      </c>
      <c r="P938" s="2810"/>
    </row>
    <row r="939" spans="2:16" ht="27">
      <c r="B939" s="827" t="s">
        <v>4006</v>
      </c>
      <c r="C939" s="1912"/>
      <c r="D939" s="2831" t="s">
        <v>4387</v>
      </c>
      <c r="E939" s="2839">
        <v>20</v>
      </c>
      <c r="F939" s="2832" t="s">
        <v>4014</v>
      </c>
      <c r="G939" s="19"/>
      <c r="H939" s="2829" t="s">
        <v>2757</v>
      </c>
      <c r="I939" s="2829"/>
      <c r="J939" s="2829"/>
      <c r="K939" s="2829"/>
      <c r="L939" s="2840">
        <v>8000</v>
      </c>
      <c r="M939" s="2829"/>
      <c r="O939" s="2813" t="s">
        <v>2757</v>
      </c>
      <c r="P939" s="2810"/>
    </row>
    <row r="940" spans="2:16">
      <c r="B940" s="827" t="s">
        <v>4006</v>
      </c>
      <c r="C940" s="1912"/>
      <c r="D940" s="2831" t="s">
        <v>4388</v>
      </c>
      <c r="E940" s="2839">
        <v>400</v>
      </c>
      <c r="F940" s="2832" t="s">
        <v>4014</v>
      </c>
      <c r="G940" s="19"/>
      <c r="H940" s="2829" t="s">
        <v>2757</v>
      </c>
      <c r="I940" s="2829"/>
      <c r="J940" s="2829"/>
      <c r="K940" s="2829"/>
      <c r="L940" s="2840">
        <v>75600</v>
      </c>
      <c r="M940" s="2829"/>
      <c r="O940" s="2813" t="s">
        <v>2757</v>
      </c>
      <c r="P940" s="2810"/>
    </row>
    <row r="941" spans="2:16" ht="27">
      <c r="B941" s="827" t="s">
        <v>4006</v>
      </c>
      <c r="C941" s="1912"/>
      <c r="D941" s="2831" t="s">
        <v>4389</v>
      </c>
      <c r="E941" s="2839">
        <v>288</v>
      </c>
      <c r="F941" s="2832" t="s">
        <v>4014</v>
      </c>
      <c r="G941" s="19"/>
      <c r="H941" s="2829" t="s">
        <v>2757</v>
      </c>
      <c r="I941" s="2829"/>
      <c r="J941" s="2829"/>
      <c r="K941" s="2829"/>
      <c r="L941" s="2840">
        <v>12096</v>
      </c>
      <c r="M941" s="2829"/>
      <c r="O941" s="2813" t="s">
        <v>2757</v>
      </c>
      <c r="P941" s="2810"/>
    </row>
    <row r="942" spans="2:16" ht="27">
      <c r="B942" s="827" t="s">
        <v>4006</v>
      </c>
      <c r="C942" s="1912"/>
      <c r="D942" s="2831" t="s">
        <v>4390</v>
      </c>
      <c r="E942" s="2839">
        <v>1118</v>
      </c>
      <c r="F942" s="2832" t="s">
        <v>4014</v>
      </c>
      <c r="G942" s="19"/>
      <c r="H942" s="2829" t="s">
        <v>2757</v>
      </c>
      <c r="I942" s="2829"/>
      <c r="J942" s="2829"/>
      <c r="K942" s="2829"/>
      <c r="L942" s="2840">
        <v>78260</v>
      </c>
      <c r="M942" s="2829"/>
      <c r="O942" s="2813" t="s">
        <v>2757</v>
      </c>
      <c r="P942" s="2810"/>
    </row>
    <row r="943" spans="2:16">
      <c r="B943" s="827" t="s">
        <v>4006</v>
      </c>
      <c r="C943" s="1912"/>
      <c r="D943" s="2831" t="s">
        <v>4391</v>
      </c>
      <c r="E943" s="2839">
        <v>12</v>
      </c>
      <c r="F943" s="2832" t="s">
        <v>4014</v>
      </c>
      <c r="G943" s="19"/>
      <c r="H943" s="2829" t="s">
        <v>2757</v>
      </c>
      <c r="I943" s="2829"/>
      <c r="J943" s="2829"/>
      <c r="K943" s="2829"/>
      <c r="L943" s="2840">
        <v>2040</v>
      </c>
      <c r="M943" s="2829"/>
      <c r="O943" s="2813" t="s">
        <v>2757</v>
      </c>
      <c r="P943" s="2810"/>
    </row>
    <row r="944" spans="2:16" ht="27">
      <c r="B944" s="827" t="s">
        <v>4006</v>
      </c>
      <c r="C944" s="1912"/>
      <c r="D944" s="2831" t="s">
        <v>4392</v>
      </c>
      <c r="E944" s="2839">
        <v>1128</v>
      </c>
      <c r="F944" s="2832" t="s">
        <v>4014</v>
      </c>
      <c r="G944" s="19"/>
      <c r="H944" s="2829" t="s">
        <v>2757</v>
      </c>
      <c r="I944" s="2829"/>
      <c r="J944" s="2829"/>
      <c r="K944" s="2829"/>
      <c r="L944" s="2840">
        <v>57528</v>
      </c>
      <c r="M944" s="2829"/>
      <c r="O944" s="2813" t="s">
        <v>2757</v>
      </c>
      <c r="P944" s="2810"/>
    </row>
    <row r="945" spans="2:16" ht="27">
      <c r="B945" s="827" t="s">
        <v>4006</v>
      </c>
      <c r="C945" s="1912"/>
      <c r="D945" s="2831" t="s">
        <v>4393</v>
      </c>
      <c r="E945" s="2839">
        <v>25</v>
      </c>
      <c r="F945" s="2832" t="s">
        <v>4014</v>
      </c>
      <c r="G945" s="19"/>
      <c r="H945" s="2829" t="s">
        <v>2757</v>
      </c>
      <c r="I945" s="2829"/>
      <c r="J945" s="2829"/>
      <c r="K945" s="2829"/>
      <c r="L945" s="2840">
        <v>950</v>
      </c>
      <c r="M945" s="2829"/>
      <c r="O945" s="2813" t="s">
        <v>2757</v>
      </c>
      <c r="P945" s="2810"/>
    </row>
    <row r="946" spans="2:16" ht="157.5" customHeight="1">
      <c r="B946" s="827" t="s">
        <v>4006</v>
      </c>
      <c r="C946" s="1912"/>
      <c r="D946" s="2841" t="s">
        <v>4394</v>
      </c>
      <c r="E946" s="2839">
        <v>21300</v>
      </c>
      <c r="F946" s="2842" t="s">
        <v>1733</v>
      </c>
      <c r="G946" s="19"/>
      <c r="H946" s="2829" t="s">
        <v>2757</v>
      </c>
      <c r="I946" s="2829"/>
      <c r="J946" s="2829"/>
      <c r="K946" s="2829"/>
      <c r="L946" s="2840">
        <v>6460000</v>
      </c>
      <c r="M946" s="2829"/>
      <c r="O946" s="2813" t="s">
        <v>2757</v>
      </c>
      <c r="P946" s="2810"/>
    </row>
    <row r="947" spans="2:16" ht="27">
      <c r="B947" s="827" t="s">
        <v>4006</v>
      </c>
      <c r="C947" s="2837" t="s">
        <v>4395</v>
      </c>
      <c r="D947" s="2831" t="s">
        <v>4019</v>
      </c>
      <c r="E947" s="2832">
        <v>100</v>
      </c>
      <c r="F947" s="2832" t="s">
        <v>4010</v>
      </c>
      <c r="G947" s="19"/>
      <c r="H947" s="2829" t="s">
        <v>422</v>
      </c>
      <c r="I947" s="2829"/>
      <c r="J947" s="2829"/>
      <c r="K947" s="2829"/>
      <c r="L947" s="2833">
        <v>142.19999999999999</v>
      </c>
      <c r="M947" s="2829"/>
      <c r="O947" s="2809" t="s">
        <v>2757</v>
      </c>
      <c r="P947" s="2810"/>
    </row>
    <row r="948" spans="2:16">
      <c r="B948" s="827" t="s">
        <v>4006</v>
      </c>
      <c r="C948" s="2837"/>
      <c r="D948" s="2831" t="s">
        <v>4028</v>
      </c>
      <c r="E948" s="2832">
        <v>15</v>
      </c>
      <c r="F948" s="2832" t="s">
        <v>4025</v>
      </c>
      <c r="G948" s="19"/>
      <c r="H948" s="2829" t="s">
        <v>2757</v>
      </c>
      <c r="I948" s="2829"/>
      <c r="J948" s="2829"/>
      <c r="K948" s="2829"/>
      <c r="L948" s="2833">
        <v>345</v>
      </c>
      <c r="M948" s="2829"/>
      <c r="O948" s="2809" t="s">
        <v>2757</v>
      </c>
      <c r="P948" s="2810"/>
    </row>
    <row r="949" spans="2:16">
      <c r="B949" s="827" t="s">
        <v>4006</v>
      </c>
      <c r="C949" s="2837"/>
      <c r="D949" s="2831" t="s">
        <v>4040</v>
      </c>
      <c r="E949" s="2832">
        <v>100</v>
      </c>
      <c r="F949" s="2832" t="s">
        <v>4010</v>
      </c>
      <c r="G949" s="19"/>
      <c r="H949" s="2829" t="s">
        <v>2757</v>
      </c>
      <c r="I949" s="2829"/>
      <c r="J949" s="2829"/>
      <c r="K949" s="2829"/>
      <c r="L949" s="2833">
        <v>48.5</v>
      </c>
      <c r="M949" s="2829"/>
      <c r="O949" s="2809" t="s">
        <v>2757</v>
      </c>
      <c r="P949" s="2810"/>
    </row>
    <row r="950" spans="2:16">
      <c r="B950" s="827" t="s">
        <v>4006</v>
      </c>
      <c r="C950" s="2837"/>
      <c r="D950" s="2831" t="s">
        <v>4048</v>
      </c>
      <c r="E950" s="2832">
        <v>100</v>
      </c>
      <c r="F950" s="2832" t="s">
        <v>4010</v>
      </c>
      <c r="G950" s="19"/>
      <c r="H950" s="2829" t="s">
        <v>2757</v>
      </c>
      <c r="I950" s="2829"/>
      <c r="J950" s="2829"/>
      <c r="K950" s="2829"/>
      <c r="L950" s="2833">
        <v>1080</v>
      </c>
      <c r="M950" s="2829"/>
      <c r="O950" s="2809" t="s">
        <v>2757</v>
      </c>
      <c r="P950" s="2810"/>
    </row>
    <row r="951" spans="2:16">
      <c r="B951" s="827" t="s">
        <v>4006</v>
      </c>
      <c r="C951" s="2837"/>
      <c r="D951" s="2831" t="s">
        <v>4049</v>
      </c>
      <c r="E951" s="2832">
        <v>7</v>
      </c>
      <c r="F951" s="2832" t="s">
        <v>4014</v>
      </c>
      <c r="G951" s="19"/>
      <c r="H951" s="2829" t="s">
        <v>2757</v>
      </c>
      <c r="I951" s="2829"/>
      <c r="J951" s="2829"/>
      <c r="K951" s="2829"/>
      <c r="L951" s="2833">
        <v>1001.7</v>
      </c>
      <c r="M951" s="2829"/>
      <c r="O951" s="2809" t="s">
        <v>2757</v>
      </c>
      <c r="P951" s="2810"/>
    </row>
    <row r="952" spans="2:16">
      <c r="B952" s="827" t="s">
        <v>4006</v>
      </c>
      <c r="C952" s="2837"/>
      <c r="D952" s="2831" t="s">
        <v>4080</v>
      </c>
      <c r="E952" s="2832">
        <v>100</v>
      </c>
      <c r="F952" s="2832" t="s">
        <v>4010</v>
      </c>
      <c r="G952" s="19"/>
      <c r="H952" s="2829" t="s">
        <v>2757</v>
      </c>
      <c r="I952" s="2829"/>
      <c r="J952" s="2829"/>
      <c r="K952" s="2829"/>
      <c r="L952" s="2833">
        <v>309</v>
      </c>
      <c r="M952" s="2829"/>
      <c r="O952" s="2809" t="s">
        <v>2757</v>
      </c>
      <c r="P952" s="2810"/>
    </row>
    <row r="953" spans="2:16">
      <c r="B953" s="827" t="s">
        <v>4006</v>
      </c>
      <c r="C953" s="1912"/>
      <c r="D953" s="2831" t="s">
        <v>4094</v>
      </c>
      <c r="E953" s="2832">
        <v>610</v>
      </c>
      <c r="F953" s="2832" t="s">
        <v>4014</v>
      </c>
      <c r="G953" s="19"/>
      <c r="H953" s="2829" t="s">
        <v>2757</v>
      </c>
      <c r="I953" s="2829"/>
      <c r="J953" s="2829"/>
      <c r="K953" s="2829"/>
      <c r="L953" s="2833">
        <v>5786.5</v>
      </c>
      <c r="M953" s="2829"/>
      <c r="O953" s="2809" t="s">
        <v>2757</v>
      </c>
      <c r="P953" s="2810"/>
    </row>
    <row r="954" spans="2:16">
      <c r="B954" s="827" t="s">
        <v>4006</v>
      </c>
      <c r="C954" s="1912"/>
      <c r="D954" s="2831" t="s">
        <v>4095</v>
      </c>
      <c r="E954" s="2832">
        <v>300</v>
      </c>
      <c r="F954" s="2832" t="s">
        <v>4010</v>
      </c>
      <c r="G954" s="19"/>
      <c r="H954" s="2829" t="s">
        <v>2757</v>
      </c>
      <c r="I954" s="2829"/>
      <c r="J954" s="2829"/>
      <c r="K954" s="2829"/>
      <c r="L954" s="2833">
        <v>2460</v>
      </c>
      <c r="M954" s="2829"/>
      <c r="O954" s="2809" t="s">
        <v>2757</v>
      </c>
      <c r="P954" s="2810"/>
    </row>
    <row r="955" spans="2:16" ht="27">
      <c r="B955" s="827" t="s">
        <v>4006</v>
      </c>
      <c r="C955" s="1912"/>
      <c r="D955" s="2831" t="s">
        <v>4100</v>
      </c>
      <c r="E955" s="2832">
        <v>20</v>
      </c>
      <c r="F955" s="2832" t="s">
        <v>4014</v>
      </c>
      <c r="G955" s="19"/>
      <c r="H955" s="2829" t="s">
        <v>2757</v>
      </c>
      <c r="I955" s="2829"/>
      <c r="J955" s="2829"/>
      <c r="K955" s="2829"/>
      <c r="L955" s="2833">
        <v>386</v>
      </c>
      <c r="M955" s="2829"/>
      <c r="O955" s="2809" t="s">
        <v>2757</v>
      </c>
      <c r="P955" s="2810"/>
    </row>
    <row r="956" spans="2:16" ht="27">
      <c r="B956" s="827" t="s">
        <v>4006</v>
      </c>
      <c r="C956" s="1912"/>
      <c r="D956" s="2831" t="s">
        <v>4101</v>
      </c>
      <c r="E956" s="2832">
        <v>10</v>
      </c>
      <c r="F956" s="2832" t="s">
        <v>4014</v>
      </c>
      <c r="G956" s="19"/>
      <c r="H956" s="2829" t="s">
        <v>2757</v>
      </c>
      <c r="I956" s="2829"/>
      <c r="J956" s="2829"/>
      <c r="K956" s="2829"/>
      <c r="L956" s="2833">
        <v>1210</v>
      </c>
      <c r="M956" s="2829"/>
      <c r="O956" s="2809" t="s">
        <v>2757</v>
      </c>
      <c r="P956" s="2810"/>
    </row>
    <row r="957" spans="2:16" ht="27">
      <c r="B957" s="827" t="s">
        <v>4006</v>
      </c>
      <c r="C957" s="1912"/>
      <c r="D957" s="2831" t="s">
        <v>4108</v>
      </c>
      <c r="E957" s="2832">
        <v>10</v>
      </c>
      <c r="F957" s="2832" t="s">
        <v>4406</v>
      </c>
      <c r="G957" s="19"/>
      <c r="H957" s="2829" t="s">
        <v>2757</v>
      </c>
      <c r="I957" s="2829"/>
      <c r="J957" s="2829"/>
      <c r="K957" s="2829"/>
      <c r="L957" s="2833">
        <v>1143</v>
      </c>
      <c r="M957" s="2829"/>
      <c r="O957" s="2809" t="s">
        <v>2757</v>
      </c>
      <c r="P957" s="2810"/>
    </row>
    <row r="958" spans="2:16" ht="27">
      <c r="B958" s="827" t="s">
        <v>4006</v>
      </c>
      <c r="C958" s="1912"/>
      <c r="D958" s="2831" t="s">
        <v>4124</v>
      </c>
      <c r="E958" s="2832">
        <v>5</v>
      </c>
      <c r="F958" s="2832" t="s">
        <v>4014</v>
      </c>
      <c r="G958" s="19"/>
      <c r="H958" s="2829" t="s">
        <v>2757</v>
      </c>
      <c r="I958" s="2829"/>
      <c r="J958" s="2829"/>
      <c r="K958" s="2829"/>
      <c r="L958" s="2833">
        <v>693</v>
      </c>
      <c r="M958" s="2829"/>
      <c r="O958" s="2809" t="s">
        <v>2757</v>
      </c>
      <c r="P958" s="2810"/>
    </row>
    <row r="959" spans="2:16">
      <c r="B959" s="827" t="s">
        <v>4006</v>
      </c>
      <c r="C959" s="1912"/>
      <c r="D959" s="2831" t="s">
        <v>4128</v>
      </c>
      <c r="E959" s="2832">
        <v>30</v>
      </c>
      <c r="F959" s="2832" t="s">
        <v>4010</v>
      </c>
      <c r="G959" s="19"/>
      <c r="H959" s="2829" t="s">
        <v>2757</v>
      </c>
      <c r="I959" s="2829"/>
      <c r="J959" s="2829"/>
      <c r="K959" s="2829"/>
      <c r="L959" s="2833">
        <v>60</v>
      </c>
      <c r="M959" s="2829"/>
      <c r="O959" s="2809" t="s">
        <v>2757</v>
      </c>
      <c r="P959" s="2810"/>
    </row>
    <row r="960" spans="2:16">
      <c r="B960" s="827" t="s">
        <v>4006</v>
      </c>
      <c r="C960" s="1912"/>
      <c r="D960" s="2831" t="s">
        <v>4131</v>
      </c>
      <c r="E960" s="2832">
        <v>50</v>
      </c>
      <c r="F960" s="2832" t="s">
        <v>4010</v>
      </c>
      <c r="G960" s="19"/>
      <c r="H960" s="2829" t="s">
        <v>2757</v>
      </c>
      <c r="I960" s="2829"/>
      <c r="J960" s="2829"/>
      <c r="K960" s="2829"/>
      <c r="L960" s="2833">
        <v>1437.5</v>
      </c>
      <c r="M960" s="2829"/>
      <c r="O960" s="2809" t="s">
        <v>2757</v>
      </c>
      <c r="P960" s="2810"/>
    </row>
    <row r="961" spans="2:16" ht="27">
      <c r="B961" s="827" t="s">
        <v>4006</v>
      </c>
      <c r="C961" s="1912"/>
      <c r="D961" s="2831" t="s">
        <v>4134</v>
      </c>
      <c r="E961" s="2832">
        <v>70</v>
      </c>
      <c r="F961" s="2832" t="s">
        <v>4025</v>
      </c>
      <c r="G961" s="19"/>
      <c r="H961" s="2829" t="s">
        <v>2757</v>
      </c>
      <c r="I961" s="2829"/>
      <c r="J961" s="2829"/>
      <c r="K961" s="2829"/>
      <c r="L961" s="2833">
        <v>1872.5</v>
      </c>
      <c r="M961" s="2829"/>
      <c r="O961" s="2809" t="s">
        <v>2757</v>
      </c>
      <c r="P961" s="2810"/>
    </row>
    <row r="962" spans="2:16">
      <c r="B962" s="827" t="s">
        <v>4006</v>
      </c>
      <c r="C962" s="1912"/>
      <c r="D962" s="2831" t="s">
        <v>4135</v>
      </c>
      <c r="E962" s="2832">
        <v>6</v>
      </c>
      <c r="F962" s="2832" t="s">
        <v>4014</v>
      </c>
      <c r="G962" s="19"/>
      <c r="H962" s="2829" t="s">
        <v>2757</v>
      </c>
      <c r="I962" s="2829"/>
      <c r="J962" s="2829"/>
      <c r="K962" s="2829"/>
      <c r="L962" s="2833">
        <v>92.7</v>
      </c>
      <c r="M962" s="2829"/>
      <c r="O962" s="2809" t="s">
        <v>2757</v>
      </c>
      <c r="P962" s="2810"/>
    </row>
    <row r="963" spans="2:16" ht="27">
      <c r="B963" s="827" t="s">
        <v>4006</v>
      </c>
      <c r="C963" s="1912"/>
      <c r="D963" s="2831" t="s">
        <v>4138</v>
      </c>
      <c r="E963" s="2832">
        <v>20</v>
      </c>
      <c r="F963" s="2832" t="s">
        <v>4088</v>
      </c>
      <c r="G963" s="19"/>
      <c r="H963" s="2829" t="s">
        <v>2757</v>
      </c>
      <c r="I963" s="2829"/>
      <c r="J963" s="2829"/>
      <c r="K963" s="2829"/>
      <c r="L963" s="2833">
        <v>1400</v>
      </c>
      <c r="M963" s="2829"/>
      <c r="O963" s="2809" t="s">
        <v>2757</v>
      </c>
      <c r="P963" s="2810"/>
    </row>
    <row r="964" spans="2:16" ht="27">
      <c r="B964" s="827" t="s">
        <v>4006</v>
      </c>
      <c r="C964" s="1912"/>
      <c r="D964" s="2831" t="s">
        <v>4142</v>
      </c>
      <c r="E964" s="2832">
        <v>66</v>
      </c>
      <c r="F964" s="2832" t="s">
        <v>4025</v>
      </c>
      <c r="G964" s="19"/>
      <c r="H964" s="2829" t="s">
        <v>2757</v>
      </c>
      <c r="I964" s="2829"/>
      <c r="J964" s="2829"/>
      <c r="K964" s="2829"/>
      <c r="L964" s="2833">
        <v>8236.7999999999993</v>
      </c>
      <c r="M964" s="2829"/>
      <c r="O964" s="2809" t="s">
        <v>2757</v>
      </c>
      <c r="P964" s="2810"/>
    </row>
    <row r="965" spans="2:16">
      <c r="B965" s="827" t="s">
        <v>4006</v>
      </c>
      <c r="C965" s="1912"/>
      <c r="D965" s="2831" t="s">
        <v>4144</v>
      </c>
      <c r="E965" s="2832">
        <v>40</v>
      </c>
      <c r="F965" s="2832" t="s">
        <v>4014</v>
      </c>
      <c r="G965" s="19"/>
      <c r="H965" s="2829" t="s">
        <v>2757</v>
      </c>
      <c r="I965" s="2829"/>
      <c r="J965" s="2829"/>
      <c r="K965" s="2829"/>
      <c r="L965" s="2833">
        <v>1802</v>
      </c>
      <c r="M965" s="2829"/>
      <c r="O965" s="2809" t="s">
        <v>2757</v>
      </c>
      <c r="P965" s="2810"/>
    </row>
    <row r="966" spans="2:16">
      <c r="B966" s="827" t="s">
        <v>4006</v>
      </c>
      <c r="C966" s="1912"/>
      <c r="D966" s="2831" t="s">
        <v>4146</v>
      </c>
      <c r="E966" s="2832">
        <v>150</v>
      </c>
      <c r="F966" s="2832" t="s">
        <v>4088</v>
      </c>
      <c r="G966" s="19"/>
      <c r="H966" s="2829" t="s">
        <v>2757</v>
      </c>
      <c r="I966" s="2829"/>
      <c r="J966" s="2829"/>
      <c r="K966" s="2829"/>
      <c r="L966" s="2833">
        <v>195.9</v>
      </c>
      <c r="M966" s="2829"/>
      <c r="O966" s="2809" t="s">
        <v>2757</v>
      </c>
      <c r="P966" s="2810"/>
    </row>
    <row r="967" spans="2:16" ht="27">
      <c r="B967" s="827" t="s">
        <v>4006</v>
      </c>
      <c r="C967" s="1912"/>
      <c r="D967" s="2831" t="s">
        <v>4150</v>
      </c>
      <c r="E967" s="2832">
        <v>35</v>
      </c>
      <c r="F967" s="2832" t="s">
        <v>4149</v>
      </c>
      <c r="G967" s="19"/>
      <c r="H967" s="2829" t="s">
        <v>2757</v>
      </c>
      <c r="I967" s="2829"/>
      <c r="J967" s="2829"/>
      <c r="K967" s="2829"/>
      <c r="L967" s="2833">
        <v>20650</v>
      </c>
      <c r="M967" s="2829"/>
      <c r="O967" s="2809" t="s">
        <v>2757</v>
      </c>
      <c r="P967" s="2810"/>
    </row>
    <row r="968" spans="2:16">
      <c r="B968" s="827" t="s">
        <v>4006</v>
      </c>
      <c r="C968" s="1912"/>
      <c r="D968" s="2831" t="s">
        <v>4157</v>
      </c>
      <c r="E968" s="2832">
        <v>10</v>
      </c>
      <c r="F968" s="2832" t="s">
        <v>4010</v>
      </c>
      <c r="G968" s="19"/>
      <c r="H968" s="2829" t="s">
        <v>2757</v>
      </c>
      <c r="I968" s="2829"/>
      <c r="J968" s="2829"/>
      <c r="K968" s="2829"/>
      <c r="L968" s="2833">
        <v>210</v>
      </c>
      <c r="M968" s="2829"/>
      <c r="O968" s="2809" t="s">
        <v>2757</v>
      </c>
      <c r="P968" s="2810"/>
    </row>
    <row r="969" spans="2:16" ht="27">
      <c r="B969" s="827" t="s">
        <v>4006</v>
      </c>
      <c r="C969" s="1912"/>
      <c r="D969" s="2831" t="s">
        <v>4162</v>
      </c>
      <c r="E969" s="2832">
        <v>4</v>
      </c>
      <c r="F969" s="2832" t="s">
        <v>4014</v>
      </c>
      <c r="G969" s="19"/>
      <c r="H969" s="2829" t="s">
        <v>2757</v>
      </c>
      <c r="I969" s="2829"/>
      <c r="J969" s="2829"/>
      <c r="K969" s="2829"/>
      <c r="L969" s="2833">
        <v>60.2</v>
      </c>
      <c r="M969" s="2829"/>
      <c r="O969" s="2809" t="s">
        <v>2757</v>
      </c>
      <c r="P969" s="2810"/>
    </row>
    <row r="970" spans="2:16">
      <c r="B970" s="827" t="s">
        <v>4006</v>
      </c>
      <c r="C970" s="1912"/>
      <c r="D970" s="2831" t="s">
        <v>4163</v>
      </c>
      <c r="E970" s="2832">
        <v>20</v>
      </c>
      <c r="F970" s="2832" t="s">
        <v>4010</v>
      </c>
      <c r="G970" s="19"/>
      <c r="H970" s="2829" t="s">
        <v>2757</v>
      </c>
      <c r="I970" s="2829"/>
      <c r="J970" s="2829"/>
      <c r="K970" s="2829"/>
      <c r="L970" s="2833">
        <v>580</v>
      </c>
      <c r="M970" s="2829"/>
      <c r="O970" s="2809" t="s">
        <v>2757</v>
      </c>
      <c r="P970" s="2810"/>
    </row>
    <row r="971" spans="2:16">
      <c r="B971" s="827" t="s">
        <v>4006</v>
      </c>
      <c r="C971" s="1912"/>
      <c r="D971" s="2831" t="s">
        <v>4172</v>
      </c>
      <c r="E971" s="2832">
        <v>200</v>
      </c>
      <c r="F971" s="2832" t="s">
        <v>4025</v>
      </c>
      <c r="G971" s="19"/>
      <c r="H971" s="2829" t="s">
        <v>2757</v>
      </c>
      <c r="I971" s="2829"/>
      <c r="J971" s="2829"/>
      <c r="K971" s="2829"/>
      <c r="L971" s="2833">
        <v>1150</v>
      </c>
      <c r="M971" s="2829"/>
      <c r="O971" s="2809" t="s">
        <v>2757</v>
      </c>
      <c r="P971" s="2810"/>
    </row>
    <row r="972" spans="2:16">
      <c r="B972" s="827" t="s">
        <v>4006</v>
      </c>
      <c r="C972" s="1912"/>
      <c r="D972" s="2831" t="s">
        <v>4178</v>
      </c>
      <c r="E972" s="2832">
        <v>100</v>
      </c>
      <c r="F972" s="2832" t="s">
        <v>4010</v>
      </c>
      <c r="G972" s="19"/>
      <c r="H972" s="2829" t="s">
        <v>2757</v>
      </c>
      <c r="I972" s="2829"/>
      <c r="J972" s="2829"/>
      <c r="K972" s="2829"/>
      <c r="L972" s="2833">
        <v>740</v>
      </c>
      <c r="M972" s="2829"/>
      <c r="O972" s="2809" t="s">
        <v>2757</v>
      </c>
      <c r="P972" s="2810"/>
    </row>
    <row r="973" spans="2:16" ht="27">
      <c r="B973" s="827" t="s">
        <v>4006</v>
      </c>
      <c r="C973" s="1912"/>
      <c r="D973" s="2831" t="s">
        <v>4185</v>
      </c>
      <c r="E973" s="2832">
        <v>4</v>
      </c>
      <c r="F973" s="2832" t="s">
        <v>4025</v>
      </c>
      <c r="G973" s="19"/>
      <c r="H973" s="2829" t="s">
        <v>2757</v>
      </c>
      <c r="I973" s="2829"/>
      <c r="J973" s="2829"/>
      <c r="K973" s="2829"/>
      <c r="L973" s="2833">
        <v>825</v>
      </c>
      <c r="M973" s="2829"/>
      <c r="O973" s="2809" t="s">
        <v>2757</v>
      </c>
      <c r="P973" s="2810"/>
    </row>
    <row r="974" spans="2:16" ht="27">
      <c r="B974" s="827" t="s">
        <v>4006</v>
      </c>
      <c r="C974" s="1912"/>
      <c r="D974" s="2831" t="s">
        <v>4189</v>
      </c>
      <c r="E974" s="2832">
        <v>125</v>
      </c>
      <c r="F974" s="2832" t="s">
        <v>4031</v>
      </c>
      <c r="G974" s="19"/>
      <c r="H974" s="2829" t="s">
        <v>2757</v>
      </c>
      <c r="I974" s="2829"/>
      <c r="J974" s="2829"/>
      <c r="K974" s="2829"/>
      <c r="L974" s="2833">
        <v>8161.25</v>
      </c>
      <c r="M974" s="2829"/>
      <c r="O974" s="2809" t="s">
        <v>2757</v>
      </c>
      <c r="P974" s="2810"/>
    </row>
    <row r="975" spans="2:16" ht="27">
      <c r="B975" s="827" t="s">
        <v>4006</v>
      </c>
      <c r="C975" s="1912"/>
      <c r="D975" s="2831" t="s">
        <v>4190</v>
      </c>
      <c r="E975" s="2832">
        <v>600</v>
      </c>
      <c r="F975" s="2832" t="s">
        <v>4031</v>
      </c>
      <c r="G975" s="19"/>
      <c r="H975" s="2829" t="s">
        <v>2757</v>
      </c>
      <c r="I975" s="2829"/>
      <c r="J975" s="2829"/>
      <c r="K975" s="2829"/>
      <c r="L975" s="2833">
        <v>15000</v>
      </c>
      <c r="M975" s="2829"/>
      <c r="O975" s="2809" t="s">
        <v>2757</v>
      </c>
      <c r="P975" s="2810"/>
    </row>
    <row r="976" spans="2:16" ht="27">
      <c r="B976" s="827" t="s">
        <v>4006</v>
      </c>
      <c r="C976" s="1912"/>
      <c r="D976" s="2831" t="s">
        <v>4192</v>
      </c>
      <c r="E976" s="2832">
        <v>6</v>
      </c>
      <c r="F976" s="2832" t="s">
        <v>1883</v>
      </c>
      <c r="G976" s="19"/>
      <c r="H976" s="2829" t="s">
        <v>2757</v>
      </c>
      <c r="I976" s="2829"/>
      <c r="J976" s="2829"/>
      <c r="K976" s="2829"/>
      <c r="L976" s="2833">
        <v>3300</v>
      </c>
      <c r="M976" s="2829"/>
      <c r="O976" s="2809" t="s">
        <v>2757</v>
      </c>
      <c r="P976" s="2810"/>
    </row>
    <row r="977" spans="2:16">
      <c r="B977" s="827" t="s">
        <v>4006</v>
      </c>
      <c r="C977" s="1912"/>
      <c r="D977" s="2831" t="s">
        <v>4198</v>
      </c>
      <c r="E977" s="2832">
        <v>14</v>
      </c>
      <c r="F977" s="2832" t="s">
        <v>4014</v>
      </c>
      <c r="G977" s="19"/>
      <c r="H977" s="2829" t="s">
        <v>2757</v>
      </c>
      <c r="I977" s="2829"/>
      <c r="J977" s="2829"/>
      <c r="K977" s="2829"/>
      <c r="L977" s="2833">
        <v>923</v>
      </c>
      <c r="M977" s="2829"/>
      <c r="O977" s="2809" t="s">
        <v>2757</v>
      </c>
      <c r="P977" s="2810"/>
    </row>
    <row r="978" spans="2:16">
      <c r="B978" s="827" t="s">
        <v>4006</v>
      </c>
      <c r="C978" s="1912"/>
      <c r="D978" s="2831" t="s">
        <v>4204</v>
      </c>
      <c r="E978" s="2832">
        <v>50</v>
      </c>
      <c r="F978" s="2832" t="s">
        <v>4203</v>
      </c>
      <c r="G978" s="19"/>
      <c r="H978" s="2829" t="s">
        <v>2757</v>
      </c>
      <c r="I978" s="2829"/>
      <c r="J978" s="2829"/>
      <c r="K978" s="2829"/>
      <c r="L978" s="2833">
        <v>5932.5</v>
      </c>
      <c r="M978" s="2829"/>
      <c r="O978" s="2809" t="s">
        <v>2757</v>
      </c>
      <c r="P978" s="2810"/>
    </row>
    <row r="979" spans="2:16" ht="27">
      <c r="B979" s="827" t="s">
        <v>4006</v>
      </c>
      <c r="C979" s="1912"/>
      <c r="D979" s="2831" t="s">
        <v>4205</v>
      </c>
      <c r="E979" s="2832">
        <v>300</v>
      </c>
      <c r="F979" s="2832" t="s">
        <v>4203</v>
      </c>
      <c r="G979" s="19"/>
      <c r="H979" s="2829" t="s">
        <v>2757</v>
      </c>
      <c r="I979" s="2829"/>
      <c r="J979" s="2829"/>
      <c r="K979" s="2829"/>
      <c r="L979" s="2833">
        <v>3960</v>
      </c>
      <c r="M979" s="2829"/>
      <c r="O979" s="2809" t="s">
        <v>2757</v>
      </c>
      <c r="P979" s="2810"/>
    </row>
    <row r="980" spans="2:16">
      <c r="B980" s="827" t="s">
        <v>4006</v>
      </c>
      <c r="C980" s="1912"/>
      <c r="D980" s="2831" t="s">
        <v>4213</v>
      </c>
      <c r="E980" s="2832">
        <v>30</v>
      </c>
      <c r="F980" s="2832" t="s">
        <v>4010</v>
      </c>
      <c r="G980" s="19"/>
      <c r="H980" s="2829" t="s">
        <v>2757</v>
      </c>
      <c r="I980" s="2829"/>
      <c r="J980" s="2829"/>
      <c r="K980" s="2829"/>
      <c r="L980" s="2833">
        <v>49.5</v>
      </c>
      <c r="M980" s="2829"/>
      <c r="O980" s="2809" t="s">
        <v>2757</v>
      </c>
      <c r="P980" s="2810"/>
    </row>
    <row r="981" spans="2:16">
      <c r="B981" s="827" t="s">
        <v>4006</v>
      </c>
      <c r="C981" s="1912"/>
      <c r="D981" s="2831" t="s">
        <v>4214</v>
      </c>
      <c r="E981" s="2832">
        <v>20</v>
      </c>
      <c r="F981" s="2832" t="s">
        <v>4010</v>
      </c>
      <c r="G981" s="19"/>
      <c r="H981" s="2829" t="s">
        <v>2757</v>
      </c>
      <c r="I981" s="2829"/>
      <c r="J981" s="2829"/>
      <c r="K981" s="2829"/>
      <c r="L981" s="2833">
        <v>445</v>
      </c>
      <c r="M981" s="2829"/>
      <c r="O981" s="2809" t="s">
        <v>2757</v>
      </c>
      <c r="P981" s="2810"/>
    </row>
    <row r="982" spans="2:16">
      <c r="B982" s="827" t="s">
        <v>4006</v>
      </c>
      <c r="C982" s="1912"/>
      <c r="D982" s="2831" t="s">
        <v>4216</v>
      </c>
      <c r="E982" s="2832">
        <v>25</v>
      </c>
      <c r="F982" s="2832" t="s">
        <v>4010</v>
      </c>
      <c r="G982" s="19"/>
      <c r="H982" s="2829" t="s">
        <v>2757</v>
      </c>
      <c r="I982" s="2829"/>
      <c r="J982" s="2829"/>
      <c r="K982" s="2829"/>
      <c r="L982" s="2833">
        <v>375</v>
      </c>
      <c r="M982" s="2829"/>
      <c r="O982" s="2809" t="s">
        <v>2757</v>
      </c>
      <c r="P982" s="2810"/>
    </row>
    <row r="983" spans="2:16">
      <c r="B983" s="827" t="s">
        <v>4006</v>
      </c>
      <c r="C983" s="1912"/>
      <c r="D983" s="2831" t="s">
        <v>4233</v>
      </c>
      <c r="E983" s="2832">
        <v>150</v>
      </c>
      <c r="F983" s="2832" t="s">
        <v>4088</v>
      </c>
      <c r="G983" s="19"/>
      <c r="H983" s="2829" t="s">
        <v>2757</v>
      </c>
      <c r="I983" s="2829"/>
      <c r="J983" s="2829"/>
      <c r="K983" s="2829"/>
      <c r="L983" s="2833">
        <v>1152.1500000000001</v>
      </c>
      <c r="M983" s="2829"/>
      <c r="O983" s="2809" t="s">
        <v>2757</v>
      </c>
      <c r="P983" s="2810"/>
    </row>
    <row r="984" spans="2:16">
      <c r="B984" s="827" t="s">
        <v>4006</v>
      </c>
      <c r="C984" s="1912"/>
      <c r="D984" s="2831" t="s">
        <v>4244</v>
      </c>
      <c r="E984" s="2832">
        <v>125</v>
      </c>
      <c r="F984" s="2832" t="s">
        <v>4031</v>
      </c>
      <c r="G984" s="19"/>
      <c r="H984" s="2829" t="s">
        <v>2757</v>
      </c>
      <c r="I984" s="2829"/>
      <c r="J984" s="2829"/>
      <c r="K984" s="2829"/>
      <c r="L984" s="2833">
        <v>31187.5</v>
      </c>
      <c r="M984" s="2829"/>
      <c r="O984" s="2809" t="s">
        <v>2757</v>
      </c>
      <c r="P984" s="2810"/>
    </row>
    <row r="985" spans="2:16">
      <c r="B985" s="827" t="s">
        <v>4006</v>
      </c>
      <c r="C985" s="1912"/>
      <c r="D985" s="2831" t="s">
        <v>4246</v>
      </c>
      <c r="E985" s="2832">
        <v>60</v>
      </c>
      <c r="F985" s="2832" t="s">
        <v>4245</v>
      </c>
      <c r="G985" s="19"/>
      <c r="H985" s="2829" t="s">
        <v>2757</v>
      </c>
      <c r="I985" s="2829"/>
      <c r="J985" s="2829"/>
      <c r="K985" s="2829"/>
      <c r="L985" s="2833">
        <v>18270</v>
      </c>
      <c r="M985" s="2829"/>
      <c r="O985" s="2809" t="s">
        <v>2757</v>
      </c>
      <c r="P985" s="2810"/>
    </row>
    <row r="986" spans="2:16">
      <c r="B986" s="827" t="s">
        <v>4006</v>
      </c>
      <c r="C986" s="1912"/>
      <c r="D986" s="2831" t="s">
        <v>4248</v>
      </c>
      <c r="E986" s="2832">
        <v>20</v>
      </c>
      <c r="F986" s="2832" t="s">
        <v>4010</v>
      </c>
      <c r="G986" s="19"/>
      <c r="H986" s="2829" t="s">
        <v>2757</v>
      </c>
      <c r="I986" s="2829"/>
      <c r="J986" s="2829"/>
      <c r="K986" s="2829"/>
      <c r="L986" s="2833">
        <v>145</v>
      </c>
      <c r="M986" s="2829"/>
      <c r="O986" s="2809" t="s">
        <v>2757</v>
      </c>
      <c r="P986" s="2810"/>
    </row>
    <row r="987" spans="2:16">
      <c r="B987" s="827" t="s">
        <v>4006</v>
      </c>
      <c r="C987" s="1912"/>
      <c r="D987" s="2831" t="s">
        <v>4267</v>
      </c>
      <c r="E987" s="2832">
        <v>100</v>
      </c>
      <c r="F987" s="2832" t="s">
        <v>4010</v>
      </c>
      <c r="G987" s="19"/>
      <c r="H987" s="2829" t="s">
        <v>2757</v>
      </c>
      <c r="I987" s="2829"/>
      <c r="J987" s="2829"/>
      <c r="K987" s="2829"/>
      <c r="L987" s="2833">
        <v>226.6</v>
      </c>
      <c r="M987" s="2829"/>
      <c r="O987" s="2809" t="s">
        <v>2757</v>
      </c>
      <c r="P987" s="2810"/>
    </row>
    <row r="988" spans="2:16" ht="27">
      <c r="B988" s="827" t="s">
        <v>4006</v>
      </c>
      <c r="C988" s="1912"/>
      <c r="D988" s="2831" t="s">
        <v>4283</v>
      </c>
      <c r="E988" s="2832">
        <v>250</v>
      </c>
      <c r="F988" s="2832" t="s">
        <v>4025</v>
      </c>
      <c r="G988" s="19"/>
      <c r="H988" s="2829" t="s">
        <v>2757</v>
      </c>
      <c r="I988" s="2829"/>
      <c r="J988" s="2829"/>
      <c r="K988" s="2829"/>
      <c r="L988" s="2833">
        <v>59250</v>
      </c>
      <c r="M988" s="2829"/>
      <c r="O988" s="2809" t="s">
        <v>2757</v>
      </c>
      <c r="P988" s="2810"/>
    </row>
    <row r="989" spans="2:16" ht="27">
      <c r="B989" s="827" t="s">
        <v>4006</v>
      </c>
      <c r="C989" s="1912"/>
      <c r="D989" s="2831" t="s">
        <v>4288</v>
      </c>
      <c r="E989" s="2832">
        <v>850</v>
      </c>
      <c r="F989" s="2832" t="s">
        <v>4031</v>
      </c>
      <c r="G989" s="19"/>
      <c r="H989" s="2829" t="s">
        <v>2757</v>
      </c>
      <c r="I989" s="2829"/>
      <c r="J989" s="2829"/>
      <c r="K989" s="2829"/>
      <c r="L989" s="2833">
        <v>16235</v>
      </c>
      <c r="M989" s="2829"/>
      <c r="O989" s="2809" t="s">
        <v>2757</v>
      </c>
      <c r="P989" s="2810"/>
    </row>
    <row r="990" spans="2:16">
      <c r="B990" s="827" t="s">
        <v>4006</v>
      </c>
      <c r="C990" s="1912"/>
      <c r="D990" s="2831" t="s">
        <v>4291</v>
      </c>
      <c r="E990" s="2832">
        <v>800</v>
      </c>
      <c r="F990" s="2832" t="s">
        <v>4025</v>
      </c>
      <c r="G990" s="19"/>
      <c r="H990" s="2829" t="s">
        <v>2757</v>
      </c>
      <c r="I990" s="2829"/>
      <c r="J990" s="2829"/>
      <c r="K990" s="2829"/>
      <c r="L990" s="2833">
        <v>19064.5</v>
      </c>
      <c r="M990" s="2829"/>
      <c r="O990" s="2809" t="s">
        <v>2757</v>
      </c>
      <c r="P990" s="2810"/>
    </row>
    <row r="991" spans="2:16" ht="27">
      <c r="B991" s="827" t="s">
        <v>4006</v>
      </c>
      <c r="C991" s="1912"/>
      <c r="D991" s="2831" t="s">
        <v>4301</v>
      </c>
      <c r="E991" s="2832">
        <v>20</v>
      </c>
      <c r="F991" s="2832" t="s">
        <v>4031</v>
      </c>
      <c r="G991" s="19"/>
      <c r="H991" s="2829" t="s">
        <v>2757</v>
      </c>
      <c r="I991" s="2829"/>
      <c r="J991" s="2829"/>
      <c r="K991" s="2829"/>
      <c r="L991" s="2833">
        <v>1440</v>
      </c>
      <c r="M991" s="2829"/>
      <c r="O991" s="2809" t="s">
        <v>2757</v>
      </c>
      <c r="P991" s="2810"/>
    </row>
    <row r="992" spans="2:16" ht="27">
      <c r="B992" s="827" t="s">
        <v>4006</v>
      </c>
      <c r="C992" s="1912"/>
      <c r="D992" s="2831" t="s">
        <v>4305</v>
      </c>
      <c r="E992" s="2832">
        <v>2</v>
      </c>
      <c r="F992" s="2832" t="s">
        <v>4031</v>
      </c>
      <c r="G992" s="19"/>
      <c r="H992" s="2829" t="s">
        <v>2757</v>
      </c>
      <c r="I992" s="2829"/>
      <c r="J992" s="2829"/>
      <c r="K992" s="2829"/>
      <c r="L992" s="2833">
        <v>1384.9</v>
      </c>
      <c r="M992" s="2829"/>
      <c r="O992" s="2809" t="s">
        <v>2757</v>
      </c>
      <c r="P992" s="2810"/>
    </row>
    <row r="993" spans="2:16">
      <c r="B993" s="827" t="s">
        <v>4006</v>
      </c>
      <c r="C993" s="1912"/>
      <c r="D993" s="2831" t="s">
        <v>4309</v>
      </c>
      <c r="E993" s="2832">
        <v>60</v>
      </c>
      <c r="F993" s="2832" t="s">
        <v>4025</v>
      </c>
      <c r="G993" s="19"/>
      <c r="H993" s="2829" t="s">
        <v>2757</v>
      </c>
      <c r="I993" s="2829"/>
      <c r="J993" s="2829"/>
      <c r="K993" s="2829"/>
      <c r="L993" s="2833">
        <v>5132.3999999999996</v>
      </c>
      <c r="M993" s="2829"/>
      <c r="O993" s="2809" t="s">
        <v>2757</v>
      </c>
      <c r="P993" s="2810"/>
    </row>
    <row r="994" spans="2:16">
      <c r="B994" s="827" t="s">
        <v>4006</v>
      </c>
      <c r="C994" s="1912"/>
      <c r="D994" s="2831" t="s">
        <v>4315</v>
      </c>
      <c r="E994" s="2832">
        <v>100</v>
      </c>
      <c r="F994" s="2832" t="s">
        <v>4010</v>
      </c>
      <c r="G994" s="19"/>
      <c r="H994" s="2829" t="s">
        <v>2757</v>
      </c>
      <c r="I994" s="2829"/>
      <c r="J994" s="2829"/>
      <c r="K994" s="2829"/>
      <c r="L994" s="2833">
        <v>64.099999999999994</v>
      </c>
      <c r="M994" s="2829"/>
      <c r="O994" s="2809" t="s">
        <v>2757</v>
      </c>
      <c r="P994" s="2810"/>
    </row>
    <row r="995" spans="2:16">
      <c r="B995" s="827" t="s">
        <v>4006</v>
      </c>
      <c r="C995" s="1912"/>
      <c r="D995" s="2831" t="s">
        <v>4316</v>
      </c>
      <c r="E995" s="2832">
        <v>300</v>
      </c>
      <c r="F995" s="2832" t="s">
        <v>4010</v>
      </c>
      <c r="G995" s="19"/>
      <c r="H995" s="2829" t="s">
        <v>2757</v>
      </c>
      <c r="I995" s="2829"/>
      <c r="J995" s="2829"/>
      <c r="K995" s="2829"/>
      <c r="L995" s="2833">
        <v>227.4</v>
      </c>
      <c r="M995" s="2829"/>
      <c r="O995" s="2809" t="s">
        <v>2757</v>
      </c>
      <c r="P995" s="2810"/>
    </row>
    <row r="996" spans="2:16" ht="27">
      <c r="B996" s="827" t="s">
        <v>4006</v>
      </c>
      <c r="C996" s="1912"/>
      <c r="D996" s="2831" t="s">
        <v>4329</v>
      </c>
      <c r="E996" s="2832">
        <v>100</v>
      </c>
      <c r="F996" s="2832" t="s">
        <v>4010</v>
      </c>
      <c r="G996" s="19"/>
      <c r="H996" s="2829" t="s">
        <v>2757</v>
      </c>
      <c r="I996" s="2829"/>
      <c r="J996" s="2829"/>
      <c r="K996" s="2829"/>
      <c r="L996" s="2833">
        <v>16795</v>
      </c>
      <c r="M996" s="2829"/>
      <c r="O996" s="2809" t="s">
        <v>2757</v>
      </c>
      <c r="P996" s="2810"/>
    </row>
    <row r="997" spans="2:16">
      <c r="B997" s="827" t="s">
        <v>4006</v>
      </c>
      <c r="C997" s="1912"/>
      <c r="D997" s="2831" t="s">
        <v>4330</v>
      </c>
      <c r="E997" s="2832">
        <v>1131</v>
      </c>
      <c r="F997" s="2832" t="s">
        <v>4014</v>
      </c>
      <c r="G997" s="19"/>
      <c r="H997" s="2829" t="s">
        <v>2757</v>
      </c>
      <c r="I997" s="2829"/>
      <c r="J997" s="2829"/>
      <c r="K997" s="2829"/>
      <c r="L997" s="2833">
        <v>8646.5300000000007</v>
      </c>
      <c r="M997" s="2829"/>
      <c r="O997" s="2809" t="s">
        <v>2757</v>
      </c>
      <c r="P997" s="2810"/>
    </row>
    <row r="998" spans="2:16">
      <c r="B998" s="827" t="s">
        <v>4006</v>
      </c>
      <c r="C998" s="1912"/>
      <c r="D998" s="2831" t="s">
        <v>4331</v>
      </c>
      <c r="E998" s="2832">
        <v>1500</v>
      </c>
      <c r="F998" s="2832" t="s">
        <v>4203</v>
      </c>
      <c r="G998" s="19"/>
      <c r="H998" s="2829" t="s">
        <v>2757</v>
      </c>
      <c r="I998" s="2829"/>
      <c r="J998" s="2829"/>
      <c r="K998" s="2829"/>
      <c r="L998" s="2833">
        <v>11154</v>
      </c>
      <c r="M998" s="2829"/>
      <c r="O998" s="2809" t="s">
        <v>2757</v>
      </c>
      <c r="P998" s="2810"/>
    </row>
    <row r="999" spans="2:16">
      <c r="B999" s="827" t="s">
        <v>4006</v>
      </c>
      <c r="C999" s="1912"/>
      <c r="D999" s="2831" t="s">
        <v>4333</v>
      </c>
      <c r="E999" s="2832">
        <v>20</v>
      </c>
      <c r="F999" s="2832" t="s">
        <v>4010</v>
      </c>
      <c r="G999" s="19"/>
      <c r="H999" s="2829" t="s">
        <v>2757</v>
      </c>
      <c r="I999" s="2829"/>
      <c r="J999" s="2829"/>
      <c r="K999" s="2829"/>
      <c r="L999" s="2833">
        <v>144</v>
      </c>
      <c r="M999" s="2829"/>
      <c r="O999" s="2809" t="s">
        <v>2757</v>
      </c>
      <c r="P999" s="2810"/>
    </row>
    <row r="1000" spans="2:16">
      <c r="B1000" s="827" t="s">
        <v>4006</v>
      </c>
      <c r="C1000" s="1912"/>
      <c r="D1000" s="2831" t="s">
        <v>4334</v>
      </c>
      <c r="E1000" s="2832">
        <v>2</v>
      </c>
      <c r="F1000" s="2832" t="s">
        <v>4014</v>
      </c>
      <c r="G1000" s="19"/>
      <c r="H1000" s="2829" t="s">
        <v>2757</v>
      </c>
      <c r="I1000" s="2829"/>
      <c r="J1000" s="2829"/>
      <c r="K1000" s="2829"/>
      <c r="L1000" s="2833">
        <v>14500</v>
      </c>
      <c r="M1000" s="2829"/>
      <c r="O1000" s="2809" t="s">
        <v>2757</v>
      </c>
      <c r="P1000" s="2810"/>
    </row>
    <row r="1001" spans="2:16">
      <c r="B1001" s="827" t="s">
        <v>4006</v>
      </c>
      <c r="C1001" s="1912"/>
      <c r="D1001" s="2831" t="s">
        <v>4338</v>
      </c>
      <c r="E1001" s="2832">
        <v>500</v>
      </c>
      <c r="F1001" s="2832" t="s">
        <v>4010</v>
      </c>
      <c r="G1001" s="19"/>
      <c r="H1001" s="2829" t="s">
        <v>2757</v>
      </c>
      <c r="I1001" s="2829"/>
      <c r="J1001" s="2829"/>
      <c r="K1001" s="2829"/>
      <c r="L1001" s="2833">
        <v>1101</v>
      </c>
      <c r="M1001" s="2829"/>
      <c r="O1001" s="2809" t="s">
        <v>2757</v>
      </c>
      <c r="P1001" s="2810"/>
    </row>
    <row r="1002" spans="2:16">
      <c r="B1002" s="827" t="s">
        <v>4006</v>
      </c>
      <c r="C1002" s="1912"/>
      <c r="D1002" s="2831" t="s">
        <v>4339</v>
      </c>
      <c r="E1002" s="2832">
        <v>27</v>
      </c>
      <c r="F1002" s="2832" t="s">
        <v>4025</v>
      </c>
      <c r="G1002" s="19"/>
      <c r="H1002" s="2829" t="s">
        <v>2757</v>
      </c>
      <c r="I1002" s="2829"/>
      <c r="J1002" s="2829"/>
      <c r="K1002" s="2829"/>
      <c r="L1002" s="2833">
        <v>6723</v>
      </c>
      <c r="M1002" s="2829"/>
      <c r="O1002" s="2809" t="s">
        <v>2757</v>
      </c>
      <c r="P1002" s="2810"/>
    </row>
    <row r="1003" spans="2:16" ht="27">
      <c r="B1003" s="827" t="s">
        <v>4006</v>
      </c>
      <c r="C1003" s="1912"/>
      <c r="D1003" s="2831" t="s">
        <v>4343</v>
      </c>
      <c r="E1003" s="2832">
        <v>200</v>
      </c>
      <c r="F1003" s="2832" t="s">
        <v>4010</v>
      </c>
      <c r="G1003" s="19"/>
      <c r="H1003" s="2829" t="s">
        <v>2757</v>
      </c>
      <c r="I1003" s="2829"/>
      <c r="J1003" s="2829"/>
      <c r="K1003" s="2829"/>
      <c r="L1003" s="2833">
        <v>3500</v>
      </c>
      <c r="M1003" s="2829"/>
      <c r="O1003" s="2809" t="s">
        <v>2757</v>
      </c>
      <c r="P1003" s="2810"/>
    </row>
    <row r="1004" spans="2:16" ht="27">
      <c r="B1004" s="827" t="s">
        <v>4006</v>
      </c>
      <c r="C1004" s="1912"/>
      <c r="D1004" s="2831" t="s">
        <v>4344</v>
      </c>
      <c r="E1004" s="2832">
        <v>5</v>
      </c>
      <c r="F1004" s="2832" t="s">
        <v>4025</v>
      </c>
      <c r="G1004" s="19"/>
      <c r="H1004" s="2829" t="s">
        <v>2757</v>
      </c>
      <c r="I1004" s="2829"/>
      <c r="J1004" s="2829"/>
      <c r="K1004" s="2829"/>
      <c r="L1004" s="2833">
        <v>2500</v>
      </c>
      <c r="M1004" s="2829"/>
      <c r="O1004" s="2809" t="s">
        <v>2757</v>
      </c>
      <c r="P1004" s="2810"/>
    </row>
    <row r="1005" spans="2:16">
      <c r="B1005" s="827" t="s">
        <v>4006</v>
      </c>
      <c r="C1005" s="1912"/>
      <c r="D1005" s="2831" t="s">
        <v>4345</v>
      </c>
      <c r="E1005" s="2832">
        <v>300</v>
      </c>
      <c r="F1005" s="2832" t="s">
        <v>4010</v>
      </c>
      <c r="G1005" s="19"/>
      <c r="H1005" s="2829" t="s">
        <v>2757</v>
      </c>
      <c r="I1005" s="2829"/>
      <c r="J1005" s="2829"/>
      <c r="K1005" s="2829"/>
      <c r="L1005" s="2833">
        <v>17325</v>
      </c>
      <c r="M1005" s="2829"/>
      <c r="O1005" s="2809" t="s">
        <v>2757</v>
      </c>
      <c r="P1005" s="2810"/>
    </row>
    <row r="1006" spans="2:16">
      <c r="B1006" s="827" t="s">
        <v>4006</v>
      </c>
      <c r="C1006" s="1912"/>
      <c r="D1006" s="2831" t="s">
        <v>4355</v>
      </c>
      <c r="E1006" s="2832">
        <v>54</v>
      </c>
      <c r="F1006" s="2832" t="s">
        <v>4010</v>
      </c>
      <c r="G1006" s="19"/>
      <c r="H1006" s="2829" t="s">
        <v>2757</v>
      </c>
      <c r="I1006" s="2829"/>
      <c r="J1006" s="2829"/>
      <c r="K1006" s="2829"/>
      <c r="L1006" s="2833">
        <v>23553.200000000001</v>
      </c>
      <c r="M1006" s="2829"/>
      <c r="O1006" s="2809" t="s">
        <v>2757</v>
      </c>
      <c r="P1006" s="2810"/>
    </row>
    <row r="1007" spans="2:16">
      <c r="B1007" s="827" t="s">
        <v>4006</v>
      </c>
      <c r="C1007" s="1912"/>
      <c r="D1007" s="2831" t="s">
        <v>4356</v>
      </c>
      <c r="E1007" s="2832">
        <v>100</v>
      </c>
      <c r="F1007" s="2832" t="s">
        <v>4088</v>
      </c>
      <c r="G1007" s="19"/>
      <c r="H1007" s="2829" t="s">
        <v>2757</v>
      </c>
      <c r="I1007" s="2829"/>
      <c r="J1007" s="2829"/>
      <c r="K1007" s="2829"/>
      <c r="L1007" s="2833">
        <v>110.8</v>
      </c>
      <c r="M1007" s="2829"/>
      <c r="O1007" s="2809" t="s">
        <v>2757</v>
      </c>
      <c r="P1007" s="2810"/>
    </row>
    <row r="1008" spans="2:16">
      <c r="B1008" s="827" t="s">
        <v>4006</v>
      </c>
      <c r="C1008" s="1912"/>
      <c r="D1008" s="2831" t="s">
        <v>4362</v>
      </c>
      <c r="E1008" s="2832">
        <v>100</v>
      </c>
      <c r="F1008" s="2834" t="s">
        <v>4361</v>
      </c>
      <c r="G1008" s="19"/>
      <c r="H1008" s="2829" t="s">
        <v>2757</v>
      </c>
      <c r="I1008" s="2829"/>
      <c r="J1008" s="2829"/>
      <c r="K1008" s="2829"/>
      <c r="L1008" s="2833">
        <v>1505</v>
      </c>
      <c r="M1008" s="2829"/>
      <c r="O1008" s="2809" t="s">
        <v>2757</v>
      </c>
      <c r="P1008" s="2810"/>
    </row>
    <row r="1009" spans="2:16">
      <c r="B1009" s="827" t="s">
        <v>4006</v>
      </c>
      <c r="C1009" s="1912"/>
      <c r="D1009" s="2843" t="s">
        <v>4396</v>
      </c>
      <c r="E1009" s="2843"/>
      <c r="F1009" s="2843"/>
      <c r="G1009" s="19"/>
      <c r="H1009" s="2829" t="s">
        <v>2757</v>
      </c>
      <c r="I1009" s="2829"/>
      <c r="J1009" s="2829"/>
      <c r="K1009" s="2829"/>
      <c r="L1009" s="2844"/>
      <c r="M1009" s="2829"/>
      <c r="O1009" s="2809" t="s">
        <v>2757</v>
      </c>
      <c r="P1009" s="2810"/>
    </row>
    <row r="1010" spans="2:16">
      <c r="B1010" s="827" t="s">
        <v>4006</v>
      </c>
      <c r="C1010" s="1912"/>
      <c r="D1010" s="2831" t="s">
        <v>4397</v>
      </c>
      <c r="E1010" s="2832">
        <v>300</v>
      </c>
      <c r="F1010" s="2832" t="s">
        <v>4025</v>
      </c>
      <c r="G1010" s="19"/>
      <c r="H1010" s="2829" t="s">
        <v>2757</v>
      </c>
      <c r="I1010" s="2829"/>
      <c r="J1010" s="2829"/>
      <c r="K1010" s="2829"/>
      <c r="L1010" s="2833">
        <v>45000</v>
      </c>
      <c r="M1010" s="2829"/>
      <c r="O1010" s="2809" t="s">
        <v>2757</v>
      </c>
      <c r="P1010" s="2810"/>
    </row>
    <row r="1011" spans="2:16">
      <c r="B1011" s="827" t="s">
        <v>4006</v>
      </c>
      <c r="C1011" s="1912"/>
      <c r="D1011" s="2831" t="s">
        <v>4398</v>
      </c>
      <c r="E1011" s="2832">
        <v>50</v>
      </c>
      <c r="F1011" s="2832" t="s">
        <v>4025</v>
      </c>
      <c r="G1011" s="19"/>
      <c r="H1011" s="2829" t="s">
        <v>2757</v>
      </c>
      <c r="I1011" s="2829"/>
      <c r="J1011" s="2829"/>
      <c r="K1011" s="2829"/>
      <c r="L1011" s="2833">
        <v>11250</v>
      </c>
      <c r="M1011" s="2829"/>
      <c r="O1011" s="2809" t="s">
        <v>2757</v>
      </c>
      <c r="P1011" s="2810"/>
    </row>
    <row r="1012" spans="2:16" ht="27">
      <c r="B1012" s="827" t="s">
        <v>4006</v>
      </c>
      <c r="C1012" s="1912"/>
      <c r="D1012" s="2831" t="s">
        <v>4399</v>
      </c>
      <c r="E1012" s="2832">
        <v>5</v>
      </c>
      <c r="F1012" s="2832" t="s">
        <v>4031</v>
      </c>
      <c r="G1012" s="19"/>
      <c r="H1012" s="2829" t="s">
        <v>2757</v>
      </c>
      <c r="I1012" s="2829"/>
      <c r="J1012" s="2829"/>
      <c r="K1012" s="2829"/>
      <c r="L1012" s="2833">
        <v>7725</v>
      </c>
      <c r="M1012" s="2829"/>
      <c r="O1012" s="2809" t="s">
        <v>2757</v>
      </c>
      <c r="P1012" s="2810"/>
    </row>
    <row r="1013" spans="2:16">
      <c r="B1013" s="827" t="s">
        <v>4006</v>
      </c>
      <c r="C1013" s="1912"/>
      <c r="D1013" s="2831" t="s">
        <v>4400</v>
      </c>
      <c r="E1013" s="2832">
        <v>100</v>
      </c>
      <c r="F1013" s="2832" t="s">
        <v>4025</v>
      </c>
      <c r="G1013" s="19"/>
      <c r="H1013" s="2829" t="s">
        <v>2757</v>
      </c>
      <c r="I1013" s="2829"/>
      <c r="J1013" s="2829"/>
      <c r="K1013" s="2829"/>
      <c r="L1013" s="2833">
        <v>20000</v>
      </c>
      <c r="M1013" s="2829"/>
      <c r="O1013" s="2809" t="s">
        <v>2757</v>
      </c>
      <c r="P1013" s="2810"/>
    </row>
    <row r="1014" spans="2:16">
      <c r="B1014" s="827" t="s">
        <v>4006</v>
      </c>
      <c r="C1014" s="1912"/>
      <c r="D1014" s="2831" t="s">
        <v>4401</v>
      </c>
      <c r="E1014" s="2832">
        <v>50</v>
      </c>
      <c r="F1014" s="2832" t="s">
        <v>4025</v>
      </c>
      <c r="G1014" s="19"/>
      <c r="H1014" s="2829" t="s">
        <v>2757</v>
      </c>
      <c r="I1014" s="2829"/>
      <c r="J1014" s="2829"/>
      <c r="K1014" s="2829"/>
      <c r="L1014" s="2833">
        <v>5000</v>
      </c>
      <c r="M1014" s="2829"/>
      <c r="O1014" s="2809" t="s">
        <v>2757</v>
      </c>
      <c r="P1014" s="2810"/>
    </row>
    <row r="1015" spans="2:16" ht="27">
      <c r="B1015" s="827" t="s">
        <v>4006</v>
      </c>
      <c r="C1015" s="1912"/>
      <c r="D1015" s="2831" t="s">
        <v>4402</v>
      </c>
      <c r="E1015" s="2832">
        <v>300</v>
      </c>
      <c r="F1015" s="2832" t="s">
        <v>4025</v>
      </c>
      <c r="G1015" s="19"/>
      <c r="H1015" s="2829" t="s">
        <v>2757</v>
      </c>
      <c r="I1015" s="2829"/>
      <c r="J1015" s="2829"/>
      <c r="K1015" s="2829"/>
      <c r="L1015" s="2833">
        <v>45000</v>
      </c>
      <c r="M1015" s="2829"/>
      <c r="O1015" s="2809" t="s">
        <v>2757</v>
      </c>
      <c r="P1015" s="2810"/>
    </row>
    <row r="1016" spans="2:16">
      <c r="B1016" s="827" t="s">
        <v>4006</v>
      </c>
      <c r="C1016" s="1912"/>
      <c r="D1016" s="2834" t="s">
        <v>4403</v>
      </c>
      <c r="E1016" s="2832"/>
      <c r="F1016" s="2832"/>
      <c r="G1016" s="19"/>
      <c r="H1016" s="2829" t="s">
        <v>2757</v>
      </c>
      <c r="I1016" s="2829"/>
      <c r="J1016" s="2829"/>
      <c r="K1016" s="2829"/>
      <c r="L1016" s="2833"/>
      <c r="M1016" s="2829"/>
      <c r="O1016" s="2809" t="s">
        <v>2757</v>
      </c>
      <c r="P1016" s="2810"/>
    </row>
    <row r="1017" spans="2:16" ht="27">
      <c r="B1017" s="827" t="s">
        <v>4006</v>
      </c>
      <c r="C1017" s="1912"/>
      <c r="D1017" s="2831" t="s">
        <v>4375</v>
      </c>
      <c r="E1017" s="2832">
        <v>144</v>
      </c>
      <c r="F1017" s="2832" t="s">
        <v>4014</v>
      </c>
      <c r="G1017" s="19"/>
      <c r="H1017" s="2829" t="s">
        <v>2757</v>
      </c>
      <c r="I1017" s="2829"/>
      <c r="J1017" s="2829"/>
      <c r="K1017" s="2829"/>
      <c r="L1017" s="2833">
        <v>8236.7999999999993</v>
      </c>
      <c r="M1017" s="2829"/>
      <c r="O1017" s="2809" t="s">
        <v>2757</v>
      </c>
      <c r="P1017" s="2810"/>
    </row>
    <row r="1018" spans="2:16">
      <c r="B1018" s="827" t="s">
        <v>4006</v>
      </c>
      <c r="C1018" s="1912"/>
      <c r="D1018" s="2831" t="s">
        <v>4376</v>
      </c>
      <c r="E1018" s="2832">
        <v>72</v>
      </c>
      <c r="F1018" s="2832" t="s">
        <v>4014</v>
      </c>
      <c r="G1018" s="19"/>
      <c r="H1018" s="2829" t="s">
        <v>2757</v>
      </c>
      <c r="I1018" s="2829"/>
      <c r="J1018" s="2829"/>
      <c r="K1018" s="2829"/>
      <c r="L1018" s="2833">
        <v>4161.6000000000004</v>
      </c>
      <c r="M1018" s="2829"/>
      <c r="O1018" s="2809" t="s">
        <v>2757</v>
      </c>
      <c r="P1018" s="2810"/>
    </row>
    <row r="1019" spans="2:16" ht="27">
      <c r="B1019" s="827" t="s">
        <v>4006</v>
      </c>
      <c r="C1019" s="1912"/>
      <c r="D1019" s="2831" t="s">
        <v>4381</v>
      </c>
      <c r="E1019" s="2832">
        <v>48</v>
      </c>
      <c r="F1019" s="2832" t="s">
        <v>4014</v>
      </c>
      <c r="G1019" s="19"/>
      <c r="H1019" s="2829" t="s">
        <v>2757</v>
      </c>
      <c r="I1019" s="2829"/>
      <c r="J1019" s="2829"/>
      <c r="K1019" s="2829"/>
      <c r="L1019" s="2833">
        <v>2832</v>
      </c>
      <c r="M1019" s="2829"/>
      <c r="O1019" s="2809" t="s">
        <v>2757</v>
      </c>
      <c r="P1019" s="2810"/>
    </row>
    <row r="1020" spans="2:16" ht="27">
      <c r="B1020" s="827" t="s">
        <v>4006</v>
      </c>
      <c r="C1020" s="1912"/>
      <c r="D1020" s="2831" t="s">
        <v>4382</v>
      </c>
      <c r="E1020" s="2832">
        <v>278</v>
      </c>
      <c r="F1020" s="2832" t="s">
        <v>4014</v>
      </c>
      <c r="G1020" s="19"/>
      <c r="H1020" s="2829" t="s">
        <v>2757</v>
      </c>
      <c r="I1020" s="2829"/>
      <c r="J1020" s="2829"/>
      <c r="K1020" s="2829"/>
      <c r="L1020" s="2833">
        <v>20552</v>
      </c>
      <c r="M1020" s="2829"/>
      <c r="O1020" s="2809" t="s">
        <v>2757</v>
      </c>
      <c r="P1020" s="2810"/>
    </row>
    <row r="1021" spans="2:16" ht="27">
      <c r="B1021" s="827" t="s">
        <v>4006</v>
      </c>
      <c r="C1021" s="1912"/>
      <c r="D1021" s="2831" t="s">
        <v>4383</v>
      </c>
      <c r="E1021" s="2832">
        <v>260</v>
      </c>
      <c r="F1021" s="2832" t="s">
        <v>4031</v>
      </c>
      <c r="G1021" s="19"/>
      <c r="H1021" s="2829" t="s">
        <v>2757</v>
      </c>
      <c r="I1021" s="2829"/>
      <c r="J1021" s="2829"/>
      <c r="K1021" s="2829"/>
      <c r="L1021" s="2833">
        <v>17914</v>
      </c>
      <c r="M1021" s="2829"/>
      <c r="O1021" s="2809" t="s">
        <v>2757</v>
      </c>
      <c r="P1021" s="2810"/>
    </row>
    <row r="1022" spans="2:16" ht="27">
      <c r="B1022" s="827" t="s">
        <v>4006</v>
      </c>
      <c r="C1022" s="1912"/>
      <c r="D1022" s="2831" t="s">
        <v>4386</v>
      </c>
      <c r="E1022" s="2832">
        <v>264</v>
      </c>
      <c r="F1022" s="2832" t="s">
        <v>4014</v>
      </c>
      <c r="G1022" s="19"/>
      <c r="H1022" s="2829" t="s">
        <v>2757</v>
      </c>
      <c r="I1022" s="2829"/>
      <c r="J1022" s="2829"/>
      <c r="K1022" s="2829"/>
      <c r="L1022" s="2833">
        <v>15158.4</v>
      </c>
      <c r="M1022" s="2829"/>
      <c r="O1022" s="2809" t="s">
        <v>2757</v>
      </c>
      <c r="P1022" s="2810"/>
    </row>
    <row r="1023" spans="2:16" ht="27">
      <c r="B1023" s="827" t="s">
        <v>4006</v>
      </c>
      <c r="C1023" s="1912"/>
      <c r="D1023" s="2831" t="s">
        <v>4389</v>
      </c>
      <c r="E1023" s="2832">
        <v>144</v>
      </c>
      <c r="F1023" s="2832" t="s">
        <v>4014</v>
      </c>
      <c r="G1023" s="19"/>
      <c r="H1023" s="2829" t="s">
        <v>2757</v>
      </c>
      <c r="I1023" s="2829"/>
      <c r="J1023" s="2829"/>
      <c r="K1023" s="2829"/>
      <c r="L1023" s="2833">
        <v>8294.4</v>
      </c>
      <c r="M1023" s="2829"/>
      <c r="O1023" s="2809" t="s">
        <v>2757</v>
      </c>
      <c r="P1023" s="2810"/>
    </row>
    <row r="1024" spans="2:16" ht="27">
      <c r="B1024" s="827" t="s">
        <v>4006</v>
      </c>
      <c r="C1024" s="1912"/>
      <c r="D1024" s="2831" t="s">
        <v>4390</v>
      </c>
      <c r="E1024" s="2832">
        <v>120</v>
      </c>
      <c r="F1024" s="2832" t="s">
        <v>4014</v>
      </c>
      <c r="G1024" s="19"/>
      <c r="H1024" s="2829" t="s">
        <v>2757</v>
      </c>
      <c r="I1024" s="2829"/>
      <c r="J1024" s="2829"/>
      <c r="K1024" s="2829"/>
      <c r="L1024" s="2833">
        <v>6864</v>
      </c>
      <c r="M1024" s="2829"/>
      <c r="O1024" s="2809" t="s">
        <v>2757</v>
      </c>
      <c r="P1024" s="2810"/>
    </row>
    <row r="1025" spans="2:14">
      <c r="B1025" s="777"/>
      <c r="C1025" s="2800"/>
      <c r="D1025" s="2801"/>
      <c r="E1025" s="2802"/>
      <c r="F1025" s="2803"/>
      <c r="G1025" s="2804"/>
      <c r="H1025" s="2804"/>
      <c r="I1025" s="2804"/>
      <c r="J1025" s="2804"/>
      <c r="K1025" s="2804"/>
      <c r="L1025" s="2805"/>
      <c r="M1025" s="2804"/>
      <c r="N1025" s="2804"/>
    </row>
    <row r="1026" spans="2:14">
      <c r="B1026" s="777"/>
      <c r="C1026" s="2800"/>
      <c r="D1026" s="2801"/>
      <c r="E1026" s="2802"/>
      <c r="F1026" s="2803"/>
      <c r="G1026" s="2804"/>
      <c r="H1026" s="2804"/>
      <c r="I1026" s="2804"/>
      <c r="J1026" s="2804"/>
      <c r="K1026" s="2804"/>
      <c r="L1026" s="2805"/>
      <c r="M1026" s="2804"/>
      <c r="N1026" s="2804"/>
    </row>
    <row r="1027" spans="2:14">
      <c r="B1027" s="777"/>
      <c r="C1027" s="2800"/>
      <c r="D1027" s="2801"/>
      <c r="E1027" s="2802"/>
      <c r="F1027" s="2803"/>
      <c r="G1027" s="2804"/>
      <c r="H1027" s="2804"/>
      <c r="I1027" s="2804"/>
      <c r="J1027" s="2804"/>
      <c r="K1027" s="2804"/>
      <c r="L1027" s="2805"/>
      <c r="M1027" s="2804"/>
      <c r="N1027" s="2804"/>
    </row>
    <row r="1028" spans="2:14">
      <c r="B1028" s="777"/>
      <c r="C1028" s="2800"/>
      <c r="D1028" s="2801"/>
      <c r="E1028" s="2802"/>
      <c r="F1028" s="2803"/>
      <c r="G1028" s="2804"/>
      <c r="H1028" s="2804"/>
      <c r="I1028" s="2804"/>
      <c r="J1028" s="2804"/>
      <c r="K1028" s="2804"/>
      <c r="L1028" s="2805"/>
      <c r="M1028" s="2804"/>
      <c r="N1028" s="2804"/>
    </row>
    <row r="1029" spans="2:14">
      <c r="B1029" s="777"/>
      <c r="C1029" s="2800"/>
      <c r="D1029" s="2801"/>
      <c r="E1029" s="2802"/>
      <c r="F1029" s="2803"/>
      <c r="G1029" s="2804"/>
      <c r="H1029" s="2804"/>
      <c r="I1029" s="2804"/>
      <c r="J1029" s="2804"/>
      <c r="K1029" s="2804"/>
      <c r="L1029" s="2805"/>
      <c r="M1029" s="2804"/>
      <c r="N1029" s="2804"/>
    </row>
    <row r="1030" spans="2:14">
      <c r="B1030" s="777"/>
      <c r="C1030" s="2800"/>
      <c r="D1030" s="2801"/>
      <c r="E1030" s="2802"/>
      <c r="F1030" s="2803"/>
      <c r="G1030" s="2804"/>
      <c r="H1030" s="2804"/>
      <c r="I1030" s="2804"/>
      <c r="J1030" s="2804"/>
      <c r="K1030" s="2804"/>
      <c r="L1030" s="2805"/>
      <c r="M1030" s="2804"/>
      <c r="N1030" s="2804"/>
    </row>
    <row r="1031" spans="2:14">
      <c r="B1031" s="777"/>
      <c r="C1031" s="2800"/>
      <c r="D1031" s="2801"/>
      <c r="E1031" s="2802"/>
      <c r="F1031" s="2803"/>
      <c r="G1031" s="2804"/>
      <c r="H1031" s="2804"/>
      <c r="I1031" s="2804"/>
      <c r="J1031" s="2804"/>
      <c r="K1031" s="2804"/>
      <c r="L1031" s="2805"/>
      <c r="M1031" s="2804"/>
      <c r="N1031" s="2804"/>
    </row>
    <row r="1032" spans="2:14">
      <c r="B1032" s="777"/>
      <c r="C1032" s="2800"/>
      <c r="D1032" s="2801"/>
      <c r="E1032" s="2802"/>
      <c r="F1032" s="2803"/>
      <c r="G1032" s="2804"/>
      <c r="H1032" s="2804"/>
      <c r="I1032" s="2804"/>
      <c r="J1032" s="2804"/>
      <c r="K1032" s="2804"/>
      <c r="L1032" s="2805"/>
      <c r="M1032" s="2804"/>
      <c r="N1032" s="2804"/>
    </row>
    <row r="1033" spans="2:14">
      <c r="B1033" s="777"/>
      <c r="C1033" s="2800"/>
      <c r="D1033" s="2801"/>
      <c r="E1033" s="2802"/>
      <c r="F1033" s="2803"/>
      <c r="G1033" s="2804"/>
      <c r="H1033" s="2804"/>
      <c r="I1033" s="2804"/>
      <c r="J1033" s="2804"/>
      <c r="K1033" s="2804"/>
      <c r="L1033" s="2805"/>
      <c r="M1033" s="2804"/>
      <c r="N1033" s="2804"/>
    </row>
    <row r="1034" spans="2:14">
      <c r="B1034" s="777"/>
      <c r="C1034" s="2800"/>
      <c r="D1034" s="2801"/>
      <c r="E1034" s="2802"/>
      <c r="F1034" s="2803"/>
      <c r="G1034" s="2804"/>
      <c r="H1034" s="2804"/>
      <c r="I1034" s="2804"/>
      <c r="J1034" s="2804"/>
      <c r="K1034" s="2804"/>
      <c r="L1034" s="2805"/>
      <c r="M1034" s="2804"/>
      <c r="N1034" s="2804"/>
    </row>
    <row r="1035" spans="2:14">
      <c r="B1035" s="777"/>
      <c r="C1035" s="2800"/>
      <c r="D1035" s="2801"/>
      <c r="E1035" s="2802"/>
      <c r="F1035" s="2803"/>
      <c r="G1035" s="2804"/>
      <c r="H1035" s="2804"/>
      <c r="I1035" s="2804"/>
      <c r="J1035" s="2804"/>
      <c r="K1035" s="2804"/>
      <c r="L1035" s="2805"/>
      <c r="M1035" s="2804"/>
      <c r="N1035" s="2804"/>
    </row>
    <row r="1036" spans="2:14">
      <c r="B1036" s="777"/>
      <c r="C1036" s="2800"/>
      <c r="D1036" s="2801"/>
      <c r="E1036" s="2802"/>
      <c r="F1036" s="2803"/>
      <c r="G1036" s="2804"/>
      <c r="H1036" s="2804"/>
      <c r="I1036" s="2804"/>
      <c r="J1036" s="2804"/>
      <c r="K1036" s="2804"/>
      <c r="L1036" s="2805"/>
      <c r="M1036" s="2804"/>
      <c r="N1036" s="2804"/>
    </row>
    <row r="1037" spans="2:14">
      <c r="B1037" s="777"/>
      <c r="C1037" s="2800"/>
      <c r="D1037" s="2801"/>
      <c r="E1037" s="2802"/>
      <c r="F1037" s="2803"/>
      <c r="G1037" s="2804"/>
      <c r="H1037" s="2804"/>
      <c r="I1037" s="2804"/>
      <c r="J1037" s="2804"/>
      <c r="K1037" s="2804"/>
      <c r="L1037" s="2805"/>
      <c r="M1037" s="2804"/>
      <c r="N1037" s="2804"/>
    </row>
    <row r="1038" spans="2:14">
      <c r="B1038" s="777"/>
      <c r="C1038" s="2800"/>
      <c r="D1038" s="2801"/>
      <c r="E1038" s="2802"/>
      <c r="F1038" s="2803"/>
      <c r="G1038" s="2804"/>
      <c r="H1038" s="2804"/>
      <c r="I1038" s="2804"/>
      <c r="J1038" s="2804"/>
      <c r="K1038" s="2804"/>
      <c r="L1038" s="2805"/>
      <c r="M1038" s="2804"/>
      <c r="N1038" s="2804"/>
    </row>
    <row r="1039" spans="2:14">
      <c r="B1039" s="777"/>
      <c r="C1039" s="2800"/>
      <c r="D1039" s="2801"/>
      <c r="E1039" s="2802"/>
      <c r="F1039" s="2803"/>
      <c r="G1039" s="2804"/>
      <c r="H1039" s="2804"/>
      <c r="I1039" s="2804"/>
      <c r="J1039" s="2804"/>
      <c r="K1039" s="2804"/>
      <c r="L1039" s="2805"/>
      <c r="M1039" s="2804"/>
      <c r="N1039" s="2804"/>
    </row>
    <row r="1040" spans="2:14">
      <c r="B1040" s="777"/>
      <c r="C1040" s="2800"/>
      <c r="D1040" s="2801"/>
      <c r="E1040" s="2802"/>
      <c r="F1040" s="2803"/>
      <c r="G1040" s="2804"/>
      <c r="H1040" s="2804"/>
      <c r="I1040" s="2804"/>
      <c r="J1040" s="2804"/>
      <c r="K1040" s="2804"/>
      <c r="L1040" s="2805"/>
      <c r="M1040" s="2804"/>
      <c r="N1040" s="2804"/>
    </row>
    <row r="1041" spans="2:14">
      <c r="B1041" s="777"/>
      <c r="C1041" s="2800"/>
      <c r="D1041" s="2801"/>
      <c r="E1041" s="2802"/>
      <c r="F1041" s="2803"/>
      <c r="G1041" s="2804"/>
      <c r="H1041" s="2804"/>
      <c r="I1041" s="2804"/>
      <c r="J1041" s="2804"/>
      <c r="K1041" s="2804"/>
      <c r="L1041" s="2805"/>
      <c r="M1041" s="2804"/>
      <c r="N1041" s="2804"/>
    </row>
    <row r="1042" spans="2:14">
      <c r="B1042" s="777"/>
      <c r="C1042" s="2800"/>
      <c r="D1042" s="2801"/>
      <c r="E1042" s="2802"/>
      <c r="F1042" s="2803"/>
      <c r="G1042" s="2804"/>
      <c r="H1042" s="2804"/>
      <c r="I1042" s="2804"/>
      <c r="J1042" s="2804"/>
      <c r="K1042" s="2804"/>
      <c r="L1042" s="2805"/>
      <c r="M1042" s="2804"/>
      <c r="N1042" s="2804"/>
    </row>
    <row r="1043" spans="2:14">
      <c r="B1043" s="777"/>
      <c r="C1043" s="2800"/>
      <c r="D1043" s="2801"/>
      <c r="E1043" s="2802"/>
      <c r="F1043" s="2803"/>
      <c r="G1043" s="2804"/>
      <c r="H1043" s="2804"/>
      <c r="I1043" s="2804"/>
      <c r="J1043" s="2804"/>
      <c r="K1043" s="2804"/>
      <c r="L1043" s="2805"/>
      <c r="M1043" s="2804"/>
      <c r="N1043" s="2804"/>
    </row>
    <row r="1044" spans="2:14">
      <c r="B1044" s="777"/>
      <c r="C1044" s="2800"/>
      <c r="D1044" s="2801"/>
      <c r="E1044" s="2802"/>
      <c r="F1044" s="2803"/>
      <c r="G1044" s="2804"/>
      <c r="H1044" s="2804"/>
      <c r="I1044" s="2804"/>
      <c r="J1044" s="2804"/>
      <c r="K1044" s="2804"/>
      <c r="L1044" s="2805"/>
      <c r="M1044" s="2804"/>
      <c r="N1044" s="2804"/>
    </row>
    <row r="1045" spans="2:14">
      <c r="B1045" s="777"/>
      <c r="C1045" s="2800"/>
      <c r="D1045" s="2801"/>
      <c r="E1045" s="2802"/>
      <c r="F1045" s="2803"/>
      <c r="G1045" s="2804"/>
      <c r="H1045" s="2804"/>
      <c r="I1045" s="2804"/>
      <c r="J1045" s="2804"/>
      <c r="K1045" s="2804"/>
      <c r="L1045" s="2805"/>
      <c r="M1045" s="2804"/>
      <c r="N1045" s="2804"/>
    </row>
    <row r="1046" spans="2:14">
      <c r="B1046" s="777"/>
      <c r="C1046" s="2800"/>
      <c r="D1046" s="2801"/>
      <c r="E1046" s="2802"/>
      <c r="F1046" s="2803"/>
      <c r="G1046" s="2804"/>
      <c r="H1046" s="2804"/>
      <c r="I1046" s="2804"/>
      <c r="J1046" s="2804"/>
      <c r="K1046" s="2804"/>
      <c r="L1046" s="2805"/>
      <c r="M1046" s="2804"/>
      <c r="N1046" s="2804"/>
    </row>
    <row r="1047" spans="2:14">
      <c r="B1047" s="777"/>
      <c r="C1047" s="2800"/>
      <c r="D1047" s="2801"/>
      <c r="E1047" s="2802"/>
      <c r="F1047" s="2803"/>
      <c r="G1047" s="2804"/>
      <c r="H1047" s="2804"/>
      <c r="I1047" s="2804"/>
      <c r="J1047" s="2804"/>
      <c r="K1047" s="2804"/>
      <c r="L1047" s="2805"/>
      <c r="M1047" s="2804"/>
      <c r="N1047" s="2804"/>
    </row>
    <row r="1048" spans="2:14">
      <c r="B1048" s="777"/>
      <c r="C1048" s="2800"/>
      <c r="D1048" s="2801"/>
      <c r="E1048" s="2802"/>
      <c r="F1048" s="2803"/>
      <c r="G1048" s="2804"/>
      <c r="H1048" s="2804"/>
      <c r="I1048" s="2804"/>
      <c r="J1048" s="2804"/>
      <c r="K1048" s="2804"/>
      <c r="L1048" s="2805"/>
      <c r="M1048" s="2804"/>
      <c r="N1048" s="2804"/>
    </row>
    <row r="1049" spans="2:14">
      <c r="B1049" s="777"/>
      <c r="C1049" s="2800"/>
      <c r="D1049" s="2801"/>
      <c r="E1049" s="2802"/>
      <c r="F1049" s="2803"/>
      <c r="G1049" s="2804"/>
      <c r="H1049" s="2804"/>
      <c r="I1049" s="2804"/>
      <c r="J1049" s="2804"/>
      <c r="K1049" s="2804"/>
      <c r="L1049" s="2805"/>
      <c r="M1049" s="2804"/>
      <c r="N1049" s="2804"/>
    </row>
    <row r="1050" spans="2:14">
      <c r="B1050" s="777"/>
      <c r="C1050" s="2800"/>
      <c r="D1050" s="2801"/>
      <c r="E1050" s="2802"/>
      <c r="F1050" s="2803"/>
      <c r="G1050" s="2804"/>
      <c r="H1050" s="2804"/>
      <c r="I1050" s="2804"/>
      <c r="J1050" s="2804"/>
      <c r="K1050" s="2804"/>
      <c r="L1050" s="2805"/>
      <c r="M1050" s="2804"/>
      <c r="N1050" s="2804"/>
    </row>
    <row r="1051" spans="2:14">
      <c r="B1051" s="777"/>
      <c r="C1051" s="2800"/>
      <c r="D1051" s="2801"/>
      <c r="E1051" s="2802"/>
      <c r="F1051" s="2803"/>
      <c r="G1051" s="2804"/>
      <c r="H1051" s="2804"/>
      <c r="I1051" s="2804"/>
      <c r="J1051" s="2804"/>
      <c r="K1051" s="2804"/>
      <c r="L1051" s="2805"/>
      <c r="M1051" s="2804"/>
      <c r="N1051" s="2804"/>
    </row>
    <row r="1052" spans="2:14">
      <c r="B1052" s="777"/>
      <c r="C1052" s="2800"/>
      <c r="D1052" s="2801"/>
      <c r="E1052" s="2802"/>
      <c r="F1052" s="2803"/>
      <c r="G1052" s="2804"/>
      <c r="H1052" s="2804"/>
      <c r="I1052" s="2804"/>
      <c r="J1052" s="2804"/>
      <c r="K1052" s="2804"/>
      <c r="L1052" s="2805"/>
      <c r="M1052" s="2804"/>
      <c r="N1052" s="2804"/>
    </row>
    <row r="1053" spans="2:14">
      <c r="B1053" s="777"/>
      <c r="C1053" s="2800"/>
      <c r="D1053" s="2801"/>
      <c r="E1053" s="2802"/>
      <c r="F1053" s="2803"/>
      <c r="G1053" s="2804"/>
      <c r="H1053" s="2804"/>
      <c r="I1053" s="2804"/>
      <c r="J1053" s="2804"/>
      <c r="K1053" s="2804"/>
      <c r="L1053" s="2805"/>
      <c r="M1053" s="2804"/>
      <c r="N1053" s="2804"/>
    </row>
    <row r="1054" spans="2:14">
      <c r="B1054" s="777"/>
      <c r="C1054" s="2800"/>
      <c r="D1054" s="2801"/>
      <c r="E1054" s="2802"/>
      <c r="F1054" s="2803"/>
      <c r="G1054" s="2804"/>
      <c r="H1054" s="2804"/>
      <c r="I1054" s="2804"/>
      <c r="J1054" s="2804"/>
      <c r="K1054" s="2804"/>
      <c r="L1054" s="2805"/>
      <c r="M1054" s="2804"/>
      <c r="N1054" s="2804"/>
    </row>
    <row r="1055" spans="2:14">
      <c r="B1055" s="777"/>
      <c r="C1055" s="2800"/>
      <c r="D1055" s="2801"/>
      <c r="E1055" s="2802"/>
      <c r="F1055" s="2803"/>
      <c r="G1055" s="2804"/>
      <c r="H1055" s="2804"/>
      <c r="I1055" s="2804"/>
      <c r="J1055" s="2804"/>
      <c r="K1055" s="2804"/>
      <c r="L1055" s="2805"/>
      <c r="M1055" s="2804"/>
      <c r="N1055" s="2804"/>
    </row>
    <row r="1056" spans="2:14">
      <c r="B1056" s="777"/>
      <c r="C1056" s="2800"/>
      <c r="D1056" s="2801"/>
      <c r="E1056" s="2802"/>
      <c r="F1056" s="2803"/>
      <c r="G1056" s="2804"/>
      <c r="H1056" s="2804"/>
      <c r="I1056" s="2804"/>
      <c r="J1056" s="2804"/>
      <c r="K1056" s="2804"/>
      <c r="L1056" s="2805"/>
      <c r="M1056" s="2804"/>
      <c r="N1056" s="2804"/>
    </row>
    <row r="1057" spans="2:14">
      <c r="B1057" s="777"/>
      <c r="C1057" s="2800"/>
      <c r="D1057" s="2801"/>
      <c r="E1057" s="2802"/>
      <c r="F1057" s="2803"/>
      <c r="G1057" s="2804"/>
      <c r="H1057" s="2804"/>
      <c r="I1057" s="2804"/>
      <c r="J1057" s="2804"/>
      <c r="K1057" s="2804"/>
      <c r="L1057" s="2805"/>
      <c r="M1057" s="2804"/>
      <c r="N1057" s="2804"/>
    </row>
    <row r="1058" spans="2:14">
      <c r="B1058" s="777"/>
      <c r="C1058" s="2800"/>
      <c r="D1058" s="2801"/>
      <c r="E1058" s="2802"/>
      <c r="F1058" s="2803"/>
      <c r="G1058" s="2804"/>
      <c r="H1058" s="2804"/>
      <c r="I1058" s="2804"/>
      <c r="J1058" s="2804"/>
      <c r="K1058" s="2804"/>
      <c r="L1058" s="2805"/>
      <c r="M1058" s="2804"/>
      <c r="N1058" s="2804"/>
    </row>
    <row r="1059" spans="2:14">
      <c r="B1059" s="777"/>
      <c r="C1059" s="2800"/>
      <c r="D1059" s="2801"/>
      <c r="E1059" s="2802"/>
      <c r="F1059" s="2803"/>
      <c r="G1059" s="2804"/>
      <c r="H1059" s="2804"/>
      <c r="I1059" s="2804"/>
      <c r="J1059" s="2804"/>
      <c r="K1059" s="2804"/>
      <c r="L1059" s="2805"/>
      <c r="M1059" s="2804"/>
      <c r="N1059" s="2804"/>
    </row>
    <row r="1072" spans="2:14">
      <c r="L1072" s="2103">
        <f>SUM(L5:L1071)</f>
        <v>55388616.450000003</v>
      </c>
    </row>
  </sheetData>
  <mergeCells count="21">
    <mergeCell ref="C802:C810"/>
    <mergeCell ref="C947:C952"/>
    <mergeCell ref="C778:C779"/>
    <mergeCell ref="E778:E779"/>
    <mergeCell ref="F778:F779"/>
    <mergeCell ref="H778:H779"/>
    <mergeCell ref="I778:I779"/>
    <mergeCell ref="J778:J779"/>
    <mergeCell ref="K778:K779"/>
    <mergeCell ref="M778:M779"/>
    <mergeCell ref="L778:L779"/>
    <mergeCell ref="O778:O779"/>
    <mergeCell ref="P778:P779"/>
    <mergeCell ref="N2:N3"/>
    <mergeCell ref="C5:C6"/>
    <mergeCell ref="M5:M6"/>
    <mergeCell ref="C18:C20"/>
    <mergeCell ref="C2:G2"/>
    <mergeCell ref="H2:J2"/>
    <mergeCell ref="K2:L2"/>
    <mergeCell ref="M2:M3"/>
  </mergeCell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B7260-9394-432E-ABBB-4217BD3373CB}">
  <sheetPr>
    <tabColor rgb="FF7030A0"/>
  </sheetPr>
  <dimension ref="A2:N16"/>
  <sheetViews>
    <sheetView topLeftCell="D1" zoomScale="85" zoomScaleNormal="85" workbookViewId="0">
      <pane ySplit="4" topLeftCell="A8" activePane="bottomLeft" state="frozen"/>
      <selection pane="bottomLeft" activeCell="D10" sqref="A10:XFD11"/>
    </sheetView>
  </sheetViews>
  <sheetFormatPr defaultColWidth="9.140625" defaultRowHeight="13.5"/>
  <cols>
    <col min="1" max="1" width="9.140625" style="355"/>
    <col min="2" max="2" width="17.5703125" style="355" customWidth="1"/>
    <col min="3" max="3" width="36.7109375" style="355" customWidth="1"/>
    <col min="4" max="4" width="49.7109375" style="355" bestFit="1" customWidth="1"/>
    <col min="5" max="5" width="26" style="355" customWidth="1"/>
    <col min="6" max="6" width="16.7109375" style="355" customWidth="1"/>
    <col min="7" max="7" width="11.7109375" style="355" customWidth="1"/>
    <col min="8" max="8" width="13.7109375" style="355" customWidth="1"/>
    <col min="9" max="9" width="9.140625" style="355"/>
    <col min="10" max="10" width="12.5703125" style="355" customWidth="1"/>
    <col min="11" max="11" width="20.5703125" style="355" customWidth="1"/>
    <col min="12" max="12" width="15.5703125" style="32" customWidth="1"/>
    <col min="13" max="13" width="16.28515625" style="355" customWidth="1"/>
    <col min="14" max="14" width="12.85546875" style="355" customWidth="1"/>
    <col min="15" max="15" width="9.140625" style="355"/>
    <col min="16" max="16" width="73.7109375" style="355" bestFit="1" customWidth="1"/>
    <col min="17" max="16384" width="9.140625" style="355"/>
  </cols>
  <sheetData>
    <row r="2" spans="1:14">
      <c r="C2" s="2601" t="s">
        <v>30</v>
      </c>
      <c r="D2" s="2602"/>
      <c r="E2" s="2602"/>
      <c r="F2" s="2602"/>
      <c r="G2" s="2603"/>
      <c r="H2" s="2604" t="s">
        <v>29</v>
      </c>
      <c r="I2" s="2605"/>
      <c r="J2" s="2606"/>
      <c r="K2" s="2601" t="s">
        <v>28</v>
      </c>
      <c r="L2" s="2603"/>
      <c r="M2" s="2594" t="s">
        <v>27</v>
      </c>
      <c r="N2" s="2594" t="s">
        <v>26</v>
      </c>
    </row>
    <row r="3" spans="1:14" s="1458" customFormat="1" ht="89.25">
      <c r="C3" s="369" t="s">
        <v>25</v>
      </c>
      <c r="D3" s="379" t="s">
        <v>24</v>
      </c>
      <c r="E3" s="380" t="s">
        <v>23</v>
      </c>
      <c r="F3" s="369" t="s">
        <v>22</v>
      </c>
      <c r="G3" s="336" t="s">
        <v>1157</v>
      </c>
      <c r="H3" s="336" t="s">
        <v>20</v>
      </c>
      <c r="I3" s="336" t="s">
        <v>19</v>
      </c>
      <c r="J3" s="336" t="s">
        <v>18</v>
      </c>
      <c r="K3" s="369" t="s">
        <v>17</v>
      </c>
      <c r="L3" s="381" t="s">
        <v>16</v>
      </c>
      <c r="M3" s="2594"/>
      <c r="N3" s="2594"/>
    </row>
    <row r="4" spans="1:14" ht="27">
      <c r="C4" s="1076" t="s">
        <v>15</v>
      </c>
      <c r="D4" s="1076" t="s">
        <v>14</v>
      </c>
      <c r="E4" s="1076" t="s">
        <v>13</v>
      </c>
      <c r="F4" s="1076" t="s">
        <v>12</v>
      </c>
      <c r="G4" s="1076" t="s">
        <v>11</v>
      </c>
      <c r="H4" s="1076" t="s">
        <v>10</v>
      </c>
      <c r="I4" s="1076" t="s">
        <v>9</v>
      </c>
      <c r="J4" s="1076" t="s">
        <v>8</v>
      </c>
      <c r="K4" s="1076" t="s">
        <v>7</v>
      </c>
      <c r="L4" s="1077" t="s">
        <v>6</v>
      </c>
      <c r="M4" s="1076" t="s">
        <v>5</v>
      </c>
      <c r="N4" s="1076" t="s">
        <v>4</v>
      </c>
    </row>
    <row r="5" spans="1:14" s="455" customFormat="1" ht="21" customHeight="1">
      <c r="A5" s="471"/>
      <c r="B5" s="524" t="s">
        <v>102</v>
      </c>
      <c r="C5" s="953" t="s">
        <v>1659</v>
      </c>
      <c r="D5" s="609"/>
      <c r="E5" s="342"/>
      <c r="F5" s="734"/>
      <c r="G5" s="953"/>
      <c r="H5" s="2302"/>
      <c r="I5" s="2302"/>
      <c r="J5" s="2303"/>
      <c r="K5" s="437"/>
      <c r="L5" s="2304"/>
      <c r="M5" s="741"/>
      <c r="N5" s="741"/>
    </row>
    <row r="6" spans="1:14" s="455" customFormat="1" ht="47.25" customHeight="1">
      <c r="A6" s="471"/>
      <c r="B6" s="524" t="s">
        <v>102</v>
      </c>
      <c r="C6" s="953" t="s">
        <v>3938</v>
      </c>
      <c r="D6" s="2767" t="s">
        <v>3940</v>
      </c>
      <c r="E6" s="342" t="s">
        <v>487</v>
      </c>
      <c r="F6" s="734" t="s">
        <v>3</v>
      </c>
      <c r="G6" s="953" t="s">
        <v>828</v>
      </c>
      <c r="H6" s="2306" t="s">
        <v>3935</v>
      </c>
      <c r="I6" s="2306" t="s">
        <v>3936</v>
      </c>
      <c r="J6" s="2307" t="s">
        <v>3937</v>
      </c>
      <c r="K6" s="2259" t="s">
        <v>3923</v>
      </c>
      <c r="L6" s="1069">
        <v>500000</v>
      </c>
      <c r="M6" s="2308" t="s">
        <v>0</v>
      </c>
      <c r="N6" s="741"/>
    </row>
    <row r="7" spans="1:14" s="455" customFormat="1" ht="47.25" customHeight="1">
      <c r="A7" s="471"/>
      <c r="B7" s="524"/>
      <c r="C7" s="953"/>
      <c r="D7" s="2768"/>
      <c r="E7" s="342"/>
      <c r="F7" s="734"/>
      <c r="G7" s="953"/>
      <c r="H7" s="2306" t="s">
        <v>3931</v>
      </c>
      <c r="I7" s="2306" t="s">
        <v>3932</v>
      </c>
      <c r="J7" s="2307" t="s">
        <v>3933</v>
      </c>
      <c r="K7" s="2259"/>
      <c r="L7" s="1069"/>
      <c r="M7" s="2308"/>
      <c r="N7" s="741"/>
    </row>
    <row r="8" spans="1:14" s="455" customFormat="1" ht="28.5" customHeight="1">
      <c r="A8" s="471"/>
      <c r="B8" s="524" t="s">
        <v>102</v>
      </c>
      <c r="C8" s="953" t="s">
        <v>3939</v>
      </c>
      <c r="D8" s="2796" t="s">
        <v>3941</v>
      </c>
      <c r="E8" s="342" t="s">
        <v>487</v>
      </c>
      <c r="F8" s="734" t="s">
        <v>3</v>
      </c>
      <c r="G8" s="953" t="s">
        <v>828</v>
      </c>
      <c r="H8" s="2306" t="s">
        <v>3935</v>
      </c>
      <c r="I8" s="2306" t="s">
        <v>3936</v>
      </c>
      <c r="J8" s="2307" t="s">
        <v>3937</v>
      </c>
      <c r="K8" s="2259" t="s">
        <v>3923</v>
      </c>
      <c r="L8" s="1019">
        <v>1000000</v>
      </c>
      <c r="M8" s="2308" t="s">
        <v>0</v>
      </c>
      <c r="N8" s="460"/>
    </row>
    <row r="9" spans="1:14" s="455" customFormat="1" ht="28.5" customHeight="1">
      <c r="A9" s="471"/>
      <c r="B9" s="454"/>
      <c r="C9" s="1651"/>
      <c r="D9" s="2797"/>
      <c r="E9" s="342"/>
      <c r="F9" s="734"/>
      <c r="G9" s="953"/>
      <c r="H9" s="2306" t="s">
        <v>3931</v>
      </c>
      <c r="I9" s="2306" t="s">
        <v>3932</v>
      </c>
      <c r="J9" s="2307" t="s">
        <v>3933</v>
      </c>
      <c r="K9" s="2309"/>
      <c r="M9" s="2310"/>
      <c r="N9" s="502"/>
    </row>
    <row r="10" spans="1:14" s="455" customFormat="1" ht="21" customHeight="1">
      <c r="A10" s="471"/>
      <c r="B10" s="454"/>
      <c r="C10" s="410"/>
      <c r="D10" s="309"/>
      <c r="E10" s="852"/>
      <c r="F10" s="304"/>
      <c r="G10" s="304"/>
      <c r="H10" s="306"/>
      <c r="I10" s="307"/>
      <c r="J10" s="307"/>
      <c r="K10" s="307"/>
      <c r="L10" s="308"/>
      <c r="M10" s="321"/>
      <c r="N10" s="306"/>
    </row>
    <row r="11" spans="1:14" s="455" customFormat="1" ht="21" customHeight="1">
      <c r="A11" s="471"/>
      <c r="B11" s="454"/>
      <c r="C11" s="410"/>
      <c r="D11" s="309"/>
      <c r="E11" s="852"/>
      <c r="F11" s="304"/>
      <c r="G11" s="304"/>
      <c r="H11" s="306"/>
      <c r="I11" s="307"/>
      <c r="J11" s="307"/>
      <c r="K11" s="307"/>
      <c r="L11" s="308"/>
      <c r="M11" s="321"/>
      <c r="N11" s="306"/>
    </row>
    <row r="12" spans="1:14" s="455" customFormat="1" ht="21" customHeight="1">
      <c r="A12" s="471"/>
      <c r="B12" s="454"/>
      <c r="C12" s="410"/>
      <c r="D12" s="309"/>
      <c r="E12" s="852"/>
      <c r="F12" s="304"/>
      <c r="G12" s="304"/>
      <c r="H12" s="306"/>
      <c r="I12" s="307"/>
      <c r="J12" s="307"/>
      <c r="K12" s="307"/>
      <c r="L12" s="308"/>
      <c r="M12" s="321"/>
      <c r="N12" s="306"/>
    </row>
    <row r="13" spans="1:14" s="455" customFormat="1" ht="21" customHeight="1">
      <c r="A13" s="471"/>
      <c r="B13" s="454"/>
      <c r="C13" s="410"/>
      <c r="D13" s="309"/>
      <c r="E13" s="852"/>
      <c r="F13" s="304"/>
      <c r="G13" s="304"/>
      <c r="H13" s="306"/>
      <c r="I13" s="307"/>
      <c r="J13" s="307"/>
      <c r="K13" s="307"/>
      <c r="L13" s="308"/>
      <c r="M13" s="321"/>
      <c r="N13" s="306"/>
    </row>
    <row r="14" spans="1:14" s="455" customFormat="1" ht="21" customHeight="1">
      <c r="A14" s="471"/>
      <c r="B14" s="454"/>
      <c r="C14" s="410"/>
      <c r="D14" s="309"/>
      <c r="E14" s="852"/>
      <c r="F14" s="304"/>
      <c r="G14" s="304"/>
      <c r="H14" s="306"/>
      <c r="I14" s="307"/>
      <c r="J14" s="307"/>
      <c r="K14" s="307"/>
      <c r="L14" s="308"/>
      <c r="M14" s="321"/>
      <c r="N14" s="306"/>
    </row>
    <row r="15" spans="1:14" ht="21" customHeight="1">
      <c r="A15" s="352"/>
      <c r="B15" s="352"/>
      <c r="C15" s="400"/>
      <c r="D15" s="400"/>
      <c r="E15" s="401"/>
      <c r="F15" s="402"/>
      <c r="G15" s="403"/>
      <c r="H15" s="403"/>
      <c r="I15" s="403"/>
      <c r="J15" s="403"/>
      <c r="K15" s="408"/>
      <c r="L15" s="404"/>
      <c r="M15" s="407"/>
      <c r="N15" s="405"/>
    </row>
    <row r="16" spans="1:14">
      <c r="A16" s="352"/>
      <c r="B16" s="352"/>
      <c r="C16" s="352"/>
      <c r="D16" s="352"/>
      <c r="E16" s="352"/>
      <c r="F16" s="352"/>
      <c r="G16" s="352"/>
      <c r="H16" s="352"/>
      <c r="I16" s="352"/>
      <c r="J16" s="352"/>
      <c r="K16" s="352"/>
      <c r="L16" s="1986">
        <f>SUM(L5:L14)</f>
        <v>1500000</v>
      </c>
      <c r="M16" s="352"/>
      <c r="N16" s="352"/>
    </row>
  </sheetData>
  <mergeCells count="7">
    <mergeCell ref="M2:M3"/>
    <mergeCell ref="N2:N3"/>
    <mergeCell ref="D6:D7"/>
    <mergeCell ref="D8:D9"/>
    <mergeCell ref="C2:G2"/>
    <mergeCell ref="H2:J2"/>
    <mergeCell ref="K2:L2"/>
  </mergeCell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247CF-7D66-421A-A826-5EC06D802651}">
  <sheetPr>
    <tabColor rgb="FF7030A0"/>
  </sheetPr>
  <dimension ref="A2:N34"/>
  <sheetViews>
    <sheetView topLeftCell="B1" zoomScale="70" zoomScaleNormal="70" workbookViewId="0">
      <pane ySplit="4" topLeftCell="A25" activePane="bottomLeft" state="frozen"/>
      <selection pane="bottomLeft" activeCell="L34" sqref="L34"/>
    </sheetView>
  </sheetViews>
  <sheetFormatPr defaultColWidth="9.140625" defaultRowHeight="13.5"/>
  <cols>
    <col min="1" max="1" width="9.140625" style="355"/>
    <col min="2" max="2" width="17.5703125" style="355" customWidth="1"/>
    <col min="3" max="3" width="36.7109375" style="355" customWidth="1"/>
    <col min="4" max="4" width="49.7109375" style="355" bestFit="1" customWidth="1"/>
    <col min="5" max="5" width="26" style="355" customWidth="1"/>
    <col min="6" max="6" width="16.7109375" style="355" customWidth="1"/>
    <col min="7" max="7" width="11.7109375" style="355" customWidth="1"/>
    <col min="8" max="8" width="13.7109375" style="355" customWidth="1"/>
    <col min="9" max="9" width="9.140625" style="355"/>
    <col min="10" max="10" width="12.5703125" style="355" customWidth="1"/>
    <col min="11" max="11" width="20.5703125" style="355" customWidth="1"/>
    <col min="12" max="12" width="27" style="32" customWidth="1"/>
    <col min="13" max="13" width="16.28515625" style="355" customWidth="1"/>
    <col min="14" max="14" width="12.85546875" style="355" customWidth="1"/>
    <col min="15" max="15" width="9.140625" style="355"/>
    <col min="16" max="16" width="73.7109375" style="355" bestFit="1" customWidth="1"/>
    <col min="17" max="16384" width="9.140625" style="355"/>
  </cols>
  <sheetData>
    <row r="2" spans="1:14">
      <c r="C2" s="2601" t="s">
        <v>30</v>
      </c>
      <c r="D2" s="2602"/>
      <c r="E2" s="2602"/>
      <c r="F2" s="2602"/>
      <c r="G2" s="2603"/>
      <c r="H2" s="2604" t="s">
        <v>29</v>
      </c>
      <c r="I2" s="2605"/>
      <c r="J2" s="2606"/>
      <c r="K2" s="2601" t="s">
        <v>28</v>
      </c>
      <c r="L2" s="2603"/>
      <c r="M2" s="2594" t="s">
        <v>27</v>
      </c>
      <c r="N2" s="2594" t="s">
        <v>26</v>
      </c>
    </row>
    <row r="3" spans="1:14" s="1458" customFormat="1" ht="89.25">
      <c r="C3" s="369" t="s">
        <v>25</v>
      </c>
      <c r="D3" s="379" t="s">
        <v>24</v>
      </c>
      <c r="E3" s="380" t="s">
        <v>23</v>
      </c>
      <c r="F3" s="369" t="s">
        <v>22</v>
      </c>
      <c r="G3" s="336" t="s">
        <v>1157</v>
      </c>
      <c r="H3" s="336" t="s">
        <v>20</v>
      </c>
      <c r="I3" s="336" t="s">
        <v>19</v>
      </c>
      <c r="J3" s="336" t="s">
        <v>18</v>
      </c>
      <c r="K3" s="369" t="s">
        <v>17</v>
      </c>
      <c r="L3" s="381" t="s">
        <v>16</v>
      </c>
      <c r="M3" s="2594"/>
      <c r="N3" s="2594"/>
    </row>
    <row r="4" spans="1:14" ht="27">
      <c r="C4" s="1076" t="s">
        <v>15</v>
      </c>
      <c r="D4" s="1076" t="s">
        <v>14</v>
      </c>
      <c r="E4" s="1076" t="s">
        <v>13</v>
      </c>
      <c r="F4" s="1076" t="s">
        <v>12</v>
      </c>
      <c r="G4" s="1076" t="s">
        <v>11</v>
      </c>
      <c r="H4" s="1076" t="s">
        <v>10</v>
      </c>
      <c r="I4" s="1076" t="s">
        <v>9</v>
      </c>
      <c r="J4" s="1076" t="s">
        <v>8</v>
      </c>
      <c r="K4" s="1076" t="s">
        <v>7</v>
      </c>
      <c r="L4" s="1077" t="s">
        <v>6</v>
      </c>
      <c r="M4" s="1076" t="s">
        <v>5</v>
      </c>
      <c r="N4" s="1076" t="s">
        <v>4</v>
      </c>
    </row>
    <row r="5" spans="1:14" s="455" customFormat="1" ht="21" customHeight="1">
      <c r="A5" s="471"/>
      <c r="B5" s="524" t="s">
        <v>102</v>
      </c>
      <c r="C5" s="2798" t="s">
        <v>3909</v>
      </c>
      <c r="D5" s="609" t="s">
        <v>823</v>
      </c>
      <c r="E5" s="342"/>
      <c r="F5" s="734"/>
      <c r="G5" s="953"/>
      <c r="H5" s="2302"/>
      <c r="I5" s="2302"/>
      <c r="J5" s="2303"/>
      <c r="K5" s="437"/>
      <c r="L5" s="2304"/>
      <c r="M5" s="741"/>
      <c r="N5" s="741"/>
    </row>
    <row r="6" spans="1:14" s="455" customFormat="1" ht="47.25" customHeight="1">
      <c r="A6" s="471"/>
      <c r="B6" s="524" t="s">
        <v>102</v>
      </c>
      <c r="C6" s="2798"/>
      <c r="D6" s="2305" t="s">
        <v>3910</v>
      </c>
      <c r="E6" s="342" t="s">
        <v>487</v>
      </c>
      <c r="F6" s="734" t="s">
        <v>3</v>
      </c>
      <c r="G6" s="953" t="s">
        <v>828</v>
      </c>
      <c r="H6" s="2306" t="s">
        <v>95</v>
      </c>
      <c r="I6" s="2306" t="s">
        <v>96</v>
      </c>
      <c r="J6" s="2307" t="s">
        <v>97</v>
      </c>
      <c r="K6" s="2259" t="s">
        <v>3923</v>
      </c>
      <c r="L6" s="2304">
        <v>6000000</v>
      </c>
      <c r="M6" s="2308" t="s">
        <v>0</v>
      </c>
      <c r="N6" s="741"/>
    </row>
    <row r="7" spans="1:14" s="455" customFormat="1" ht="43.5" customHeight="1">
      <c r="A7" s="471"/>
      <c r="B7" s="524" t="s">
        <v>102</v>
      </c>
      <c r="C7" s="2798"/>
      <c r="D7" s="902" t="s">
        <v>3911</v>
      </c>
      <c r="E7" s="342" t="s">
        <v>487</v>
      </c>
      <c r="F7" s="734" t="s">
        <v>3</v>
      </c>
      <c r="G7" s="953" t="s">
        <v>828</v>
      </c>
      <c r="H7" s="2306" t="s">
        <v>3931</v>
      </c>
      <c r="I7" s="2306" t="s">
        <v>3932</v>
      </c>
      <c r="J7" s="2307" t="s">
        <v>3933</v>
      </c>
      <c r="K7" s="2259" t="s">
        <v>3923</v>
      </c>
      <c r="L7" s="2304">
        <v>3700000</v>
      </c>
      <c r="M7" s="2308" t="s">
        <v>0</v>
      </c>
      <c r="N7" s="460"/>
    </row>
    <row r="8" spans="1:14" s="455" customFormat="1" ht="43.5" customHeight="1">
      <c r="A8" s="471"/>
      <c r="B8" s="524" t="s">
        <v>102</v>
      </c>
      <c r="C8" s="2798"/>
      <c r="D8" s="902" t="s">
        <v>3912</v>
      </c>
      <c r="E8" s="342" t="s">
        <v>487</v>
      </c>
      <c r="F8" s="734" t="s">
        <v>3</v>
      </c>
      <c r="G8" s="953" t="s">
        <v>828</v>
      </c>
      <c r="H8" s="2306" t="s">
        <v>3931</v>
      </c>
      <c r="I8" s="2306" t="s">
        <v>3932</v>
      </c>
      <c r="J8" s="2307" t="s">
        <v>3933</v>
      </c>
      <c r="K8" s="2259" t="s">
        <v>3923</v>
      </c>
      <c r="L8" s="2304">
        <v>500000</v>
      </c>
      <c r="M8" s="2308" t="s">
        <v>0</v>
      </c>
      <c r="N8" s="460"/>
    </row>
    <row r="9" spans="1:14" s="455" customFormat="1" ht="43.5" customHeight="1">
      <c r="A9" s="471"/>
      <c r="B9" s="524" t="s">
        <v>102</v>
      </c>
      <c r="C9" s="2798"/>
      <c r="D9" s="510" t="s">
        <v>3913</v>
      </c>
      <c r="E9" s="342" t="s">
        <v>487</v>
      </c>
      <c r="F9" s="734" t="s">
        <v>3</v>
      </c>
      <c r="G9" s="953" t="s">
        <v>828</v>
      </c>
      <c r="H9" s="2306" t="s">
        <v>518</v>
      </c>
      <c r="I9" s="2306" t="s">
        <v>118</v>
      </c>
      <c r="J9" s="2307" t="s">
        <v>3934</v>
      </c>
      <c r="K9" s="2259" t="s">
        <v>3923</v>
      </c>
      <c r="L9" s="2304">
        <v>1299000</v>
      </c>
      <c r="M9" s="2308" t="s">
        <v>0</v>
      </c>
      <c r="N9" s="352"/>
    </row>
    <row r="10" spans="1:14" s="455" customFormat="1" ht="43.5" customHeight="1">
      <c r="A10" s="471"/>
      <c r="B10" s="524" t="s">
        <v>102</v>
      </c>
      <c r="C10" s="352"/>
      <c r="D10" s="460" t="s">
        <v>3914</v>
      </c>
      <c r="E10" s="342" t="s">
        <v>487</v>
      </c>
      <c r="F10" s="734" t="s">
        <v>3</v>
      </c>
      <c r="G10" s="953" t="s">
        <v>828</v>
      </c>
      <c r="H10" s="2306" t="s">
        <v>3931</v>
      </c>
      <c r="I10" s="2306" t="s">
        <v>3932</v>
      </c>
      <c r="J10" s="2307" t="s">
        <v>3933</v>
      </c>
      <c r="K10" s="2259" t="s">
        <v>3923</v>
      </c>
      <c r="L10" s="2304">
        <v>100000</v>
      </c>
      <c r="M10" s="2308" t="s">
        <v>0</v>
      </c>
      <c r="N10" s="460"/>
    </row>
    <row r="11" spans="1:14" s="455" customFormat="1" ht="43.5" customHeight="1">
      <c r="A11" s="471"/>
      <c r="B11" s="524" t="s">
        <v>102</v>
      </c>
      <c r="C11" s="314"/>
      <c r="D11" s="309" t="s">
        <v>3915</v>
      </c>
      <c r="E11" s="342" t="s">
        <v>487</v>
      </c>
      <c r="F11" s="734" t="s">
        <v>3</v>
      </c>
      <c r="G11" s="953" t="s">
        <v>828</v>
      </c>
      <c r="H11" s="2306" t="s">
        <v>3931</v>
      </c>
      <c r="I11" s="2306" t="s">
        <v>3932</v>
      </c>
      <c r="J11" s="2307" t="s">
        <v>3933</v>
      </c>
      <c r="K11" s="2259" t="s">
        <v>3923</v>
      </c>
      <c r="L11" s="2304">
        <v>100000</v>
      </c>
      <c r="M11" s="2308" t="s">
        <v>0</v>
      </c>
      <c r="N11" s="471"/>
    </row>
    <row r="12" spans="1:14" s="455" customFormat="1" ht="43.5" customHeight="1">
      <c r="A12" s="471"/>
      <c r="B12" s="524" t="s">
        <v>102</v>
      </c>
      <c r="C12" s="314"/>
      <c r="D12" s="309" t="s">
        <v>3916</v>
      </c>
      <c r="E12" s="342" t="s">
        <v>487</v>
      </c>
      <c r="F12" s="734" t="s">
        <v>3</v>
      </c>
      <c r="G12" s="953" t="s">
        <v>828</v>
      </c>
      <c r="H12" s="2306" t="s">
        <v>3931</v>
      </c>
      <c r="I12" s="2306" t="s">
        <v>3932</v>
      </c>
      <c r="J12" s="2307" t="s">
        <v>3933</v>
      </c>
      <c r="K12" s="2259" t="s">
        <v>3923</v>
      </c>
      <c r="L12" s="2304">
        <v>150000</v>
      </c>
      <c r="M12" s="2308" t="s">
        <v>0</v>
      </c>
      <c r="N12" s="460"/>
    </row>
    <row r="13" spans="1:14" s="455" customFormat="1" ht="43.5" customHeight="1">
      <c r="A13" s="471"/>
      <c r="B13" s="524" t="s">
        <v>102</v>
      </c>
      <c r="C13" s="966"/>
      <c r="D13" s="309" t="s">
        <v>3917</v>
      </c>
      <c r="E13" s="342" t="s">
        <v>487</v>
      </c>
      <c r="F13" s="734" t="s">
        <v>3</v>
      </c>
      <c r="G13" s="953" t="s">
        <v>828</v>
      </c>
      <c r="H13" s="2306" t="s">
        <v>95</v>
      </c>
      <c r="I13" s="2306" t="s">
        <v>96</v>
      </c>
      <c r="J13" s="2307" t="s">
        <v>97</v>
      </c>
      <c r="K13" s="2259" t="s">
        <v>3923</v>
      </c>
      <c r="L13" s="2304">
        <v>150000</v>
      </c>
      <c r="M13" s="2308" t="s">
        <v>0</v>
      </c>
      <c r="N13" s="458"/>
    </row>
    <row r="14" spans="1:14" s="455" customFormat="1" ht="43.5" customHeight="1">
      <c r="A14" s="471"/>
      <c r="B14" s="524" t="s">
        <v>102</v>
      </c>
      <c r="C14" s="537"/>
      <c r="D14" s="495" t="s">
        <v>3918</v>
      </c>
      <c r="E14" s="342" t="s">
        <v>487</v>
      </c>
      <c r="F14" s="734" t="s">
        <v>3</v>
      </c>
      <c r="G14" s="953" t="s">
        <v>828</v>
      </c>
      <c r="H14" s="2306" t="s">
        <v>95</v>
      </c>
      <c r="I14" s="2306" t="s">
        <v>96</v>
      </c>
      <c r="J14" s="2307" t="s">
        <v>97</v>
      </c>
      <c r="K14" s="2259" t="s">
        <v>3923</v>
      </c>
      <c r="L14" s="2304">
        <v>300000</v>
      </c>
      <c r="M14" s="2308" t="s">
        <v>0</v>
      </c>
      <c r="N14" s="309"/>
    </row>
    <row r="15" spans="1:14" s="455" customFormat="1" ht="43.5" customHeight="1">
      <c r="A15" s="471"/>
      <c r="B15" s="524" t="s">
        <v>102</v>
      </c>
      <c r="C15" s="537"/>
      <c r="D15" s="495" t="s">
        <v>3924</v>
      </c>
      <c r="E15" s="342" t="s">
        <v>487</v>
      </c>
      <c r="F15" s="734" t="s">
        <v>3</v>
      </c>
      <c r="G15" s="953" t="s">
        <v>828</v>
      </c>
      <c r="H15" s="2306" t="s">
        <v>95</v>
      </c>
      <c r="I15" s="2306" t="s">
        <v>96</v>
      </c>
      <c r="J15" s="2307" t="s">
        <v>97</v>
      </c>
      <c r="K15" s="2259" t="s">
        <v>3923</v>
      </c>
      <c r="L15" s="2304">
        <v>500000</v>
      </c>
      <c r="M15" s="2308"/>
      <c r="N15" s="309"/>
    </row>
    <row r="16" spans="1:14" s="455" customFormat="1" ht="43.5" customHeight="1">
      <c r="A16" s="471"/>
      <c r="B16" s="524" t="s">
        <v>102</v>
      </c>
      <c r="C16" s="1651"/>
      <c r="D16" s="309" t="s">
        <v>3919</v>
      </c>
      <c r="E16" s="342" t="s">
        <v>487</v>
      </c>
      <c r="F16" s="734" t="s">
        <v>3</v>
      </c>
      <c r="G16" s="953" t="s">
        <v>828</v>
      </c>
      <c r="H16" s="2306" t="s">
        <v>3931</v>
      </c>
      <c r="I16" s="2306" t="s">
        <v>3932</v>
      </c>
      <c r="J16" s="2307" t="s">
        <v>3933</v>
      </c>
      <c r="K16" s="2259" t="s">
        <v>3923</v>
      </c>
      <c r="L16" s="2304">
        <v>150000</v>
      </c>
      <c r="M16" s="2308" t="s">
        <v>0</v>
      </c>
      <c r="N16" s="502"/>
    </row>
    <row r="17" spans="1:14" s="455" customFormat="1" ht="44.25" customHeight="1">
      <c r="A17" s="471"/>
      <c r="B17" s="524" t="s">
        <v>102</v>
      </c>
      <c r="C17" s="987"/>
      <c r="D17" s="314" t="s">
        <v>3920</v>
      </c>
      <c r="E17" s="342" t="s">
        <v>487</v>
      </c>
      <c r="F17" s="734" t="s">
        <v>3</v>
      </c>
      <c r="G17" s="953" t="s">
        <v>828</v>
      </c>
      <c r="H17" s="2306" t="s">
        <v>95</v>
      </c>
      <c r="I17" s="2306" t="s">
        <v>96</v>
      </c>
      <c r="J17" s="2307" t="s">
        <v>97</v>
      </c>
      <c r="K17" s="2259" t="s">
        <v>3923</v>
      </c>
      <c r="L17" s="2304">
        <v>250000</v>
      </c>
      <c r="M17" s="2308" t="s">
        <v>0</v>
      </c>
      <c r="N17" s="454"/>
    </row>
    <row r="18" spans="1:14" s="455" customFormat="1" ht="44.25" customHeight="1">
      <c r="A18" s="471"/>
      <c r="B18" s="524" t="s">
        <v>102</v>
      </c>
      <c r="C18" s="987"/>
      <c r="D18" s="314" t="s">
        <v>3921</v>
      </c>
      <c r="E18" s="342" t="s">
        <v>487</v>
      </c>
      <c r="F18" s="734" t="s">
        <v>3</v>
      </c>
      <c r="G18" s="953" t="s">
        <v>828</v>
      </c>
      <c r="H18" s="2306" t="s">
        <v>95</v>
      </c>
      <c r="I18" s="2306" t="s">
        <v>96</v>
      </c>
      <c r="J18" s="2307" t="s">
        <v>97</v>
      </c>
      <c r="K18" s="2259" t="s">
        <v>3923</v>
      </c>
      <c r="L18" s="2304">
        <v>150000</v>
      </c>
      <c r="M18" s="2308" t="s">
        <v>0</v>
      </c>
      <c r="N18" s="458"/>
    </row>
    <row r="19" spans="1:14" s="455" customFormat="1" ht="44.25" customHeight="1">
      <c r="A19" s="471"/>
      <c r="B19" s="524" t="s">
        <v>102</v>
      </c>
      <c r="C19" s="537"/>
      <c r="D19" s="495" t="s">
        <v>3922</v>
      </c>
      <c r="E19" s="342" t="s">
        <v>487</v>
      </c>
      <c r="F19" s="734" t="s">
        <v>3</v>
      </c>
      <c r="G19" s="953" t="s">
        <v>828</v>
      </c>
      <c r="H19" s="2306" t="s">
        <v>3935</v>
      </c>
      <c r="I19" s="2306" t="s">
        <v>3936</v>
      </c>
      <c r="J19" s="2307" t="s">
        <v>3937</v>
      </c>
      <c r="K19" s="2259" t="s">
        <v>3923</v>
      </c>
      <c r="L19" s="2304">
        <v>200000</v>
      </c>
      <c r="M19" s="2308" t="s">
        <v>0</v>
      </c>
      <c r="N19" s="309"/>
    </row>
    <row r="20" spans="1:14" s="455" customFormat="1" ht="44.25" customHeight="1">
      <c r="A20" s="471"/>
      <c r="B20" s="524" t="s">
        <v>102</v>
      </c>
      <c r="C20" s="1651"/>
      <c r="D20" s="309" t="s">
        <v>3925</v>
      </c>
      <c r="E20" s="342" t="s">
        <v>487</v>
      </c>
      <c r="F20" s="734" t="s">
        <v>3</v>
      </c>
      <c r="G20" s="953" t="s">
        <v>828</v>
      </c>
      <c r="H20" s="2306" t="s">
        <v>3935</v>
      </c>
      <c r="I20" s="2306" t="s">
        <v>3936</v>
      </c>
      <c r="J20" s="2307" t="s">
        <v>3937</v>
      </c>
      <c r="K20" s="2259" t="s">
        <v>3923</v>
      </c>
      <c r="L20" s="1069">
        <v>100000</v>
      </c>
      <c r="M20" s="2308" t="s">
        <v>0</v>
      </c>
      <c r="N20" s="502"/>
    </row>
    <row r="21" spans="1:14" s="455" customFormat="1" ht="44.25" customHeight="1">
      <c r="A21" s="471"/>
      <c r="B21" s="524" t="s">
        <v>102</v>
      </c>
      <c r="C21" s="1651"/>
      <c r="D21" s="309" t="s">
        <v>3926</v>
      </c>
      <c r="E21" s="342" t="s">
        <v>487</v>
      </c>
      <c r="F21" s="734" t="s">
        <v>3</v>
      </c>
      <c r="G21" s="953" t="s">
        <v>828</v>
      </c>
      <c r="H21" s="2306" t="s">
        <v>3931</v>
      </c>
      <c r="I21" s="2306" t="s">
        <v>3932</v>
      </c>
      <c r="J21" s="2307" t="s">
        <v>3933</v>
      </c>
      <c r="K21" s="2259" t="s">
        <v>3923</v>
      </c>
      <c r="L21" s="1069">
        <v>100000</v>
      </c>
      <c r="M21" s="2308" t="s">
        <v>0</v>
      </c>
      <c r="N21" s="502"/>
    </row>
    <row r="22" spans="1:14" s="455" customFormat="1" ht="44.25" customHeight="1">
      <c r="A22" s="471"/>
      <c r="B22" s="524" t="s">
        <v>102</v>
      </c>
      <c r="C22" s="1651"/>
      <c r="D22" s="309" t="s">
        <v>3927</v>
      </c>
      <c r="E22" s="342" t="s">
        <v>487</v>
      </c>
      <c r="F22" s="734" t="s">
        <v>3</v>
      </c>
      <c r="G22" s="953" t="s">
        <v>828</v>
      </c>
      <c r="H22" s="2306" t="s">
        <v>3931</v>
      </c>
      <c r="I22" s="2306" t="s">
        <v>3932</v>
      </c>
      <c r="J22" s="2307" t="s">
        <v>3933</v>
      </c>
      <c r="K22" s="2259" t="s">
        <v>3923</v>
      </c>
      <c r="L22" s="1069">
        <v>300000</v>
      </c>
      <c r="M22" s="2308" t="s">
        <v>0</v>
      </c>
      <c r="N22" s="502"/>
    </row>
    <row r="23" spans="1:14" s="455" customFormat="1" ht="44.25" customHeight="1">
      <c r="A23" s="471"/>
      <c r="B23" s="524" t="s">
        <v>102</v>
      </c>
      <c r="C23" s="1651"/>
      <c r="D23" s="309" t="s">
        <v>3928</v>
      </c>
      <c r="E23" s="342" t="s">
        <v>487</v>
      </c>
      <c r="F23" s="734" t="s">
        <v>3</v>
      </c>
      <c r="G23" s="953" t="s">
        <v>828</v>
      </c>
      <c r="H23" s="2306" t="s">
        <v>3931</v>
      </c>
      <c r="I23" s="2306" t="s">
        <v>3932</v>
      </c>
      <c r="J23" s="2307" t="s">
        <v>3933</v>
      </c>
      <c r="K23" s="2259" t="s">
        <v>3923</v>
      </c>
      <c r="L23" s="1069">
        <v>275500</v>
      </c>
      <c r="M23" s="2308" t="s">
        <v>0</v>
      </c>
      <c r="N23" s="502"/>
    </row>
    <row r="24" spans="1:14" s="455" customFormat="1" ht="44.25" customHeight="1">
      <c r="A24" s="471"/>
      <c r="B24" s="524" t="s">
        <v>102</v>
      </c>
      <c r="C24" s="1651"/>
      <c r="D24" s="309" t="s">
        <v>3929</v>
      </c>
      <c r="E24" s="342" t="s">
        <v>487</v>
      </c>
      <c r="F24" s="734" t="s">
        <v>3</v>
      </c>
      <c r="G24" s="953" t="s">
        <v>828</v>
      </c>
      <c r="H24" s="2306" t="s">
        <v>518</v>
      </c>
      <c r="I24" s="2306" t="s">
        <v>118</v>
      </c>
      <c r="J24" s="2307" t="s">
        <v>3934</v>
      </c>
      <c r="K24" s="2259" t="s">
        <v>3923</v>
      </c>
      <c r="L24" s="1069">
        <v>500000</v>
      </c>
      <c r="M24" s="2308" t="s">
        <v>0</v>
      </c>
      <c r="N24" s="502"/>
    </row>
    <row r="25" spans="1:14" s="455" customFormat="1" ht="44.25" customHeight="1">
      <c r="A25" s="471"/>
      <c r="B25" s="524" t="s">
        <v>102</v>
      </c>
      <c r="C25" s="1651"/>
      <c r="D25" s="309" t="s">
        <v>3928</v>
      </c>
      <c r="E25" s="342" t="s">
        <v>487</v>
      </c>
      <c r="F25" s="734" t="s">
        <v>3</v>
      </c>
      <c r="G25" s="953" t="s">
        <v>828</v>
      </c>
      <c r="H25" s="2306" t="s">
        <v>518</v>
      </c>
      <c r="I25" s="2306" t="s">
        <v>118</v>
      </c>
      <c r="J25" s="2307" t="s">
        <v>3934</v>
      </c>
      <c r="K25" s="2259" t="s">
        <v>3923</v>
      </c>
      <c r="L25" s="1069">
        <v>500000</v>
      </c>
      <c r="M25" s="2308" t="s">
        <v>0</v>
      </c>
      <c r="N25" s="502"/>
    </row>
    <row r="26" spans="1:14" s="455" customFormat="1" ht="44.25" customHeight="1">
      <c r="A26" s="471"/>
      <c r="B26" s="524" t="s">
        <v>102</v>
      </c>
      <c r="C26" s="1651"/>
      <c r="D26" s="309" t="s">
        <v>3930</v>
      </c>
      <c r="E26" s="342" t="s">
        <v>487</v>
      </c>
      <c r="F26" s="734" t="s">
        <v>3</v>
      </c>
      <c r="G26" s="953" t="s">
        <v>828</v>
      </c>
      <c r="H26" s="2306" t="s">
        <v>3935</v>
      </c>
      <c r="I26" s="2306" t="s">
        <v>3936</v>
      </c>
      <c r="J26" s="2307" t="s">
        <v>3937</v>
      </c>
      <c r="K26" s="2259" t="s">
        <v>3923</v>
      </c>
      <c r="L26" s="1069">
        <v>475500</v>
      </c>
      <c r="M26" s="2308" t="s">
        <v>0</v>
      </c>
      <c r="N26" s="502"/>
    </row>
    <row r="27" spans="1:14" s="455" customFormat="1" ht="21" customHeight="1">
      <c r="A27" s="471"/>
      <c r="B27" s="454"/>
      <c r="C27" s="410"/>
      <c r="D27" s="309"/>
      <c r="E27" s="852"/>
      <c r="F27" s="304"/>
      <c r="G27" s="304"/>
      <c r="H27" s="306"/>
      <c r="I27" s="307"/>
      <c r="J27" s="307"/>
      <c r="K27" s="307"/>
      <c r="L27" s="308"/>
      <c r="M27" s="321"/>
      <c r="N27" s="306"/>
    </row>
    <row r="28" spans="1:14" s="455" customFormat="1" ht="21" customHeight="1">
      <c r="A28" s="471"/>
      <c r="B28" s="454"/>
      <c r="C28" s="410"/>
      <c r="D28" s="309"/>
      <c r="E28" s="852"/>
      <c r="F28" s="304"/>
      <c r="G28" s="304"/>
      <c r="H28" s="306"/>
      <c r="I28" s="307"/>
      <c r="J28" s="307"/>
      <c r="K28" s="307"/>
      <c r="L28" s="308"/>
      <c r="M28" s="321"/>
      <c r="N28" s="306"/>
    </row>
    <row r="29" spans="1:14" s="455" customFormat="1" ht="21" customHeight="1">
      <c r="A29" s="471"/>
      <c r="B29" s="454"/>
      <c r="C29" s="410"/>
      <c r="D29" s="309"/>
      <c r="E29" s="852"/>
      <c r="F29" s="304"/>
      <c r="G29" s="304"/>
      <c r="H29" s="306"/>
      <c r="I29" s="307"/>
      <c r="J29" s="307"/>
      <c r="K29" s="307"/>
      <c r="L29" s="308"/>
      <c r="M29" s="321"/>
      <c r="N29" s="306"/>
    </row>
    <row r="30" spans="1:14" s="455" customFormat="1" ht="21" customHeight="1">
      <c r="A30" s="471"/>
      <c r="B30" s="454"/>
      <c r="C30" s="410"/>
      <c r="D30" s="309"/>
      <c r="E30" s="852"/>
      <c r="F30" s="304"/>
      <c r="G30" s="304"/>
      <c r="H30" s="306"/>
      <c r="I30" s="307"/>
      <c r="J30" s="307"/>
      <c r="K30" s="307"/>
      <c r="L30" s="308"/>
      <c r="M30" s="321"/>
      <c r="N30" s="306"/>
    </row>
    <row r="31" spans="1:14" ht="21" customHeight="1">
      <c r="A31" s="352"/>
      <c r="B31" s="352"/>
      <c r="C31" s="400"/>
      <c r="D31" s="400"/>
      <c r="E31" s="401"/>
      <c r="F31" s="402"/>
      <c r="G31" s="402"/>
      <c r="H31" s="403"/>
      <c r="I31" s="403"/>
      <c r="J31" s="403"/>
      <c r="K31" s="402"/>
      <c r="L31" s="404"/>
      <c r="M31" s="402"/>
      <c r="N31" s="405"/>
    </row>
    <row r="32" spans="1:14" ht="21" customHeight="1">
      <c r="A32" s="352"/>
      <c r="B32" s="352"/>
      <c r="C32" s="400"/>
      <c r="D32" s="400"/>
      <c r="E32" s="401"/>
      <c r="F32" s="402"/>
      <c r="G32" s="402"/>
      <c r="H32" s="403"/>
      <c r="I32" s="403"/>
      <c r="J32" s="403"/>
      <c r="K32" s="402"/>
      <c r="L32" s="404"/>
      <c r="M32" s="407"/>
      <c r="N32" s="405"/>
    </row>
    <row r="33" spans="1:14" ht="21" customHeight="1">
      <c r="A33" s="352"/>
      <c r="B33" s="352"/>
      <c r="C33" s="400"/>
      <c r="D33" s="400"/>
      <c r="E33" s="401"/>
      <c r="F33" s="402"/>
      <c r="G33" s="403"/>
      <c r="H33" s="403"/>
      <c r="I33" s="403"/>
      <c r="J33" s="403"/>
      <c r="K33" s="408"/>
      <c r="L33" s="404"/>
      <c r="M33" s="407"/>
      <c r="N33" s="405"/>
    </row>
    <row r="34" spans="1:14" ht="15.75">
      <c r="A34" s="352"/>
      <c r="B34" s="352"/>
      <c r="C34" s="352"/>
      <c r="D34" s="352"/>
      <c r="E34" s="352"/>
      <c r="F34" s="352"/>
      <c r="G34" s="352"/>
      <c r="H34" s="352"/>
      <c r="I34" s="352"/>
      <c r="J34" s="352"/>
      <c r="K34" s="352"/>
      <c r="L34" s="2390">
        <f>SUM(L5:L32)</f>
        <v>15800000</v>
      </c>
      <c r="M34" s="352"/>
      <c r="N34" s="352"/>
    </row>
  </sheetData>
  <mergeCells count="6">
    <mergeCell ref="N2:N3"/>
    <mergeCell ref="C5:C9"/>
    <mergeCell ref="C2:G2"/>
    <mergeCell ref="H2:J2"/>
    <mergeCell ref="K2:L2"/>
    <mergeCell ref="M2:M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90</vt:i4>
      </vt:variant>
    </vt:vector>
  </HeadingPairs>
  <TitlesOfParts>
    <vt:vector size="90" baseType="lpstr">
      <vt:lpstr>LEGEND</vt:lpstr>
      <vt:lpstr>GEN FUND - summary</vt:lpstr>
      <vt:lpstr>SPF - summary</vt:lpstr>
      <vt:lpstr>OLF  - summary</vt:lpstr>
      <vt:lpstr>GAD FUND - summary</vt:lpstr>
      <vt:lpstr>OMOE -OLF</vt:lpstr>
      <vt:lpstr>ICT CAP. OUTLAY-OL (2)</vt:lpstr>
      <vt:lpstr>OFFICE EQPT. CAP. OUTLAY-OLF</vt:lpstr>
      <vt:lpstr>Office SUP -OLF</vt:lpstr>
      <vt:lpstr>OTHER SUPPLIES - OLF</vt:lpstr>
      <vt:lpstr>EXTRA ORD. AND MIS. EXP. - OLF</vt:lpstr>
      <vt:lpstr>FOOD SUPPLIES - OLF</vt:lpstr>
      <vt:lpstr>SEMI EXP. MACHINARY &amp; EQPT-OLF </vt:lpstr>
      <vt:lpstr>MACHINERY AND EQUIPMENT-OLF</vt:lpstr>
      <vt:lpstr>PRINTING PUBLICATION-OLF (2)</vt:lpstr>
      <vt:lpstr>TRAVELING EXP -OLF</vt:lpstr>
      <vt:lpstr>TRAINING -OLF</vt:lpstr>
      <vt:lpstr>AGRICULTURAL SUPPLIES - OLF </vt:lpstr>
      <vt:lpstr>Awards and Rewards for OLF</vt:lpstr>
      <vt:lpstr>FUEL EXPENSES - OLF</vt:lpstr>
      <vt:lpstr>INTERNET - OLF</vt:lpstr>
      <vt:lpstr>TELEPHONE - OLF</vt:lpstr>
      <vt:lpstr>WATER EXPENSES - OLF</vt:lpstr>
      <vt:lpstr>SUBSIDY TO LGU - OLF</vt:lpstr>
      <vt:lpstr>DONATIONS - OLF</vt:lpstr>
      <vt:lpstr>DRUGS &amp; MEDS. EXP. - OLF</vt:lpstr>
      <vt:lpstr>REP. &amp; MAINT. FUR.&amp;FIX. - OLF</vt:lpstr>
      <vt:lpstr>REP. &amp; MAINT. OFFICE EQPT - OLF</vt:lpstr>
      <vt:lpstr>REP. &amp; MAINT. ICT </vt:lpstr>
      <vt:lpstr>REP. &amp; MAINT. TRANS EQPT. OLF</vt:lpstr>
      <vt:lpstr>REP&amp;MAIN. -Building - OLF</vt:lpstr>
      <vt:lpstr>OFFICE SUPPLIES - GAD</vt:lpstr>
      <vt:lpstr>REP. &amp; MAINT. OF TRANSPO -GAD</vt:lpstr>
      <vt:lpstr>REP. &amp; MAINT. OF ICT EQPMT- GAD</vt:lpstr>
      <vt:lpstr>DRUGS &amp; MEDS. - GAD</vt:lpstr>
      <vt:lpstr>FUEL &amp; LUB. - GAD</vt:lpstr>
      <vt:lpstr>WATER EXPENSES - GAD</vt:lpstr>
      <vt:lpstr>INTERNET SUB. - GAD</vt:lpstr>
      <vt:lpstr>FOOD SUPPLIES - GAD</vt:lpstr>
      <vt:lpstr>TRAINING - GAD</vt:lpstr>
      <vt:lpstr>GENERAL SERVICES - GAD</vt:lpstr>
      <vt:lpstr>SEMI EXPNDBLE MCHNRY &amp; EQPT-GAD</vt:lpstr>
      <vt:lpstr>TRAVELLING - GAD</vt:lpstr>
      <vt:lpstr>OFFICE EQPT. CAP. OUTLAY - GAD</vt:lpstr>
      <vt:lpstr>Extraordinary Expenses - GAD</vt:lpstr>
      <vt:lpstr>DONATIONS - GAD</vt:lpstr>
      <vt:lpstr>OMOE -GAD</vt:lpstr>
      <vt:lpstr>OTHER SUP. EXP. - GAD</vt:lpstr>
      <vt:lpstr>LIVESTOCK PROGRAM - GF</vt:lpstr>
      <vt:lpstr>SEMI EXPNDBLE FUR&amp;FIX - GF</vt:lpstr>
      <vt:lpstr>SEMI EXPNDBLE  MACHINERY- GF</vt:lpstr>
      <vt:lpstr>CONSULTANCY - GF</vt:lpstr>
      <vt:lpstr>INTERNET SUBS. - GF</vt:lpstr>
      <vt:lpstr>EXTRA ORD. GF</vt:lpstr>
      <vt:lpstr>LANDLINE - GF</vt:lpstr>
      <vt:lpstr>MOBILE EXP. - GF</vt:lpstr>
      <vt:lpstr>OFFICE SUPPLIES - GF</vt:lpstr>
      <vt:lpstr>OTHER SUPPLIES - GF</vt:lpstr>
      <vt:lpstr>FIDELITY - GF</vt:lpstr>
      <vt:lpstr>CO - HOSP. EQPT MCHNRY - GF </vt:lpstr>
      <vt:lpstr>CO - OFFICE EQPT - GF (2)</vt:lpstr>
      <vt:lpstr>CO - ICT - GF</vt:lpstr>
      <vt:lpstr>OMOE - GF</vt:lpstr>
      <vt:lpstr>REP&amp;MAINT. BUILDING -GF</vt:lpstr>
      <vt:lpstr>REP&amp;MAINT. TRANSPO - GF</vt:lpstr>
      <vt:lpstr>REP&amp;MAINT. MACHINERY - GF</vt:lpstr>
      <vt:lpstr>REP&amp;MAINT. ICT EQPT&amp; SFTWR - GF</vt:lpstr>
      <vt:lpstr>REP&amp;MAINT. HOS. &amp; LAB. EQPT -GF</vt:lpstr>
      <vt:lpstr>REP&amp;MAINT. OFFICE EQMNT - GF </vt:lpstr>
      <vt:lpstr>Electrification- GF</vt:lpstr>
      <vt:lpstr>COOKING GAS - GF</vt:lpstr>
      <vt:lpstr>LGDF - GF</vt:lpstr>
      <vt:lpstr>ACCOUNTABLE FORMS - GF</vt:lpstr>
      <vt:lpstr>CONSTRUCTION MATERIALS - GF</vt:lpstr>
      <vt:lpstr>POSTAGE &amp; DLVRY - GF</vt:lpstr>
      <vt:lpstr>CABLE  - GF</vt:lpstr>
      <vt:lpstr>ELECTRICITY - GF</vt:lpstr>
      <vt:lpstr>WATER EXPENSE - GF</vt:lpstr>
      <vt:lpstr>FUEL - GF</vt:lpstr>
      <vt:lpstr>TRAVELLING - GF</vt:lpstr>
      <vt:lpstr>TRAINING - GF</vt:lpstr>
      <vt:lpstr>DONation - GF</vt:lpstr>
      <vt:lpstr>SUBSIDY TO LGU - GF</vt:lpstr>
      <vt:lpstr>PRINTING PUBLICATION - GF </vt:lpstr>
      <vt:lpstr>FURNITURES &amp; FIX - GF</vt:lpstr>
      <vt:lpstr>FOOD SUPPLIES - GF</vt:lpstr>
      <vt:lpstr>MEDICAL SUPPLIES - GF</vt:lpstr>
      <vt:lpstr>DRUGS &amp; MEDS. EXP. - GF</vt:lpstr>
      <vt:lpstr>CAPITAL OUTLAY INFRASTRUC - SPF</vt:lpstr>
      <vt:lpstr>OMOE - SPF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2026-07-21T02:01:35Z</dcterms:created>
  <dcterms:modified xsi:type="dcterms:W3CDTF">2026-08-04T13:29:42Z</dcterms:modified>
</cp:coreProperties>
</file>