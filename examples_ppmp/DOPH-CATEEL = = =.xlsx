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141DAC7-0B7F-4405-9EBA-AD1208A337A8}" xr6:coauthVersionLast="45" xr6:coauthVersionMax="45" xr10:uidLastSave="{00000000-0000-0000-0000-000000000000}"/>
  <bookViews>
    <workbookView xWindow="-108" yWindow="-108" windowWidth="23256" windowHeight="12456" firstSheet="3" activeTab="5" xr2:uid="{C09913DD-49CE-4D4D-94AD-E951475A55EA}"/>
  </bookViews>
  <sheets>
    <sheet name="Drugs and Medicine Supplies" sheetId="3" r:id="rId1"/>
    <sheet name="medical" sheetId="2" r:id="rId2"/>
    <sheet name="Other Supplies" sheetId="9" r:id="rId3"/>
    <sheet name="Other Maintenance Operating Exp" sheetId="8" r:id="rId4"/>
    <sheet name="Sply and Delivery of vr,ofc,&amp; E" sheetId="10" r:id="rId5"/>
    <sheet name="Food Supplies" sheetId="11" r:id="rId6"/>
    <sheet name="Fuels and Lub,Expenses" sheetId="13" r:id="rId7"/>
    <sheet name="Repair &amp; Maintenance Motor Vehi" sheetId="7" r:id="rId8"/>
    <sheet name="Repair &amp; Maint, of Lab,Equi,Exp" sheetId="6" r:id="rId9"/>
    <sheet name="Repair &amp; Maintenance Electric" sheetId="5" r:id="rId10"/>
    <sheet name="Fuels and Lb,Expenses" sheetId="12" r:id="rId11"/>
    <sheet name="LGDF" sheetId="15" r:id="rId12"/>
    <sheet name="Accountable Forms" sheetId="14" r:id="rId13"/>
    <sheet name="Capital Outlay" sheetId="22" r:id="rId14"/>
    <sheet name="Fidelity Bond Expenses" sheetId="23" r:id="rId15"/>
    <sheet name="Repair&amp;Maint.of ICT Equip Expen" sheetId="24" r:id="rId16"/>
    <sheet name="Repair&amp;Maint.Building Expenses" sheetId="25" r:id="rId17"/>
    <sheet name="Mineral&amp;Drinking Water Expenses" sheetId="19" r:id="rId18"/>
    <sheet name="Electricity Expenses" sheetId="20" r:id="rId19"/>
    <sheet name="Repair&amp;Maint of office equip eP" sheetId="21" r:id="rId20"/>
    <sheet name="Communication Expenses" sheetId="26" r:id="rId21"/>
    <sheet name="Cable&amp;Satelite Expenses" sheetId="17" r:id="rId22"/>
    <sheet name="Postage &amp; Courier Expenses" sheetId="18" r:id="rId23"/>
    <sheet name="Consultancy Expenses" sheetId="16" r:id="rId24"/>
  </sheets>
  <definedNames>
    <definedName name="_xlnm.Print_Area" localSheetId="12">'Accountable Forms'!$A$1:$O$22</definedName>
    <definedName name="_xlnm.Print_Area" localSheetId="21">'Cable&amp;Satelite Expenses'!$A$1:$O$22</definedName>
    <definedName name="_xlnm.Print_Area" localSheetId="13">'Capital Outlay'!$A$1:$O$22</definedName>
    <definedName name="_xlnm.Print_Area" localSheetId="20">'Communication Expenses'!$A$1:$O$22</definedName>
    <definedName name="_xlnm.Print_Area" localSheetId="23">'Consultancy Expenses'!$A$1:$O$22</definedName>
    <definedName name="_xlnm.Print_Area" localSheetId="0">'Drugs and Medicine Supplies'!$B$1:$P$227</definedName>
    <definedName name="_xlnm.Print_Area" localSheetId="18">'Electricity Expenses'!$A$1:$O$23</definedName>
    <definedName name="_xlnm.Print_Area" localSheetId="14">'Fidelity Bond Expenses'!$A$1:$O$22</definedName>
    <definedName name="_xlnm.Print_Area" localSheetId="5">'Food Supplies'!$A$1:$O$40</definedName>
    <definedName name="_xlnm.Print_Area" localSheetId="10">'Fuels and Lb,Expenses'!$A$1:$O$20</definedName>
    <definedName name="_xlnm.Print_Area" localSheetId="6">'Fuels and Lub,Expenses'!$A$1:$O$23</definedName>
    <definedName name="_xlnm.Print_Area" localSheetId="11">LGDF!$A$1:$O$22</definedName>
    <definedName name="_xlnm.Print_Area" localSheetId="1">medical!$B$1:$P$154</definedName>
    <definedName name="_xlnm.Print_Area" localSheetId="17">'Mineral&amp;Drinking Water Expenses'!$A$1:$O$23</definedName>
    <definedName name="_xlnm.Print_Area" localSheetId="3">'Other Maintenance Operating Exp'!$A$1:$O$64</definedName>
    <definedName name="_xlnm.Print_Area" localSheetId="2">'Other Supplies'!$A$50:$O$64</definedName>
    <definedName name="_xlnm.Print_Area" localSheetId="22">'Postage &amp; Courier Expenses'!$A$1:$O$22</definedName>
    <definedName name="_xlnm.Print_Area" localSheetId="8">'Repair &amp; Maint, of Lab,Equi,Exp'!$A$1:$O$22</definedName>
    <definedName name="_xlnm.Print_Area" localSheetId="9">'Repair &amp; Maintenance Electric'!$A$1:$O$20</definedName>
    <definedName name="_xlnm.Print_Area" localSheetId="7">'Repair &amp; Maintenance Motor Vehi'!$A$1:$O$31</definedName>
    <definedName name="_xlnm.Print_Area" localSheetId="19">'Repair&amp;Maint of office equip eP'!$A$1:$O$22</definedName>
    <definedName name="_xlnm.Print_Area" localSheetId="16">'Repair&amp;Maint.Building Expenses'!$A$1:$O$23</definedName>
    <definedName name="_xlnm.Print_Area" localSheetId="15">'Repair&amp;Maint.of ICT Equip Expen'!$A$1:$O$22</definedName>
    <definedName name="_xlnm.Print_Area" localSheetId="4">'Sply and Delivery of vr,ofc,&amp; E'!$A$1:$O$73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1" i="18" l="1"/>
  <c r="M13" i="18"/>
  <c r="M14" i="18"/>
  <c r="M17" i="18"/>
  <c r="M11" i="15" l="1"/>
  <c r="M17" i="16"/>
  <c r="M11" i="17"/>
  <c r="M17" i="17" s="1"/>
  <c r="M17" i="20"/>
  <c r="E17" i="25"/>
  <c r="E16" i="25"/>
  <c r="E15" i="25"/>
  <c r="E14" i="25"/>
  <c r="E13" i="25"/>
  <c r="E12" i="25"/>
  <c r="E11" i="25"/>
  <c r="M17" i="24"/>
  <c r="M17" i="23"/>
  <c r="R17" i="14"/>
  <c r="F15" i="6"/>
  <c r="G211" i="3" l="1"/>
  <c r="G52" i="2"/>
  <c r="F43" i="9"/>
  <c r="F14" i="8"/>
  <c r="F53" i="10"/>
  <c r="M34" i="11"/>
  <c r="M33" i="11"/>
  <c r="M32" i="11"/>
  <c r="M31" i="11"/>
  <c r="M30" i="11"/>
  <c r="M29" i="11"/>
  <c r="M28" i="11"/>
  <c r="M27" i="11"/>
  <c r="M26" i="11"/>
  <c r="M25" i="11"/>
  <c r="M24" i="11"/>
  <c r="M23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G11" i="3"/>
  <c r="G144" i="2" l="1"/>
  <c r="N144" i="2" s="1"/>
  <c r="G42" i="2"/>
  <c r="N42" i="2" s="1"/>
  <c r="G84" i="2"/>
  <c r="N84" i="2" s="1"/>
  <c r="G82" i="2"/>
  <c r="N82" i="2" s="1"/>
  <c r="F14" i="18" l="1"/>
  <c r="F13" i="18"/>
  <c r="F12" i="18"/>
  <c r="M12" i="18" s="1"/>
  <c r="F11" i="18"/>
  <c r="M17" i="25"/>
  <c r="M16" i="25"/>
  <c r="M15" i="25"/>
  <c r="M14" i="25"/>
  <c r="M13" i="25"/>
  <c r="M12" i="25"/>
  <c r="M11" i="25"/>
  <c r="M13" i="5"/>
  <c r="M12" i="5"/>
  <c r="M11" i="5"/>
  <c r="F21" i="11"/>
  <c r="F34" i="11"/>
  <c r="F32" i="11"/>
  <c r="F26" i="11"/>
  <c r="F23" i="11"/>
  <c r="F18" i="11"/>
  <c r="F13" i="11"/>
  <c r="F12" i="11"/>
  <c r="F11" i="11"/>
  <c r="F10" i="11"/>
  <c r="M18" i="25" l="1"/>
  <c r="M15" i="5"/>
  <c r="M13" i="21"/>
  <c r="M12" i="21"/>
  <c r="M11" i="21"/>
  <c r="M17" i="21" l="1"/>
  <c r="F25" i="11"/>
  <c r="F24" i="11"/>
  <c r="F20" i="11"/>
  <c r="F19" i="11"/>
  <c r="F17" i="11"/>
  <c r="F16" i="11"/>
  <c r="F14" i="11"/>
  <c r="F10" i="12"/>
  <c r="M10" i="12" s="1"/>
  <c r="M15" i="12" s="1"/>
  <c r="F11" i="14"/>
  <c r="M11" i="14" s="1"/>
  <c r="M17" i="14" s="1"/>
  <c r="F11" i="19"/>
  <c r="M11" i="19" s="1"/>
  <c r="M17" i="19" s="1"/>
  <c r="F11" i="20"/>
  <c r="F12" i="26"/>
  <c r="M12" i="26" s="1"/>
  <c r="F11" i="26"/>
  <c r="M11" i="26" s="1"/>
  <c r="M17" i="26" s="1"/>
  <c r="M35" i="11" l="1"/>
  <c r="F35" i="11" s="1"/>
  <c r="F15" i="12"/>
  <c r="G19" i="2"/>
  <c r="N19" i="2" s="1"/>
  <c r="G18" i="2"/>
  <c r="N18" i="2" s="1"/>
  <c r="G17" i="2"/>
  <c r="N17" i="2" s="1"/>
  <c r="G16" i="2"/>
  <c r="N16" i="2" s="1"/>
  <c r="G15" i="2"/>
  <c r="N15" i="2" s="1"/>
  <c r="G14" i="2"/>
  <c r="N14" i="2" s="1"/>
  <c r="G13" i="2"/>
  <c r="N13" i="2" s="1"/>
  <c r="F56" i="9"/>
  <c r="M56" i="9" s="1"/>
  <c r="F55" i="9"/>
  <c r="M55" i="9" s="1"/>
  <c r="F54" i="9"/>
  <c r="M54" i="9" s="1"/>
  <c r="F53" i="9"/>
  <c r="M53" i="9" s="1"/>
  <c r="F52" i="9"/>
  <c r="M52" i="9" s="1"/>
  <c r="F51" i="9"/>
  <c r="M51" i="9" s="1"/>
  <c r="F50" i="9"/>
  <c r="M50" i="9" s="1"/>
  <c r="F49" i="9"/>
  <c r="M49" i="9" s="1"/>
  <c r="F48" i="9"/>
  <c r="M48" i="9" s="1"/>
  <c r="F47" i="9"/>
  <c r="M47" i="9" s="1"/>
  <c r="F46" i="9"/>
  <c r="M46" i="9" s="1"/>
  <c r="F45" i="9"/>
  <c r="M45" i="9" s="1"/>
  <c r="F44" i="9"/>
  <c r="M44" i="9" s="1"/>
  <c r="F42" i="9"/>
  <c r="M42" i="9" s="1"/>
  <c r="F41" i="9"/>
  <c r="M41" i="9" s="1"/>
  <c r="F40" i="9"/>
  <c r="M40" i="9" s="1"/>
  <c r="F39" i="9"/>
  <c r="M39" i="9" s="1"/>
  <c r="F38" i="9"/>
  <c r="M38" i="9" s="1"/>
  <c r="F37" i="9"/>
  <c r="M37" i="9" s="1"/>
  <c r="F36" i="9"/>
  <c r="M36" i="9" s="1"/>
  <c r="F35" i="9"/>
  <c r="M35" i="9" s="1"/>
  <c r="F34" i="9"/>
  <c r="M34" i="9" s="1"/>
  <c r="F33" i="9"/>
  <c r="M33" i="9" s="1"/>
  <c r="F32" i="9"/>
  <c r="M32" i="9" s="1"/>
  <c r="F31" i="9"/>
  <c r="M31" i="9" s="1"/>
  <c r="F30" i="9"/>
  <c r="M30" i="9" s="1"/>
  <c r="F29" i="9"/>
  <c r="M29" i="9" s="1"/>
  <c r="F28" i="9"/>
  <c r="M28" i="9" s="1"/>
  <c r="F27" i="9"/>
  <c r="M27" i="9" s="1"/>
  <c r="F26" i="9"/>
  <c r="M26" i="9" s="1"/>
  <c r="F25" i="9"/>
  <c r="M25" i="9" s="1"/>
  <c r="F24" i="9"/>
  <c r="M24" i="9" s="1"/>
  <c r="F23" i="9"/>
  <c r="M23" i="9" s="1"/>
  <c r="F22" i="9"/>
  <c r="M22" i="9" s="1"/>
  <c r="F21" i="9"/>
  <c r="M21" i="9" s="1"/>
  <c r="F20" i="9"/>
  <c r="M20" i="9" s="1"/>
  <c r="F19" i="9"/>
  <c r="M19" i="9" s="1"/>
  <c r="F18" i="9"/>
  <c r="M18" i="9" s="1"/>
  <c r="F17" i="9"/>
  <c r="M17" i="9" s="1"/>
  <c r="F16" i="9"/>
  <c r="M16" i="9" s="1"/>
  <c r="F15" i="9"/>
  <c r="M15" i="9" s="1"/>
  <c r="F14" i="9"/>
  <c r="M14" i="9" s="1"/>
  <c r="F58" i="8"/>
  <c r="M58" i="8" s="1"/>
  <c r="F57" i="8"/>
  <c r="M57" i="8" s="1"/>
  <c r="F56" i="8"/>
  <c r="M56" i="8" s="1"/>
  <c r="F55" i="8"/>
  <c r="M55" i="8" s="1"/>
  <c r="F54" i="8"/>
  <c r="M54" i="8" s="1"/>
  <c r="F53" i="8"/>
  <c r="M53" i="8" s="1"/>
  <c r="F52" i="8"/>
  <c r="M52" i="8" s="1"/>
  <c r="F51" i="8"/>
  <c r="M51" i="8" s="1"/>
  <c r="F50" i="8"/>
  <c r="M50" i="8" s="1"/>
  <c r="F49" i="8"/>
  <c r="M49" i="8" s="1"/>
  <c r="F47" i="8"/>
  <c r="M47" i="8" s="1"/>
  <c r="F46" i="8"/>
  <c r="M46" i="8" s="1"/>
  <c r="F45" i="8"/>
  <c r="M45" i="8" s="1"/>
  <c r="F44" i="8"/>
  <c r="M44" i="8" s="1"/>
  <c r="F43" i="8"/>
  <c r="M43" i="8" s="1"/>
  <c r="F42" i="8"/>
  <c r="M42" i="8" s="1"/>
  <c r="F41" i="8"/>
  <c r="M41" i="8" s="1"/>
  <c r="F40" i="8"/>
  <c r="M40" i="8" s="1"/>
  <c r="F39" i="8"/>
  <c r="M39" i="8" s="1"/>
  <c r="F38" i="8"/>
  <c r="M38" i="8" s="1"/>
  <c r="F37" i="8"/>
  <c r="M37" i="8" s="1"/>
  <c r="F36" i="8"/>
  <c r="M36" i="8" s="1"/>
  <c r="F35" i="8"/>
  <c r="M35" i="8" s="1"/>
  <c r="F34" i="8"/>
  <c r="M34" i="8" s="1"/>
  <c r="F33" i="8"/>
  <c r="M33" i="8" s="1"/>
  <c r="F32" i="8"/>
  <c r="M32" i="8" s="1"/>
  <c r="F31" i="8"/>
  <c r="M31" i="8" s="1"/>
  <c r="F30" i="8"/>
  <c r="M30" i="8" s="1"/>
  <c r="F67" i="10" l="1"/>
  <c r="M67" i="10" s="1"/>
  <c r="F66" i="10"/>
  <c r="M66" i="10" s="1"/>
  <c r="F65" i="10"/>
  <c r="M65" i="10" s="1"/>
  <c r="F64" i="10"/>
  <c r="M64" i="10" s="1"/>
  <c r="F63" i="10"/>
  <c r="M63" i="10" s="1"/>
  <c r="F62" i="10"/>
  <c r="M62" i="10" s="1"/>
  <c r="F61" i="10"/>
  <c r="M61" i="10" s="1"/>
  <c r="F60" i="10"/>
  <c r="M60" i="10" s="1"/>
  <c r="F59" i="10"/>
  <c r="M59" i="10" s="1"/>
  <c r="F58" i="10"/>
  <c r="M58" i="10" s="1"/>
  <c r="F57" i="10"/>
  <c r="M57" i="10" s="1"/>
  <c r="F56" i="10"/>
  <c r="M56" i="10" s="1"/>
  <c r="F55" i="10"/>
  <c r="M55" i="10" s="1"/>
  <c r="F54" i="10"/>
  <c r="M54" i="10" s="1"/>
  <c r="F52" i="10"/>
  <c r="M52" i="10" s="1"/>
  <c r="F51" i="10"/>
  <c r="M51" i="10" s="1"/>
  <c r="F50" i="10"/>
  <c r="M50" i="10" s="1"/>
  <c r="F49" i="10"/>
  <c r="M49" i="10" s="1"/>
  <c r="F48" i="10"/>
  <c r="M48" i="10" s="1"/>
  <c r="F47" i="10"/>
  <c r="M47" i="10" s="1"/>
  <c r="F46" i="10"/>
  <c r="M46" i="10" s="1"/>
  <c r="F45" i="10"/>
  <c r="M45" i="10" s="1"/>
  <c r="F44" i="10"/>
  <c r="M44" i="10" s="1"/>
  <c r="F43" i="10"/>
  <c r="M43" i="10" s="1"/>
  <c r="F42" i="10"/>
  <c r="M42" i="10" s="1"/>
  <c r="F41" i="10"/>
  <c r="M41" i="10" s="1"/>
  <c r="F40" i="10"/>
  <c r="M40" i="10" s="1"/>
  <c r="F39" i="10"/>
  <c r="M39" i="10" s="1"/>
  <c r="F38" i="10"/>
  <c r="M38" i="10" s="1"/>
  <c r="F37" i="10"/>
  <c r="M37" i="10" s="1"/>
  <c r="F36" i="10"/>
  <c r="M36" i="10" s="1"/>
  <c r="F35" i="10"/>
  <c r="M35" i="10" s="1"/>
  <c r="F34" i="10"/>
  <c r="M34" i="10" s="1"/>
  <c r="F33" i="10"/>
  <c r="M33" i="10" s="1"/>
  <c r="F32" i="10"/>
  <c r="M32" i="10" s="1"/>
  <c r="F31" i="10"/>
  <c r="M31" i="10" s="1"/>
  <c r="F30" i="10"/>
  <c r="M30" i="10" s="1"/>
  <c r="F29" i="10"/>
  <c r="M29" i="10" s="1"/>
  <c r="F28" i="10"/>
  <c r="M28" i="10" s="1"/>
  <c r="F27" i="10"/>
  <c r="M27" i="10" s="1"/>
  <c r="F26" i="10"/>
  <c r="M26" i="10" s="1"/>
  <c r="F25" i="10"/>
  <c r="M25" i="10" s="1"/>
  <c r="F24" i="10"/>
  <c r="M24" i="10" s="1"/>
  <c r="F23" i="10"/>
  <c r="M23" i="10" s="1"/>
  <c r="F22" i="10"/>
  <c r="M22" i="10" s="1"/>
  <c r="F21" i="10"/>
  <c r="M21" i="10" s="1"/>
  <c r="F20" i="10"/>
  <c r="M20" i="10" s="1"/>
  <c r="F19" i="10"/>
  <c r="M19" i="10" s="1"/>
  <c r="F18" i="10"/>
  <c r="M18" i="10" s="1"/>
  <c r="F17" i="10"/>
  <c r="M17" i="10" s="1"/>
  <c r="F16" i="10"/>
  <c r="M16" i="10" s="1"/>
  <c r="F15" i="10"/>
  <c r="M15" i="10" s="1"/>
  <c r="F14" i="10"/>
  <c r="M14" i="10" s="1"/>
  <c r="F13" i="10"/>
  <c r="M13" i="10" s="1"/>
  <c r="F12" i="10"/>
  <c r="M12" i="10" s="1"/>
  <c r="F11" i="10"/>
  <c r="M11" i="10" s="1"/>
  <c r="M68" i="10" l="1"/>
  <c r="F68" i="10" s="1"/>
  <c r="F16" i="26"/>
  <c r="F15" i="26"/>
  <c r="F14" i="26"/>
  <c r="F13" i="26"/>
  <c r="F16" i="13"/>
  <c r="M16" i="13" s="1"/>
  <c r="F15" i="13"/>
  <c r="M15" i="13" s="1"/>
  <c r="F14" i="13"/>
  <c r="M14" i="13" s="1"/>
  <c r="F13" i="13"/>
  <c r="M13" i="13" s="1"/>
  <c r="F12" i="13"/>
  <c r="M12" i="13" s="1"/>
  <c r="F10" i="13"/>
  <c r="M10" i="13" s="1"/>
  <c r="F18" i="25"/>
  <c r="G101" i="2"/>
  <c r="N101" i="2" s="1"/>
  <c r="M18" i="13" l="1"/>
  <c r="F18" i="13" s="1"/>
  <c r="F17" i="26"/>
  <c r="G221" i="3"/>
  <c r="N221" i="3" s="1"/>
  <c r="G220" i="3"/>
  <c r="N220" i="3" s="1"/>
  <c r="G219" i="3"/>
  <c r="N219" i="3" s="1"/>
  <c r="G218" i="3"/>
  <c r="N218" i="3" s="1"/>
  <c r="G217" i="3"/>
  <c r="N217" i="3" s="1"/>
  <c r="G216" i="3"/>
  <c r="N216" i="3" s="1"/>
  <c r="G215" i="3"/>
  <c r="N215" i="3" s="1"/>
  <c r="G214" i="3"/>
  <c r="N214" i="3" s="1"/>
  <c r="G213" i="3"/>
  <c r="N213" i="3" s="1"/>
  <c r="G212" i="3"/>
  <c r="N212" i="3" s="1"/>
  <c r="G210" i="3"/>
  <c r="N210" i="3" s="1"/>
  <c r="G209" i="3"/>
  <c r="N209" i="3" s="1"/>
  <c r="G208" i="3"/>
  <c r="N208" i="3" s="1"/>
  <c r="G207" i="3"/>
  <c r="N207" i="3" s="1"/>
  <c r="G206" i="3"/>
  <c r="N206" i="3" s="1"/>
  <c r="G205" i="3"/>
  <c r="N205" i="3" s="1"/>
  <c r="G204" i="3"/>
  <c r="N204" i="3" s="1"/>
  <c r="G203" i="3"/>
  <c r="N203" i="3" s="1"/>
  <c r="G202" i="3"/>
  <c r="N202" i="3" s="1"/>
  <c r="G201" i="3"/>
  <c r="N201" i="3" s="1"/>
  <c r="G200" i="3"/>
  <c r="N200" i="3" s="1"/>
  <c r="G199" i="3"/>
  <c r="N199" i="3" s="1"/>
  <c r="G197" i="3"/>
  <c r="N197" i="3" s="1"/>
  <c r="G196" i="3"/>
  <c r="N196" i="3" s="1"/>
  <c r="G195" i="3"/>
  <c r="N195" i="3" s="1"/>
  <c r="G194" i="3"/>
  <c r="N194" i="3" s="1"/>
  <c r="G193" i="3"/>
  <c r="N193" i="3" s="1"/>
  <c r="G192" i="3"/>
  <c r="N192" i="3" s="1"/>
  <c r="G191" i="3"/>
  <c r="N191" i="3" s="1"/>
  <c r="G190" i="3"/>
  <c r="N190" i="3" s="1"/>
  <c r="G189" i="3"/>
  <c r="N189" i="3" s="1"/>
  <c r="G188" i="3"/>
  <c r="N188" i="3" s="1"/>
  <c r="G187" i="3"/>
  <c r="N187" i="3" s="1"/>
  <c r="G186" i="3"/>
  <c r="N186" i="3" s="1"/>
  <c r="G185" i="3"/>
  <c r="N185" i="3" s="1"/>
  <c r="G184" i="3"/>
  <c r="N184" i="3" s="1"/>
  <c r="G183" i="3"/>
  <c r="N183" i="3" s="1"/>
  <c r="G182" i="3"/>
  <c r="N182" i="3" s="1"/>
  <c r="G181" i="3"/>
  <c r="N181" i="3" s="1"/>
  <c r="G180" i="3"/>
  <c r="N180" i="3" s="1"/>
  <c r="G179" i="3"/>
  <c r="N179" i="3" s="1"/>
  <c r="G178" i="3"/>
  <c r="N178" i="3" s="1"/>
  <c r="G177" i="3"/>
  <c r="N177" i="3" s="1"/>
  <c r="G176" i="3"/>
  <c r="N176" i="3" s="1"/>
  <c r="G175" i="3"/>
  <c r="N175" i="3" s="1"/>
  <c r="G174" i="3"/>
  <c r="N174" i="3" s="1"/>
  <c r="G173" i="3"/>
  <c r="N173" i="3" s="1"/>
  <c r="G172" i="3"/>
  <c r="N172" i="3" s="1"/>
  <c r="G171" i="3"/>
  <c r="N171" i="3" s="1"/>
  <c r="G170" i="3"/>
  <c r="N170" i="3" s="1"/>
  <c r="G169" i="3"/>
  <c r="N169" i="3" s="1"/>
  <c r="G168" i="3"/>
  <c r="N168" i="3" s="1"/>
  <c r="G167" i="3"/>
  <c r="N167" i="3" s="1"/>
  <c r="G166" i="3"/>
  <c r="N166" i="3" s="1"/>
  <c r="G165" i="3"/>
  <c r="N165" i="3" s="1"/>
  <c r="G164" i="3"/>
  <c r="N164" i="3" s="1"/>
  <c r="G163" i="3"/>
  <c r="N163" i="3" s="1"/>
  <c r="G162" i="3"/>
  <c r="N162" i="3" s="1"/>
  <c r="G161" i="3"/>
  <c r="N161" i="3" s="1"/>
  <c r="G160" i="3"/>
  <c r="N160" i="3" s="1"/>
  <c r="G159" i="3"/>
  <c r="N159" i="3" s="1"/>
  <c r="G158" i="3"/>
  <c r="N158" i="3" s="1"/>
  <c r="G157" i="3"/>
  <c r="N157" i="3" s="1"/>
  <c r="G156" i="3"/>
  <c r="N156" i="3" s="1"/>
  <c r="G155" i="3"/>
  <c r="N155" i="3" s="1"/>
  <c r="G154" i="3"/>
  <c r="N154" i="3" s="1"/>
  <c r="G153" i="3"/>
  <c r="N153" i="3" s="1"/>
  <c r="G152" i="3"/>
  <c r="N152" i="3" s="1"/>
  <c r="G151" i="3"/>
  <c r="N151" i="3" s="1"/>
  <c r="G150" i="3"/>
  <c r="N150" i="3" s="1"/>
  <c r="G149" i="3"/>
  <c r="N149" i="3" s="1"/>
  <c r="G148" i="3"/>
  <c r="N148" i="3" s="1"/>
  <c r="G147" i="3"/>
  <c r="N147" i="3" s="1"/>
  <c r="G146" i="3"/>
  <c r="N146" i="3" s="1"/>
  <c r="G145" i="3"/>
  <c r="N145" i="3" s="1"/>
  <c r="G144" i="3"/>
  <c r="N144" i="3" s="1"/>
  <c r="G143" i="3"/>
  <c r="N143" i="3" s="1"/>
  <c r="G142" i="3"/>
  <c r="N142" i="3" s="1"/>
  <c r="G141" i="3"/>
  <c r="N141" i="3" s="1"/>
  <c r="G140" i="3"/>
  <c r="N140" i="3" s="1"/>
  <c r="G139" i="3"/>
  <c r="N139" i="3" s="1"/>
  <c r="G138" i="3"/>
  <c r="N138" i="3" s="1"/>
  <c r="G137" i="3"/>
  <c r="N137" i="3" s="1"/>
  <c r="G136" i="3"/>
  <c r="N136" i="3" s="1"/>
  <c r="G135" i="3"/>
  <c r="N135" i="3" s="1"/>
  <c r="G134" i="3"/>
  <c r="N134" i="3" s="1"/>
  <c r="G133" i="3"/>
  <c r="N133" i="3" s="1"/>
  <c r="G132" i="3"/>
  <c r="N132" i="3" s="1"/>
  <c r="G131" i="3"/>
  <c r="N131" i="3" s="1"/>
  <c r="G130" i="3"/>
  <c r="N130" i="3" s="1"/>
  <c r="G129" i="3"/>
  <c r="N129" i="3" s="1"/>
  <c r="G128" i="3"/>
  <c r="N128" i="3" s="1"/>
  <c r="G119" i="3"/>
  <c r="N119" i="3" s="1"/>
  <c r="G118" i="3"/>
  <c r="N118" i="3" s="1"/>
  <c r="G33" i="3" l="1"/>
  <c r="N33" i="3" s="1"/>
  <c r="G148" i="2"/>
  <c r="N148" i="2" s="1"/>
  <c r="G147" i="2"/>
  <c r="N147" i="2" s="1"/>
  <c r="G146" i="2"/>
  <c r="N146" i="2" s="1"/>
  <c r="G145" i="2"/>
  <c r="N145" i="2" s="1"/>
  <c r="G143" i="2"/>
  <c r="N143" i="2" s="1"/>
  <c r="G142" i="2"/>
  <c r="N142" i="2" s="1"/>
  <c r="G141" i="2"/>
  <c r="N141" i="2" s="1"/>
  <c r="G140" i="2"/>
  <c r="N140" i="2" s="1"/>
  <c r="G139" i="2"/>
  <c r="N139" i="2" s="1"/>
  <c r="G138" i="2"/>
  <c r="N138" i="2" s="1"/>
  <c r="G137" i="2"/>
  <c r="N137" i="2" s="1"/>
  <c r="G136" i="2"/>
  <c r="N136" i="2" s="1"/>
  <c r="G135" i="2"/>
  <c r="N135" i="2" s="1"/>
  <c r="G134" i="2"/>
  <c r="N134" i="2" s="1"/>
  <c r="G133" i="2"/>
  <c r="N133" i="2" s="1"/>
  <c r="G132" i="2"/>
  <c r="N132" i="2" s="1"/>
  <c r="G131" i="2"/>
  <c r="N131" i="2" s="1"/>
  <c r="G130" i="2"/>
  <c r="N130" i="2" s="1"/>
  <c r="G129" i="2"/>
  <c r="N129" i="2" s="1"/>
  <c r="G128" i="2"/>
  <c r="N128" i="2" s="1"/>
  <c r="G127" i="2"/>
  <c r="N127" i="2" s="1"/>
  <c r="G126" i="2"/>
  <c r="N126" i="2" s="1"/>
  <c r="G125" i="2"/>
  <c r="N125" i="2" s="1"/>
  <c r="G124" i="2"/>
  <c r="N124" i="2" s="1"/>
  <c r="G123" i="2"/>
  <c r="N123" i="2" s="1"/>
  <c r="G122" i="2"/>
  <c r="N122" i="2" s="1"/>
  <c r="G121" i="2"/>
  <c r="N121" i="2" s="1"/>
  <c r="G120" i="2"/>
  <c r="N120" i="2" s="1"/>
  <c r="G119" i="2"/>
  <c r="N119" i="2" s="1"/>
  <c r="G118" i="2"/>
  <c r="N118" i="2" s="1"/>
  <c r="G117" i="2"/>
  <c r="N117" i="2" s="1"/>
  <c r="G116" i="2"/>
  <c r="N116" i="2" s="1"/>
  <c r="G115" i="2"/>
  <c r="N115" i="2" s="1"/>
  <c r="G114" i="2"/>
  <c r="N114" i="2" s="1"/>
  <c r="G113" i="2"/>
  <c r="N113" i="2" s="1"/>
  <c r="G112" i="2"/>
  <c r="N112" i="2" s="1"/>
  <c r="G111" i="2"/>
  <c r="N111" i="2" s="1"/>
  <c r="G110" i="2"/>
  <c r="N110" i="2" s="1"/>
  <c r="G109" i="2"/>
  <c r="N109" i="2" s="1"/>
  <c r="G108" i="2"/>
  <c r="N108" i="2" s="1"/>
  <c r="G107" i="2"/>
  <c r="N107" i="2" s="1"/>
  <c r="G106" i="2"/>
  <c r="N106" i="2" s="1"/>
  <c r="G105" i="2"/>
  <c r="N105" i="2" s="1"/>
  <c r="G104" i="2"/>
  <c r="N104" i="2" s="1"/>
  <c r="G103" i="2"/>
  <c r="N103" i="2" s="1"/>
  <c r="G102" i="2"/>
  <c r="N102" i="2" s="1"/>
  <c r="G100" i="2"/>
  <c r="N100" i="2" s="1"/>
  <c r="G99" i="2"/>
  <c r="N99" i="2" s="1"/>
  <c r="G98" i="2"/>
  <c r="N98" i="2" s="1"/>
  <c r="G97" i="2"/>
  <c r="N97" i="2" s="1"/>
  <c r="G96" i="2"/>
  <c r="N96" i="2" s="1"/>
  <c r="G95" i="2"/>
  <c r="N95" i="2" s="1"/>
  <c r="G94" i="2"/>
  <c r="N94" i="2" s="1"/>
  <c r="G93" i="2"/>
  <c r="N93" i="2" s="1"/>
  <c r="G92" i="2"/>
  <c r="N92" i="2" s="1"/>
  <c r="G91" i="2"/>
  <c r="N91" i="2" s="1"/>
  <c r="G90" i="2"/>
  <c r="N90" i="2" s="1"/>
  <c r="G89" i="2"/>
  <c r="N89" i="2" s="1"/>
  <c r="G88" i="2"/>
  <c r="N88" i="2" s="1"/>
  <c r="G87" i="2"/>
  <c r="N87" i="2" s="1"/>
  <c r="G86" i="2"/>
  <c r="N86" i="2" s="1"/>
  <c r="G85" i="2"/>
  <c r="N85" i="2" s="1"/>
  <c r="G83" i="2"/>
  <c r="N83" i="2" s="1"/>
  <c r="G81" i="2"/>
  <c r="N81" i="2" s="1"/>
  <c r="G80" i="2"/>
  <c r="N80" i="2" s="1"/>
  <c r="G79" i="2"/>
  <c r="N79" i="2" s="1"/>
  <c r="G78" i="2"/>
  <c r="N78" i="2" s="1"/>
  <c r="G77" i="2"/>
  <c r="N77" i="2" s="1"/>
  <c r="G76" i="2"/>
  <c r="N76" i="2" s="1"/>
  <c r="G75" i="2"/>
  <c r="N75" i="2" s="1"/>
  <c r="G74" i="2"/>
  <c r="N74" i="2" s="1"/>
  <c r="G73" i="2"/>
  <c r="N73" i="2" s="1"/>
  <c r="G72" i="2"/>
  <c r="N72" i="2" s="1"/>
  <c r="G71" i="2"/>
  <c r="N71" i="2" s="1"/>
  <c r="G70" i="2"/>
  <c r="N70" i="2" s="1"/>
  <c r="G69" i="2"/>
  <c r="N69" i="2" s="1"/>
  <c r="G68" i="2"/>
  <c r="N68" i="2" s="1"/>
  <c r="G67" i="2"/>
  <c r="N67" i="2" s="1"/>
  <c r="G66" i="2"/>
  <c r="N66" i="2" s="1"/>
  <c r="G65" i="2"/>
  <c r="N65" i="2" s="1"/>
  <c r="G64" i="2"/>
  <c r="N64" i="2" s="1"/>
  <c r="G63" i="2"/>
  <c r="N63" i="2" s="1"/>
  <c r="G62" i="2"/>
  <c r="N62" i="2" s="1"/>
  <c r="G61" i="2"/>
  <c r="N61" i="2" s="1"/>
  <c r="G60" i="2"/>
  <c r="N60" i="2" s="1"/>
  <c r="G59" i="2"/>
  <c r="N59" i="2" s="1"/>
  <c r="G58" i="2"/>
  <c r="N58" i="2" s="1"/>
  <c r="G57" i="2"/>
  <c r="N57" i="2" s="1"/>
  <c r="G56" i="2"/>
  <c r="N56" i="2" s="1"/>
  <c r="G55" i="2"/>
  <c r="N55" i="2" s="1"/>
  <c r="G54" i="2"/>
  <c r="N54" i="2" s="1"/>
  <c r="G53" i="2"/>
  <c r="N53" i="2" s="1"/>
  <c r="G51" i="2"/>
  <c r="N51" i="2" s="1"/>
  <c r="G50" i="2"/>
  <c r="N50" i="2" s="1"/>
  <c r="G49" i="2"/>
  <c r="N49" i="2" s="1"/>
  <c r="G48" i="2"/>
  <c r="N48" i="2" s="1"/>
  <c r="G47" i="2"/>
  <c r="N47" i="2" s="1"/>
  <c r="G46" i="2"/>
  <c r="N46" i="2" s="1"/>
  <c r="G45" i="2"/>
  <c r="N45" i="2" s="1"/>
  <c r="G44" i="2"/>
  <c r="N44" i="2" s="1"/>
  <c r="G43" i="2"/>
  <c r="N43" i="2" s="1"/>
  <c r="G41" i="2"/>
  <c r="N41" i="2" s="1"/>
  <c r="G40" i="2"/>
  <c r="N40" i="2" s="1"/>
  <c r="G39" i="2"/>
  <c r="N39" i="2" s="1"/>
  <c r="G38" i="2"/>
  <c r="N38" i="2" s="1"/>
  <c r="G37" i="2"/>
  <c r="N37" i="2" s="1"/>
  <c r="G36" i="2"/>
  <c r="N36" i="2" s="1"/>
  <c r="G35" i="2"/>
  <c r="N35" i="2" s="1"/>
  <c r="G34" i="2"/>
  <c r="N34" i="2" s="1"/>
  <c r="G33" i="2"/>
  <c r="N33" i="2" s="1"/>
  <c r="G32" i="2"/>
  <c r="N32" i="2" s="1"/>
  <c r="G31" i="2"/>
  <c r="N31" i="2" s="1"/>
  <c r="G30" i="2"/>
  <c r="N30" i="2" s="1"/>
  <c r="G29" i="2"/>
  <c r="N29" i="2" s="1"/>
  <c r="G28" i="2"/>
  <c r="N28" i="2" s="1"/>
  <c r="G27" i="2"/>
  <c r="N27" i="2" s="1"/>
  <c r="G26" i="2"/>
  <c r="N26" i="2" s="1"/>
  <c r="G25" i="2"/>
  <c r="N25" i="2" s="1"/>
  <c r="G24" i="2"/>
  <c r="N24" i="2" s="1"/>
  <c r="G23" i="2"/>
  <c r="N23" i="2" s="1"/>
  <c r="G22" i="2"/>
  <c r="N22" i="2" s="1"/>
  <c r="G12" i="2"/>
  <c r="N12" i="2" s="1"/>
  <c r="G11" i="2"/>
  <c r="N11" i="2" s="1"/>
  <c r="G20" i="2"/>
  <c r="N20" i="2" s="1"/>
  <c r="G21" i="2"/>
  <c r="N21" i="2" s="1"/>
  <c r="F16" i="24"/>
  <c r="F17" i="24" s="1"/>
  <c r="F15" i="24"/>
  <c r="F14" i="24"/>
  <c r="F13" i="24"/>
  <c r="F16" i="23"/>
  <c r="F15" i="23"/>
  <c r="F14" i="23"/>
  <c r="F13" i="23"/>
  <c r="F17" i="23"/>
  <c r="F12" i="22"/>
  <c r="M12" i="22" s="1"/>
  <c r="F11" i="22"/>
  <c r="M11" i="22" s="1"/>
  <c r="M17" i="22" s="1"/>
  <c r="F16" i="22"/>
  <c r="F15" i="22"/>
  <c r="F14" i="22"/>
  <c r="F13" i="22"/>
  <c r="N149" i="2" l="1"/>
  <c r="G149" i="2" s="1"/>
  <c r="F17" i="22"/>
  <c r="F16" i="21" l="1"/>
  <c r="F15" i="21"/>
  <c r="F14" i="21"/>
  <c r="F16" i="20"/>
  <c r="F15" i="20"/>
  <c r="F14" i="20"/>
  <c r="F13" i="20"/>
  <c r="F12" i="20"/>
  <c r="F17" i="20" s="1"/>
  <c r="F16" i="19"/>
  <c r="F15" i="19"/>
  <c r="F14" i="19"/>
  <c r="F13" i="19"/>
  <c r="F12" i="19"/>
  <c r="F17" i="19"/>
  <c r="F16" i="18"/>
  <c r="F15" i="18"/>
  <c r="F16" i="17"/>
  <c r="F15" i="17"/>
  <c r="F14" i="17"/>
  <c r="F13" i="17"/>
  <c r="F12" i="17"/>
  <c r="F17" i="17"/>
  <c r="F16" i="16"/>
  <c r="F15" i="16"/>
  <c r="F14" i="16"/>
  <c r="F13" i="16"/>
  <c r="F12" i="16"/>
  <c r="F11" i="16"/>
  <c r="F16" i="15"/>
  <c r="F15" i="15"/>
  <c r="F14" i="15"/>
  <c r="F13" i="15"/>
  <c r="F12" i="15"/>
  <c r="F16" i="14"/>
  <c r="F15" i="14"/>
  <c r="F14" i="14"/>
  <c r="F13" i="14"/>
  <c r="F12" i="14"/>
  <c r="F17" i="14"/>
  <c r="F17" i="16" l="1"/>
  <c r="F17" i="18"/>
  <c r="F17" i="15"/>
  <c r="M17" i="15" s="1"/>
  <c r="F17" i="21"/>
  <c r="G127" i="3"/>
  <c r="N127" i="3" s="1"/>
  <c r="G126" i="3"/>
  <c r="N126" i="3" s="1"/>
  <c r="G125" i="3"/>
  <c r="N125" i="3" s="1"/>
  <c r="G124" i="3"/>
  <c r="N124" i="3" s="1"/>
  <c r="G123" i="3" l="1"/>
  <c r="N123" i="3" s="1"/>
  <c r="G122" i="3"/>
  <c r="N122" i="3" s="1"/>
  <c r="G121" i="3"/>
  <c r="N121" i="3" s="1"/>
  <c r="G120" i="3"/>
  <c r="N120" i="3" s="1"/>
  <c r="G117" i="3"/>
  <c r="N117" i="3" s="1"/>
  <c r="G116" i="3"/>
  <c r="N116" i="3" s="1"/>
  <c r="G115" i="3"/>
  <c r="N115" i="3" s="1"/>
  <c r="G114" i="3"/>
  <c r="N114" i="3" s="1"/>
  <c r="G113" i="3"/>
  <c r="N113" i="3" s="1"/>
  <c r="G112" i="3"/>
  <c r="N112" i="3" s="1"/>
  <c r="G111" i="3"/>
  <c r="N111" i="3" s="1"/>
  <c r="G110" i="3"/>
  <c r="N110" i="3" s="1"/>
  <c r="G109" i="3"/>
  <c r="N109" i="3" s="1"/>
  <c r="G108" i="3"/>
  <c r="N108" i="3" s="1"/>
  <c r="G107" i="3"/>
  <c r="N107" i="3" s="1"/>
  <c r="G106" i="3"/>
  <c r="N106" i="3" s="1"/>
  <c r="G105" i="3"/>
  <c r="N105" i="3" s="1"/>
  <c r="G104" i="3"/>
  <c r="N104" i="3" s="1"/>
  <c r="G103" i="3"/>
  <c r="N103" i="3" s="1"/>
  <c r="G102" i="3"/>
  <c r="N102" i="3" s="1"/>
  <c r="G101" i="3"/>
  <c r="N101" i="3" s="1"/>
  <c r="G100" i="3"/>
  <c r="N100" i="3" s="1"/>
  <c r="G99" i="3"/>
  <c r="N99" i="3" s="1"/>
  <c r="G98" i="3"/>
  <c r="N98" i="3" s="1"/>
  <c r="G97" i="3"/>
  <c r="N97" i="3" s="1"/>
  <c r="G96" i="3"/>
  <c r="N96" i="3" s="1"/>
  <c r="G95" i="3"/>
  <c r="N95" i="3" s="1"/>
  <c r="G94" i="3"/>
  <c r="N94" i="3" s="1"/>
  <c r="G93" i="3"/>
  <c r="N93" i="3" s="1"/>
  <c r="G92" i="3"/>
  <c r="N92" i="3" s="1"/>
  <c r="G91" i="3"/>
  <c r="N91" i="3" s="1"/>
  <c r="G90" i="3"/>
  <c r="N90" i="3" s="1"/>
  <c r="G89" i="3"/>
  <c r="N89" i="3" s="1"/>
  <c r="G88" i="3"/>
  <c r="N88" i="3" s="1"/>
  <c r="G87" i="3"/>
  <c r="N87" i="3" s="1"/>
  <c r="G86" i="3"/>
  <c r="N86" i="3" s="1"/>
  <c r="G85" i="3"/>
  <c r="N85" i="3" s="1"/>
  <c r="G84" i="3"/>
  <c r="N84" i="3" s="1"/>
  <c r="G83" i="3"/>
  <c r="N83" i="3" s="1"/>
  <c r="G82" i="3"/>
  <c r="N82" i="3" s="1"/>
  <c r="G81" i="3"/>
  <c r="N81" i="3" s="1"/>
  <c r="G80" i="3"/>
  <c r="N80" i="3" s="1"/>
  <c r="G79" i="3"/>
  <c r="N79" i="3" s="1"/>
  <c r="G78" i="3"/>
  <c r="N78" i="3" s="1"/>
  <c r="G77" i="3"/>
  <c r="N77" i="3" s="1"/>
  <c r="G76" i="3"/>
  <c r="N76" i="3" s="1"/>
  <c r="G75" i="3"/>
  <c r="N75" i="3" s="1"/>
  <c r="G74" i="3"/>
  <c r="N74" i="3" s="1"/>
  <c r="G73" i="3"/>
  <c r="N73" i="3" s="1"/>
  <c r="G72" i="3"/>
  <c r="N72" i="3" s="1"/>
  <c r="G71" i="3"/>
  <c r="N71" i="3" s="1"/>
  <c r="G70" i="3"/>
  <c r="N70" i="3" s="1"/>
  <c r="G69" i="3"/>
  <c r="N69" i="3" s="1"/>
  <c r="G68" i="3"/>
  <c r="N68" i="3" s="1"/>
  <c r="G67" i="3"/>
  <c r="N67" i="3" s="1"/>
  <c r="G66" i="3"/>
  <c r="N66" i="3" s="1"/>
  <c r="G65" i="3"/>
  <c r="N65" i="3" s="1"/>
  <c r="G64" i="3"/>
  <c r="N64" i="3" s="1"/>
  <c r="G63" i="3"/>
  <c r="N63" i="3" s="1"/>
  <c r="G62" i="3"/>
  <c r="N62" i="3" s="1"/>
  <c r="G61" i="3"/>
  <c r="N61" i="3" s="1"/>
  <c r="G60" i="3"/>
  <c r="N60" i="3" s="1"/>
  <c r="G59" i="3"/>
  <c r="N59" i="3" s="1"/>
  <c r="G58" i="3"/>
  <c r="N58" i="3" s="1"/>
  <c r="G57" i="3"/>
  <c r="N57" i="3" s="1"/>
  <c r="G56" i="3"/>
  <c r="N56" i="3" s="1"/>
  <c r="G55" i="3"/>
  <c r="N55" i="3" s="1"/>
  <c r="G54" i="3"/>
  <c r="N54" i="3" s="1"/>
  <c r="G53" i="3"/>
  <c r="N53" i="3" s="1"/>
  <c r="G52" i="3"/>
  <c r="N52" i="3" s="1"/>
  <c r="G51" i="3"/>
  <c r="N51" i="3" s="1"/>
  <c r="G50" i="3"/>
  <c r="N50" i="3" s="1"/>
  <c r="G49" i="3"/>
  <c r="N49" i="3" s="1"/>
  <c r="G48" i="3"/>
  <c r="N48" i="3" s="1"/>
  <c r="G47" i="3"/>
  <c r="N47" i="3" s="1"/>
  <c r="G46" i="3"/>
  <c r="N46" i="3" s="1"/>
  <c r="G45" i="3"/>
  <c r="N45" i="3" s="1"/>
  <c r="G44" i="3"/>
  <c r="N44" i="3" s="1"/>
  <c r="G43" i="3"/>
  <c r="N43" i="3" s="1"/>
  <c r="F13" i="9" l="1"/>
  <c r="M13" i="9" s="1"/>
  <c r="F12" i="9"/>
  <c r="M12" i="9" s="1"/>
  <c r="F11" i="9"/>
  <c r="M11" i="9" s="1"/>
  <c r="F29" i="8"/>
  <c r="M29" i="8" s="1"/>
  <c r="F28" i="8"/>
  <c r="M28" i="8" s="1"/>
  <c r="F27" i="8"/>
  <c r="M27" i="8" s="1"/>
  <c r="F26" i="8"/>
  <c r="M26" i="8" s="1"/>
  <c r="F25" i="8"/>
  <c r="M25" i="8" s="1"/>
  <c r="M57" i="9" l="1"/>
  <c r="F57" i="9" s="1"/>
  <c r="F48" i="8"/>
  <c r="M48" i="8" s="1"/>
  <c r="F24" i="8"/>
  <c r="M24" i="8" s="1"/>
  <c r="F23" i="8"/>
  <c r="M23" i="8" s="1"/>
  <c r="F22" i="8"/>
  <c r="M22" i="8" s="1"/>
  <c r="F21" i="8"/>
  <c r="M21" i="8" s="1"/>
  <c r="F20" i="8"/>
  <c r="M20" i="8" s="1"/>
  <c r="F19" i="8"/>
  <c r="M19" i="8" s="1"/>
  <c r="F18" i="8"/>
  <c r="M18" i="8" s="1"/>
  <c r="F17" i="8"/>
  <c r="M17" i="8" s="1"/>
  <c r="F16" i="8"/>
  <c r="M16" i="8" s="1"/>
  <c r="F15" i="8"/>
  <c r="M15" i="8" s="1"/>
  <c r="F13" i="8"/>
  <c r="M13" i="8" s="1"/>
  <c r="F12" i="8"/>
  <c r="M12" i="8" s="1"/>
  <c r="F11" i="8"/>
  <c r="M11" i="8" s="1"/>
  <c r="F25" i="7"/>
  <c r="M25" i="7" s="1"/>
  <c r="F24" i="7"/>
  <c r="M24" i="7" s="1"/>
  <c r="F23" i="7"/>
  <c r="M23" i="7" s="1"/>
  <c r="F22" i="7"/>
  <c r="M22" i="7" s="1"/>
  <c r="F21" i="7"/>
  <c r="M21" i="7" s="1"/>
  <c r="F20" i="7"/>
  <c r="M20" i="7" s="1"/>
  <c r="F19" i="7"/>
  <c r="M19" i="7" s="1"/>
  <c r="F18" i="7"/>
  <c r="M18" i="7" s="1"/>
  <c r="F17" i="7"/>
  <c r="M17" i="7" s="1"/>
  <c r="F16" i="7"/>
  <c r="M16" i="7" s="1"/>
  <c r="F14" i="7"/>
  <c r="M14" i="7" s="1"/>
  <c r="F13" i="7"/>
  <c r="M13" i="7" s="1"/>
  <c r="F12" i="7"/>
  <c r="M12" i="7" s="1"/>
  <c r="F11" i="7"/>
  <c r="M11" i="7" s="1"/>
  <c r="M59" i="8" l="1"/>
  <c r="F59" i="8" s="1"/>
  <c r="M26" i="7"/>
  <c r="F26" i="7" s="1"/>
  <c r="F16" i="6"/>
  <c r="M16" i="6" s="1"/>
  <c r="F14" i="6"/>
  <c r="M14" i="6" s="1"/>
  <c r="F13" i="6"/>
  <c r="M13" i="6" s="1"/>
  <c r="F12" i="6"/>
  <c r="M12" i="6" s="1"/>
  <c r="F11" i="6"/>
  <c r="M11" i="6" s="1"/>
  <c r="F15" i="5"/>
  <c r="F14" i="5"/>
  <c r="M17" i="6" l="1"/>
  <c r="F17" i="6"/>
  <c r="G12" i="3"/>
  <c r="N12" i="3" s="1"/>
  <c r="G13" i="3"/>
  <c r="N13" i="3" s="1"/>
  <c r="G14" i="3"/>
  <c r="N14" i="3" s="1"/>
  <c r="G15" i="3"/>
  <c r="N15" i="3" s="1"/>
  <c r="G16" i="3"/>
  <c r="N16" i="3" s="1"/>
  <c r="G17" i="3"/>
  <c r="N17" i="3" s="1"/>
  <c r="G18" i="3"/>
  <c r="N18" i="3" s="1"/>
  <c r="G19" i="3"/>
  <c r="N19" i="3" s="1"/>
  <c r="G20" i="3"/>
  <c r="N20" i="3" s="1"/>
  <c r="G21" i="3"/>
  <c r="N21" i="3" s="1"/>
  <c r="G22" i="3"/>
  <c r="N22" i="3" s="1"/>
  <c r="G23" i="3"/>
  <c r="N23" i="3" s="1"/>
  <c r="G24" i="3"/>
  <c r="N24" i="3" s="1"/>
  <c r="G25" i="3"/>
  <c r="N25" i="3" s="1"/>
  <c r="G26" i="3"/>
  <c r="N26" i="3" s="1"/>
  <c r="G27" i="3"/>
  <c r="N27" i="3" s="1"/>
  <c r="G28" i="3"/>
  <c r="N28" i="3" s="1"/>
  <c r="G29" i="3"/>
  <c r="N29" i="3" s="1"/>
  <c r="G30" i="3"/>
  <c r="N30" i="3" s="1"/>
  <c r="G31" i="3"/>
  <c r="N31" i="3" s="1"/>
  <c r="G32" i="3"/>
  <c r="N32" i="3" s="1"/>
  <c r="G34" i="3"/>
  <c r="N34" i="3" s="1"/>
  <c r="G35" i="3"/>
  <c r="N35" i="3" s="1"/>
  <c r="G36" i="3"/>
  <c r="N36" i="3" s="1"/>
  <c r="G37" i="3"/>
  <c r="N37" i="3" s="1"/>
  <c r="G38" i="3"/>
  <c r="N38" i="3" s="1"/>
  <c r="G39" i="3"/>
  <c r="N39" i="3" s="1"/>
  <c r="G40" i="3"/>
  <c r="N40" i="3" s="1"/>
  <c r="G41" i="3"/>
  <c r="N41" i="3" s="1"/>
  <c r="G42" i="3"/>
  <c r="N42" i="3" s="1"/>
  <c r="N11" i="3"/>
  <c r="N222" i="3" l="1"/>
  <c r="G222" i="3" s="1"/>
</calcChain>
</file>

<file path=xl/sharedStrings.xml><?xml version="1.0" encoding="utf-8"?>
<sst xmlns="http://schemas.openxmlformats.org/spreadsheetml/2006/main" count="2488" uniqueCount="732">
  <si>
    <t>Republic of the Philippines</t>
  </si>
  <si>
    <t xml:space="preserve">Province of Davao Oriental </t>
  </si>
  <si>
    <t xml:space="preserve">              INDICATIVE</t>
  </si>
  <si>
    <t xml:space="preserve"> FINAL</t>
  </si>
  <si>
    <t>Fiscal Year : 2026</t>
  </si>
  <si>
    <r>
      <t xml:space="preserve">End-User or Implementing Unit: </t>
    </r>
    <r>
      <rPr>
        <b/>
        <sz val="10"/>
        <color rgb="FF000000"/>
        <rFont val="Times New Roman"/>
        <family val="1"/>
      </rPr>
      <t>Davao Oriental Provincial Hospital-Cateel</t>
    </r>
  </si>
  <si>
    <t>PROCUREMENT PROJECT DETAIL</t>
  </si>
  <si>
    <t>PROJECTED TIMELINE (MM/YYYY)</t>
  </si>
  <si>
    <t>FUNDING DETAILS</t>
  </si>
  <si>
    <t xml:space="preserve">ATTACHED SUPPORTING DOCUMENTS </t>
  </si>
  <si>
    <t>REMARKS</t>
  </si>
  <si>
    <t>General Description and objective of the Project to be procured</t>
  </si>
  <si>
    <t>Type of the Project to be Procured (whether Goods, Infrastructure and Consulting Services)</t>
  </si>
  <si>
    <t xml:space="preserve">Quantity and Size of the Project to be Procured  </t>
  </si>
  <si>
    <t>Recommended Mode of Procurement</t>
  </si>
  <si>
    <t>Pre-Procurement Conference, if applicable (Yes/No)</t>
  </si>
  <si>
    <t>Start of Procurement Activity</t>
  </si>
  <si>
    <t xml:space="preserve">End of Procurement Activity  </t>
  </si>
  <si>
    <t>Expected Delivery/ Implementation Period</t>
  </si>
  <si>
    <t>Source of Funds</t>
  </si>
  <si>
    <t>Estimated Budget / Authorized Budgetary Allocation (PhP)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</si>
  <si>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</si>
  <si>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</si>
  <si>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</si>
  <si>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</si>
  <si>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</si>
  <si>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</si>
  <si>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</si>
  <si>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</si>
  <si>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</si>
  <si>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</si>
  <si>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</si>
  <si>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</si>
  <si>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Drugs and Medicine Supplies</t>
  </si>
  <si>
    <t xml:space="preserve">Goods </t>
  </si>
  <si>
    <t>small value</t>
  </si>
  <si>
    <t>No</t>
  </si>
  <si>
    <t>General Fund Current Appropriation</t>
  </si>
  <si>
    <t>market scoping thru canvass price quotation</t>
  </si>
  <si>
    <t>For daily office operations</t>
  </si>
  <si>
    <t>01/2026</t>
  </si>
  <si>
    <t>From 01/2026</t>
  </si>
  <si>
    <t>tube</t>
  </si>
  <si>
    <t>TOTAL BUDGET</t>
  </si>
  <si>
    <t>Submitted :</t>
  </si>
  <si>
    <t>Approved :</t>
  </si>
  <si>
    <t>GUINEVERE A. ENCARNACION, MD</t>
  </si>
  <si>
    <t>PRINCESS GAYLE B.  BUTLIG, CPA, MPA</t>
  </si>
  <si>
    <t xml:space="preserve">OIC - Chief of Hospital </t>
  </si>
  <si>
    <t>Provincial Budget Officer</t>
  </si>
  <si>
    <t xml:space="preserve">PROJECT PROCUREMENT MANAGEMENT PLAN (PPMP) NO. ___ </t>
  </si>
  <si>
    <t>Medical Supplies Expenses</t>
  </si>
  <si>
    <t>Box</t>
  </si>
  <si>
    <t>Pcs</t>
  </si>
  <si>
    <t>Tube</t>
  </si>
  <si>
    <t>Price</t>
  </si>
  <si>
    <t>total</t>
  </si>
  <si>
    <t>Repair and Maintenance of Generator</t>
  </si>
  <si>
    <t>Job Order</t>
  </si>
  <si>
    <t>Repair and Maintenance of Transmitter</t>
  </si>
  <si>
    <t>Labor and Materials</t>
  </si>
  <si>
    <t>Repair &amp; Maintenance Electricity Expenses</t>
  </si>
  <si>
    <t>Repair &amp; Maintenance of Laboratory Equipment Expenses</t>
  </si>
  <si>
    <t>Repair and Maintenance of Microscope</t>
  </si>
  <si>
    <t>Repair and Maintenance of Clinical Chem Analyzer</t>
  </si>
  <si>
    <t>Repair and Maintenance of Hema Analyzer</t>
  </si>
  <si>
    <t>Repair and Maintenance of Centrifuge</t>
  </si>
  <si>
    <t>Repair and Maintenance of Newborn Hearing Machine</t>
  </si>
  <si>
    <t>Parts and Materials</t>
  </si>
  <si>
    <t>Repair &amp; Maintenance Motor Vehicle</t>
  </si>
  <si>
    <t>Oil Filter</t>
  </si>
  <si>
    <t>Fuel Filter</t>
  </si>
  <si>
    <t>Tire U-E</t>
  </si>
  <si>
    <t>Brake Pad</t>
  </si>
  <si>
    <t>Front Bearing</t>
  </si>
  <si>
    <t>Rear Bearing</t>
  </si>
  <si>
    <t>Fan Belt</t>
  </si>
  <si>
    <t>Cross Joint</t>
  </si>
  <si>
    <t>Battery Motolite 11 Plates 12 volt</t>
  </si>
  <si>
    <t>Clutch disk Lining</t>
  </si>
  <si>
    <t>Front ball Joint Up and Down</t>
  </si>
  <si>
    <t>Rear Brake Lining</t>
  </si>
  <si>
    <t>Timing Belt</t>
  </si>
  <si>
    <t>Brake Cylinder</t>
  </si>
  <si>
    <t>Labor for Repair and Maintenance of Ambulance</t>
  </si>
  <si>
    <t>Pc</t>
  </si>
  <si>
    <t>Set</t>
  </si>
  <si>
    <t>Roll</t>
  </si>
  <si>
    <t>Other Maintenance and Operating Expenses</t>
  </si>
  <si>
    <t>Vulca Seal</t>
  </si>
  <si>
    <t>Padlock</t>
  </si>
  <si>
    <t>Paint Brush</t>
  </si>
  <si>
    <t>Pylox</t>
  </si>
  <si>
    <t>Paint Roller</t>
  </si>
  <si>
    <t>Laquer Thinner</t>
  </si>
  <si>
    <t>Varnish</t>
  </si>
  <si>
    <t>Sand Paper</t>
  </si>
  <si>
    <t>Calsomine</t>
  </si>
  <si>
    <t>Nylon #300</t>
  </si>
  <si>
    <t>Lysol Spray</t>
  </si>
  <si>
    <t>Outlet 3 and 4 gang</t>
  </si>
  <si>
    <t>Circuit Breaker(225 ampere)</t>
  </si>
  <si>
    <t>Circuit Breaker(40 ampere)</t>
  </si>
  <si>
    <t>Circuit Breaker(30 ampere)</t>
  </si>
  <si>
    <t>Circuit Breaker(25 ampere)</t>
  </si>
  <si>
    <t>Fuse Link(10 ampere)</t>
  </si>
  <si>
    <t>Fuse Link(15 ampere)</t>
  </si>
  <si>
    <t>Fuse(120 ampere)</t>
  </si>
  <si>
    <t>Can</t>
  </si>
  <si>
    <t>Gal./Btl.</t>
  </si>
  <si>
    <t>Kl</t>
  </si>
  <si>
    <t>Btl.</t>
  </si>
  <si>
    <t>Other Supplies</t>
  </si>
  <si>
    <t>Bath Soap (Safeguard)</t>
  </si>
  <si>
    <t>Brooms</t>
  </si>
  <si>
    <t>Chlorine</t>
  </si>
  <si>
    <t>Computer Chair</t>
  </si>
  <si>
    <t>Computer Table</t>
  </si>
  <si>
    <t>Cork Board 2x3</t>
  </si>
  <si>
    <t>DOH-LTO Registration Fee</t>
  </si>
  <si>
    <t>Downy</t>
  </si>
  <si>
    <t>Fire Extinguisher (20 Lbs.)</t>
  </si>
  <si>
    <t>Flash Drive/USB</t>
  </si>
  <si>
    <t>FlashLight</t>
  </si>
  <si>
    <t>FlashLight 2 Batteries</t>
  </si>
  <si>
    <t>Grass Cutter</t>
  </si>
  <si>
    <t>Hand Towel</t>
  </si>
  <si>
    <t>Heavy duty AVR</t>
  </si>
  <si>
    <t>Heavy duty mop squeezer</t>
  </si>
  <si>
    <t>Heavy Duty Rice Cooker</t>
  </si>
  <si>
    <t>Heavy duty UPS</t>
  </si>
  <si>
    <t>Laboratory Renewal Fee</t>
  </si>
  <si>
    <t>Fuse (100 ampere)</t>
  </si>
  <si>
    <t>Spark Plug</t>
  </si>
  <si>
    <t>Pvc Pipe</t>
  </si>
  <si>
    <t>Flower Pot</t>
  </si>
  <si>
    <t>Office Table Chair</t>
  </si>
  <si>
    <t>Scotch Tape Cutter Organizer</t>
  </si>
  <si>
    <t>Curtains</t>
  </si>
  <si>
    <t>Registry Logbook</t>
  </si>
  <si>
    <t>Thermometer(Rectal)</t>
  </si>
  <si>
    <t>Sphygmomanomometer</t>
  </si>
  <si>
    <t>Stethoscope(Littman)</t>
  </si>
  <si>
    <t>Pediatric cuff</t>
  </si>
  <si>
    <t>PC</t>
  </si>
  <si>
    <t>Packs</t>
  </si>
  <si>
    <t>Unit</t>
  </si>
  <si>
    <t>Length</t>
  </si>
  <si>
    <t>Supply and Delivery of various office supplies &amp; equipment</t>
  </si>
  <si>
    <t>Air Freshener</t>
  </si>
  <si>
    <t>Ball pen (Black)</t>
  </si>
  <si>
    <t>Ball pen (Blue)</t>
  </si>
  <si>
    <t>Ball pen (Red)</t>
  </si>
  <si>
    <t>Battery AA</t>
  </si>
  <si>
    <t>Birth Certificate</t>
  </si>
  <si>
    <t>Bond Paper (Long)</t>
  </si>
  <si>
    <t>Bond Paper (Red)(Long)</t>
  </si>
  <si>
    <t>Bond Paper (Short)</t>
  </si>
  <si>
    <t>Bond Paper (Blue)(Long)</t>
  </si>
  <si>
    <t>Bond Paper (Yellow)(Long)</t>
  </si>
  <si>
    <t>Calculator Desktop</t>
  </si>
  <si>
    <t>Carbon Paper(Long)</t>
  </si>
  <si>
    <t>Garbage Bag XL assorted color</t>
  </si>
  <si>
    <t>Sando Bag XL assorted color</t>
  </si>
  <si>
    <t>Smoke celophane assorted</t>
  </si>
  <si>
    <t>White Board Pen</t>
  </si>
  <si>
    <t>Cartolina Assorted</t>
  </si>
  <si>
    <t>Laundry Soap Bar</t>
  </si>
  <si>
    <t>Laundry Soap Powder</t>
  </si>
  <si>
    <t>Linen</t>
  </si>
  <si>
    <t>Memo Paper Short</t>
  </si>
  <si>
    <t>Monoblock Chairs</t>
  </si>
  <si>
    <t>Mop</t>
  </si>
  <si>
    <t>Mop with sqeezer</t>
  </si>
  <si>
    <t>NEQAS CLIN CHEMISTRY</t>
  </si>
  <si>
    <t>NEQAS CLIN MICROSCOPY</t>
  </si>
  <si>
    <t>NEQAS HEMA</t>
  </si>
  <si>
    <t>Patient's Chart Clip Board (Steel)</t>
  </si>
  <si>
    <t>PHIC Renewal Fee</t>
  </si>
  <si>
    <t>Plastic Mat (Single)</t>
  </si>
  <si>
    <t>Plastic Rugs</t>
  </si>
  <si>
    <t>Round Up Medicine</t>
  </si>
  <si>
    <t>Tissue Paper</t>
  </si>
  <si>
    <t>TUV-X-ray Renewal Fee</t>
  </si>
  <si>
    <t>Walis Tingting</t>
  </si>
  <si>
    <t>Water Chlorine</t>
  </si>
  <si>
    <t>Zonrox</t>
  </si>
  <si>
    <t>Pot Holder</t>
  </si>
  <si>
    <t>Wall Clock</t>
  </si>
  <si>
    <t>Pad</t>
  </si>
  <si>
    <t>Reams</t>
  </si>
  <si>
    <t>10's</t>
  </si>
  <si>
    <t>100's</t>
  </si>
  <si>
    <t>Bars</t>
  </si>
  <si>
    <t>set</t>
  </si>
  <si>
    <t>Gal</t>
  </si>
  <si>
    <t>Rolls</t>
  </si>
  <si>
    <t>X</t>
  </si>
  <si>
    <t>Bucket</t>
  </si>
  <si>
    <t>Applicator Stick</t>
  </si>
  <si>
    <t>Black Braided Silk 2/0</t>
  </si>
  <si>
    <t>Black Braided Silk 3/0</t>
  </si>
  <si>
    <t>Black Braided Silk 4/0</t>
  </si>
  <si>
    <t>Blood Lancet</t>
  </si>
  <si>
    <t>Blue Tips</t>
  </si>
  <si>
    <t>Body Suit</t>
  </si>
  <si>
    <t>BUN</t>
  </si>
  <si>
    <t>Capillary Tube (Mereinfeld)</t>
  </si>
  <si>
    <t>Chomic 2/0                          10's</t>
  </si>
  <si>
    <t>Chomic 3/0                          10's</t>
  </si>
  <si>
    <t>Chomic 4/0                          10's</t>
  </si>
  <si>
    <t>Cidex long Life Solution</t>
  </si>
  <si>
    <t>Clay Sealer</t>
  </si>
  <si>
    <t>Cotton 400g</t>
  </si>
  <si>
    <t>Cove Slips</t>
  </si>
  <si>
    <t>Creatinine Reagent</t>
  </si>
  <si>
    <t>Clear Book</t>
  </si>
  <si>
    <t>Columnar 24 Column</t>
  </si>
  <si>
    <t>Correction Tape</t>
  </si>
  <si>
    <t>Death Certificate</t>
  </si>
  <si>
    <t>Disinfectant spray</t>
  </si>
  <si>
    <t>Elmer's Glue</t>
  </si>
  <si>
    <t>Filing System Box</t>
  </si>
  <si>
    <t>Folder (Long)</t>
  </si>
  <si>
    <t>Ink Printer Assorted Colors (003)</t>
  </si>
  <si>
    <t>Manila Paper</t>
  </si>
  <si>
    <t>Masking Tape Big</t>
  </si>
  <si>
    <t>Paper Fastener</t>
  </si>
  <si>
    <t>Paper Towel</t>
  </si>
  <si>
    <t>Pentel Pen (Red)</t>
  </si>
  <si>
    <t>Miscellaneous</t>
  </si>
  <si>
    <t>Pencil</t>
  </si>
  <si>
    <t>Pentel Pen (Pilot Black)</t>
  </si>
  <si>
    <t>Pentel Pen (Pilot Blue)</t>
  </si>
  <si>
    <t>RER</t>
  </si>
  <si>
    <t>Scissor Big</t>
  </si>
  <si>
    <t>Sign Pen Black</t>
  </si>
  <si>
    <t>Sliding Folder Plastic (Long)</t>
  </si>
  <si>
    <t>Stabilo</t>
  </si>
  <si>
    <t>Staple Wire #10</t>
  </si>
  <si>
    <t>Staple Wire #35</t>
  </si>
  <si>
    <t>Stapler #35</t>
  </si>
  <si>
    <t>Tonner (Rizo c2 180)</t>
  </si>
  <si>
    <t>Typewritter Ribbon</t>
  </si>
  <si>
    <t>Trash Bin (240 Litters) Assorted Color</t>
  </si>
  <si>
    <t>Spoll</t>
  </si>
  <si>
    <t>bot</t>
  </si>
  <si>
    <t>Pads</t>
  </si>
  <si>
    <t>Books</t>
  </si>
  <si>
    <t>Bots</t>
  </si>
  <si>
    <t>Boxes</t>
  </si>
  <si>
    <t>Bot</t>
  </si>
  <si>
    <t>Digital Thermometer</t>
  </si>
  <si>
    <t>Disposable Needle G.23    100's</t>
  </si>
  <si>
    <t>Disposable Needle G.26    100's</t>
  </si>
  <si>
    <t>Disposable Shoes Plastic</t>
  </si>
  <si>
    <t>Pack</t>
  </si>
  <si>
    <t>Disposable Syringe 10cc</t>
  </si>
  <si>
    <t>Disposable Syringe 3cc</t>
  </si>
  <si>
    <t>Disposable Syringe 5cc</t>
  </si>
  <si>
    <t>Distilled Water</t>
  </si>
  <si>
    <t>Distilled Water For Injection 100ml</t>
  </si>
  <si>
    <t>Vls</t>
  </si>
  <si>
    <t>EDTA Tubes (2ml)</t>
  </si>
  <si>
    <t>packs</t>
  </si>
  <si>
    <t>Elastic Bandage (2 in. x 5yrds)</t>
  </si>
  <si>
    <t>Pcs.</t>
  </si>
  <si>
    <t>Elastic Bandage (3 in. x 5yrds)</t>
  </si>
  <si>
    <t>Elastic Bandage (4 in. x 5yrds)</t>
  </si>
  <si>
    <t>Elastic Bandage (6 in. x 5yrds)</t>
  </si>
  <si>
    <t>Expanded NBS Kits</t>
  </si>
  <si>
    <t>Face Mask</t>
  </si>
  <si>
    <t>Facemask with earloop</t>
  </si>
  <si>
    <t>Faceshield</t>
  </si>
  <si>
    <t>Film Badge (TUV Rhienland)+ Courier</t>
  </si>
  <si>
    <t>Foley Catheter Fr.10</t>
  </si>
  <si>
    <t>Foley Catheter Fr. 12</t>
  </si>
  <si>
    <t>Foley Catheter Fr. 14</t>
  </si>
  <si>
    <t>Foley Catheter Fr. 16</t>
  </si>
  <si>
    <t>Foley Catheter Fr. 18</t>
  </si>
  <si>
    <t>Gauze (20x12)</t>
  </si>
  <si>
    <t>Glass Slides</t>
  </si>
  <si>
    <t>Gloves Non Sterile (Large)</t>
  </si>
  <si>
    <t>Gloves Non Sterile (Medium)</t>
  </si>
  <si>
    <t>Gloves Non Sterile (Small)</t>
  </si>
  <si>
    <t>Glucometer Strip</t>
  </si>
  <si>
    <t>Glucose Reagent</t>
  </si>
  <si>
    <t>H.Pylori Test Kits</t>
  </si>
  <si>
    <t>50's</t>
  </si>
  <si>
    <t>HDL Reagents</t>
  </si>
  <si>
    <t>Head Cap</t>
  </si>
  <si>
    <t>Hemacontrol</t>
  </si>
  <si>
    <t>Hemaquick Stain</t>
  </si>
  <si>
    <t>Hepatitis B Qualitative Test</t>
  </si>
  <si>
    <t>Hydrogen Peroxide Solution 500ml</t>
  </si>
  <si>
    <t>I.V Cannula G.20</t>
  </si>
  <si>
    <t>I.V Cannula G.22</t>
  </si>
  <si>
    <t>I.V Cannula G.24</t>
  </si>
  <si>
    <t>I.V Cannula G.26</t>
  </si>
  <si>
    <t>Insulin Syringe with needle (G.29x1/2)</t>
  </si>
  <si>
    <t>Isolation Gown</t>
  </si>
  <si>
    <t>Isopropyl Alcohol 500ml</t>
  </si>
  <si>
    <t>Kelly Pad</t>
  </si>
  <si>
    <t>Ky Jelly lubricant Gel 82g</t>
  </si>
  <si>
    <t>Littman Stethoscope (Adult</t>
  </si>
  <si>
    <t>Littman Stethoscope (Pedia)</t>
  </si>
  <si>
    <t>Lugol's lodine</t>
  </si>
  <si>
    <t>Lysol Solution</t>
  </si>
  <si>
    <t>Macroset</t>
  </si>
  <si>
    <t>Materials For X-ray</t>
  </si>
  <si>
    <t>Medical Oxygen Gauge</t>
  </si>
  <si>
    <t>Medical Oxygen REFILL</t>
  </si>
  <si>
    <t>Tanks</t>
  </si>
  <si>
    <t>Methanol</t>
  </si>
  <si>
    <t>Microset</t>
  </si>
  <si>
    <t>Microtainer Edta</t>
  </si>
  <si>
    <t>Nasogastric Fr.10</t>
  </si>
  <si>
    <t>Nasogastric Fr. 12</t>
  </si>
  <si>
    <t>Nasogastric Fr. 14</t>
  </si>
  <si>
    <t>Nasogastric Fr. 16</t>
  </si>
  <si>
    <t>Nasogastric Fr.8</t>
  </si>
  <si>
    <t>Nebulizer Kit</t>
  </si>
  <si>
    <t>Non-Pathologic Control Chem</t>
  </si>
  <si>
    <t>Oxygen Cannula (Adult)</t>
  </si>
  <si>
    <t>Oxygen Cannula (Pedia)</t>
  </si>
  <si>
    <t>Pathologic Control (Chem)</t>
  </si>
  <si>
    <t>Pediatric Urine Collector 100ml</t>
  </si>
  <si>
    <t>Pipettor (of Variety Measurement)</t>
  </si>
  <si>
    <t>Plaster (Hospital Size)</t>
  </si>
  <si>
    <t>Povidone Iodine Solution</t>
  </si>
  <si>
    <t>Pregnancy Test Kit</t>
  </si>
  <si>
    <t>Preventive Maintenance</t>
  </si>
  <si>
    <t>Pulse Oximeter</t>
  </si>
  <si>
    <t>Rayto Cleanser</t>
  </si>
  <si>
    <t>Rayto Diluent</t>
  </si>
  <si>
    <t>Rayto Lyse</t>
  </si>
  <si>
    <t>Rees and Ecker</t>
  </si>
  <si>
    <t>SGPT Reagent</t>
  </si>
  <si>
    <t>Silk 2/0</t>
  </si>
  <si>
    <t>Silk 3/0</t>
  </si>
  <si>
    <t>Silk 4/0</t>
  </si>
  <si>
    <t>Staple Remover</t>
  </si>
  <si>
    <t>Sterile Gauze Swab</t>
  </si>
  <si>
    <t>Stool Container</t>
  </si>
  <si>
    <t>Suction Catheter Fr.10</t>
  </si>
  <si>
    <t>Suction Catheter Fr. 12</t>
  </si>
  <si>
    <t>Suction Catheter Fr. 16</t>
  </si>
  <si>
    <t>Suction Catheter Fr.8</t>
  </si>
  <si>
    <t>Surgical Blade #10</t>
  </si>
  <si>
    <t>Surgical Gloves 7   50's</t>
  </si>
  <si>
    <t>Surgical Gloves 6 1/2    50's</t>
  </si>
  <si>
    <t>Surgical Gloves 7 1/2   50's</t>
  </si>
  <si>
    <t>Surgical Gloves 8     50's</t>
  </si>
  <si>
    <t>Suture Needle Size 12</t>
  </si>
  <si>
    <t>Doz</t>
  </si>
  <si>
    <t>Sature Needle Size 14</t>
  </si>
  <si>
    <t>Sature Needle Size 16</t>
  </si>
  <si>
    <t>Sature Needle Size 18</t>
  </si>
  <si>
    <t>Sature Needle Size 20</t>
  </si>
  <si>
    <t>Sature Needle Size 22</t>
  </si>
  <si>
    <t>Syringe 3ml</t>
  </si>
  <si>
    <t>Syringe 5ml</t>
  </si>
  <si>
    <t>Tes tubes (Red Top)</t>
  </si>
  <si>
    <t>Test Tubes</t>
  </si>
  <si>
    <t>Thermal Gun (Big)</t>
  </si>
  <si>
    <t>Total Cholesterol Reagent</t>
  </si>
  <si>
    <t>Triglycerides</t>
  </si>
  <si>
    <t>Tuberculin</t>
  </si>
  <si>
    <t>Typing Sera A</t>
  </si>
  <si>
    <t>Typing Sera B</t>
  </si>
  <si>
    <t>Typing Sera D</t>
  </si>
  <si>
    <t>Umbilical Cord Clamp</t>
  </si>
  <si>
    <t>Uric Acid Reagent</t>
  </si>
  <si>
    <t>Urine Bag 2000ml</t>
  </si>
  <si>
    <t>Urine Container</t>
  </si>
  <si>
    <t>Urine Reagent Strip (Biostix)</t>
  </si>
  <si>
    <t>WBC diluting Fluid</t>
  </si>
  <si>
    <t>Wooden Tongue Depressor 100's</t>
  </si>
  <si>
    <t>Working Gloves</t>
  </si>
  <si>
    <t>Yellow Tips</t>
  </si>
  <si>
    <t>Food Supplies</t>
  </si>
  <si>
    <t>Rice</t>
  </si>
  <si>
    <t>sacks</t>
  </si>
  <si>
    <t>Pork</t>
  </si>
  <si>
    <t>Kls</t>
  </si>
  <si>
    <t>Beef</t>
  </si>
  <si>
    <t>Chicken</t>
  </si>
  <si>
    <t>Fish</t>
  </si>
  <si>
    <t>Shrimps</t>
  </si>
  <si>
    <t>Ham</t>
  </si>
  <si>
    <t>pck</t>
  </si>
  <si>
    <t>Chorizzo</t>
  </si>
  <si>
    <t>Eggs</t>
  </si>
  <si>
    <t>Dried Fish</t>
  </si>
  <si>
    <t>Sugar</t>
  </si>
  <si>
    <t>Coffee</t>
  </si>
  <si>
    <t>Salt</t>
  </si>
  <si>
    <t>Corned Beef</t>
  </si>
  <si>
    <t>Cans</t>
  </si>
  <si>
    <t>Beef Loaf</t>
  </si>
  <si>
    <t>Bihon</t>
  </si>
  <si>
    <t>Century Tuna</t>
  </si>
  <si>
    <t>cans</t>
  </si>
  <si>
    <t>Vegetables Assorted</t>
  </si>
  <si>
    <t>Spices and Condiments assorted</t>
  </si>
  <si>
    <t>Fruits Assorted</t>
  </si>
  <si>
    <t>Vinegar</t>
  </si>
  <si>
    <t>pouch</t>
  </si>
  <si>
    <t>Soy Sauce</t>
  </si>
  <si>
    <t>Cooking oil</t>
  </si>
  <si>
    <t>Dish washing Paste</t>
  </si>
  <si>
    <t>cups</t>
  </si>
  <si>
    <t>Steel wall</t>
  </si>
  <si>
    <t>Fuels and Lubricants Expenses</t>
  </si>
  <si>
    <t>Diesel Fuel</t>
  </si>
  <si>
    <t>ltrs</t>
  </si>
  <si>
    <t>direct retail price</t>
  </si>
  <si>
    <t>Oil 2T</t>
  </si>
  <si>
    <t>Engine Oil-40</t>
  </si>
  <si>
    <t>Coolant</t>
  </si>
  <si>
    <t>gals</t>
  </si>
  <si>
    <t>Gear Oil</t>
  </si>
  <si>
    <t>Brake Fluid</t>
  </si>
  <si>
    <t>Multi-Purpose Grease</t>
  </si>
  <si>
    <t>Small Value</t>
  </si>
  <si>
    <t>Cooking Gas</t>
  </si>
  <si>
    <t>0.9% Sodium Chloride 1L        12's</t>
  </si>
  <si>
    <t>0.9% Sodium Chloride 500ml     24's</t>
  </si>
  <si>
    <t>10% Dextrose in Water 1L       12's</t>
  </si>
  <si>
    <t>10% Dextrose in Water 500ml    24's</t>
  </si>
  <si>
    <t>5% Dextrose in 0.3% Sodium Chloride 500ml     24's</t>
  </si>
  <si>
    <t>5% Dextrose in 0.9% Sodium Chloride 1L    12's</t>
  </si>
  <si>
    <t>5% Dextrose in Lactated Ringers 1L   12's</t>
  </si>
  <si>
    <t>5% Dextrose in Lactated Ringers 500ml  24's</t>
  </si>
  <si>
    <t>Acetonide &amp; Polynexin B Sulfate Otic</t>
  </si>
  <si>
    <t>Vls.</t>
  </si>
  <si>
    <t>Activated Charcoal Powder</t>
  </si>
  <si>
    <t>Grams</t>
  </si>
  <si>
    <t>Acyclovir 400mg Tablet</t>
  </si>
  <si>
    <t>Tab.</t>
  </si>
  <si>
    <t>Aluminum/Magnesium Hydroxide Tablet 100's</t>
  </si>
  <si>
    <t>Aluminum/Magnesium Hydroxide200mg/100mg/5ml Sus</t>
  </si>
  <si>
    <t>Bot.</t>
  </si>
  <si>
    <t>Aminophylline 250mg/ml</t>
  </si>
  <si>
    <t>Amp.</t>
  </si>
  <si>
    <t>Amlodipine 10mg Tablet 100's</t>
  </si>
  <si>
    <t>Amlodipine 5mg Tablet 100's</t>
  </si>
  <si>
    <t>Amoxicillin 100mg/ml Drops</t>
  </si>
  <si>
    <t>Amoxicillin 125mg/5ml Suspension</t>
  </si>
  <si>
    <t>Amoxicillin 250mg/5ml Supension</t>
  </si>
  <si>
    <t>Ampicillin 1g</t>
  </si>
  <si>
    <t>Ampicillin 250mg</t>
  </si>
  <si>
    <t>Ampicillin 500mg</t>
  </si>
  <si>
    <t>Anti Rabies Serum 200iu/ml</t>
  </si>
  <si>
    <t>Aspirin 80mg Tablet  100's</t>
  </si>
  <si>
    <t>Atropine 1mg/ml</t>
  </si>
  <si>
    <t>ATS 1,500 i.u</t>
  </si>
  <si>
    <t>ATS 3,000 i.u</t>
  </si>
  <si>
    <t>ATS 5,000 i.u</t>
  </si>
  <si>
    <t>Azithromycin 200mg/5ml Suspension</t>
  </si>
  <si>
    <t>Bacillus ClausII</t>
  </si>
  <si>
    <t>Balance Multiple Maintenance Sol. w/ 5%Dextrose(D51MB) 500ml  24's</t>
  </si>
  <si>
    <t>Balance Multiple Maintenance Sol. w/5%Dextrose(D5NM)1L  12'S</t>
  </si>
  <si>
    <t>Benzyl Penicillin 1M i.u</t>
  </si>
  <si>
    <t>Benzyl Penicillin 5m i.u</t>
  </si>
  <si>
    <t>Betahisitne 16mg Tablet 100's</t>
  </si>
  <si>
    <t>Bisacodyl 10mg</t>
  </si>
  <si>
    <t>Supp</t>
  </si>
  <si>
    <t>Bisacodyl 5mg</t>
  </si>
  <si>
    <t>Bisacodyl 5mg tablet</t>
  </si>
  <si>
    <t>Calcium Gluconate 10% Solution For Injection</t>
  </si>
  <si>
    <t>Calmoseptine Ointment</t>
  </si>
  <si>
    <t>Sachet</t>
  </si>
  <si>
    <t>Cefaclor 100mg/ml Drops</t>
  </si>
  <si>
    <t>Cefaclor 250mg/5ml Suspension</t>
  </si>
  <si>
    <t>Cefalexin 100mg/ml Drop</t>
  </si>
  <si>
    <t>Cefalexin 125mg/5ml Suspension</t>
  </si>
  <si>
    <t>Cefalexin 250mg Capsule 100's</t>
  </si>
  <si>
    <t>Cefalexin 250mg/5ml Suspension</t>
  </si>
  <si>
    <t>Cefalexin 500mg Capsule 100's</t>
  </si>
  <si>
    <t>Cefazolin 1g</t>
  </si>
  <si>
    <t>Cefixime 20mg/ml Drops</t>
  </si>
  <si>
    <t>Cefixime 400mg Capsule</t>
  </si>
  <si>
    <t>Cap</t>
  </si>
  <si>
    <t>Ceftriaxone 1g</t>
  </si>
  <si>
    <t>Cefuroxime 125mg/5ml Suspension</t>
  </si>
  <si>
    <t>Cefuroxime 250mg/ml Suspension</t>
  </si>
  <si>
    <t>Cefuroxime 500mg Capsule</t>
  </si>
  <si>
    <t>Cefuroxime 750mg</t>
  </si>
  <si>
    <t>Celecoxib 200mg Tablet</t>
  </si>
  <si>
    <t>Cetirizine 10mg Tablet</t>
  </si>
  <si>
    <t>Cetirizine 1mg/ml Drop</t>
  </si>
  <si>
    <t>Cetirizine 5mg/ml Syrup</t>
  </si>
  <si>
    <t>Chloramphenicol 1g</t>
  </si>
  <si>
    <t>Chloramphenicol 250mg capsule</t>
  </si>
  <si>
    <t>Chloramphenicol 500mg</t>
  </si>
  <si>
    <t>Chloramphenicol 500mg Capsule   100's</t>
  </si>
  <si>
    <t>Chlorphenamine 10mg/ml</t>
  </si>
  <si>
    <t>Chlorphenamine Maleate 2mg/5ml Syrup</t>
  </si>
  <si>
    <t>Chlorphenamine Maleate 4mg Tablet 100's</t>
  </si>
  <si>
    <t>Cifixime 100mg/5ml Suspension</t>
  </si>
  <si>
    <t>Cinnarizine 25mg tablet</t>
  </si>
  <si>
    <t>Ciprofloxacin 500mg Tablet  100's</t>
  </si>
  <si>
    <t>Clarithromycin 125mg/5ml Suspension</t>
  </si>
  <si>
    <t>Clarithromycin 250mg/5ml Suspension</t>
  </si>
  <si>
    <t>Clarithromycin 500mg Capsule</t>
  </si>
  <si>
    <t>Clindamycin 500mg Capsule   100's</t>
  </si>
  <si>
    <t>Clonidine 75mg Tablet</t>
  </si>
  <si>
    <t>Cloxacillin 125mg/5ml Suspension</t>
  </si>
  <si>
    <t>Cloxacillin 250mg Capsule 100's</t>
  </si>
  <si>
    <t>Cloxacillin 250mg/5ml Suspension</t>
  </si>
  <si>
    <t>Cloxacillin 500mg Capsule  100's</t>
  </si>
  <si>
    <t>BOx</t>
  </si>
  <si>
    <t>Co-amoxiclav 156mg/5ml</t>
  </si>
  <si>
    <t>Co-amoxiclav 228.5mg/5ml</t>
  </si>
  <si>
    <t>Co-amoxiclav 375mg Tablet</t>
  </si>
  <si>
    <t>Co-amoxiclav 457mg/5ml</t>
  </si>
  <si>
    <t>Co-amoxiclav 625mg tablet</t>
  </si>
  <si>
    <t>Cotrimoxazole 200mg/40mg/5m Suspension</t>
  </si>
  <si>
    <t>Cotrimoxazole 400mg Tablet</t>
  </si>
  <si>
    <t>Contrimoxazole 800mg Tablet</t>
  </si>
  <si>
    <t>D5 Water 1L    12's</t>
  </si>
  <si>
    <t>D5 Water 500ml    24's</t>
  </si>
  <si>
    <t>D50 Water 50ml</t>
  </si>
  <si>
    <t>Dexamethasone 8mg</t>
  </si>
  <si>
    <t>Dextran 500ml</t>
  </si>
  <si>
    <t>Diazepam 5mg Tablet</t>
  </si>
  <si>
    <t>Diazepam 5mg/ml</t>
  </si>
  <si>
    <t>Dicycloverine HCL 10mg Tablet</t>
  </si>
  <si>
    <t>Dicycloverine HC1 10mg/5ml Syrup</t>
  </si>
  <si>
    <t>Digoxin 250mg Tablet</t>
  </si>
  <si>
    <t>Digoxin 250mg/ml</t>
  </si>
  <si>
    <t>Diphenhydramine 25mg Tablet</t>
  </si>
  <si>
    <t>Diphenhydramine 50mg/ml</t>
  </si>
  <si>
    <t>Dobutamine 250mg/20ml</t>
  </si>
  <si>
    <t>Domperidone 10mg Tablet</t>
  </si>
  <si>
    <t>Dopamine 200mg</t>
  </si>
  <si>
    <t>Dydrogesterone 10mg Tablet</t>
  </si>
  <si>
    <t>Epinephrine 1mg/ml</t>
  </si>
  <si>
    <t>Erythromycin 100mg/ml Drop</t>
  </si>
  <si>
    <t>Erythromycin 250mg/5ml Suspension</t>
  </si>
  <si>
    <t>Erythromycin 250mg Capsule</t>
  </si>
  <si>
    <t>Erythromycin 500mg Capsule</t>
  </si>
  <si>
    <t>Furosemide 10mg/ml</t>
  </si>
  <si>
    <t>Furosemide 20mg tablet</t>
  </si>
  <si>
    <t>Gentamicin SO4 40mg/ml</t>
  </si>
  <si>
    <t>Gentamicin Sulfate 3mg/ml eye drops</t>
  </si>
  <si>
    <t>Gliclazide 80mg tablet</t>
  </si>
  <si>
    <t>Haloperidol 5mg/ml</t>
  </si>
  <si>
    <t>Human Normal Immunoglobulin Ig</t>
  </si>
  <si>
    <t>Hydralazine 20mg/ml</t>
  </si>
  <si>
    <t>Hydrocortisone Succinate 100mg</t>
  </si>
  <si>
    <t>Hydrocortisone Succinate 500mg</t>
  </si>
  <si>
    <t>Hyoscine-N-Butyl Bromide 20mg/ml</t>
  </si>
  <si>
    <t>Hyoscine-N-Butyl Bromide Tablet</t>
  </si>
  <si>
    <t>Ipratropium Hydrobromide+Fenoterol hydrobromide 1.25mg/0/5mg/4ml</t>
  </si>
  <si>
    <t>Isosorbide dinitrate 5mg Tablet</t>
  </si>
  <si>
    <t>Isoxsuprin HCL 10mg Tablet 100's</t>
  </si>
  <si>
    <t>Lactated Ringers Solution 1L    12's</t>
  </si>
  <si>
    <t>Lactated Ringers 500ml   24's</t>
  </si>
  <si>
    <t>Lagundi 300mg/5ml Syrup</t>
  </si>
  <si>
    <t>Levofloxacin 500mg Capsule</t>
  </si>
  <si>
    <t>Lidocaine 20mg 2% Hcl 50ml</t>
  </si>
  <si>
    <t>Loratadine 5mg/5ml Syrup</t>
  </si>
  <si>
    <t>Losartan 100mg Tablet</t>
  </si>
  <si>
    <t>Losartan 50mg Tablet</t>
  </si>
  <si>
    <t>Magnesium Sulfae 250mg/ml</t>
  </si>
  <si>
    <t>Mannitol 500ml   24's</t>
  </si>
  <si>
    <t>Mebendazole 20mg/ml Suspension</t>
  </si>
  <si>
    <t>Mebendazole 500mg Tablet  100's</t>
  </si>
  <si>
    <t>Meclozine 25mg Tablet</t>
  </si>
  <si>
    <t>Mefenamic Acid 250mg Capsule</t>
  </si>
  <si>
    <t>Mefenamic Acid 500mg Capsule</t>
  </si>
  <si>
    <t>Mefenamic Acid 50mg/5ml Suspension</t>
  </si>
  <si>
    <t>Metformin 500mg Tablet</t>
  </si>
  <si>
    <t>Methyldopa 250mg Tablet</t>
  </si>
  <si>
    <t>Methylergonometrine 250mcg/ml</t>
  </si>
  <si>
    <t>Methylergonometrine Maleate 250mcg Tablet</t>
  </si>
  <si>
    <t>Metoclopramide 10mg Tablet 100's</t>
  </si>
  <si>
    <t>Metoclopramide 5mg Tablet</t>
  </si>
  <si>
    <t>Metoclopramide 5mg/5ml Syrup</t>
  </si>
  <si>
    <t>Metoclopramide 5mg/ml</t>
  </si>
  <si>
    <t>Metoprolol Tartrate 100mg Tablet</t>
  </si>
  <si>
    <t>Metoprolol Tartrate 50mg Tablet</t>
  </si>
  <si>
    <t>Metronidazole 125mg/5ml Suspension</t>
  </si>
  <si>
    <t>Metronidazole 500mg Tablet</t>
  </si>
  <si>
    <t>Micronized Purified flavonoid fraction 500mg Tablet</t>
  </si>
  <si>
    <t>Montelukast 10mg Tablet 100's</t>
  </si>
  <si>
    <t>Montelukast 5mg Tablet  100's</t>
  </si>
  <si>
    <t>Morphine 10mg/ml</t>
  </si>
  <si>
    <t>Mupirocin 2% Oitment</t>
  </si>
  <si>
    <t>Newborn Hearing Registry Cards</t>
  </si>
  <si>
    <t>Booklet</t>
  </si>
  <si>
    <t>Nifedipine 10mg Capsule</t>
  </si>
  <si>
    <t>Nifedipine 5mg Capsule</t>
  </si>
  <si>
    <t>Norepinephrine 1mg/ml</t>
  </si>
  <si>
    <t>Ofloxacin 400mg Tablet</t>
  </si>
  <si>
    <t>Omeprazole 20mg Tablet</t>
  </si>
  <si>
    <t>Omeprazole 40mg</t>
  </si>
  <si>
    <t>Omeprazole 40mg Tablet</t>
  </si>
  <si>
    <t>Oral Rehydration Salt</t>
  </si>
  <si>
    <t>Orphenadrine Citrate Paracetamol 35mg/450mg Tablet</t>
  </si>
  <si>
    <t>Oxytocin 10 i.u</t>
  </si>
  <si>
    <t>Paracetamol 100mg/ml Drop</t>
  </si>
  <si>
    <t>Paracetamol 125mg</t>
  </si>
  <si>
    <t>Paracetamol 125mg/5ml Syrup</t>
  </si>
  <si>
    <t>Paracetamol 150mg/ml</t>
  </si>
  <si>
    <t>Paracetamol 250mg</t>
  </si>
  <si>
    <t>Paracetamol 250mg/5ml Syrup</t>
  </si>
  <si>
    <t>Paracetamol 500mg Tablet  100's</t>
  </si>
  <si>
    <t>Pedialyte 45 Solution   500ml</t>
  </si>
  <si>
    <t>Phenobarbital Sodium</t>
  </si>
  <si>
    <t>Phynetoin 100mg Capsule</t>
  </si>
  <si>
    <t>Phynetoin 125mg/5ml Syrup</t>
  </si>
  <si>
    <t>Phynetoin 50mg/ml</t>
  </si>
  <si>
    <t>Phytominadione 10mg/ml</t>
  </si>
  <si>
    <t>Potassium Chloride 2mEq/ml</t>
  </si>
  <si>
    <t>Potassium Chloride 750mg Durules</t>
  </si>
  <si>
    <t>Prednisone 5mg Tablet</t>
  </si>
  <si>
    <t>Pyrantel Pamoate 500mg Tablet</t>
  </si>
  <si>
    <t>Pyrantel Pamoate 20mg/ml Suspension</t>
  </si>
  <si>
    <t>Pyridoxine 1g</t>
  </si>
  <si>
    <t>Ranitidine 25mg/ml</t>
  </si>
  <si>
    <t>Ranitidine 300mg Tablet</t>
  </si>
  <si>
    <t>Salbutamol 2mg Tablet</t>
  </si>
  <si>
    <t>Salbutamol 2mg/5ml Syrup</t>
  </si>
  <si>
    <t>Salbutamol Sulfate 2.5mg/2.5ml Nebule</t>
  </si>
  <si>
    <t>Salbutamol+Guaifenecin 50mg/5ml Syrup</t>
  </si>
  <si>
    <t>Salbutamol+Guaifenecin Capsule</t>
  </si>
  <si>
    <t>Seretide 100 Diskus</t>
  </si>
  <si>
    <t>Silver Sulfadizine cream</t>
  </si>
  <si>
    <t>Jar</t>
  </si>
  <si>
    <t>Sodium Bicarbonate 50ml</t>
  </si>
  <si>
    <t>Sodium Bicarbonate Tablet 100's</t>
  </si>
  <si>
    <t>Sucralfate 1g</t>
  </si>
  <si>
    <t>Terbutaline Sulfate 500mcg/ml</t>
  </si>
  <si>
    <t>Terramycin eye ointment</t>
  </si>
  <si>
    <t>Tetanus Toxoid i.u</t>
  </si>
  <si>
    <t>Tetracycline 500mg Capsule   100's</t>
  </si>
  <si>
    <t>Tramadol Hcl 50mg Capsule</t>
  </si>
  <si>
    <t>Tramadol HCL 50mg/ml</t>
  </si>
  <si>
    <t>Tranexamic Acid 250mg Capsule</t>
  </si>
  <si>
    <t>Tranexamic Acid 25mg/ml</t>
  </si>
  <si>
    <t>Tranexamic Acid 500mg Capsule   100's</t>
  </si>
  <si>
    <t>Verapamil Hydrocloride 2.5mg/ml</t>
  </si>
  <si>
    <t>Vitamin B Complex Tablet</t>
  </si>
  <si>
    <t>Zinc Sulfate 27.50mg/ml Drops</t>
  </si>
  <si>
    <t>Zinc Sulfate 55mg/5ml Syrup</t>
  </si>
  <si>
    <t>Accountable Forms</t>
  </si>
  <si>
    <t>Accountable Forms # 52</t>
  </si>
  <si>
    <t>Agency-to-Agency</t>
  </si>
  <si>
    <t>LGDF</t>
  </si>
  <si>
    <t>Ambulance Acquisition</t>
  </si>
  <si>
    <t>1 unit</t>
  </si>
  <si>
    <t>Consultancy Expenses</t>
  </si>
  <si>
    <t>Agency To Agency</t>
  </si>
  <si>
    <t>PATHOLOGIST</t>
  </si>
  <si>
    <t>JOB ORDER</t>
  </si>
  <si>
    <t>RADIOLOGIST</t>
  </si>
  <si>
    <t>Cable/Satelite Expenses</t>
  </si>
  <si>
    <t>Cable Connection</t>
  </si>
  <si>
    <t>Postage and Courier Expenses</t>
  </si>
  <si>
    <t>Newborn Hearing Order</t>
  </si>
  <si>
    <t>NBS through LBC</t>
  </si>
  <si>
    <t>NEQUAS APPLICATION</t>
  </si>
  <si>
    <t>other Postages and Courier Cost</t>
  </si>
  <si>
    <t>Mineral/Drinking Water Expenses</t>
  </si>
  <si>
    <t>Drinking Water</t>
  </si>
  <si>
    <t>Electricity Expenses</t>
  </si>
  <si>
    <t>Electricity</t>
  </si>
  <si>
    <t>Agency to Agency</t>
  </si>
  <si>
    <t>Repair &amp; Maintenance of Office Equipment Expenses</t>
  </si>
  <si>
    <t>REPAIR/CLEANING OF AIRCONDITIONERS</t>
  </si>
  <si>
    <t>PRION</t>
  </si>
  <si>
    <t>PARTS AND MATERIALS</t>
  </si>
  <si>
    <t>Capital Outlay</t>
  </si>
  <si>
    <t>Desktop Computer (Core i7)</t>
  </si>
  <si>
    <t>Laptop Computers</t>
  </si>
  <si>
    <t>Fidelity Bond Expenses</t>
  </si>
  <si>
    <t>Guinevere Encarnacion A.</t>
  </si>
  <si>
    <t>Additional</t>
  </si>
  <si>
    <t>Repair &amp; Maintenance of ICT Equipment Expenses</t>
  </si>
  <si>
    <t>REPAIR OF COMPUTER CPU</t>
  </si>
  <si>
    <t>REPAIR OF PRINTERS</t>
  </si>
  <si>
    <t>Repair &amp; Maintenance of Building Expenses</t>
  </si>
  <si>
    <t>Repair of Crack Walls</t>
  </si>
  <si>
    <t>Repair of Doors</t>
  </si>
  <si>
    <t>Repair of other Infrastracture and Fixtures</t>
  </si>
  <si>
    <t>Repair of Windows</t>
  </si>
  <si>
    <t>Repair of Ceilings</t>
  </si>
  <si>
    <t>Repair of Containment Area/Isolation</t>
  </si>
  <si>
    <t>Materials and Parts</t>
  </si>
  <si>
    <t>Total</t>
  </si>
  <si>
    <t>PROJECT PROCUREMENT MANAGEMENT PLAN (PPMP) NO.</t>
  </si>
  <si>
    <r>
      <t>PROJECT PROCUREMENT MANAGEMENT PLAN (PPMP) NO.</t>
    </r>
    <r>
      <rPr>
        <b/>
        <sz val="10"/>
        <color rgb="FF000000"/>
        <rFont val="Times New Roman"/>
        <family val="1"/>
      </rPr>
      <t xml:space="preserve"> </t>
    </r>
  </si>
  <si>
    <t>Memo Paper Long</t>
  </si>
  <si>
    <t>Mo Head</t>
  </si>
  <si>
    <t>Other Hospital License Fee</t>
  </si>
  <si>
    <t>Water Analysis</t>
  </si>
  <si>
    <t>White Board ft.x4 ft.size</t>
  </si>
  <si>
    <t>Bots.</t>
  </si>
  <si>
    <t>Brown Envelop (Short)</t>
  </si>
  <si>
    <t>Brown Envelop (Long)</t>
  </si>
  <si>
    <t>Garbage Receptacle w/ cover</t>
  </si>
  <si>
    <t>Pulse Oximeter(Battery Only)</t>
  </si>
  <si>
    <t>Thermometer (Oral)</t>
  </si>
  <si>
    <t>Needle Hub Cutter</t>
  </si>
  <si>
    <t>Garbage Bins(Color Coded)</t>
  </si>
  <si>
    <t>Straight Kelly Forceps(Medium)</t>
  </si>
  <si>
    <t>Oxygen Tank Carrier</t>
  </si>
  <si>
    <t>Repair, Cleaning And Maintenance of Water Resevoirs and Pump</t>
  </si>
  <si>
    <t>Miscellaneous Expenses</t>
  </si>
  <si>
    <t>Fire Safety Compliance, License to Operate a Hospital, PHA Annual Membership Dues, Philhealth Accreditation (Facility), DENR - EMB Permit &amp; License, EQAS-Laboratory</t>
  </si>
  <si>
    <t>Columnar Book # 552 28 Column</t>
  </si>
  <si>
    <t>Folder (Short)</t>
  </si>
  <si>
    <t>Index Card 5x8</t>
  </si>
  <si>
    <t>Marking pen Permanent</t>
  </si>
  <si>
    <t>Master  Copy (Rizo C180)</t>
  </si>
  <si>
    <t>Paper  Clip 33mm</t>
  </si>
  <si>
    <t>Pentel Pen (Refill Black)</t>
  </si>
  <si>
    <t>Record Book 300 pages (Valiant)</t>
  </si>
  <si>
    <t>Roller Steel (12 inches)</t>
  </si>
  <si>
    <t>Scotch Tape 1 Inch</t>
  </si>
  <si>
    <t>Communication Expenses</t>
  </si>
  <si>
    <t>Telephone Expenses-Mobile</t>
  </si>
  <si>
    <t>Internet Subscription</t>
  </si>
  <si>
    <t>Reviewed By:</t>
  </si>
  <si>
    <t>NELSON L. DAYANGHIRANG</t>
  </si>
  <si>
    <t>Governor</t>
  </si>
  <si>
    <t>Gallons</t>
  </si>
  <si>
    <t>Stub</t>
  </si>
  <si>
    <t>to 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</si>
</sst>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₱&quot;* #,##0.00_-;\-&quot;₱&quot;* #,##0.00_-;_-&quot;₱&quot;* &quot;-&quot;??_-;_-@_-"/>
    <numFmt numFmtId="164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u/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  <font>
      <b/>
      <u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9"/>
      <color rgb="FF000000"/>
      <name val="Times New Roman"/>
      <family val="1"/>
    </font>
    <font>
      <sz val="7"/>
      <color theme="1"/>
      <name val="Times New Roman"/>
      <family val="1"/>
    </font>
    <font>
      <b/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5" fillId="0" borderId="0"/>
  </cellStyleXfs>
  <cellXfs count="247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8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2" quotePrefix="1" applyFont="1" applyBorder="1" applyAlignment="1">
      <alignment horizontal="center" vertical="center" wrapText="1"/>
    </xf>
    <xf numFmtId="0" fontId="4" fillId="0" borderId="1" xfId="2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9" fillId="0" borderId="1" xfId="1" applyFont="1" applyBorder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0" fontId="14" fillId="0" borderId="0" xfId="0" applyFont="1"/>
    <xf numFmtId="0" fontId="8" fillId="0" borderId="0" xfId="0" applyFont="1"/>
    <xf numFmtId="0" fontId="6" fillId="0" borderId="0" xfId="0" applyFont="1" applyAlignment="1">
      <alignment vertical="center"/>
    </xf>
    <xf numFmtId="0" fontId="3" fillId="0" borderId="0" xfId="3" applyFont="1"/>
    <xf numFmtId="0" fontId="2" fillId="0" borderId="0" xfId="3" applyFont="1"/>
    <xf numFmtId="0" fontId="4" fillId="0" borderId="0" xfId="3" applyFont="1" applyAlignment="1">
      <alignment vertical="center"/>
    </xf>
    <xf numFmtId="0" fontId="4" fillId="0" borderId="1" xfId="3" applyFont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 wrapText="1"/>
    </xf>
    <xf numFmtId="0" fontId="3" fillId="0" borderId="0" xfId="3" applyFont="1" applyAlignment="1">
      <alignment vertical="center"/>
    </xf>
    <xf numFmtId="0" fontId="9" fillId="0" borderId="4" xfId="3" applyFont="1" applyBorder="1" applyAlignment="1">
      <alignment horizontal="center" vertical="center" wrapText="1"/>
    </xf>
    <xf numFmtId="0" fontId="16" fillId="3" borderId="1" xfId="3" applyFont="1" applyFill="1" applyBorder="1" applyAlignment="1">
      <alignment vertical="center"/>
    </xf>
    <xf numFmtId="0" fontId="16" fillId="3" borderId="1" xfId="3" applyFont="1" applyFill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49" fontId="11" fillId="3" borderId="1" xfId="3" applyNumberFormat="1" applyFont="1" applyFill="1" applyBorder="1" applyAlignment="1">
      <alignment horizontal="center" vertical="center" wrapText="1"/>
    </xf>
    <xf numFmtId="0" fontId="16" fillId="3" borderId="1" xfId="3" applyFont="1" applyFill="1" applyBorder="1"/>
    <xf numFmtId="0" fontId="16" fillId="3" borderId="1" xfId="3" applyFont="1" applyFill="1" applyBorder="1" applyAlignment="1">
      <alignment horizontal="center"/>
    </xf>
    <xf numFmtId="0" fontId="13" fillId="0" borderId="1" xfId="3" applyFont="1" applyBorder="1" applyAlignment="1">
      <alignment vertical="center" wrapText="1"/>
    </xf>
    <xf numFmtId="0" fontId="2" fillId="0" borderId="1" xfId="3" applyFont="1" applyBorder="1" applyAlignment="1">
      <alignment vertical="center"/>
    </xf>
    <xf numFmtId="3" fontId="2" fillId="0" borderId="2" xfId="3" applyNumberFormat="1" applyFont="1" applyBorder="1" applyAlignment="1">
      <alignment horizontal="center" vertical="center" wrapText="1"/>
    </xf>
    <xf numFmtId="3" fontId="2" fillId="0" borderId="3" xfId="3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164" fontId="2" fillId="0" borderId="0" xfId="1" applyFont="1"/>
    <xf numFmtId="164" fontId="4" fillId="0" borderId="3" xfId="1" applyFont="1" applyBorder="1" applyAlignment="1">
      <alignment horizontal="center" vertical="center" wrapText="1"/>
    </xf>
    <xf numFmtId="164" fontId="4" fillId="2" borderId="3" xfId="1" applyFont="1" applyFill="1" applyBorder="1" applyAlignment="1">
      <alignment horizontal="center" vertical="center" wrapText="1"/>
    </xf>
    <xf numFmtId="164" fontId="17" fillId="0" borderId="1" xfId="1" applyFont="1" applyBorder="1" applyAlignment="1">
      <alignment horizontal="center" vertical="center"/>
    </xf>
    <xf numFmtId="164" fontId="3" fillId="0" borderId="0" xfId="1" applyFont="1" applyAlignment="1">
      <alignment vertical="center"/>
    </xf>
    <xf numFmtId="164" fontId="4" fillId="0" borderId="0" xfId="1" applyFont="1" applyAlignment="1">
      <alignment vertical="center"/>
    </xf>
    <xf numFmtId="164" fontId="14" fillId="0" borderId="0" xfId="1" applyFont="1"/>
    <xf numFmtId="164" fontId="6" fillId="0" borderId="0" xfId="1" applyFont="1" applyAlignment="1">
      <alignment vertical="center"/>
    </xf>
    <xf numFmtId="164" fontId="3" fillId="0" borderId="0" xfId="1" applyFont="1"/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19" fillId="3" borderId="1" xfId="0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4" fontId="17" fillId="0" borderId="1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164" fontId="8" fillId="0" borderId="3" xfId="1" applyFont="1" applyBorder="1" applyAlignment="1">
      <alignment horizontal="center" vertical="center" wrapText="1"/>
    </xf>
    <xf numFmtId="164" fontId="20" fillId="0" borderId="1" xfId="1" applyFont="1" applyBorder="1" applyAlignment="1">
      <alignment horizontal="center" vertical="center"/>
    </xf>
    <xf numFmtId="164" fontId="20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21" fillId="3" borderId="1" xfId="3" applyFont="1" applyFill="1" applyBorder="1" applyAlignment="1">
      <alignment horizontal="center"/>
    </xf>
    <xf numFmtId="3" fontId="8" fillId="0" borderId="3" xfId="3" applyNumberFormat="1" applyFont="1" applyBorder="1" applyAlignment="1">
      <alignment horizontal="center" vertical="center" wrapText="1"/>
    </xf>
    <xf numFmtId="0" fontId="22" fillId="3" borderId="1" xfId="3" applyFont="1" applyFill="1" applyBorder="1" applyAlignment="1">
      <alignment horizontal="center" vertical="center"/>
    </xf>
    <xf numFmtId="0" fontId="22" fillId="3" borderId="1" xfId="3" applyNumberFormat="1" applyFont="1" applyFill="1" applyBorder="1" applyAlignment="1">
      <alignment horizontal="center" vertical="center"/>
    </xf>
    <xf numFmtId="164" fontId="22" fillId="0" borderId="1" xfId="1" applyFont="1" applyBorder="1" applyAlignment="1">
      <alignment horizontal="center" vertical="center"/>
    </xf>
    <xf numFmtId="0" fontId="2" fillId="0" borderId="0" xfId="0" applyFont="1" applyAlignment="1"/>
    <xf numFmtId="0" fontId="8" fillId="0" borderId="0" xfId="0" applyFont="1" applyAlignment="1"/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4" fontId="22" fillId="3" borderId="1" xfId="3" applyNumberFormat="1" applyFont="1" applyFill="1" applyBorder="1" applyAlignment="1">
      <alignment horizontal="center" vertical="center"/>
    </xf>
    <xf numFmtId="4" fontId="0" fillId="0" borderId="0" xfId="0" applyNumberFormat="1"/>
    <xf numFmtId="0" fontId="4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3" fillId="0" borderId="1" xfId="1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5"/>
    </xf>
    <xf numFmtId="0" fontId="4" fillId="0" borderId="0" xfId="0" applyFont="1" applyAlignment="1">
      <alignment horizontal="left" vertical="center" indent="6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left" indent="2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164" fontId="27" fillId="0" borderId="3" xfId="1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27" fillId="2" borderId="1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164" fontId="27" fillId="2" borderId="3" xfId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4" fontId="19" fillId="0" borderId="0" xfId="0" applyNumberFormat="1" applyFont="1" applyAlignment="1">
      <alignment vertical="center"/>
    </xf>
    <xf numFmtId="44" fontId="3" fillId="0" borderId="0" xfId="3" applyNumberFormat="1" applyFont="1"/>
    <xf numFmtId="17" fontId="4" fillId="0" borderId="1" xfId="2" quotePrefix="1" applyNumberFormat="1" applyFont="1" applyBorder="1" applyAlignment="1">
      <alignment horizontal="center" vertical="center" wrapText="1"/>
    </xf>
    <xf numFmtId="3" fontId="0" fillId="0" borderId="0" xfId="0" applyNumberFormat="1"/>
    <xf numFmtId="164" fontId="22" fillId="3" borderId="1" xfId="3" applyNumberFormat="1" applyFont="1" applyFill="1" applyBorder="1" applyAlignment="1">
      <alignment horizontal="center" vertical="center"/>
    </xf>
    <xf numFmtId="164" fontId="19" fillId="4" borderId="1" xfId="1" applyFont="1" applyFill="1" applyBorder="1" applyAlignment="1">
      <alignment vertical="center"/>
    </xf>
    <xf numFmtId="164" fontId="3" fillId="4" borderId="1" xfId="1" applyFont="1" applyFill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3" applyFont="1" applyAlignment="1">
      <alignment horizontal="right" vertical="center"/>
    </xf>
    <xf numFmtId="0" fontId="27" fillId="2" borderId="2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3" applyFont="1" applyAlignment="1">
      <alignment horizontal="center"/>
    </xf>
    <xf numFmtId="0" fontId="4" fillId="0" borderId="0" xfId="3" applyFont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 indent="2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indent="1"/>
    </xf>
    <xf numFmtId="0" fontId="8" fillId="0" borderId="0" xfId="0" applyFont="1" applyAlignment="1">
      <alignment horizontal="right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" fillId="0" borderId="8" xfId="0" applyFont="1" applyBorder="1" applyAlignment="1">
      <alignment horizontal="left" vertical="center" indent="3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right" indent="1"/>
    </xf>
    <xf numFmtId="164" fontId="2" fillId="4" borderId="1" xfId="1" applyFont="1" applyFill="1" applyBorder="1" applyAlignment="1">
      <alignment vertical="center"/>
    </xf>
    <xf numFmtId="164" fontId="9" fillId="4" borderId="1" xfId="1" applyFont="1" applyFill="1" applyBorder="1" applyAlignment="1">
      <alignment vertical="center"/>
    </xf>
    <xf numFmtId="4" fontId="16" fillId="4" borderId="1" xfId="3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9FA0931F-A9CE-4475-9817-809E2B69CBCD}"/>
    <cellStyle name="Normal 4" xfId="2" xr:uid="{C0F5CDCF-6F98-4F8F-A472-C6E39D2EBF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365125</xdr:colOff>
      <xdr:row>2</xdr:row>
      <xdr:rowOff>184697</xdr:rowOff>
    </xdr:from>
    <xdr:to>
      <xdr:col>10</xdr:col>
      <xdr:colOff>30130</xdr:colOff>
      <xdr:row>4</xdr:row>
      <xdr:rowOff>8101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1CAE2DC2-1939-42C5-9598-A3DF589F331C}"/>
            </a:ext>
          </a:extLst>
        </xdr:cNvPr>
        <xdr:cNvGrpSpPr/>
      </xdr:nvGrpSpPr>
      <xdr:grpSpPr>
        <a:xfrm>
          <a:off x="5742918" y="527422"/>
          <a:ext cx="251833" cy="181369"/>
          <a:chOff x="0" y="0"/>
          <a:chExt cx="234697" cy="175260"/>
        </a:xfrm>
      </xdr:grpSpPr>
      <xdr:sp macro="" textlink="">
        <xdr:nvSpPr>
          <xdr:cNvPr id="19" name="Shape 112">
            <a:extLst>
              <a:ext uri="{FF2B5EF4-FFF2-40B4-BE49-F238E27FC236}">
                <a16:creationId xmlns:a16="http://schemas.microsoft.com/office/drawing/2014/main" id="{9213CEB7-253B-4056-AFAA-86C6D97B7BB1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7</xdr:col>
      <xdr:colOff>54740</xdr:colOff>
      <xdr:row>3</xdr:row>
      <xdr:rowOff>0</xdr:rowOff>
    </xdr:from>
    <xdr:to>
      <xdr:col>7</xdr:col>
      <xdr:colOff>289055</xdr:colOff>
      <xdr:row>4</xdr:row>
      <xdr:rowOff>9525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1B2F3E2-4D17-4B79-9578-0E336CD94A5A}"/>
            </a:ext>
          </a:extLst>
        </xdr:cNvPr>
        <xdr:cNvGrpSpPr/>
      </xdr:nvGrpSpPr>
      <xdr:grpSpPr>
        <a:xfrm>
          <a:off x="4232602" y="525517"/>
          <a:ext cx="234315" cy="184698"/>
          <a:chOff x="0" y="0"/>
          <a:chExt cx="234697" cy="175260"/>
        </a:xfrm>
      </xdr:grpSpPr>
      <xdr:sp macro="" textlink="">
        <xdr:nvSpPr>
          <xdr:cNvPr id="21" name="Shape 112">
            <a:extLst>
              <a:ext uri="{FF2B5EF4-FFF2-40B4-BE49-F238E27FC236}">
                <a16:creationId xmlns:a16="http://schemas.microsoft.com/office/drawing/2014/main" id="{99D0AF7A-39FB-4A72-9C26-DB6984B5D10F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3</xdr:row>
      <xdr:rowOff>9525</xdr:rowOff>
    </xdr:from>
    <xdr:to>
      <xdr:col>7</xdr:col>
      <xdr:colOff>777240</xdr:colOff>
      <xdr:row>4</xdr:row>
      <xdr:rowOff>19050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0D9B666-85EE-4288-96CF-321415F16517}"/>
            </a:ext>
          </a:extLst>
        </xdr:cNvPr>
        <xdr:cNvGrpSpPr/>
      </xdr:nvGrpSpPr>
      <xdr:grpSpPr>
        <a:xfrm>
          <a:off x="4154805" y="535305"/>
          <a:ext cx="234315" cy="18478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F0B761AB-DD1D-0826-5B35-7BA3441ACBA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10</xdr:col>
      <xdr:colOff>209550</xdr:colOff>
      <xdr:row>3</xdr:row>
      <xdr:rowOff>9524</xdr:rowOff>
    </xdr:from>
    <xdr:to>
      <xdr:col>10</xdr:col>
      <xdr:colOff>424815</xdr:colOff>
      <xdr:row>4</xdr:row>
      <xdr:rowOff>19049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CFB07F5-C352-4D17-8DFD-41892AA20F64}"/>
            </a:ext>
          </a:extLst>
        </xdr:cNvPr>
        <xdr:cNvGrpSpPr/>
      </xdr:nvGrpSpPr>
      <xdr:grpSpPr>
        <a:xfrm>
          <a:off x="5939790" y="535304"/>
          <a:ext cx="215265" cy="18478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DBCE0941-D3E8-4447-A4F0-C6ABBF46357B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3</xdr:row>
      <xdr:rowOff>19050</xdr:rowOff>
    </xdr:from>
    <xdr:to>
      <xdr:col>7</xdr:col>
      <xdr:colOff>167640</xdr:colOff>
      <xdr:row>4</xdr:row>
      <xdr:rowOff>28575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E473821-7FA8-4340-8AE3-00B9D32F34DA}"/>
            </a:ext>
          </a:extLst>
        </xdr:cNvPr>
        <xdr:cNvGrpSpPr/>
      </xdr:nvGrpSpPr>
      <xdr:grpSpPr>
        <a:xfrm>
          <a:off x="3608070" y="567690"/>
          <a:ext cx="247650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92C75FE1-FAA4-4D55-8F13-CB1B42AE5D6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228600</xdr:colOff>
      <xdr:row>3</xdr:row>
      <xdr:rowOff>19049</xdr:rowOff>
    </xdr:from>
    <xdr:to>
      <xdr:col>9</xdr:col>
      <xdr:colOff>462915</xdr:colOff>
      <xdr:row>4</xdr:row>
      <xdr:rowOff>28574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C733732-5CF9-4167-BCA7-B552D99575A0}"/>
            </a:ext>
          </a:extLst>
        </xdr:cNvPr>
        <xdr:cNvGrpSpPr/>
      </xdr:nvGrpSpPr>
      <xdr:grpSpPr>
        <a:xfrm>
          <a:off x="5273040" y="567689"/>
          <a:ext cx="234315" cy="192405"/>
          <a:chOff x="0" y="0"/>
          <a:chExt cx="234697" cy="175260"/>
        </a:xfrm>
      </xdr:grpSpPr>
      <xdr:sp macro="" textlink="">
        <xdr:nvSpPr>
          <xdr:cNvPr id="13" name="Shape 112">
            <a:extLst>
              <a:ext uri="{FF2B5EF4-FFF2-40B4-BE49-F238E27FC236}">
                <a16:creationId xmlns:a16="http://schemas.microsoft.com/office/drawing/2014/main" id="{53D6A5AA-33B5-4630-9F7D-E2AEB4979872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3</xdr:row>
      <xdr:rowOff>9524</xdr:rowOff>
    </xdr:from>
    <xdr:to>
      <xdr:col>9</xdr:col>
      <xdr:colOff>462915</xdr:colOff>
      <xdr:row>4</xdr:row>
      <xdr:rowOff>19049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052AEDB-EBDE-47CF-946A-D3525C6A5956}"/>
            </a:ext>
          </a:extLst>
        </xdr:cNvPr>
        <xdr:cNvGrpSpPr/>
      </xdr:nvGrpSpPr>
      <xdr:grpSpPr>
        <a:xfrm>
          <a:off x="5421630" y="558164"/>
          <a:ext cx="215265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24C68003-A6EB-4A87-84C0-AE2D5116272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457200</xdr:colOff>
      <xdr:row>3</xdr:row>
      <xdr:rowOff>9525</xdr:rowOff>
    </xdr:from>
    <xdr:to>
      <xdr:col>7</xdr:col>
      <xdr:colOff>129540</xdr:colOff>
      <xdr:row>4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117A3CF-01BF-482A-AFF4-15CB6B436C2D}"/>
            </a:ext>
          </a:extLst>
        </xdr:cNvPr>
        <xdr:cNvGrpSpPr/>
      </xdr:nvGrpSpPr>
      <xdr:grpSpPr>
        <a:xfrm>
          <a:off x="3695700" y="558165"/>
          <a:ext cx="266700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D380C3D3-A1BF-4A34-B3D5-153247A2C140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3</xdr:row>
      <xdr:rowOff>9525</xdr:rowOff>
    </xdr:from>
    <xdr:to>
      <xdr:col>7</xdr:col>
      <xdr:colOff>120015</xdr:colOff>
      <xdr:row>4</xdr:row>
      <xdr:rowOff>19050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23A7C0A6-B9F9-4778-B8FA-A5256859AA36}"/>
            </a:ext>
          </a:extLst>
        </xdr:cNvPr>
        <xdr:cNvGrpSpPr/>
      </xdr:nvGrpSpPr>
      <xdr:grpSpPr>
        <a:xfrm>
          <a:off x="3731895" y="558165"/>
          <a:ext cx="220980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1453B447-535D-47E2-8841-064E514CFECD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257175</xdr:colOff>
      <xdr:row>3</xdr:row>
      <xdr:rowOff>9524</xdr:rowOff>
    </xdr:from>
    <xdr:to>
      <xdr:col>9</xdr:col>
      <xdr:colOff>472440</xdr:colOff>
      <xdr:row>4</xdr:row>
      <xdr:rowOff>19049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AB0D9AFD-2B4F-4F12-B42C-6F401A50217F}"/>
            </a:ext>
          </a:extLst>
        </xdr:cNvPr>
        <xdr:cNvGrpSpPr/>
      </xdr:nvGrpSpPr>
      <xdr:grpSpPr>
        <a:xfrm>
          <a:off x="5431155" y="558164"/>
          <a:ext cx="215265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EEF5B091-3ED9-41D6-9629-05305169194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</xdr:row>
      <xdr:rowOff>190499</xdr:rowOff>
    </xdr:from>
    <xdr:to>
      <xdr:col>9</xdr:col>
      <xdr:colOff>139065</xdr:colOff>
      <xdr:row>3</xdr:row>
      <xdr:rowOff>9524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21265BA-FFD6-4061-8D6B-A8378A646F9D}"/>
            </a:ext>
          </a:extLst>
        </xdr:cNvPr>
        <xdr:cNvGrpSpPr/>
      </xdr:nvGrpSpPr>
      <xdr:grpSpPr>
        <a:xfrm>
          <a:off x="5354955" y="365759"/>
          <a:ext cx="247650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4FD55A60-76B5-491A-A4D9-540B84F92910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762000</xdr:colOff>
      <xdr:row>2</xdr:row>
      <xdr:rowOff>9525</xdr:rowOff>
    </xdr:from>
    <xdr:to>
      <xdr:col>7</xdr:col>
      <xdr:colOff>177165</xdr:colOff>
      <xdr:row>3</xdr:row>
      <xdr:rowOff>19050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71A08D7-5313-4518-B6FA-873BE358500E}"/>
            </a:ext>
          </a:extLst>
        </xdr:cNvPr>
        <xdr:cNvGrpSpPr/>
      </xdr:nvGrpSpPr>
      <xdr:grpSpPr>
        <a:xfrm>
          <a:off x="3848100" y="375285"/>
          <a:ext cx="17716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B35CA0EC-4B87-4BE9-977F-879399DC2538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2</xdr:row>
      <xdr:rowOff>9524</xdr:rowOff>
    </xdr:from>
    <xdr:to>
      <xdr:col>8</xdr:col>
      <xdr:colOff>281940</xdr:colOff>
      <xdr:row>3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BE196EA-6D81-43B0-A7AA-0207D7C3AADB}"/>
            </a:ext>
          </a:extLst>
        </xdr:cNvPr>
        <xdr:cNvGrpSpPr/>
      </xdr:nvGrpSpPr>
      <xdr:grpSpPr>
        <a:xfrm>
          <a:off x="5053965" y="375284"/>
          <a:ext cx="234315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9C14C3D3-5071-48B9-9DAC-6EED12DB9BB0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523875</xdr:colOff>
      <xdr:row>2</xdr:row>
      <xdr:rowOff>0</xdr:rowOff>
    </xdr:from>
    <xdr:to>
      <xdr:col>6</xdr:col>
      <xdr:colOff>758190</xdr:colOff>
      <xdr:row>3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F0B901E-EF2C-4E21-A690-0DF6C3B4F98F}"/>
            </a:ext>
          </a:extLst>
        </xdr:cNvPr>
        <xdr:cNvGrpSpPr/>
      </xdr:nvGrpSpPr>
      <xdr:grpSpPr>
        <a:xfrm>
          <a:off x="3518535" y="36576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E2D8EBCF-639A-4A8A-B56B-E1FCC446846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3</xdr:row>
      <xdr:rowOff>0</xdr:rowOff>
    </xdr:from>
    <xdr:to>
      <xdr:col>6</xdr:col>
      <xdr:colOff>862965</xdr:colOff>
      <xdr:row>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E8D53F5-1670-47FE-9471-58ACD65127F1}"/>
            </a:ext>
          </a:extLst>
        </xdr:cNvPr>
        <xdr:cNvGrpSpPr/>
      </xdr:nvGrpSpPr>
      <xdr:grpSpPr>
        <a:xfrm>
          <a:off x="4210050" y="548640"/>
          <a:ext cx="2343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7A1E1570-1E42-46C9-B7D2-7B898165646F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161925</xdr:colOff>
      <xdr:row>2</xdr:row>
      <xdr:rowOff>190499</xdr:rowOff>
    </xdr:from>
    <xdr:to>
      <xdr:col>9</xdr:col>
      <xdr:colOff>396240</xdr:colOff>
      <xdr:row>4</xdr:row>
      <xdr:rowOff>9524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871C15C9-8814-4C77-A40D-F1DBF399F52A}"/>
            </a:ext>
          </a:extLst>
        </xdr:cNvPr>
        <xdr:cNvGrpSpPr/>
      </xdr:nvGrpSpPr>
      <xdr:grpSpPr>
        <a:xfrm>
          <a:off x="6014085" y="548639"/>
          <a:ext cx="234315" cy="192405"/>
          <a:chOff x="0" y="0"/>
          <a:chExt cx="234697" cy="175260"/>
        </a:xfrm>
      </xdr:grpSpPr>
      <xdr:sp macro="" textlink="">
        <xdr:nvSpPr>
          <xdr:cNvPr id="11" name="Shape 112">
            <a:extLst>
              <a:ext uri="{FF2B5EF4-FFF2-40B4-BE49-F238E27FC236}">
                <a16:creationId xmlns:a16="http://schemas.microsoft.com/office/drawing/2014/main" id="{69FB2BF0-7742-4EF0-872F-B0A567DBBFCB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3</xdr:row>
      <xdr:rowOff>0</xdr:rowOff>
    </xdr:from>
    <xdr:to>
      <xdr:col>6</xdr:col>
      <xdr:colOff>491490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F15F7240-A6C6-4E7D-86F4-4FB147725BF8}"/>
            </a:ext>
          </a:extLst>
        </xdr:cNvPr>
        <xdr:cNvGrpSpPr/>
      </xdr:nvGrpSpPr>
      <xdr:grpSpPr>
        <a:xfrm>
          <a:off x="3724275" y="54864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B0883407-55CE-4608-9158-6012470D74E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581025</xdr:colOff>
      <xdr:row>3</xdr:row>
      <xdr:rowOff>9524</xdr:rowOff>
    </xdr:from>
    <xdr:to>
      <xdr:col>9</xdr:col>
      <xdr:colOff>91440</xdr:colOff>
      <xdr:row>4</xdr:row>
      <xdr:rowOff>19049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3E1D602-A29A-4011-BACF-61B4C50A0DA4}"/>
            </a:ext>
          </a:extLst>
        </xdr:cNvPr>
        <xdr:cNvGrpSpPr/>
      </xdr:nvGrpSpPr>
      <xdr:grpSpPr>
        <a:xfrm>
          <a:off x="5457825" y="558164"/>
          <a:ext cx="257175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80000EE4-03C8-418F-ABAD-51871A48808B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3</xdr:row>
      <xdr:rowOff>9525</xdr:rowOff>
    </xdr:from>
    <xdr:to>
      <xdr:col>6</xdr:col>
      <xdr:colOff>653415</xdr:colOff>
      <xdr:row>4</xdr:row>
      <xdr:rowOff>19050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3F0E1E5-7BE7-4110-A350-6CE85DD59724}"/>
            </a:ext>
          </a:extLst>
        </xdr:cNvPr>
        <xdr:cNvGrpSpPr/>
      </xdr:nvGrpSpPr>
      <xdr:grpSpPr>
        <a:xfrm>
          <a:off x="3444240" y="558165"/>
          <a:ext cx="1962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E29BA3EE-B909-4351-8125-39B29E1D562B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8</xdr:col>
      <xdr:colOff>695325</xdr:colOff>
      <xdr:row>3</xdr:row>
      <xdr:rowOff>9524</xdr:rowOff>
    </xdr:from>
    <xdr:to>
      <xdr:col>9</xdr:col>
      <xdr:colOff>205740</xdr:colOff>
      <xdr:row>4</xdr:row>
      <xdr:rowOff>19049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90A6A993-619A-4469-8841-88CD0B8AEC39}"/>
            </a:ext>
          </a:extLst>
        </xdr:cNvPr>
        <xdr:cNvGrpSpPr/>
      </xdr:nvGrpSpPr>
      <xdr:grpSpPr>
        <a:xfrm>
          <a:off x="5099685" y="558164"/>
          <a:ext cx="257175" cy="192405"/>
          <a:chOff x="0" y="0"/>
          <a:chExt cx="234697" cy="175260"/>
        </a:xfrm>
      </xdr:grpSpPr>
      <xdr:sp macro="" textlink="">
        <xdr:nvSpPr>
          <xdr:cNvPr id="11" name="Shape 112">
            <a:extLst>
              <a:ext uri="{FF2B5EF4-FFF2-40B4-BE49-F238E27FC236}">
                <a16:creationId xmlns:a16="http://schemas.microsoft.com/office/drawing/2014/main" id="{7E5A0AE9-6FB2-4410-A938-785C66A76031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2</xdr:row>
      <xdr:rowOff>9525</xdr:rowOff>
    </xdr:from>
    <xdr:to>
      <xdr:col>7</xdr:col>
      <xdr:colOff>139065</xdr:colOff>
      <xdr:row>3</xdr:row>
      <xdr:rowOff>19050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26BC3A2-5D50-4545-9A2B-A95F5237613E}"/>
            </a:ext>
          </a:extLst>
        </xdr:cNvPr>
        <xdr:cNvGrpSpPr/>
      </xdr:nvGrpSpPr>
      <xdr:grpSpPr>
        <a:xfrm>
          <a:off x="3375660" y="375285"/>
          <a:ext cx="26098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97E404BC-CDD6-4952-886A-A8C0C99FD23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190500</xdr:colOff>
      <xdr:row>2</xdr:row>
      <xdr:rowOff>0</xdr:rowOff>
    </xdr:from>
    <xdr:to>
      <xdr:col>9</xdr:col>
      <xdr:colOff>424815</xdr:colOff>
      <xdr:row>3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FD9C213D-099B-42CA-A919-A13B7E906B08}"/>
            </a:ext>
          </a:extLst>
        </xdr:cNvPr>
        <xdr:cNvGrpSpPr/>
      </xdr:nvGrpSpPr>
      <xdr:grpSpPr>
        <a:xfrm>
          <a:off x="5303520" y="365760"/>
          <a:ext cx="2343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A1E67574-4699-4820-B36A-51F764CCF89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2</xdr:row>
      <xdr:rowOff>180975</xdr:rowOff>
    </xdr:from>
    <xdr:to>
      <xdr:col>5</xdr:col>
      <xdr:colOff>339090</xdr:colOff>
      <xdr:row>4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F287621-4DE2-49CC-A497-17F19A69CE64}"/>
            </a:ext>
          </a:extLst>
        </xdr:cNvPr>
        <xdr:cNvGrpSpPr/>
      </xdr:nvGrpSpPr>
      <xdr:grpSpPr>
        <a:xfrm>
          <a:off x="2933700" y="546735"/>
          <a:ext cx="0" cy="18478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DA444051-4D5B-4875-8F18-BD1E5208F500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7</xdr:col>
      <xdr:colOff>85725</xdr:colOff>
      <xdr:row>3</xdr:row>
      <xdr:rowOff>0</xdr:rowOff>
    </xdr:from>
    <xdr:to>
      <xdr:col>7</xdr:col>
      <xdr:colOff>320040</xdr:colOff>
      <xdr:row>4</xdr:row>
      <xdr:rowOff>9525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4052E02A-1637-4A78-8C92-CA0CC4B466A4}"/>
            </a:ext>
          </a:extLst>
        </xdr:cNvPr>
        <xdr:cNvGrpSpPr/>
      </xdr:nvGrpSpPr>
      <xdr:grpSpPr>
        <a:xfrm>
          <a:off x="3888105" y="548640"/>
          <a:ext cx="234315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A544EC9A-87C2-40EF-AEEB-5E6FD7F5873E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190500</xdr:colOff>
      <xdr:row>3</xdr:row>
      <xdr:rowOff>9524</xdr:rowOff>
    </xdr:from>
    <xdr:to>
      <xdr:col>9</xdr:col>
      <xdr:colOff>424815</xdr:colOff>
      <xdr:row>4</xdr:row>
      <xdr:rowOff>19049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45D5E5F-8292-45EF-84BF-383A92928C29}"/>
            </a:ext>
          </a:extLst>
        </xdr:cNvPr>
        <xdr:cNvGrpSpPr/>
      </xdr:nvGrpSpPr>
      <xdr:grpSpPr>
        <a:xfrm>
          <a:off x="5608320" y="558164"/>
          <a:ext cx="2343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91A44903-FEF0-40BB-A379-FE522CE2E5F6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3</xdr:row>
      <xdr:rowOff>0</xdr:rowOff>
    </xdr:from>
    <xdr:to>
      <xdr:col>7</xdr:col>
      <xdr:colOff>491490</xdr:colOff>
      <xdr:row>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D4991B9C-2186-437A-9CCD-7BBD72836FA1}"/>
            </a:ext>
          </a:extLst>
        </xdr:cNvPr>
        <xdr:cNvGrpSpPr/>
      </xdr:nvGrpSpPr>
      <xdr:grpSpPr>
        <a:xfrm>
          <a:off x="3952875" y="548640"/>
          <a:ext cx="2343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93BCBA7F-B939-4D5F-8E18-A23BBCF3DFA6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238125</xdr:colOff>
      <xdr:row>3</xdr:row>
      <xdr:rowOff>9524</xdr:rowOff>
    </xdr:from>
    <xdr:to>
      <xdr:col>9</xdr:col>
      <xdr:colOff>472440</xdr:colOff>
      <xdr:row>4</xdr:row>
      <xdr:rowOff>19049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30812B50-4C3C-4BEC-982C-E3ECDE5103EB}"/>
            </a:ext>
          </a:extLst>
        </xdr:cNvPr>
        <xdr:cNvGrpSpPr/>
      </xdr:nvGrpSpPr>
      <xdr:grpSpPr>
        <a:xfrm>
          <a:off x="5351145" y="558164"/>
          <a:ext cx="234315" cy="192405"/>
          <a:chOff x="0" y="0"/>
          <a:chExt cx="234697" cy="175260"/>
        </a:xfrm>
      </xdr:grpSpPr>
      <xdr:sp macro="" textlink="">
        <xdr:nvSpPr>
          <xdr:cNvPr id="11" name="Shape 112">
            <a:extLst>
              <a:ext uri="{FF2B5EF4-FFF2-40B4-BE49-F238E27FC236}">
                <a16:creationId xmlns:a16="http://schemas.microsoft.com/office/drawing/2014/main" id="{C8496A8B-C9A1-4CFF-BF0D-CFA0F7A01D3C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</xdr:row>
      <xdr:rowOff>0</xdr:rowOff>
    </xdr:from>
    <xdr:to>
      <xdr:col>7</xdr:col>
      <xdr:colOff>34290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A9ACC5E-B5C9-43CB-97D1-F2A8CE88A006}"/>
            </a:ext>
          </a:extLst>
        </xdr:cNvPr>
        <xdr:cNvGrpSpPr/>
      </xdr:nvGrpSpPr>
      <xdr:grpSpPr>
        <a:xfrm>
          <a:off x="3526155" y="548640"/>
          <a:ext cx="25717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88272877-DC8B-4E4F-B19A-F92F485653E5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9</xdr:col>
      <xdr:colOff>200025</xdr:colOff>
      <xdr:row>3</xdr:row>
      <xdr:rowOff>9524</xdr:rowOff>
    </xdr:from>
    <xdr:to>
      <xdr:col>9</xdr:col>
      <xdr:colOff>434340</xdr:colOff>
      <xdr:row>4</xdr:row>
      <xdr:rowOff>19049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6B5412F-3DB3-4BB0-B171-CB4532CBF582}"/>
            </a:ext>
          </a:extLst>
        </xdr:cNvPr>
        <xdr:cNvGrpSpPr/>
      </xdr:nvGrpSpPr>
      <xdr:grpSpPr>
        <a:xfrm>
          <a:off x="5450205" y="558164"/>
          <a:ext cx="234315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77F2372B-1E06-4A3E-8EB6-20DDC5F391F7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2</xdr:row>
      <xdr:rowOff>180974</xdr:rowOff>
    </xdr:from>
    <xdr:to>
      <xdr:col>9</xdr:col>
      <xdr:colOff>110490</xdr:colOff>
      <xdr:row>3</xdr:row>
      <xdr:rowOff>190499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D547922-34F1-42C5-899C-42212B979B62}"/>
            </a:ext>
          </a:extLst>
        </xdr:cNvPr>
        <xdr:cNvGrpSpPr/>
      </xdr:nvGrpSpPr>
      <xdr:grpSpPr>
        <a:xfrm>
          <a:off x="5179695" y="546734"/>
          <a:ext cx="257175" cy="18478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B2DBD0C1-47F4-4354-B727-53B4983D7375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257175</xdr:colOff>
      <xdr:row>2</xdr:row>
      <xdr:rowOff>190499</xdr:rowOff>
    </xdr:from>
    <xdr:to>
      <xdr:col>6</xdr:col>
      <xdr:colOff>491490</xdr:colOff>
      <xdr:row>4</xdr:row>
      <xdr:rowOff>9524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75639FC-4A87-4E03-94F0-B1A4F25811DC}"/>
            </a:ext>
          </a:extLst>
        </xdr:cNvPr>
        <xdr:cNvGrpSpPr/>
      </xdr:nvGrpSpPr>
      <xdr:grpSpPr>
        <a:xfrm>
          <a:off x="3518535" y="548639"/>
          <a:ext cx="234315" cy="192405"/>
          <a:chOff x="0" y="0"/>
          <a:chExt cx="234697" cy="175260"/>
        </a:xfrm>
      </xdr:grpSpPr>
      <xdr:sp macro="" textlink="">
        <xdr:nvSpPr>
          <xdr:cNvPr id="11" name="Shape 112">
            <a:extLst>
              <a:ext uri="{FF2B5EF4-FFF2-40B4-BE49-F238E27FC236}">
                <a16:creationId xmlns:a16="http://schemas.microsoft.com/office/drawing/2014/main" id="{E6416F69-8559-47E4-8BF8-8F8035C76B99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3</xdr:row>
      <xdr:rowOff>9524</xdr:rowOff>
    </xdr:from>
    <xdr:to>
      <xdr:col>9</xdr:col>
      <xdr:colOff>462915</xdr:colOff>
      <xdr:row>4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1610E7-0454-4466-B0D3-051F23D8C290}"/>
            </a:ext>
          </a:extLst>
        </xdr:cNvPr>
        <xdr:cNvGrpSpPr/>
      </xdr:nvGrpSpPr>
      <xdr:grpSpPr>
        <a:xfrm>
          <a:off x="5570220" y="558164"/>
          <a:ext cx="234315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F5AFBE38-8CC6-4C99-846A-EBE911116D0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571500</xdr:colOff>
      <xdr:row>3</xdr:row>
      <xdr:rowOff>0</xdr:rowOff>
    </xdr:from>
    <xdr:to>
      <xdr:col>6</xdr:col>
      <xdr:colOff>805815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C1209622-9B5A-4B27-9E8D-62E6C254920D}"/>
            </a:ext>
          </a:extLst>
        </xdr:cNvPr>
        <xdr:cNvGrpSpPr/>
      </xdr:nvGrpSpPr>
      <xdr:grpSpPr>
        <a:xfrm>
          <a:off x="3627120" y="54864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577BE351-F5A0-426B-97A9-CE38CD0AFBE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3</xdr:row>
      <xdr:rowOff>9524</xdr:rowOff>
    </xdr:from>
    <xdr:to>
      <xdr:col>9</xdr:col>
      <xdr:colOff>177165</xdr:colOff>
      <xdr:row>4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CDC1DEA-9364-4764-96BC-426554D061E4}"/>
            </a:ext>
          </a:extLst>
        </xdr:cNvPr>
        <xdr:cNvGrpSpPr/>
      </xdr:nvGrpSpPr>
      <xdr:grpSpPr>
        <a:xfrm>
          <a:off x="5833110" y="558164"/>
          <a:ext cx="257175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AD2C4309-1111-4DC8-89B4-2257700F10DF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200025</xdr:colOff>
      <xdr:row>3</xdr:row>
      <xdr:rowOff>0</xdr:rowOff>
    </xdr:from>
    <xdr:to>
      <xdr:col>6</xdr:col>
      <xdr:colOff>434340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8F847088-5762-4C91-8240-ECF954325F27}"/>
            </a:ext>
          </a:extLst>
        </xdr:cNvPr>
        <xdr:cNvGrpSpPr/>
      </xdr:nvGrpSpPr>
      <xdr:grpSpPr>
        <a:xfrm>
          <a:off x="3949065" y="54864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388794B6-04BE-4BC9-9F1B-D50581C6509A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628650</xdr:colOff>
      <xdr:row>3</xdr:row>
      <xdr:rowOff>9524</xdr:rowOff>
    </xdr:from>
    <xdr:to>
      <xdr:col>9</xdr:col>
      <xdr:colOff>139065</xdr:colOff>
      <xdr:row>4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351F773-913C-4E6B-8184-E0F041CFAC53}"/>
            </a:ext>
          </a:extLst>
        </xdr:cNvPr>
        <xdr:cNvGrpSpPr/>
      </xdr:nvGrpSpPr>
      <xdr:grpSpPr>
        <a:xfrm>
          <a:off x="5444786" y="564378"/>
          <a:ext cx="257619" cy="194477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AD7794BC-C5A1-4322-B65B-6B7C0D870C8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7</xdr:col>
      <xdr:colOff>19050</xdr:colOff>
      <xdr:row>3</xdr:row>
      <xdr:rowOff>0</xdr:rowOff>
    </xdr:from>
    <xdr:to>
      <xdr:col>7</xdr:col>
      <xdr:colOff>253365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55B62EE9-472F-4FD4-BB08-2BE4AF41D83E}"/>
            </a:ext>
          </a:extLst>
        </xdr:cNvPr>
        <xdr:cNvGrpSpPr/>
      </xdr:nvGrpSpPr>
      <xdr:grpSpPr>
        <a:xfrm>
          <a:off x="3799458" y="554854"/>
          <a:ext cx="234315" cy="194477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EE12EA5D-4773-4F3F-8B91-8DACE89ED639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2</xdr:row>
      <xdr:rowOff>190499</xdr:rowOff>
    </xdr:from>
    <xdr:to>
      <xdr:col>9</xdr:col>
      <xdr:colOff>462915</xdr:colOff>
      <xdr:row>4</xdr:row>
      <xdr:rowOff>9524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2428849-C724-4B49-AACC-FF5CAEBAA15F}"/>
            </a:ext>
          </a:extLst>
        </xdr:cNvPr>
        <xdr:cNvGrpSpPr/>
      </xdr:nvGrpSpPr>
      <xdr:grpSpPr>
        <a:xfrm>
          <a:off x="5516880" y="548639"/>
          <a:ext cx="234315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B8B2BF78-6F8B-43B6-A5E5-33F2EABFA7CE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7</xdr:col>
      <xdr:colOff>238125</xdr:colOff>
      <xdr:row>3</xdr:row>
      <xdr:rowOff>0</xdr:rowOff>
    </xdr:from>
    <xdr:to>
      <xdr:col>7</xdr:col>
      <xdr:colOff>472440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CAAECFF-471C-4705-A8CB-88FAC22A2344}"/>
            </a:ext>
          </a:extLst>
        </xdr:cNvPr>
        <xdr:cNvGrpSpPr/>
      </xdr:nvGrpSpPr>
      <xdr:grpSpPr>
        <a:xfrm>
          <a:off x="4185285" y="54864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9DC5B0B4-E098-419A-AFF0-F60EA3B154E2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619125</xdr:colOff>
      <xdr:row>3</xdr:row>
      <xdr:rowOff>9524</xdr:rowOff>
    </xdr:from>
    <xdr:to>
      <xdr:col>9</xdr:col>
      <xdr:colOff>129540</xdr:colOff>
      <xdr:row>4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47A0CE1-B6FA-46C4-9070-E6FE91D26EDD}"/>
            </a:ext>
          </a:extLst>
        </xdr:cNvPr>
        <xdr:cNvGrpSpPr/>
      </xdr:nvGrpSpPr>
      <xdr:grpSpPr>
        <a:xfrm>
          <a:off x="5465445" y="558164"/>
          <a:ext cx="257175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3EAA1992-6F45-4AF2-97ED-EE86B62465FF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342900</xdr:colOff>
      <xdr:row>3</xdr:row>
      <xdr:rowOff>0</xdr:rowOff>
    </xdr:from>
    <xdr:to>
      <xdr:col>6</xdr:col>
      <xdr:colOff>577215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B9AC05AC-3439-4893-AA8F-90D31C882737}"/>
            </a:ext>
          </a:extLst>
        </xdr:cNvPr>
        <xdr:cNvGrpSpPr/>
      </xdr:nvGrpSpPr>
      <xdr:grpSpPr>
        <a:xfrm>
          <a:off x="3771900" y="548640"/>
          <a:ext cx="23431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1A410DA7-DCAC-4783-A11C-36D799161EF7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2</xdr:row>
      <xdr:rowOff>190499</xdr:rowOff>
    </xdr:from>
    <xdr:to>
      <xdr:col>9</xdr:col>
      <xdr:colOff>100965</xdr:colOff>
      <xdr:row>4</xdr:row>
      <xdr:rowOff>9524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8819150-2A92-4381-8139-4D5EBCA10BD7}"/>
            </a:ext>
          </a:extLst>
        </xdr:cNvPr>
        <xdr:cNvGrpSpPr/>
      </xdr:nvGrpSpPr>
      <xdr:grpSpPr>
        <a:xfrm>
          <a:off x="5415915" y="548639"/>
          <a:ext cx="247650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52F4983F-864C-4884-8C6B-2CD5BF0E0AA9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438150</xdr:colOff>
      <xdr:row>3</xdr:row>
      <xdr:rowOff>0</xdr:rowOff>
    </xdr:from>
    <xdr:to>
      <xdr:col>6</xdr:col>
      <xdr:colOff>672465</xdr:colOff>
      <xdr:row>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D295134-EDBC-4AF5-9CCE-741A1CF7F4B6}"/>
            </a:ext>
          </a:extLst>
        </xdr:cNvPr>
        <xdr:cNvGrpSpPr/>
      </xdr:nvGrpSpPr>
      <xdr:grpSpPr>
        <a:xfrm>
          <a:off x="3646170" y="548640"/>
          <a:ext cx="23431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0CFA0B7B-4BC0-475D-BF4C-78CD36CF1434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552450</xdr:colOff>
      <xdr:row>2</xdr:row>
      <xdr:rowOff>190499</xdr:rowOff>
    </xdr:from>
    <xdr:to>
      <xdr:col>9</xdr:col>
      <xdr:colOff>205740</xdr:colOff>
      <xdr:row>4</xdr:row>
      <xdr:rowOff>9524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3CEBED0-F2A2-43AB-956B-401533855356}"/>
            </a:ext>
          </a:extLst>
        </xdr:cNvPr>
        <xdr:cNvGrpSpPr/>
      </xdr:nvGrpSpPr>
      <xdr:grpSpPr>
        <a:xfrm>
          <a:off x="5299710" y="548639"/>
          <a:ext cx="247650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A1FF287F-9207-4E53-AE20-82E97E83B4E7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609600</xdr:colOff>
      <xdr:row>3</xdr:row>
      <xdr:rowOff>0</xdr:rowOff>
    </xdr:from>
    <xdr:to>
      <xdr:col>7</xdr:col>
      <xdr:colOff>24765</xdr:colOff>
      <xdr:row>4</xdr:row>
      <xdr:rowOff>9525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17B1130-C9F0-4BED-8DA1-55D65F9EB3F4}"/>
            </a:ext>
          </a:extLst>
        </xdr:cNvPr>
        <xdr:cNvGrpSpPr/>
      </xdr:nvGrpSpPr>
      <xdr:grpSpPr>
        <a:xfrm>
          <a:off x="3489960" y="548640"/>
          <a:ext cx="260985" cy="192405"/>
          <a:chOff x="0" y="0"/>
          <a:chExt cx="234697" cy="175260"/>
        </a:xfrm>
      </xdr:grpSpPr>
      <xdr:sp macro="" textlink="">
        <xdr:nvSpPr>
          <xdr:cNvPr id="9" name="Shape 112">
            <a:extLst>
              <a:ext uri="{FF2B5EF4-FFF2-40B4-BE49-F238E27FC236}">
                <a16:creationId xmlns:a16="http://schemas.microsoft.com/office/drawing/2014/main" id="{59ADE585-92B6-4A24-9644-712EF2E1A33E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523875</xdr:colOff>
      <xdr:row>3</xdr:row>
      <xdr:rowOff>9524</xdr:rowOff>
    </xdr:from>
    <xdr:to>
      <xdr:col>9</xdr:col>
      <xdr:colOff>177165</xdr:colOff>
      <xdr:row>4</xdr:row>
      <xdr:rowOff>19049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3BC656-D90B-4921-9E01-0D5A120A3B75}"/>
            </a:ext>
          </a:extLst>
        </xdr:cNvPr>
        <xdr:cNvGrpSpPr/>
      </xdr:nvGrpSpPr>
      <xdr:grpSpPr>
        <a:xfrm>
          <a:off x="5408295" y="558164"/>
          <a:ext cx="247650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A719CD26-4343-4083-BE56-54B08833FC76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685800</xdr:colOff>
      <xdr:row>3</xdr:row>
      <xdr:rowOff>0</xdr:rowOff>
    </xdr:from>
    <xdr:to>
      <xdr:col>7</xdr:col>
      <xdr:colOff>167640</xdr:colOff>
      <xdr:row>4</xdr:row>
      <xdr:rowOff>9525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69BDAF3-D839-4C9E-B382-D7E27E171BBA}"/>
            </a:ext>
          </a:extLst>
        </xdr:cNvPr>
        <xdr:cNvGrpSpPr/>
      </xdr:nvGrpSpPr>
      <xdr:grpSpPr>
        <a:xfrm>
          <a:off x="3771900" y="548640"/>
          <a:ext cx="259080" cy="192405"/>
          <a:chOff x="0" y="0"/>
          <a:chExt cx="234697" cy="175260"/>
        </a:xfrm>
      </xdr:grpSpPr>
      <xdr:sp macro="" textlink="">
        <xdr:nvSpPr>
          <xdr:cNvPr id="7" name="Shape 112">
            <a:extLst>
              <a:ext uri="{FF2B5EF4-FFF2-40B4-BE49-F238E27FC236}">
                <a16:creationId xmlns:a16="http://schemas.microsoft.com/office/drawing/2014/main" id="{CF888F1F-4AB5-450F-9F2D-482A1CFBF993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504825</xdr:colOff>
      <xdr:row>2</xdr:row>
      <xdr:rowOff>190499</xdr:rowOff>
    </xdr:from>
    <xdr:to>
      <xdr:col>9</xdr:col>
      <xdr:colOff>158115</xdr:colOff>
      <xdr:row>4</xdr:row>
      <xdr:rowOff>9524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CE852537-A656-4626-B93F-9A7858EFFB08}"/>
            </a:ext>
          </a:extLst>
        </xdr:cNvPr>
        <xdr:cNvGrpSpPr/>
      </xdr:nvGrpSpPr>
      <xdr:grpSpPr>
        <a:xfrm>
          <a:off x="5480685" y="548639"/>
          <a:ext cx="247650" cy="192405"/>
          <a:chOff x="0" y="0"/>
          <a:chExt cx="234697" cy="175260"/>
        </a:xfrm>
      </xdr:grpSpPr>
      <xdr:sp macro="" textlink="">
        <xdr:nvSpPr>
          <xdr:cNvPr id="3" name="Shape 112">
            <a:extLst>
              <a:ext uri="{FF2B5EF4-FFF2-40B4-BE49-F238E27FC236}">
                <a16:creationId xmlns:a16="http://schemas.microsoft.com/office/drawing/2014/main" id="{A113816D-5B26-4F7E-839F-F3E606E9BC46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  <xdr:twoCellAnchor>
    <xdr:from>
      <xdr:col>6</xdr:col>
      <xdr:colOff>800100</xdr:colOff>
      <xdr:row>3</xdr:row>
      <xdr:rowOff>0</xdr:rowOff>
    </xdr:from>
    <xdr:to>
      <xdr:col>7</xdr:col>
      <xdr:colOff>139065</xdr:colOff>
      <xdr:row>4</xdr:row>
      <xdr:rowOff>9525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4FB00745-9AE8-4598-8ED8-22372180BDC9}"/>
            </a:ext>
          </a:extLst>
        </xdr:cNvPr>
        <xdr:cNvGrpSpPr/>
      </xdr:nvGrpSpPr>
      <xdr:grpSpPr>
        <a:xfrm>
          <a:off x="3832860" y="548640"/>
          <a:ext cx="260985" cy="192405"/>
          <a:chOff x="0" y="0"/>
          <a:chExt cx="234697" cy="175260"/>
        </a:xfrm>
      </xdr:grpSpPr>
      <xdr:sp macro="" textlink="">
        <xdr:nvSpPr>
          <xdr:cNvPr id="5" name="Shape 112">
            <a:extLst>
              <a:ext uri="{FF2B5EF4-FFF2-40B4-BE49-F238E27FC236}">
                <a16:creationId xmlns:a16="http://schemas.microsoft.com/office/drawing/2014/main" id="{13FAB966-42EE-4ACC-8681-D90EC0BEA4A0}"/>
              </a:ext>
            </a:extLst>
          </xdr:cNvPr>
          <xdr:cNvSpPr/>
        </xdr:nvSpPr>
        <xdr:spPr>
          <a:xfrm>
            <a:off x="0" y="0"/>
            <a:ext cx="234697" cy="175260"/>
          </a:xfrm>
          <a:custGeom>
            <a:avLst/>
            <a:gdLst/>
            <a:ahLst/>
            <a:cxnLst/>
            <a:rect l="0" t="0" r="0" b="0"/>
            <a:pathLst>
              <a:path w="234697" h="175260">
                <a:moveTo>
                  <a:pt x="0" y="0"/>
                </a:moveTo>
                <a:lnTo>
                  <a:pt x="234697" y="0"/>
                </a:lnTo>
                <a:lnTo>
                  <a:pt x="234697" y="175260"/>
                </a:lnTo>
                <a:lnTo>
                  <a:pt x="0" y="175260"/>
                </a:lnTo>
                <a:close/>
              </a:path>
            </a:pathLst>
          </a:custGeom>
          <a:ln w="6096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4BB0-0638-4A4D-9FF9-ABFBF7382304}">
  <sheetPr>
    <tabColor rgb="FF00B0F0"/>
    <pageSetUpPr fitToPage="1"/>
  </sheetPr>
  <dimension ref="B1:R229"/>
  <sheetViews>
    <sheetView topLeftCell="A3" zoomScale="87" zoomScaleNormal="87" workbookViewId="0">
      <selection activeCell="N11" sqref="N11:N221"/>
    </sheetView>
  </sheetViews>
  <sheetFormatPr defaultColWidth="9" defaultRowHeight="13.8" x14ac:dyDescent="0.25"/>
  <cols>
    <col min="1" max="1" width="0.88671875" style="1" customWidth="1"/>
    <col min="2" max="2" width="9.109375" style="1" customWidth="1"/>
    <col min="3" max="3" width="40" style="1" customWidth="1"/>
    <col min="4" max="4" width="5.33203125" style="1" customWidth="1"/>
    <col min="5" max="5" width="5.6640625" style="1" customWidth="1"/>
    <col min="6" max="6" width="6.109375" style="1" hidden="1" customWidth="1"/>
    <col min="7" max="7" width="13.33203125" style="70" hidden="1" customWidth="1"/>
    <col min="8" max="8" width="8.5546875" style="1" customWidth="1"/>
    <col min="9" max="9" width="9" style="1"/>
    <col min="10" max="10" width="8.5546875" style="1" customWidth="1"/>
    <col min="11" max="11" width="9.109375" style="1" customWidth="1"/>
    <col min="12" max="12" width="12" style="1" customWidth="1"/>
    <col min="13" max="13" width="11.5546875" style="1" customWidth="1"/>
    <col min="14" max="14" width="15.109375" style="1" customWidth="1"/>
    <col min="15" max="15" width="13.5546875" style="1" customWidth="1"/>
    <col min="16" max="16" width="12.6640625" style="1" customWidth="1"/>
    <col min="17" max="17" width="9" style="1"/>
    <col min="18" max="18" width="11.44140625" style="1" bestFit="1" customWidth="1"/>
    <col min="19" max="19" width="10" style="1" bestFit="1" customWidth="1"/>
    <col min="20" max="16384" width="9" style="1"/>
  </cols>
  <sheetData>
    <row r="1" spans="2:16" x14ac:dyDescent="0.25">
      <c r="B1" s="199" t="s">
        <v>0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2:16" x14ac:dyDescent="0.25">
      <c r="B2" s="199" t="s">
        <v>1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</row>
    <row r="3" spans="2:16" x14ac:dyDescent="0.25">
      <c r="B3" s="200" t="s">
        <v>50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</row>
    <row r="4" spans="2:16" x14ac:dyDescent="0.25">
      <c r="B4" s="33"/>
      <c r="C4" s="33"/>
      <c r="D4" s="33"/>
      <c r="E4" s="33"/>
      <c r="F4" s="33"/>
      <c r="G4" s="33"/>
      <c r="H4" s="34" t="s">
        <v>2</v>
      </c>
      <c r="I4" s="34"/>
      <c r="J4" s="189" t="s">
        <v>3</v>
      </c>
      <c r="K4" s="189"/>
      <c r="L4" s="33"/>
      <c r="M4" s="33"/>
      <c r="N4" s="33"/>
      <c r="O4" s="33"/>
      <c r="P4" s="33"/>
    </row>
    <row r="5" spans="2:16" x14ac:dyDescent="0.25">
      <c r="B5" s="3" t="s">
        <v>4</v>
      </c>
      <c r="C5" s="2"/>
      <c r="D5" s="2"/>
      <c r="E5" s="2"/>
      <c r="F5" s="2"/>
      <c r="G5" s="62"/>
      <c r="H5" s="2"/>
      <c r="I5" s="2"/>
      <c r="J5" s="2"/>
      <c r="K5" s="2"/>
      <c r="L5" s="2"/>
      <c r="M5" s="2"/>
      <c r="N5" s="2"/>
      <c r="O5" s="2"/>
      <c r="P5" s="2"/>
    </row>
    <row r="6" spans="2:16" ht="10.5" customHeight="1" x14ac:dyDescent="0.25">
      <c r="B6" s="3" t="s">
        <v>5</v>
      </c>
      <c r="C6" s="2"/>
      <c r="D6" s="2"/>
      <c r="E6" s="2"/>
      <c r="F6" s="2"/>
      <c r="G6" s="62"/>
      <c r="H6" s="2"/>
      <c r="I6" s="2"/>
      <c r="J6" s="2"/>
      <c r="K6" s="2"/>
      <c r="L6" s="2"/>
      <c r="M6" s="2"/>
      <c r="N6" s="2"/>
      <c r="O6" s="2"/>
      <c r="P6" s="2"/>
    </row>
    <row r="7" spans="2:16" ht="16.5" customHeight="1" x14ac:dyDescent="0.25">
      <c r="B7" s="201" t="s">
        <v>6</v>
      </c>
      <c r="C7" s="201"/>
      <c r="D7" s="201"/>
      <c r="E7" s="201"/>
      <c r="F7" s="201"/>
      <c r="G7" s="201"/>
      <c r="H7" s="201"/>
      <c r="I7" s="201"/>
      <c r="J7" s="201" t="s">
        <v>7</v>
      </c>
      <c r="K7" s="201"/>
      <c r="L7" s="201"/>
      <c r="M7" s="201" t="s">
        <v>8</v>
      </c>
      <c r="N7" s="201"/>
      <c r="O7" s="201" t="s">
        <v>9</v>
      </c>
      <c r="P7" s="201" t="s">
        <v>10</v>
      </c>
    </row>
    <row r="8" spans="2:16" ht="99" customHeight="1" x14ac:dyDescent="0.25">
      <c r="B8" s="165" t="s">
        <v>11</v>
      </c>
      <c r="C8" s="165" t="s">
        <v>12</v>
      </c>
      <c r="D8" s="202" t="s">
        <v>13</v>
      </c>
      <c r="E8" s="203"/>
      <c r="F8" s="166"/>
      <c r="G8" s="167"/>
      <c r="H8" s="165" t="s">
        <v>14</v>
      </c>
      <c r="I8" s="165" t="s">
        <v>15</v>
      </c>
      <c r="J8" s="165" t="s">
        <v>16</v>
      </c>
      <c r="K8" s="165" t="s">
        <v>17</v>
      </c>
      <c r="L8" s="165" t="s">
        <v>18</v>
      </c>
      <c r="M8" s="165" t="s">
        <v>19</v>
      </c>
      <c r="N8" s="165" t="s">
        <v>20</v>
      </c>
      <c r="O8" s="201"/>
      <c r="P8" s="201"/>
    </row>
    <row r="9" spans="2:16" ht="12.75" customHeight="1" x14ac:dyDescent="0.25">
      <c r="B9" s="172" t="s">
        <v>21</v>
      </c>
      <c r="C9" s="172" t="s">
        <v>22</v>
      </c>
      <c r="D9" s="190" t="s">
        <v>23</v>
      </c>
      <c r="E9" s="191"/>
      <c r="F9" s="173"/>
      <c r="G9" s="174"/>
      <c r="H9" s="172" t="s">
        <v>24</v>
      </c>
      <c r="I9" s="172" t="s">
        <v>25</v>
      </c>
      <c r="J9" s="172" t="s">
        <v>26</v>
      </c>
      <c r="K9" s="172" t="s">
        <v>27</v>
      </c>
      <c r="L9" s="172" t="s">
        <v>28</v>
      </c>
      <c r="M9" s="172" t="s">
        <v>29</v>
      </c>
      <c r="N9" s="172" t="s">
        <v>30</v>
      </c>
      <c r="O9" s="172" t="s">
        <v>31</v>
      </c>
      <c r="P9" s="172" t="s">
        <v>32</v>
      </c>
    </row>
    <row r="10" spans="2:16" s="11" customFormat="1" ht="51" customHeight="1" x14ac:dyDescent="0.3">
      <c r="B10" s="175" t="s">
        <v>33</v>
      </c>
      <c r="C10" s="176" t="s">
        <v>34</v>
      </c>
      <c r="D10" s="192"/>
      <c r="E10" s="193"/>
      <c r="F10" s="177" t="s">
        <v>55</v>
      </c>
      <c r="G10" s="65" t="s">
        <v>56</v>
      </c>
      <c r="H10" s="9" t="s">
        <v>35</v>
      </c>
      <c r="I10" s="56" t="s">
        <v>36</v>
      </c>
      <c r="J10" s="178"/>
      <c r="K10" s="178"/>
      <c r="L10" s="178"/>
      <c r="M10" s="170" t="s">
        <v>37</v>
      </c>
      <c r="N10" s="148">
        <v>2918840</v>
      </c>
      <c r="O10" s="178" t="s">
        <v>38</v>
      </c>
      <c r="P10" s="170" t="s">
        <v>39</v>
      </c>
    </row>
    <row r="11" spans="2:16" s="11" customFormat="1" ht="18" customHeight="1" x14ac:dyDescent="0.3">
      <c r="B11" s="132"/>
      <c r="C11" s="13" t="s">
        <v>426</v>
      </c>
      <c r="D11" s="7">
        <v>200</v>
      </c>
      <c r="E11" s="56" t="s">
        <v>52</v>
      </c>
      <c r="F11" s="56">
        <v>450</v>
      </c>
      <c r="G11" s="102">
        <f>F11*D11</f>
        <v>90000</v>
      </c>
      <c r="H11" s="14"/>
      <c r="I11" s="14"/>
      <c r="J11" s="15" t="s">
        <v>40</v>
      </c>
      <c r="K11" s="181">
        <v>46174</v>
      </c>
      <c r="L11" s="16" t="s">
        <v>41</v>
      </c>
      <c r="M11" s="17"/>
      <c r="N11" s="185">
        <f>G11</f>
        <v>90000</v>
      </c>
      <c r="O11" s="19"/>
      <c r="P11" s="17"/>
    </row>
    <row r="12" spans="2:16" s="11" customFormat="1" ht="18" customHeight="1" x14ac:dyDescent="0.3">
      <c r="B12" s="132"/>
      <c r="C12" s="13" t="s">
        <v>427</v>
      </c>
      <c r="D12" s="7">
        <v>200</v>
      </c>
      <c r="E12" s="56" t="s">
        <v>52</v>
      </c>
      <c r="F12" s="56">
        <v>800</v>
      </c>
      <c r="G12" s="102">
        <f t="shared" ref="G12:G128" si="0">D12*F12</f>
        <v>160000</v>
      </c>
      <c r="H12" s="14"/>
      <c r="I12" s="14"/>
      <c r="J12" s="15"/>
      <c r="K12" s="15"/>
      <c r="L12" s="20" t="s">
        <v>731</v>
      </c>
      <c r="M12" s="17"/>
      <c r="N12" s="185">
        <f t="shared" ref="N12:N75" si="1">G12</f>
        <v>160000</v>
      </c>
      <c r="O12" s="19"/>
      <c r="P12" s="17"/>
    </row>
    <row r="13" spans="2:16" s="11" customFormat="1" ht="18" customHeight="1" x14ac:dyDescent="0.3">
      <c r="B13" s="132"/>
      <c r="C13" s="13" t="s">
        <v>428</v>
      </c>
      <c r="D13" s="7">
        <v>200</v>
      </c>
      <c r="E13" s="56" t="s">
        <v>52</v>
      </c>
      <c r="F13" s="56">
        <v>660</v>
      </c>
      <c r="G13" s="102">
        <f t="shared" si="0"/>
        <v>132000</v>
      </c>
      <c r="H13" s="14"/>
      <c r="I13" s="14"/>
      <c r="J13" s="20"/>
      <c r="K13" s="20"/>
      <c r="L13" s="20"/>
      <c r="M13" s="17"/>
      <c r="N13" s="185">
        <f t="shared" si="1"/>
        <v>132000</v>
      </c>
      <c r="O13" s="19"/>
      <c r="P13" s="17"/>
    </row>
    <row r="14" spans="2:16" s="11" customFormat="1" ht="18" customHeight="1" x14ac:dyDescent="0.3">
      <c r="B14" s="132"/>
      <c r="C14" s="13" t="s">
        <v>429</v>
      </c>
      <c r="D14" s="7">
        <v>200</v>
      </c>
      <c r="E14" s="56" t="s">
        <v>52</v>
      </c>
      <c r="F14" s="56">
        <v>900</v>
      </c>
      <c r="G14" s="102">
        <f t="shared" si="0"/>
        <v>180000</v>
      </c>
      <c r="H14" s="14"/>
      <c r="I14" s="14"/>
      <c r="J14" s="21"/>
      <c r="K14" s="21"/>
      <c r="L14" s="21"/>
      <c r="M14" s="17"/>
      <c r="N14" s="185">
        <f t="shared" si="1"/>
        <v>180000</v>
      </c>
      <c r="O14" s="19"/>
      <c r="P14" s="17"/>
    </row>
    <row r="15" spans="2:16" s="11" customFormat="1" ht="18" customHeight="1" x14ac:dyDescent="0.3">
      <c r="B15" s="132"/>
      <c r="C15" s="13" t="s">
        <v>430</v>
      </c>
      <c r="D15" s="7">
        <v>100</v>
      </c>
      <c r="E15" s="56" t="s">
        <v>52</v>
      </c>
      <c r="F15" s="56">
        <v>1250</v>
      </c>
      <c r="G15" s="102">
        <f t="shared" si="0"/>
        <v>125000</v>
      </c>
      <c r="H15" s="14"/>
      <c r="I15" s="14"/>
      <c r="J15" s="21"/>
      <c r="K15" s="21"/>
      <c r="L15" s="21"/>
      <c r="M15" s="17"/>
      <c r="N15" s="185">
        <f t="shared" si="1"/>
        <v>125000</v>
      </c>
      <c r="O15" s="19"/>
      <c r="P15" s="17"/>
    </row>
    <row r="16" spans="2:16" s="11" customFormat="1" ht="18" customHeight="1" x14ac:dyDescent="0.3">
      <c r="B16" s="132"/>
      <c r="C16" s="13" t="s">
        <v>431</v>
      </c>
      <c r="D16" s="7">
        <v>150</v>
      </c>
      <c r="E16" s="56" t="s">
        <v>52</v>
      </c>
      <c r="F16" s="56">
        <v>750</v>
      </c>
      <c r="G16" s="102">
        <f t="shared" si="0"/>
        <v>112500</v>
      </c>
      <c r="H16" s="14"/>
      <c r="I16" s="14"/>
      <c r="J16" s="21"/>
      <c r="K16" s="21"/>
      <c r="L16" s="21"/>
      <c r="M16" s="17"/>
      <c r="N16" s="185">
        <f t="shared" si="1"/>
        <v>112500</v>
      </c>
      <c r="O16" s="19"/>
      <c r="P16" s="17"/>
    </row>
    <row r="17" spans="2:16" s="11" customFormat="1" ht="18" customHeight="1" x14ac:dyDescent="0.3">
      <c r="B17" s="132"/>
      <c r="C17" s="13" t="s">
        <v>432</v>
      </c>
      <c r="D17" s="7">
        <v>150</v>
      </c>
      <c r="E17" s="56" t="s">
        <v>52</v>
      </c>
      <c r="F17" s="56">
        <v>450</v>
      </c>
      <c r="G17" s="102">
        <f t="shared" si="0"/>
        <v>67500</v>
      </c>
      <c r="H17" s="14"/>
      <c r="I17" s="14"/>
      <c r="J17" s="21"/>
      <c r="K17" s="21"/>
      <c r="L17" s="21"/>
      <c r="M17" s="17"/>
      <c r="N17" s="185">
        <f t="shared" si="1"/>
        <v>67500</v>
      </c>
      <c r="O17" s="19"/>
      <c r="P17" s="17"/>
    </row>
    <row r="18" spans="2:16" s="11" customFormat="1" ht="18" customHeight="1" x14ac:dyDescent="0.3">
      <c r="B18" s="132"/>
      <c r="C18" s="13" t="s">
        <v>433</v>
      </c>
      <c r="D18" s="7">
        <v>100</v>
      </c>
      <c r="E18" s="56" t="s">
        <v>52</v>
      </c>
      <c r="F18" s="56">
        <v>1750</v>
      </c>
      <c r="G18" s="102">
        <f t="shared" si="0"/>
        <v>175000</v>
      </c>
      <c r="H18" s="14"/>
      <c r="I18" s="14"/>
      <c r="J18" s="21"/>
      <c r="K18" s="21"/>
      <c r="L18" s="21"/>
      <c r="M18" s="17"/>
      <c r="N18" s="185">
        <f t="shared" si="1"/>
        <v>175000</v>
      </c>
      <c r="O18" s="19"/>
      <c r="P18" s="17"/>
    </row>
    <row r="19" spans="2:16" s="11" customFormat="1" ht="18" customHeight="1" x14ac:dyDescent="0.3">
      <c r="B19" s="132"/>
      <c r="C19" s="13" t="s">
        <v>434</v>
      </c>
      <c r="D19" s="7">
        <v>10</v>
      </c>
      <c r="E19" s="56" t="s">
        <v>435</v>
      </c>
      <c r="F19" s="56">
        <v>445</v>
      </c>
      <c r="G19" s="102">
        <f t="shared" si="0"/>
        <v>4450</v>
      </c>
      <c r="H19" s="14"/>
      <c r="I19" s="14"/>
      <c r="J19" s="21"/>
      <c r="K19" s="21"/>
      <c r="L19" s="21"/>
      <c r="M19" s="17"/>
      <c r="N19" s="185">
        <f t="shared" si="1"/>
        <v>4450</v>
      </c>
      <c r="O19" s="19"/>
      <c r="P19" s="17"/>
    </row>
    <row r="20" spans="2:16" s="11" customFormat="1" ht="18" customHeight="1" x14ac:dyDescent="0.3">
      <c r="B20" s="132"/>
      <c r="C20" s="13" t="s">
        <v>436</v>
      </c>
      <c r="D20" s="7">
        <v>10</v>
      </c>
      <c r="E20" s="56" t="s">
        <v>437</v>
      </c>
      <c r="F20" s="56">
        <v>250</v>
      </c>
      <c r="G20" s="102">
        <f t="shared" si="0"/>
        <v>2500</v>
      </c>
      <c r="H20" s="14"/>
      <c r="I20" s="14"/>
      <c r="J20" s="21"/>
      <c r="K20" s="21"/>
      <c r="L20" s="21"/>
      <c r="M20" s="17"/>
      <c r="N20" s="185">
        <f t="shared" si="1"/>
        <v>2500</v>
      </c>
      <c r="O20" s="19"/>
      <c r="P20" s="17"/>
    </row>
    <row r="21" spans="2:16" s="11" customFormat="1" ht="18" customHeight="1" x14ac:dyDescent="0.3">
      <c r="B21" s="132"/>
      <c r="C21" s="13" t="s">
        <v>438</v>
      </c>
      <c r="D21" s="7">
        <v>25</v>
      </c>
      <c r="E21" s="56" t="s">
        <v>439</v>
      </c>
      <c r="F21" s="56">
        <v>130</v>
      </c>
      <c r="G21" s="102">
        <f t="shared" si="0"/>
        <v>3250</v>
      </c>
      <c r="H21" s="14"/>
      <c r="I21" s="14"/>
      <c r="J21" s="21"/>
      <c r="K21" s="21"/>
      <c r="L21" s="21"/>
      <c r="M21" s="17"/>
      <c r="N21" s="185">
        <f t="shared" si="1"/>
        <v>3250</v>
      </c>
      <c r="O21" s="19"/>
      <c r="P21" s="17"/>
    </row>
    <row r="22" spans="2:16" s="11" customFormat="1" ht="18" customHeight="1" x14ac:dyDescent="0.3">
      <c r="B22" s="132"/>
      <c r="C22" s="13" t="s">
        <v>440</v>
      </c>
      <c r="D22" s="7">
        <v>25</v>
      </c>
      <c r="E22" s="56" t="s">
        <v>52</v>
      </c>
      <c r="F22" s="56">
        <v>400</v>
      </c>
      <c r="G22" s="102">
        <f t="shared" si="0"/>
        <v>10000</v>
      </c>
      <c r="H22" s="14"/>
      <c r="I22" s="14"/>
      <c r="J22" s="21"/>
      <c r="K22" s="21"/>
      <c r="L22" s="21"/>
      <c r="M22" s="17"/>
      <c r="N22" s="185">
        <f t="shared" si="1"/>
        <v>10000</v>
      </c>
      <c r="O22" s="19"/>
      <c r="P22" s="17"/>
    </row>
    <row r="23" spans="2:16" s="11" customFormat="1" ht="18" customHeight="1" x14ac:dyDescent="0.3">
      <c r="B23" s="132"/>
      <c r="C23" s="13" t="s">
        <v>441</v>
      </c>
      <c r="D23" s="7">
        <v>180</v>
      </c>
      <c r="E23" s="56" t="s">
        <v>442</v>
      </c>
      <c r="F23" s="56">
        <v>38.44</v>
      </c>
      <c r="G23" s="102">
        <f t="shared" si="0"/>
        <v>6919.2</v>
      </c>
      <c r="H23" s="14"/>
      <c r="I23" s="14"/>
      <c r="J23" s="21"/>
      <c r="K23" s="21"/>
      <c r="L23" s="21"/>
      <c r="M23" s="17"/>
      <c r="N23" s="185">
        <f t="shared" si="1"/>
        <v>6919.2</v>
      </c>
      <c r="O23" s="19"/>
      <c r="P23" s="17"/>
    </row>
    <row r="24" spans="2:16" s="78" customFormat="1" ht="18" customHeight="1" x14ac:dyDescent="0.3">
      <c r="B24" s="132"/>
      <c r="C24" s="71" t="s">
        <v>443</v>
      </c>
      <c r="D24" s="72">
        <v>120</v>
      </c>
      <c r="E24" s="73" t="s">
        <v>444</v>
      </c>
      <c r="F24" s="73">
        <v>35</v>
      </c>
      <c r="G24" s="138">
        <f t="shared" si="0"/>
        <v>4200</v>
      </c>
      <c r="H24" s="74"/>
      <c r="I24" s="74"/>
      <c r="J24" s="75"/>
      <c r="K24" s="75"/>
      <c r="L24" s="75"/>
      <c r="M24" s="76"/>
      <c r="N24" s="185">
        <f t="shared" si="1"/>
        <v>4200</v>
      </c>
      <c r="O24" s="77"/>
      <c r="P24" s="76"/>
    </row>
    <row r="25" spans="2:16" s="78" customFormat="1" ht="18" customHeight="1" x14ac:dyDescent="0.3">
      <c r="B25" s="132"/>
      <c r="C25" s="71" t="s">
        <v>445</v>
      </c>
      <c r="D25" s="72">
        <v>10</v>
      </c>
      <c r="E25" s="73" t="s">
        <v>52</v>
      </c>
      <c r="F25" s="73">
        <v>1000</v>
      </c>
      <c r="G25" s="138">
        <f t="shared" si="0"/>
        <v>10000</v>
      </c>
      <c r="H25" s="74"/>
      <c r="I25" s="74"/>
      <c r="J25" s="75"/>
      <c r="K25" s="75"/>
      <c r="L25" s="75"/>
      <c r="M25" s="76"/>
      <c r="N25" s="185">
        <f t="shared" si="1"/>
        <v>10000</v>
      </c>
      <c r="O25" s="77"/>
      <c r="P25" s="76"/>
    </row>
    <row r="26" spans="2:16" s="78" customFormat="1" ht="18" customHeight="1" x14ac:dyDescent="0.3">
      <c r="B26" s="132"/>
      <c r="C26" s="71" t="s">
        <v>446</v>
      </c>
      <c r="D26" s="72">
        <v>20</v>
      </c>
      <c r="E26" s="73" t="s">
        <v>52</v>
      </c>
      <c r="F26" s="73">
        <v>750</v>
      </c>
      <c r="G26" s="138">
        <f t="shared" si="0"/>
        <v>15000</v>
      </c>
      <c r="H26" s="74"/>
      <c r="I26" s="74"/>
      <c r="J26" s="75"/>
      <c r="K26" s="75"/>
      <c r="L26" s="75"/>
      <c r="M26" s="76"/>
      <c r="N26" s="185">
        <f t="shared" si="1"/>
        <v>15000</v>
      </c>
      <c r="O26" s="77"/>
      <c r="P26" s="76"/>
    </row>
    <row r="27" spans="2:16" s="11" customFormat="1" ht="18" customHeight="1" x14ac:dyDescent="0.3">
      <c r="B27" s="132"/>
      <c r="C27" s="13" t="s">
        <v>447</v>
      </c>
      <c r="D27" s="7">
        <v>21</v>
      </c>
      <c r="E27" s="56" t="s">
        <v>442</v>
      </c>
      <c r="F27" s="56">
        <v>21.73</v>
      </c>
      <c r="G27" s="102">
        <f t="shared" si="0"/>
        <v>456.33</v>
      </c>
      <c r="H27" s="14"/>
      <c r="I27" s="14"/>
      <c r="J27" s="21"/>
      <c r="K27" s="21"/>
      <c r="L27" s="21"/>
      <c r="M27" s="17"/>
      <c r="N27" s="185">
        <f t="shared" si="1"/>
        <v>456.33</v>
      </c>
      <c r="O27" s="19"/>
      <c r="P27" s="17"/>
    </row>
    <row r="28" spans="2:16" s="11" customFormat="1" ht="18" customHeight="1" x14ac:dyDescent="0.3">
      <c r="B28" s="132"/>
      <c r="C28" s="13" t="s">
        <v>448</v>
      </c>
      <c r="D28" s="7">
        <v>10</v>
      </c>
      <c r="E28" s="56" t="s">
        <v>442</v>
      </c>
      <c r="F28" s="56">
        <v>140</v>
      </c>
      <c r="G28" s="102">
        <f t="shared" si="0"/>
        <v>1400</v>
      </c>
      <c r="H28" s="14"/>
      <c r="I28" s="14"/>
      <c r="J28" s="21"/>
      <c r="K28" s="21"/>
      <c r="L28" s="21"/>
      <c r="M28" s="17"/>
      <c r="N28" s="185">
        <f t="shared" si="1"/>
        <v>1400</v>
      </c>
      <c r="O28" s="19"/>
      <c r="P28" s="17"/>
    </row>
    <row r="29" spans="2:16" s="11" customFormat="1" ht="18" customHeight="1" x14ac:dyDescent="0.3">
      <c r="B29" s="132"/>
      <c r="C29" s="13" t="s">
        <v>449</v>
      </c>
      <c r="D29" s="7">
        <v>9</v>
      </c>
      <c r="E29" s="56" t="s">
        <v>442</v>
      </c>
      <c r="F29" s="56">
        <v>35.5</v>
      </c>
      <c r="G29" s="102">
        <f t="shared" si="0"/>
        <v>319.5</v>
      </c>
      <c r="H29" s="14"/>
      <c r="I29" s="14"/>
      <c r="J29" s="21"/>
      <c r="K29" s="21"/>
      <c r="L29" s="21"/>
      <c r="M29" s="17"/>
      <c r="N29" s="185">
        <f t="shared" si="1"/>
        <v>319.5</v>
      </c>
      <c r="O29" s="19"/>
      <c r="P29" s="17"/>
    </row>
    <row r="30" spans="2:16" s="11" customFormat="1" ht="18" customHeight="1" x14ac:dyDescent="0.3">
      <c r="B30" s="132"/>
      <c r="C30" s="13" t="s">
        <v>450</v>
      </c>
      <c r="D30" s="7">
        <v>150</v>
      </c>
      <c r="E30" s="56" t="s">
        <v>435</v>
      </c>
      <c r="F30" s="56">
        <v>150</v>
      </c>
      <c r="G30" s="102">
        <f t="shared" si="0"/>
        <v>22500</v>
      </c>
      <c r="H30" s="14"/>
      <c r="I30" s="14"/>
      <c r="J30" s="21"/>
      <c r="K30" s="21"/>
      <c r="L30" s="21"/>
      <c r="M30" s="17"/>
      <c r="N30" s="185">
        <f t="shared" si="1"/>
        <v>22500</v>
      </c>
      <c r="O30" s="19"/>
      <c r="P30" s="17"/>
    </row>
    <row r="31" spans="2:16" s="11" customFormat="1" ht="18" customHeight="1" x14ac:dyDescent="0.3">
      <c r="B31" s="132"/>
      <c r="C31" s="13" t="s">
        <v>451</v>
      </c>
      <c r="D31" s="7">
        <v>600</v>
      </c>
      <c r="E31" s="56" t="s">
        <v>435</v>
      </c>
      <c r="F31" s="56">
        <v>12.03</v>
      </c>
      <c r="G31" s="102">
        <f t="shared" si="0"/>
        <v>7218</v>
      </c>
      <c r="H31" s="14"/>
      <c r="I31" s="14"/>
      <c r="J31" s="21"/>
      <c r="K31" s="21"/>
      <c r="L31" s="21"/>
      <c r="M31" s="17"/>
      <c r="N31" s="185">
        <f t="shared" si="1"/>
        <v>7218</v>
      </c>
      <c r="O31" s="19"/>
      <c r="P31" s="17"/>
    </row>
    <row r="32" spans="2:16" s="11" customFormat="1" ht="18" customHeight="1" x14ac:dyDescent="0.3">
      <c r="B32" s="132"/>
      <c r="C32" s="13" t="s">
        <v>452</v>
      </c>
      <c r="D32" s="7">
        <v>400</v>
      </c>
      <c r="E32" s="56" t="s">
        <v>435</v>
      </c>
      <c r="F32" s="56">
        <v>12.09</v>
      </c>
      <c r="G32" s="102">
        <f t="shared" si="0"/>
        <v>4836</v>
      </c>
      <c r="H32" s="14"/>
      <c r="I32" s="14"/>
      <c r="J32" s="21"/>
      <c r="K32" s="21"/>
      <c r="L32" s="21"/>
      <c r="M32" s="17"/>
      <c r="N32" s="185">
        <f t="shared" si="1"/>
        <v>4836</v>
      </c>
      <c r="O32" s="19"/>
      <c r="P32" s="17"/>
    </row>
    <row r="33" spans="2:16" s="61" customFormat="1" ht="18" customHeight="1" x14ac:dyDescent="0.3">
      <c r="B33" s="132"/>
      <c r="C33" s="13" t="s">
        <v>453</v>
      </c>
      <c r="D33" s="7">
        <v>10</v>
      </c>
      <c r="E33" s="56" t="s">
        <v>435</v>
      </c>
      <c r="F33" s="56">
        <v>1200</v>
      </c>
      <c r="G33" s="102">
        <f t="shared" si="0"/>
        <v>12000</v>
      </c>
      <c r="H33" s="57"/>
      <c r="I33" s="57"/>
      <c r="J33" s="58"/>
      <c r="K33" s="58"/>
      <c r="L33" s="58"/>
      <c r="M33" s="59"/>
      <c r="N33" s="185">
        <f t="shared" si="1"/>
        <v>12000</v>
      </c>
      <c r="O33" s="60"/>
      <c r="P33" s="59"/>
    </row>
    <row r="34" spans="2:16" s="11" customFormat="1" ht="18" customHeight="1" x14ac:dyDescent="0.3">
      <c r="B34" s="132"/>
      <c r="C34" s="13" t="s">
        <v>454</v>
      </c>
      <c r="D34" s="7">
        <v>4</v>
      </c>
      <c r="E34" s="56" t="s">
        <v>52</v>
      </c>
      <c r="F34" s="56">
        <v>350</v>
      </c>
      <c r="G34" s="102">
        <f t="shared" si="0"/>
        <v>1400</v>
      </c>
      <c r="H34" s="14"/>
      <c r="I34" s="14"/>
      <c r="J34" s="21"/>
      <c r="K34" s="21"/>
      <c r="L34" s="21"/>
      <c r="M34" s="17"/>
      <c r="N34" s="185">
        <f t="shared" si="1"/>
        <v>1400</v>
      </c>
      <c r="O34" s="19"/>
      <c r="P34" s="17"/>
    </row>
    <row r="35" spans="2:16" s="11" customFormat="1" ht="18" customHeight="1" x14ac:dyDescent="0.3">
      <c r="B35" s="132"/>
      <c r="C35" s="13" t="s">
        <v>455</v>
      </c>
      <c r="D35" s="22">
        <v>50</v>
      </c>
      <c r="E35" s="56" t="s">
        <v>444</v>
      </c>
      <c r="F35" s="56">
        <v>25</v>
      </c>
      <c r="G35" s="102">
        <f t="shared" si="0"/>
        <v>1250</v>
      </c>
      <c r="H35" s="14"/>
      <c r="I35" s="14"/>
      <c r="J35" s="21"/>
      <c r="K35" s="21"/>
      <c r="L35" s="21"/>
      <c r="M35" s="17"/>
      <c r="N35" s="185">
        <f t="shared" si="1"/>
        <v>1250</v>
      </c>
      <c r="O35" s="19"/>
      <c r="P35" s="17"/>
    </row>
    <row r="36" spans="2:16" s="11" customFormat="1" ht="18" customHeight="1" x14ac:dyDescent="0.3">
      <c r="B36" s="132"/>
      <c r="C36" s="13" t="s">
        <v>456</v>
      </c>
      <c r="D36" s="7">
        <v>80</v>
      </c>
      <c r="E36" s="56" t="s">
        <v>444</v>
      </c>
      <c r="F36" s="56">
        <v>200</v>
      </c>
      <c r="G36" s="102">
        <f t="shared" si="0"/>
        <v>16000</v>
      </c>
      <c r="H36" s="14"/>
      <c r="I36" s="14"/>
      <c r="J36" s="21"/>
      <c r="K36" s="21"/>
      <c r="L36" s="21"/>
      <c r="M36" s="17"/>
      <c r="N36" s="185">
        <f t="shared" si="1"/>
        <v>16000</v>
      </c>
      <c r="O36" s="19"/>
      <c r="P36" s="17"/>
    </row>
    <row r="37" spans="2:16" s="78" customFormat="1" ht="18" customHeight="1" x14ac:dyDescent="0.3">
      <c r="B37" s="132"/>
      <c r="C37" s="71" t="s">
        <v>457</v>
      </c>
      <c r="D37" s="72">
        <v>70</v>
      </c>
      <c r="E37" s="73" t="s">
        <v>444</v>
      </c>
      <c r="F37" s="73">
        <v>240</v>
      </c>
      <c r="G37" s="138">
        <f t="shared" si="0"/>
        <v>16800</v>
      </c>
      <c r="H37" s="74"/>
      <c r="I37" s="74"/>
      <c r="J37" s="75"/>
      <c r="K37" s="75"/>
      <c r="L37" s="75"/>
      <c r="M37" s="76"/>
      <c r="N37" s="185">
        <f t="shared" si="1"/>
        <v>16800</v>
      </c>
      <c r="O37" s="77"/>
      <c r="P37" s="76"/>
    </row>
    <row r="38" spans="2:16" s="78" customFormat="1" ht="18" customHeight="1" x14ac:dyDescent="0.3">
      <c r="B38" s="132"/>
      <c r="C38" s="71" t="s">
        <v>458</v>
      </c>
      <c r="D38" s="72">
        <v>80</v>
      </c>
      <c r="E38" s="73" t="s">
        <v>444</v>
      </c>
      <c r="F38" s="73">
        <v>200</v>
      </c>
      <c r="G38" s="138">
        <f t="shared" si="0"/>
        <v>16000</v>
      </c>
      <c r="H38" s="74"/>
      <c r="I38" s="74"/>
      <c r="J38" s="75"/>
      <c r="K38" s="75"/>
      <c r="L38" s="75"/>
      <c r="M38" s="76"/>
      <c r="N38" s="185">
        <f t="shared" si="1"/>
        <v>16000</v>
      </c>
      <c r="O38" s="77"/>
      <c r="P38" s="76"/>
    </row>
    <row r="39" spans="2:16" s="11" customFormat="1" ht="18" customHeight="1" x14ac:dyDescent="0.3">
      <c r="B39" s="132"/>
      <c r="C39" s="13" t="s">
        <v>459</v>
      </c>
      <c r="D39" s="7">
        <v>20</v>
      </c>
      <c r="E39" s="56" t="s">
        <v>442</v>
      </c>
      <c r="F39" s="56">
        <v>88</v>
      </c>
      <c r="G39" s="102">
        <f t="shared" si="0"/>
        <v>1760</v>
      </c>
      <c r="H39" s="14"/>
      <c r="I39" s="14"/>
      <c r="J39" s="21"/>
      <c r="K39" s="21"/>
      <c r="L39" s="21"/>
      <c r="M39" s="17"/>
      <c r="N39" s="185">
        <f t="shared" si="1"/>
        <v>1760</v>
      </c>
      <c r="O39" s="19"/>
      <c r="P39" s="17"/>
    </row>
    <row r="40" spans="2:16" s="11" customFormat="1" ht="18" customHeight="1" x14ac:dyDescent="0.3">
      <c r="B40" s="132"/>
      <c r="C40" s="13" t="s">
        <v>460</v>
      </c>
      <c r="D40" s="7">
        <v>100</v>
      </c>
      <c r="E40" s="56" t="s">
        <v>444</v>
      </c>
      <c r="F40" s="56">
        <v>45</v>
      </c>
      <c r="G40" s="102">
        <f t="shared" si="0"/>
        <v>4500</v>
      </c>
      <c r="H40" s="14"/>
      <c r="I40" s="14"/>
      <c r="J40" s="21"/>
      <c r="K40" s="21"/>
      <c r="L40" s="21"/>
      <c r="M40" s="17"/>
      <c r="N40" s="185">
        <f t="shared" si="1"/>
        <v>4500</v>
      </c>
      <c r="O40" s="19"/>
      <c r="P40" s="17"/>
    </row>
    <row r="41" spans="2:16" s="11" customFormat="1" ht="18" customHeight="1" x14ac:dyDescent="0.3">
      <c r="B41" s="132"/>
      <c r="C41" s="13" t="s">
        <v>461</v>
      </c>
      <c r="D41" s="7">
        <v>80</v>
      </c>
      <c r="E41" s="56" t="s">
        <v>52</v>
      </c>
      <c r="F41" s="56">
        <v>40</v>
      </c>
      <c r="G41" s="102">
        <f t="shared" si="0"/>
        <v>3200</v>
      </c>
      <c r="H41" s="14"/>
      <c r="I41" s="14"/>
      <c r="J41" s="21"/>
      <c r="K41" s="21"/>
      <c r="L41" s="21"/>
      <c r="M41" s="17"/>
      <c r="N41" s="185">
        <f t="shared" si="1"/>
        <v>3200</v>
      </c>
      <c r="O41" s="19"/>
      <c r="P41" s="17"/>
    </row>
    <row r="42" spans="2:16" s="78" customFormat="1" ht="18" customHeight="1" x14ac:dyDescent="0.3">
      <c r="B42" s="132"/>
      <c r="C42" s="71" t="s">
        <v>462</v>
      </c>
      <c r="D42" s="72">
        <v>180</v>
      </c>
      <c r="E42" s="56" t="s">
        <v>52</v>
      </c>
      <c r="F42" s="73">
        <v>47.22</v>
      </c>
      <c r="G42" s="138">
        <f t="shared" si="0"/>
        <v>8499.6</v>
      </c>
      <c r="H42" s="74"/>
      <c r="I42" s="74"/>
      <c r="J42" s="75"/>
      <c r="K42" s="75"/>
      <c r="L42" s="75"/>
      <c r="M42" s="76"/>
      <c r="N42" s="185">
        <f t="shared" si="1"/>
        <v>8499.6</v>
      </c>
      <c r="O42" s="77"/>
      <c r="P42" s="76"/>
    </row>
    <row r="43" spans="2:16" s="78" customFormat="1" ht="18" customHeight="1" x14ac:dyDescent="0.3">
      <c r="B43" s="132"/>
      <c r="C43" s="71" t="s">
        <v>463</v>
      </c>
      <c r="D43" s="72">
        <v>100</v>
      </c>
      <c r="E43" s="56" t="s">
        <v>435</v>
      </c>
      <c r="F43" s="73">
        <v>38</v>
      </c>
      <c r="G43" s="138">
        <f t="shared" si="0"/>
        <v>3800</v>
      </c>
      <c r="H43" s="74"/>
      <c r="I43" s="74"/>
      <c r="J43" s="75"/>
      <c r="K43" s="75"/>
      <c r="L43" s="75"/>
      <c r="M43" s="76"/>
      <c r="N43" s="185">
        <f t="shared" si="1"/>
        <v>3800</v>
      </c>
      <c r="O43" s="77"/>
      <c r="P43" s="76"/>
    </row>
    <row r="44" spans="2:16" s="78" customFormat="1" ht="18" customHeight="1" x14ac:dyDescent="0.3">
      <c r="B44" s="132"/>
      <c r="C44" s="71" t="s">
        <v>464</v>
      </c>
      <c r="D44" s="72">
        <v>60</v>
      </c>
      <c r="E44" s="56" t="s">
        <v>435</v>
      </c>
      <c r="F44" s="73">
        <v>220</v>
      </c>
      <c r="G44" s="138">
        <f t="shared" si="0"/>
        <v>13200</v>
      </c>
      <c r="H44" s="74"/>
      <c r="I44" s="74"/>
      <c r="J44" s="75"/>
      <c r="K44" s="75"/>
      <c r="L44" s="75"/>
      <c r="M44" s="76"/>
      <c r="N44" s="185">
        <f t="shared" si="1"/>
        <v>13200</v>
      </c>
      <c r="O44" s="77"/>
      <c r="P44" s="76"/>
    </row>
    <row r="45" spans="2:16" s="78" customFormat="1" ht="18" customHeight="1" x14ac:dyDescent="0.3">
      <c r="B45" s="132"/>
      <c r="C45" s="71" t="s">
        <v>465</v>
      </c>
      <c r="D45" s="72">
        <v>10</v>
      </c>
      <c r="E45" s="56" t="s">
        <v>52</v>
      </c>
      <c r="F45" s="73">
        <v>205</v>
      </c>
      <c r="G45" s="138">
        <f t="shared" si="0"/>
        <v>2050</v>
      </c>
      <c r="H45" s="74"/>
      <c r="I45" s="74"/>
      <c r="J45" s="75"/>
      <c r="K45" s="75"/>
      <c r="L45" s="75"/>
      <c r="M45" s="76"/>
      <c r="N45" s="185">
        <f t="shared" si="1"/>
        <v>2050</v>
      </c>
      <c r="O45" s="77"/>
      <c r="P45" s="76"/>
    </row>
    <row r="46" spans="2:16" s="78" customFormat="1" ht="18" customHeight="1" x14ac:dyDescent="0.3">
      <c r="B46" s="132"/>
      <c r="C46" s="71" t="s">
        <v>466</v>
      </c>
      <c r="D46" s="72">
        <v>30</v>
      </c>
      <c r="E46" s="56" t="s">
        <v>467</v>
      </c>
      <c r="F46" s="73">
        <v>39.44</v>
      </c>
      <c r="G46" s="138">
        <f t="shared" si="0"/>
        <v>1183.1999999999998</v>
      </c>
      <c r="H46" s="74"/>
      <c r="I46" s="74"/>
      <c r="J46" s="75"/>
      <c r="K46" s="75"/>
      <c r="L46" s="75"/>
      <c r="M46" s="76"/>
      <c r="N46" s="185">
        <f t="shared" si="1"/>
        <v>1183.1999999999998</v>
      </c>
      <c r="O46" s="77"/>
      <c r="P46" s="76"/>
    </row>
    <row r="47" spans="2:16" s="78" customFormat="1" ht="18" customHeight="1" x14ac:dyDescent="0.3">
      <c r="B47" s="132"/>
      <c r="C47" s="71" t="s">
        <v>468</v>
      </c>
      <c r="D47" s="72">
        <v>30</v>
      </c>
      <c r="E47" s="56" t="s">
        <v>467</v>
      </c>
      <c r="F47" s="73">
        <v>65</v>
      </c>
      <c r="G47" s="138">
        <f t="shared" si="0"/>
        <v>1950</v>
      </c>
      <c r="H47" s="74"/>
      <c r="I47" s="74"/>
      <c r="J47" s="75"/>
      <c r="K47" s="75"/>
      <c r="L47" s="75"/>
      <c r="M47" s="76"/>
      <c r="N47" s="185">
        <f t="shared" si="1"/>
        <v>1950</v>
      </c>
      <c r="O47" s="77"/>
      <c r="P47" s="76"/>
    </row>
    <row r="48" spans="2:16" s="78" customFormat="1" ht="18" customHeight="1" x14ac:dyDescent="0.3">
      <c r="B48" s="132"/>
      <c r="C48" s="71" t="s">
        <v>469</v>
      </c>
      <c r="D48" s="72">
        <v>38</v>
      </c>
      <c r="E48" s="56" t="s">
        <v>439</v>
      </c>
      <c r="F48" s="73">
        <v>2.48</v>
      </c>
      <c r="G48" s="138">
        <f t="shared" si="0"/>
        <v>94.24</v>
      </c>
      <c r="H48" s="74"/>
      <c r="I48" s="74"/>
      <c r="J48" s="75"/>
      <c r="K48" s="75"/>
      <c r="L48" s="75"/>
      <c r="M48" s="76"/>
      <c r="N48" s="185">
        <f t="shared" si="1"/>
        <v>94.24</v>
      </c>
      <c r="O48" s="77"/>
      <c r="P48" s="76"/>
    </row>
    <row r="49" spans="2:16" s="78" customFormat="1" ht="18" customHeight="1" x14ac:dyDescent="0.3">
      <c r="B49" s="132"/>
      <c r="C49" s="71" t="s">
        <v>470</v>
      </c>
      <c r="D49" s="72">
        <v>10</v>
      </c>
      <c r="E49" s="56" t="s">
        <v>444</v>
      </c>
      <c r="F49" s="73">
        <v>13.14</v>
      </c>
      <c r="G49" s="138">
        <f t="shared" si="0"/>
        <v>131.4</v>
      </c>
      <c r="H49" s="74"/>
      <c r="I49" s="74"/>
      <c r="J49" s="75"/>
      <c r="K49" s="75"/>
      <c r="L49" s="75"/>
      <c r="M49" s="76"/>
      <c r="N49" s="185">
        <f t="shared" si="1"/>
        <v>131.4</v>
      </c>
      <c r="O49" s="77"/>
      <c r="P49" s="76"/>
    </row>
    <row r="50" spans="2:16" s="78" customFormat="1" ht="18" customHeight="1" x14ac:dyDescent="0.3">
      <c r="B50" s="132"/>
      <c r="C50" s="71" t="s">
        <v>471</v>
      </c>
      <c r="D50" s="72">
        <v>50</v>
      </c>
      <c r="E50" s="56" t="s">
        <v>472</v>
      </c>
      <c r="F50" s="73">
        <v>60</v>
      </c>
      <c r="G50" s="138">
        <f t="shared" si="0"/>
        <v>3000</v>
      </c>
      <c r="H50" s="74"/>
      <c r="I50" s="74"/>
      <c r="J50" s="75"/>
      <c r="K50" s="75"/>
      <c r="L50" s="75"/>
      <c r="M50" s="76"/>
      <c r="N50" s="185">
        <f t="shared" si="1"/>
        <v>3000</v>
      </c>
      <c r="O50" s="77"/>
      <c r="P50" s="76"/>
    </row>
    <row r="51" spans="2:16" s="78" customFormat="1" ht="18" customHeight="1" x14ac:dyDescent="0.3">
      <c r="B51" s="132"/>
      <c r="C51" s="71" t="s">
        <v>473</v>
      </c>
      <c r="D51" s="72">
        <v>30</v>
      </c>
      <c r="E51" s="56" t="s">
        <v>442</v>
      </c>
      <c r="F51" s="73">
        <v>120</v>
      </c>
      <c r="G51" s="138">
        <f t="shared" si="0"/>
        <v>3600</v>
      </c>
      <c r="H51" s="74"/>
      <c r="I51" s="74"/>
      <c r="J51" s="75"/>
      <c r="K51" s="75"/>
      <c r="L51" s="75"/>
      <c r="M51" s="76"/>
      <c r="N51" s="185">
        <f t="shared" si="1"/>
        <v>3600</v>
      </c>
      <c r="O51" s="77"/>
      <c r="P51" s="76"/>
    </row>
    <row r="52" spans="2:16" s="78" customFormat="1" ht="18" customHeight="1" x14ac:dyDescent="0.3">
      <c r="B52" s="132"/>
      <c r="C52" s="71" t="s">
        <v>474</v>
      </c>
      <c r="D52" s="72">
        <v>40</v>
      </c>
      <c r="E52" s="56" t="s">
        <v>442</v>
      </c>
      <c r="F52" s="73">
        <v>285</v>
      </c>
      <c r="G52" s="138">
        <f t="shared" si="0"/>
        <v>11400</v>
      </c>
      <c r="H52" s="74"/>
      <c r="I52" s="74"/>
      <c r="J52" s="75"/>
      <c r="K52" s="75"/>
      <c r="L52" s="75"/>
      <c r="M52" s="76"/>
      <c r="N52" s="185">
        <f t="shared" si="1"/>
        <v>11400</v>
      </c>
      <c r="O52" s="77"/>
      <c r="P52" s="76"/>
    </row>
    <row r="53" spans="2:16" s="78" customFormat="1" ht="18" customHeight="1" x14ac:dyDescent="0.3">
      <c r="B53" s="132"/>
      <c r="C53" s="71" t="s">
        <v>475</v>
      </c>
      <c r="D53" s="72">
        <v>100</v>
      </c>
      <c r="E53" s="56" t="s">
        <v>442</v>
      </c>
      <c r="F53" s="73">
        <v>27.5</v>
      </c>
      <c r="G53" s="138">
        <f t="shared" si="0"/>
        <v>2750</v>
      </c>
      <c r="H53" s="74"/>
      <c r="I53" s="74"/>
      <c r="J53" s="75"/>
      <c r="K53" s="75"/>
      <c r="L53" s="75"/>
      <c r="M53" s="76"/>
      <c r="N53" s="185">
        <f t="shared" si="1"/>
        <v>2750</v>
      </c>
      <c r="O53" s="77"/>
      <c r="P53" s="76"/>
    </row>
    <row r="54" spans="2:16" s="78" customFormat="1" ht="18" customHeight="1" x14ac:dyDescent="0.3">
      <c r="B54" s="132"/>
      <c r="C54" s="71" t="s">
        <v>476</v>
      </c>
      <c r="D54" s="72">
        <v>100</v>
      </c>
      <c r="E54" s="56" t="s">
        <v>442</v>
      </c>
      <c r="F54" s="73">
        <v>50</v>
      </c>
      <c r="G54" s="138">
        <f t="shared" si="0"/>
        <v>5000</v>
      </c>
      <c r="H54" s="74"/>
      <c r="I54" s="74"/>
      <c r="J54" s="75"/>
      <c r="K54" s="75"/>
      <c r="L54" s="75"/>
      <c r="M54" s="76"/>
      <c r="N54" s="185">
        <f t="shared" si="1"/>
        <v>5000</v>
      </c>
      <c r="O54" s="77"/>
      <c r="P54" s="76"/>
    </row>
    <row r="55" spans="2:16" s="78" customFormat="1" ht="18" customHeight="1" x14ac:dyDescent="0.3">
      <c r="B55" s="132"/>
      <c r="C55" s="71" t="s">
        <v>477</v>
      </c>
      <c r="D55" s="72">
        <v>22</v>
      </c>
      <c r="E55" s="56" t="s">
        <v>52</v>
      </c>
      <c r="F55" s="73">
        <v>40.799999999999997</v>
      </c>
      <c r="G55" s="138">
        <f t="shared" si="0"/>
        <v>897.59999999999991</v>
      </c>
      <c r="H55" s="74"/>
      <c r="I55" s="74"/>
      <c r="J55" s="75"/>
      <c r="K55" s="75"/>
      <c r="L55" s="75"/>
      <c r="M55" s="76"/>
      <c r="N55" s="185">
        <f t="shared" si="1"/>
        <v>897.59999999999991</v>
      </c>
      <c r="O55" s="77"/>
      <c r="P55" s="76"/>
    </row>
    <row r="56" spans="2:16" s="78" customFormat="1" ht="18" customHeight="1" x14ac:dyDescent="0.3">
      <c r="B56" s="132"/>
      <c r="C56" s="71" t="s">
        <v>478</v>
      </c>
      <c r="D56" s="72">
        <v>150</v>
      </c>
      <c r="E56" s="56" t="s">
        <v>442</v>
      </c>
      <c r="F56" s="73">
        <v>41.5</v>
      </c>
      <c r="G56" s="138">
        <f t="shared" si="0"/>
        <v>6225</v>
      </c>
      <c r="H56" s="74"/>
      <c r="I56" s="74"/>
      <c r="J56" s="75"/>
      <c r="K56" s="75"/>
      <c r="L56" s="75"/>
      <c r="M56" s="76"/>
      <c r="N56" s="185">
        <f t="shared" si="1"/>
        <v>6225</v>
      </c>
      <c r="O56" s="77"/>
      <c r="P56" s="76"/>
    </row>
    <row r="57" spans="2:16" s="78" customFormat="1" ht="18" customHeight="1" x14ac:dyDescent="0.3">
      <c r="B57" s="132"/>
      <c r="C57" s="71" t="s">
        <v>479</v>
      </c>
      <c r="D57" s="72">
        <v>53</v>
      </c>
      <c r="E57" s="56" t="s">
        <v>52</v>
      </c>
      <c r="F57" s="73">
        <v>3.61</v>
      </c>
      <c r="G57" s="138">
        <f t="shared" si="0"/>
        <v>191.32999999999998</v>
      </c>
      <c r="H57" s="74"/>
      <c r="I57" s="74"/>
      <c r="J57" s="75"/>
      <c r="K57" s="75"/>
      <c r="L57" s="75"/>
      <c r="M57" s="76"/>
      <c r="N57" s="185">
        <f t="shared" si="1"/>
        <v>191.32999999999998</v>
      </c>
      <c r="O57" s="77"/>
      <c r="P57" s="76"/>
    </row>
    <row r="58" spans="2:16" s="78" customFormat="1" ht="18" customHeight="1" x14ac:dyDescent="0.3">
      <c r="B58" s="132"/>
      <c r="C58" s="71" t="s">
        <v>480</v>
      </c>
      <c r="D58" s="72">
        <v>300</v>
      </c>
      <c r="E58" s="56" t="s">
        <v>435</v>
      </c>
      <c r="F58" s="73">
        <v>19.649999999999999</v>
      </c>
      <c r="G58" s="138">
        <f t="shared" si="0"/>
        <v>5895</v>
      </c>
      <c r="H58" s="74"/>
      <c r="I58" s="74"/>
      <c r="J58" s="75"/>
      <c r="K58" s="75"/>
      <c r="L58" s="75"/>
      <c r="M58" s="76"/>
      <c r="N58" s="185">
        <f t="shared" si="1"/>
        <v>5895</v>
      </c>
      <c r="O58" s="77"/>
      <c r="P58" s="76"/>
    </row>
    <row r="59" spans="2:16" s="78" customFormat="1" ht="18" customHeight="1" x14ac:dyDescent="0.3">
      <c r="B59" s="132"/>
      <c r="C59" s="71" t="s">
        <v>481</v>
      </c>
      <c r="D59" s="72">
        <v>20</v>
      </c>
      <c r="E59" s="56" t="s">
        <v>442</v>
      </c>
      <c r="F59" s="73">
        <v>150</v>
      </c>
      <c r="G59" s="138">
        <f t="shared" si="0"/>
        <v>3000</v>
      </c>
      <c r="H59" s="74"/>
      <c r="I59" s="74"/>
      <c r="J59" s="75"/>
      <c r="K59" s="75"/>
      <c r="L59" s="75"/>
      <c r="M59" s="76"/>
      <c r="N59" s="185">
        <f t="shared" si="1"/>
        <v>3000</v>
      </c>
      <c r="O59" s="77"/>
      <c r="P59" s="76"/>
    </row>
    <row r="60" spans="2:16" s="78" customFormat="1" ht="18" customHeight="1" x14ac:dyDescent="0.3">
      <c r="B60" s="132"/>
      <c r="C60" s="71" t="s">
        <v>482</v>
      </c>
      <c r="D60" s="72">
        <v>100</v>
      </c>
      <c r="E60" s="56" t="s">
        <v>483</v>
      </c>
      <c r="F60" s="73">
        <v>21</v>
      </c>
      <c r="G60" s="138">
        <f t="shared" si="0"/>
        <v>2100</v>
      </c>
      <c r="H60" s="74"/>
      <c r="I60" s="74"/>
      <c r="J60" s="75"/>
      <c r="K60" s="75"/>
      <c r="L60" s="75"/>
      <c r="M60" s="76"/>
      <c r="N60" s="185">
        <f t="shared" si="1"/>
        <v>2100</v>
      </c>
      <c r="O60" s="77"/>
      <c r="P60" s="76"/>
    </row>
    <row r="61" spans="2:16" s="78" customFormat="1" ht="18" customHeight="1" x14ac:dyDescent="0.3">
      <c r="B61" s="132"/>
      <c r="C61" s="71" t="s">
        <v>484</v>
      </c>
      <c r="D61" s="72">
        <v>400</v>
      </c>
      <c r="E61" s="56" t="s">
        <v>435</v>
      </c>
      <c r="F61" s="73">
        <v>15</v>
      </c>
      <c r="G61" s="138">
        <f t="shared" si="0"/>
        <v>6000</v>
      </c>
      <c r="H61" s="74"/>
      <c r="I61" s="74"/>
      <c r="J61" s="75"/>
      <c r="K61" s="75"/>
      <c r="L61" s="75"/>
      <c r="M61" s="76"/>
      <c r="N61" s="185">
        <f t="shared" si="1"/>
        <v>6000</v>
      </c>
      <c r="O61" s="77"/>
      <c r="P61" s="76"/>
    </row>
    <row r="62" spans="2:16" s="78" customFormat="1" ht="18" customHeight="1" x14ac:dyDescent="0.3">
      <c r="B62" s="132"/>
      <c r="C62" s="71" t="s">
        <v>485</v>
      </c>
      <c r="D62" s="72">
        <v>50</v>
      </c>
      <c r="E62" s="56" t="s">
        <v>442</v>
      </c>
      <c r="F62" s="73">
        <v>125</v>
      </c>
      <c r="G62" s="138">
        <f t="shared" si="0"/>
        <v>6250</v>
      </c>
      <c r="H62" s="74"/>
      <c r="I62" s="74"/>
      <c r="J62" s="75"/>
      <c r="K62" s="75"/>
      <c r="L62" s="75"/>
      <c r="M62" s="76"/>
      <c r="N62" s="185">
        <f t="shared" si="1"/>
        <v>6250</v>
      </c>
      <c r="O62" s="77"/>
      <c r="P62" s="76"/>
    </row>
    <row r="63" spans="2:16" s="78" customFormat="1" ht="18" customHeight="1" x14ac:dyDescent="0.3">
      <c r="B63" s="132"/>
      <c r="C63" s="71" t="s">
        <v>486</v>
      </c>
      <c r="D63" s="72">
        <v>50</v>
      </c>
      <c r="E63" s="56" t="s">
        <v>442</v>
      </c>
      <c r="F63" s="73">
        <v>130</v>
      </c>
      <c r="G63" s="138">
        <f t="shared" si="0"/>
        <v>6500</v>
      </c>
      <c r="H63" s="74"/>
      <c r="I63" s="74"/>
      <c r="J63" s="75"/>
      <c r="K63" s="75"/>
      <c r="L63" s="75"/>
      <c r="M63" s="76"/>
      <c r="N63" s="185">
        <f t="shared" si="1"/>
        <v>6500</v>
      </c>
      <c r="O63" s="77"/>
      <c r="P63" s="76"/>
    </row>
    <row r="64" spans="2:16" s="78" customFormat="1" ht="18" customHeight="1" x14ac:dyDescent="0.3">
      <c r="B64" s="132"/>
      <c r="C64" s="71" t="s">
        <v>487</v>
      </c>
      <c r="D64" s="72">
        <v>20</v>
      </c>
      <c r="E64" s="56" t="s">
        <v>52</v>
      </c>
      <c r="F64" s="73">
        <v>360</v>
      </c>
      <c r="G64" s="138">
        <f t="shared" si="0"/>
        <v>7200</v>
      </c>
      <c r="H64" s="74"/>
      <c r="I64" s="74"/>
      <c r="J64" s="75"/>
      <c r="K64" s="75"/>
      <c r="L64" s="75"/>
      <c r="M64" s="76"/>
      <c r="N64" s="185">
        <f t="shared" si="1"/>
        <v>7200</v>
      </c>
      <c r="O64" s="77"/>
      <c r="P64" s="76"/>
    </row>
    <row r="65" spans="2:16" s="78" customFormat="1" ht="18" customHeight="1" x14ac:dyDescent="0.3">
      <c r="B65" s="132"/>
      <c r="C65" s="71" t="s">
        <v>488</v>
      </c>
      <c r="D65" s="72">
        <v>500</v>
      </c>
      <c r="E65" s="56" t="s">
        <v>435</v>
      </c>
      <c r="F65" s="73">
        <v>18.89</v>
      </c>
      <c r="G65" s="138">
        <f t="shared" si="0"/>
        <v>9445</v>
      </c>
      <c r="H65" s="74"/>
      <c r="I65" s="74"/>
      <c r="J65" s="75"/>
      <c r="K65" s="75"/>
      <c r="L65" s="75"/>
      <c r="M65" s="76"/>
      <c r="N65" s="185">
        <f t="shared" si="1"/>
        <v>9445</v>
      </c>
      <c r="O65" s="77"/>
      <c r="P65" s="76"/>
    </row>
    <row r="66" spans="2:16" s="78" customFormat="1" ht="18" customHeight="1" x14ac:dyDescent="0.3">
      <c r="B66" s="132"/>
      <c r="C66" s="71" t="s">
        <v>489</v>
      </c>
      <c r="D66" s="72">
        <v>10</v>
      </c>
      <c r="E66" s="56" t="s">
        <v>52</v>
      </c>
      <c r="F66" s="73">
        <v>630</v>
      </c>
      <c r="G66" s="138">
        <f t="shared" si="0"/>
        <v>6300</v>
      </c>
      <c r="H66" s="74"/>
      <c r="I66" s="74"/>
      <c r="J66" s="75"/>
      <c r="K66" s="75"/>
      <c r="L66" s="75"/>
      <c r="M66" s="76"/>
      <c r="N66" s="185">
        <f t="shared" si="1"/>
        <v>6300</v>
      </c>
      <c r="O66" s="77"/>
      <c r="P66" s="76"/>
    </row>
    <row r="67" spans="2:16" s="78" customFormat="1" ht="18" customHeight="1" x14ac:dyDescent="0.3">
      <c r="B67" s="132"/>
      <c r="C67" s="71" t="s">
        <v>490</v>
      </c>
      <c r="D67" s="72">
        <v>50</v>
      </c>
      <c r="E67" s="56" t="s">
        <v>52</v>
      </c>
      <c r="F67" s="73">
        <v>100</v>
      </c>
      <c r="G67" s="138">
        <f t="shared" si="0"/>
        <v>5000</v>
      </c>
      <c r="H67" s="74"/>
      <c r="I67" s="74"/>
      <c r="J67" s="75"/>
      <c r="K67" s="75"/>
      <c r="L67" s="75"/>
      <c r="M67" s="76"/>
      <c r="N67" s="185">
        <f t="shared" si="1"/>
        <v>5000</v>
      </c>
      <c r="O67" s="77"/>
      <c r="P67" s="76"/>
    </row>
    <row r="68" spans="2:16" s="78" customFormat="1" ht="18" customHeight="1" x14ac:dyDescent="0.3">
      <c r="B68" s="132"/>
      <c r="C68" s="71" t="s">
        <v>491</v>
      </c>
      <c r="D68" s="72">
        <v>100</v>
      </c>
      <c r="E68" s="56" t="s">
        <v>442</v>
      </c>
      <c r="F68" s="73">
        <v>36.67</v>
      </c>
      <c r="G68" s="138">
        <f t="shared" si="0"/>
        <v>3667</v>
      </c>
      <c r="H68" s="74"/>
      <c r="I68" s="74"/>
      <c r="J68" s="75"/>
      <c r="K68" s="75"/>
      <c r="L68" s="75"/>
      <c r="M68" s="76"/>
      <c r="N68" s="185">
        <f t="shared" si="1"/>
        <v>3667</v>
      </c>
      <c r="O68" s="77"/>
      <c r="P68" s="76"/>
    </row>
    <row r="69" spans="2:16" s="78" customFormat="1" ht="18" customHeight="1" x14ac:dyDescent="0.3">
      <c r="B69" s="132"/>
      <c r="C69" s="71" t="s">
        <v>492</v>
      </c>
      <c r="D69" s="72">
        <v>150</v>
      </c>
      <c r="E69" s="56" t="s">
        <v>442</v>
      </c>
      <c r="F69" s="73">
        <v>54</v>
      </c>
      <c r="G69" s="138">
        <f t="shared" si="0"/>
        <v>8100</v>
      </c>
      <c r="H69" s="74"/>
      <c r="I69" s="74"/>
      <c r="J69" s="75"/>
      <c r="K69" s="75"/>
      <c r="L69" s="75"/>
      <c r="M69" s="76"/>
      <c r="N69" s="185">
        <f t="shared" si="1"/>
        <v>8100</v>
      </c>
      <c r="O69" s="77"/>
      <c r="P69" s="76"/>
    </row>
    <row r="70" spans="2:16" s="78" customFormat="1" ht="18" customHeight="1" x14ac:dyDescent="0.3">
      <c r="B70" s="132"/>
      <c r="C70" s="71" t="s">
        <v>493</v>
      </c>
      <c r="D70" s="72">
        <v>50</v>
      </c>
      <c r="E70" s="56" t="s">
        <v>435</v>
      </c>
      <c r="F70" s="73">
        <v>42.32</v>
      </c>
      <c r="G70" s="138">
        <f t="shared" si="0"/>
        <v>2116</v>
      </c>
      <c r="H70" s="74"/>
      <c r="I70" s="74"/>
      <c r="J70" s="75"/>
      <c r="K70" s="75"/>
      <c r="L70" s="75"/>
      <c r="M70" s="76"/>
      <c r="N70" s="185">
        <f t="shared" si="1"/>
        <v>2116</v>
      </c>
      <c r="O70" s="77"/>
      <c r="P70" s="76"/>
    </row>
    <row r="71" spans="2:16" s="78" customFormat="1" ht="18" customHeight="1" x14ac:dyDescent="0.3">
      <c r="B71" s="132"/>
      <c r="C71" s="71" t="s">
        <v>494</v>
      </c>
      <c r="D71" s="72">
        <v>2</v>
      </c>
      <c r="E71" s="56" t="s">
        <v>52</v>
      </c>
      <c r="F71" s="73">
        <v>200</v>
      </c>
      <c r="G71" s="138">
        <f t="shared" si="0"/>
        <v>400</v>
      </c>
      <c r="H71" s="74"/>
      <c r="I71" s="74"/>
      <c r="J71" s="75"/>
      <c r="K71" s="75"/>
      <c r="L71" s="75"/>
      <c r="M71" s="76"/>
      <c r="N71" s="185">
        <f t="shared" si="1"/>
        <v>400</v>
      </c>
      <c r="O71" s="77"/>
      <c r="P71" s="76"/>
    </row>
    <row r="72" spans="2:16" s="78" customFormat="1" ht="18" customHeight="1" x14ac:dyDescent="0.3">
      <c r="B72" s="132"/>
      <c r="C72" s="71" t="s">
        <v>495</v>
      </c>
      <c r="D72" s="72">
        <v>15</v>
      </c>
      <c r="E72" s="56" t="s">
        <v>435</v>
      </c>
      <c r="F72" s="73">
        <v>400</v>
      </c>
      <c r="G72" s="138">
        <f t="shared" si="0"/>
        <v>6000</v>
      </c>
      <c r="H72" s="74"/>
      <c r="I72" s="74"/>
      <c r="J72" s="75"/>
      <c r="K72" s="75"/>
      <c r="L72" s="75"/>
      <c r="M72" s="76"/>
      <c r="N72" s="185">
        <f t="shared" si="1"/>
        <v>6000</v>
      </c>
      <c r="O72" s="77"/>
      <c r="P72" s="76"/>
    </row>
    <row r="73" spans="2:16" s="78" customFormat="1" ht="18" customHeight="1" x14ac:dyDescent="0.3">
      <c r="B73" s="132"/>
      <c r="C73" s="71" t="s">
        <v>496</v>
      </c>
      <c r="D73" s="72">
        <v>5</v>
      </c>
      <c r="E73" s="56" t="s">
        <v>52</v>
      </c>
      <c r="F73" s="73">
        <v>600</v>
      </c>
      <c r="G73" s="138">
        <f t="shared" si="0"/>
        <v>3000</v>
      </c>
      <c r="H73" s="74"/>
      <c r="I73" s="74"/>
      <c r="J73" s="75"/>
      <c r="K73" s="75"/>
      <c r="L73" s="75"/>
      <c r="M73" s="76"/>
      <c r="N73" s="185">
        <f t="shared" si="1"/>
        <v>3000</v>
      </c>
      <c r="O73" s="77"/>
      <c r="P73" s="76"/>
    </row>
    <row r="74" spans="2:16" s="78" customFormat="1" ht="18" customHeight="1" x14ac:dyDescent="0.3">
      <c r="B74" s="132"/>
      <c r="C74" s="71" t="s">
        <v>497</v>
      </c>
      <c r="D74" s="72">
        <v>50</v>
      </c>
      <c r="E74" s="56" t="s">
        <v>444</v>
      </c>
      <c r="F74" s="73">
        <v>35</v>
      </c>
      <c r="G74" s="138">
        <f t="shared" si="0"/>
        <v>1750</v>
      </c>
      <c r="H74" s="74"/>
      <c r="I74" s="74"/>
      <c r="J74" s="75"/>
      <c r="K74" s="75"/>
      <c r="L74" s="75"/>
      <c r="M74" s="76"/>
      <c r="N74" s="185">
        <f t="shared" si="1"/>
        <v>1750</v>
      </c>
      <c r="O74" s="77"/>
      <c r="P74" s="76"/>
    </row>
    <row r="75" spans="2:16" s="78" customFormat="1" ht="18" customHeight="1" x14ac:dyDescent="0.3">
      <c r="B75" s="132"/>
      <c r="C75" s="71" t="s">
        <v>498</v>
      </c>
      <c r="D75" s="72">
        <v>30</v>
      </c>
      <c r="E75" s="56" t="s">
        <v>442</v>
      </c>
      <c r="F75" s="73">
        <v>120</v>
      </c>
      <c r="G75" s="138">
        <f t="shared" si="0"/>
        <v>3600</v>
      </c>
      <c r="H75" s="74"/>
      <c r="I75" s="74"/>
      <c r="J75" s="75"/>
      <c r="K75" s="75"/>
      <c r="L75" s="75"/>
      <c r="M75" s="76"/>
      <c r="N75" s="185">
        <f t="shared" si="1"/>
        <v>3600</v>
      </c>
      <c r="O75" s="77"/>
      <c r="P75" s="76"/>
    </row>
    <row r="76" spans="2:16" s="78" customFormat="1" ht="18" customHeight="1" x14ac:dyDescent="0.3">
      <c r="B76" s="132"/>
      <c r="C76" s="71" t="s">
        <v>499</v>
      </c>
      <c r="D76" s="72">
        <v>10</v>
      </c>
      <c r="E76" s="56" t="s">
        <v>52</v>
      </c>
      <c r="F76" s="73">
        <v>300</v>
      </c>
      <c r="G76" s="138">
        <f t="shared" si="0"/>
        <v>3000</v>
      </c>
      <c r="H76" s="74"/>
      <c r="I76" s="74"/>
      <c r="J76" s="75"/>
      <c r="K76" s="75"/>
      <c r="L76" s="75"/>
      <c r="M76" s="76"/>
      <c r="N76" s="185">
        <f t="shared" ref="N76:N139" si="2">G76</f>
        <v>3000</v>
      </c>
      <c r="O76" s="77"/>
      <c r="P76" s="76"/>
    </row>
    <row r="77" spans="2:16" s="78" customFormat="1" ht="18" customHeight="1" x14ac:dyDescent="0.3">
      <c r="B77" s="132"/>
      <c r="C77" s="71" t="s">
        <v>500</v>
      </c>
      <c r="D77" s="72">
        <v>20</v>
      </c>
      <c r="E77" s="56" t="s">
        <v>442</v>
      </c>
      <c r="F77" s="73">
        <v>126.5</v>
      </c>
      <c r="G77" s="138">
        <f t="shared" si="0"/>
        <v>2530</v>
      </c>
      <c r="H77" s="74"/>
      <c r="I77" s="74"/>
      <c r="J77" s="75"/>
      <c r="K77" s="75"/>
      <c r="L77" s="75"/>
      <c r="M77" s="76"/>
      <c r="N77" s="185">
        <f t="shared" si="2"/>
        <v>2530</v>
      </c>
      <c r="O77" s="77"/>
      <c r="P77" s="76"/>
    </row>
    <row r="78" spans="2:16" s="78" customFormat="1" ht="18" customHeight="1" x14ac:dyDescent="0.3">
      <c r="B78" s="132"/>
      <c r="C78" s="71" t="s">
        <v>501</v>
      </c>
      <c r="D78" s="72">
        <v>20</v>
      </c>
      <c r="E78" s="56" t="s">
        <v>439</v>
      </c>
      <c r="F78" s="73">
        <v>380</v>
      </c>
      <c r="G78" s="138">
        <f t="shared" si="0"/>
        <v>7600</v>
      </c>
      <c r="H78" s="74"/>
      <c r="I78" s="74"/>
      <c r="J78" s="75"/>
      <c r="K78" s="75"/>
      <c r="L78" s="75"/>
      <c r="M78" s="76"/>
      <c r="N78" s="185">
        <f t="shared" si="2"/>
        <v>7600</v>
      </c>
      <c r="O78" s="77"/>
      <c r="P78" s="76"/>
    </row>
    <row r="79" spans="2:16" s="78" customFormat="1" ht="18" customHeight="1" x14ac:dyDescent="0.3">
      <c r="B79" s="132"/>
      <c r="C79" s="71" t="s">
        <v>502</v>
      </c>
      <c r="D79" s="72">
        <v>10</v>
      </c>
      <c r="E79" s="56" t="s">
        <v>52</v>
      </c>
      <c r="F79" s="73">
        <v>600</v>
      </c>
      <c r="G79" s="138">
        <f t="shared" si="0"/>
        <v>6000</v>
      </c>
      <c r="H79" s="74"/>
      <c r="I79" s="74"/>
      <c r="J79" s="75"/>
      <c r="K79" s="75"/>
      <c r="L79" s="75"/>
      <c r="M79" s="76"/>
      <c r="N79" s="185">
        <f t="shared" si="2"/>
        <v>6000</v>
      </c>
      <c r="O79" s="77"/>
      <c r="P79" s="76"/>
    </row>
    <row r="80" spans="2:16" s="78" customFormat="1" ht="18" customHeight="1" x14ac:dyDescent="0.3">
      <c r="B80" s="132"/>
      <c r="C80" s="71" t="s">
        <v>503</v>
      </c>
      <c r="D80" s="72">
        <v>10</v>
      </c>
      <c r="E80" s="56" t="s">
        <v>442</v>
      </c>
      <c r="F80" s="73">
        <v>164.5</v>
      </c>
      <c r="G80" s="138">
        <f t="shared" si="0"/>
        <v>1645</v>
      </c>
      <c r="H80" s="74"/>
      <c r="I80" s="74"/>
      <c r="J80" s="75"/>
      <c r="K80" s="75"/>
      <c r="L80" s="75"/>
      <c r="M80" s="76"/>
      <c r="N80" s="185">
        <f t="shared" si="2"/>
        <v>1645</v>
      </c>
      <c r="O80" s="77"/>
      <c r="P80" s="76"/>
    </row>
    <row r="81" spans="2:16" s="78" customFormat="1" ht="18" customHeight="1" x14ac:dyDescent="0.3">
      <c r="B81" s="132"/>
      <c r="C81" s="71" t="s">
        <v>504</v>
      </c>
      <c r="D81" s="72">
        <v>10</v>
      </c>
      <c r="E81" s="56" t="s">
        <v>442</v>
      </c>
      <c r="F81" s="73">
        <v>406.43</v>
      </c>
      <c r="G81" s="138">
        <f t="shared" si="0"/>
        <v>4064.3</v>
      </c>
      <c r="H81" s="74"/>
      <c r="I81" s="74"/>
      <c r="J81" s="75"/>
      <c r="K81" s="75"/>
      <c r="L81" s="75"/>
      <c r="M81" s="76"/>
      <c r="N81" s="185">
        <f t="shared" si="2"/>
        <v>4064.3</v>
      </c>
      <c r="O81" s="77"/>
      <c r="P81" s="76"/>
    </row>
    <row r="82" spans="2:16" s="78" customFormat="1" ht="18" customHeight="1" x14ac:dyDescent="0.3">
      <c r="B82" s="132"/>
      <c r="C82" s="71" t="s">
        <v>505</v>
      </c>
      <c r="D82" s="72">
        <v>100</v>
      </c>
      <c r="E82" s="56" t="s">
        <v>483</v>
      </c>
      <c r="F82" s="73">
        <v>14.95</v>
      </c>
      <c r="G82" s="138">
        <f t="shared" si="0"/>
        <v>1495</v>
      </c>
      <c r="H82" s="74"/>
      <c r="I82" s="74"/>
      <c r="J82" s="75"/>
      <c r="K82" s="75"/>
      <c r="L82" s="75"/>
      <c r="M82" s="76"/>
      <c r="N82" s="185">
        <f t="shared" si="2"/>
        <v>1495</v>
      </c>
      <c r="O82" s="77"/>
      <c r="P82" s="76"/>
    </row>
    <row r="83" spans="2:16" s="78" customFormat="1" ht="18" customHeight="1" x14ac:dyDescent="0.3">
      <c r="B83" s="132"/>
      <c r="C83" s="71" t="s">
        <v>506</v>
      </c>
      <c r="D83" s="72">
        <v>4</v>
      </c>
      <c r="E83" s="56" t="s">
        <v>52</v>
      </c>
      <c r="F83" s="73">
        <v>280</v>
      </c>
      <c r="G83" s="138">
        <f t="shared" si="0"/>
        <v>1120</v>
      </c>
      <c r="H83" s="74"/>
      <c r="I83" s="74"/>
      <c r="J83" s="75"/>
      <c r="K83" s="75"/>
      <c r="L83" s="75"/>
      <c r="M83" s="76"/>
      <c r="N83" s="185">
        <f t="shared" si="2"/>
        <v>1120</v>
      </c>
      <c r="O83" s="77"/>
      <c r="P83" s="76"/>
    </row>
    <row r="84" spans="2:16" s="78" customFormat="1" ht="18" customHeight="1" x14ac:dyDescent="0.3">
      <c r="B84" s="132"/>
      <c r="C84" s="71" t="s">
        <v>507</v>
      </c>
      <c r="D84" s="72">
        <v>5</v>
      </c>
      <c r="E84" s="56" t="s">
        <v>52</v>
      </c>
      <c r="F84" s="73">
        <v>320</v>
      </c>
      <c r="G84" s="138">
        <f t="shared" si="0"/>
        <v>1600</v>
      </c>
      <c r="H84" s="74"/>
      <c r="I84" s="74"/>
      <c r="J84" s="75"/>
      <c r="K84" s="75"/>
      <c r="L84" s="75"/>
      <c r="M84" s="76"/>
      <c r="N84" s="185">
        <f t="shared" si="2"/>
        <v>1600</v>
      </c>
      <c r="O84" s="77"/>
      <c r="P84" s="76"/>
    </row>
    <row r="85" spans="2:16" s="78" customFormat="1" ht="18" customHeight="1" x14ac:dyDescent="0.3">
      <c r="B85" s="132"/>
      <c r="C85" s="71" t="s">
        <v>508</v>
      </c>
      <c r="D85" s="72">
        <v>50</v>
      </c>
      <c r="E85" s="56" t="s">
        <v>442</v>
      </c>
      <c r="F85" s="73">
        <v>60</v>
      </c>
      <c r="G85" s="138">
        <f t="shared" si="0"/>
        <v>3000</v>
      </c>
      <c r="H85" s="74"/>
      <c r="I85" s="74"/>
      <c r="J85" s="75"/>
      <c r="K85" s="75"/>
      <c r="L85" s="75"/>
      <c r="M85" s="76"/>
      <c r="N85" s="185">
        <f t="shared" si="2"/>
        <v>3000</v>
      </c>
      <c r="O85" s="77"/>
      <c r="P85" s="76"/>
    </row>
    <row r="86" spans="2:16" s="78" customFormat="1" ht="18" customHeight="1" x14ac:dyDescent="0.3">
      <c r="B86" s="132"/>
      <c r="C86" s="71" t="s">
        <v>509</v>
      </c>
      <c r="D86" s="72">
        <v>10</v>
      </c>
      <c r="E86" s="56" t="s">
        <v>52</v>
      </c>
      <c r="F86" s="73">
        <v>285</v>
      </c>
      <c r="G86" s="138">
        <f t="shared" si="0"/>
        <v>2850</v>
      </c>
      <c r="H86" s="74"/>
      <c r="I86" s="74"/>
      <c r="J86" s="75"/>
      <c r="K86" s="75"/>
      <c r="L86" s="75"/>
      <c r="M86" s="76"/>
      <c r="N86" s="185">
        <f t="shared" si="2"/>
        <v>2850</v>
      </c>
      <c r="O86" s="77"/>
      <c r="P86" s="76"/>
    </row>
    <row r="87" spans="2:16" s="78" customFormat="1" ht="18" customHeight="1" x14ac:dyDescent="0.3">
      <c r="B87" s="132"/>
      <c r="C87" s="71" t="s">
        <v>510</v>
      </c>
      <c r="D87" s="72">
        <v>150</v>
      </c>
      <c r="E87" s="56" t="s">
        <v>442</v>
      </c>
      <c r="F87" s="73">
        <v>40</v>
      </c>
      <c r="G87" s="138">
        <f t="shared" si="0"/>
        <v>6000</v>
      </c>
      <c r="H87" s="74"/>
      <c r="I87" s="74"/>
      <c r="J87" s="75"/>
      <c r="K87" s="75"/>
      <c r="L87" s="75"/>
      <c r="M87" s="76"/>
      <c r="N87" s="185">
        <f t="shared" si="2"/>
        <v>6000</v>
      </c>
      <c r="O87" s="77"/>
      <c r="P87" s="76"/>
    </row>
    <row r="88" spans="2:16" s="78" customFormat="1" ht="18" customHeight="1" x14ac:dyDescent="0.3">
      <c r="B88" s="132"/>
      <c r="C88" s="71" t="s">
        <v>511</v>
      </c>
      <c r="D88" s="72">
        <v>15</v>
      </c>
      <c r="E88" s="56" t="s">
        <v>512</v>
      </c>
      <c r="F88" s="73">
        <v>450</v>
      </c>
      <c r="G88" s="138">
        <f t="shared" si="0"/>
        <v>6750</v>
      </c>
      <c r="H88" s="74"/>
      <c r="I88" s="74"/>
      <c r="J88" s="75"/>
      <c r="K88" s="75"/>
      <c r="L88" s="75"/>
      <c r="M88" s="76"/>
      <c r="N88" s="185">
        <f t="shared" si="2"/>
        <v>6750</v>
      </c>
      <c r="O88" s="77"/>
      <c r="P88" s="76"/>
    </row>
    <row r="89" spans="2:16" s="78" customFormat="1" ht="18" customHeight="1" x14ac:dyDescent="0.3">
      <c r="B89" s="132"/>
      <c r="C89" s="71" t="s">
        <v>513</v>
      </c>
      <c r="D89" s="72">
        <v>30</v>
      </c>
      <c r="E89" s="56" t="s">
        <v>442</v>
      </c>
      <c r="F89" s="73">
        <v>260</v>
      </c>
      <c r="G89" s="138">
        <f t="shared" si="0"/>
        <v>7800</v>
      </c>
      <c r="H89" s="74"/>
      <c r="I89" s="74"/>
      <c r="J89" s="75"/>
      <c r="K89" s="75"/>
      <c r="L89" s="75"/>
      <c r="M89" s="76"/>
      <c r="N89" s="185">
        <f t="shared" si="2"/>
        <v>7800</v>
      </c>
      <c r="O89" s="77"/>
      <c r="P89" s="76"/>
    </row>
    <row r="90" spans="2:16" s="78" customFormat="1" ht="18" customHeight="1" x14ac:dyDescent="0.3">
      <c r="B90" s="132"/>
      <c r="C90" s="71" t="s">
        <v>514</v>
      </c>
      <c r="D90" s="72">
        <v>20</v>
      </c>
      <c r="E90" s="56" t="s">
        <v>442</v>
      </c>
      <c r="F90" s="73">
        <v>275</v>
      </c>
      <c r="G90" s="138">
        <f t="shared" si="0"/>
        <v>5500</v>
      </c>
      <c r="H90" s="74"/>
      <c r="I90" s="74"/>
      <c r="J90" s="75"/>
      <c r="K90" s="75"/>
      <c r="L90" s="75"/>
      <c r="M90" s="76"/>
      <c r="N90" s="185">
        <f t="shared" si="2"/>
        <v>5500</v>
      </c>
      <c r="O90" s="77"/>
      <c r="P90" s="76"/>
    </row>
    <row r="91" spans="2:16" s="78" customFormat="1" ht="18" customHeight="1" x14ac:dyDescent="0.3">
      <c r="B91" s="132"/>
      <c r="C91" s="71" t="s">
        <v>515</v>
      </c>
      <c r="D91" s="72">
        <v>10</v>
      </c>
      <c r="E91" s="56" t="s">
        <v>512</v>
      </c>
      <c r="F91" s="73">
        <v>400</v>
      </c>
      <c r="G91" s="138">
        <f t="shared" si="0"/>
        <v>4000</v>
      </c>
      <c r="H91" s="74"/>
      <c r="I91" s="74"/>
      <c r="J91" s="75"/>
      <c r="K91" s="75"/>
      <c r="L91" s="75"/>
      <c r="M91" s="76"/>
      <c r="N91" s="185">
        <f t="shared" si="2"/>
        <v>4000</v>
      </c>
      <c r="O91" s="77"/>
      <c r="P91" s="76"/>
    </row>
    <row r="92" spans="2:16" s="78" customFormat="1" ht="18" customHeight="1" x14ac:dyDescent="0.3">
      <c r="B92" s="132"/>
      <c r="C92" s="71" t="s">
        <v>516</v>
      </c>
      <c r="D92" s="72">
        <v>11</v>
      </c>
      <c r="E92" s="56" t="s">
        <v>442</v>
      </c>
      <c r="F92" s="73">
        <v>345</v>
      </c>
      <c r="G92" s="138">
        <f t="shared" si="0"/>
        <v>3795</v>
      </c>
      <c r="H92" s="74"/>
      <c r="I92" s="74"/>
      <c r="J92" s="75"/>
      <c r="K92" s="75"/>
      <c r="L92" s="75"/>
      <c r="M92" s="76"/>
      <c r="N92" s="185">
        <f t="shared" si="2"/>
        <v>3795</v>
      </c>
      <c r="O92" s="77"/>
      <c r="P92" s="76"/>
    </row>
    <row r="93" spans="2:16" s="78" customFormat="1" ht="18" customHeight="1" x14ac:dyDescent="0.3">
      <c r="B93" s="132"/>
      <c r="C93" s="71" t="s">
        <v>517</v>
      </c>
      <c r="D93" s="72">
        <v>30</v>
      </c>
      <c r="E93" s="56" t="s">
        <v>52</v>
      </c>
      <c r="F93" s="73">
        <v>250</v>
      </c>
      <c r="G93" s="138">
        <f t="shared" si="0"/>
        <v>7500</v>
      </c>
      <c r="H93" s="74"/>
      <c r="I93" s="74"/>
      <c r="J93" s="75"/>
      <c r="K93" s="75"/>
      <c r="L93" s="75"/>
      <c r="M93" s="76"/>
      <c r="N93" s="185">
        <f t="shared" si="2"/>
        <v>7500</v>
      </c>
      <c r="O93" s="77"/>
      <c r="P93" s="76"/>
    </row>
    <row r="94" spans="2:16" s="78" customFormat="1" ht="18" customHeight="1" x14ac:dyDescent="0.3">
      <c r="B94" s="132"/>
      <c r="C94" s="71" t="s">
        <v>518</v>
      </c>
      <c r="D94" s="72">
        <v>70</v>
      </c>
      <c r="E94" s="56" t="s">
        <v>442</v>
      </c>
      <c r="F94" s="73">
        <v>55</v>
      </c>
      <c r="G94" s="138">
        <f t="shared" si="0"/>
        <v>3850</v>
      </c>
      <c r="H94" s="74"/>
      <c r="I94" s="74"/>
      <c r="J94" s="75"/>
      <c r="K94" s="75"/>
      <c r="L94" s="75"/>
      <c r="M94" s="76"/>
      <c r="N94" s="185">
        <f t="shared" si="2"/>
        <v>3850</v>
      </c>
      <c r="O94" s="77"/>
      <c r="P94" s="76"/>
    </row>
    <row r="95" spans="2:16" s="78" customFormat="1" ht="18" customHeight="1" x14ac:dyDescent="0.3">
      <c r="B95" s="132"/>
      <c r="C95" s="71" t="s">
        <v>519</v>
      </c>
      <c r="D95" s="72">
        <v>10</v>
      </c>
      <c r="E95" s="56" t="s">
        <v>52</v>
      </c>
      <c r="F95" s="73">
        <v>130</v>
      </c>
      <c r="G95" s="138">
        <f t="shared" si="0"/>
        <v>1300</v>
      </c>
      <c r="H95" s="74"/>
      <c r="I95" s="74"/>
      <c r="J95" s="75"/>
      <c r="K95" s="75"/>
      <c r="L95" s="75"/>
      <c r="M95" s="76"/>
      <c r="N95" s="185">
        <f t="shared" si="2"/>
        <v>1300</v>
      </c>
      <c r="O95" s="77"/>
      <c r="P95" s="76"/>
    </row>
    <row r="96" spans="2:16" s="78" customFormat="1" ht="18" customHeight="1" x14ac:dyDescent="0.3">
      <c r="B96" s="132"/>
      <c r="C96" s="71" t="s">
        <v>520</v>
      </c>
      <c r="D96" s="72">
        <v>30</v>
      </c>
      <c r="E96" s="56" t="s">
        <v>52</v>
      </c>
      <c r="F96" s="73">
        <v>250</v>
      </c>
      <c r="G96" s="138">
        <f t="shared" si="0"/>
        <v>7500</v>
      </c>
      <c r="H96" s="74"/>
      <c r="I96" s="74"/>
      <c r="J96" s="75"/>
      <c r="K96" s="75"/>
      <c r="L96" s="75"/>
      <c r="M96" s="76"/>
      <c r="N96" s="185">
        <f t="shared" si="2"/>
        <v>7500</v>
      </c>
      <c r="O96" s="77"/>
      <c r="P96" s="76"/>
    </row>
    <row r="97" spans="2:16" s="78" customFormat="1" ht="18" customHeight="1" x14ac:dyDescent="0.3">
      <c r="B97" s="132"/>
      <c r="C97" s="71" t="s">
        <v>521</v>
      </c>
      <c r="D97" s="72">
        <v>15</v>
      </c>
      <c r="E97" s="56" t="s">
        <v>52</v>
      </c>
      <c r="F97" s="73">
        <v>1080</v>
      </c>
      <c r="G97" s="138">
        <f t="shared" si="0"/>
        <v>16200</v>
      </c>
      <c r="H97" s="74"/>
      <c r="I97" s="74"/>
      <c r="J97" s="75"/>
      <c r="K97" s="75"/>
      <c r="L97" s="75"/>
      <c r="M97" s="76"/>
      <c r="N97" s="185">
        <f t="shared" si="2"/>
        <v>16200</v>
      </c>
      <c r="O97" s="77"/>
      <c r="P97" s="76"/>
    </row>
    <row r="98" spans="2:16" s="78" customFormat="1" ht="18" customHeight="1" x14ac:dyDescent="0.3">
      <c r="B98" s="132"/>
      <c r="C98" s="71" t="s">
        <v>522</v>
      </c>
      <c r="D98" s="72">
        <v>10</v>
      </c>
      <c r="E98" s="56" t="s">
        <v>52</v>
      </c>
      <c r="F98" s="73">
        <v>2040</v>
      </c>
      <c r="G98" s="138">
        <f t="shared" si="0"/>
        <v>20400</v>
      </c>
      <c r="H98" s="74"/>
      <c r="I98" s="74"/>
      <c r="J98" s="75"/>
      <c r="K98" s="75"/>
      <c r="L98" s="75"/>
      <c r="M98" s="76"/>
      <c r="N98" s="185">
        <f t="shared" si="2"/>
        <v>20400</v>
      </c>
      <c r="O98" s="77"/>
      <c r="P98" s="76"/>
    </row>
    <row r="99" spans="2:16" s="78" customFormat="1" ht="18" customHeight="1" x14ac:dyDescent="0.3">
      <c r="B99" s="132"/>
      <c r="C99" s="71" t="s">
        <v>523</v>
      </c>
      <c r="D99" s="72">
        <v>10</v>
      </c>
      <c r="E99" s="56" t="s">
        <v>435</v>
      </c>
      <c r="F99" s="73">
        <v>45</v>
      </c>
      <c r="G99" s="138">
        <f t="shared" si="0"/>
        <v>450</v>
      </c>
      <c r="H99" s="74"/>
      <c r="I99" s="74"/>
      <c r="J99" s="75"/>
      <c r="K99" s="75"/>
      <c r="L99" s="75"/>
      <c r="M99" s="76"/>
      <c r="N99" s="185">
        <f t="shared" si="2"/>
        <v>450</v>
      </c>
      <c r="O99" s="77"/>
      <c r="P99" s="76"/>
    </row>
    <row r="100" spans="2:16" s="78" customFormat="1" ht="18" customHeight="1" x14ac:dyDescent="0.3">
      <c r="B100" s="132"/>
      <c r="C100" s="71" t="s">
        <v>524</v>
      </c>
      <c r="D100" s="72">
        <v>9</v>
      </c>
      <c r="E100" s="56" t="s">
        <v>435</v>
      </c>
      <c r="F100" s="73">
        <v>25</v>
      </c>
      <c r="G100" s="138">
        <f t="shared" si="0"/>
        <v>225</v>
      </c>
      <c r="H100" s="74"/>
      <c r="I100" s="74"/>
      <c r="J100" s="75"/>
      <c r="K100" s="75"/>
      <c r="L100" s="75"/>
      <c r="M100" s="76"/>
      <c r="N100" s="185">
        <f t="shared" si="2"/>
        <v>225</v>
      </c>
      <c r="O100" s="77"/>
      <c r="P100" s="76"/>
    </row>
    <row r="101" spans="2:16" s="78" customFormat="1" ht="18" customHeight="1" x14ac:dyDescent="0.3">
      <c r="B101" s="132"/>
      <c r="C101" s="71" t="s">
        <v>525</v>
      </c>
      <c r="D101" s="72">
        <v>10</v>
      </c>
      <c r="E101" s="56" t="s">
        <v>442</v>
      </c>
      <c r="F101" s="73">
        <v>571.75</v>
      </c>
      <c r="G101" s="138">
        <f t="shared" si="0"/>
        <v>5717.5</v>
      </c>
      <c r="H101" s="74"/>
      <c r="I101" s="74"/>
      <c r="J101" s="75"/>
      <c r="K101" s="75"/>
      <c r="L101" s="75"/>
      <c r="M101" s="76"/>
      <c r="N101" s="185">
        <f t="shared" si="2"/>
        <v>5717.5</v>
      </c>
      <c r="O101" s="77"/>
      <c r="P101" s="76"/>
    </row>
    <row r="102" spans="2:16" s="78" customFormat="1" ht="18" customHeight="1" x14ac:dyDescent="0.3">
      <c r="B102" s="132"/>
      <c r="C102" s="71" t="s">
        <v>526</v>
      </c>
      <c r="D102" s="72">
        <v>1</v>
      </c>
      <c r="E102" s="56" t="s">
        <v>52</v>
      </c>
      <c r="F102" s="73">
        <v>137.69</v>
      </c>
      <c r="G102" s="138">
        <f t="shared" si="0"/>
        <v>137.69</v>
      </c>
      <c r="H102" s="74"/>
      <c r="I102" s="74"/>
      <c r="J102" s="75"/>
      <c r="K102" s="75"/>
      <c r="L102" s="75"/>
      <c r="M102" s="76"/>
      <c r="N102" s="185">
        <f t="shared" si="2"/>
        <v>137.69</v>
      </c>
      <c r="O102" s="77"/>
      <c r="P102" s="76"/>
    </row>
    <row r="103" spans="2:16" s="78" customFormat="1" ht="18" customHeight="1" x14ac:dyDescent="0.3">
      <c r="B103" s="132"/>
      <c r="C103" s="71" t="s">
        <v>527</v>
      </c>
      <c r="D103" s="72">
        <v>100</v>
      </c>
      <c r="E103" s="56" t="s">
        <v>444</v>
      </c>
      <c r="F103" s="73">
        <v>50</v>
      </c>
      <c r="G103" s="138">
        <f t="shared" si="0"/>
        <v>5000</v>
      </c>
      <c r="H103" s="74"/>
      <c r="I103" s="74"/>
      <c r="J103" s="75"/>
      <c r="K103" s="75"/>
      <c r="L103" s="75"/>
      <c r="M103" s="76"/>
      <c r="N103" s="185">
        <f t="shared" si="2"/>
        <v>5000</v>
      </c>
      <c r="O103" s="77"/>
      <c r="P103" s="76"/>
    </row>
    <row r="104" spans="2:16" s="78" customFormat="1" ht="18" customHeight="1" x14ac:dyDescent="0.3">
      <c r="B104" s="132"/>
      <c r="C104" s="71" t="s">
        <v>528</v>
      </c>
      <c r="D104" s="72">
        <v>30</v>
      </c>
      <c r="E104" s="56" t="s">
        <v>52</v>
      </c>
      <c r="F104" s="73">
        <v>99</v>
      </c>
      <c r="G104" s="138">
        <f t="shared" si="0"/>
        <v>2970</v>
      </c>
      <c r="H104" s="74"/>
      <c r="I104" s="74"/>
      <c r="J104" s="75"/>
      <c r="K104" s="75"/>
      <c r="L104" s="75"/>
      <c r="M104" s="76"/>
      <c r="N104" s="185">
        <f t="shared" si="2"/>
        <v>2970</v>
      </c>
      <c r="O104" s="77"/>
      <c r="P104" s="76"/>
    </row>
    <row r="105" spans="2:16" s="78" customFormat="1" ht="18" customHeight="1" x14ac:dyDescent="0.3">
      <c r="B105" s="132"/>
      <c r="C105" s="71" t="s">
        <v>529</v>
      </c>
      <c r="D105" s="72">
        <v>100</v>
      </c>
      <c r="E105" s="56" t="s">
        <v>442</v>
      </c>
      <c r="F105" s="73">
        <v>28</v>
      </c>
      <c r="G105" s="138">
        <f t="shared" si="0"/>
        <v>2800</v>
      </c>
      <c r="H105" s="74"/>
      <c r="I105" s="74"/>
      <c r="J105" s="75"/>
      <c r="K105" s="75"/>
      <c r="L105" s="75"/>
      <c r="M105" s="76"/>
      <c r="N105" s="185">
        <f t="shared" si="2"/>
        <v>2800</v>
      </c>
      <c r="O105" s="77"/>
      <c r="P105" s="76"/>
    </row>
    <row r="106" spans="2:16" s="78" customFormat="1" ht="18" customHeight="1" x14ac:dyDescent="0.3">
      <c r="B106" s="132"/>
      <c r="C106" s="71" t="s">
        <v>530</v>
      </c>
      <c r="D106" s="72">
        <v>100</v>
      </c>
      <c r="E106" s="56" t="s">
        <v>439</v>
      </c>
      <c r="F106" s="73">
        <v>4.5</v>
      </c>
      <c r="G106" s="138">
        <f t="shared" si="0"/>
        <v>450</v>
      </c>
      <c r="H106" s="74"/>
      <c r="I106" s="74"/>
      <c r="J106" s="75"/>
      <c r="K106" s="75"/>
      <c r="L106" s="75"/>
      <c r="M106" s="76"/>
      <c r="N106" s="185">
        <f t="shared" si="2"/>
        <v>450</v>
      </c>
      <c r="O106" s="77"/>
      <c r="P106" s="76"/>
    </row>
    <row r="107" spans="2:16" s="78" customFormat="1" ht="18" customHeight="1" x14ac:dyDescent="0.3">
      <c r="B107" s="132"/>
      <c r="C107" s="71" t="s">
        <v>531</v>
      </c>
      <c r="D107" s="72">
        <v>10</v>
      </c>
      <c r="E107" s="56" t="s">
        <v>444</v>
      </c>
      <c r="F107" s="73">
        <v>98.78</v>
      </c>
      <c r="G107" s="138">
        <f t="shared" si="0"/>
        <v>987.8</v>
      </c>
      <c r="H107" s="74"/>
      <c r="I107" s="74"/>
      <c r="J107" s="75"/>
      <c r="K107" s="75"/>
      <c r="L107" s="75"/>
      <c r="M107" s="76"/>
      <c r="N107" s="185">
        <f t="shared" si="2"/>
        <v>987.8</v>
      </c>
      <c r="O107" s="77"/>
      <c r="P107" s="76"/>
    </row>
    <row r="108" spans="2:16" s="78" customFormat="1" ht="18" customHeight="1" x14ac:dyDescent="0.3">
      <c r="B108" s="132"/>
      <c r="C108" s="71" t="s">
        <v>532</v>
      </c>
      <c r="D108" s="72">
        <v>87</v>
      </c>
      <c r="E108" s="56" t="s">
        <v>439</v>
      </c>
      <c r="F108" s="73">
        <v>1.34</v>
      </c>
      <c r="G108" s="138">
        <f t="shared" si="0"/>
        <v>116.58000000000001</v>
      </c>
      <c r="H108" s="74"/>
      <c r="I108" s="74"/>
      <c r="J108" s="75"/>
      <c r="K108" s="75"/>
      <c r="L108" s="75"/>
      <c r="M108" s="76"/>
      <c r="N108" s="185">
        <f t="shared" si="2"/>
        <v>116.58000000000001</v>
      </c>
      <c r="O108" s="77"/>
      <c r="P108" s="76"/>
    </row>
    <row r="109" spans="2:16" s="78" customFormat="1" ht="18" customHeight="1" x14ac:dyDescent="0.3">
      <c r="B109" s="132"/>
      <c r="C109" s="71" t="s">
        <v>533</v>
      </c>
      <c r="D109" s="72">
        <v>10</v>
      </c>
      <c r="E109" s="56" t="s">
        <v>444</v>
      </c>
      <c r="F109" s="73">
        <v>14.21</v>
      </c>
      <c r="G109" s="138">
        <f t="shared" si="0"/>
        <v>142.10000000000002</v>
      </c>
      <c r="H109" s="74"/>
      <c r="I109" s="74"/>
      <c r="J109" s="75"/>
      <c r="K109" s="75"/>
      <c r="L109" s="75"/>
      <c r="M109" s="76"/>
      <c r="N109" s="185">
        <f t="shared" si="2"/>
        <v>142.10000000000002</v>
      </c>
      <c r="O109" s="77"/>
      <c r="P109" s="76"/>
    </row>
    <row r="110" spans="2:16" s="78" customFormat="1" ht="18" customHeight="1" x14ac:dyDescent="0.3">
      <c r="B110" s="132"/>
      <c r="C110" s="71" t="s">
        <v>534</v>
      </c>
      <c r="D110" s="72">
        <v>6</v>
      </c>
      <c r="E110" s="56" t="s">
        <v>444</v>
      </c>
      <c r="F110" s="73">
        <v>255</v>
      </c>
      <c r="G110" s="138">
        <f t="shared" si="0"/>
        <v>1530</v>
      </c>
      <c r="H110" s="74"/>
      <c r="I110" s="74"/>
      <c r="J110" s="75"/>
      <c r="K110" s="75"/>
      <c r="L110" s="75"/>
      <c r="M110" s="76"/>
      <c r="N110" s="185">
        <f t="shared" si="2"/>
        <v>1530</v>
      </c>
      <c r="O110" s="77"/>
      <c r="P110" s="76"/>
    </row>
    <row r="111" spans="2:16" s="78" customFormat="1" ht="18" customHeight="1" x14ac:dyDescent="0.3">
      <c r="B111" s="132"/>
      <c r="C111" s="71" t="s">
        <v>535</v>
      </c>
      <c r="D111" s="72">
        <v>200</v>
      </c>
      <c r="E111" s="56" t="s">
        <v>439</v>
      </c>
      <c r="F111" s="73">
        <v>2.1</v>
      </c>
      <c r="G111" s="138">
        <f t="shared" si="0"/>
        <v>420</v>
      </c>
      <c r="H111" s="74"/>
      <c r="I111" s="74"/>
      <c r="J111" s="75"/>
      <c r="K111" s="75"/>
      <c r="L111" s="75"/>
      <c r="M111" s="76"/>
      <c r="N111" s="185">
        <f t="shared" si="2"/>
        <v>420</v>
      </c>
      <c r="O111" s="77"/>
      <c r="P111" s="76"/>
    </row>
    <row r="112" spans="2:16" s="78" customFormat="1" ht="18" customHeight="1" x14ac:dyDescent="0.3">
      <c r="B112" s="132"/>
      <c r="C112" s="71" t="s">
        <v>536</v>
      </c>
      <c r="D112" s="72">
        <v>10</v>
      </c>
      <c r="E112" s="56" t="s">
        <v>435</v>
      </c>
      <c r="F112" s="73">
        <v>95</v>
      </c>
      <c r="G112" s="138">
        <f t="shared" si="0"/>
        <v>950</v>
      </c>
      <c r="H112" s="74"/>
      <c r="I112" s="74"/>
      <c r="J112" s="75"/>
      <c r="K112" s="75"/>
      <c r="L112" s="75"/>
      <c r="M112" s="76"/>
      <c r="N112" s="185">
        <f t="shared" si="2"/>
        <v>950</v>
      </c>
      <c r="O112" s="77"/>
      <c r="P112" s="76"/>
    </row>
    <row r="113" spans="2:16" s="78" customFormat="1" ht="18" customHeight="1" x14ac:dyDescent="0.3">
      <c r="B113" s="132"/>
      <c r="C113" s="71" t="s">
        <v>537</v>
      </c>
      <c r="D113" s="72">
        <v>40</v>
      </c>
      <c r="E113" s="56" t="s">
        <v>439</v>
      </c>
      <c r="F113" s="73">
        <v>68</v>
      </c>
      <c r="G113" s="138">
        <f t="shared" si="0"/>
        <v>2720</v>
      </c>
      <c r="H113" s="74"/>
      <c r="I113" s="74"/>
      <c r="J113" s="75"/>
      <c r="K113" s="75"/>
      <c r="L113" s="75"/>
      <c r="M113" s="76"/>
      <c r="N113" s="185">
        <f t="shared" si="2"/>
        <v>2720</v>
      </c>
      <c r="O113" s="77"/>
      <c r="P113" s="76"/>
    </row>
    <row r="114" spans="2:16" s="78" customFormat="1" ht="18" customHeight="1" x14ac:dyDescent="0.3">
      <c r="B114" s="132"/>
      <c r="C114" s="71" t="s">
        <v>538</v>
      </c>
      <c r="D114" s="72">
        <v>100</v>
      </c>
      <c r="E114" s="56" t="s">
        <v>444</v>
      </c>
      <c r="F114" s="73">
        <v>12.88</v>
      </c>
      <c r="G114" s="138">
        <f t="shared" si="0"/>
        <v>1288</v>
      </c>
      <c r="H114" s="74"/>
      <c r="I114" s="74"/>
      <c r="J114" s="75"/>
      <c r="K114" s="75"/>
      <c r="L114" s="75"/>
      <c r="M114" s="76"/>
      <c r="N114" s="185">
        <f t="shared" si="2"/>
        <v>1288</v>
      </c>
      <c r="O114" s="77"/>
      <c r="P114" s="76"/>
    </row>
    <row r="115" spans="2:16" s="78" customFormat="1" ht="18" customHeight="1" x14ac:dyDescent="0.3">
      <c r="B115" s="132"/>
      <c r="C115" s="71" t="s">
        <v>539</v>
      </c>
      <c r="D115" s="72">
        <v>10</v>
      </c>
      <c r="E115" s="56" t="s">
        <v>442</v>
      </c>
      <c r="F115" s="73">
        <v>144</v>
      </c>
      <c r="G115" s="138">
        <f t="shared" si="0"/>
        <v>1440</v>
      </c>
      <c r="H115" s="74"/>
      <c r="I115" s="74"/>
      <c r="J115" s="75"/>
      <c r="K115" s="75"/>
      <c r="L115" s="75"/>
      <c r="M115" s="76"/>
      <c r="N115" s="185">
        <f t="shared" si="2"/>
        <v>1440</v>
      </c>
      <c r="O115" s="77"/>
      <c r="P115" s="76"/>
    </row>
    <row r="116" spans="2:16" s="78" customFormat="1" ht="18" customHeight="1" x14ac:dyDescent="0.3">
      <c r="B116" s="132"/>
      <c r="C116" s="71" t="s">
        <v>540</v>
      </c>
      <c r="D116" s="72">
        <v>10</v>
      </c>
      <c r="E116" s="56" t="s">
        <v>442</v>
      </c>
      <c r="F116" s="73">
        <v>130</v>
      </c>
      <c r="G116" s="138">
        <f t="shared" si="0"/>
        <v>1300</v>
      </c>
      <c r="H116" s="74"/>
      <c r="I116" s="74"/>
      <c r="J116" s="75"/>
      <c r="K116" s="75"/>
      <c r="L116" s="75"/>
      <c r="M116" s="76"/>
      <c r="N116" s="185">
        <f t="shared" si="2"/>
        <v>1300</v>
      </c>
      <c r="O116" s="77"/>
      <c r="P116" s="76"/>
    </row>
    <row r="117" spans="2:16" s="78" customFormat="1" ht="18" customHeight="1" x14ac:dyDescent="0.3">
      <c r="B117" s="132"/>
      <c r="C117" s="71" t="s">
        <v>541</v>
      </c>
      <c r="D117" s="72">
        <v>200</v>
      </c>
      <c r="E117" s="56" t="s">
        <v>483</v>
      </c>
      <c r="F117" s="73">
        <v>15</v>
      </c>
      <c r="G117" s="138">
        <f t="shared" si="0"/>
        <v>3000</v>
      </c>
      <c r="H117" s="74"/>
      <c r="I117" s="74"/>
      <c r="J117" s="75"/>
      <c r="K117" s="75"/>
      <c r="L117" s="75"/>
      <c r="M117" s="76"/>
      <c r="N117" s="185">
        <f t="shared" si="2"/>
        <v>3000</v>
      </c>
      <c r="O117" s="77"/>
      <c r="P117" s="76"/>
    </row>
    <row r="118" spans="2:16" s="78" customFormat="1" ht="18" customHeight="1" x14ac:dyDescent="0.3">
      <c r="B118" s="132"/>
      <c r="C118" s="71" t="s">
        <v>542</v>
      </c>
      <c r="D118" s="72">
        <v>100</v>
      </c>
      <c r="E118" s="56" t="s">
        <v>483</v>
      </c>
      <c r="F118" s="73">
        <v>5.45</v>
      </c>
      <c r="G118" s="138">
        <f t="shared" si="0"/>
        <v>545</v>
      </c>
      <c r="H118" s="74"/>
      <c r="I118" s="74"/>
      <c r="J118" s="75"/>
      <c r="K118" s="75"/>
      <c r="L118" s="75"/>
      <c r="M118" s="76"/>
      <c r="N118" s="185">
        <f t="shared" si="2"/>
        <v>545</v>
      </c>
      <c r="O118" s="77"/>
      <c r="P118" s="76"/>
    </row>
    <row r="119" spans="2:16" s="78" customFormat="1" ht="18" customHeight="1" x14ac:dyDescent="0.3">
      <c r="B119" s="132"/>
      <c r="C119" s="71" t="s">
        <v>543</v>
      </c>
      <c r="D119" s="72">
        <v>100</v>
      </c>
      <c r="E119" s="56" t="s">
        <v>444</v>
      </c>
      <c r="F119" s="73">
        <v>4.58</v>
      </c>
      <c r="G119" s="138">
        <f t="shared" si="0"/>
        <v>458</v>
      </c>
      <c r="H119" s="74"/>
      <c r="I119" s="74"/>
      <c r="J119" s="75"/>
      <c r="K119" s="75"/>
      <c r="L119" s="75"/>
      <c r="M119" s="76"/>
      <c r="N119" s="185">
        <f t="shared" si="2"/>
        <v>458</v>
      </c>
      <c r="O119" s="77"/>
      <c r="P119" s="76"/>
    </row>
    <row r="120" spans="2:16" s="78" customFormat="1" ht="18" customHeight="1" x14ac:dyDescent="0.3">
      <c r="B120" s="132"/>
      <c r="C120" s="71" t="s">
        <v>544</v>
      </c>
      <c r="D120" s="72">
        <v>5</v>
      </c>
      <c r="E120" s="56" t="s">
        <v>52</v>
      </c>
      <c r="F120" s="73">
        <v>150</v>
      </c>
      <c r="G120" s="138">
        <f t="shared" si="0"/>
        <v>750</v>
      </c>
      <c r="H120" s="74"/>
      <c r="I120" s="74"/>
      <c r="J120" s="75"/>
      <c r="K120" s="75"/>
      <c r="L120" s="75"/>
      <c r="M120" s="76"/>
      <c r="N120" s="185">
        <f t="shared" si="2"/>
        <v>750</v>
      </c>
      <c r="O120" s="77"/>
      <c r="P120" s="76"/>
    </row>
    <row r="121" spans="2:16" s="78" customFormat="1" ht="18" customHeight="1" x14ac:dyDescent="0.3">
      <c r="B121" s="132"/>
      <c r="C121" s="71" t="s">
        <v>545</v>
      </c>
      <c r="D121" s="72">
        <v>150</v>
      </c>
      <c r="E121" s="56" t="s">
        <v>444</v>
      </c>
      <c r="F121" s="73">
        <v>30</v>
      </c>
      <c r="G121" s="138">
        <f t="shared" si="0"/>
        <v>4500</v>
      </c>
      <c r="H121" s="74"/>
      <c r="I121" s="74"/>
      <c r="J121" s="75"/>
      <c r="K121" s="75"/>
      <c r="L121" s="75"/>
      <c r="M121" s="76"/>
      <c r="N121" s="185">
        <f t="shared" si="2"/>
        <v>4500</v>
      </c>
      <c r="O121" s="77"/>
      <c r="P121" s="76"/>
    </row>
    <row r="122" spans="2:16" s="78" customFormat="1" ht="18" customHeight="1" x14ac:dyDescent="0.3">
      <c r="B122" s="132"/>
      <c r="C122" s="71" t="s">
        <v>546</v>
      </c>
      <c r="D122" s="72">
        <v>10</v>
      </c>
      <c r="E122" s="56" t="s">
        <v>435</v>
      </c>
      <c r="F122" s="73">
        <v>120</v>
      </c>
      <c r="G122" s="138">
        <f t="shared" si="0"/>
        <v>1200</v>
      </c>
      <c r="H122" s="74"/>
      <c r="I122" s="74"/>
      <c r="J122" s="75"/>
      <c r="K122" s="75"/>
      <c r="L122" s="75"/>
      <c r="M122" s="76"/>
      <c r="N122" s="185">
        <f t="shared" si="2"/>
        <v>1200</v>
      </c>
      <c r="O122" s="77"/>
      <c r="P122" s="76"/>
    </row>
    <row r="123" spans="2:16" s="78" customFormat="1" ht="18" customHeight="1" x14ac:dyDescent="0.3">
      <c r="B123" s="132"/>
      <c r="C123" s="71" t="s">
        <v>547</v>
      </c>
      <c r="D123" s="72">
        <v>10</v>
      </c>
      <c r="E123" s="56" t="s">
        <v>52</v>
      </c>
      <c r="F123" s="73">
        <v>400</v>
      </c>
      <c r="G123" s="138">
        <f t="shared" si="0"/>
        <v>4000</v>
      </c>
      <c r="H123" s="74"/>
      <c r="I123" s="74"/>
      <c r="J123" s="75"/>
      <c r="K123" s="75"/>
      <c r="L123" s="75"/>
      <c r="M123" s="76"/>
      <c r="N123" s="185">
        <f t="shared" si="2"/>
        <v>4000</v>
      </c>
      <c r="O123" s="77"/>
      <c r="P123" s="76"/>
    </row>
    <row r="124" spans="2:16" s="78" customFormat="1" ht="18" customHeight="1" x14ac:dyDescent="0.3">
      <c r="B124" s="132"/>
      <c r="C124" s="71" t="s">
        <v>548</v>
      </c>
      <c r="D124" s="72">
        <v>5</v>
      </c>
      <c r="E124" s="56" t="s">
        <v>444</v>
      </c>
      <c r="F124" s="73">
        <v>728.89</v>
      </c>
      <c r="G124" s="138">
        <f t="shared" si="0"/>
        <v>3644.45</v>
      </c>
      <c r="H124" s="74"/>
      <c r="I124" s="74"/>
      <c r="J124" s="75"/>
      <c r="K124" s="75"/>
      <c r="L124" s="75"/>
      <c r="M124" s="76"/>
      <c r="N124" s="185">
        <f t="shared" si="2"/>
        <v>3644.45</v>
      </c>
      <c r="O124" s="77"/>
      <c r="P124" s="76"/>
    </row>
    <row r="125" spans="2:16" s="78" customFormat="1" ht="18" customHeight="1" x14ac:dyDescent="0.3">
      <c r="B125" s="132"/>
      <c r="C125" s="71" t="s">
        <v>549</v>
      </c>
      <c r="D125" s="72">
        <v>3</v>
      </c>
      <c r="E125" s="56" t="s">
        <v>444</v>
      </c>
      <c r="F125" s="73">
        <v>4150</v>
      </c>
      <c r="G125" s="138">
        <f t="shared" si="0"/>
        <v>12450</v>
      </c>
      <c r="H125" s="74"/>
      <c r="I125" s="74"/>
      <c r="J125" s="75"/>
      <c r="K125" s="75"/>
      <c r="L125" s="75"/>
      <c r="M125" s="76"/>
      <c r="N125" s="185">
        <f t="shared" si="2"/>
        <v>12450</v>
      </c>
      <c r="O125" s="77"/>
      <c r="P125" s="76"/>
    </row>
    <row r="126" spans="2:16" s="78" customFormat="1" ht="18" customHeight="1" x14ac:dyDescent="0.3">
      <c r="B126" s="132"/>
      <c r="C126" s="71" t="s">
        <v>550</v>
      </c>
      <c r="D126" s="72">
        <v>28</v>
      </c>
      <c r="E126" s="56" t="s">
        <v>444</v>
      </c>
      <c r="F126" s="73">
        <v>21.66</v>
      </c>
      <c r="G126" s="138">
        <f t="shared" si="0"/>
        <v>606.48</v>
      </c>
      <c r="H126" s="74"/>
      <c r="I126" s="74"/>
      <c r="J126" s="75"/>
      <c r="K126" s="75"/>
      <c r="L126" s="75"/>
      <c r="M126" s="76"/>
      <c r="N126" s="185">
        <f t="shared" si="2"/>
        <v>606.48</v>
      </c>
      <c r="O126" s="77"/>
      <c r="P126" s="76"/>
    </row>
    <row r="127" spans="2:16" s="78" customFormat="1" ht="18" customHeight="1" x14ac:dyDescent="0.3">
      <c r="B127" s="132"/>
      <c r="C127" s="71" t="s">
        <v>551</v>
      </c>
      <c r="D127" s="72">
        <v>250</v>
      </c>
      <c r="E127" s="56" t="s">
        <v>435</v>
      </c>
      <c r="F127" s="73">
        <v>16.16</v>
      </c>
      <c r="G127" s="138">
        <f t="shared" si="0"/>
        <v>4040</v>
      </c>
      <c r="H127" s="74"/>
      <c r="I127" s="74"/>
      <c r="J127" s="75"/>
      <c r="K127" s="75"/>
      <c r="L127" s="75"/>
      <c r="M127" s="76"/>
      <c r="N127" s="185">
        <f t="shared" si="2"/>
        <v>4040</v>
      </c>
      <c r="O127" s="77"/>
      <c r="P127" s="76"/>
    </row>
    <row r="128" spans="2:16" s="78" customFormat="1" ht="18" customHeight="1" x14ac:dyDescent="0.3">
      <c r="B128" s="132"/>
      <c r="C128" s="71" t="s">
        <v>552</v>
      </c>
      <c r="D128" s="72">
        <v>20</v>
      </c>
      <c r="E128" s="56" t="s">
        <v>435</v>
      </c>
      <c r="F128" s="73">
        <v>325</v>
      </c>
      <c r="G128" s="138">
        <f t="shared" si="0"/>
        <v>6500</v>
      </c>
      <c r="H128" s="74"/>
      <c r="I128" s="74"/>
      <c r="J128" s="75"/>
      <c r="K128" s="75"/>
      <c r="L128" s="75"/>
      <c r="M128" s="76"/>
      <c r="N128" s="185">
        <f t="shared" si="2"/>
        <v>6500</v>
      </c>
      <c r="O128" s="77"/>
      <c r="P128" s="76"/>
    </row>
    <row r="129" spans="2:16" s="78" customFormat="1" ht="18" customHeight="1" x14ac:dyDescent="0.3">
      <c r="B129" s="132"/>
      <c r="C129" s="71" t="s">
        <v>553</v>
      </c>
      <c r="D129" s="72">
        <v>200</v>
      </c>
      <c r="E129" s="56" t="s">
        <v>444</v>
      </c>
      <c r="F129" s="73">
        <v>15.49</v>
      </c>
      <c r="G129" s="138">
        <f t="shared" ref="G129:G192" si="3">D129*F129</f>
        <v>3098</v>
      </c>
      <c r="H129" s="74"/>
      <c r="I129" s="74"/>
      <c r="J129" s="75"/>
      <c r="K129" s="75"/>
      <c r="L129" s="75"/>
      <c r="M129" s="76"/>
      <c r="N129" s="185">
        <f t="shared" si="2"/>
        <v>3098</v>
      </c>
      <c r="O129" s="77"/>
      <c r="P129" s="76"/>
    </row>
    <row r="130" spans="2:16" s="78" customFormat="1" ht="18" customHeight="1" x14ac:dyDescent="0.3">
      <c r="B130" s="132"/>
      <c r="C130" s="71" t="s">
        <v>554</v>
      </c>
      <c r="D130" s="72">
        <v>10</v>
      </c>
      <c r="E130" s="56" t="s">
        <v>52</v>
      </c>
      <c r="F130" s="73">
        <v>450</v>
      </c>
      <c r="G130" s="138">
        <f t="shared" si="3"/>
        <v>4500</v>
      </c>
      <c r="H130" s="74"/>
      <c r="I130" s="74"/>
      <c r="J130" s="75"/>
      <c r="K130" s="75"/>
      <c r="L130" s="75"/>
      <c r="M130" s="76"/>
      <c r="N130" s="185">
        <f t="shared" si="2"/>
        <v>4500</v>
      </c>
      <c r="O130" s="77"/>
      <c r="P130" s="76"/>
    </row>
    <row r="131" spans="2:16" s="78" customFormat="1" ht="18" customHeight="1" x14ac:dyDescent="0.3">
      <c r="B131" s="132"/>
      <c r="C131" s="71" t="s">
        <v>555</v>
      </c>
      <c r="D131" s="72">
        <v>80</v>
      </c>
      <c r="E131" s="56" t="s">
        <v>444</v>
      </c>
      <c r="F131" s="73">
        <v>69</v>
      </c>
      <c r="G131" s="138">
        <f t="shared" si="3"/>
        <v>5520</v>
      </c>
      <c r="H131" s="74"/>
      <c r="I131" s="74"/>
      <c r="J131" s="75"/>
      <c r="K131" s="75"/>
      <c r="L131" s="75"/>
      <c r="M131" s="76"/>
      <c r="N131" s="185">
        <f t="shared" si="2"/>
        <v>5520</v>
      </c>
      <c r="O131" s="77"/>
      <c r="P131" s="76"/>
    </row>
    <row r="132" spans="2:16" s="78" customFormat="1" ht="18" customHeight="1" x14ac:dyDescent="0.3">
      <c r="B132" s="132"/>
      <c r="C132" s="71" t="s">
        <v>556</v>
      </c>
      <c r="D132" s="72">
        <v>2</v>
      </c>
      <c r="E132" s="56" t="s">
        <v>52</v>
      </c>
      <c r="F132" s="73">
        <v>170</v>
      </c>
      <c r="G132" s="138">
        <f t="shared" si="3"/>
        <v>340</v>
      </c>
      <c r="H132" s="74"/>
      <c r="I132" s="74"/>
      <c r="J132" s="75"/>
      <c r="K132" s="75"/>
      <c r="L132" s="75"/>
      <c r="M132" s="76"/>
      <c r="N132" s="185">
        <f t="shared" si="2"/>
        <v>340</v>
      </c>
      <c r="O132" s="77"/>
      <c r="P132" s="76"/>
    </row>
    <row r="133" spans="2:16" s="78" customFormat="1" ht="18" customHeight="1" x14ac:dyDescent="0.3">
      <c r="B133" s="132"/>
      <c r="C133" s="71" t="s">
        <v>557</v>
      </c>
      <c r="D133" s="72">
        <v>1</v>
      </c>
      <c r="E133" s="56" t="s">
        <v>52</v>
      </c>
      <c r="F133" s="73">
        <v>900</v>
      </c>
      <c r="G133" s="138">
        <f t="shared" si="3"/>
        <v>900</v>
      </c>
      <c r="H133" s="74"/>
      <c r="I133" s="74"/>
      <c r="J133" s="75"/>
      <c r="K133" s="75"/>
      <c r="L133" s="75"/>
      <c r="M133" s="76"/>
      <c r="N133" s="185">
        <f t="shared" si="2"/>
        <v>900</v>
      </c>
      <c r="O133" s="77"/>
      <c r="P133" s="76"/>
    </row>
    <row r="134" spans="2:16" s="78" customFormat="1" ht="18" customHeight="1" x14ac:dyDescent="0.3">
      <c r="B134" s="132"/>
      <c r="C134" s="71" t="s">
        <v>558</v>
      </c>
      <c r="D134" s="72">
        <v>20</v>
      </c>
      <c r="E134" s="56" t="s">
        <v>52</v>
      </c>
      <c r="F134" s="73">
        <v>400</v>
      </c>
      <c r="G134" s="138">
        <f t="shared" si="3"/>
        <v>8000</v>
      </c>
      <c r="H134" s="74"/>
      <c r="I134" s="74"/>
      <c r="J134" s="75"/>
      <c r="K134" s="75"/>
      <c r="L134" s="75"/>
      <c r="M134" s="76"/>
      <c r="N134" s="185">
        <f t="shared" si="2"/>
        <v>8000</v>
      </c>
      <c r="O134" s="77"/>
      <c r="P134" s="76"/>
    </row>
    <row r="135" spans="2:16" s="78" customFormat="1" ht="18" customHeight="1" x14ac:dyDescent="0.3">
      <c r="B135" s="132"/>
      <c r="C135" s="71" t="s">
        <v>559</v>
      </c>
      <c r="D135" s="72">
        <v>4</v>
      </c>
      <c r="E135" s="56" t="s">
        <v>52</v>
      </c>
      <c r="F135" s="73">
        <v>485</v>
      </c>
      <c r="G135" s="138">
        <f t="shared" si="3"/>
        <v>1940</v>
      </c>
      <c r="H135" s="74"/>
      <c r="I135" s="74"/>
      <c r="J135" s="75"/>
      <c r="K135" s="75"/>
      <c r="L135" s="75"/>
      <c r="M135" s="76"/>
      <c r="N135" s="185">
        <f t="shared" si="2"/>
        <v>1940</v>
      </c>
      <c r="O135" s="77"/>
      <c r="P135" s="76"/>
    </row>
    <row r="136" spans="2:16" s="78" customFormat="1" ht="18" customHeight="1" x14ac:dyDescent="0.3">
      <c r="B136" s="132"/>
      <c r="C136" s="71" t="s">
        <v>560</v>
      </c>
      <c r="D136" s="72">
        <v>50</v>
      </c>
      <c r="E136" s="56" t="s">
        <v>442</v>
      </c>
      <c r="F136" s="73">
        <v>90</v>
      </c>
      <c r="G136" s="138">
        <f t="shared" si="3"/>
        <v>4500</v>
      </c>
      <c r="H136" s="74"/>
      <c r="I136" s="74"/>
      <c r="J136" s="75"/>
      <c r="K136" s="75"/>
      <c r="L136" s="75"/>
      <c r="M136" s="76"/>
      <c r="N136" s="185">
        <f t="shared" si="2"/>
        <v>4500</v>
      </c>
      <c r="O136" s="77"/>
      <c r="P136" s="76"/>
    </row>
    <row r="137" spans="2:16" s="78" customFormat="1" ht="18" customHeight="1" x14ac:dyDescent="0.3">
      <c r="B137" s="132"/>
      <c r="C137" s="71" t="s">
        <v>561</v>
      </c>
      <c r="D137" s="72">
        <v>100</v>
      </c>
      <c r="E137" s="56" t="s">
        <v>483</v>
      </c>
      <c r="F137" s="73">
        <v>45</v>
      </c>
      <c r="G137" s="138">
        <f t="shared" si="3"/>
        <v>4500</v>
      </c>
      <c r="H137" s="74"/>
      <c r="I137" s="74"/>
      <c r="J137" s="75"/>
      <c r="K137" s="75"/>
      <c r="L137" s="75"/>
      <c r="M137" s="76"/>
      <c r="N137" s="185">
        <f t="shared" si="2"/>
        <v>4500</v>
      </c>
      <c r="O137" s="77"/>
      <c r="P137" s="76"/>
    </row>
    <row r="138" spans="2:16" s="78" customFormat="1" ht="18" customHeight="1" x14ac:dyDescent="0.3">
      <c r="B138" s="132"/>
      <c r="C138" s="71" t="s">
        <v>562</v>
      </c>
      <c r="D138" s="72">
        <v>50</v>
      </c>
      <c r="E138" s="56" t="s">
        <v>52</v>
      </c>
      <c r="F138" s="73">
        <v>150</v>
      </c>
      <c r="G138" s="138">
        <f t="shared" si="3"/>
        <v>7500</v>
      </c>
      <c r="H138" s="74"/>
      <c r="I138" s="74"/>
      <c r="J138" s="75"/>
      <c r="K138" s="75"/>
      <c r="L138" s="75"/>
      <c r="M138" s="76"/>
      <c r="N138" s="185">
        <f t="shared" si="2"/>
        <v>7500</v>
      </c>
      <c r="O138" s="77"/>
      <c r="P138" s="76"/>
    </row>
    <row r="139" spans="2:16" s="78" customFormat="1" ht="18" customHeight="1" x14ac:dyDescent="0.3">
      <c r="B139" s="132"/>
      <c r="C139" s="71" t="s">
        <v>563</v>
      </c>
      <c r="D139" s="72">
        <v>10</v>
      </c>
      <c r="E139" s="56" t="s">
        <v>442</v>
      </c>
      <c r="F139" s="73">
        <v>298</v>
      </c>
      <c r="G139" s="138">
        <f t="shared" si="3"/>
        <v>2980</v>
      </c>
      <c r="H139" s="74"/>
      <c r="I139" s="74"/>
      <c r="J139" s="75"/>
      <c r="K139" s="75"/>
      <c r="L139" s="75"/>
      <c r="M139" s="76"/>
      <c r="N139" s="185">
        <f t="shared" si="2"/>
        <v>2980</v>
      </c>
      <c r="O139" s="77"/>
      <c r="P139" s="76"/>
    </row>
    <row r="140" spans="2:16" s="78" customFormat="1" ht="18" customHeight="1" x14ac:dyDescent="0.3">
      <c r="B140" s="132"/>
      <c r="C140" s="71" t="s">
        <v>564</v>
      </c>
      <c r="D140" s="72">
        <v>20</v>
      </c>
      <c r="E140" s="56" t="s">
        <v>52</v>
      </c>
      <c r="F140" s="73">
        <v>450</v>
      </c>
      <c r="G140" s="138">
        <f t="shared" si="3"/>
        <v>9000</v>
      </c>
      <c r="H140" s="74"/>
      <c r="I140" s="74"/>
      <c r="J140" s="75"/>
      <c r="K140" s="75"/>
      <c r="L140" s="75"/>
      <c r="M140" s="76"/>
      <c r="N140" s="185">
        <f t="shared" ref="N140:N203" si="4">G140</f>
        <v>9000</v>
      </c>
      <c r="O140" s="77"/>
      <c r="P140" s="76"/>
    </row>
    <row r="141" spans="2:16" s="78" customFormat="1" ht="18" customHeight="1" x14ac:dyDescent="0.3">
      <c r="B141" s="132"/>
      <c r="C141" s="71" t="s">
        <v>565</v>
      </c>
      <c r="D141" s="72">
        <v>50</v>
      </c>
      <c r="E141" s="56" t="s">
        <v>52</v>
      </c>
      <c r="F141" s="73">
        <v>150</v>
      </c>
      <c r="G141" s="138">
        <f t="shared" si="3"/>
        <v>7500</v>
      </c>
      <c r="H141" s="74"/>
      <c r="I141" s="74"/>
      <c r="J141" s="75"/>
      <c r="K141" s="75"/>
      <c r="L141" s="75"/>
      <c r="M141" s="76"/>
      <c r="N141" s="185">
        <f t="shared" si="4"/>
        <v>7500</v>
      </c>
      <c r="O141" s="77"/>
      <c r="P141" s="76"/>
    </row>
    <row r="142" spans="2:16" s="78" customFormat="1" ht="18" customHeight="1" x14ac:dyDescent="0.3">
      <c r="B142" s="132"/>
      <c r="C142" s="71" t="s">
        <v>566</v>
      </c>
      <c r="D142" s="72">
        <v>50</v>
      </c>
      <c r="E142" s="56" t="s">
        <v>435</v>
      </c>
      <c r="F142" s="73">
        <v>70</v>
      </c>
      <c r="G142" s="138">
        <f t="shared" si="3"/>
        <v>3500</v>
      </c>
      <c r="H142" s="74"/>
      <c r="I142" s="74"/>
      <c r="J142" s="75"/>
      <c r="K142" s="75"/>
      <c r="L142" s="75"/>
      <c r="M142" s="76"/>
      <c r="N142" s="185">
        <f t="shared" si="4"/>
        <v>3500</v>
      </c>
      <c r="O142" s="77"/>
      <c r="P142" s="76"/>
    </row>
    <row r="143" spans="2:16" s="78" customFormat="1" ht="18" customHeight="1" x14ac:dyDescent="0.3">
      <c r="B143" s="132"/>
      <c r="C143" s="71" t="s">
        <v>567</v>
      </c>
      <c r="D143" s="72">
        <v>1</v>
      </c>
      <c r="E143" s="56" t="s">
        <v>52</v>
      </c>
      <c r="F143" s="73">
        <v>220</v>
      </c>
      <c r="G143" s="138">
        <f t="shared" si="3"/>
        <v>220</v>
      </c>
      <c r="H143" s="74"/>
      <c r="I143" s="74"/>
      <c r="J143" s="75"/>
      <c r="K143" s="75"/>
      <c r="L143" s="75"/>
      <c r="M143" s="76"/>
      <c r="N143" s="185">
        <f t="shared" si="4"/>
        <v>220</v>
      </c>
      <c r="O143" s="77"/>
      <c r="P143" s="76"/>
    </row>
    <row r="144" spans="2:16" s="78" customFormat="1" ht="18" customHeight="1" x14ac:dyDescent="0.3">
      <c r="B144" s="132"/>
      <c r="C144" s="71" t="s">
        <v>568</v>
      </c>
      <c r="D144" s="72">
        <v>30</v>
      </c>
      <c r="E144" s="56" t="s">
        <v>442</v>
      </c>
      <c r="F144" s="73">
        <v>90</v>
      </c>
      <c r="G144" s="138">
        <f t="shared" si="3"/>
        <v>2700</v>
      </c>
      <c r="H144" s="74"/>
      <c r="I144" s="74"/>
      <c r="J144" s="75"/>
      <c r="K144" s="75"/>
      <c r="L144" s="75"/>
      <c r="M144" s="76"/>
      <c r="N144" s="185">
        <f t="shared" si="4"/>
        <v>2700</v>
      </c>
      <c r="O144" s="77"/>
      <c r="P144" s="76"/>
    </row>
    <row r="145" spans="2:16" s="78" customFormat="1" ht="18" customHeight="1" x14ac:dyDescent="0.3">
      <c r="B145" s="132"/>
      <c r="C145" s="71" t="s">
        <v>569</v>
      </c>
      <c r="D145" s="72">
        <v>1</v>
      </c>
      <c r="E145" s="56" t="s">
        <v>52</v>
      </c>
      <c r="F145" s="73">
        <v>245</v>
      </c>
      <c r="G145" s="138">
        <f t="shared" si="3"/>
        <v>245</v>
      </c>
      <c r="H145" s="74"/>
      <c r="I145" s="74"/>
      <c r="J145" s="75"/>
      <c r="K145" s="75"/>
      <c r="L145" s="75"/>
      <c r="M145" s="76"/>
      <c r="N145" s="185">
        <f t="shared" si="4"/>
        <v>245</v>
      </c>
      <c r="O145" s="77"/>
      <c r="P145" s="76"/>
    </row>
    <row r="146" spans="2:16" s="78" customFormat="1" ht="18" customHeight="1" x14ac:dyDescent="0.3">
      <c r="B146" s="132"/>
      <c r="C146" s="71" t="s">
        <v>570</v>
      </c>
      <c r="D146" s="72">
        <v>50</v>
      </c>
      <c r="E146" s="56" t="s">
        <v>439</v>
      </c>
      <c r="F146" s="73">
        <v>16</v>
      </c>
      <c r="G146" s="138">
        <f t="shared" si="3"/>
        <v>800</v>
      </c>
      <c r="H146" s="74"/>
      <c r="I146" s="74"/>
      <c r="J146" s="75"/>
      <c r="K146" s="75"/>
      <c r="L146" s="75"/>
      <c r="M146" s="76"/>
      <c r="N146" s="185">
        <f t="shared" si="4"/>
        <v>800</v>
      </c>
      <c r="O146" s="77"/>
      <c r="P146" s="76"/>
    </row>
    <row r="147" spans="2:16" s="78" customFormat="1" ht="18" customHeight="1" x14ac:dyDescent="0.3">
      <c r="B147" s="132"/>
      <c r="C147" s="71" t="s">
        <v>571</v>
      </c>
      <c r="D147" s="72">
        <v>20</v>
      </c>
      <c r="E147" s="56" t="s">
        <v>52</v>
      </c>
      <c r="F147" s="73">
        <v>120</v>
      </c>
      <c r="G147" s="138">
        <f t="shared" si="3"/>
        <v>2400</v>
      </c>
      <c r="H147" s="74"/>
      <c r="I147" s="74"/>
      <c r="J147" s="75"/>
      <c r="K147" s="75"/>
      <c r="L147" s="75"/>
      <c r="M147" s="76"/>
      <c r="N147" s="185">
        <f t="shared" si="4"/>
        <v>2400</v>
      </c>
      <c r="O147" s="77"/>
      <c r="P147" s="76"/>
    </row>
    <row r="148" spans="2:16" s="78" customFormat="1" ht="18" customHeight="1" x14ac:dyDescent="0.3">
      <c r="B148" s="132"/>
      <c r="C148" s="71" t="s">
        <v>572</v>
      </c>
      <c r="D148" s="72">
        <v>40</v>
      </c>
      <c r="E148" s="56" t="s">
        <v>52</v>
      </c>
      <c r="F148" s="73">
        <v>150</v>
      </c>
      <c r="G148" s="138">
        <f t="shared" si="3"/>
        <v>6000</v>
      </c>
      <c r="H148" s="74"/>
      <c r="I148" s="74"/>
      <c r="J148" s="75"/>
      <c r="K148" s="75"/>
      <c r="L148" s="75"/>
      <c r="M148" s="76"/>
      <c r="N148" s="185">
        <f t="shared" si="4"/>
        <v>6000</v>
      </c>
      <c r="O148" s="77"/>
      <c r="P148" s="76"/>
    </row>
    <row r="149" spans="2:16" s="78" customFormat="1" ht="18" customHeight="1" x14ac:dyDescent="0.3">
      <c r="B149" s="132"/>
      <c r="C149" s="71" t="s">
        <v>573</v>
      </c>
      <c r="D149" s="72">
        <v>100</v>
      </c>
      <c r="E149" s="56" t="s">
        <v>442</v>
      </c>
      <c r="F149" s="73">
        <v>35</v>
      </c>
      <c r="G149" s="138">
        <f t="shared" si="3"/>
        <v>3500</v>
      </c>
      <c r="H149" s="74"/>
      <c r="I149" s="74"/>
      <c r="J149" s="75"/>
      <c r="K149" s="75"/>
      <c r="L149" s="75"/>
      <c r="M149" s="76"/>
      <c r="N149" s="185">
        <f t="shared" si="4"/>
        <v>3500</v>
      </c>
      <c r="O149" s="77"/>
      <c r="P149" s="76"/>
    </row>
    <row r="150" spans="2:16" s="78" customFormat="1" ht="18" customHeight="1" x14ac:dyDescent="0.3">
      <c r="B150" s="132"/>
      <c r="C150" s="71" t="s">
        <v>574</v>
      </c>
      <c r="D150" s="72">
        <v>10</v>
      </c>
      <c r="E150" s="56" t="s">
        <v>52</v>
      </c>
      <c r="F150" s="73">
        <v>220</v>
      </c>
      <c r="G150" s="138">
        <f t="shared" si="3"/>
        <v>2200</v>
      </c>
      <c r="H150" s="74"/>
      <c r="I150" s="74"/>
      <c r="J150" s="75"/>
      <c r="K150" s="75"/>
      <c r="L150" s="75"/>
      <c r="M150" s="76"/>
      <c r="N150" s="185">
        <f t="shared" si="4"/>
        <v>2200</v>
      </c>
      <c r="O150" s="77"/>
      <c r="P150" s="76"/>
    </row>
    <row r="151" spans="2:16" s="78" customFormat="1" ht="18" customHeight="1" x14ac:dyDescent="0.3">
      <c r="B151" s="132"/>
      <c r="C151" s="71" t="s">
        <v>575</v>
      </c>
      <c r="D151" s="72">
        <v>1</v>
      </c>
      <c r="E151" s="56" t="s">
        <v>52</v>
      </c>
      <c r="F151" s="73">
        <v>640</v>
      </c>
      <c r="G151" s="138">
        <f t="shared" si="3"/>
        <v>640</v>
      </c>
      <c r="H151" s="74"/>
      <c r="I151" s="74"/>
      <c r="J151" s="75"/>
      <c r="K151" s="75"/>
      <c r="L151" s="75"/>
      <c r="M151" s="76"/>
      <c r="N151" s="185">
        <f t="shared" si="4"/>
        <v>640</v>
      </c>
      <c r="O151" s="77"/>
      <c r="P151" s="76"/>
    </row>
    <row r="152" spans="2:16" s="78" customFormat="1" ht="18" customHeight="1" x14ac:dyDescent="0.3">
      <c r="B152" s="132"/>
      <c r="C152" s="71" t="s">
        <v>576</v>
      </c>
      <c r="D152" s="72">
        <v>30</v>
      </c>
      <c r="E152" s="56" t="s">
        <v>444</v>
      </c>
      <c r="F152" s="73">
        <v>132</v>
      </c>
      <c r="G152" s="138">
        <f t="shared" si="3"/>
        <v>3960</v>
      </c>
      <c r="H152" s="74"/>
      <c r="I152" s="74"/>
      <c r="J152" s="75"/>
      <c r="K152" s="75"/>
      <c r="L152" s="75"/>
      <c r="M152" s="76"/>
      <c r="N152" s="185">
        <f t="shared" si="4"/>
        <v>3960</v>
      </c>
      <c r="O152" s="77"/>
      <c r="P152" s="76"/>
    </row>
    <row r="153" spans="2:16" s="78" customFormat="1" ht="18" customHeight="1" x14ac:dyDescent="0.3">
      <c r="B153" s="132"/>
      <c r="C153" s="71" t="s">
        <v>577</v>
      </c>
      <c r="D153" s="72">
        <v>10</v>
      </c>
      <c r="E153" s="56" t="s">
        <v>52</v>
      </c>
      <c r="F153" s="73">
        <v>310</v>
      </c>
      <c r="G153" s="138">
        <f t="shared" si="3"/>
        <v>3100</v>
      </c>
      <c r="H153" s="74"/>
      <c r="I153" s="74"/>
      <c r="J153" s="75"/>
      <c r="K153" s="75"/>
      <c r="L153" s="75"/>
      <c r="M153" s="76"/>
      <c r="N153" s="185">
        <f t="shared" si="4"/>
        <v>3100</v>
      </c>
      <c r="O153" s="77"/>
      <c r="P153" s="76"/>
    </row>
    <row r="154" spans="2:16" s="78" customFormat="1" ht="18" customHeight="1" x14ac:dyDescent="0.3">
      <c r="B154" s="132"/>
      <c r="C154" s="71" t="s">
        <v>578</v>
      </c>
      <c r="D154" s="72">
        <v>6</v>
      </c>
      <c r="E154" s="56" t="s">
        <v>52</v>
      </c>
      <c r="F154" s="73">
        <v>150</v>
      </c>
      <c r="G154" s="138">
        <f t="shared" si="3"/>
        <v>900</v>
      </c>
      <c r="H154" s="74"/>
      <c r="I154" s="74"/>
      <c r="J154" s="75"/>
      <c r="K154" s="75"/>
      <c r="L154" s="75"/>
      <c r="M154" s="76"/>
      <c r="N154" s="185">
        <f t="shared" si="4"/>
        <v>900</v>
      </c>
      <c r="O154" s="77"/>
      <c r="P154" s="76"/>
    </row>
    <row r="155" spans="2:16" s="78" customFormat="1" ht="18" customHeight="1" x14ac:dyDescent="0.3">
      <c r="B155" s="132"/>
      <c r="C155" s="71" t="s">
        <v>579</v>
      </c>
      <c r="D155" s="72">
        <v>6</v>
      </c>
      <c r="E155" s="56" t="s">
        <v>52</v>
      </c>
      <c r="F155" s="73">
        <v>200</v>
      </c>
      <c r="G155" s="138">
        <f t="shared" si="3"/>
        <v>1200</v>
      </c>
      <c r="H155" s="74"/>
      <c r="I155" s="74"/>
      <c r="J155" s="75"/>
      <c r="K155" s="75"/>
      <c r="L155" s="75"/>
      <c r="M155" s="76"/>
      <c r="N155" s="185">
        <f t="shared" si="4"/>
        <v>1200</v>
      </c>
      <c r="O155" s="77"/>
      <c r="P155" s="76"/>
    </row>
    <row r="156" spans="2:16" s="78" customFormat="1" ht="18" customHeight="1" x14ac:dyDescent="0.3">
      <c r="B156" s="132"/>
      <c r="C156" s="71" t="s">
        <v>580</v>
      </c>
      <c r="D156" s="72">
        <v>50</v>
      </c>
      <c r="E156" s="56" t="s">
        <v>442</v>
      </c>
      <c r="F156" s="73">
        <v>35</v>
      </c>
      <c r="G156" s="138">
        <f t="shared" si="3"/>
        <v>1750</v>
      </c>
      <c r="H156" s="74"/>
      <c r="I156" s="74"/>
      <c r="J156" s="75"/>
      <c r="K156" s="75"/>
      <c r="L156" s="75"/>
      <c r="M156" s="76"/>
      <c r="N156" s="185">
        <f t="shared" si="4"/>
        <v>1750</v>
      </c>
      <c r="O156" s="77"/>
      <c r="P156" s="76"/>
    </row>
    <row r="157" spans="2:16" s="78" customFormat="1" ht="18" customHeight="1" x14ac:dyDescent="0.3">
      <c r="B157" s="132"/>
      <c r="C157" s="71" t="s">
        <v>581</v>
      </c>
      <c r="D157" s="72">
        <v>400</v>
      </c>
      <c r="E157" s="56" t="s">
        <v>444</v>
      </c>
      <c r="F157" s="73">
        <v>15</v>
      </c>
      <c r="G157" s="138">
        <f t="shared" si="3"/>
        <v>6000</v>
      </c>
      <c r="H157" s="74"/>
      <c r="I157" s="74"/>
      <c r="J157" s="75"/>
      <c r="K157" s="75"/>
      <c r="L157" s="75"/>
      <c r="M157" s="76"/>
      <c r="N157" s="185">
        <f t="shared" si="4"/>
        <v>6000</v>
      </c>
      <c r="O157" s="77"/>
      <c r="P157" s="76"/>
    </row>
    <row r="158" spans="2:16" s="78" customFormat="1" ht="18" customHeight="1" x14ac:dyDescent="0.3">
      <c r="B158" s="132"/>
      <c r="C158" s="71" t="s">
        <v>582</v>
      </c>
      <c r="D158" s="72">
        <v>30</v>
      </c>
      <c r="E158" s="56" t="s">
        <v>52</v>
      </c>
      <c r="F158" s="73">
        <v>200</v>
      </c>
      <c r="G158" s="138">
        <f t="shared" si="3"/>
        <v>6000</v>
      </c>
      <c r="H158" s="74"/>
      <c r="I158" s="74"/>
      <c r="J158" s="75"/>
      <c r="K158" s="75"/>
      <c r="L158" s="75"/>
      <c r="M158" s="76"/>
      <c r="N158" s="185">
        <f t="shared" si="4"/>
        <v>6000</v>
      </c>
      <c r="O158" s="77"/>
      <c r="P158" s="76"/>
    </row>
    <row r="159" spans="2:16" s="78" customFormat="1" ht="18" customHeight="1" x14ac:dyDescent="0.3">
      <c r="B159" s="132"/>
      <c r="C159" s="71" t="s">
        <v>583</v>
      </c>
      <c r="D159" s="72">
        <v>50</v>
      </c>
      <c r="E159" s="56" t="s">
        <v>52</v>
      </c>
      <c r="F159" s="73">
        <v>100</v>
      </c>
      <c r="G159" s="138">
        <f t="shared" si="3"/>
        <v>5000</v>
      </c>
      <c r="H159" s="74"/>
      <c r="I159" s="74"/>
      <c r="J159" s="75"/>
      <c r="K159" s="75"/>
      <c r="L159" s="75"/>
      <c r="M159" s="76"/>
      <c r="N159" s="185">
        <f t="shared" si="4"/>
        <v>5000</v>
      </c>
      <c r="O159" s="77"/>
      <c r="P159" s="76"/>
    </row>
    <row r="160" spans="2:16" s="78" customFormat="1" ht="18" customHeight="1" x14ac:dyDescent="0.3">
      <c r="B160" s="132"/>
      <c r="C160" s="71" t="s">
        <v>584</v>
      </c>
      <c r="D160" s="72">
        <v>200</v>
      </c>
      <c r="E160" s="56" t="s">
        <v>442</v>
      </c>
      <c r="F160" s="73">
        <v>35</v>
      </c>
      <c r="G160" s="138">
        <f t="shared" si="3"/>
        <v>7000</v>
      </c>
      <c r="H160" s="74"/>
      <c r="I160" s="74"/>
      <c r="J160" s="75"/>
      <c r="K160" s="75"/>
      <c r="L160" s="75"/>
      <c r="M160" s="76"/>
      <c r="N160" s="185">
        <f t="shared" si="4"/>
        <v>7000</v>
      </c>
      <c r="O160" s="77"/>
      <c r="P160" s="76"/>
    </row>
    <row r="161" spans="2:16" s="78" customFormat="1" ht="18" customHeight="1" x14ac:dyDescent="0.3">
      <c r="B161" s="132"/>
      <c r="C161" s="71" t="s">
        <v>585</v>
      </c>
      <c r="D161" s="72">
        <v>30</v>
      </c>
      <c r="E161" s="56" t="s">
        <v>52</v>
      </c>
      <c r="F161" s="73">
        <v>100</v>
      </c>
      <c r="G161" s="138">
        <f t="shared" si="3"/>
        <v>3000</v>
      </c>
      <c r="H161" s="74"/>
      <c r="I161" s="74"/>
      <c r="J161" s="75"/>
      <c r="K161" s="75"/>
      <c r="L161" s="75"/>
      <c r="M161" s="76"/>
      <c r="N161" s="185">
        <f t="shared" si="4"/>
        <v>3000</v>
      </c>
      <c r="O161" s="77"/>
      <c r="P161" s="76"/>
    </row>
    <row r="162" spans="2:16" s="78" customFormat="1" ht="18" customHeight="1" x14ac:dyDescent="0.3">
      <c r="B162" s="132"/>
      <c r="C162" s="71" t="s">
        <v>586</v>
      </c>
      <c r="D162" s="72">
        <v>30</v>
      </c>
      <c r="E162" s="56" t="s">
        <v>439</v>
      </c>
      <c r="F162" s="73">
        <v>50</v>
      </c>
      <c r="G162" s="138">
        <f t="shared" si="3"/>
        <v>1500</v>
      </c>
      <c r="H162" s="74"/>
      <c r="I162" s="74"/>
      <c r="J162" s="75"/>
      <c r="K162" s="75"/>
      <c r="L162" s="75"/>
      <c r="M162" s="76"/>
      <c r="N162" s="185">
        <f t="shared" si="4"/>
        <v>1500</v>
      </c>
      <c r="O162" s="77"/>
      <c r="P162" s="76"/>
    </row>
    <row r="163" spans="2:16" s="78" customFormat="1" ht="18" customHeight="1" x14ac:dyDescent="0.3">
      <c r="B163" s="132"/>
      <c r="C163" s="71" t="s">
        <v>587</v>
      </c>
      <c r="D163" s="72">
        <v>5</v>
      </c>
      <c r="E163" s="56" t="s">
        <v>52</v>
      </c>
      <c r="F163" s="73">
        <v>800</v>
      </c>
      <c r="G163" s="138">
        <f t="shared" si="3"/>
        <v>4000</v>
      </c>
      <c r="H163" s="74"/>
      <c r="I163" s="74"/>
      <c r="J163" s="75"/>
      <c r="K163" s="75"/>
      <c r="L163" s="75"/>
      <c r="M163" s="76"/>
      <c r="N163" s="185">
        <f t="shared" si="4"/>
        <v>4000</v>
      </c>
      <c r="O163" s="77"/>
      <c r="P163" s="76"/>
    </row>
    <row r="164" spans="2:16" s="78" customFormat="1" ht="18" customHeight="1" x14ac:dyDescent="0.3">
      <c r="B164" s="132"/>
      <c r="C164" s="71" t="s">
        <v>588</v>
      </c>
      <c r="D164" s="72">
        <v>2</v>
      </c>
      <c r="E164" s="56" t="s">
        <v>52</v>
      </c>
      <c r="F164" s="73">
        <v>700</v>
      </c>
      <c r="G164" s="138">
        <f t="shared" si="3"/>
        <v>1400</v>
      </c>
      <c r="H164" s="74"/>
      <c r="I164" s="74"/>
      <c r="J164" s="75"/>
      <c r="K164" s="75"/>
      <c r="L164" s="75"/>
      <c r="M164" s="76"/>
      <c r="N164" s="185">
        <f t="shared" si="4"/>
        <v>1400</v>
      </c>
      <c r="O164" s="77"/>
      <c r="P164" s="76"/>
    </row>
    <row r="165" spans="2:16" s="78" customFormat="1" ht="18" customHeight="1" x14ac:dyDescent="0.3">
      <c r="B165" s="132"/>
      <c r="C165" s="71" t="s">
        <v>589</v>
      </c>
      <c r="D165" s="72">
        <v>10</v>
      </c>
      <c r="E165" s="56" t="s">
        <v>444</v>
      </c>
      <c r="F165" s="73">
        <v>50</v>
      </c>
      <c r="G165" s="138">
        <f t="shared" si="3"/>
        <v>500</v>
      </c>
      <c r="H165" s="74"/>
      <c r="I165" s="74"/>
      <c r="J165" s="75"/>
      <c r="K165" s="75"/>
      <c r="L165" s="75"/>
      <c r="M165" s="76"/>
      <c r="N165" s="185">
        <f t="shared" si="4"/>
        <v>500</v>
      </c>
      <c r="O165" s="77"/>
      <c r="P165" s="76"/>
    </row>
    <row r="166" spans="2:16" s="78" customFormat="1" ht="18" customHeight="1" x14ac:dyDescent="0.3">
      <c r="B166" s="132"/>
      <c r="C166" s="71" t="s">
        <v>590</v>
      </c>
      <c r="D166" s="72">
        <v>20</v>
      </c>
      <c r="E166" s="56" t="s">
        <v>54</v>
      </c>
      <c r="F166" s="73">
        <v>180</v>
      </c>
      <c r="G166" s="138">
        <f t="shared" si="3"/>
        <v>3600</v>
      </c>
      <c r="H166" s="74"/>
      <c r="I166" s="74"/>
      <c r="J166" s="75"/>
      <c r="K166" s="75"/>
      <c r="L166" s="75"/>
      <c r="M166" s="76"/>
      <c r="N166" s="185">
        <f t="shared" si="4"/>
        <v>3600</v>
      </c>
      <c r="O166" s="77"/>
      <c r="P166" s="76"/>
    </row>
    <row r="167" spans="2:16" s="78" customFormat="1" ht="18" customHeight="1" x14ac:dyDescent="0.3">
      <c r="B167" s="132"/>
      <c r="C167" s="71" t="s">
        <v>591</v>
      </c>
      <c r="D167" s="72">
        <v>15</v>
      </c>
      <c r="E167" s="56" t="s">
        <v>592</v>
      </c>
      <c r="F167" s="73">
        <v>50</v>
      </c>
      <c r="G167" s="138">
        <f t="shared" si="3"/>
        <v>750</v>
      </c>
      <c r="H167" s="74"/>
      <c r="I167" s="74"/>
      <c r="J167" s="75"/>
      <c r="K167" s="75"/>
      <c r="L167" s="75"/>
      <c r="M167" s="76"/>
      <c r="N167" s="185">
        <f t="shared" si="4"/>
        <v>750</v>
      </c>
      <c r="O167" s="77"/>
      <c r="P167" s="76"/>
    </row>
    <row r="168" spans="2:16" s="78" customFormat="1" ht="18" customHeight="1" x14ac:dyDescent="0.3">
      <c r="B168" s="132"/>
      <c r="C168" s="71" t="s">
        <v>593</v>
      </c>
      <c r="D168" s="72">
        <v>10</v>
      </c>
      <c r="E168" s="56" t="s">
        <v>52</v>
      </c>
      <c r="F168" s="73">
        <v>400</v>
      </c>
      <c r="G168" s="138">
        <f t="shared" si="3"/>
        <v>4000</v>
      </c>
      <c r="H168" s="74"/>
      <c r="I168" s="74"/>
      <c r="J168" s="75"/>
      <c r="K168" s="75"/>
      <c r="L168" s="75"/>
      <c r="M168" s="76"/>
      <c r="N168" s="185">
        <f t="shared" si="4"/>
        <v>4000</v>
      </c>
      <c r="O168" s="77"/>
      <c r="P168" s="76"/>
    </row>
    <row r="169" spans="2:16" s="78" customFormat="1" ht="18" customHeight="1" x14ac:dyDescent="0.3">
      <c r="B169" s="132"/>
      <c r="C169" s="71" t="s">
        <v>594</v>
      </c>
      <c r="D169" s="72">
        <v>10</v>
      </c>
      <c r="E169" s="56" t="s">
        <v>52</v>
      </c>
      <c r="F169" s="73">
        <v>215</v>
      </c>
      <c r="G169" s="138">
        <f t="shared" si="3"/>
        <v>2150</v>
      </c>
      <c r="H169" s="74"/>
      <c r="I169" s="74"/>
      <c r="J169" s="75"/>
      <c r="K169" s="75"/>
      <c r="L169" s="75"/>
      <c r="M169" s="76"/>
      <c r="N169" s="185">
        <f t="shared" si="4"/>
        <v>2150</v>
      </c>
      <c r="O169" s="77"/>
      <c r="P169" s="76"/>
    </row>
    <row r="170" spans="2:16" s="78" customFormat="1" ht="18" customHeight="1" x14ac:dyDescent="0.3">
      <c r="B170" s="132"/>
      <c r="C170" s="71" t="s">
        <v>595</v>
      </c>
      <c r="D170" s="72">
        <v>10</v>
      </c>
      <c r="E170" s="56" t="s">
        <v>444</v>
      </c>
      <c r="F170" s="73">
        <v>70</v>
      </c>
      <c r="G170" s="138">
        <f t="shared" si="3"/>
        <v>700</v>
      </c>
      <c r="H170" s="74"/>
      <c r="I170" s="74"/>
      <c r="J170" s="75"/>
      <c r="K170" s="75"/>
      <c r="L170" s="75"/>
      <c r="M170" s="76"/>
      <c r="N170" s="185">
        <f t="shared" si="4"/>
        <v>700</v>
      </c>
      <c r="O170" s="77"/>
      <c r="P170" s="76"/>
    </row>
    <row r="171" spans="2:16" s="78" customFormat="1" ht="18" customHeight="1" x14ac:dyDescent="0.3">
      <c r="B171" s="132"/>
      <c r="C171" s="71" t="s">
        <v>596</v>
      </c>
      <c r="D171" s="72">
        <v>5</v>
      </c>
      <c r="E171" s="56" t="s">
        <v>52</v>
      </c>
      <c r="F171" s="73">
        <v>300</v>
      </c>
      <c r="G171" s="138">
        <f t="shared" si="3"/>
        <v>1500</v>
      </c>
      <c r="H171" s="74"/>
      <c r="I171" s="74"/>
      <c r="J171" s="75"/>
      <c r="K171" s="75"/>
      <c r="L171" s="75"/>
      <c r="M171" s="76"/>
      <c r="N171" s="185">
        <f t="shared" si="4"/>
        <v>1500</v>
      </c>
      <c r="O171" s="77"/>
      <c r="P171" s="76"/>
    </row>
    <row r="172" spans="2:16" s="78" customFormat="1" ht="18" customHeight="1" x14ac:dyDescent="0.3">
      <c r="B172" s="132"/>
      <c r="C172" s="71" t="s">
        <v>597</v>
      </c>
      <c r="D172" s="72">
        <v>50</v>
      </c>
      <c r="E172" s="56" t="s">
        <v>52</v>
      </c>
      <c r="F172" s="73">
        <v>150</v>
      </c>
      <c r="G172" s="138">
        <f t="shared" si="3"/>
        <v>7500</v>
      </c>
      <c r="H172" s="74"/>
      <c r="I172" s="74"/>
      <c r="J172" s="75"/>
      <c r="K172" s="75"/>
      <c r="L172" s="75"/>
      <c r="M172" s="76"/>
      <c r="N172" s="185">
        <f t="shared" si="4"/>
        <v>7500</v>
      </c>
      <c r="O172" s="77"/>
      <c r="P172" s="76"/>
    </row>
    <row r="173" spans="2:16" s="78" customFormat="1" ht="18" customHeight="1" x14ac:dyDescent="0.3">
      <c r="B173" s="132"/>
      <c r="C173" s="71" t="s">
        <v>598</v>
      </c>
      <c r="D173" s="72">
        <v>8</v>
      </c>
      <c r="E173" s="56" t="s">
        <v>435</v>
      </c>
      <c r="F173" s="73">
        <v>190</v>
      </c>
      <c r="G173" s="138">
        <f t="shared" si="3"/>
        <v>1520</v>
      </c>
      <c r="H173" s="74"/>
      <c r="I173" s="74"/>
      <c r="J173" s="75"/>
      <c r="K173" s="75"/>
      <c r="L173" s="75"/>
      <c r="M173" s="76"/>
      <c r="N173" s="185">
        <f t="shared" si="4"/>
        <v>1520</v>
      </c>
      <c r="O173" s="77"/>
      <c r="P173" s="76"/>
    </row>
    <row r="174" spans="2:16" s="78" customFormat="1" ht="18" customHeight="1" x14ac:dyDescent="0.3">
      <c r="B174" s="132"/>
      <c r="C174" s="71" t="s">
        <v>599</v>
      </c>
      <c r="D174" s="72">
        <v>8</v>
      </c>
      <c r="E174" s="56" t="s">
        <v>52</v>
      </c>
      <c r="F174" s="73">
        <v>380</v>
      </c>
      <c r="G174" s="138">
        <f t="shared" si="3"/>
        <v>3040</v>
      </c>
      <c r="H174" s="74"/>
      <c r="I174" s="74"/>
      <c r="J174" s="75"/>
      <c r="K174" s="75"/>
      <c r="L174" s="75"/>
      <c r="M174" s="76"/>
      <c r="N174" s="185">
        <f t="shared" si="4"/>
        <v>3040</v>
      </c>
      <c r="O174" s="77"/>
      <c r="P174" s="76"/>
    </row>
    <row r="175" spans="2:16" s="78" customFormat="1" ht="18" customHeight="1" x14ac:dyDescent="0.3">
      <c r="B175" s="132"/>
      <c r="C175" s="71" t="s">
        <v>600</v>
      </c>
      <c r="D175" s="72">
        <v>100</v>
      </c>
      <c r="E175" s="56" t="s">
        <v>472</v>
      </c>
      <c r="F175" s="73">
        <v>15</v>
      </c>
      <c r="G175" s="138">
        <f t="shared" si="3"/>
        <v>1500</v>
      </c>
      <c r="H175" s="74"/>
      <c r="I175" s="74"/>
      <c r="J175" s="75"/>
      <c r="K175" s="75"/>
      <c r="L175" s="75"/>
      <c r="M175" s="76"/>
      <c r="N175" s="185">
        <f t="shared" si="4"/>
        <v>1500</v>
      </c>
      <c r="O175" s="77"/>
      <c r="P175" s="76"/>
    </row>
    <row r="176" spans="2:16" s="78" customFormat="1" ht="18" customHeight="1" x14ac:dyDescent="0.3">
      <c r="B176" s="132"/>
      <c r="C176" s="71" t="s">
        <v>601</v>
      </c>
      <c r="D176" s="72">
        <v>50</v>
      </c>
      <c r="E176" s="56" t="s">
        <v>439</v>
      </c>
      <c r="F176" s="73">
        <v>15</v>
      </c>
      <c r="G176" s="138">
        <f t="shared" si="3"/>
        <v>750</v>
      </c>
      <c r="H176" s="74"/>
      <c r="I176" s="74"/>
      <c r="J176" s="75"/>
      <c r="K176" s="75"/>
      <c r="L176" s="75"/>
      <c r="M176" s="76"/>
      <c r="N176" s="185">
        <f t="shared" si="4"/>
        <v>750</v>
      </c>
      <c r="O176" s="77"/>
      <c r="P176" s="76"/>
    </row>
    <row r="177" spans="2:16" s="78" customFormat="1" ht="18" customHeight="1" x14ac:dyDescent="0.3">
      <c r="B177" s="132"/>
      <c r="C177" s="71" t="s">
        <v>602</v>
      </c>
      <c r="D177" s="72">
        <v>70</v>
      </c>
      <c r="E177" s="56" t="s">
        <v>444</v>
      </c>
      <c r="F177" s="73">
        <v>120</v>
      </c>
      <c r="G177" s="138">
        <f t="shared" si="3"/>
        <v>8400</v>
      </c>
      <c r="H177" s="74"/>
      <c r="I177" s="74"/>
      <c r="J177" s="75"/>
      <c r="K177" s="75"/>
      <c r="L177" s="75"/>
      <c r="M177" s="76"/>
      <c r="N177" s="185">
        <f t="shared" si="4"/>
        <v>8400</v>
      </c>
      <c r="O177" s="77"/>
      <c r="P177" s="76"/>
    </row>
    <row r="178" spans="2:16" s="78" customFormat="1" ht="18" customHeight="1" x14ac:dyDescent="0.3">
      <c r="B178" s="132"/>
      <c r="C178" s="71" t="s">
        <v>603</v>
      </c>
      <c r="D178" s="72">
        <v>300</v>
      </c>
      <c r="E178" s="56" t="s">
        <v>442</v>
      </c>
      <c r="F178" s="73">
        <v>20</v>
      </c>
      <c r="G178" s="138">
        <f t="shared" si="3"/>
        <v>6000</v>
      </c>
      <c r="H178" s="74"/>
      <c r="I178" s="74"/>
      <c r="J178" s="75"/>
      <c r="K178" s="75"/>
      <c r="L178" s="75"/>
      <c r="M178" s="76"/>
      <c r="N178" s="185">
        <f t="shared" si="4"/>
        <v>6000</v>
      </c>
      <c r="O178" s="77"/>
      <c r="P178" s="76"/>
    </row>
    <row r="179" spans="2:16" s="78" customFormat="1" ht="18" customHeight="1" x14ac:dyDescent="0.3">
      <c r="B179" s="132"/>
      <c r="C179" s="71" t="s">
        <v>604</v>
      </c>
      <c r="D179" s="72">
        <v>100</v>
      </c>
      <c r="E179" s="56" t="s">
        <v>467</v>
      </c>
      <c r="F179" s="73">
        <v>75</v>
      </c>
      <c r="G179" s="138">
        <f t="shared" si="3"/>
        <v>7500</v>
      </c>
      <c r="H179" s="74"/>
      <c r="I179" s="74"/>
      <c r="J179" s="75"/>
      <c r="K179" s="75"/>
      <c r="L179" s="75"/>
      <c r="M179" s="76"/>
      <c r="N179" s="185">
        <f t="shared" si="4"/>
        <v>7500</v>
      </c>
      <c r="O179" s="77"/>
      <c r="P179" s="76"/>
    </row>
    <row r="180" spans="2:16" s="78" customFormat="1" ht="18" customHeight="1" x14ac:dyDescent="0.3">
      <c r="B180" s="132"/>
      <c r="C180" s="71" t="s">
        <v>605</v>
      </c>
      <c r="D180" s="72">
        <v>100</v>
      </c>
      <c r="E180" s="56" t="s">
        <v>442</v>
      </c>
      <c r="F180" s="73">
        <v>20</v>
      </c>
      <c r="G180" s="138">
        <f t="shared" si="3"/>
        <v>2000</v>
      </c>
      <c r="H180" s="74"/>
      <c r="I180" s="74"/>
      <c r="J180" s="75"/>
      <c r="K180" s="75"/>
      <c r="L180" s="75"/>
      <c r="M180" s="76"/>
      <c r="N180" s="185">
        <f t="shared" si="4"/>
        <v>2000</v>
      </c>
      <c r="O180" s="77"/>
      <c r="P180" s="76"/>
    </row>
    <row r="181" spans="2:16" s="78" customFormat="1" ht="18" customHeight="1" x14ac:dyDescent="0.3">
      <c r="B181" s="132"/>
      <c r="C181" s="71" t="s">
        <v>606</v>
      </c>
      <c r="D181" s="72">
        <v>50</v>
      </c>
      <c r="E181" s="56" t="s">
        <v>444</v>
      </c>
      <c r="F181" s="73">
        <v>35</v>
      </c>
      <c r="G181" s="138">
        <f t="shared" si="3"/>
        <v>1750</v>
      </c>
      <c r="H181" s="74"/>
      <c r="I181" s="74"/>
      <c r="J181" s="75"/>
      <c r="K181" s="75"/>
      <c r="L181" s="75"/>
      <c r="M181" s="76"/>
      <c r="N181" s="185">
        <f t="shared" si="4"/>
        <v>1750</v>
      </c>
      <c r="O181" s="77"/>
      <c r="P181" s="76"/>
    </row>
    <row r="182" spans="2:16" s="78" customFormat="1" ht="18" customHeight="1" x14ac:dyDescent="0.3">
      <c r="B182" s="132"/>
      <c r="C182" s="71" t="s">
        <v>607</v>
      </c>
      <c r="D182" s="72">
        <v>100</v>
      </c>
      <c r="E182" s="56" t="s">
        <v>467</v>
      </c>
      <c r="F182" s="73">
        <v>50</v>
      </c>
      <c r="G182" s="138">
        <f t="shared" si="3"/>
        <v>5000</v>
      </c>
      <c r="H182" s="74"/>
      <c r="I182" s="74"/>
      <c r="J182" s="75"/>
      <c r="K182" s="75"/>
      <c r="L182" s="75"/>
      <c r="M182" s="76"/>
      <c r="N182" s="185">
        <f t="shared" si="4"/>
        <v>5000</v>
      </c>
      <c r="O182" s="77"/>
      <c r="P182" s="76"/>
    </row>
    <row r="183" spans="2:16" s="78" customFormat="1" ht="18" customHeight="1" x14ac:dyDescent="0.3">
      <c r="B183" s="132"/>
      <c r="C183" s="71" t="s">
        <v>608</v>
      </c>
      <c r="D183" s="72">
        <v>200</v>
      </c>
      <c r="E183" s="56" t="s">
        <v>442</v>
      </c>
      <c r="F183" s="73">
        <v>27</v>
      </c>
      <c r="G183" s="138">
        <f t="shared" si="3"/>
        <v>5400</v>
      </c>
      <c r="H183" s="74"/>
      <c r="I183" s="74"/>
      <c r="J183" s="75"/>
      <c r="K183" s="75"/>
      <c r="L183" s="75"/>
      <c r="M183" s="76"/>
      <c r="N183" s="185">
        <f t="shared" si="4"/>
        <v>5400</v>
      </c>
      <c r="O183" s="77"/>
      <c r="P183" s="76"/>
    </row>
    <row r="184" spans="2:16" s="78" customFormat="1" ht="18" customHeight="1" x14ac:dyDescent="0.3">
      <c r="B184" s="132"/>
      <c r="C184" s="71" t="s">
        <v>609</v>
      </c>
      <c r="D184" s="72">
        <v>50</v>
      </c>
      <c r="E184" s="56" t="s">
        <v>52</v>
      </c>
      <c r="F184" s="73">
        <v>110</v>
      </c>
      <c r="G184" s="138">
        <f t="shared" si="3"/>
        <v>5500</v>
      </c>
      <c r="H184" s="74"/>
      <c r="I184" s="74"/>
      <c r="J184" s="75"/>
      <c r="K184" s="75"/>
      <c r="L184" s="75"/>
      <c r="M184" s="76"/>
      <c r="N184" s="185">
        <f t="shared" si="4"/>
        <v>5500</v>
      </c>
      <c r="O184" s="77"/>
      <c r="P184" s="76"/>
    </row>
    <row r="185" spans="2:16" s="78" customFormat="1" ht="18" customHeight="1" x14ac:dyDescent="0.3">
      <c r="B185" s="132"/>
      <c r="C185" s="71" t="s">
        <v>610</v>
      </c>
      <c r="D185" s="72">
        <v>10</v>
      </c>
      <c r="E185" s="56" t="s">
        <v>442</v>
      </c>
      <c r="F185" s="73">
        <v>115</v>
      </c>
      <c r="G185" s="138">
        <f t="shared" si="3"/>
        <v>1150</v>
      </c>
      <c r="H185" s="74"/>
      <c r="I185" s="74"/>
      <c r="J185" s="75"/>
      <c r="K185" s="75"/>
      <c r="L185" s="75"/>
      <c r="M185" s="76"/>
      <c r="N185" s="185">
        <f t="shared" si="4"/>
        <v>1150</v>
      </c>
      <c r="O185" s="77"/>
      <c r="P185" s="76"/>
    </row>
    <row r="186" spans="2:16" s="78" customFormat="1" ht="18" customHeight="1" x14ac:dyDescent="0.3">
      <c r="B186" s="132"/>
      <c r="C186" s="71" t="s">
        <v>611</v>
      </c>
      <c r="D186" s="72">
        <v>10</v>
      </c>
      <c r="E186" s="56" t="s">
        <v>444</v>
      </c>
      <c r="F186" s="73">
        <v>350</v>
      </c>
      <c r="G186" s="138">
        <f t="shared" si="3"/>
        <v>3500</v>
      </c>
      <c r="H186" s="74"/>
      <c r="I186" s="74"/>
      <c r="J186" s="75"/>
      <c r="K186" s="75"/>
      <c r="L186" s="75"/>
      <c r="M186" s="76"/>
      <c r="N186" s="185">
        <f t="shared" si="4"/>
        <v>3500</v>
      </c>
      <c r="O186" s="77"/>
      <c r="P186" s="76"/>
    </row>
    <row r="187" spans="2:16" s="78" customFormat="1" ht="18" customHeight="1" x14ac:dyDescent="0.3">
      <c r="B187" s="132"/>
      <c r="C187" s="71" t="s">
        <v>612</v>
      </c>
      <c r="D187" s="72">
        <v>30</v>
      </c>
      <c r="E187" s="56" t="s">
        <v>483</v>
      </c>
      <c r="F187" s="73">
        <v>15</v>
      </c>
      <c r="G187" s="138">
        <f t="shared" si="3"/>
        <v>450</v>
      </c>
      <c r="H187" s="74"/>
      <c r="I187" s="74"/>
      <c r="J187" s="75"/>
      <c r="K187" s="75"/>
      <c r="L187" s="75"/>
      <c r="M187" s="76"/>
      <c r="N187" s="185">
        <f t="shared" si="4"/>
        <v>450</v>
      </c>
      <c r="O187" s="77"/>
      <c r="P187" s="76"/>
    </row>
    <row r="188" spans="2:16" s="78" customFormat="1" ht="18" customHeight="1" x14ac:dyDescent="0.3">
      <c r="B188" s="132"/>
      <c r="C188" s="71" t="s">
        <v>613</v>
      </c>
      <c r="D188" s="72">
        <v>10</v>
      </c>
      <c r="E188" s="56" t="s">
        <v>442</v>
      </c>
      <c r="F188" s="73">
        <v>450</v>
      </c>
      <c r="G188" s="138">
        <f t="shared" si="3"/>
        <v>4500</v>
      </c>
      <c r="H188" s="74"/>
      <c r="I188" s="74"/>
      <c r="J188" s="75"/>
      <c r="K188" s="75"/>
      <c r="L188" s="75"/>
      <c r="M188" s="76"/>
      <c r="N188" s="185">
        <f t="shared" si="4"/>
        <v>4500</v>
      </c>
      <c r="O188" s="77"/>
      <c r="P188" s="76"/>
    </row>
    <row r="189" spans="2:16" s="78" customFormat="1" ht="18" customHeight="1" x14ac:dyDescent="0.3">
      <c r="B189" s="132"/>
      <c r="C189" s="71" t="s">
        <v>614</v>
      </c>
      <c r="D189" s="72">
        <v>10</v>
      </c>
      <c r="E189" s="56" t="s">
        <v>444</v>
      </c>
      <c r="F189" s="73">
        <v>240</v>
      </c>
      <c r="G189" s="138">
        <f t="shared" si="3"/>
        <v>2400</v>
      </c>
      <c r="H189" s="74"/>
      <c r="I189" s="74"/>
      <c r="J189" s="75"/>
      <c r="K189" s="75"/>
      <c r="L189" s="75"/>
      <c r="M189" s="76"/>
      <c r="N189" s="185">
        <f t="shared" si="4"/>
        <v>2400</v>
      </c>
      <c r="O189" s="77"/>
      <c r="P189" s="76"/>
    </row>
    <row r="190" spans="2:16" s="78" customFormat="1" ht="18" customHeight="1" x14ac:dyDescent="0.3">
      <c r="B190" s="132"/>
      <c r="C190" s="71" t="s">
        <v>615</v>
      </c>
      <c r="D190" s="72">
        <v>498</v>
      </c>
      <c r="E190" s="56" t="s">
        <v>444</v>
      </c>
      <c r="F190" s="73">
        <v>15</v>
      </c>
      <c r="G190" s="138">
        <f t="shared" si="3"/>
        <v>7470</v>
      </c>
      <c r="H190" s="74"/>
      <c r="I190" s="74"/>
      <c r="J190" s="75"/>
      <c r="K190" s="75"/>
      <c r="L190" s="75"/>
      <c r="M190" s="76"/>
      <c r="N190" s="185">
        <f t="shared" si="4"/>
        <v>7470</v>
      </c>
      <c r="O190" s="77"/>
      <c r="P190" s="76"/>
    </row>
    <row r="191" spans="2:16" s="78" customFormat="1" ht="18" customHeight="1" x14ac:dyDescent="0.3">
      <c r="B191" s="132"/>
      <c r="C191" s="71" t="s">
        <v>616</v>
      </c>
      <c r="D191" s="72">
        <v>40</v>
      </c>
      <c r="E191" s="56" t="s">
        <v>444</v>
      </c>
      <c r="F191" s="73">
        <v>20</v>
      </c>
      <c r="G191" s="138">
        <f t="shared" si="3"/>
        <v>800</v>
      </c>
      <c r="H191" s="74"/>
      <c r="I191" s="74"/>
      <c r="J191" s="75"/>
      <c r="K191" s="75"/>
      <c r="L191" s="75"/>
      <c r="M191" s="76"/>
      <c r="N191" s="185">
        <f t="shared" si="4"/>
        <v>800</v>
      </c>
      <c r="O191" s="77"/>
      <c r="P191" s="76"/>
    </row>
    <row r="192" spans="2:16" s="78" customFormat="1" ht="18" customHeight="1" x14ac:dyDescent="0.3">
      <c r="B192" s="132"/>
      <c r="C192" s="71" t="s">
        <v>617</v>
      </c>
      <c r="D192" s="72">
        <v>100</v>
      </c>
      <c r="E192" s="56" t="s">
        <v>483</v>
      </c>
      <c r="F192" s="73">
        <v>36</v>
      </c>
      <c r="G192" s="138">
        <f t="shared" si="3"/>
        <v>3600</v>
      </c>
      <c r="H192" s="74"/>
      <c r="I192" s="74"/>
      <c r="J192" s="75"/>
      <c r="K192" s="75"/>
      <c r="L192" s="75"/>
      <c r="M192" s="76"/>
      <c r="N192" s="185">
        <f t="shared" si="4"/>
        <v>3600</v>
      </c>
      <c r="O192" s="77"/>
      <c r="P192" s="76"/>
    </row>
    <row r="193" spans="2:16" s="78" customFormat="1" ht="18" customHeight="1" x14ac:dyDescent="0.3">
      <c r="B193" s="132"/>
      <c r="C193" s="71" t="s">
        <v>618</v>
      </c>
      <c r="D193" s="72">
        <v>20</v>
      </c>
      <c r="E193" s="56" t="s">
        <v>52</v>
      </c>
      <c r="F193" s="73">
        <v>65</v>
      </c>
      <c r="G193" s="138">
        <f t="shared" ref="G193:G221" si="5">D193*F193</f>
        <v>1300</v>
      </c>
      <c r="H193" s="74"/>
      <c r="I193" s="74"/>
      <c r="J193" s="75"/>
      <c r="K193" s="75"/>
      <c r="L193" s="75"/>
      <c r="M193" s="76"/>
      <c r="N193" s="185">
        <f t="shared" si="4"/>
        <v>1300</v>
      </c>
      <c r="O193" s="77"/>
      <c r="P193" s="76"/>
    </row>
    <row r="194" spans="2:16" s="78" customFormat="1" ht="18" customHeight="1" x14ac:dyDescent="0.3">
      <c r="B194" s="132"/>
      <c r="C194" s="71" t="s">
        <v>619</v>
      </c>
      <c r="D194" s="72">
        <v>100</v>
      </c>
      <c r="E194" s="56" t="s">
        <v>439</v>
      </c>
      <c r="F194" s="73">
        <v>40</v>
      </c>
      <c r="G194" s="138">
        <f t="shared" si="5"/>
        <v>4000</v>
      </c>
      <c r="H194" s="74"/>
      <c r="I194" s="74"/>
      <c r="J194" s="75"/>
      <c r="K194" s="75"/>
      <c r="L194" s="75"/>
      <c r="M194" s="76"/>
      <c r="N194" s="185">
        <f t="shared" si="4"/>
        <v>4000</v>
      </c>
      <c r="O194" s="77"/>
      <c r="P194" s="76"/>
    </row>
    <row r="195" spans="2:16" s="78" customFormat="1" ht="18" customHeight="1" x14ac:dyDescent="0.3">
      <c r="B195" s="132"/>
      <c r="C195" s="71" t="s">
        <v>620</v>
      </c>
      <c r="D195" s="72">
        <v>10</v>
      </c>
      <c r="E195" s="56" t="s">
        <v>442</v>
      </c>
      <c r="F195" s="73">
        <v>70</v>
      </c>
      <c r="G195" s="138">
        <f t="shared" si="5"/>
        <v>700</v>
      </c>
      <c r="H195" s="74"/>
      <c r="I195" s="74"/>
      <c r="J195" s="75"/>
      <c r="K195" s="75"/>
      <c r="L195" s="75"/>
      <c r="M195" s="76"/>
      <c r="N195" s="185">
        <f t="shared" si="4"/>
        <v>700</v>
      </c>
      <c r="O195" s="77"/>
      <c r="P195" s="76"/>
    </row>
    <row r="196" spans="2:16" s="78" customFormat="1" ht="18" customHeight="1" x14ac:dyDescent="0.3">
      <c r="B196" s="132"/>
      <c r="C196" s="71" t="s">
        <v>621</v>
      </c>
      <c r="D196" s="72">
        <v>6</v>
      </c>
      <c r="E196" s="56" t="s">
        <v>435</v>
      </c>
      <c r="F196" s="73">
        <v>50</v>
      </c>
      <c r="G196" s="138">
        <f t="shared" si="5"/>
        <v>300</v>
      </c>
      <c r="H196" s="74"/>
      <c r="I196" s="74"/>
      <c r="J196" s="75"/>
      <c r="K196" s="75"/>
      <c r="L196" s="75"/>
      <c r="M196" s="76"/>
      <c r="N196" s="185">
        <f t="shared" si="4"/>
        <v>300</v>
      </c>
      <c r="O196" s="77"/>
      <c r="P196" s="76"/>
    </row>
    <row r="197" spans="2:16" s="78" customFormat="1" ht="18" customHeight="1" x14ac:dyDescent="0.3">
      <c r="B197" s="132"/>
      <c r="C197" s="71" t="s">
        <v>622</v>
      </c>
      <c r="D197" s="72">
        <v>180</v>
      </c>
      <c r="E197" s="56" t="s">
        <v>444</v>
      </c>
      <c r="F197" s="73">
        <v>15</v>
      </c>
      <c r="G197" s="138">
        <f t="shared" si="5"/>
        <v>2700</v>
      </c>
      <c r="H197" s="74"/>
      <c r="I197" s="74"/>
      <c r="J197" s="75"/>
      <c r="K197" s="75"/>
      <c r="L197" s="75"/>
      <c r="M197" s="76"/>
      <c r="N197" s="185">
        <f t="shared" si="4"/>
        <v>2700</v>
      </c>
      <c r="O197" s="77"/>
      <c r="P197" s="76"/>
    </row>
    <row r="198" spans="2:16" s="78" customFormat="1" ht="18" customHeight="1" x14ac:dyDescent="0.3">
      <c r="B198" s="132"/>
      <c r="C198" s="71" t="s">
        <v>623</v>
      </c>
      <c r="D198" s="72">
        <v>4</v>
      </c>
      <c r="E198" s="56" t="s">
        <v>52</v>
      </c>
      <c r="F198" s="73">
        <v>140</v>
      </c>
      <c r="G198" s="138">
        <v>644.26</v>
      </c>
      <c r="H198" s="74"/>
      <c r="I198" s="74"/>
      <c r="J198" s="75"/>
      <c r="K198" s="75"/>
      <c r="L198" s="75"/>
      <c r="M198" s="76"/>
      <c r="N198" s="185">
        <v>643.70000000000005</v>
      </c>
      <c r="O198" s="77"/>
      <c r="P198" s="76"/>
    </row>
    <row r="199" spans="2:16" s="78" customFormat="1" ht="18" customHeight="1" x14ac:dyDescent="0.3">
      <c r="B199" s="132"/>
      <c r="C199" s="71" t="s">
        <v>624</v>
      </c>
      <c r="D199" s="72">
        <v>24</v>
      </c>
      <c r="E199" s="56" t="s">
        <v>52</v>
      </c>
      <c r="F199" s="73">
        <v>75</v>
      </c>
      <c r="G199" s="138">
        <f t="shared" si="5"/>
        <v>1800</v>
      </c>
      <c r="H199" s="74"/>
      <c r="I199" s="74"/>
      <c r="J199" s="75"/>
      <c r="K199" s="75"/>
      <c r="L199" s="75"/>
      <c r="M199" s="76"/>
      <c r="N199" s="185">
        <f t="shared" si="4"/>
        <v>1800</v>
      </c>
      <c r="O199" s="77"/>
      <c r="P199" s="76"/>
    </row>
    <row r="200" spans="2:16" s="78" customFormat="1" ht="18" customHeight="1" x14ac:dyDescent="0.3">
      <c r="B200" s="132"/>
      <c r="C200" s="71" t="s">
        <v>625</v>
      </c>
      <c r="D200" s="72">
        <v>60</v>
      </c>
      <c r="E200" s="56" t="s">
        <v>442</v>
      </c>
      <c r="F200" s="73">
        <v>25</v>
      </c>
      <c r="G200" s="138">
        <f t="shared" si="5"/>
        <v>1500</v>
      </c>
      <c r="H200" s="74"/>
      <c r="I200" s="74"/>
      <c r="J200" s="75"/>
      <c r="K200" s="75"/>
      <c r="L200" s="75"/>
      <c r="M200" s="76"/>
      <c r="N200" s="185">
        <f t="shared" si="4"/>
        <v>1500</v>
      </c>
      <c r="O200" s="77"/>
      <c r="P200" s="76"/>
    </row>
    <row r="201" spans="2:16" s="78" customFormat="1" ht="18" customHeight="1" x14ac:dyDescent="0.3">
      <c r="B201" s="132"/>
      <c r="C201" s="71" t="s">
        <v>626</v>
      </c>
      <c r="D201" s="72">
        <v>800</v>
      </c>
      <c r="E201" s="56" t="s">
        <v>435</v>
      </c>
      <c r="F201" s="73">
        <v>5</v>
      </c>
      <c r="G201" s="138">
        <f t="shared" si="5"/>
        <v>4000</v>
      </c>
      <c r="H201" s="74"/>
      <c r="I201" s="74"/>
      <c r="J201" s="75"/>
      <c r="K201" s="75"/>
      <c r="L201" s="75"/>
      <c r="M201" s="76"/>
      <c r="N201" s="185">
        <f t="shared" si="4"/>
        <v>4000</v>
      </c>
      <c r="O201" s="77"/>
      <c r="P201" s="76"/>
    </row>
    <row r="202" spans="2:16" s="78" customFormat="1" ht="18" customHeight="1" x14ac:dyDescent="0.3">
      <c r="B202" s="132"/>
      <c r="C202" s="71" t="s">
        <v>627</v>
      </c>
      <c r="D202" s="72">
        <v>150</v>
      </c>
      <c r="E202" s="56" t="s">
        <v>442</v>
      </c>
      <c r="F202" s="73">
        <v>25</v>
      </c>
      <c r="G202" s="138">
        <f t="shared" si="5"/>
        <v>3750</v>
      </c>
      <c r="H202" s="74"/>
      <c r="I202" s="74"/>
      <c r="J202" s="75"/>
      <c r="K202" s="75"/>
      <c r="L202" s="75"/>
      <c r="M202" s="76"/>
      <c r="N202" s="185">
        <f t="shared" si="4"/>
        <v>3750</v>
      </c>
      <c r="O202" s="77"/>
      <c r="P202" s="76"/>
    </row>
    <row r="203" spans="2:16" s="78" customFormat="1" ht="18" customHeight="1" x14ac:dyDescent="0.3">
      <c r="B203" s="132"/>
      <c r="C203" s="71" t="s">
        <v>628</v>
      </c>
      <c r="D203" s="72">
        <v>20</v>
      </c>
      <c r="E203" s="56" t="s">
        <v>52</v>
      </c>
      <c r="F203" s="73">
        <v>190</v>
      </c>
      <c r="G203" s="138">
        <f t="shared" si="5"/>
        <v>3800</v>
      </c>
      <c r="H203" s="74"/>
      <c r="I203" s="74"/>
      <c r="J203" s="75"/>
      <c r="K203" s="75"/>
      <c r="L203" s="75"/>
      <c r="M203" s="76"/>
      <c r="N203" s="185">
        <f t="shared" si="4"/>
        <v>3800</v>
      </c>
      <c r="O203" s="77"/>
      <c r="P203" s="76"/>
    </row>
    <row r="204" spans="2:16" s="78" customFormat="1" ht="18" customHeight="1" x14ac:dyDescent="0.3">
      <c r="B204" s="132"/>
      <c r="C204" s="71" t="s">
        <v>629</v>
      </c>
      <c r="D204" s="72">
        <v>2</v>
      </c>
      <c r="E204" s="56" t="s">
        <v>435</v>
      </c>
      <c r="F204" s="73">
        <v>1100</v>
      </c>
      <c r="G204" s="138">
        <f t="shared" si="5"/>
        <v>2200</v>
      </c>
      <c r="H204" s="74"/>
      <c r="I204" s="74"/>
      <c r="J204" s="75"/>
      <c r="K204" s="75"/>
      <c r="L204" s="75"/>
      <c r="M204" s="76"/>
      <c r="N204" s="185">
        <f t="shared" ref="N204:N221" si="6">G204</f>
        <v>2200</v>
      </c>
      <c r="O204" s="77"/>
      <c r="P204" s="76"/>
    </row>
    <row r="205" spans="2:16" s="78" customFormat="1" ht="18" customHeight="1" x14ac:dyDescent="0.3">
      <c r="B205" s="132"/>
      <c r="C205" s="71" t="s">
        <v>630</v>
      </c>
      <c r="D205" s="72">
        <v>1</v>
      </c>
      <c r="E205" s="56" t="s">
        <v>631</v>
      </c>
      <c r="F205" s="73">
        <v>2000</v>
      </c>
      <c r="G205" s="138">
        <f t="shared" si="5"/>
        <v>2000</v>
      </c>
      <c r="H205" s="74"/>
      <c r="I205" s="74"/>
      <c r="J205" s="75"/>
      <c r="K205" s="75"/>
      <c r="L205" s="75"/>
      <c r="M205" s="76"/>
      <c r="N205" s="185">
        <f t="shared" si="6"/>
        <v>2000</v>
      </c>
      <c r="O205" s="77"/>
      <c r="P205" s="76"/>
    </row>
    <row r="206" spans="2:16" s="78" customFormat="1" ht="18" customHeight="1" x14ac:dyDescent="0.3">
      <c r="B206" s="132"/>
      <c r="C206" s="71" t="s">
        <v>632</v>
      </c>
      <c r="D206" s="72">
        <v>20</v>
      </c>
      <c r="E206" s="56" t="s">
        <v>435</v>
      </c>
      <c r="F206" s="73">
        <v>70</v>
      </c>
      <c r="G206" s="138">
        <f t="shared" si="5"/>
        <v>1400</v>
      </c>
      <c r="H206" s="74"/>
      <c r="I206" s="74"/>
      <c r="J206" s="75"/>
      <c r="K206" s="75"/>
      <c r="L206" s="75"/>
      <c r="M206" s="76"/>
      <c r="N206" s="185">
        <f t="shared" si="6"/>
        <v>1400</v>
      </c>
      <c r="O206" s="77"/>
      <c r="P206" s="76"/>
    </row>
    <row r="207" spans="2:16" s="78" customFormat="1" ht="18" customHeight="1" x14ac:dyDescent="0.3">
      <c r="B207" s="132"/>
      <c r="C207" s="71" t="s">
        <v>633</v>
      </c>
      <c r="D207" s="72">
        <v>10</v>
      </c>
      <c r="E207" s="56" t="s">
        <v>52</v>
      </c>
      <c r="F207" s="73">
        <v>115</v>
      </c>
      <c r="G207" s="138">
        <f t="shared" si="5"/>
        <v>1150</v>
      </c>
      <c r="H207" s="74"/>
      <c r="I207" s="74"/>
      <c r="J207" s="75"/>
      <c r="K207" s="75"/>
      <c r="L207" s="75"/>
      <c r="M207" s="76"/>
      <c r="N207" s="185">
        <f t="shared" si="6"/>
        <v>1150</v>
      </c>
      <c r="O207" s="77"/>
      <c r="P207" s="76"/>
    </row>
    <row r="208" spans="2:16" s="78" customFormat="1" ht="18" customHeight="1" x14ac:dyDescent="0.3">
      <c r="B208" s="132"/>
      <c r="C208" s="71" t="s">
        <v>634</v>
      </c>
      <c r="D208" s="72">
        <v>54</v>
      </c>
      <c r="E208" s="56" t="s">
        <v>53</v>
      </c>
      <c r="F208" s="73">
        <v>25</v>
      </c>
      <c r="G208" s="138">
        <f t="shared" si="5"/>
        <v>1350</v>
      </c>
      <c r="H208" s="74"/>
      <c r="I208" s="74"/>
      <c r="J208" s="75"/>
      <c r="K208" s="75"/>
      <c r="L208" s="75"/>
      <c r="M208" s="76"/>
      <c r="N208" s="185">
        <f t="shared" si="6"/>
        <v>1350</v>
      </c>
      <c r="O208" s="77"/>
      <c r="P208" s="76"/>
    </row>
    <row r="209" spans="2:18" s="78" customFormat="1" ht="18" customHeight="1" x14ac:dyDescent="0.3">
      <c r="B209" s="132"/>
      <c r="C209" s="71" t="s">
        <v>635</v>
      </c>
      <c r="D209" s="72">
        <v>10</v>
      </c>
      <c r="E209" s="56" t="s">
        <v>444</v>
      </c>
      <c r="F209" s="73">
        <v>80</v>
      </c>
      <c r="G209" s="138">
        <f t="shared" si="5"/>
        <v>800</v>
      </c>
      <c r="H209" s="74"/>
      <c r="I209" s="74"/>
      <c r="J209" s="75"/>
      <c r="K209" s="75"/>
      <c r="L209" s="75"/>
      <c r="M209" s="76"/>
      <c r="N209" s="185">
        <f t="shared" si="6"/>
        <v>800</v>
      </c>
      <c r="O209" s="77"/>
      <c r="P209" s="76"/>
    </row>
    <row r="210" spans="2:18" s="78" customFormat="1" ht="18" customHeight="1" x14ac:dyDescent="0.3">
      <c r="B210" s="132"/>
      <c r="C210" s="71" t="s">
        <v>636</v>
      </c>
      <c r="D210" s="72">
        <v>10</v>
      </c>
      <c r="E210" s="56" t="s">
        <v>42</v>
      </c>
      <c r="F210" s="73">
        <v>130</v>
      </c>
      <c r="G210" s="138">
        <f t="shared" si="5"/>
        <v>1300</v>
      </c>
      <c r="H210" s="74"/>
      <c r="I210" s="74"/>
      <c r="J210" s="75"/>
      <c r="K210" s="75"/>
      <c r="L210" s="75"/>
      <c r="M210" s="76"/>
      <c r="N210" s="185">
        <f t="shared" si="6"/>
        <v>1300</v>
      </c>
      <c r="O210" s="77"/>
      <c r="P210" s="76"/>
    </row>
    <row r="211" spans="2:18" s="78" customFormat="1" ht="18" customHeight="1" x14ac:dyDescent="0.3">
      <c r="B211" s="132"/>
      <c r="C211" s="71" t="s">
        <v>637</v>
      </c>
      <c r="D211" s="72">
        <v>67</v>
      </c>
      <c r="E211" s="56" t="s">
        <v>444</v>
      </c>
      <c r="F211" s="73">
        <v>90</v>
      </c>
      <c r="G211" s="138">
        <f>N211</f>
        <v>6030.85</v>
      </c>
      <c r="H211" s="74"/>
      <c r="I211" s="74"/>
      <c r="J211" s="75"/>
      <c r="K211" s="75"/>
      <c r="L211" s="75"/>
      <c r="M211" s="76"/>
      <c r="N211" s="185">
        <v>6030.85</v>
      </c>
      <c r="O211" s="77"/>
      <c r="P211" s="76"/>
    </row>
    <row r="212" spans="2:18" s="78" customFormat="1" ht="18" customHeight="1" x14ac:dyDescent="0.3">
      <c r="B212" s="132"/>
      <c r="C212" s="71" t="s">
        <v>638</v>
      </c>
      <c r="D212" s="72">
        <v>10</v>
      </c>
      <c r="E212" s="56" t="s">
        <v>52</v>
      </c>
      <c r="F212" s="73">
        <v>200</v>
      </c>
      <c r="G212" s="138">
        <f t="shared" si="5"/>
        <v>2000</v>
      </c>
      <c r="H212" s="74"/>
      <c r="I212" s="74"/>
      <c r="J212" s="75"/>
      <c r="K212" s="75"/>
      <c r="L212" s="75"/>
      <c r="M212" s="76"/>
      <c r="N212" s="185">
        <f t="shared" si="6"/>
        <v>2000</v>
      </c>
      <c r="O212" s="77"/>
      <c r="P212" s="76"/>
    </row>
    <row r="213" spans="2:18" s="78" customFormat="1" ht="18" customHeight="1" x14ac:dyDescent="0.3">
      <c r="B213" s="132"/>
      <c r="C213" s="71" t="s">
        <v>639</v>
      </c>
      <c r="D213" s="72">
        <v>8</v>
      </c>
      <c r="E213" s="56" t="s">
        <v>52</v>
      </c>
      <c r="F213" s="73">
        <v>180</v>
      </c>
      <c r="G213" s="138">
        <f t="shared" si="5"/>
        <v>1440</v>
      </c>
      <c r="H213" s="74"/>
      <c r="I213" s="74"/>
      <c r="J213" s="75"/>
      <c r="K213" s="75"/>
      <c r="L213" s="75"/>
      <c r="M213" s="76"/>
      <c r="N213" s="185">
        <f t="shared" si="6"/>
        <v>1440</v>
      </c>
      <c r="O213" s="77"/>
      <c r="P213" s="76"/>
    </row>
    <row r="214" spans="2:18" s="78" customFormat="1" ht="18" customHeight="1" x14ac:dyDescent="0.3">
      <c r="B214" s="132"/>
      <c r="C214" s="71" t="s">
        <v>640</v>
      </c>
      <c r="D214" s="72">
        <v>86</v>
      </c>
      <c r="E214" s="56" t="s">
        <v>444</v>
      </c>
      <c r="F214" s="73">
        <v>92</v>
      </c>
      <c r="G214" s="138">
        <f t="shared" si="5"/>
        <v>7912</v>
      </c>
      <c r="H214" s="74"/>
      <c r="I214" s="74"/>
      <c r="J214" s="75"/>
      <c r="K214" s="75"/>
      <c r="L214" s="75"/>
      <c r="M214" s="76"/>
      <c r="N214" s="185">
        <f t="shared" si="6"/>
        <v>7912</v>
      </c>
      <c r="O214" s="77"/>
      <c r="P214" s="76"/>
    </row>
    <row r="215" spans="2:18" s="78" customFormat="1" ht="18" customHeight="1" x14ac:dyDescent="0.3">
      <c r="B215" s="132"/>
      <c r="C215" s="71" t="s">
        <v>641</v>
      </c>
      <c r="D215" s="72">
        <v>10</v>
      </c>
      <c r="E215" s="56" t="s">
        <v>52</v>
      </c>
      <c r="F215" s="73">
        <v>350</v>
      </c>
      <c r="G215" s="138">
        <f t="shared" si="5"/>
        <v>3500</v>
      </c>
      <c r="H215" s="74"/>
      <c r="I215" s="74"/>
      <c r="J215" s="75"/>
      <c r="K215" s="75"/>
      <c r="L215" s="75"/>
      <c r="M215" s="76"/>
      <c r="N215" s="185">
        <f t="shared" si="6"/>
        <v>3500</v>
      </c>
      <c r="O215" s="77"/>
      <c r="P215" s="76"/>
    </row>
    <row r="216" spans="2:18" s="78" customFormat="1" ht="18" customHeight="1" x14ac:dyDescent="0.3">
      <c r="B216" s="132"/>
      <c r="C216" s="71" t="s">
        <v>642</v>
      </c>
      <c r="D216" s="72">
        <v>80</v>
      </c>
      <c r="E216" s="56" t="s">
        <v>444</v>
      </c>
      <c r="F216" s="73">
        <v>25</v>
      </c>
      <c r="G216" s="138">
        <f t="shared" si="5"/>
        <v>2000</v>
      </c>
      <c r="H216" s="74"/>
      <c r="I216" s="74"/>
      <c r="J216" s="75"/>
      <c r="K216" s="75"/>
      <c r="L216" s="75"/>
      <c r="M216" s="76"/>
      <c r="N216" s="185">
        <f t="shared" si="6"/>
        <v>2000</v>
      </c>
      <c r="O216" s="77"/>
      <c r="P216" s="76"/>
    </row>
    <row r="217" spans="2:18" s="78" customFormat="1" ht="18" customHeight="1" x14ac:dyDescent="0.3">
      <c r="B217" s="132"/>
      <c r="C217" s="71" t="s">
        <v>643</v>
      </c>
      <c r="D217" s="72">
        <v>9</v>
      </c>
      <c r="E217" s="56" t="s">
        <v>52</v>
      </c>
      <c r="F217" s="73">
        <v>446</v>
      </c>
      <c r="G217" s="138">
        <f t="shared" si="5"/>
        <v>4014</v>
      </c>
      <c r="H217" s="74"/>
      <c r="I217" s="74"/>
      <c r="J217" s="75"/>
      <c r="K217" s="75"/>
      <c r="L217" s="75"/>
      <c r="M217" s="76"/>
      <c r="N217" s="185">
        <f t="shared" si="6"/>
        <v>4014</v>
      </c>
      <c r="O217" s="77"/>
      <c r="P217" s="76"/>
    </row>
    <row r="218" spans="2:18" s="78" customFormat="1" ht="18" customHeight="1" x14ac:dyDescent="0.3">
      <c r="B218" s="132"/>
      <c r="C218" s="71" t="s">
        <v>644</v>
      </c>
      <c r="D218" s="72">
        <v>10</v>
      </c>
      <c r="E218" s="56" t="s">
        <v>444</v>
      </c>
      <c r="F218" s="73">
        <v>320</v>
      </c>
      <c r="G218" s="138">
        <f t="shared" si="5"/>
        <v>3200</v>
      </c>
      <c r="H218" s="74"/>
      <c r="I218" s="74"/>
      <c r="J218" s="75"/>
      <c r="K218" s="75"/>
      <c r="L218" s="75"/>
      <c r="M218" s="76"/>
      <c r="N218" s="185">
        <f t="shared" si="6"/>
        <v>3200</v>
      </c>
      <c r="O218" s="77"/>
      <c r="P218" s="76"/>
    </row>
    <row r="219" spans="2:18" s="78" customFormat="1" ht="18" customHeight="1" x14ac:dyDescent="0.3">
      <c r="B219" s="132"/>
      <c r="C219" s="71" t="s">
        <v>645</v>
      </c>
      <c r="D219" s="72">
        <v>30</v>
      </c>
      <c r="E219" s="56" t="s">
        <v>52</v>
      </c>
      <c r="F219" s="73">
        <v>90</v>
      </c>
      <c r="G219" s="138">
        <f t="shared" si="5"/>
        <v>2700</v>
      </c>
      <c r="H219" s="74"/>
      <c r="I219" s="74"/>
      <c r="J219" s="75"/>
      <c r="K219" s="75"/>
      <c r="L219" s="75"/>
      <c r="M219" s="76"/>
      <c r="N219" s="185">
        <f t="shared" si="6"/>
        <v>2700</v>
      </c>
      <c r="O219" s="77"/>
      <c r="P219" s="76"/>
    </row>
    <row r="220" spans="2:18" s="78" customFormat="1" ht="25.5" customHeight="1" x14ac:dyDescent="0.3">
      <c r="B220" s="132"/>
      <c r="C220" s="71" t="s">
        <v>646</v>
      </c>
      <c r="D220" s="72">
        <v>50</v>
      </c>
      <c r="E220" s="56" t="s">
        <v>442</v>
      </c>
      <c r="F220" s="73">
        <v>50</v>
      </c>
      <c r="G220" s="138">
        <f t="shared" si="5"/>
        <v>2500</v>
      </c>
      <c r="H220" s="74"/>
      <c r="I220" s="74"/>
      <c r="J220" s="75"/>
      <c r="K220" s="75"/>
      <c r="L220" s="75"/>
      <c r="M220" s="76"/>
      <c r="N220" s="185">
        <f t="shared" si="6"/>
        <v>2500</v>
      </c>
      <c r="O220" s="77"/>
      <c r="P220" s="76"/>
    </row>
    <row r="221" spans="2:18" s="78" customFormat="1" ht="22.5" customHeight="1" x14ac:dyDescent="0.3">
      <c r="B221" s="132"/>
      <c r="C221" s="71" t="s">
        <v>647</v>
      </c>
      <c r="D221" s="72">
        <v>80</v>
      </c>
      <c r="E221" s="56" t="s">
        <v>442</v>
      </c>
      <c r="F221" s="73">
        <v>45</v>
      </c>
      <c r="G221" s="138">
        <f t="shared" si="5"/>
        <v>3600</v>
      </c>
      <c r="H221" s="74"/>
      <c r="I221" s="74"/>
      <c r="J221" s="75"/>
      <c r="K221" s="75"/>
      <c r="L221" s="75"/>
      <c r="M221" s="76"/>
      <c r="N221" s="185">
        <f t="shared" si="6"/>
        <v>3600</v>
      </c>
      <c r="O221" s="77"/>
      <c r="P221" s="76"/>
      <c r="R221" s="179"/>
    </row>
    <row r="222" spans="2:18" ht="18" customHeight="1" x14ac:dyDescent="0.25">
      <c r="B222" s="13"/>
      <c r="C222" s="23"/>
      <c r="D222" s="24"/>
      <c r="E222" s="25"/>
      <c r="F222" s="25"/>
      <c r="G222" s="101">
        <f>N222</f>
        <v>1847905.8500000003</v>
      </c>
      <c r="H222" s="7"/>
      <c r="I222" s="7"/>
      <c r="J222" s="7"/>
      <c r="K222" s="7"/>
      <c r="L222" s="194" t="s">
        <v>43</v>
      </c>
      <c r="M222" s="195"/>
      <c r="N222" s="18">
        <f>SUM(N11:N221)</f>
        <v>1847905.8500000003</v>
      </c>
      <c r="O222" s="13"/>
      <c r="P222" s="7"/>
    </row>
    <row r="223" spans="2:18" s="11" customFormat="1" ht="24.75" customHeight="1" x14ac:dyDescent="0.3">
      <c r="B223" s="155" t="s">
        <v>44</v>
      </c>
      <c r="C223" s="26"/>
      <c r="D223" s="186" t="s">
        <v>726</v>
      </c>
      <c r="E223" s="186"/>
      <c r="F223" s="186"/>
      <c r="G223" s="186"/>
      <c r="H223" s="186"/>
      <c r="I223" s="186"/>
      <c r="J223" s="26"/>
      <c r="K223" s="26"/>
      <c r="L223" s="26"/>
      <c r="M223" s="3"/>
      <c r="N223" s="186" t="s">
        <v>45</v>
      </c>
      <c r="O223" s="186"/>
      <c r="P223" s="27"/>
    </row>
    <row r="224" spans="2:18" ht="15" hidden="1" customHeight="1" x14ac:dyDescent="0.25">
      <c r="B224" s="3"/>
      <c r="C224" s="2"/>
      <c r="D224" s="3"/>
      <c r="E224" s="3"/>
      <c r="F224" s="3"/>
      <c r="G224" s="67"/>
      <c r="H224" s="2"/>
      <c r="I224" s="2"/>
      <c r="J224" s="2"/>
      <c r="K224" s="2"/>
      <c r="L224" s="2"/>
      <c r="M224" s="2"/>
      <c r="N224" s="28"/>
      <c r="O224" s="2"/>
      <c r="P224" s="27"/>
    </row>
    <row r="225" spans="2:17" ht="40.5" customHeight="1" x14ac:dyDescent="0.25">
      <c r="B225" s="3"/>
      <c r="C225" s="2"/>
      <c r="D225" s="3"/>
      <c r="E225" s="3"/>
      <c r="F225" s="3"/>
      <c r="G225" s="67"/>
      <c r="H225" s="2"/>
      <c r="I225" s="2"/>
      <c r="J225" s="2"/>
      <c r="K225" s="2"/>
      <c r="L225" s="2"/>
      <c r="M225" s="2"/>
      <c r="N225" s="28"/>
      <c r="O225" s="2"/>
      <c r="P225" s="27"/>
    </row>
    <row r="226" spans="2:17" ht="15" customHeight="1" x14ac:dyDescent="0.25">
      <c r="B226" s="198" t="s">
        <v>46</v>
      </c>
      <c r="C226" s="198"/>
      <c r="D226" s="29"/>
      <c r="E226" s="187" t="s">
        <v>47</v>
      </c>
      <c r="F226" s="187"/>
      <c r="G226" s="187"/>
      <c r="H226" s="187"/>
      <c r="I226" s="187"/>
      <c r="J226" s="187"/>
      <c r="K226" s="187"/>
      <c r="L226" s="2"/>
      <c r="M226" s="29"/>
      <c r="N226" s="187" t="s">
        <v>727</v>
      </c>
      <c r="O226" s="187"/>
      <c r="P226" s="187"/>
      <c r="Q226" s="30"/>
    </row>
    <row r="227" spans="2:17" ht="15" customHeight="1" x14ac:dyDescent="0.25">
      <c r="B227" s="196" t="s">
        <v>48</v>
      </c>
      <c r="C227" s="196"/>
      <c r="D227" s="3"/>
      <c r="E227" s="188" t="s">
        <v>49</v>
      </c>
      <c r="F227" s="188"/>
      <c r="G227" s="188"/>
      <c r="H227" s="188"/>
      <c r="I227" s="188"/>
      <c r="J227" s="188"/>
      <c r="K227" s="188"/>
      <c r="L227" s="2"/>
      <c r="M227" s="3"/>
      <c r="N227" s="188" t="s">
        <v>728</v>
      </c>
      <c r="O227" s="188"/>
      <c r="P227" s="188"/>
      <c r="Q227" s="2"/>
    </row>
    <row r="228" spans="2:17" ht="15" customHeight="1" x14ac:dyDescent="0.25">
      <c r="B228" s="197"/>
      <c r="C228" s="197"/>
      <c r="D228" s="31"/>
      <c r="E228" s="31"/>
      <c r="F228" s="31"/>
      <c r="G228" s="69"/>
      <c r="H228" s="31"/>
      <c r="I228" s="31"/>
      <c r="J228" s="2"/>
      <c r="K228" s="2"/>
      <c r="L228" s="2"/>
      <c r="M228" s="31"/>
      <c r="N228" s="31"/>
      <c r="O228" s="31"/>
      <c r="P228" s="27"/>
    </row>
    <row r="229" spans="2:17" ht="15" customHeight="1" x14ac:dyDescent="0.25">
      <c r="B229" s="196"/>
      <c r="C229" s="196"/>
      <c r="D229" s="3"/>
      <c r="E229" s="3"/>
      <c r="F229" s="3"/>
      <c r="G229" s="67"/>
      <c r="H229" s="3"/>
      <c r="I229" s="3"/>
      <c r="J229" s="2"/>
      <c r="K229" s="2"/>
      <c r="L229" s="2"/>
      <c r="M229" s="3"/>
      <c r="N229" s="3"/>
      <c r="O229" s="3"/>
      <c r="P229" s="27"/>
    </row>
  </sheetData>
  <mergeCells count="23">
    <mergeCell ref="B1:P1"/>
    <mergeCell ref="B2:P2"/>
    <mergeCell ref="B3:P3"/>
    <mergeCell ref="B7:I7"/>
    <mergeCell ref="J7:L7"/>
    <mergeCell ref="M7:N7"/>
    <mergeCell ref="O7:O8"/>
    <mergeCell ref="P7:P8"/>
    <mergeCell ref="D8:E8"/>
    <mergeCell ref="B227:C227"/>
    <mergeCell ref="N227:P227"/>
    <mergeCell ref="B228:C228"/>
    <mergeCell ref="B229:C229"/>
    <mergeCell ref="N226:P226"/>
    <mergeCell ref="B226:C226"/>
    <mergeCell ref="D223:I223"/>
    <mergeCell ref="E226:K226"/>
    <mergeCell ref="E227:K227"/>
    <mergeCell ref="N223:O223"/>
    <mergeCell ref="J4:K4"/>
    <mergeCell ref="D9:E9"/>
    <mergeCell ref="D10:E10"/>
    <mergeCell ref="L222:M222"/>
  </mergeCells>
  <pageMargins left="0.12" right="0.7" top="0.75" bottom="0.75" header="0.3" footer="0.25"/>
  <pageSetup paperSize="5" fitToHeight="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BE38-52DF-460E-A244-D6EDD52F1839}">
  <sheetPr>
    <tabColor rgb="FF00B0F0"/>
    <pageSetUpPr fitToPage="1"/>
  </sheetPr>
  <dimension ref="B1:R154"/>
  <sheetViews>
    <sheetView topLeftCell="A77" workbookViewId="0">
      <selection activeCell="P95" sqref="P95"/>
    </sheetView>
  </sheetViews>
  <sheetFormatPr defaultColWidth="9" defaultRowHeight="13.8" x14ac:dyDescent="0.25"/>
  <cols>
    <col min="1" max="1" width="0.88671875" style="32" customWidth="1"/>
    <col min="2" max="2" width="10.109375" style="32" customWidth="1"/>
    <col min="3" max="3" width="32.109375" style="32" customWidth="1"/>
    <col min="4" max="4" width="4.6640625" style="32" customWidth="1"/>
    <col min="5" max="5" width="4.88671875" style="32" customWidth="1"/>
    <col min="6" max="6" width="5" style="32" hidden="1" customWidth="1"/>
    <col min="7" max="7" width="9.44140625" style="32" hidden="1" customWidth="1"/>
    <col min="8" max="8" width="11.88671875" style="32" customWidth="1"/>
    <col min="9" max="9" width="8.6640625" style="32" customWidth="1"/>
    <col min="10" max="10" width="10.33203125" style="32" customWidth="1"/>
    <col min="11" max="11" width="10.5546875" style="32" customWidth="1"/>
    <col min="12" max="12" width="10.6640625" style="32" customWidth="1"/>
    <col min="13" max="13" width="12.33203125" style="32" customWidth="1"/>
    <col min="14" max="14" width="12.6640625" style="32" customWidth="1"/>
    <col min="15" max="15" width="13.5546875" style="32" customWidth="1"/>
    <col min="16" max="16" width="12.6640625" style="32" customWidth="1"/>
    <col min="17" max="17" width="9" style="32"/>
    <col min="18" max="18" width="14.109375" style="32" bestFit="1" customWidth="1"/>
    <col min="19" max="16384" width="9" style="32"/>
  </cols>
  <sheetData>
    <row r="1" spans="2:16" x14ac:dyDescent="0.25">
      <c r="B1" s="199" t="s">
        <v>0</v>
      </c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</row>
    <row r="2" spans="2:16" x14ac:dyDescent="0.25">
      <c r="B2" s="199" t="s">
        <v>1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</row>
    <row r="3" spans="2:16" x14ac:dyDescent="0.25">
      <c r="B3" s="200" t="s">
        <v>50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</row>
    <row r="4" spans="2:16" x14ac:dyDescent="0.25">
      <c r="B4" s="33"/>
      <c r="C4" s="33"/>
      <c r="D4" s="33"/>
      <c r="E4" s="33"/>
      <c r="F4" s="33"/>
      <c r="G4" s="33"/>
      <c r="H4" s="200" t="s">
        <v>2</v>
      </c>
      <c r="I4" s="200"/>
      <c r="J4" s="200"/>
      <c r="K4" s="200" t="s">
        <v>3</v>
      </c>
      <c r="L4" s="200"/>
      <c r="M4" s="33"/>
      <c r="N4" s="33"/>
      <c r="O4" s="33"/>
      <c r="P4" s="33"/>
    </row>
    <row r="5" spans="2:16" x14ac:dyDescent="0.25">
      <c r="B5" s="34" t="s">
        <v>4</v>
      </c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2:16" x14ac:dyDescent="0.25">
      <c r="B6" s="34" t="s">
        <v>5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</row>
    <row r="7" spans="2:16" x14ac:dyDescent="0.25">
      <c r="B7" s="204" t="s">
        <v>6</v>
      </c>
      <c r="C7" s="204"/>
      <c r="D7" s="204"/>
      <c r="E7" s="204"/>
      <c r="F7" s="204"/>
      <c r="G7" s="204"/>
      <c r="H7" s="204"/>
      <c r="I7" s="204"/>
      <c r="J7" s="204" t="s">
        <v>7</v>
      </c>
      <c r="K7" s="204"/>
      <c r="L7" s="204"/>
      <c r="M7" s="204" t="s">
        <v>8</v>
      </c>
      <c r="N7" s="204"/>
      <c r="O7" s="205" t="s">
        <v>9</v>
      </c>
      <c r="P7" s="204" t="s">
        <v>10</v>
      </c>
    </row>
    <row r="8" spans="2:16" ht="92.4" x14ac:dyDescent="0.25">
      <c r="B8" s="35" t="s">
        <v>11</v>
      </c>
      <c r="C8" s="35" t="s">
        <v>12</v>
      </c>
      <c r="D8" s="206" t="s">
        <v>13</v>
      </c>
      <c r="E8" s="207"/>
      <c r="F8" s="118"/>
      <c r="G8" s="118"/>
      <c r="H8" s="35" t="s">
        <v>14</v>
      </c>
      <c r="I8" s="35" t="s">
        <v>15</v>
      </c>
      <c r="J8" s="35" t="s">
        <v>16</v>
      </c>
      <c r="K8" s="35" t="s">
        <v>17</v>
      </c>
      <c r="L8" s="35" t="s">
        <v>18</v>
      </c>
      <c r="M8" s="35" t="s">
        <v>19</v>
      </c>
      <c r="N8" s="35" t="s">
        <v>20</v>
      </c>
      <c r="O8" s="205"/>
      <c r="P8" s="204"/>
    </row>
    <row r="9" spans="2:16" ht="23.25" customHeight="1" x14ac:dyDescent="0.25">
      <c r="B9" s="36" t="s">
        <v>21</v>
      </c>
      <c r="C9" s="36" t="s">
        <v>22</v>
      </c>
      <c r="D9" s="208" t="s">
        <v>23</v>
      </c>
      <c r="E9" s="209"/>
      <c r="F9" s="119"/>
      <c r="G9" s="119"/>
      <c r="H9" s="36" t="s">
        <v>24</v>
      </c>
      <c r="I9" s="36" t="s">
        <v>25</v>
      </c>
      <c r="J9" s="36" t="s">
        <v>26</v>
      </c>
      <c r="K9" s="36" t="s">
        <v>27</v>
      </c>
      <c r="L9" s="36" t="s">
        <v>28</v>
      </c>
      <c r="M9" s="36" t="s">
        <v>29</v>
      </c>
      <c r="N9" s="36" t="s">
        <v>30</v>
      </c>
      <c r="O9" s="36" t="s">
        <v>31</v>
      </c>
      <c r="P9" s="36" t="s">
        <v>32</v>
      </c>
    </row>
    <row r="10" spans="2:16" s="42" customFormat="1" ht="51.75" customHeight="1" x14ac:dyDescent="0.3">
      <c r="B10" s="169" t="s">
        <v>51</v>
      </c>
      <c r="C10" s="38" t="s">
        <v>34</v>
      </c>
      <c r="D10" s="210"/>
      <c r="E10" s="211"/>
      <c r="F10" s="120" t="s">
        <v>55</v>
      </c>
      <c r="G10" s="120" t="s">
        <v>692</v>
      </c>
      <c r="H10" s="41" t="s">
        <v>35</v>
      </c>
      <c r="I10" s="39" t="s">
        <v>36</v>
      </c>
      <c r="J10" s="40"/>
      <c r="K10" s="40"/>
      <c r="L10" s="40"/>
      <c r="M10" s="41" t="s">
        <v>37</v>
      </c>
      <c r="N10" s="10">
        <v>4902693</v>
      </c>
      <c r="O10" s="40" t="s">
        <v>38</v>
      </c>
      <c r="P10" s="41" t="s">
        <v>39</v>
      </c>
    </row>
    <row r="11" spans="2:16" s="42" customFormat="1" ht="16.5" customHeight="1" x14ac:dyDescent="0.3">
      <c r="B11" s="133"/>
      <c r="C11" s="44" t="s">
        <v>199</v>
      </c>
      <c r="D11" s="45">
        <v>6</v>
      </c>
      <c r="E11" s="45" t="s">
        <v>52</v>
      </c>
      <c r="F11" s="45">
        <v>250</v>
      </c>
      <c r="G11" s="136">
        <f t="shared" ref="G11:G21" si="0">F11*D11</f>
        <v>1500</v>
      </c>
      <c r="H11" s="46"/>
      <c r="I11" s="46"/>
      <c r="J11" s="15" t="s">
        <v>40</v>
      </c>
      <c r="K11" s="181">
        <v>46174</v>
      </c>
      <c r="L11" s="16" t="s">
        <v>41</v>
      </c>
      <c r="M11" s="47"/>
      <c r="N11" s="185">
        <f>G11</f>
        <v>1500</v>
      </c>
      <c r="O11" s="48"/>
      <c r="P11" s="47"/>
    </row>
    <row r="12" spans="2:16" s="42" customFormat="1" ht="16.5" customHeight="1" x14ac:dyDescent="0.3">
      <c r="B12" s="133"/>
      <c r="C12" s="44" t="s">
        <v>200</v>
      </c>
      <c r="D12" s="45">
        <v>30</v>
      </c>
      <c r="E12" s="45" t="s">
        <v>245</v>
      </c>
      <c r="F12" s="45">
        <v>450</v>
      </c>
      <c r="G12" s="137">
        <f t="shared" si="0"/>
        <v>13500</v>
      </c>
      <c r="H12" s="46"/>
      <c r="I12" s="46"/>
      <c r="J12" s="15"/>
      <c r="K12" s="15"/>
      <c r="L12" s="20" t="s">
        <v>731</v>
      </c>
      <c r="M12" s="47"/>
      <c r="N12" s="185">
        <f t="shared" ref="N12:N75" si="1">G12</f>
        <v>13500</v>
      </c>
      <c r="O12" s="48"/>
      <c r="P12" s="47"/>
    </row>
    <row r="13" spans="2:16" s="42" customFormat="1" ht="16.5" customHeight="1" x14ac:dyDescent="0.3">
      <c r="B13" s="133"/>
      <c r="C13" s="44" t="s">
        <v>201</v>
      </c>
      <c r="D13" s="45">
        <v>30</v>
      </c>
      <c r="E13" s="45" t="s">
        <v>245</v>
      </c>
      <c r="F13" s="45">
        <v>450</v>
      </c>
      <c r="G13" s="137">
        <f t="shared" si="0"/>
        <v>13500</v>
      </c>
      <c r="H13" s="46"/>
      <c r="I13" s="46"/>
      <c r="J13" s="15"/>
      <c r="K13" s="15"/>
      <c r="L13" s="16"/>
      <c r="M13" s="47"/>
      <c r="N13" s="185">
        <f t="shared" si="1"/>
        <v>13500</v>
      </c>
      <c r="O13" s="48"/>
      <c r="P13" s="47"/>
    </row>
    <row r="14" spans="2:16" s="42" customFormat="1" ht="16.5" customHeight="1" x14ac:dyDescent="0.3">
      <c r="B14" s="133"/>
      <c r="C14" s="44" t="s">
        <v>202</v>
      </c>
      <c r="D14" s="45">
        <v>15</v>
      </c>
      <c r="E14" s="45" t="s">
        <v>245</v>
      </c>
      <c r="F14" s="45">
        <v>300</v>
      </c>
      <c r="G14" s="137">
        <f t="shared" si="0"/>
        <v>4500</v>
      </c>
      <c r="H14" s="46"/>
      <c r="I14" s="46"/>
      <c r="J14" s="15"/>
      <c r="K14" s="15"/>
      <c r="L14" s="16"/>
      <c r="M14" s="47"/>
      <c r="N14" s="185">
        <f t="shared" si="1"/>
        <v>4500</v>
      </c>
      <c r="O14" s="48"/>
      <c r="P14" s="47"/>
    </row>
    <row r="15" spans="2:16" s="42" customFormat="1" ht="16.5" customHeight="1" x14ac:dyDescent="0.3">
      <c r="B15" s="133"/>
      <c r="C15" s="44" t="s">
        <v>203</v>
      </c>
      <c r="D15" s="45">
        <v>3</v>
      </c>
      <c r="E15" s="45" t="s">
        <v>52</v>
      </c>
      <c r="F15" s="45">
        <v>150</v>
      </c>
      <c r="G15" s="137">
        <f t="shared" si="0"/>
        <v>450</v>
      </c>
      <c r="H15" s="46"/>
      <c r="I15" s="46"/>
      <c r="J15" s="15"/>
      <c r="K15" s="15"/>
      <c r="L15" s="16"/>
      <c r="M15" s="47"/>
      <c r="N15" s="185">
        <f t="shared" si="1"/>
        <v>450</v>
      </c>
      <c r="O15" s="48"/>
      <c r="P15" s="47"/>
    </row>
    <row r="16" spans="2:16" s="42" customFormat="1" ht="16.5" customHeight="1" x14ac:dyDescent="0.3">
      <c r="B16" s="133"/>
      <c r="C16" s="44" t="s">
        <v>204</v>
      </c>
      <c r="D16" s="45">
        <v>5</v>
      </c>
      <c r="E16" s="45" t="s">
        <v>145</v>
      </c>
      <c r="F16" s="45">
        <v>650</v>
      </c>
      <c r="G16" s="137">
        <f t="shared" si="0"/>
        <v>3250</v>
      </c>
      <c r="H16" s="46"/>
      <c r="I16" s="46"/>
      <c r="J16" s="15"/>
      <c r="K16" s="15"/>
      <c r="L16" s="16"/>
      <c r="M16" s="47"/>
      <c r="N16" s="185">
        <f t="shared" si="1"/>
        <v>3250</v>
      </c>
      <c r="O16" s="48"/>
      <c r="P16" s="47"/>
    </row>
    <row r="17" spans="2:16" s="42" customFormat="1" ht="16.5" customHeight="1" x14ac:dyDescent="0.3">
      <c r="B17" s="133"/>
      <c r="C17" s="44" t="s">
        <v>205</v>
      </c>
      <c r="D17" s="45">
        <v>100</v>
      </c>
      <c r="E17" s="45" t="s">
        <v>53</v>
      </c>
      <c r="F17" s="45">
        <v>170</v>
      </c>
      <c r="G17" s="137">
        <f t="shared" si="0"/>
        <v>17000</v>
      </c>
      <c r="H17" s="46"/>
      <c r="I17" s="46"/>
      <c r="J17" s="15"/>
      <c r="K17" s="15"/>
      <c r="L17" s="16"/>
      <c r="M17" s="47"/>
      <c r="N17" s="185">
        <f t="shared" si="1"/>
        <v>17000</v>
      </c>
      <c r="O17" s="48"/>
      <c r="P17" s="47"/>
    </row>
    <row r="18" spans="2:16" s="42" customFormat="1" ht="16.5" customHeight="1" x14ac:dyDescent="0.3">
      <c r="B18" s="133"/>
      <c r="C18" s="44" t="s">
        <v>206</v>
      </c>
      <c r="D18" s="45">
        <v>5</v>
      </c>
      <c r="E18" s="45" t="s">
        <v>194</v>
      </c>
      <c r="F18" s="45">
        <v>400</v>
      </c>
      <c r="G18" s="137">
        <f t="shared" si="0"/>
        <v>2000</v>
      </c>
      <c r="H18" s="46"/>
      <c r="I18" s="46"/>
      <c r="J18" s="15"/>
      <c r="K18" s="15"/>
      <c r="L18" s="16"/>
      <c r="M18" s="47"/>
      <c r="N18" s="185">
        <f t="shared" si="1"/>
        <v>2000</v>
      </c>
      <c r="O18" s="48"/>
      <c r="P18" s="47"/>
    </row>
    <row r="19" spans="2:16" s="42" customFormat="1" ht="16.5" customHeight="1" x14ac:dyDescent="0.3">
      <c r="B19" s="133"/>
      <c r="C19" s="44" t="s">
        <v>207</v>
      </c>
      <c r="D19" s="45">
        <v>7</v>
      </c>
      <c r="E19" s="45" t="s">
        <v>246</v>
      </c>
      <c r="F19" s="45">
        <v>600</v>
      </c>
      <c r="G19" s="137">
        <f t="shared" si="0"/>
        <v>4200</v>
      </c>
      <c r="H19" s="46"/>
      <c r="I19" s="46"/>
      <c r="J19" s="15"/>
      <c r="K19" s="15"/>
      <c r="L19" s="16"/>
      <c r="M19" s="47"/>
      <c r="N19" s="185">
        <f t="shared" si="1"/>
        <v>4200</v>
      </c>
      <c r="O19" s="48"/>
      <c r="P19" s="47"/>
    </row>
    <row r="20" spans="2:16" s="42" customFormat="1" ht="16.5" customHeight="1" x14ac:dyDescent="0.3">
      <c r="B20" s="133"/>
      <c r="C20" s="44" t="s">
        <v>208</v>
      </c>
      <c r="D20" s="45">
        <v>20</v>
      </c>
      <c r="E20" s="45" t="s">
        <v>52</v>
      </c>
      <c r="F20" s="45">
        <v>21.6</v>
      </c>
      <c r="G20" s="136">
        <f t="shared" si="0"/>
        <v>432</v>
      </c>
      <c r="H20" s="46"/>
      <c r="I20" s="46"/>
      <c r="J20" s="15"/>
      <c r="K20" s="15"/>
      <c r="L20" s="16"/>
      <c r="M20" s="47"/>
      <c r="N20" s="185">
        <f t="shared" si="1"/>
        <v>432</v>
      </c>
      <c r="O20" s="48"/>
      <c r="P20" s="47"/>
    </row>
    <row r="21" spans="2:16" s="42" customFormat="1" ht="16.5" customHeight="1" x14ac:dyDescent="0.3">
      <c r="B21" s="133"/>
      <c r="C21" s="44" t="s">
        <v>209</v>
      </c>
      <c r="D21" s="45">
        <v>20</v>
      </c>
      <c r="E21" s="45" t="s">
        <v>52</v>
      </c>
      <c r="F21" s="45">
        <v>21.6</v>
      </c>
      <c r="G21" s="137">
        <f t="shared" si="0"/>
        <v>432</v>
      </c>
      <c r="H21" s="46"/>
      <c r="I21" s="46"/>
      <c r="J21" s="15"/>
      <c r="K21" s="15"/>
      <c r="L21" s="16"/>
      <c r="M21" s="47"/>
      <c r="N21" s="185">
        <f t="shared" si="1"/>
        <v>432</v>
      </c>
      <c r="O21" s="48"/>
      <c r="P21" s="47"/>
    </row>
    <row r="22" spans="2:16" s="42" customFormat="1" ht="16.5" customHeight="1" x14ac:dyDescent="0.3">
      <c r="B22" s="133"/>
      <c r="C22" s="44" t="s">
        <v>210</v>
      </c>
      <c r="D22" s="45">
        <v>20</v>
      </c>
      <c r="E22" s="45" t="s">
        <v>52</v>
      </c>
      <c r="F22" s="45">
        <v>35</v>
      </c>
      <c r="G22" s="136">
        <f t="shared" ref="G22:G46" si="2">F22*D22</f>
        <v>700</v>
      </c>
      <c r="H22" s="46"/>
      <c r="I22" s="46"/>
      <c r="J22" s="15"/>
      <c r="K22" s="15"/>
      <c r="L22" s="16"/>
      <c r="M22" s="47"/>
      <c r="N22" s="185">
        <f t="shared" si="1"/>
        <v>700</v>
      </c>
      <c r="O22" s="48"/>
      <c r="P22" s="47"/>
    </row>
    <row r="23" spans="2:16" s="42" customFormat="1" ht="16.5" customHeight="1" x14ac:dyDescent="0.3">
      <c r="B23" s="133"/>
      <c r="C23" s="44" t="s">
        <v>211</v>
      </c>
      <c r="D23" s="45">
        <v>20</v>
      </c>
      <c r="E23" s="45" t="s">
        <v>195</v>
      </c>
      <c r="F23" s="45">
        <v>1350</v>
      </c>
      <c r="G23" s="136">
        <f t="shared" si="2"/>
        <v>27000</v>
      </c>
      <c r="H23" s="46"/>
      <c r="I23" s="46"/>
      <c r="J23" s="15"/>
      <c r="K23" s="15"/>
      <c r="L23" s="16"/>
      <c r="M23" s="47"/>
      <c r="N23" s="185">
        <f t="shared" si="1"/>
        <v>27000</v>
      </c>
      <c r="O23" s="48"/>
      <c r="P23" s="47"/>
    </row>
    <row r="24" spans="2:16" s="42" customFormat="1" ht="16.5" customHeight="1" x14ac:dyDescent="0.3">
      <c r="B24" s="133"/>
      <c r="C24" s="44" t="s">
        <v>212</v>
      </c>
      <c r="D24" s="45">
        <v>7</v>
      </c>
      <c r="E24" s="45" t="s">
        <v>85</v>
      </c>
      <c r="F24" s="45">
        <v>55</v>
      </c>
      <c r="G24" s="136">
        <f t="shared" si="2"/>
        <v>385</v>
      </c>
      <c r="H24" s="46"/>
      <c r="I24" s="46"/>
      <c r="J24" s="15"/>
      <c r="K24" s="15"/>
      <c r="L24" s="16"/>
      <c r="M24" s="47"/>
      <c r="N24" s="185">
        <f t="shared" si="1"/>
        <v>385</v>
      </c>
      <c r="O24" s="48"/>
      <c r="P24" s="47"/>
    </row>
    <row r="25" spans="2:16" s="42" customFormat="1" ht="16.5" customHeight="1" x14ac:dyDescent="0.3">
      <c r="B25" s="133"/>
      <c r="C25" s="44" t="s">
        <v>213</v>
      </c>
      <c r="D25" s="45">
        <v>40</v>
      </c>
      <c r="E25" s="45" t="s">
        <v>87</v>
      </c>
      <c r="F25" s="45">
        <v>115</v>
      </c>
      <c r="G25" s="136">
        <f t="shared" si="2"/>
        <v>4600</v>
      </c>
      <c r="H25" s="46"/>
      <c r="I25" s="46"/>
      <c r="J25" s="15"/>
      <c r="K25" s="15"/>
      <c r="L25" s="16"/>
      <c r="M25" s="47"/>
      <c r="N25" s="185">
        <f t="shared" si="1"/>
        <v>4600</v>
      </c>
      <c r="O25" s="48"/>
      <c r="P25" s="47"/>
    </row>
    <row r="26" spans="2:16" s="42" customFormat="1" ht="16.5" customHeight="1" x14ac:dyDescent="0.3">
      <c r="B26" s="133"/>
      <c r="C26" s="44" t="s">
        <v>214</v>
      </c>
      <c r="D26" s="45">
        <v>30</v>
      </c>
      <c r="E26" s="45" t="s">
        <v>145</v>
      </c>
      <c r="F26" s="45">
        <v>250</v>
      </c>
      <c r="G26" s="136">
        <f t="shared" si="2"/>
        <v>7500</v>
      </c>
      <c r="H26" s="46"/>
      <c r="I26" s="46"/>
      <c r="J26" s="15"/>
      <c r="K26" s="15"/>
      <c r="L26" s="16"/>
      <c r="M26" s="47"/>
      <c r="N26" s="185">
        <f t="shared" si="1"/>
        <v>7500</v>
      </c>
      <c r="O26" s="48"/>
      <c r="P26" s="47"/>
    </row>
    <row r="27" spans="2:16" s="42" customFormat="1" ht="16.5" customHeight="1" x14ac:dyDescent="0.3">
      <c r="B27" s="133"/>
      <c r="C27" s="44" t="s">
        <v>215</v>
      </c>
      <c r="D27" s="45">
        <v>10</v>
      </c>
      <c r="E27" s="45" t="s">
        <v>52</v>
      </c>
      <c r="F27" s="45">
        <v>2100</v>
      </c>
      <c r="G27" s="136">
        <f t="shared" si="2"/>
        <v>21000</v>
      </c>
      <c r="H27" s="46"/>
      <c r="I27" s="46"/>
      <c r="J27" s="15"/>
      <c r="K27" s="15"/>
      <c r="L27" s="16"/>
      <c r="M27" s="47"/>
      <c r="N27" s="185">
        <f t="shared" si="1"/>
        <v>21000</v>
      </c>
      <c r="O27" s="48"/>
      <c r="P27" s="47"/>
    </row>
    <row r="28" spans="2:16" s="42" customFormat="1" ht="16.5" customHeight="1" x14ac:dyDescent="0.25">
      <c r="B28" s="133"/>
      <c r="C28" s="50" t="s">
        <v>252</v>
      </c>
      <c r="D28" s="51">
        <v>49</v>
      </c>
      <c r="E28" s="51" t="s">
        <v>53</v>
      </c>
      <c r="F28" s="51">
        <v>45</v>
      </c>
      <c r="G28" s="136">
        <f t="shared" si="2"/>
        <v>2205</v>
      </c>
      <c r="H28" s="46"/>
      <c r="I28" s="46"/>
      <c r="J28" s="49"/>
      <c r="K28" s="49"/>
      <c r="L28" s="49"/>
      <c r="M28" s="47"/>
      <c r="N28" s="185">
        <f t="shared" si="1"/>
        <v>2205</v>
      </c>
      <c r="O28" s="48"/>
      <c r="P28" s="47"/>
    </row>
    <row r="29" spans="2:16" s="42" customFormat="1" ht="16.5" customHeight="1" x14ac:dyDescent="0.25">
      <c r="B29" s="133"/>
      <c r="C29" s="50" t="s">
        <v>253</v>
      </c>
      <c r="D29" s="51">
        <v>40</v>
      </c>
      <c r="E29" s="51" t="s">
        <v>52</v>
      </c>
      <c r="F29" s="51">
        <v>550</v>
      </c>
      <c r="G29" s="136">
        <f t="shared" si="2"/>
        <v>22000</v>
      </c>
      <c r="H29" s="46"/>
      <c r="I29" s="46"/>
      <c r="J29" s="49"/>
      <c r="K29" s="49"/>
      <c r="L29" s="49"/>
      <c r="M29" s="47"/>
      <c r="N29" s="185">
        <f t="shared" si="1"/>
        <v>22000</v>
      </c>
      <c r="O29" s="48"/>
      <c r="P29" s="47"/>
    </row>
    <row r="30" spans="2:16" s="42" customFormat="1" ht="16.5" customHeight="1" x14ac:dyDescent="0.25">
      <c r="B30" s="133"/>
      <c r="C30" s="50" t="s">
        <v>254</v>
      </c>
      <c r="D30" s="51">
        <v>40</v>
      </c>
      <c r="E30" s="51" t="s">
        <v>52</v>
      </c>
      <c r="F30" s="51">
        <v>450</v>
      </c>
      <c r="G30" s="136">
        <f t="shared" si="2"/>
        <v>18000</v>
      </c>
      <c r="H30" s="46"/>
      <c r="I30" s="46"/>
      <c r="J30" s="49"/>
      <c r="K30" s="49"/>
      <c r="L30" s="49"/>
      <c r="M30" s="47"/>
      <c r="N30" s="185">
        <f t="shared" si="1"/>
        <v>18000</v>
      </c>
      <c r="O30" s="48"/>
      <c r="P30" s="47"/>
    </row>
    <row r="31" spans="2:16" s="42" customFormat="1" ht="16.5" customHeight="1" x14ac:dyDescent="0.25">
      <c r="B31" s="133"/>
      <c r="C31" s="50" t="s">
        <v>255</v>
      </c>
      <c r="D31" s="51">
        <v>100</v>
      </c>
      <c r="E31" s="51" t="s">
        <v>256</v>
      </c>
      <c r="F31" s="51">
        <v>150</v>
      </c>
      <c r="G31" s="136">
        <f t="shared" si="2"/>
        <v>15000</v>
      </c>
      <c r="H31" s="46"/>
      <c r="I31" s="46"/>
      <c r="J31" s="49"/>
      <c r="K31" s="49"/>
      <c r="L31" s="49"/>
      <c r="M31" s="47"/>
      <c r="N31" s="185">
        <f t="shared" si="1"/>
        <v>15000</v>
      </c>
      <c r="O31" s="48"/>
      <c r="P31" s="47"/>
    </row>
    <row r="32" spans="2:16" s="42" customFormat="1" ht="16.5" customHeight="1" x14ac:dyDescent="0.25">
      <c r="B32" s="133"/>
      <c r="C32" s="50" t="s">
        <v>257</v>
      </c>
      <c r="D32" s="51">
        <v>50</v>
      </c>
      <c r="E32" s="51" t="s">
        <v>52</v>
      </c>
      <c r="F32" s="51">
        <v>350</v>
      </c>
      <c r="G32" s="136">
        <f t="shared" si="2"/>
        <v>17500</v>
      </c>
      <c r="H32" s="46"/>
      <c r="I32" s="46"/>
      <c r="J32" s="49"/>
      <c r="K32" s="49"/>
      <c r="L32" s="49"/>
      <c r="M32" s="47"/>
      <c r="N32" s="185">
        <f t="shared" si="1"/>
        <v>17500</v>
      </c>
      <c r="O32" s="48"/>
      <c r="P32" s="47"/>
    </row>
    <row r="33" spans="2:16" s="42" customFormat="1" ht="16.5" customHeight="1" x14ac:dyDescent="0.25">
      <c r="B33" s="133"/>
      <c r="C33" s="50" t="s">
        <v>258</v>
      </c>
      <c r="D33" s="51">
        <v>60</v>
      </c>
      <c r="E33" s="51" t="s">
        <v>52</v>
      </c>
      <c r="F33" s="51">
        <v>250</v>
      </c>
      <c r="G33" s="136">
        <f t="shared" si="2"/>
        <v>15000</v>
      </c>
      <c r="H33" s="46"/>
      <c r="I33" s="46"/>
      <c r="J33" s="49"/>
      <c r="K33" s="49"/>
      <c r="L33" s="49"/>
      <c r="M33" s="47"/>
      <c r="N33" s="185">
        <f t="shared" si="1"/>
        <v>15000</v>
      </c>
      <c r="O33" s="48"/>
      <c r="P33" s="47"/>
    </row>
    <row r="34" spans="2:16" s="42" customFormat="1" ht="16.5" customHeight="1" x14ac:dyDescent="0.25">
      <c r="B34" s="133"/>
      <c r="C34" s="50" t="s">
        <v>259</v>
      </c>
      <c r="D34" s="51">
        <v>100</v>
      </c>
      <c r="E34" s="51" t="s">
        <v>52</v>
      </c>
      <c r="F34" s="51">
        <v>1000</v>
      </c>
      <c r="G34" s="136">
        <f t="shared" si="2"/>
        <v>100000</v>
      </c>
      <c r="H34" s="46"/>
      <c r="I34" s="46"/>
      <c r="J34" s="49"/>
      <c r="K34" s="49"/>
      <c r="L34" s="49"/>
      <c r="M34" s="47"/>
      <c r="N34" s="185">
        <f t="shared" si="1"/>
        <v>100000</v>
      </c>
      <c r="O34" s="48"/>
      <c r="P34" s="47"/>
    </row>
    <row r="35" spans="2:16" s="42" customFormat="1" ht="16.5" customHeight="1" x14ac:dyDescent="0.25">
      <c r="B35" s="133"/>
      <c r="C35" s="50" t="s">
        <v>260</v>
      </c>
      <c r="D35" s="51">
        <v>20</v>
      </c>
      <c r="E35" s="51" t="s">
        <v>195</v>
      </c>
      <c r="F35" s="51">
        <v>80</v>
      </c>
      <c r="G35" s="136">
        <f t="shared" si="2"/>
        <v>1600</v>
      </c>
      <c r="H35" s="46"/>
      <c r="I35" s="46"/>
      <c r="J35" s="49"/>
      <c r="K35" s="49"/>
      <c r="L35" s="49"/>
      <c r="M35" s="47"/>
      <c r="N35" s="185">
        <f t="shared" si="1"/>
        <v>1600</v>
      </c>
      <c r="O35" s="48"/>
      <c r="P35" s="47"/>
    </row>
    <row r="36" spans="2:16" s="42" customFormat="1" ht="16.5" customHeight="1" x14ac:dyDescent="0.25">
      <c r="B36" s="133"/>
      <c r="C36" s="50" t="s">
        <v>261</v>
      </c>
      <c r="D36" s="51">
        <v>80</v>
      </c>
      <c r="E36" s="51" t="s">
        <v>262</v>
      </c>
      <c r="F36" s="51">
        <v>130</v>
      </c>
      <c r="G36" s="136">
        <f t="shared" si="2"/>
        <v>10400</v>
      </c>
      <c r="H36" s="46"/>
      <c r="I36" s="46"/>
      <c r="J36" s="49"/>
      <c r="K36" s="49"/>
      <c r="L36" s="49"/>
      <c r="M36" s="47"/>
      <c r="N36" s="185">
        <f t="shared" si="1"/>
        <v>10400</v>
      </c>
      <c r="O36" s="48"/>
      <c r="P36" s="47"/>
    </row>
    <row r="37" spans="2:16" s="42" customFormat="1" ht="16.5" customHeight="1" x14ac:dyDescent="0.25">
      <c r="B37" s="133"/>
      <c r="C37" s="50" t="s">
        <v>263</v>
      </c>
      <c r="D37" s="51">
        <v>10</v>
      </c>
      <c r="E37" s="51" t="s">
        <v>264</v>
      </c>
      <c r="F37" s="51">
        <v>450</v>
      </c>
      <c r="G37" s="136">
        <f t="shared" si="2"/>
        <v>4500</v>
      </c>
      <c r="H37" s="46"/>
      <c r="I37" s="46"/>
      <c r="J37" s="49"/>
      <c r="K37" s="49"/>
      <c r="L37" s="49"/>
      <c r="M37" s="47"/>
      <c r="N37" s="185">
        <f t="shared" si="1"/>
        <v>4500</v>
      </c>
      <c r="O37" s="48"/>
      <c r="P37" s="47"/>
    </row>
    <row r="38" spans="2:16" s="42" customFormat="1" ht="16.5" customHeight="1" x14ac:dyDescent="0.25">
      <c r="B38" s="133"/>
      <c r="C38" s="50" t="s">
        <v>265</v>
      </c>
      <c r="D38" s="51">
        <v>30</v>
      </c>
      <c r="E38" s="51" t="s">
        <v>266</v>
      </c>
      <c r="F38" s="51">
        <v>58</v>
      </c>
      <c r="G38" s="136">
        <f t="shared" si="2"/>
        <v>1740</v>
      </c>
      <c r="H38" s="46"/>
      <c r="I38" s="46"/>
      <c r="J38" s="49"/>
      <c r="K38" s="49"/>
      <c r="L38" s="49"/>
      <c r="M38" s="47"/>
      <c r="N38" s="185">
        <f t="shared" si="1"/>
        <v>1740</v>
      </c>
      <c r="O38" s="48"/>
      <c r="P38" s="47"/>
    </row>
    <row r="39" spans="2:16" s="42" customFormat="1" ht="16.5" customHeight="1" x14ac:dyDescent="0.25">
      <c r="B39" s="133"/>
      <c r="C39" s="50" t="s">
        <v>267</v>
      </c>
      <c r="D39" s="51">
        <v>50</v>
      </c>
      <c r="E39" s="51" t="s">
        <v>53</v>
      </c>
      <c r="F39" s="51">
        <v>60</v>
      </c>
      <c r="G39" s="136">
        <f t="shared" si="2"/>
        <v>3000</v>
      </c>
      <c r="H39" s="46"/>
      <c r="I39" s="46"/>
      <c r="J39" s="49"/>
      <c r="K39" s="49"/>
      <c r="L39" s="49"/>
      <c r="M39" s="47"/>
      <c r="N39" s="185">
        <f t="shared" si="1"/>
        <v>3000</v>
      </c>
      <c r="O39" s="48"/>
      <c r="P39" s="47"/>
    </row>
    <row r="40" spans="2:16" s="42" customFormat="1" ht="16.5" customHeight="1" x14ac:dyDescent="0.25">
      <c r="B40" s="133"/>
      <c r="C40" s="50" t="s">
        <v>268</v>
      </c>
      <c r="D40" s="51">
        <v>50</v>
      </c>
      <c r="E40" s="51" t="s">
        <v>53</v>
      </c>
      <c r="F40" s="51">
        <v>70</v>
      </c>
      <c r="G40" s="136">
        <f t="shared" si="2"/>
        <v>3500</v>
      </c>
      <c r="H40" s="46"/>
      <c r="I40" s="46"/>
      <c r="J40" s="49"/>
      <c r="K40" s="49"/>
      <c r="L40" s="49"/>
      <c r="M40" s="47"/>
      <c r="N40" s="185">
        <f t="shared" si="1"/>
        <v>3500</v>
      </c>
      <c r="O40" s="48"/>
      <c r="P40" s="47"/>
    </row>
    <row r="41" spans="2:16" s="42" customFormat="1" ht="16.5" customHeight="1" x14ac:dyDescent="0.25">
      <c r="B41" s="133"/>
      <c r="C41" s="50" t="s">
        <v>269</v>
      </c>
      <c r="D41" s="51">
        <v>50</v>
      </c>
      <c r="E41" s="51" t="s">
        <v>53</v>
      </c>
      <c r="F41" s="51">
        <v>100</v>
      </c>
      <c r="G41" s="136">
        <f t="shared" si="2"/>
        <v>5000</v>
      </c>
      <c r="H41" s="46"/>
      <c r="I41" s="46"/>
      <c r="J41" s="49"/>
      <c r="K41" s="49"/>
      <c r="L41" s="49"/>
      <c r="M41" s="47"/>
      <c r="N41" s="185">
        <f t="shared" si="1"/>
        <v>5000</v>
      </c>
      <c r="O41" s="48"/>
      <c r="P41" s="47"/>
    </row>
    <row r="42" spans="2:16" s="42" customFormat="1" ht="16.5" customHeight="1" x14ac:dyDescent="0.25">
      <c r="B42" s="133"/>
      <c r="C42" s="50" t="s">
        <v>270</v>
      </c>
      <c r="D42" s="51">
        <v>50</v>
      </c>
      <c r="E42" s="51" t="s">
        <v>53</v>
      </c>
      <c r="F42" s="51">
        <v>1750</v>
      </c>
      <c r="G42" s="136">
        <f t="shared" si="2"/>
        <v>87500</v>
      </c>
      <c r="H42" s="46"/>
      <c r="I42" s="46"/>
      <c r="J42" s="49"/>
      <c r="K42" s="49"/>
      <c r="L42" s="49"/>
      <c r="M42" s="47"/>
      <c r="N42" s="185">
        <f t="shared" si="1"/>
        <v>87500</v>
      </c>
      <c r="O42" s="48"/>
      <c r="P42" s="47"/>
    </row>
    <row r="43" spans="2:16" s="42" customFormat="1" ht="16.5" customHeight="1" x14ac:dyDescent="0.25">
      <c r="B43" s="133"/>
      <c r="C43" s="50" t="s">
        <v>271</v>
      </c>
      <c r="D43" s="51">
        <v>20</v>
      </c>
      <c r="E43" s="51" t="s">
        <v>52</v>
      </c>
      <c r="F43" s="51">
        <v>30</v>
      </c>
      <c r="G43" s="136">
        <f t="shared" si="2"/>
        <v>600</v>
      </c>
      <c r="H43" s="46"/>
      <c r="I43" s="46"/>
      <c r="J43" s="49"/>
      <c r="K43" s="49"/>
      <c r="L43" s="49"/>
      <c r="M43" s="47"/>
      <c r="N43" s="185">
        <f t="shared" si="1"/>
        <v>600</v>
      </c>
      <c r="O43" s="48"/>
      <c r="P43" s="47"/>
    </row>
    <row r="44" spans="2:16" s="42" customFormat="1" ht="16.5" customHeight="1" x14ac:dyDescent="0.25">
      <c r="B44" s="133"/>
      <c r="C44" s="50" t="s">
        <v>272</v>
      </c>
      <c r="D44" s="51">
        <v>100</v>
      </c>
      <c r="E44" s="51" t="s">
        <v>52</v>
      </c>
      <c r="F44" s="51">
        <v>105</v>
      </c>
      <c r="G44" s="136">
        <f t="shared" si="2"/>
        <v>10500</v>
      </c>
      <c r="H44" s="46"/>
      <c r="I44" s="46"/>
      <c r="J44" s="49"/>
      <c r="K44" s="49"/>
      <c r="L44" s="49"/>
      <c r="M44" s="47"/>
      <c r="N44" s="185">
        <f t="shared" si="1"/>
        <v>10500</v>
      </c>
      <c r="O44" s="48"/>
      <c r="P44" s="47"/>
    </row>
    <row r="45" spans="2:16" s="42" customFormat="1" ht="16.5" customHeight="1" x14ac:dyDescent="0.25">
      <c r="B45" s="133"/>
      <c r="C45" s="50" t="s">
        <v>273</v>
      </c>
      <c r="D45" s="51">
        <v>300</v>
      </c>
      <c r="E45" s="51" t="s">
        <v>53</v>
      </c>
      <c r="F45" s="51">
        <v>80</v>
      </c>
      <c r="G45" s="136">
        <f t="shared" si="2"/>
        <v>24000</v>
      </c>
      <c r="H45" s="46"/>
      <c r="I45" s="46"/>
      <c r="J45" s="49"/>
      <c r="K45" s="49"/>
      <c r="L45" s="49"/>
      <c r="M45" s="47"/>
      <c r="N45" s="185">
        <f t="shared" si="1"/>
        <v>24000</v>
      </c>
      <c r="O45" s="48"/>
      <c r="P45" s="47"/>
    </row>
    <row r="46" spans="2:16" s="42" customFormat="1" ht="16.5" customHeight="1" x14ac:dyDescent="0.25">
      <c r="B46" s="133"/>
      <c r="C46" s="50" t="s">
        <v>274</v>
      </c>
      <c r="D46" s="51">
        <v>4</v>
      </c>
      <c r="E46" s="51" t="s">
        <v>53</v>
      </c>
      <c r="F46" s="51">
        <v>4200</v>
      </c>
      <c r="G46" s="136">
        <f t="shared" si="2"/>
        <v>16800</v>
      </c>
      <c r="H46" s="46"/>
      <c r="I46" s="46"/>
      <c r="J46" s="49"/>
      <c r="K46" s="49"/>
      <c r="L46" s="49"/>
      <c r="M46" s="47"/>
      <c r="N46" s="185">
        <f t="shared" si="1"/>
        <v>16800</v>
      </c>
      <c r="O46" s="48"/>
      <c r="P46" s="47"/>
    </row>
    <row r="47" spans="2:16" s="42" customFormat="1" ht="16.5" customHeight="1" x14ac:dyDescent="0.25">
      <c r="B47" s="133"/>
      <c r="C47" s="50" t="s">
        <v>275</v>
      </c>
      <c r="D47" s="51">
        <v>30</v>
      </c>
      <c r="E47" s="51" t="s">
        <v>53</v>
      </c>
      <c r="F47" s="51">
        <v>450</v>
      </c>
      <c r="G47" s="136">
        <f t="shared" ref="G47:G110" si="3">F47*D47</f>
        <v>13500</v>
      </c>
      <c r="H47" s="46"/>
      <c r="I47" s="46"/>
      <c r="J47" s="49"/>
      <c r="K47" s="49"/>
      <c r="L47" s="49"/>
      <c r="M47" s="47"/>
      <c r="N47" s="185">
        <f t="shared" si="1"/>
        <v>13500</v>
      </c>
      <c r="O47" s="48"/>
      <c r="P47" s="47"/>
    </row>
    <row r="48" spans="2:16" s="42" customFormat="1" ht="16.5" customHeight="1" x14ac:dyDescent="0.25">
      <c r="B48" s="133"/>
      <c r="C48" s="50" t="s">
        <v>276</v>
      </c>
      <c r="D48" s="51">
        <v>30</v>
      </c>
      <c r="E48" s="51" t="s">
        <v>53</v>
      </c>
      <c r="F48" s="51">
        <v>300</v>
      </c>
      <c r="G48" s="136">
        <f t="shared" si="3"/>
        <v>9000</v>
      </c>
      <c r="H48" s="46"/>
      <c r="I48" s="46"/>
      <c r="J48" s="49"/>
      <c r="K48" s="49"/>
      <c r="L48" s="49"/>
      <c r="M48" s="47"/>
      <c r="N48" s="185">
        <f t="shared" si="1"/>
        <v>9000</v>
      </c>
      <c r="O48" s="48"/>
      <c r="P48" s="47"/>
    </row>
    <row r="49" spans="2:16" s="42" customFormat="1" ht="16.5" customHeight="1" x14ac:dyDescent="0.25">
      <c r="B49" s="133"/>
      <c r="C49" s="50" t="s">
        <v>277</v>
      </c>
      <c r="D49" s="51">
        <v>30</v>
      </c>
      <c r="E49" s="51" t="s">
        <v>53</v>
      </c>
      <c r="F49" s="51">
        <v>400</v>
      </c>
      <c r="G49" s="136">
        <f t="shared" si="3"/>
        <v>12000</v>
      </c>
      <c r="H49" s="46"/>
      <c r="I49" s="46"/>
      <c r="J49" s="49"/>
      <c r="K49" s="49"/>
      <c r="L49" s="49"/>
      <c r="M49" s="47"/>
      <c r="N49" s="185">
        <f t="shared" si="1"/>
        <v>12000</v>
      </c>
      <c r="O49" s="48"/>
      <c r="P49" s="47"/>
    </row>
    <row r="50" spans="2:16" s="42" customFormat="1" ht="16.5" customHeight="1" x14ac:dyDescent="0.25">
      <c r="B50" s="133"/>
      <c r="C50" s="50" t="s">
        <v>278</v>
      </c>
      <c r="D50" s="51">
        <v>30</v>
      </c>
      <c r="E50" s="51" t="s">
        <v>53</v>
      </c>
      <c r="F50" s="51">
        <v>350</v>
      </c>
      <c r="G50" s="136">
        <f t="shared" si="3"/>
        <v>10500</v>
      </c>
      <c r="H50" s="46"/>
      <c r="I50" s="46"/>
      <c r="J50" s="49"/>
      <c r="K50" s="49"/>
      <c r="L50" s="49"/>
      <c r="M50" s="47"/>
      <c r="N50" s="185">
        <f t="shared" si="1"/>
        <v>10500</v>
      </c>
      <c r="O50" s="48"/>
      <c r="P50" s="47"/>
    </row>
    <row r="51" spans="2:16" s="42" customFormat="1" ht="16.5" customHeight="1" x14ac:dyDescent="0.25">
      <c r="B51" s="133"/>
      <c r="C51" s="50" t="s">
        <v>279</v>
      </c>
      <c r="D51" s="51">
        <v>30</v>
      </c>
      <c r="E51" s="51" t="s">
        <v>53</v>
      </c>
      <c r="F51" s="51">
        <v>400</v>
      </c>
      <c r="G51" s="136">
        <f t="shared" si="3"/>
        <v>12000</v>
      </c>
      <c r="H51" s="46"/>
      <c r="I51" s="46"/>
      <c r="J51" s="49"/>
      <c r="K51" s="49"/>
      <c r="L51" s="49"/>
      <c r="M51" s="47"/>
      <c r="N51" s="185">
        <f t="shared" si="1"/>
        <v>12000</v>
      </c>
      <c r="O51" s="48"/>
      <c r="P51" s="47"/>
    </row>
    <row r="52" spans="2:16" s="42" customFormat="1" ht="16.5" customHeight="1" x14ac:dyDescent="0.25">
      <c r="B52" s="133"/>
      <c r="C52" s="50" t="s">
        <v>280</v>
      </c>
      <c r="D52" s="51">
        <v>15</v>
      </c>
      <c r="E52" s="51" t="s">
        <v>87</v>
      </c>
      <c r="F52" s="51">
        <v>150</v>
      </c>
      <c r="G52" s="183">
        <f>N52</f>
        <v>2184.5</v>
      </c>
      <c r="H52" s="46"/>
      <c r="I52" s="46"/>
      <c r="J52" s="49"/>
      <c r="K52" s="49"/>
      <c r="L52" s="49"/>
      <c r="M52" s="47"/>
      <c r="N52" s="185">
        <v>2184.5</v>
      </c>
      <c r="O52" s="48"/>
      <c r="P52" s="47"/>
    </row>
    <row r="53" spans="2:16" s="42" customFormat="1" ht="16.5" customHeight="1" x14ac:dyDescent="0.25">
      <c r="B53" s="133"/>
      <c r="C53" s="50" t="s">
        <v>281</v>
      </c>
      <c r="D53" s="51">
        <v>20</v>
      </c>
      <c r="E53" s="51" t="s">
        <v>52</v>
      </c>
      <c r="F53" s="51">
        <v>945</v>
      </c>
      <c r="G53" s="136">
        <f t="shared" si="3"/>
        <v>18900</v>
      </c>
      <c r="H53" s="46"/>
      <c r="I53" s="46"/>
      <c r="J53" s="49"/>
      <c r="K53" s="49"/>
      <c r="L53" s="49"/>
      <c r="M53" s="47"/>
      <c r="N53" s="185">
        <f t="shared" si="1"/>
        <v>18900</v>
      </c>
      <c r="O53" s="48"/>
      <c r="P53" s="47"/>
    </row>
    <row r="54" spans="2:16" s="42" customFormat="1" ht="16.5" customHeight="1" x14ac:dyDescent="0.25">
      <c r="B54" s="133"/>
      <c r="C54" s="50" t="s">
        <v>282</v>
      </c>
      <c r="D54" s="51">
        <v>30</v>
      </c>
      <c r="E54" s="51" t="s">
        <v>52</v>
      </c>
      <c r="F54" s="51">
        <v>549</v>
      </c>
      <c r="G54" s="136">
        <f t="shared" si="3"/>
        <v>16470</v>
      </c>
      <c r="H54" s="46"/>
      <c r="I54" s="46"/>
      <c r="J54" s="49"/>
      <c r="K54" s="49"/>
      <c r="L54" s="49"/>
      <c r="M54" s="47"/>
      <c r="N54" s="185">
        <f t="shared" si="1"/>
        <v>16470</v>
      </c>
      <c r="O54" s="48"/>
      <c r="P54" s="47"/>
    </row>
    <row r="55" spans="2:16" s="42" customFormat="1" ht="16.5" customHeight="1" x14ac:dyDescent="0.25">
      <c r="B55" s="133"/>
      <c r="C55" s="50" t="s">
        <v>283</v>
      </c>
      <c r="D55" s="51">
        <v>30</v>
      </c>
      <c r="E55" s="51" t="s">
        <v>52</v>
      </c>
      <c r="F55" s="51">
        <v>550</v>
      </c>
      <c r="G55" s="136">
        <f t="shared" si="3"/>
        <v>16500</v>
      </c>
      <c r="H55" s="46"/>
      <c r="I55" s="46"/>
      <c r="J55" s="49"/>
      <c r="K55" s="49"/>
      <c r="L55" s="49"/>
      <c r="M55" s="47"/>
      <c r="N55" s="185">
        <f t="shared" si="1"/>
        <v>16500</v>
      </c>
      <c r="O55" s="48"/>
      <c r="P55" s="47"/>
    </row>
    <row r="56" spans="2:16" s="42" customFormat="1" ht="16.5" customHeight="1" x14ac:dyDescent="0.25">
      <c r="B56" s="133"/>
      <c r="C56" s="50" t="s">
        <v>284</v>
      </c>
      <c r="D56" s="51">
        <v>30</v>
      </c>
      <c r="E56" s="51" t="s">
        <v>52</v>
      </c>
      <c r="F56" s="51">
        <v>200</v>
      </c>
      <c r="G56" s="136">
        <f t="shared" si="3"/>
        <v>6000</v>
      </c>
      <c r="H56" s="46"/>
      <c r="I56" s="46"/>
      <c r="J56" s="49"/>
      <c r="K56" s="49"/>
      <c r="L56" s="49"/>
      <c r="M56" s="47"/>
      <c r="N56" s="185">
        <f t="shared" si="1"/>
        <v>6000</v>
      </c>
      <c r="O56" s="48"/>
      <c r="P56" s="47"/>
    </row>
    <row r="57" spans="2:16" s="42" customFormat="1" ht="16.5" customHeight="1" x14ac:dyDescent="0.25">
      <c r="B57" s="133"/>
      <c r="C57" s="50" t="s">
        <v>285</v>
      </c>
      <c r="D57" s="51">
        <v>2</v>
      </c>
      <c r="E57" s="51" t="s">
        <v>251</v>
      </c>
      <c r="F57" s="51">
        <v>700</v>
      </c>
      <c r="G57" s="136">
        <f t="shared" si="3"/>
        <v>1400</v>
      </c>
      <c r="H57" s="46"/>
      <c r="I57" s="46"/>
      <c r="J57" s="49"/>
      <c r="K57" s="49"/>
      <c r="L57" s="49"/>
      <c r="M57" s="47"/>
      <c r="N57" s="185">
        <f t="shared" si="1"/>
        <v>1400</v>
      </c>
      <c r="O57" s="48"/>
      <c r="P57" s="47"/>
    </row>
    <row r="58" spans="2:16" s="42" customFormat="1" ht="16.5" customHeight="1" x14ac:dyDescent="0.25">
      <c r="B58" s="133"/>
      <c r="C58" s="50" t="s">
        <v>286</v>
      </c>
      <c r="D58" s="51">
        <v>2</v>
      </c>
      <c r="E58" s="51" t="s">
        <v>52</v>
      </c>
      <c r="F58" s="51">
        <v>5500</v>
      </c>
      <c r="G58" s="136">
        <f t="shared" si="3"/>
        <v>11000</v>
      </c>
      <c r="H58" s="46"/>
      <c r="I58" s="46"/>
      <c r="J58" s="49"/>
      <c r="K58" s="49"/>
      <c r="L58" s="49"/>
      <c r="M58" s="47"/>
      <c r="N58" s="185">
        <f t="shared" si="1"/>
        <v>11000</v>
      </c>
      <c r="O58" s="48"/>
      <c r="P58" s="47"/>
    </row>
    <row r="59" spans="2:16" s="42" customFormat="1" ht="16.5" customHeight="1" x14ac:dyDescent="0.25">
      <c r="B59" s="133"/>
      <c r="C59" s="50" t="s">
        <v>287</v>
      </c>
      <c r="D59" s="51">
        <v>2</v>
      </c>
      <c r="E59" s="51" t="s">
        <v>288</v>
      </c>
      <c r="F59" s="51">
        <v>8500</v>
      </c>
      <c r="G59" s="136">
        <f t="shared" si="3"/>
        <v>17000</v>
      </c>
      <c r="H59" s="46"/>
      <c r="I59" s="46"/>
      <c r="J59" s="49"/>
      <c r="K59" s="49"/>
      <c r="L59" s="49"/>
      <c r="M59" s="47"/>
      <c r="N59" s="185">
        <f t="shared" si="1"/>
        <v>17000</v>
      </c>
      <c r="O59" s="48"/>
      <c r="P59" s="47"/>
    </row>
    <row r="60" spans="2:16" s="42" customFormat="1" ht="16.5" customHeight="1" x14ac:dyDescent="0.25">
      <c r="B60" s="133"/>
      <c r="C60" s="50" t="s">
        <v>289</v>
      </c>
      <c r="D60" s="51">
        <v>10</v>
      </c>
      <c r="E60" s="51" t="s">
        <v>194</v>
      </c>
      <c r="F60" s="51">
        <v>5500</v>
      </c>
      <c r="G60" s="136">
        <f t="shared" si="3"/>
        <v>55000</v>
      </c>
      <c r="H60" s="46"/>
      <c r="I60" s="46"/>
      <c r="J60" s="49"/>
      <c r="K60" s="49"/>
      <c r="L60" s="49"/>
      <c r="M60" s="47"/>
      <c r="N60" s="185">
        <f t="shared" si="1"/>
        <v>55000</v>
      </c>
      <c r="O60" s="48"/>
      <c r="P60" s="47"/>
    </row>
    <row r="61" spans="2:16" s="42" customFormat="1" ht="16.5" customHeight="1" x14ac:dyDescent="0.25">
      <c r="B61" s="133"/>
      <c r="C61" s="50" t="s">
        <v>290</v>
      </c>
      <c r="D61" s="51">
        <v>50</v>
      </c>
      <c r="E61" s="51" t="s">
        <v>256</v>
      </c>
      <c r="F61" s="51">
        <v>170</v>
      </c>
      <c r="G61" s="136">
        <f t="shared" si="3"/>
        <v>8500</v>
      </c>
      <c r="H61" s="46"/>
      <c r="I61" s="46"/>
      <c r="J61" s="49"/>
      <c r="K61" s="49"/>
      <c r="L61" s="49"/>
      <c r="M61" s="47"/>
      <c r="N61" s="185">
        <f t="shared" si="1"/>
        <v>8500</v>
      </c>
      <c r="O61" s="48"/>
      <c r="P61" s="47"/>
    </row>
    <row r="62" spans="2:16" s="42" customFormat="1" ht="16.5" customHeight="1" x14ac:dyDescent="0.25">
      <c r="B62" s="133"/>
      <c r="C62" s="50" t="s">
        <v>291</v>
      </c>
      <c r="D62" s="51">
        <v>3</v>
      </c>
      <c r="E62" s="51" t="s">
        <v>194</v>
      </c>
      <c r="F62" s="51">
        <v>7500</v>
      </c>
      <c r="G62" s="136">
        <f t="shared" si="3"/>
        <v>22500</v>
      </c>
      <c r="H62" s="46"/>
      <c r="I62" s="46"/>
      <c r="J62" s="49"/>
      <c r="K62" s="49"/>
      <c r="L62" s="49"/>
      <c r="M62" s="47"/>
      <c r="N62" s="185">
        <f t="shared" si="1"/>
        <v>22500</v>
      </c>
      <c r="O62" s="48"/>
      <c r="P62" s="47"/>
    </row>
    <row r="63" spans="2:16" s="42" customFormat="1" ht="16.5" customHeight="1" x14ac:dyDescent="0.25">
      <c r="B63" s="133"/>
      <c r="C63" s="50" t="s">
        <v>292</v>
      </c>
      <c r="D63" s="51">
        <v>2</v>
      </c>
      <c r="E63" s="51" t="s">
        <v>52</v>
      </c>
      <c r="F63" s="51">
        <v>5500</v>
      </c>
      <c r="G63" s="136">
        <f t="shared" si="3"/>
        <v>11000</v>
      </c>
      <c r="H63" s="46"/>
      <c r="I63" s="46"/>
      <c r="J63" s="49"/>
      <c r="K63" s="49"/>
      <c r="L63" s="49"/>
      <c r="M63" s="47"/>
      <c r="N63" s="185">
        <f t="shared" si="1"/>
        <v>11000</v>
      </c>
      <c r="O63" s="48"/>
      <c r="P63" s="47"/>
    </row>
    <row r="64" spans="2:16" s="42" customFormat="1" ht="16.5" customHeight="1" x14ac:dyDescent="0.25">
      <c r="B64" s="133"/>
      <c r="C64" s="50" t="s">
        <v>293</v>
      </c>
      <c r="D64" s="51">
        <v>2</v>
      </c>
      <c r="E64" s="51" t="s">
        <v>52</v>
      </c>
      <c r="F64" s="51">
        <v>3500</v>
      </c>
      <c r="G64" s="136">
        <f t="shared" si="3"/>
        <v>7000</v>
      </c>
      <c r="H64" s="46"/>
      <c r="I64" s="46"/>
      <c r="J64" s="49"/>
      <c r="K64" s="49"/>
      <c r="L64" s="49"/>
      <c r="M64" s="47"/>
      <c r="N64" s="185">
        <f t="shared" si="1"/>
        <v>7000</v>
      </c>
      <c r="O64" s="48"/>
      <c r="P64" s="47"/>
    </row>
    <row r="65" spans="2:16" s="42" customFormat="1" ht="16.5" customHeight="1" x14ac:dyDescent="0.25">
      <c r="B65" s="133"/>
      <c r="C65" s="50" t="s">
        <v>294</v>
      </c>
      <c r="D65" s="51">
        <v>60</v>
      </c>
      <c r="E65" s="51" t="s">
        <v>251</v>
      </c>
      <c r="F65" s="51">
        <v>85</v>
      </c>
      <c r="G65" s="136">
        <f t="shared" si="3"/>
        <v>5100</v>
      </c>
      <c r="H65" s="46"/>
      <c r="I65" s="46"/>
      <c r="J65" s="49"/>
      <c r="K65" s="49"/>
      <c r="L65" s="49"/>
      <c r="M65" s="47"/>
      <c r="N65" s="185">
        <f t="shared" si="1"/>
        <v>5100</v>
      </c>
      <c r="O65" s="48"/>
      <c r="P65" s="47"/>
    </row>
    <row r="66" spans="2:16" s="42" customFormat="1" ht="16.5" customHeight="1" x14ac:dyDescent="0.25">
      <c r="B66" s="133"/>
      <c r="C66" s="50" t="s">
        <v>295</v>
      </c>
      <c r="D66" s="51">
        <v>800</v>
      </c>
      <c r="E66" s="51" t="s">
        <v>53</v>
      </c>
      <c r="F66" s="51">
        <v>25</v>
      </c>
      <c r="G66" s="136">
        <f t="shared" si="3"/>
        <v>20000</v>
      </c>
      <c r="H66" s="46"/>
      <c r="I66" s="46"/>
      <c r="J66" s="49"/>
      <c r="K66" s="49"/>
      <c r="L66" s="49"/>
      <c r="M66" s="47"/>
      <c r="N66" s="185">
        <f t="shared" si="1"/>
        <v>20000</v>
      </c>
      <c r="O66" s="48"/>
      <c r="P66" s="47"/>
    </row>
    <row r="67" spans="2:16" s="42" customFormat="1" ht="16.5" customHeight="1" x14ac:dyDescent="0.25">
      <c r="B67" s="133"/>
      <c r="C67" s="50" t="s">
        <v>296</v>
      </c>
      <c r="D67" s="51">
        <v>800</v>
      </c>
      <c r="E67" s="51" t="s">
        <v>266</v>
      </c>
      <c r="F67" s="51">
        <v>15</v>
      </c>
      <c r="G67" s="136">
        <f t="shared" si="3"/>
        <v>12000</v>
      </c>
      <c r="H67" s="46"/>
      <c r="I67" s="46"/>
      <c r="J67" s="49"/>
      <c r="K67" s="49"/>
      <c r="L67" s="49"/>
      <c r="M67" s="47"/>
      <c r="N67" s="185">
        <f t="shared" si="1"/>
        <v>12000</v>
      </c>
      <c r="O67" s="48"/>
      <c r="P67" s="47"/>
    </row>
    <row r="68" spans="2:16" s="42" customFormat="1" ht="16.5" customHeight="1" x14ac:dyDescent="0.25">
      <c r="B68" s="133"/>
      <c r="C68" s="50" t="s">
        <v>297</v>
      </c>
      <c r="D68" s="51">
        <v>800</v>
      </c>
      <c r="E68" s="51" t="s">
        <v>266</v>
      </c>
      <c r="F68" s="51">
        <v>55</v>
      </c>
      <c r="G68" s="136">
        <f t="shared" si="3"/>
        <v>44000</v>
      </c>
      <c r="H68" s="46"/>
      <c r="I68" s="46"/>
      <c r="J68" s="49"/>
      <c r="K68" s="49"/>
      <c r="L68" s="49"/>
      <c r="M68" s="47"/>
      <c r="N68" s="185">
        <f t="shared" si="1"/>
        <v>44000</v>
      </c>
      <c r="O68" s="48"/>
      <c r="P68" s="47"/>
    </row>
    <row r="69" spans="2:16" s="42" customFormat="1" ht="16.5" customHeight="1" x14ac:dyDescent="0.25">
      <c r="B69" s="133"/>
      <c r="C69" s="50" t="s">
        <v>298</v>
      </c>
      <c r="D69" s="51">
        <v>800</v>
      </c>
      <c r="E69" s="51" t="s">
        <v>266</v>
      </c>
      <c r="F69" s="51">
        <v>35</v>
      </c>
      <c r="G69" s="136">
        <f t="shared" si="3"/>
        <v>28000</v>
      </c>
      <c r="H69" s="46"/>
      <c r="I69" s="46"/>
      <c r="J69" s="49"/>
      <c r="K69" s="49"/>
      <c r="L69" s="49"/>
      <c r="M69" s="47"/>
      <c r="N69" s="185">
        <f t="shared" si="1"/>
        <v>28000</v>
      </c>
      <c r="O69" s="48"/>
      <c r="P69" s="47"/>
    </row>
    <row r="70" spans="2:16" s="42" customFormat="1" ht="16.5" customHeight="1" x14ac:dyDescent="0.25">
      <c r="B70" s="133"/>
      <c r="C70" s="50" t="s">
        <v>299</v>
      </c>
      <c r="D70" s="51">
        <v>50</v>
      </c>
      <c r="E70" s="51" t="s">
        <v>52</v>
      </c>
      <c r="F70" s="51">
        <v>900</v>
      </c>
      <c r="G70" s="136">
        <f t="shared" si="3"/>
        <v>45000</v>
      </c>
      <c r="H70" s="46"/>
      <c r="I70" s="46"/>
      <c r="J70" s="49"/>
      <c r="K70" s="49"/>
      <c r="L70" s="49"/>
      <c r="M70" s="47"/>
      <c r="N70" s="185">
        <f t="shared" si="1"/>
        <v>45000</v>
      </c>
      <c r="O70" s="48"/>
      <c r="P70" s="47"/>
    </row>
    <row r="71" spans="2:16" s="42" customFormat="1" ht="16.5" customHeight="1" x14ac:dyDescent="0.25">
      <c r="B71" s="133"/>
      <c r="C71" s="50" t="s">
        <v>300</v>
      </c>
      <c r="D71" s="51">
        <v>80</v>
      </c>
      <c r="E71" s="51" t="s">
        <v>53</v>
      </c>
      <c r="F71" s="51">
        <v>350</v>
      </c>
      <c r="G71" s="136">
        <f t="shared" si="3"/>
        <v>28000</v>
      </c>
      <c r="H71" s="46"/>
      <c r="I71" s="46"/>
      <c r="J71" s="49"/>
      <c r="K71" s="49"/>
      <c r="L71" s="49"/>
      <c r="M71" s="47"/>
      <c r="N71" s="185">
        <f t="shared" si="1"/>
        <v>28000</v>
      </c>
      <c r="O71" s="48"/>
      <c r="P71" s="47"/>
    </row>
    <row r="72" spans="2:16" s="42" customFormat="1" ht="16.5" customHeight="1" x14ac:dyDescent="0.25">
      <c r="B72" s="133"/>
      <c r="C72" s="50" t="s">
        <v>301</v>
      </c>
      <c r="D72" s="51">
        <v>200</v>
      </c>
      <c r="E72" s="51" t="s">
        <v>251</v>
      </c>
      <c r="F72" s="51">
        <v>115</v>
      </c>
      <c r="G72" s="136">
        <f t="shared" si="3"/>
        <v>23000</v>
      </c>
      <c r="H72" s="46"/>
      <c r="I72" s="46"/>
      <c r="J72" s="49"/>
      <c r="K72" s="49"/>
      <c r="L72" s="49"/>
      <c r="M72" s="47"/>
      <c r="N72" s="185">
        <f t="shared" si="1"/>
        <v>23000</v>
      </c>
      <c r="O72" s="48"/>
      <c r="P72" s="47"/>
    </row>
    <row r="73" spans="2:16" s="42" customFormat="1" ht="16.5" customHeight="1" x14ac:dyDescent="0.25">
      <c r="B73" s="133"/>
      <c r="C73" s="50" t="s">
        <v>302</v>
      </c>
      <c r="D73" s="51">
        <v>15</v>
      </c>
      <c r="E73" s="51" t="s">
        <v>53</v>
      </c>
      <c r="F73" s="51">
        <v>1200</v>
      </c>
      <c r="G73" s="136">
        <f t="shared" si="3"/>
        <v>18000</v>
      </c>
      <c r="H73" s="46"/>
      <c r="I73" s="46"/>
      <c r="J73" s="49"/>
      <c r="K73" s="49"/>
      <c r="L73" s="49"/>
      <c r="M73" s="47"/>
      <c r="N73" s="185">
        <f t="shared" si="1"/>
        <v>18000</v>
      </c>
      <c r="O73" s="48"/>
      <c r="P73" s="47"/>
    </row>
    <row r="74" spans="2:16" s="42" customFormat="1" ht="16.5" customHeight="1" x14ac:dyDescent="0.25">
      <c r="B74" s="133"/>
      <c r="C74" s="50" t="s">
        <v>303</v>
      </c>
      <c r="D74" s="51">
        <v>25</v>
      </c>
      <c r="E74" s="51" t="s">
        <v>54</v>
      </c>
      <c r="F74" s="51">
        <v>600</v>
      </c>
      <c r="G74" s="136">
        <f t="shared" si="3"/>
        <v>15000</v>
      </c>
      <c r="H74" s="46"/>
      <c r="I74" s="46"/>
      <c r="J74" s="49"/>
      <c r="K74" s="49"/>
      <c r="L74" s="49"/>
      <c r="M74" s="47"/>
      <c r="N74" s="185">
        <f t="shared" si="1"/>
        <v>15000</v>
      </c>
      <c r="O74" s="48"/>
      <c r="P74" s="47"/>
    </row>
    <row r="75" spans="2:16" s="42" customFormat="1" ht="16.5" customHeight="1" x14ac:dyDescent="0.25">
      <c r="B75" s="133"/>
      <c r="C75" s="50" t="s">
        <v>304</v>
      </c>
      <c r="D75" s="51">
        <v>2</v>
      </c>
      <c r="E75" s="51" t="s">
        <v>53</v>
      </c>
      <c r="F75" s="51">
        <v>7000</v>
      </c>
      <c r="G75" s="136">
        <f t="shared" si="3"/>
        <v>14000</v>
      </c>
      <c r="H75" s="46"/>
      <c r="I75" s="46"/>
      <c r="J75" s="49"/>
      <c r="K75" s="49"/>
      <c r="L75" s="49"/>
      <c r="M75" s="47"/>
      <c r="N75" s="185">
        <f t="shared" si="1"/>
        <v>14000</v>
      </c>
      <c r="O75" s="48"/>
      <c r="P75" s="47"/>
    </row>
    <row r="76" spans="2:16" s="42" customFormat="1" ht="16.5" customHeight="1" x14ac:dyDescent="0.25">
      <c r="B76" s="133"/>
      <c r="C76" s="50" t="s">
        <v>305</v>
      </c>
      <c r="D76" s="51">
        <v>2</v>
      </c>
      <c r="E76" s="51" t="s">
        <v>53</v>
      </c>
      <c r="F76" s="51">
        <v>9500</v>
      </c>
      <c r="G76" s="136">
        <f t="shared" si="3"/>
        <v>19000</v>
      </c>
      <c r="H76" s="46"/>
      <c r="I76" s="46"/>
      <c r="J76" s="49"/>
      <c r="K76" s="49"/>
      <c r="L76" s="49"/>
      <c r="M76" s="47"/>
      <c r="N76" s="185">
        <f t="shared" ref="N76:N139" si="4">G76</f>
        <v>19000</v>
      </c>
      <c r="O76" s="48"/>
      <c r="P76" s="47"/>
    </row>
    <row r="77" spans="2:16" s="42" customFormat="1" ht="16.5" customHeight="1" x14ac:dyDescent="0.25">
      <c r="B77" s="133"/>
      <c r="C77" s="50" t="s">
        <v>306</v>
      </c>
      <c r="D77" s="51">
        <v>3</v>
      </c>
      <c r="E77" s="51" t="s">
        <v>246</v>
      </c>
      <c r="F77" s="51">
        <v>3000</v>
      </c>
      <c r="G77" s="136">
        <f t="shared" si="3"/>
        <v>9000</v>
      </c>
      <c r="H77" s="46"/>
      <c r="I77" s="46"/>
      <c r="J77" s="49"/>
      <c r="K77" s="49"/>
      <c r="L77" s="49"/>
      <c r="M77" s="47"/>
      <c r="N77" s="185">
        <f t="shared" si="4"/>
        <v>9000</v>
      </c>
      <c r="O77" s="48"/>
      <c r="P77" s="47"/>
    </row>
    <row r="78" spans="2:16" s="42" customFormat="1" ht="16.5" customHeight="1" x14ac:dyDescent="0.25">
      <c r="B78" s="133"/>
      <c r="C78" s="50" t="s">
        <v>307</v>
      </c>
      <c r="D78" s="51">
        <v>10</v>
      </c>
      <c r="E78" s="51" t="s">
        <v>195</v>
      </c>
      <c r="F78" s="51">
        <v>1450</v>
      </c>
      <c r="G78" s="136">
        <f t="shared" si="3"/>
        <v>14500</v>
      </c>
      <c r="H78" s="46"/>
      <c r="I78" s="46"/>
      <c r="J78" s="49"/>
      <c r="K78" s="49"/>
      <c r="L78" s="49"/>
      <c r="M78" s="47"/>
      <c r="N78" s="185">
        <f t="shared" si="4"/>
        <v>14500</v>
      </c>
      <c r="O78" s="48"/>
      <c r="P78" s="47"/>
    </row>
    <row r="79" spans="2:16" s="42" customFormat="1" ht="16.5" customHeight="1" x14ac:dyDescent="0.25">
      <c r="B79" s="133"/>
      <c r="C79" s="50" t="s">
        <v>308</v>
      </c>
      <c r="D79" s="51">
        <v>500</v>
      </c>
      <c r="E79" s="51" t="s">
        <v>53</v>
      </c>
      <c r="F79" s="51">
        <v>25</v>
      </c>
      <c r="G79" s="136">
        <f t="shared" si="3"/>
        <v>12500</v>
      </c>
      <c r="H79" s="46"/>
      <c r="I79" s="46"/>
      <c r="J79" s="49"/>
      <c r="K79" s="49"/>
      <c r="L79" s="49"/>
      <c r="M79" s="47"/>
      <c r="N79" s="185">
        <f t="shared" si="4"/>
        <v>12500</v>
      </c>
      <c r="O79" s="48"/>
      <c r="P79" s="47"/>
    </row>
    <row r="80" spans="2:16" s="42" customFormat="1" ht="16.5" customHeight="1" x14ac:dyDescent="0.25">
      <c r="B80" s="133"/>
      <c r="C80" s="50" t="s">
        <v>309</v>
      </c>
      <c r="D80" s="134"/>
      <c r="E80" s="134" t="s">
        <v>58</v>
      </c>
      <c r="F80" s="51"/>
      <c r="G80" s="136">
        <f t="shared" si="3"/>
        <v>0</v>
      </c>
      <c r="H80" s="46"/>
      <c r="I80" s="46"/>
      <c r="J80" s="49"/>
      <c r="K80" s="49"/>
      <c r="L80" s="49"/>
      <c r="M80" s="47"/>
      <c r="N80" s="185">
        <f t="shared" si="4"/>
        <v>0</v>
      </c>
      <c r="O80" s="48"/>
      <c r="P80" s="47"/>
    </row>
    <row r="81" spans="2:16" s="42" customFormat="1" ht="16.5" customHeight="1" x14ac:dyDescent="0.25">
      <c r="B81" s="133"/>
      <c r="C81" s="50" t="s">
        <v>310</v>
      </c>
      <c r="D81" s="51">
        <v>4</v>
      </c>
      <c r="E81" s="51" t="s">
        <v>85</v>
      </c>
      <c r="F81" s="51">
        <v>1500</v>
      </c>
      <c r="G81" s="136">
        <f t="shared" si="3"/>
        <v>6000</v>
      </c>
      <c r="H81" s="46"/>
      <c r="I81" s="46"/>
      <c r="J81" s="49"/>
      <c r="K81" s="49"/>
      <c r="L81" s="49"/>
      <c r="M81" s="47"/>
      <c r="N81" s="185">
        <f t="shared" si="4"/>
        <v>6000</v>
      </c>
      <c r="O81" s="48"/>
      <c r="P81" s="47"/>
    </row>
    <row r="82" spans="2:16" s="42" customFormat="1" ht="16.5" customHeight="1" x14ac:dyDescent="0.25">
      <c r="B82" s="133"/>
      <c r="C82" s="50" t="s">
        <v>311</v>
      </c>
      <c r="D82" s="51">
        <v>120</v>
      </c>
      <c r="E82" s="51" t="s">
        <v>312</v>
      </c>
      <c r="F82" s="51">
        <v>845</v>
      </c>
      <c r="G82" s="136">
        <f t="shared" si="3"/>
        <v>101400</v>
      </c>
      <c r="H82" s="46"/>
      <c r="I82" s="46"/>
      <c r="J82" s="49"/>
      <c r="K82" s="49"/>
      <c r="L82" s="49"/>
      <c r="M82" s="47"/>
      <c r="N82" s="185">
        <f t="shared" si="4"/>
        <v>101400</v>
      </c>
      <c r="O82" s="48"/>
      <c r="P82" s="47"/>
    </row>
    <row r="83" spans="2:16" s="42" customFormat="1" ht="16.5" customHeight="1" x14ac:dyDescent="0.25">
      <c r="B83" s="133"/>
      <c r="C83" s="50" t="s">
        <v>313</v>
      </c>
      <c r="D83" s="51">
        <v>1</v>
      </c>
      <c r="E83" s="51" t="s">
        <v>251</v>
      </c>
      <c r="F83" s="51">
        <v>1568</v>
      </c>
      <c r="G83" s="136">
        <f t="shared" si="3"/>
        <v>1568</v>
      </c>
      <c r="H83" s="46"/>
      <c r="I83" s="46"/>
      <c r="J83" s="49"/>
      <c r="K83" s="49"/>
      <c r="L83" s="49"/>
      <c r="M83" s="47"/>
      <c r="N83" s="185">
        <f t="shared" si="4"/>
        <v>1568</v>
      </c>
      <c r="O83" s="48"/>
      <c r="P83" s="47"/>
    </row>
    <row r="84" spans="2:16" s="42" customFormat="1" ht="16.5" customHeight="1" x14ac:dyDescent="0.25">
      <c r="B84" s="133"/>
      <c r="C84" s="50" t="s">
        <v>314</v>
      </c>
      <c r="D84" s="51">
        <v>1000</v>
      </c>
      <c r="E84" s="51" t="s">
        <v>53</v>
      </c>
      <c r="F84" s="51">
        <v>35</v>
      </c>
      <c r="G84" s="136">
        <f t="shared" si="3"/>
        <v>35000</v>
      </c>
      <c r="H84" s="46"/>
      <c r="I84" s="46"/>
      <c r="J84" s="49"/>
      <c r="K84" s="49"/>
      <c r="L84" s="49"/>
      <c r="M84" s="47"/>
      <c r="N84" s="185">
        <f t="shared" si="4"/>
        <v>35000</v>
      </c>
      <c r="O84" s="48"/>
      <c r="P84" s="47"/>
    </row>
    <row r="85" spans="2:16" s="42" customFormat="1" ht="16.5" customHeight="1" x14ac:dyDescent="0.25">
      <c r="B85" s="133"/>
      <c r="C85" s="50" t="s">
        <v>315</v>
      </c>
      <c r="D85" s="51">
        <v>5</v>
      </c>
      <c r="E85" s="51" t="s">
        <v>145</v>
      </c>
      <c r="F85" s="51">
        <v>766</v>
      </c>
      <c r="G85" s="136">
        <f t="shared" si="3"/>
        <v>3830</v>
      </c>
      <c r="H85" s="46"/>
      <c r="I85" s="46"/>
      <c r="J85" s="49"/>
      <c r="K85" s="49"/>
      <c r="L85" s="49"/>
      <c r="M85" s="47"/>
      <c r="N85" s="185">
        <f t="shared" si="4"/>
        <v>3830</v>
      </c>
      <c r="O85" s="48"/>
      <c r="P85" s="47"/>
    </row>
    <row r="86" spans="2:16" s="42" customFormat="1" ht="16.5" customHeight="1" x14ac:dyDescent="0.25">
      <c r="B86" s="133"/>
      <c r="C86" s="50" t="s">
        <v>316</v>
      </c>
      <c r="D86" s="51">
        <v>150</v>
      </c>
      <c r="E86" s="51" t="s">
        <v>53</v>
      </c>
      <c r="F86" s="51">
        <v>250</v>
      </c>
      <c r="G86" s="136">
        <f t="shared" si="3"/>
        <v>37500</v>
      </c>
      <c r="H86" s="46"/>
      <c r="I86" s="46"/>
      <c r="J86" s="49"/>
      <c r="K86" s="49"/>
      <c r="L86" s="49"/>
      <c r="M86" s="47"/>
      <c r="N86" s="185">
        <f t="shared" si="4"/>
        <v>37500</v>
      </c>
      <c r="O86" s="48"/>
      <c r="P86" s="47"/>
    </row>
    <row r="87" spans="2:16" s="42" customFormat="1" ht="16.5" customHeight="1" x14ac:dyDescent="0.25">
      <c r="B87" s="133"/>
      <c r="C87" s="50" t="s">
        <v>317</v>
      </c>
      <c r="D87" s="51">
        <v>130</v>
      </c>
      <c r="E87" s="51" t="s">
        <v>53</v>
      </c>
      <c r="F87" s="51">
        <v>205</v>
      </c>
      <c r="G87" s="136">
        <f t="shared" si="3"/>
        <v>26650</v>
      </c>
      <c r="H87" s="46"/>
      <c r="I87" s="46"/>
      <c r="J87" s="49"/>
      <c r="K87" s="49"/>
      <c r="L87" s="49"/>
      <c r="M87" s="47"/>
      <c r="N87" s="185">
        <f t="shared" si="4"/>
        <v>26650</v>
      </c>
      <c r="O87" s="48"/>
      <c r="P87" s="47"/>
    </row>
    <row r="88" spans="2:16" s="42" customFormat="1" ht="16.5" customHeight="1" x14ac:dyDescent="0.25">
      <c r="B88" s="133"/>
      <c r="C88" s="50" t="s">
        <v>318</v>
      </c>
      <c r="D88" s="51">
        <v>130</v>
      </c>
      <c r="E88" s="51" t="s">
        <v>53</v>
      </c>
      <c r="F88" s="51">
        <v>200</v>
      </c>
      <c r="G88" s="136">
        <f t="shared" si="3"/>
        <v>26000</v>
      </c>
      <c r="H88" s="46"/>
      <c r="I88" s="46"/>
      <c r="J88" s="49"/>
      <c r="K88" s="49"/>
      <c r="L88" s="49"/>
      <c r="M88" s="47"/>
      <c r="N88" s="185">
        <f t="shared" si="4"/>
        <v>26000</v>
      </c>
      <c r="O88" s="48"/>
      <c r="P88" s="47"/>
    </row>
    <row r="89" spans="2:16" s="42" customFormat="1" ht="16.5" customHeight="1" x14ac:dyDescent="0.25">
      <c r="B89" s="133"/>
      <c r="C89" s="50" t="s">
        <v>319</v>
      </c>
      <c r="D89" s="51">
        <v>130</v>
      </c>
      <c r="E89" s="51" t="s">
        <v>53</v>
      </c>
      <c r="F89" s="51">
        <v>220</v>
      </c>
      <c r="G89" s="136">
        <f t="shared" si="3"/>
        <v>28600</v>
      </c>
      <c r="H89" s="46"/>
      <c r="I89" s="46"/>
      <c r="J89" s="49"/>
      <c r="K89" s="49"/>
      <c r="L89" s="49"/>
      <c r="M89" s="47"/>
      <c r="N89" s="185">
        <f t="shared" si="4"/>
        <v>28600</v>
      </c>
      <c r="O89" s="48"/>
      <c r="P89" s="47"/>
    </row>
    <row r="90" spans="2:16" s="42" customFormat="1" ht="16.5" customHeight="1" x14ac:dyDescent="0.25">
      <c r="B90" s="133"/>
      <c r="C90" s="50" t="s">
        <v>320</v>
      </c>
      <c r="D90" s="51">
        <v>130</v>
      </c>
      <c r="E90" s="51" t="s">
        <v>53</v>
      </c>
      <c r="F90" s="51">
        <v>250</v>
      </c>
      <c r="G90" s="136">
        <f t="shared" si="3"/>
        <v>32500</v>
      </c>
      <c r="H90" s="46"/>
      <c r="I90" s="46"/>
      <c r="J90" s="49"/>
      <c r="K90" s="49"/>
      <c r="L90" s="49"/>
      <c r="M90" s="47"/>
      <c r="N90" s="185">
        <f t="shared" si="4"/>
        <v>32500</v>
      </c>
      <c r="O90" s="48"/>
      <c r="P90" s="47"/>
    </row>
    <row r="91" spans="2:16" s="42" customFormat="1" ht="16.5" customHeight="1" x14ac:dyDescent="0.25">
      <c r="B91" s="133"/>
      <c r="C91" s="50" t="s">
        <v>321</v>
      </c>
      <c r="D91" s="51">
        <v>180</v>
      </c>
      <c r="E91" s="51" t="s">
        <v>53</v>
      </c>
      <c r="F91" s="51">
        <v>100</v>
      </c>
      <c r="G91" s="136">
        <f t="shared" si="3"/>
        <v>18000</v>
      </c>
      <c r="H91" s="46"/>
      <c r="I91" s="46"/>
      <c r="J91" s="49"/>
      <c r="K91" s="49"/>
      <c r="L91" s="49"/>
      <c r="M91" s="47"/>
      <c r="N91" s="185">
        <f t="shared" si="4"/>
        <v>18000</v>
      </c>
      <c r="O91" s="48"/>
      <c r="P91" s="47"/>
    </row>
    <row r="92" spans="2:16" s="42" customFormat="1" ht="16.5" customHeight="1" x14ac:dyDescent="0.25">
      <c r="B92" s="133"/>
      <c r="C92" s="50" t="s">
        <v>322</v>
      </c>
      <c r="D92" s="51">
        <v>5</v>
      </c>
      <c r="E92" s="51" t="s">
        <v>52</v>
      </c>
      <c r="F92" s="51">
        <v>16000</v>
      </c>
      <c r="G92" s="136">
        <f t="shared" si="3"/>
        <v>80000</v>
      </c>
      <c r="H92" s="46"/>
      <c r="I92" s="46"/>
      <c r="J92" s="49"/>
      <c r="K92" s="49"/>
      <c r="L92" s="49"/>
      <c r="M92" s="47"/>
      <c r="N92" s="185">
        <f t="shared" si="4"/>
        <v>80000</v>
      </c>
      <c r="O92" s="48"/>
      <c r="P92" s="47"/>
    </row>
    <row r="93" spans="2:16" s="42" customFormat="1" ht="16.5" customHeight="1" x14ac:dyDescent="0.25">
      <c r="B93" s="133"/>
      <c r="C93" s="50" t="s">
        <v>323</v>
      </c>
      <c r="D93" s="51">
        <v>400</v>
      </c>
      <c r="E93" s="51" t="s">
        <v>53</v>
      </c>
      <c r="F93" s="51">
        <v>50</v>
      </c>
      <c r="G93" s="136">
        <f t="shared" si="3"/>
        <v>20000</v>
      </c>
      <c r="H93" s="46"/>
      <c r="I93" s="46"/>
      <c r="J93" s="49"/>
      <c r="K93" s="49"/>
      <c r="L93" s="49"/>
      <c r="M93" s="47"/>
      <c r="N93" s="185">
        <f t="shared" si="4"/>
        <v>20000</v>
      </c>
      <c r="O93" s="48"/>
      <c r="P93" s="47"/>
    </row>
    <row r="94" spans="2:16" s="42" customFormat="1" ht="16.5" customHeight="1" x14ac:dyDescent="0.25">
      <c r="B94" s="133"/>
      <c r="C94" s="50" t="s">
        <v>324</v>
      </c>
      <c r="D94" s="51">
        <v>400</v>
      </c>
      <c r="E94" s="51" t="s">
        <v>53</v>
      </c>
      <c r="F94" s="51">
        <v>45</v>
      </c>
      <c r="G94" s="136">
        <f t="shared" si="3"/>
        <v>18000</v>
      </c>
      <c r="H94" s="46"/>
      <c r="I94" s="46"/>
      <c r="J94" s="49"/>
      <c r="K94" s="49"/>
      <c r="L94" s="49"/>
      <c r="M94" s="47"/>
      <c r="N94" s="185">
        <f t="shared" si="4"/>
        <v>18000</v>
      </c>
      <c r="O94" s="48"/>
      <c r="P94" s="47"/>
    </row>
    <row r="95" spans="2:16" s="42" customFormat="1" ht="16.5" customHeight="1" x14ac:dyDescent="0.25">
      <c r="B95" s="133"/>
      <c r="C95" s="50" t="s">
        <v>325</v>
      </c>
      <c r="D95" s="51">
        <v>5</v>
      </c>
      <c r="E95" s="51" t="s">
        <v>52</v>
      </c>
      <c r="F95" s="51">
        <v>3600</v>
      </c>
      <c r="G95" s="136">
        <f t="shared" si="3"/>
        <v>18000</v>
      </c>
      <c r="H95" s="46"/>
      <c r="I95" s="46"/>
      <c r="J95" s="49"/>
      <c r="K95" s="49"/>
      <c r="L95" s="49"/>
      <c r="M95" s="47"/>
      <c r="N95" s="185">
        <f t="shared" si="4"/>
        <v>18000</v>
      </c>
      <c r="O95" s="48"/>
      <c r="P95" s="47"/>
    </row>
    <row r="96" spans="2:16" s="42" customFormat="1" ht="16.5" customHeight="1" x14ac:dyDescent="0.25">
      <c r="B96" s="133"/>
      <c r="C96" s="50" t="s">
        <v>326</v>
      </c>
      <c r="D96" s="51">
        <v>250</v>
      </c>
      <c r="E96" s="51" t="s">
        <v>53</v>
      </c>
      <c r="F96" s="51">
        <v>45</v>
      </c>
      <c r="G96" s="136">
        <f t="shared" si="3"/>
        <v>11250</v>
      </c>
      <c r="H96" s="46"/>
      <c r="I96" s="46"/>
      <c r="J96" s="49"/>
      <c r="K96" s="49"/>
      <c r="L96" s="49"/>
      <c r="M96" s="47"/>
      <c r="N96" s="185">
        <f t="shared" si="4"/>
        <v>11250</v>
      </c>
      <c r="O96" s="48"/>
      <c r="P96" s="47"/>
    </row>
    <row r="97" spans="2:16" s="42" customFormat="1" ht="16.5" customHeight="1" x14ac:dyDescent="0.25">
      <c r="B97" s="133"/>
      <c r="C97" s="50" t="s">
        <v>327</v>
      </c>
      <c r="D97" s="51">
        <v>1</v>
      </c>
      <c r="E97" s="51" t="s">
        <v>288</v>
      </c>
      <c r="F97" s="51">
        <v>600</v>
      </c>
      <c r="G97" s="136">
        <f t="shared" si="3"/>
        <v>600</v>
      </c>
      <c r="H97" s="46"/>
      <c r="I97" s="46"/>
      <c r="J97" s="49"/>
      <c r="K97" s="49"/>
      <c r="L97" s="49"/>
      <c r="M97" s="47"/>
      <c r="N97" s="185">
        <f t="shared" si="4"/>
        <v>600</v>
      </c>
      <c r="O97" s="48"/>
      <c r="P97" s="47"/>
    </row>
    <row r="98" spans="2:16" s="42" customFormat="1" ht="16.5" customHeight="1" x14ac:dyDescent="0.25">
      <c r="B98" s="133"/>
      <c r="C98" s="50" t="s">
        <v>328</v>
      </c>
      <c r="D98" s="51">
        <v>70</v>
      </c>
      <c r="E98" s="51" t="s">
        <v>54</v>
      </c>
      <c r="F98" s="51">
        <v>650</v>
      </c>
      <c r="G98" s="136">
        <f t="shared" si="3"/>
        <v>45500</v>
      </c>
      <c r="H98" s="46"/>
      <c r="I98" s="46"/>
      <c r="J98" s="49"/>
      <c r="K98" s="49"/>
      <c r="L98" s="49"/>
      <c r="M98" s="47"/>
      <c r="N98" s="185">
        <f t="shared" si="4"/>
        <v>45500</v>
      </c>
      <c r="O98" s="48"/>
      <c r="P98" s="47"/>
    </row>
    <row r="99" spans="2:16" s="42" customFormat="1" ht="16.5" customHeight="1" x14ac:dyDescent="0.25">
      <c r="B99" s="133"/>
      <c r="C99" s="50" t="s">
        <v>329</v>
      </c>
      <c r="D99" s="51">
        <v>50</v>
      </c>
      <c r="E99" s="51" t="s">
        <v>195</v>
      </c>
      <c r="F99" s="51">
        <v>1500</v>
      </c>
      <c r="G99" s="136">
        <f t="shared" si="3"/>
        <v>75000</v>
      </c>
      <c r="H99" s="46"/>
      <c r="I99" s="46"/>
      <c r="J99" s="49"/>
      <c r="K99" s="49"/>
      <c r="L99" s="49"/>
      <c r="M99" s="47"/>
      <c r="N99" s="185">
        <f t="shared" si="4"/>
        <v>75000</v>
      </c>
      <c r="O99" s="48"/>
      <c r="P99" s="47"/>
    </row>
    <row r="100" spans="2:16" s="42" customFormat="1" ht="16.5" customHeight="1" x14ac:dyDescent="0.25">
      <c r="B100" s="133"/>
      <c r="C100" s="50" t="s">
        <v>330</v>
      </c>
      <c r="D100" s="51">
        <v>2</v>
      </c>
      <c r="E100" s="51" t="s">
        <v>52</v>
      </c>
      <c r="F100" s="51">
        <v>1100</v>
      </c>
      <c r="G100" s="136">
        <f t="shared" si="3"/>
        <v>2200</v>
      </c>
      <c r="H100" s="46"/>
      <c r="I100" s="46"/>
      <c r="J100" s="49"/>
      <c r="K100" s="49"/>
      <c r="L100" s="49"/>
      <c r="M100" s="47"/>
      <c r="N100" s="185">
        <f t="shared" si="4"/>
        <v>2200</v>
      </c>
      <c r="O100" s="48"/>
      <c r="P100" s="47"/>
    </row>
    <row r="101" spans="2:16" s="42" customFormat="1" ht="16.5" customHeight="1" x14ac:dyDescent="0.25">
      <c r="B101" s="133"/>
      <c r="C101" s="50" t="s">
        <v>331</v>
      </c>
      <c r="D101" s="51"/>
      <c r="E101" s="51" t="s">
        <v>58</v>
      </c>
      <c r="F101" s="51"/>
      <c r="G101" s="136">
        <f>F101*D101</f>
        <v>0</v>
      </c>
      <c r="H101" s="46"/>
      <c r="I101" s="46"/>
      <c r="J101" s="49"/>
      <c r="K101" s="49"/>
      <c r="L101" s="49"/>
      <c r="M101" s="47"/>
      <c r="N101" s="185">
        <f t="shared" si="4"/>
        <v>0</v>
      </c>
      <c r="O101" s="48"/>
      <c r="P101" s="47"/>
    </row>
    <row r="102" spans="2:16" s="42" customFormat="1" ht="16.5" customHeight="1" x14ac:dyDescent="0.25">
      <c r="B102" s="133"/>
      <c r="C102" s="50" t="s">
        <v>332</v>
      </c>
      <c r="D102" s="51">
        <v>20</v>
      </c>
      <c r="E102" s="51" t="s">
        <v>53</v>
      </c>
      <c r="F102" s="51">
        <v>500</v>
      </c>
      <c r="G102" s="136">
        <f t="shared" si="3"/>
        <v>10000</v>
      </c>
      <c r="H102" s="46"/>
      <c r="I102" s="46"/>
      <c r="J102" s="49"/>
      <c r="K102" s="49"/>
      <c r="L102" s="49"/>
      <c r="M102" s="47"/>
      <c r="N102" s="185">
        <f t="shared" si="4"/>
        <v>10000</v>
      </c>
      <c r="O102" s="48"/>
      <c r="P102" s="47"/>
    </row>
    <row r="103" spans="2:16" s="42" customFormat="1" ht="16.5" customHeight="1" x14ac:dyDescent="0.25">
      <c r="B103" s="133"/>
      <c r="C103" s="50" t="s">
        <v>333</v>
      </c>
      <c r="D103" s="51">
        <v>10</v>
      </c>
      <c r="E103" s="51" t="s">
        <v>251</v>
      </c>
      <c r="F103" s="51">
        <v>8000</v>
      </c>
      <c r="G103" s="136">
        <f t="shared" si="3"/>
        <v>80000</v>
      </c>
      <c r="H103" s="46"/>
      <c r="I103" s="46"/>
      <c r="J103" s="49"/>
      <c r="K103" s="49"/>
      <c r="L103" s="49"/>
      <c r="M103" s="47"/>
      <c r="N103" s="185">
        <f t="shared" si="4"/>
        <v>80000</v>
      </c>
      <c r="O103" s="48"/>
      <c r="P103" s="47"/>
    </row>
    <row r="104" spans="2:16" s="42" customFormat="1" ht="16.5" customHeight="1" x14ac:dyDescent="0.25">
      <c r="B104" s="133"/>
      <c r="C104" s="50" t="s">
        <v>334</v>
      </c>
      <c r="D104" s="51">
        <v>15</v>
      </c>
      <c r="E104" s="51" t="s">
        <v>52</v>
      </c>
      <c r="F104" s="51">
        <v>10500</v>
      </c>
      <c r="G104" s="136">
        <f t="shared" si="3"/>
        <v>157500</v>
      </c>
      <c r="H104" s="46"/>
      <c r="I104" s="46"/>
      <c r="J104" s="49"/>
      <c r="K104" s="49"/>
      <c r="L104" s="49"/>
      <c r="M104" s="47"/>
      <c r="N104" s="185">
        <f t="shared" si="4"/>
        <v>157500</v>
      </c>
      <c r="O104" s="48"/>
      <c r="P104" s="47"/>
    </row>
    <row r="105" spans="2:16" s="42" customFormat="1" ht="16.5" customHeight="1" x14ac:dyDescent="0.25">
      <c r="B105" s="133"/>
      <c r="C105" s="50" t="s">
        <v>335</v>
      </c>
      <c r="D105" s="51">
        <v>15</v>
      </c>
      <c r="E105" s="51" t="s">
        <v>251</v>
      </c>
      <c r="F105" s="51">
        <v>5500</v>
      </c>
      <c r="G105" s="136">
        <f t="shared" si="3"/>
        <v>82500</v>
      </c>
      <c r="H105" s="46"/>
      <c r="I105" s="46"/>
      <c r="J105" s="49"/>
      <c r="K105" s="49"/>
      <c r="L105" s="49"/>
      <c r="M105" s="47"/>
      <c r="N105" s="185">
        <f t="shared" si="4"/>
        <v>82500</v>
      </c>
      <c r="O105" s="48"/>
      <c r="P105" s="47"/>
    </row>
    <row r="106" spans="2:16" s="42" customFormat="1" ht="16.5" customHeight="1" x14ac:dyDescent="0.25">
      <c r="B106" s="133"/>
      <c r="C106" s="50" t="s">
        <v>336</v>
      </c>
      <c r="D106" s="51">
        <v>15</v>
      </c>
      <c r="E106" s="51" t="s">
        <v>251</v>
      </c>
      <c r="F106" s="51">
        <v>550</v>
      </c>
      <c r="G106" s="136">
        <f t="shared" si="3"/>
        <v>8250</v>
      </c>
      <c r="H106" s="46"/>
      <c r="I106" s="46"/>
      <c r="J106" s="49"/>
      <c r="K106" s="49"/>
      <c r="L106" s="49"/>
      <c r="M106" s="47"/>
      <c r="N106" s="185">
        <f t="shared" si="4"/>
        <v>8250</v>
      </c>
      <c r="O106" s="48"/>
      <c r="P106" s="47"/>
    </row>
    <row r="107" spans="2:16" s="42" customFormat="1" ht="16.5" customHeight="1" x14ac:dyDescent="0.25">
      <c r="B107" s="133"/>
      <c r="C107" s="50" t="s">
        <v>337</v>
      </c>
      <c r="D107" s="51">
        <v>2</v>
      </c>
      <c r="E107" s="51" t="s">
        <v>52</v>
      </c>
      <c r="F107" s="51">
        <v>5700</v>
      </c>
      <c r="G107" s="136">
        <f t="shared" si="3"/>
        <v>11400</v>
      </c>
      <c r="H107" s="46"/>
      <c r="I107" s="46"/>
      <c r="J107" s="49"/>
      <c r="K107" s="49"/>
      <c r="L107" s="49"/>
      <c r="M107" s="47"/>
      <c r="N107" s="185">
        <f t="shared" si="4"/>
        <v>11400</v>
      </c>
      <c r="O107" s="48"/>
      <c r="P107" s="47"/>
    </row>
    <row r="108" spans="2:16" s="42" customFormat="1" ht="16.5" customHeight="1" x14ac:dyDescent="0.25">
      <c r="B108" s="133"/>
      <c r="C108" s="50" t="s">
        <v>338</v>
      </c>
      <c r="D108" s="51">
        <v>10</v>
      </c>
      <c r="E108" s="51" t="s">
        <v>52</v>
      </c>
      <c r="F108" s="51">
        <v>600</v>
      </c>
      <c r="G108" s="136">
        <f t="shared" si="3"/>
        <v>6000</v>
      </c>
      <c r="H108" s="46"/>
      <c r="I108" s="46"/>
      <c r="J108" s="49"/>
      <c r="K108" s="49"/>
      <c r="L108" s="49"/>
      <c r="M108" s="47"/>
      <c r="N108" s="185">
        <f t="shared" si="4"/>
        <v>6000</v>
      </c>
      <c r="O108" s="48"/>
      <c r="P108" s="47"/>
    </row>
    <row r="109" spans="2:16" s="42" customFormat="1" ht="16.5" customHeight="1" x14ac:dyDescent="0.25">
      <c r="B109" s="133"/>
      <c r="C109" s="50" t="s">
        <v>339</v>
      </c>
      <c r="D109" s="51">
        <v>10</v>
      </c>
      <c r="E109" s="51" t="s">
        <v>52</v>
      </c>
      <c r="F109" s="51">
        <v>600</v>
      </c>
      <c r="G109" s="136">
        <f t="shared" si="3"/>
        <v>6000</v>
      </c>
      <c r="H109" s="46"/>
      <c r="I109" s="46"/>
      <c r="J109" s="49"/>
      <c r="K109" s="49"/>
      <c r="L109" s="49"/>
      <c r="M109" s="47"/>
      <c r="N109" s="185">
        <f t="shared" si="4"/>
        <v>6000</v>
      </c>
      <c r="O109" s="48"/>
      <c r="P109" s="47"/>
    </row>
    <row r="110" spans="2:16" s="42" customFormat="1" ht="16.5" customHeight="1" x14ac:dyDescent="0.25">
      <c r="B110" s="133"/>
      <c r="C110" s="50" t="s">
        <v>340</v>
      </c>
      <c r="D110" s="51">
        <v>5</v>
      </c>
      <c r="E110" s="51" t="s">
        <v>52</v>
      </c>
      <c r="F110" s="51">
        <v>300</v>
      </c>
      <c r="G110" s="136">
        <f t="shared" si="3"/>
        <v>1500</v>
      </c>
      <c r="H110" s="46"/>
      <c r="I110" s="46"/>
      <c r="J110" s="49"/>
      <c r="K110" s="49"/>
      <c r="L110" s="49"/>
      <c r="M110" s="47"/>
      <c r="N110" s="185">
        <f t="shared" si="4"/>
        <v>1500</v>
      </c>
      <c r="O110" s="48"/>
      <c r="P110" s="47"/>
    </row>
    <row r="111" spans="2:16" s="42" customFormat="1" ht="16.5" customHeight="1" x14ac:dyDescent="0.25">
      <c r="B111" s="133"/>
      <c r="C111" s="50" t="s">
        <v>341</v>
      </c>
      <c r="D111" s="51">
        <v>8</v>
      </c>
      <c r="E111" s="51" t="s">
        <v>52</v>
      </c>
      <c r="F111" s="51">
        <v>150</v>
      </c>
      <c r="G111" s="136">
        <f t="shared" ref="G111:G148" si="5">F111*D111</f>
        <v>1200</v>
      </c>
      <c r="H111" s="46"/>
      <c r="I111" s="46"/>
      <c r="J111" s="49"/>
      <c r="K111" s="49"/>
      <c r="L111" s="49"/>
      <c r="M111" s="47"/>
      <c r="N111" s="185">
        <f t="shared" si="4"/>
        <v>1200</v>
      </c>
      <c r="O111" s="48"/>
      <c r="P111" s="47"/>
    </row>
    <row r="112" spans="2:16" s="42" customFormat="1" ht="16.5" customHeight="1" x14ac:dyDescent="0.25">
      <c r="B112" s="133"/>
      <c r="C112" s="50" t="s">
        <v>342</v>
      </c>
      <c r="D112" s="51">
        <v>45</v>
      </c>
      <c r="E112" s="51" t="s">
        <v>52</v>
      </c>
      <c r="F112" s="51">
        <v>276</v>
      </c>
      <c r="G112" s="136">
        <f t="shared" si="5"/>
        <v>12420</v>
      </c>
      <c r="H112" s="46"/>
      <c r="I112" s="46"/>
      <c r="J112" s="49"/>
      <c r="K112" s="49"/>
      <c r="L112" s="49"/>
      <c r="M112" s="47"/>
      <c r="N112" s="185">
        <f t="shared" si="4"/>
        <v>12420</v>
      </c>
      <c r="O112" s="48"/>
      <c r="P112" s="47"/>
    </row>
    <row r="113" spans="2:16" s="42" customFormat="1" ht="16.5" customHeight="1" x14ac:dyDescent="0.25">
      <c r="B113" s="133"/>
      <c r="C113" s="50" t="s">
        <v>343</v>
      </c>
      <c r="D113" s="51">
        <v>300</v>
      </c>
      <c r="E113" s="51" t="s">
        <v>53</v>
      </c>
      <c r="F113" s="51">
        <v>50</v>
      </c>
      <c r="G113" s="136">
        <f t="shared" si="5"/>
        <v>15000</v>
      </c>
      <c r="H113" s="46"/>
      <c r="I113" s="46"/>
      <c r="J113" s="49"/>
      <c r="K113" s="49"/>
      <c r="L113" s="49"/>
      <c r="M113" s="47"/>
      <c r="N113" s="185">
        <f t="shared" si="4"/>
        <v>15000</v>
      </c>
      <c r="O113" s="48"/>
      <c r="P113" s="47"/>
    </row>
    <row r="114" spans="2:16" s="42" customFormat="1" ht="16.5" customHeight="1" x14ac:dyDescent="0.25">
      <c r="B114" s="133"/>
      <c r="C114" s="50" t="s">
        <v>344</v>
      </c>
      <c r="D114" s="51">
        <v>30</v>
      </c>
      <c r="E114" s="51" t="s">
        <v>53</v>
      </c>
      <c r="F114" s="51">
        <v>100</v>
      </c>
      <c r="G114" s="136">
        <f t="shared" si="5"/>
        <v>3000</v>
      </c>
      <c r="H114" s="46"/>
      <c r="I114" s="46"/>
      <c r="J114" s="49"/>
      <c r="K114" s="49"/>
      <c r="L114" s="49"/>
      <c r="M114" s="47"/>
      <c r="N114" s="185">
        <f t="shared" si="4"/>
        <v>3000</v>
      </c>
      <c r="O114" s="48"/>
      <c r="P114" s="47"/>
    </row>
    <row r="115" spans="2:16" s="42" customFormat="1" ht="16.5" customHeight="1" x14ac:dyDescent="0.25">
      <c r="B115" s="133"/>
      <c r="C115" s="50" t="s">
        <v>345</v>
      </c>
      <c r="D115" s="51">
        <v>30</v>
      </c>
      <c r="E115" s="51" t="s">
        <v>53</v>
      </c>
      <c r="F115" s="51">
        <v>350</v>
      </c>
      <c r="G115" s="136">
        <f t="shared" si="5"/>
        <v>10500</v>
      </c>
      <c r="H115" s="46"/>
      <c r="I115" s="46"/>
      <c r="J115" s="49"/>
      <c r="K115" s="49"/>
      <c r="L115" s="49"/>
      <c r="M115" s="47"/>
      <c r="N115" s="185">
        <f t="shared" si="4"/>
        <v>10500</v>
      </c>
      <c r="O115" s="48"/>
      <c r="P115" s="47"/>
    </row>
    <row r="116" spans="2:16" s="42" customFormat="1" ht="16.5" customHeight="1" x14ac:dyDescent="0.25">
      <c r="B116" s="133"/>
      <c r="C116" s="50" t="s">
        <v>346</v>
      </c>
      <c r="D116" s="51">
        <v>30</v>
      </c>
      <c r="E116" s="51" t="s">
        <v>53</v>
      </c>
      <c r="F116" s="51">
        <v>350</v>
      </c>
      <c r="G116" s="136">
        <f t="shared" si="5"/>
        <v>10500</v>
      </c>
      <c r="H116" s="46"/>
      <c r="I116" s="46"/>
      <c r="J116" s="49"/>
      <c r="K116" s="49"/>
      <c r="L116" s="49"/>
      <c r="M116" s="47"/>
      <c r="N116" s="185">
        <f t="shared" si="4"/>
        <v>10500</v>
      </c>
      <c r="O116" s="48"/>
      <c r="P116" s="47"/>
    </row>
    <row r="117" spans="2:16" s="42" customFormat="1" ht="16.5" customHeight="1" x14ac:dyDescent="0.25">
      <c r="B117" s="133"/>
      <c r="C117" s="50" t="s">
        <v>347</v>
      </c>
      <c r="D117" s="51">
        <v>31</v>
      </c>
      <c r="E117" s="51" t="s">
        <v>53</v>
      </c>
      <c r="F117" s="51">
        <v>350</v>
      </c>
      <c r="G117" s="136">
        <f t="shared" si="5"/>
        <v>10850</v>
      </c>
      <c r="H117" s="46"/>
      <c r="I117" s="46"/>
      <c r="J117" s="49"/>
      <c r="K117" s="49"/>
      <c r="L117" s="49"/>
      <c r="M117" s="47"/>
      <c r="N117" s="185">
        <f t="shared" si="4"/>
        <v>10850</v>
      </c>
      <c r="O117" s="48"/>
      <c r="P117" s="47"/>
    </row>
    <row r="118" spans="2:16" s="42" customFormat="1" ht="16.5" customHeight="1" x14ac:dyDescent="0.25">
      <c r="B118" s="133"/>
      <c r="C118" s="50" t="s">
        <v>348</v>
      </c>
      <c r="D118" s="51">
        <v>20</v>
      </c>
      <c r="E118" s="51" t="s">
        <v>52</v>
      </c>
      <c r="F118" s="51">
        <v>500</v>
      </c>
      <c r="G118" s="136">
        <f t="shared" si="5"/>
        <v>10000</v>
      </c>
      <c r="H118" s="46"/>
      <c r="I118" s="46"/>
      <c r="J118" s="49"/>
      <c r="K118" s="49"/>
      <c r="L118" s="49"/>
      <c r="M118" s="47"/>
      <c r="N118" s="185">
        <f t="shared" si="4"/>
        <v>10000</v>
      </c>
      <c r="O118" s="48"/>
      <c r="P118" s="47"/>
    </row>
    <row r="119" spans="2:16" s="42" customFormat="1" ht="16.5" customHeight="1" x14ac:dyDescent="0.25">
      <c r="B119" s="133"/>
      <c r="C119" s="50" t="s">
        <v>350</v>
      </c>
      <c r="D119" s="51">
        <v>30</v>
      </c>
      <c r="E119" s="51" t="s">
        <v>52</v>
      </c>
      <c r="F119" s="51">
        <v>600</v>
      </c>
      <c r="G119" s="136">
        <f t="shared" si="5"/>
        <v>18000</v>
      </c>
      <c r="H119" s="46"/>
      <c r="I119" s="46"/>
      <c r="J119" s="49"/>
      <c r="K119" s="49"/>
      <c r="L119" s="49"/>
      <c r="M119" s="47"/>
      <c r="N119" s="185">
        <f t="shared" si="4"/>
        <v>18000</v>
      </c>
      <c r="O119" s="48"/>
      <c r="P119" s="47"/>
    </row>
    <row r="120" spans="2:16" s="42" customFormat="1" ht="16.5" customHeight="1" x14ac:dyDescent="0.25">
      <c r="B120" s="133"/>
      <c r="C120" s="50" t="s">
        <v>349</v>
      </c>
      <c r="D120" s="51">
        <v>15</v>
      </c>
      <c r="E120" s="51" t="s">
        <v>52</v>
      </c>
      <c r="F120" s="45">
        <v>620</v>
      </c>
      <c r="G120" s="136">
        <f t="shared" si="5"/>
        <v>9300</v>
      </c>
      <c r="H120" s="46"/>
      <c r="I120" s="46"/>
      <c r="J120" s="49"/>
      <c r="K120" s="49"/>
      <c r="L120" s="49"/>
      <c r="M120" s="47"/>
      <c r="N120" s="185">
        <f t="shared" si="4"/>
        <v>9300</v>
      </c>
      <c r="O120" s="48"/>
      <c r="P120" s="47"/>
    </row>
    <row r="121" spans="2:16" s="42" customFormat="1" ht="16.5" customHeight="1" x14ac:dyDescent="0.25">
      <c r="B121" s="133"/>
      <c r="C121" s="50" t="s">
        <v>351</v>
      </c>
      <c r="D121" s="51">
        <v>15</v>
      </c>
      <c r="E121" s="51" t="s">
        <v>52</v>
      </c>
      <c r="F121" s="51">
        <v>800</v>
      </c>
      <c r="G121" s="136">
        <f t="shared" si="5"/>
        <v>12000</v>
      </c>
      <c r="H121" s="46"/>
      <c r="I121" s="46"/>
      <c r="J121" s="49"/>
      <c r="K121" s="49"/>
      <c r="L121" s="49"/>
      <c r="M121" s="47"/>
      <c r="N121" s="185">
        <f t="shared" si="4"/>
        <v>12000</v>
      </c>
      <c r="O121" s="48"/>
      <c r="P121" s="47"/>
    </row>
    <row r="122" spans="2:16" s="42" customFormat="1" ht="16.5" customHeight="1" x14ac:dyDescent="0.25">
      <c r="B122" s="133"/>
      <c r="C122" s="50" t="s">
        <v>352</v>
      </c>
      <c r="D122" s="51">
        <v>15</v>
      </c>
      <c r="E122" s="51" t="s">
        <v>52</v>
      </c>
      <c r="F122" s="51">
        <v>850</v>
      </c>
      <c r="G122" s="136">
        <f t="shared" si="5"/>
        <v>12750</v>
      </c>
      <c r="H122" s="46"/>
      <c r="I122" s="46"/>
      <c r="J122" s="49"/>
      <c r="K122" s="49"/>
      <c r="L122" s="49"/>
      <c r="M122" s="47"/>
      <c r="N122" s="185">
        <f t="shared" si="4"/>
        <v>12750</v>
      </c>
      <c r="O122" s="48"/>
      <c r="P122" s="47"/>
    </row>
    <row r="123" spans="2:16" s="42" customFormat="1" ht="16.5" customHeight="1" x14ac:dyDescent="0.25">
      <c r="B123" s="133"/>
      <c r="C123" s="50" t="s">
        <v>353</v>
      </c>
      <c r="D123" s="51">
        <v>8</v>
      </c>
      <c r="E123" s="51" t="s">
        <v>354</v>
      </c>
      <c r="F123" s="51">
        <v>300</v>
      </c>
      <c r="G123" s="136">
        <f t="shared" si="5"/>
        <v>2400</v>
      </c>
      <c r="H123" s="46"/>
      <c r="I123" s="46"/>
      <c r="J123" s="49"/>
      <c r="K123" s="49"/>
      <c r="L123" s="49"/>
      <c r="M123" s="47"/>
      <c r="N123" s="185">
        <f t="shared" si="4"/>
        <v>2400</v>
      </c>
      <c r="O123" s="48"/>
      <c r="P123" s="47"/>
    </row>
    <row r="124" spans="2:16" s="42" customFormat="1" ht="16.5" customHeight="1" x14ac:dyDescent="0.25">
      <c r="B124" s="133"/>
      <c r="C124" s="50" t="s">
        <v>355</v>
      </c>
      <c r="D124" s="51">
        <v>10</v>
      </c>
      <c r="E124" s="51" t="s">
        <v>354</v>
      </c>
      <c r="F124" s="51">
        <v>480</v>
      </c>
      <c r="G124" s="136">
        <f t="shared" si="5"/>
        <v>4800</v>
      </c>
      <c r="H124" s="46"/>
      <c r="I124" s="46"/>
      <c r="J124" s="49"/>
      <c r="K124" s="49"/>
      <c r="L124" s="49"/>
      <c r="M124" s="47"/>
      <c r="N124" s="185">
        <f t="shared" si="4"/>
        <v>4800</v>
      </c>
      <c r="O124" s="48"/>
      <c r="P124" s="47"/>
    </row>
    <row r="125" spans="2:16" s="42" customFormat="1" ht="16.5" customHeight="1" x14ac:dyDescent="0.25">
      <c r="B125" s="133"/>
      <c r="C125" s="50" t="s">
        <v>356</v>
      </c>
      <c r="D125" s="51">
        <v>10</v>
      </c>
      <c r="E125" s="51" t="s">
        <v>354</v>
      </c>
      <c r="F125" s="51">
        <v>400</v>
      </c>
      <c r="G125" s="136">
        <f t="shared" si="5"/>
        <v>4000</v>
      </c>
      <c r="H125" s="46"/>
      <c r="I125" s="46"/>
      <c r="J125" s="49"/>
      <c r="K125" s="49"/>
      <c r="L125" s="49"/>
      <c r="M125" s="47"/>
      <c r="N125" s="185">
        <f t="shared" si="4"/>
        <v>4000</v>
      </c>
      <c r="O125" s="48"/>
      <c r="P125" s="47"/>
    </row>
    <row r="126" spans="2:16" s="42" customFormat="1" ht="16.5" customHeight="1" x14ac:dyDescent="0.25">
      <c r="B126" s="133"/>
      <c r="C126" s="50" t="s">
        <v>357</v>
      </c>
      <c r="D126" s="51">
        <v>10</v>
      </c>
      <c r="E126" s="51" t="s">
        <v>354</v>
      </c>
      <c r="F126" s="51">
        <v>150</v>
      </c>
      <c r="G126" s="136">
        <f t="shared" si="5"/>
        <v>1500</v>
      </c>
      <c r="H126" s="46"/>
      <c r="I126" s="46"/>
      <c r="J126" s="49"/>
      <c r="K126" s="49"/>
      <c r="L126" s="49"/>
      <c r="M126" s="47"/>
      <c r="N126" s="185">
        <f t="shared" si="4"/>
        <v>1500</v>
      </c>
      <c r="O126" s="48"/>
      <c r="P126" s="47"/>
    </row>
    <row r="127" spans="2:16" s="42" customFormat="1" ht="16.5" customHeight="1" x14ac:dyDescent="0.25">
      <c r="B127" s="133"/>
      <c r="C127" s="50" t="s">
        <v>358</v>
      </c>
      <c r="D127" s="51">
        <v>10</v>
      </c>
      <c r="E127" s="51" t="s">
        <v>354</v>
      </c>
      <c r="F127" s="51">
        <v>500</v>
      </c>
      <c r="G127" s="136">
        <f t="shared" si="5"/>
        <v>5000</v>
      </c>
      <c r="H127" s="46"/>
      <c r="I127" s="46"/>
      <c r="J127" s="49"/>
      <c r="K127" s="49"/>
      <c r="L127" s="49"/>
      <c r="M127" s="47"/>
      <c r="N127" s="185">
        <f t="shared" si="4"/>
        <v>5000</v>
      </c>
      <c r="O127" s="48"/>
      <c r="P127" s="47"/>
    </row>
    <row r="128" spans="2:16" s="42" customFormat="1" ht="16.5" customHeight="1" x14ac:dyDescent="0.25">
      <c r="B128" s="133"/>
      <c r="C128" s="50" t="s">
        <v>359</v>
      </c>
      <c r="D128" s="51">
        <v>10</v>
      </c>
      <c r="E128" s="51" t="s">
        <v>354</v>
      </c>
      <c r="F128" s="51">
        <v>450</v>
      </c>
      <c r="G128" s="136">
        <f t="shared" si="5"/>
        <v>4500</v>
      </c>
      <c r="H128" s="46"/>
      <c r="I128" s="46"/>
      <c r="J128" s="49"/>
      <c r="K128" s="49"/>
      <c r="L128" s="49"/>
      <c r="M128" s="47"/>
      <c r="N128" s="185">
        <f t="shared" si="4"/>
        <v>4500</v>
      </c>
      <c r="O128" s="48"/>
      <c r="P128" s="47"/>
    </row>
    <row r="129" spans="2:16" s="42" customFormat="1" ht="16.5" customHeight="1" x14ac:dyDescent="0.25">
      <c r="B129" s="133"/>
      <c r="C129" s="50" t="s">
        <v>360</v>
      </c>
      <c r="D129" s="51">
        <v>14</v>
      </c>
      <c r="E129" s="51" t="s">
        <v>52</v>
      </c>
      <c r="F129" s="51">
        <v>650</v>
      </c>
      <c r="G129" s="136">
        <f t="shared" si="5"/>
        <v>9100</v>
      </c>
      <c r="H129" s="46"/>
      <c r="I129" s="46"/>
      <c r="J129" s="49"/>
      <c r="K129" s="49"/>
      <c r="L129" s="49"/>
      <c r="M129" s="47"/>
      <c r="N129" s="185">
        <f t="shared" si="4"/>
        <v>9100</v>
      </c>
      <c r="O129" s="48"/>
      <c r="P129" s="47"/>
    </row>
    <row r="130" spans="2:16" s="42" customFormat="1" ht="16.5" customHeight="1" x14ac:dyDescent="0.25">
      <c r="B130" s="133"/>
      <c r="C130" s="50" t="s">
        <v>361</v>
      </c>
      <c r="D130" s="51">
        <v>5</v>
      </c>
      <c r="E130" s="51" t="s">
        <v>52</v>
      </c>
      <c r="F130" s="51">
        <v>1200</v>
      </c>
      <c r="G130" s="136">
        <f t="shared" si="5"/>
        <v>6000</v>
      </c>
      <c r="H130" s="46"/>
      <c r="I130" s="46"/>
      <c r="J130" s="49"/>
      <c r="K130" s="49"/>
      <c r="L130" s="49"/>
      <c r="M130" s="47"/>
      <c r="N130" s="185">
        <f t="shared" si="4"/>
        <v>6000</v>
      </c>
      <c r="O130" s="48"/>
      <c r="P130" s="47"/>
    </row>
    <row r="131" spans="2:16" s="42" customFormat="1" ht="16.5" customHeight="1" x14ac:dyDescent="0.25">
      <c r="B131" s="133"/>
      <c r="C131" s="50" t="s">
        <v>362</v>
      </c>
      <c r="D131" s="51">
        <v>13</v>
      </c>
      <c r="E131" s="51" t="s">
        <v>52</v>
      </c>
      <c r="F131" s="51">
        <v>1200</v>
      </c>
      <c r="G131" s="136">
        <f t="shared" si="5"/>
        <v>15600</v>
      </c>
      <c r="H131" s="46"/>
      <c r="I131" s="46"/>
      <c r="J131" s="49"/>
      <c r="K131" s="49"/>
      <c r="L131" s="49"/>
      <c r="M131" s="47"/>
      <c r="N131" s="185">
        <f t="shared" si="4"/>
        <v>15600</v>
      </c>
      <c r="O131" s="48"/>
      <c r="P131" s="47"/>
    </row>
    <row r="132" spans="2:16" s="42" customFormat="1" ht="16.5" customHeight="1" x14ac:dyDescent="0.25">
      <c r="B132" s="133"/>
      <c r="C132" s="50" t="s">
        <v>363</v>
      </c>
      <c r="D132" s="51">
        <v>25</v>
      </c>
      <c r="E132" s="51" t="s">
        <v>192</v>
      </c>
      <c r="F132" s="51">
        <v>670</v>
      </c>
      <c r="G132" s="136">
        <f t="shared" si="5"/>
        <v>16750</v>
      </c>
      <c r="H132" s="46"/>
      <c r="I132" s="46"/>
      <c r="J132" s="49"/>
      <c r="K132" s="49"/>
      <c r="L132" s="49"/>
      <c r="M132" s="47"/>
      <c r="N132" s="185">
        <f t="shared" si="4"/>
        <v>16750</v>
      </c>
      <c r="O132" s="48"/>
      <c r="P132" s="47"/>
    </row>
    <row r="133" spans="2:16" s="42" customFormat="1" ht="16.5" customHeight="1" x14ac:dyDescent="0.25">
      <c r="B133" s="133"/>
      <c r="C133" s="50" t="s">
        <v>364</v>
      </c>
      <c r="D133" s="51">
        <v>18</v>
      </c>
      <c r="E133" s="51" t="s">
        <v>53</v>
      </c>
      <c r="F133" s="51">
        <v>4500</v>
      </c>
      <c r="G133" s="136">
        <f t="shared" si="5"/>
        <v>81000</v>
      </c>
      <c r="H133" s="46"/>
      <c r="I133" s="46"/>
      <c r="J133" s="49"/>
      <c r="K133" s="49"/>
      <c r="L133" s="49"/>
      <c r="M133" s="47"/>
      <c r="N133" s="185">
        <f t="shared" si="4"/>
        <v>81000</v>
      </c>
      <c r="O133" s="48"/>
      <c r="P133" s="47"/>
    </row>
    <row r="134" spans="2:16" s="42" customFormat="1" ht="16.5" customHeight="1" x14ac:dyDescent="0.25">
      <c r="B134" s="133"/>
      <c r="C134" s="50" t="s">
        <v>365</v>
      </c>
      <c r="D134" s="51">
        <v>1</v>
      </c>
      <c r="E134" s="51" t="s">
        <v>52</v>
      </c>
      <c r="F134" s="51">
        <v>5200</v>
      </c>
      <c r="G134" s="136">
        <f t="shared" si="5"/>
        <v>5200</v>
      </c>
      <c r="H134" s="46"/>
      <c r="I134" s="46"/>
      <c r="J134" s="49"/>
      <c r="K134" s="49"/>
      <c r="L134" s="49"/>
      <c r="M134" s="47"/>
      <c r="N134" s="185">
        <f t="shared" si="4"/>
        <v>5200</v>
      </c>
      <c r="O134" s="48"/>
      <c r="P134" s="47"/>
    </row>
    <row r="135" spans="2:16" s="42" customFormat="1" ht="16.5" customHeight="1" x14ac:dyDescent="0.25">
      <c r="B135" s="133"/>
      <c r="C135" s="50" t="s">
        <v>366</v>
      </c>
      <c r="D135" s="51">
        <v>1</v>
      </c>
      <c r="E135" s="51" t="s">
        <v>194</v>
      </c>
      <c r="F135" s="51">
        <v>1200</v>
      </c>
      <c r="G135" s="136">
        <f t="shared" si="5"/>
        <v>1200</v>
      </c>
      <c r="H135" s="46"/>
      <c r="I135" s="46"/>
      <c r="J135" s="49"/>
      <c r="K135" s="49"/>
      <c r="L135" s="49"/>
      <c r="M135" s="47"/>
      <c r="N135" s="185">
        <f t="shared" si="4"/>
        <v>1200</v>
      </c>
      <c r="O135" s="48"/>
      <c r="P135" s="47"/>
    </row>
    <row r="136" spans="2:16" s="42" customFormat="1" ht="16.5" customHeight="1" x14ac:dyDescent="0.25">
      <c r="B136" s="133"/>
      <c r="C136" s="50" t="s">
        <v>367</v>
      </c>
      <c r="D136" s="51">
        <v>10</v>
      </c>
      <c r="E136" s="51" t="s">
        <v>52</v>
      </c>
      <c r="F136" s="51">
        <v>1000</v>
      </c>
      <c r="G136" s="136">
        <f t="shared" si="5"/>
        <v>10000</v>
      </c>
      <c r="H136" s="46"/>
      <c r="I136" s="46"/>
      <c r="J136" s="49"/>
      <c r="K136" s="49"/>
      <c r="L136" s="49"/>
      <c r="M136" s="47"/>
      <c r="N136" s="185">
        <f t="shared" si="4"/>
        <v>10000</v>
      </c>
      <c r="O136" s="48"/>
      <c r="P136" s="47"/>
    </row>
    <row r="137" spans="2:16" s="42" customFormat="1" ht="16.5" customHeight="1" x14ac:dyDescent="0.25">
      <c r="B137" s="133"/>
      <c r="C137" s="50" t="s">
        <v>368</v>
      </c>
      <c r="D137" s="51">
        <v>10</v>
      </c>
      <c r="E137" s="51" t="s">
        <v>251</v>
      </c>
      <c r="F137" s="51">
        <v>1300</v>
      </c>
      <c r="G137" s="136">
        <f t="shared" si="5"/>
        <v>13000</v>
      </c>
      <c r="H137" s="46"/>
      <c r="I137" s="46"/>
      <c r="J137" s="49"/>
      <c r="K137" s="49"/>
      <c r="L137" s="49"/>
      <c r="M137" s="47"/>
      <c r="N137" s="185">
        <f t="shared" si="4"/>
        <v>13000</v>
      </c>
      <c r="O137" s="48"/>
      <c r="P137" s="47"/>
    </row>
    <row r="138" spans="2:16" s="42" customFormat="1" ht="16.5" customHeight="1" x14ac:dyDescent="0.25">
      <c r="B138" s="133"/>
      <c r="C138" s="50" t="s">
        <v>369</v>
      </c>
      <c r="D138" s="51">
        <v>10</v>
      </c>
      <c r="E138" s="51" t="s">
        <v>251</v>
      </c>
      <c r="F138" s="51">
        <v>1300</v>
      </c>
      <c r="G138" s="136">
        <f t="shared" si="5"/>
        <v>13000</v>
      </c>
      <c r="H138" s="46"/>
      <c r="I138" s="46"/>
      <c r="J138" s="49"/>
      <c r="K138" s="49"/>
      <c r="L138" s="49"/>
      <c r="M138" s="47"/>
      <c r="N138" s="185">
        <f t="shared" si="4"/>
        <v>13000</v>
      </c>
      <c r="O138" s="48"/>
      <c r="P138" s="47"/>
    </row>
    <row r="139" spans="2:16" s="42" customFormat="1" ht="16.5" customHeight="1" x14ac:dyDescent="0.25">
      <c r="B139" s="133"/>
      <c r="C139" s="50" t="s">
        <v>370</v>
      </c>
      <c r="D139" s="51">
        <v>10</v>
      </c>
      <c r="E139" s="51" t="s">
        <v>251</v>
      </c>
      <c r="F139" s="51">
        <v>1200</v>
      </c>
      <c r="G139" s="136">
        <f t="shared" si="5"/>
        <v>12000</v>
      </c>
      <c r="H139" s="46"/>
      <c r="I139" s="46"/>
      <c r="J139" s="49"/>
      <c r="K139" s="49"/>
      <c r="L139" s="49"/>
      <c r="M139" s="47"/>
      <c r="N139" s="185">
        <f t="shared" si="4"/>
        <v>12000</v>
      </c>
      <c r="O139" s="48"/>
      <c r="P139" s="47"/>
    </row>
    <row r="140" spans="2:16" s="42" customFormat="1" ht="16.5" customHeight="1" x14ac:dyDescent="0.25">
      <c r="B140" s="133"/>
      <c r="C140" s="50" t="s">
        <v>371</v>
      </c>
      <c r="D140" s="51">
        <v>350</v>
      </c>
      <c r="E140" s="51" t="s">
        <v>53</v>
      </c>
      <c r="F140" s="51">
        <v>10</v>
      </c>
      <c r="G140" s="136">
        <f t="shared" si="5"/>
        <v>3500</v>
      </c>
      <c r="H140" s="46"/>
      <c r="I140" s="46"/>
      <c r="J140" s="49"/>
      <c r="K140" s="49"/>
      <c r="L140" s="49"/>
      <c r="M140" s="47"/>
      <c r="N140" s="185">
        <f t="shared" ref="N140:N148" si="6">G140</f>
        <v>3500</v>
      </c>
      <c r="O140" s="48"/>
      <c r="P140" s="47"/>
    </row>
    <row r="141" spans="2:16" s="42" customFormat="1" ht="16.5" customHeight="1" x14ac:dyDescent="0.25">
      <c r="B141" s="133"/>
      <c r="C141" s="50" t="s">
        <v>372</v>
      </c>
      <c r="D141" s="51">
        <v>1</v>
      </c>
      <c r="E141" s="51" t="s">
        <v>52</v>
      </c>
      <c r="F141" s="51">
        <v>1500</v>
      </c>
      <c r="G141" s="136">
        <f t="shared" si="5"/>
        <v>1500</v>
      </c>
      <c r="H141" s="46"/>
      <c r="I141" s="46"/>
      <c r="J141" s="49"/>
      <c r="K141" s="49"/>
      <c r="L141" s="49"/>
      <c r="M141" s="47"/>
      <c r="N141" s="185">
        <f t="shared" si="6"/>
        <v>1500</v>
      </c>
      <c r="O141" s="48"/>
      <c r="P141" s="47"/>
    </row>
    <row r="142" spans="2:16" s="42" customFormat="1" ht="16.5" customHeight="1" x14ac:dyDescent="0.25">
      <c r="B142" s="133"/>
      <c r="C142" s="50" t="s">
        <v>373</v>
      </c>
      <c r="D142" s="51">
        <v>100</v>
      </c>
      <c r="E142" s="51" t="s">
        <v>53</v>
      </c>
      <c r="F142" s="51">
        <v>40</v>
      </c>
      <c r="G142" s="136">
        <f t="shared" si="5"/>
        <v>4000</v>
      </c>
      <c r="H142" s="46"/>
      <c r="I142" s="46"/>
      <c r="J142" s="49"/>
      <c r="K142" s="49"/>
      <c r="L142" s="49"/>
      <c r="M142" s="47"/>
      <c r="N142" s="185">
        <f t="shared" si="6"/>
        <v>4000</v>
      </c>
      <c r="O142" s="48"/>
      <c r="P142" s="47"/>
    </row>
    <row r="143" spans="2:16" s="42" customFormat="1" ht="16.5" customHeight="1" x14ac:dyDescent="0.25">
      <c r="B143" s="133"/>
      <c r="C143" s="50" t="s">
        <v>374</v>
      </c>
      <c r="D143" s="51">
        <v>250</v>
      </c>
      <c r="E143" s="51" t="s">
        <v>53</v>
      </c>
      <c r="F143" s="51">
        <v>20</v>
      </c>
      <c r="G143" s="136">
        <f t="shared" si="5"/>
        <v>5000</v>
      </c>
      <c r="H143" s="46"/>
      <c r="I143" s="46"/>
      <c r="J143" s="49"/>
      <c r="K143" s="49"/>
      <c r="L143" s="49"/>
      <c r="M143" s="47"/>
      <c r="N143" s="185">
        <f t="shared" si="6"/>
        <v>5000</v>
      </c>
      <c r="O143" s="48"/>
      <c r="P143" s="47"/>
    </row>
    <row r="144" spans="2:16" s="42" customFormat="1" ht="16.5" customHeight="1" x14ac:dyDescent="0.25">
      <c r="B144" s="133"/>
      <c r="C144" s="50" t="s">
        <v>375</v>
      </c>
      <c r="D144" s="51">
        <v>70</v>
      </c>
      <c r="E144" s="51" t="s">
        <v>251</v>
      </c>
      <c r="F144" s="51">
        <v>1500</v>
      </c>
      <c r="G144" s="136">
        <f t="shared" si="5"/>
        <v>105000</v>
      </c>
      <c r="H144" s="46"/>
      <c r="I144" s="46"/>
      <c r="J144" s="49"/>
      <c r="K144" s="49"/>
      <c r="L144" s="49"/>
      <c r="M144" s="47"/>
      <c r="N144" s="185">
        <f t="shared" si="6"/>
        <v>105000</v>
      </c>
      <c r="O144" s="48"/>
      <c r="P144" s="47"/>
    </row>
    <row r="145" spans="2:18" s="42" customFormat="1" ht="16.5" customHeight="1" x14ac:dyDescent="0.25">
      <c r="B145" s="133"/>
      <c r="C145" s="50" t="s">
        <v>376</v>
      </c>
      <c r="D145" s="51">
        <v>3</v>
      </c>
      <c r="E145" s="51" t="s">
        <v>251</v>
      </c>
      <c r="F145" s="51">
        <v>610</v>
      </c>
      <c r="G145" s="136">
        <f t="shared" si="5"/>
        <v>1830</v>
      </c>
      <c r="H145" s="46"/>
      <c r="I145" s="46"/>
      <c r="J145" s="49"/>
      <c r="K145" s="49"/>
      <c r="L145" s="49"/>
      <c r="M145" s="47"/>
      <c r="N145" s="185">
        <f t="shared" si="6"/>
        <v>1830</v>
      </c>
      <c r="O145" s="48"/>
      <c r="P145" s="47"/>
    </row>
    <row r="146" spans="2:18" s="42" customFormat="1" ht="16.5" customHeight="1" x14ac:dyDescent="0.25">
      <c r="B146" s="133"/>
      <c r="C146" s="50" t="s">
        <v>377</v>
      </c>
      <c r="D146" s="51">
        <v>20</v>
      </c>
      <c r="E146" s="51" t="s">
        <v>52</v>
      </c>
      <c r="F146" s="51">
        <v>230</v>
      </c>
      <c r="G146" s="136">
        <f t="shared" si="5"/>
        <v>4600</v>
      </c>
      <c r="H146" s="46"/>
      <c r="I146" s="46"/>
      <c r="J146" s="49"/>
      <c r="K146" s="49"/>
      <c r="L146" s="49"/>
      <c r="M146" s="47"/>
      <c r="N146" s="185">
        <f t="shared" si="6"/>
        <v>4600</v>
      </c>
      <c r="O146" s="48"/>
      <c r="P146" s="47"/>
    </row>
    <row r="147" spans="2:18" s="42" customFormat="1" ht="16.5" customHeight="1" x14ac:dyDescent="0.25">
      <c r="B147" s="133"/>
      <c r="C147" s="50" t="s">
        <v>378</v>
      </c>
      <c r="D147" s="51">
        <v>2</v>
      </c>
      <c r="E147" s="51" t="s">
        <v>52</v>
      </c>
      <c r="F147" s="51">
        <v>200</v>
      </c>
      <c r="G147" s="136">
        <f t="shared" si="5"/>
        <v>400</v>
      </c>
      <c r="H147" s="46"/>
      <c r="I147" s="46"/>
      <c r="J147" s="49"/>
      <c r="K147" s="49"/>
      <c r="L147" s="49"/>
      <c r="M147" s="47"/>
      <c r="N147" s="185">
        <f t="shared" si="6"/>
        <v>400</v>
      </c>
      <c r="O147" s="48"/>
      <c r="P147" s="47"/>
    </row>
    <row r="148" spans="2:18" s="42" customFormat="1" ht="16.5" customHeight="1" x14ac:dyDescent="0.25">
      <c r="B148" s="133"/>
      <c r="C148" s="50" t="s">
        <v>379</v>
      </c>
      <c r="D148" s="51">
        <v>13</v>
      </c>
      <c r="E148" s="51" t="s">
        <v>145</v>
      </c>
      <c r="F148" s="51">
        <v>450</v>
      </c>
      <c r="G148" s="136">
        <f t="shared" si="5"/>
        <v>5850</v>
      </c>
      <c r="H148" s="46"/>
      <c r="I148" s="46"/>
      <c r="J148" s="49"/>
      <c r="K148" s="49"/>
      <c r="L148" s="49"/>
      <c r="M148" s="47"/>
      <c r="N148" s="185">
        <f t="shared" si="6"/>
        <v>5850</v>
      </c>
      <c r="O148" s="48"/>
      <c r="P148" s="47"/>
    </row>
    <row r="149" spans="2:18" ht="26.25" customHeight="1" x14ac:dyDescent="0.25">
      <c r="B149" s="53"/>
      <c r="C149" s="52"/>
      <c r="D149" s="54"/>
      <c r="E149" s="55"/>
      <c r="F149" s="55"/>
      <c r="G149" s="135">
        <f>N149</f>
        <v>2451346.5</v>
      </c>
      <c r="H149" s="39"/>
      <c r="I149" s="39"/>
      <c r="J149" s="39"/>
      <c r="K149" s="39"/>
      <c r="L149" s="212" t="s">
        <v>43</v>
      </c>
      <c r="M149" s="213"/>
      <c r="N149" s="10">
        <f>SUM(N11:N148)</f>
        <v>2451346.5</v>
      </c>
      <c r="O149" s="53"/>
      <c r="P149" s="39"/>
      <c r="R149" s="180"/>
    </row>
    <row r="150" spans="2:18" s="42" customFormat="1" ht="25.5" customHeight="1" x14ac:dyDescent="0.3">
      <c r="B150" s="155" t="s">
        <v>44</v>
      </c>
      <c r="C150" s="26"/>
      <c r="D150" s="11"/>
      <c r="E150" s="186" t="s">
        <v>726</v>
      </c>
      <c r="F150" s="186"/>
      <c r="G150" s="186"/>
      <c r="H150" s="186"/>
      <c r="I150" s="186"/>
      <c r="J150" s="186"/>
      <c r="K150" s="26"/>
      <c r="L150" s="26"/>
      <c r="M150" s="3"/>
      <c r="N150" s="186" t="s">
        <v>45</v>
      </c>
      <c r="O150" s="186"/>
      <c r="P150" s="27"/>
    </row>
    <row r="151" spans="2:18" ht="15" customHeight="1" x14ac:dyDescent="0.25">
      <c r="B151" s="3"/>
      <c r="C151" s="2"/>
      <c r="D151" s="3"/>
      <c r="E151" s="3"/>
      <c r="F151" s="3"/>
      <c r="G151" s="3"/>
      <c r="H151" s="67"/>
      <c r="I151" s="2"/>
      <c r="J151" s="2"/>
      <c r="K151" s="139"/>
      <c r="L151" s="2"/>
      <c r="M151" s="2"/>
      <c r="N151" s="28"/>
      <c r="O151" s="2"/>
      <c r="P151" s="27"/>
    </row>
    <row r="152" spans="2:18" ht="30.75" customHeight="1" x14ac:dyDescent="0.25">
      <c r="B152" s="3"/>
      <c r="C152" s="2"/>
      <c r="D152" s="3"/>
      <c r="E152" s="3"/>
      <c r="F152" s="3"/>
      <c r="G152" s="3"/>
      <c r="H152" s="67"/>
      <c r="I152" s="2"/>
      <c r="J152" s="2"/>
      <c r="K152" s="139"/>
      <c r="L152" s="2"/>
      <c r="M152" s="2"/>
      <c r="N152" s="28"/>
      <c r="O152" s="2"/>
      <c r="P152" s="27"/>
    </row>
    <row r="153" spans="2:18" ht="15" customHeight="1" x14ac:dyDescent="0.25">
      <c r="B153" s="198" t="s">
        <v>46</v>
      </c>
      <c r="C153" s="198"/>
      <c r="D153" s="29"/>
      <c r="E153" s="29"/>
      <c r="F153" s="29"/>
      <c r="G153" s="187" t="s">
        <v>47</v>
      </c>
      <c r="H153" s="187"/>
      <c r="I153" s="187"/>
      <c r="J153" s="187"/>
      <c r="K153" s="187"/>
      <c r="L153" s="2"/>
      <c r="M153" s="29"/>
      <c r="N153" s="187" t="s">
        <v>727</v>
      </c>
      <c r="O153" s="187"/>
      <c r="P153" s="187"/>
    </row>
    <row r="154" spans="2:18" ht="15" customHeight="1" x14ac:dyDescent="0.25">
      <c r="B154" s="196" t="s">
        <v>48</v>
      </c>
      <c r="C154" s="196"/>
      <c r="D154" s="3"/>
      <c r="E154" s="3"/>
      <c r="F154" s="3"/>
      <c r="G154" s="188" t="s">
        <v>49</v>
      </c>
      <c r="H154" s="188"/>
      <c r="I154" s="188"/>
      <c r="J154" s="188"/>
      <c r="K154" s="188"/>
      <c r="L154" s="2"/>
      <c r="M154" s="3"/>
      <c r="N154" s="188" t="s">
        <v>728</v>
      </c>
      <c r="O154" s="188"/>
      <c r="P154" s="188"/>
    </row>
  </sheetData>
  <mergeCells count="22">
    <mergeCell ref="B154:C154"/>
    <mergeCell ref="N154:P154"/>
    <mergeCell ref="D9:E9"/>
    <mergeCell ref="D10:E10"/>
    <mergeCell ref="L149:M149"/>
    <mergeCell ref="B153:C153"/>
    <mergeCell ref="N153:P153"/>
    <mergeCell ref="E150:J150"/>
    <mergeCell ref="G153:K153"/>
    <mergeCell ref="G154:K154"/>
    <mergeCell ref="N150:O150"/>
    <mergeCell ref="B1:P1"/>
    <mergeCell ref="B2:P2"/>
    <mergeCell ref="B3:P3"/>
    <mergeCell ref="B7:I7"/>
    <mergeCell ref="J7:L7"/>
    <mergeCell ref="M7:N7"/>
    <mergeCell ref="O7:O8"/>
    <mergeCell ref="P7:P8"/>
    <mergeCell ref="D8:E8"/>
    <mergeCell ref="K4:L4"/>
    <mergeCell ref="H4:J4"/>
  </mergeCells>
  <pageMargins left="0.12" right="0.7" top="0.75" bottom="0.75" header="0.3" footer="0.25"/>
  <pageSetup paperSize="5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51B7A-2127-4B7A-B77F-BA94D4871F0C}">
  <sheetPr>
    <tabColor rgb="FF00B0F0"/>
    <pageSetUpPr fitToPage="1"/>
  </sheetPr>
  <dimension ref="A1:P66"/>
  <sheetViews>
    <sheetView topLeftCell="A5" workbookViewId="0">
      <selection activeCell="M11" sqref="M11:M56"/>
    </sheetView>
  </sheetViews>
  <sheetFormatPr defaultRowHeight="14.4" x14ac:dyDescent="0.3"/>
  <cols>
    <col min="1" max="1" width="9.5546875" customWidth="1"/>
    <col min="2" max="2" width="25.5546875" customWidth="1"/>
    <col min="3" max="3" width="4.5546875" customWidth="1"/>
    <col min="4" max="4" width="5.44140625" customWidth="1"/>
    <col min="5" max="5" width="8" hidden="1" customWidth="1"/>
    <col min="6" max="6" width="10.88671875" hidden="1" customWidth="1"/>
    <col min="7" max="7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01" t="s">
        <v>6</v>
      </c>
      <c r="B7" s="201"/>
      <c r="C7" s="201"/>
      <c r="D7" s="201"/>
      <c r="E7" s="201"/>
      <c r="F7" s="201"/>
      <c r="G7" s="201"/>
      <c r="H7" s="201"/>
      <c r="I7" s="201" t="s">
        <v>7</v>
      </c>
      <c r="J7" s="201"/>
      <c r="K7" s="201"/>
      <c r="L7" s="201" t="s">
        <v>8</v>
      </c>
      <c r="M7" s="201"/>
      <c r="N7" s="201" t="s">
        <v>9</v>
      </c>
      <c r="O7" s="201" t="s">
        <v>10</v>
      </c>
    </row>
    <row r="8" spans="1:15" ht="96" customHeight="1" x14ac:dyDescent="0.3">
      <c r="A8" s="165" t="s">
        <v>11</v>
      </c>
      <c r="B8" s="165" t="s">
        <v>12</v>
      </c>
      <c r="C8" s="202" t="s">
        <v>13</v>
      </c>
      <c r="D8" s="203"/>
      <c r="E8" s="166"/>
      <c r="F8" s="167"/>
      <c r="G8" s="165" t="s">
        <v>14</v>
      </c>
      <c r="H8" s="165" t="s">
        <v>15</v>
      </c>
      <c r="I8" s="165" t="s">
        <v>16</v>
      </c>
      <c r="J8" s="165" t="s">
        <v>17</v>
      </c>
      <c r="K8" s="165" t="s">
        <v>18</v>
      </c>
      <c r="L8" s="165" t="s">
        <v>19</v>
      </c>
      <c r="M8" s="165" t="s">
        <v>20</v>
      </c>
      <c r="N8" s="201"/>
      <c r="O8" s="201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96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" customHeight="1" x14ac:dyDescent="0.3">
      <c r="A10" s="5" t="s">
        <v>112</v>
      </c>
      <c r="B10" s="6" t="s">
        <v>34</v>
      </c>
      <c r="C10" s="216"/>
      <c r="D10" s="217"/>
      <c r="E10" s="146" t="s">
        <v>55</v>
      </c>
      <c r="F10" s="168" t="s">
        <v>56</v>
      </c>
      <c r="G10" s="9" t="s">
        <v>35</v>
      </c>
      <c r="H10" s="7" t="s">
        <v>36</v>
      </c>
      <c r="I10" s="8"/>
      <c r="J10" s="8"/>
      <c r="K10" s="8"/>
      <c r="L10" s="9" t="s">
        <v>37</v>
      </c>
      <c r="M10" s="10">
        <v>400000</v>
      </c>
      <c r="N10" s="8" t="s">
        <v>38</v>
      </c>
      <c r="O10" s="9" t="s">
        <v>39</v>
      </c>
    </row>
    <row r="11" spans="1:15" x14ac:dyDescent="0.3">
      <c r="A11" s="132"/>
      <c r="B11" s="13" t="s">
        <v>113</v>
      </c>
      <c r="C11" s="7">
        <v>60</v>
      </c>
      <c r="D11" s="7" t="s">
        <v>53</v>
      </c>
      <c r="E11" s="90">
        <v>35</v>
      </c>
      <c r="F11" s="102">
        <f t="shared" ref="F11:F13" si="0">E11*C11</f>
        <v>2100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2100</v>
      </c>
      <c r="N11" s="19"/>
      <c r="O11" s="17"/>
    </row>
    <row r="12" spans="1:15" x14ac:dyDescent="0.3">
      <c r="A12" s="132"/>
      <c r="B12" s="13" t="s">
        <v>114</v>
      </c>
      <c r="C12" s="7">
        <v>25</v>
      </c>
      <c r="D12" s="7" t="s">
        <v>53</v>
      </c>
      <c r="E12" s="90">
        <v>50</v>
      </c>
      <c r="F12" s="102">
        <f t="shared" si="0"/>
        <v>1250</v>
      </c>
      <c r="G12" s="14"/>
      <c r="H12" s="14"/>
      <c r="I12" s="15"/>
      <c r="J12" s="15"/>
      <c r="K12" s="20" t="s">
        <v>731</v>
      </c>
      <c r="L12" s="17"/>
      <c r="M12" s="185">
        <f t="shared" ref="M12:M56" si="1">F12</f>
        <v>1250</v>
      </c>
      <c r="N12" s="19"/>
      <c r="O12" s="17"/>
    </row>
    <row r="13" spans="1:15" x14ac:dyDescent="0.3">
      <c r="A13" s="132"/>
      <c r="B13" s="13" t="s">
        <v>115</v>
      </c>
      <c r="C13" s="7">
        <v>30</v>
      </c>
      <c r="D13" s="7" t="s">
        <v>110</v>
      </c>
      <c r="E13" s="90">
        <v>120</v>
      </c>
      <c r="F13" s="102">
        <f t="shared" si="0"/>
        <v>3600</v>
      </c>
      <c r="G13" s="14"/>
      <c r="H13" s="14"/>
      <c r="I13" s="15"/>
      <c r="J13" s="15"/>
      <c r="K13" s="16"/>
      <c r="L13" s="17"/>
      <c r="M13" s="185">
        <f t="shared" si="1"/>
        <v>3600</v>
      </c>
      <c r="N13" s="19"/>
      <c r="O13" s="17"/>
    </row>
    <row r="14" spans="1:15" x14ac:dyDescent="0.3">
      <c r="A14" s="132"/>
      <c r="B14" s="13" t="s">
        <v>116</v>
      </c>
      <c r="C14" s="7">
        <v>10</v>
      </c>
      <c r="D14" s="7" t="s">
        <v>144</v>
      </c>
      <c r="E14" s="90">
        <v>850</v>
      </c>
      <c r="F14" s="102">
        <f>E14*C14</f>
        <v>8500</v>
      </c>
      <c r="G14" s="14"/>
      <c r="H14" s="14"/>
      <c r="I14" s="15"/>
      <c r="J14" s="15"/>
      <c r="K14" s="16"/>
      <c r="L14" s="17"/>
      <c r="M14" s="185">
        <f t="shared" si="1"/>
        <v>8500</v>
      </c>
      <c r="N14" s="19"/>
      <c r="O14" s="17"/>
    </row>
    <row r="15" spans="1:15" x14ac:dyDescent="0.3">
      <c r="A15" s="132"/>
      <c r="B15" s="13" t="s">
        <v>117</v>
      </c>
      <c r="C15" s="7">
        <v>4</v>
      </c>
      <c r="D15" s="7" t="s">
        <v>144</v>
      </c>
      <c r="E15" s="90">
        <v>1500</v>
      </c>
      <c r="F15" s="102">
        <f t="shared" ref="F15:F56" si="2">E15*C15</f>
        <v>6000</v>
      </c>
      <c r="G15" s="14"/>
      <c r="H15" s="14"/>
      <c r="I15" s="15"/>
      <c r="J15" s="15"/>
      <c r="K15" s="16"/>
      <c r="L15" s="17"/>
      <c r="M15" s="185">
        <f t="shared" si="1"/>
        <v>6000</v>
      </c>
      <c r="N15" s="19"/>
      <c r="O15" s="17"/>
    </row>
    <row r="16" spans="1:15" x14ac:dyDescent="0.3">
      <c r="A16" s="132"/>
      <c r="B16" s="13" t="s">
        <v>118</v>
      </c>
      <c r="C16" s="7">
        <v>10</v>
      </c>
      <c r="D16" s="7" t="s">
        <v>53</v>
      </c>
      <c r="E16" s="90">
        <v>500</v>
      </c>
      <c r="F16" s="102">
        <f t="shared" si="2"/>
        <v>5000</v>
      </c>
      <c r="G16" s="14"/>
      <c r="H16" s="14"/>
      <c r="I16" s="15"/>
      <c r="J16" s="15"/>
      <c r="K16" s="16"/>
      <c r="L16" s="17"/>
      <c r="M16" s="185">
        <f t="shared" si="1"/>
        <v>5000</v>
      </c>
      <c r="N16" s="19"/>
      <c r="O16" s="17"/>
    </row>
    <row r="17" spans="1:15" x14ac:dyDescent="0.3">
      <c r="A17" s="132"/>
      <c r="B17" s="13" t="s">
        <v>119</v>
      </c>
      <c r="C17" s="7"/>
      <c r="D17" s="7"/>
      <c r="E17" s="90"/>
      <c r="F17" s="102">
        <f t="shared" si="2"/>
        <v>0</v>
      </c>
      <c r="G17" s="14"/>
      <c r="H17" s="14"/>
      <c r="I17" s="15"/>
      <c r="J17" s="15"/>
      <c r="K17" s="16"/>
      <c r="L17" s="17"/>
      <c r="M17" s="185">
        <f t="shared" si="1"/>
        <v>0</v>
      </c>
      <c r="N17" s="19"/>
      <c r="O17" s="17"/>
    </row>
    <row r="18" spans="1:15" x14ac:dyDescent="0.3">
      <c r="A18" s="132"/>
      <c r="B18" s="13" t="s">
        <v>120</v>
      </c>
      <c r="C18" s="7">
        <v>100</v>
      </c>
      <c r="D18" s="7" t="s">
        <v>145</v>
      </c>
      <c r="E18" s="90">
        <v>50</v>
      </c>
      <c r="F18" s="102">
        <f t="shared" si="2"/>
        <v>5000</v>
      </c>
      <c r="G18" s="14"/>
      <c r="H18" s="14"/>
      <c r="I18" s="15"/>
      <c r="J18" s="15"/>
      <c r="K18" s="16"/>
      <c r="L18" s="17"/>
      <c r="M18" s="185">
        <f t="shared" si="1"/>
        <v>5000</v>
      </c>
      <c r="N18" s="19"/>
      <c r="O18" s="17"/>
    </row>
    <row r="19" spans="1:15" x14ac:dyDescent="0.3">
      <c r="A19" s="132"/>
      <c r="B19" s="13" t="s">
        <v>121</v>
      </c>
      <c r="C19" s="7">
        <v>10</v>
      </c>
      <c r="D19" s="7" t="s">
        <v>85</v>
      </c>
      <c r="E19" s="90">
        <v>3000</v>
      </c>
      <c r="F19" s="102">
        <f t="shared" si="2"/>
        <v>30000</v>
      </c>
      <c r="G19" s="14"/>
      <c r="H19" s="14"/>
      <c r="I19" s="15"/>
      <c r="J19" s="15"/>
      <c r="K19" s="16"/>
      <c r="L19" s="17"/>
      <c r="M19" s="185">
        <f t="shared" si="1"/>
        <v>30000</v>
      </c>
      <c r="N19" s="19"/>
      <c r="O19" s="17"/>
    </row>
    <row r="20" spans="1:15" x14ac:dyDescent="0.3">
      <c r="A20" s="132"/>
      <c r="B20" s="13" t="s">
        <v>122</v>
      </c>
      <c r="C20" s="7">
        <v>10</v>
      </c>
      <c r="D20" s="7" t="s">
        <v>53</v>
      </c>
      <c r="E20" s="90">
        <v>450</v>
      </c>
      <c r="F20" s="102">
        <f t="shared" si="2"/>
        <v>4500</v>
      </c>
      <c r="G20" s="14"/>
      <c r="H20" s="14"/>
      <c r="I20" s="15"/>
      <c r="J20" s="15"/>
      <c r="K20" s="16"/>
      <c r="L20" s="17"/>
      <c r="M20" s="185">
        <f t="shared" si="1"/>
        <v>4500</v>
      </c>
      <c r="N20" s="19"/>
      <c r="O20" s="17"/>
    </row>
    <row r="21" spans="1:15" x14ac:dyDescent="0.3">
      <c r="A21" s="132"/>
      <c r="B21" s="13" t="s">
        <v>123</v>
      </c>
      <c r="C21" s="7">
        <v>10</v>
      </c>
      <c r="D21" s="7" t="s">
        <v>53</v>
      </c>
      <c r="E21" s="90">
        <v>150</v>
      </c>
      <c r="F21" s="102">
        <f t="shared" si="2"/>
        <v>1500</v>
      </c>
      <c r="G21" s="14"/>
      <c r="H21" s="14"/>
      <c r="I21" s="15"/>
      <c r="J21" s="15"/>
      <c r="K21" s="20"/>
      <c r="L21" s="17"/>
      <c r="M21" s="185">
        <f t="shared" si="1"/>
        <v>1500</v>
      </c>
      <c r="N21" s="19"/>
      <c r="O21" s="17"/>
    </row>
    <row r="22" spans="1:15" x14ac:dyDescent="0.3">
      <c r="A22" s="132"/>
      <c r="B22" s="13" t="s">
        <v>124</v>
      </c>
      <c r="C22" s="7">
        <v>10</v>
      </c>
      <c r="D22" s="7" t="s">
        <v>53</v>
      </c>
      <c r="E22" s="90">
        <v>150</v>
      </c>
      <c r="F22" s="102">
        <f t="shared" si="2"/>
        <v>1500</v>
      </c>
      <c r="G22" s="14"/>
      <c r="H22" s="14"/>
      <c r="I22" s="20"/>
      <c r="J22" s="20"/>
      <c r="K22" s="20"/>
      <c r="L22" s="17"/>
      <c r="M22" s="185">
        <f t="shared" si="1"/>
        <v>1500</v>
      </c>
      <c r="N22" s="19"/>
      <c r="O22" s="17"/>
    </row>
    <row r="23" spans="1:15" x14ac:dyDescent="0.3">
      <c r="A23" s="132"/>
      <c r="B23" s="13" t="s">
        <v>125</v>
      </c>
      <c r="C23" s="7">
        <v>3</v>
      </c>
      <c r="D23" s="7" t="s">
        <v>146</v>
      </c>
      <c r="E23" s="90">
        <v>5000</v>
      </c>
      <c r="F23" s="102">
        <f t="shared" si="2"/>
        <v>15000</v>
      </c>
      <c r="G23" s="14"/>
      <c r="H23" s="14"/>
      <c r="I23" s="20"/>
      <c r="J23" s="20"/>
      <c r="K23" s="20"/>
      <c r="L23" s="17"/>
      <c r="M23" s="185">
        <f t="shared" si="1"/>
        <v>15000</v>
      </c>
      <c r="N23" s="19"/>
      <c r="O23" s="17"/>
    </row>
    <row r="24" spans="1:15" x14ac:dyDescent="0.3">
      <c r="A24" s="132"/>
      <c r="B24" s="13" t="s">
        <v>126</v>
      </c>
      <c r="C24" s="7">
        <v>70</v>
      </c>
      <c r="D24" s="7" t="s">
        <v>53</v>
      </c>
      <c r="E24" s="90">
        <v>40</v>
      </c>
      <c r="F24" s="102">
        <f t="shared" si="2"/>
        <v>2800</v>
      </c>
      <c r="G24" s="14"/>
      <c r="H24" s="14"/>
      <c r="I24" s="20"/>
      <c r="J24" s="20"/>
      <c r="K24" s="20"/>
      <c r="L24" s="17"/>
      <c r="M24" s="185">
        <f t="shared" si="1"/>
        <v>2800</v>
      </c>
      <c r="N24" s="19"/>
      <c r="O24" s="17"/>
    </row>
    <row r="25" spans="1:15" x14ac:dyDescent="0.3">
      <c r="A25" s="132"/>
      <c r="B25" s="13" t="s">
        <v>127</v>
      </c>
      <c r="C25" s="7">
        <v>9</v>
      </c>
      <c r="D25" s="7" t="s">
        <v>146</v>
      </c>
      <c r="E25" s="90">
        <v>300</v>
      </c>
      <c r="F25" s="102">
        <f t="shared" si="2"/>
        <v>2700</v>
      </c>
      <c r="G25" s="14"/>
      <c r="H25" s="14"/>
      <c r="I25" s="20"/>
      <c r="J25" s="20"/>
      <c r="K25" s="20"/>
      <c r="L25" s="17"/>
      <c r="M25" s="185">
        <f t="shared" si="1"/>
        <v>2700</v>
      </c>
      <c r="N25" s="19"/>
      <c r="O25" s="17"/>
    </row>
    <row r="26" spans="1:15" x14ac:dyDescent="0.3">
      <c r="A26" s="132"/>
      <c r="B26" s="13" t="s">
        <v>128</v>
      </c>
      <c r="C26" s="7">
        <v>5</v>
      </c>
      <c r="D26" s="7" t="s">
        <v>146</v>
      </c>
      <c r="E26" s="90">
        <v>1000</v>
      </c>
      <c r="F26" s="102">
        <f t="shared" si="2"/>
        <v>5000</v>
      </c>
      <c r="G26" s="14"/>
      <c r="H26" s="14"/>
      <c r="I26" s="20"/>
      <c r="J26" s="20"/>
      <c r="K26" s="20"/>
      <c r="L26" s="17"/>
      <c r="M26" s="185">
        <f t="shared" si="1"/>
        <v>5000</v>
      </c>
      <c r="N26" s="19"/>
      <c r="O26" s="17"/>
    </row>
    <row r="27" spans="1:15" x14ac:dyDescent="0.3">
      <c r="A27" s="132"/>
      <c r="B27" s="13" t="s">
        <v>129</v>
      </c>
      <c r="C27" s="7">
        <v>3</v>
      </c>
      <c r="D27" s="7" t="s">
        <v>85</v>
      </c>
      <c r="E27" s="90">
        <v>3000</v>
      </c>
      <c r="F27" s="102">
        <f t="shared" si="2"/>
        <v>9000</v>
      </c>
      <c r="G27" s="14"/>
      <c r="H27" s="14"/>
      <c r="I27" s="20"/>
      <c r="J27" s="20"/>
      <c r="K27" s="20"/>
      <c r="L27" s="17"/>
      <c r="M27" s="185">
        <f t="shared" si="1"/>
        <v>9000</v>
      </c>
      <c r="N27" s="19"/>
      <c r="O27" s="17"/>
    </row>
    <row r="28" spans="1:15" x14ac:dyDescent="0.3">
      <c r="A28" s="132"/>
      <c r="B28" s="13" t="s">
        <v>130</v>
      </c>
      <c r="C28" s="7">
        <v>5</v>
      </c>
      <c r="D28" s="7" t="s">
        <v>146</v>
      </c>
      <c r="E28" s="90">
        <v>2000</v>
      </c>
      <c r="F28" s="102">
        <f t="shared" si="2"/>
        <v>10000</v>
      </c>
      <c r="G28" s="14"/>
      <c r="H28" s="14"/>
      <c r="I28" s="20"/>
      <c r="J28" s="20"/>
      <c r="K28" s="20"/>
      <c r="L28" s="17"/>
      <c r="M28" s="185">
        <f t="shared" si="1"/>
        <v>10000</v>
      </c>
      <c r="N28" s="19"/>
      <c r="O28" s="17"/>
    </row>
    <row r="29" spans="1:15" x14ac:dyDescent="0.3">
      <c r="A29" s="132"/>
      <c r="B29" s="13" t="s">
        <v>131</v>
      </c>
      <c r="C29" s="7">
        <v>8</v>
      </c>
      <c r="D29" s="7" t="s">
        <v>85</v>
      </c>
      <c r="E29" s="90"/>
      <c r="F29" s="102">
        <f t="shared" si="2"/>
        <v>0</v>
      </c>
      <c r="G29" s="14"/>
      <c r="H29" s="14"/>
      <c r="I29" s="20"/>
      <c r="J29" s="20"/>
      <c r="K29" s="20"/>
      <c r="L29" s="17"/>
      <c r="M29" s="185">
        <f t="shared" si="1"/>
        <v>0</v>
      </c>
      <c r="N29" s="19"/>
      <c r="O29" s="17"/>
    </row>
    <row r="30" spans="1:15" x14ac:dyDescent="0.3">
      <c r="A30" s="132"/>
      <c r="B30" s="13" t="s">
        <v>167</v>
      </c>
      <c r="C30" s="7">
        <v>30</v>
      </c>
      <c r="D30" s="7" t="s">
        <v>193</v>
      </c>
      <c r="E30" s="91">
        <v>60</v>
      </c>
      <c r="F30" s="102">
        <f t="shared" si="2"/>
        <v>1800</v>
      </c>
      <c r="G30" s="14"/>
      <c r="H30" s="14"/>
      <c r="I30" s="20"/>
      <c r="J30" s="20"/>
      <c r="K30" s="20"/>
      <c r="L30" s="17"/>
      <c r="M30" s="185">
        <f t="shared" si="1"/>
        <v>1800</v>
      </c>
      <c r="N30" s="19"/>
      <c r="O30" s="17"/>
    </row>
    <row r="31" spans="1:15" x14ac:dyDescent="0.3">
      <c r="A31" s="132"/>
      <c r="B31" s="13" t="s">
        <v>168</v>
      </c>
      <c r="C31" s="7">
        <v>30</v>
      </c>
      <c r="D31" s="7" t="s">
        <v>264</v>
      </c>
      <c r="E31" s="91">
        <v>45</v>
      </c>
      <c r="F31" s="102">
        <f t="shared" si="2"/>
        <v>1350</v>
      </c>
      <c r="G31" s="14"/>
      <c r="H31" s="14"/>
      <c r="I31" s="20"/>
      <c r="J31" s="20"/>
      <c r="K31" s="20"/>
      <c r="L31" s="17"/>
      <c r="M31" s="185">
        <f t="shared" si="1"/>
        <v>1350</v>
      </c>
      <c r="N31" s="19"/>
      <c r="O31" s="17"/>
    </row>
    <row r="32" spans="1:15" x14ac:dyDescent="0.3">
      <c r="A32" s="132"/>
      <c r="B32" s="13" t="s">
        <v>169</v>
      </c>
      <c r="C32" s="7">
        <v>15</v>
      </c>
      <c r="D32" s="7" t="s">
        <v>85</v>
      </c>
      <c r="E32" s="91">
        <v>100</v>
      </c>
      <c r="F32" s="102">
        <f t="shared" si="2"/>
        <v>1500</v>
      </c>
      <c r="G32" s="14"/>
      <c r="H32" s="14"/>
      <c r="I32" s="20"/>
      <c r="J32" s="20"/>
      <c r="K32" s="20"/>
      <c r="L32" s="17"/>
      <c r="M32" s="185">
        <f t="shared" si="1"/>
        <v>1500</v>
      </c>
      <c r="N32" s="19"/>
      <c r="O32" s="17"/>
    </row>
    <row r="33" spans="1:15" x14ac:dyDescent="0.3">
      <c r="A33" s="132"/>
      <c r="B33" s="13" t="s">
        <v>695</v>
      </c>
      <c r="C33" s="7">
        <v>8</v>
      </c>
      <c r="D33" s="7" t="s">
        <v>190</v>
      </c>
      <c r="E33" s="91">
        <v>150</v>
      </c>
      <c r="F33" s="102">
        <f t="shared" si="2"/>
        <v>1200</v>
      </c>
      <c r="G33" s="14"/>
      <c r="H33" s="14"/>
      <c r="I33" s="20"/>
      <c r="J33" s="20"/>
      <c r="K33" s="20"/>
      <c r="L33" s="17"/>
      <c r="M33" s="185">
        <f t="shared" si="1"/>
        <v>1200</v>
      </c>
      <c r="N33" s="19"/>
      <c r="O33" s="17"/>
    </row>
    <row r="34" spans="1:15" x14ac:dyDescent="0.3">
      <c r="A34" s="132"/>
      <c r="B34" s="13" t="s">
        <v>170</v>
      </c>
      <c r="C34" s="7">
        <v>8</v>
      </c>
      <c r="D34" s="7" t="s">
        <v>190</v>
      </c>
      <c r="E34" s="91">
        <v>135</v>
      </c>
      <c r="F34" s="102">
        <f t="shared" si="2"/>
        <v>1080</v>
      </c>
      <c r="G34" s="14"/>
      <c r="H34" s="14"/>
      <c r="I34" s="20"/>
      <c r="J34" s="20"/>
      <c r="K34" s="20"/>
      <c r="L34" s="17"/>
      <c r="M34" s="185">
        <f t="shared" si="1"/>
        <v>1080</v>
      </c>
      <c r="N34" s="19"/>
      <c r="O34" s="17"/>
    </row>
    <row r="35" spans="1:15" x14ac:dyDescent="0.3">
      <c r="A35" s="132"/>
      <c r="B35" s="13" t="s">
        <v>171</v>
      </c>
      <c r="C35" s="7">
        <v>3</v>
      </c>
      <c r="D35" s="7" t="s">
        <v>354</v>
      </c>
      <c r="E35" s="91">
        <v>240</v>
      </c>
      <c r="F35" s="102">
        <f t="shared" si="2"/>
        <v>720</v>
      </c>
      <c r="G35" s="14"/>
      <c r="H35" s="14"/>
      <c r="I35" s="20"/>
      <c r="J35" s="20"/>
      <c r="K35" s="20"/>
      <c r="L35" s="17"/>
      <c r="M35" s="185">
        <f t="shared" si="1"/>
        <v>720</v>
      </c>
      <c r="N35" s="19"/>
      <c r="O35" s="17"/>
    </row>
    <row r="36" spans="1:15" x14ac:dyDescent="0.3">
      <c r="A36" s="132"/>
      <c r="B36" s="13" t="s">
        <v>172</v>
      </c>
      <c r="C36" s="7">
        <v>15</v>
      </c>
      <c r="D36" s="7" t="s">
        <v>86</v>
      </c>
      <c r="E36" s="91">
        <v>75</v>
      </c>
      <c r="F36" s="102">
        <f t="shared" si="2"/>
        <v>1125</v>
      </c>
      <c r="G36" s="14"/>
      <c r="H36" s="14"/>
      <c r="I36" s="20"/>
      <c r="J36" s="20"/>
      <c r="K36" s="20"/>
      <c r="L36" s="17"/>
      <c r="M36" s="185">
        <f t="shared" si="1"/>
        <v>1125</v>
      </c>
      <c r="N36" s="19"/>
      <c r="O36" s="17"/>
    </row>
    <row r="37" spans="1:15" x14ac:dyDescent="0.3">
      <c r="A37" s="132"/>
      <c r="B37" s="13" t="s">
        <v>696</v>
      </c>
      <c r="C37" s="7">
        <v>10</v>
      </c>
      <c r="D37" s="7" t="s">
        <v>53</v>
      </c>
      <c r="E37" s="91">
        <v>35</v>
      </c>
      <c r="F37" s="102">
        <f t="shared" si="2"/>
        <v>350</v>
      </c>
      <c r="G37" s="14"/>
      <c r="H37" s="14"/>
      <c r="I37" s="20"/>
      <c r="J37" s="20"/>
      <c r="K37" s="20"/>
      <c r="L37" s="17"/>
      <c r="M37" s="185">
        <f t="shared" si="1"/>
        <v>350</v>
      </c>
      <c r="N37" s="19"/>
      <c r="O37" s="17"/>
    </row>
    <row r="38" spans="1:15" x14ac:dyDescent="0.3">
      <c r="A38" s="132"/>
      <c r="B38" s="13" t="s">
        <v>173</v>
      </c>
      <c r="C38" s="7">
        <v>6</v>
      </c>
      <c r="D38" s="7" t="s">
        <v>86</v>
      </c>
      <c r="E38" s="91">
        <v>90</v>
      </c>
      <c r="F38" s="102">
        <f t="shared" si="2"/>
        <v>540</v>
      </c>
      <c r="G38" s="14"/>
      <c r="H38" s="14"/>
      <c r="I38" s="20"/>
      <c r="J38" s="20"/>
      <c r="K38" s="20"/>
      <c r="L38" s="17"/>
      <c r="M38" s="185">
        <f t="shared" si="1"/>
        <v>540</v>
      </c>
      <c r="N38" s="19"/>
      <c r="O38" s="17"/>
    </row>
    <row r="39" spans="1:15" x14ac:dyDescent="0.3">
      <c r="A39" s="132"/>
      <c r="B39" s="13" t="s">
        <v>174</v>
      </c>
      <c r="C39" s="7"/>
      <c r="D39" s="7"/>
      <c r="E39" s="91"/>
      <c r="F39" s="102">
        <f t="shared" si="2"/>
        <v>0</v>
      </c>
      <c r="G39" s="14"/>
      <c r="H39" s="14"/>
      <c r="I39" s="20"/>
      <c r="J39" s="20"/>
      <c r="K39" s="20"/>
      <c r="L39" s="17"/>
      <c r="M39" s="185">
        <f t="shared" si="1"/>
        <v>0</v>
      </c>
      <c r="N39" s="19"/>
      <c r="O39" s="17"/>
    </row>
    <row r="40" spans="1:15" x14ac:dyDescent="0.3">
      <c r="A40" s="132"/>
      <c r="B40" s="13" t="s">
        <v>175</v>
      </c>
      <c r="C40" s="7"/>
      <c r="D40" s="7"/>
      <c r="E40" s="91"/>
      <c r="F40" s="102">
        <f t="shared" si="2"/>
        <v>0</v>
      </c>
      <c r="G40" s="14"/>
      <c r="H40" s="14"/>
      <c r="I40" s="20"/>
      <c r="J40" s="20"/>
      <c r="K40" s="20"/>
      <c r="L40" s="17"/>
      <c r="M40" s="185">
        <f t="shared" si="1"/>
        <v>0</v>
      </c>
      <c r="N40" s="19"/>
      <c r="O40" s="17"/>
    </row>
    <row r="41" spans="1:15" x14ac:dyDescent="0.3">
      <c r="A41" s="132"/>
      <c r="B41" s="13" t="s">
        <v>176</v>
      </c>
      <c r="C41" s="7"/>
      <c r="D41" s="7"/>
      <c r="E41" s="91"/>
      <c r="F41" s="102">
        <f t="shared" si="2"/>
        <v>0</v>
      </c>
      <c r="G41" s="14"/>
      <c r="H41" s="14"/>
      <c r="I41" s="20"/>
      <c r="J41" s="20"/>
      <c r="K41" s="20"/>
      <c r="L41" s="17"/>
      <c r="M41" s="185">
        <f t="shared" si="1"/>
        <v>0</v>
      </c>
      <c r="N41" s="19"/>
      <c r="O41" s="17"/>
    </row>
    <row r="42" spans="1:15" x14ac:dyDescent="0.3">
      <c r="A42" s="132"/>
      <c r="B42" s="13" t="s">
        <v>697</v>
      </c>
      <c r="C42" s="7"/>
      <c r="D42" s="7"/>
      <c r="E42" s="91"/>
      <c r="F42" s="102">
        <f t="shared" si="2"/>
        <v>0</v>
      </c>
      <c r="G42" s="14"/>
      <c r="H42" s="14"/>
      <c r="I42" s="20"/>
      <c r="J42" s="20"/>
      <c r="K42" s="20"/>
      <c r="L42" s="17"/>
      <c r="M42" s="185">
        <f t="shared" si="1"/>
        <v>0</v>
      </c>
      <c r="N42" s="19"/>
      <c r="O42" s="17"/>
    </row>
    <row r="43" spans="1:15" x14ac:dyDescent="0.3">
      <c r="A43" s="132"/>
      <c r="B43" s="13" t="s">
        <v>177</v>
      </c>
      <c r="C43" s="7">
        <v>12</v>
      </c>
      <c r="D43" s="7" t="s">
        <v>53</v>
      </c>
      <c r="E43" s="91">
        <v>199</v>
      </c>
      <c r="F43" s="102">
        <f>M43</f>
        <v>2404.5</v>
      </c>
      <c r="G43" s="14"/>
      <c r="H43" s="14"/>
      <c r="I43" s="20"/>
      <c r="J43" s="20"/>
      <c r="K43" s="20"/>
      <c r="L43" s="17"/>
      <c r="M43" s="185">
        <v>2404.5</v>
      </c>
      <c r="N43" s="19"/>
      <c r="O43" s="17"/>
    </row>
    <row r="44" spans="1:15" x14ac:dyDescent="0.3">
      <c r="A44" s="132"/>
      <c r="B44" s="13" t="s">
        <v>178</v>
      </c>
      <c r="C44" s="7"/>
      <c r="D44" s="7"/>
      <c r="E44" s="91"/>
      <c r="F44" s="102">
        <f t="shared" si="2"/>
        <v>0</v>
      </c>
      <c r="G44" s="14"/>
      <c r="H44" s="14"/>
      <c r="I44" s="20"/>
      <c r="J44" s="20"/>
      <c r="K44" s="20"/>
      <c r="L44" s="17"/>
      <c r="M44" s="185">
        <f t="shared" si="1"/>
        <v>0</v>
      </c>
      <c r="N44" s="19"/>
      <c r="O44" s="17"/>
    </row>
    <row r="45" spans="1:15" x14ac:dyDescent="0.3">
      <c r="A45" s="132"/>
      <c r="B45" s="23" t="s">
        <v>179</v>
      </c>
      <c r="C45" s="7">
        <v>3</v>
      </c>
      <c r="D45" s="7" t="s">
        <v>85</v>
      </c>
      <c r="E45" s="91">
        <v>200</v>
      </c>
      <c r="F45" s="102">
        <f t="shared" si="2"/>
        <v>600</v>
      </c>
      <c r="G45" s="14"/>
      <c r="H45" s="14"/>
      <c r="I45" s="20"/>
      <c r="J45" s="20"/>
      <c r="K45" s="20"/>
      <c r="L45" s="17"/>
      <c r="M45" s="185">
        <f t="shared" si="1"/>
        <v>600</v>
      </c>
      <c r="N45" s="19"/>
      <c r="O45" s="17"/>
    </row>
    <row r="46" spans="1:15" x14ac:dyDescent="0.3">
      <c r="A46" s="132"/>
      <c r="B46" s="23" t="s">
        <v>180</v>
      </c>
      <c r="C46" s="7">
        <v>5</v>
      </c>
      <c r="D46" s="7" t="s">
        <v>53</v>
      </c>
      <c r="E46" s="91">
        <v>100</v>
      </c>
      <c r="F46" s="102">
        <f t="shared" si="2"/>
        <v>500</v>
      </c>
      <c r="G46" s="14"/>
      <c r="H46" s="14"/>
      <c r="I46" s="20"/>
      <c r="J46" s="20"/>
      <c r="K46" s="20"/>
      <c r="L46" s="17"/>
      <c r="M46" s="185">
        <f t="shared" si="1"/>
        <v>500</v>
      </c>
      <c r="N46" s="19"/>
      <c r="O46" s="17"/>
    </row>
    <row r="47" spans="1:15" x14ac:dyDescent="0.3">
      <c r="A47" s="132"/>
      <c r="B47" s="23" t="s">
        <v>187</v>
      </c>
      <c r="C47" s="7">
        <v>10</v>
      </c>
      <c r="D47" s="7" t="s">
        <v>53</v>
      </c>
      <c r="E47" s="91">
        <v>40</v>
      </c>
      <c r="F47" s="102">
        <f t="shared" si="2"/>
        <v>400</v>
      </c>
      <c r="G47" s="14"/>
      <c r="H47" s="14"/>
      <c r="I47" s="20"/>
      <c r="J47" s="20"/>
      <c r="K47" s="20"/>
      <c r="L47" s="17"/>
      <c r="M47" s="185">
        <f t="shared" si="1"/>
        <v>400</v>
      </c>
      <c r="N47" s="19"/>
      <c r="O47" s="17"/>
    </row>
    <row r="48" spans="1:15" x14ac:dyDescent="0.3">
      <c r="A48" s="132"/>
      <c r="B48" s="23" t="s">
        <v>181</v>
      </c>
      <c r="C48" s="7">
        <v>1</v>
      </c>
      <c r="D48" s="7" t="s">
        <v>195</v>
      </c>
      <c r="E48" s="91">
        <v>350</v>
      </c>
      <c r="F48" s="102">
        <f t="shared" si="2"/>
        <v>350</v>
      </c>
      <c r="G48" s="14"/>
      <c r="H48" s="14"/>
      <c r="I48" s="20"/>
      <c r="J48" s="20"/>
      <c r="K48" s="20"/>
      <c r="L48" s="17"/>
      <c r="M48" s="185">
        <f t="shared" si="1"/>
        <v>350</v>
      </c>
      <c r="N48" s="19"/>
      <c r="O48" s="17"/>
    </row>
    <row r="49" spans="1:16" x14ac:dyDescent="0.3">
      <c r="A49" s="132"/>
      <c r="B49" s="23" t="s">
        <v>182</v>
      </c>
      <c r="C49" s="7">
        <v>31</v>
      </c>
      <c r="D49" s="7" t="s">
        <v>196</v>
      </c>
      <c r="E49" s="91">
        <v>118</v>
      </c>
      <c r="F49" s="102">
        <f t="shared" si="2"/>
        <v>3658</v>
      </c>
      <c r="G49" s="14"/>
      <c r="H49" s="14"/>
      <c r="I49" s="20"/>
      <c r="J49" s="20"/>
      <c r="K49" s="20"/>
      <c r="L49" s="17"/>
      <c r="M49" s="185">
        <f t="shared" si="1"/>
        <v>3658</v>
      </c>
      <c r="N49" s="19"/>
      <c r="O49" s="17"/>
    </row>
    <row r="50" spans="1:16" x14ac:dyDescent="0.3">
      <c r="A50" s="132"/>
      <c r="B50" s="23" t="s">
        <v>183</v>
      </c>
      <c r="C50" s="7"/>
      <c r="D50" s="7"/>
      <c r="E50" s="91"/>
      <c r="F50" s="102">
        <f t="shared" si="2"/>
        <v>0</v>
      </c>
      <c r="G50" s="14"/>
      <c r="H50" s="14"/>
      <c r="I50" s="20"/>
      <c r="J50" s="20"/>
      <c r="K50" s="20"/>
      <c r="L50" s="17"/>
      <c r="M50" s="185">
        <f t="shared" si="1"/>
        <v>0</v>
      </c>
      <c r="N50" s="19"/>
      <c r="O50" s="17"/>
    </row>
    <row r="51" spans="1:16" x14ac:dyDescent="0.3">
      <c r="A51" s="132"/>
      <c r="B51" s="23" t="s">
        <v>184</v>
      </c>
      <c r="C51" s="7">
        <v>15</v>
      </c>
      <c r="D51" s="7" t="s">
        <v>53</v>
      </c>
      <c r="E51" s="91">
        <v>50</v>
      </c>
      <c r="F51" s="102">
        <f t="shared" si="2"/>
        <v>750</v>
      </c>
      <c r="G51" s="14"/>
      <c r="H51" s="14"/>
      <c r="I51" s="20"/>
      <c r="J51" s="20"/>
      <c r="K51" s="20"/>
      <c r="L51" s="17"/>
      <c r="M51" s="185">
        <f t="shared" si="1"/>
        <v>750</v>
      </c>
      <c r="N51" s="19"/>
      <c r="O51" s="17"/>
    </row>
    <row r="52" spans="1:16" x14ac:dyDescent="0.3">
      <c r="A52" s="132"/>
      <c r="B52" s="23" t="s">
        <v>188</v>
      </c>
      <c r="C52" s="7">
        <v>5</v>
      </c>
      <c r="D52" s="7" t="s">
        <v>53</v>
      </c>
      <c r="E52" s="91">
        <v>85</v>
      </c>
      <c r="F52" s="102">
        <f t="shared" si="2"/>
        <v>425</v>
      </c>
      <c r="G52" s="14"/>
      <c r="H52" s="14"/>
      <c r="I52" s="20"/>
      <c r="J52" s="20"/>
      <c r="K52" s="20"/>
      <c r="L52" s="17"/>
      <c r="M52" s="185">
        <f t="shared" si="1"/>
        <v>425</v>
      </c>
      <c r="N52" s="19"/>
      <c r="O52" s="17"/>
    </row>
    <row r="53" spans="1:16" x14ac:dyDescent="0.3">
      <c r="A53" s="132"/>
      <c r="B53" s="23" t="s">
        <v>698</v>
      </c>
      <c r="C53" s="7">
        <v>5</v>
      </c>
      <c r="D53" s="7" t="s">
        <v>197</v>
      </c>
      <c r="E53" s="91">
        <v>700</v>
      </c>
      <c r="F53" s="102">
        <f t="shared" si="2"/>
        <v>3500</v>
      </c>
      <c r="G53" s="14"/>
      <c r="H53" s="14"/>
      <c r="I53" s="20"/>
      <c r="J53" s="20"/>
      <c r="K53" s="20"/>
      <c r="L53" s="17"/>
      <c r="M53" s="185">
        <f t="shared" si="1"/>
        <v>3500</v>
      </c>
      <c r="N53" s="19"/>
      <c r="O53" s="17"/>
    </row>
    <row r="54" spans="1:16" x14ac:dyDescent="0.3">
      <c r="A54" s="132"/>
      <c r="B54" s="23" t="s">
        <v>185</v>
      </c>
      <c r="C54" s="7">
        <v>2</v>
      </c>
      <c r="D54" s="7" t="s">
        <v>198</v>
      </c>
      <c r="E54" s="91">
        <v>90</v>
      </c>
      <c r="F54" s="102">
        <f t="shared" si="2"/>
        <v>180</v>
      </c>
      <c r="G54" s="14"/>
      <c r="H54" s="14"/>
      <c r="I54" s="20"/>
      <c r="J54" s="20"/>
      <c r="K54" s="20"/>
      <c r="L54" s="17"/>
      <c r="M54" s="185">
        <f t="shared" si="1"/>
        <v>180</v>
      </c>
      <c r="N54" s="19"/>
      <c r="O54" s="17"/>
    </row>
    <row r="55" spans="1:16" x14ac:dyDescent="0.3">
      <c r="A55" s="132"/>
      <c r="B55" s="23" t="s">
        <v>699</v>
      </c>
      <c r="C55" s="7">
        <v>5</v>
      </c>
      <c r="D55" s="7" t="s">
        <v>53</v>
      </c>
      <c r="E55" s="91">
        <v>2600</v>
      </c>
      <c r="F55" s="102">
        <f t="shared" si="2"/>
        <v>13000</v>
      </c>
      <c r="G55" s="14"/>
      <c r="H55" s="14"/>
      <c r="I55" s="20"/>
      <c r="J55" s="20"/>
      <c r="K55" s="20"/>
      <c r="L55" s="17"/>
      <c r="M55" s="185">
        <f t="shared" si="1"/>
        <v>13000</v>
      </c>
      <c r="N55" s="19"/>
      <c r="O55" s="17"/>
    </row>
    <row r="56" spans="1:16" x14ac:dyDescent="0.3">
      <c r="A56" s="132"/>
      <c r="B56" s="23" t="s">
        <v>186</v>
      </c>
      <c r="C56" s="7">
        <v>40</v>
      </c>
      <c r="D56" s="7" t="s">
        <v>700</v>
      </c>
      <c r="E56" s="91">
        <v>50</v>
      </c>
      <c r="F56" s="102">
        <f t="shared" si="2"/>
        <v>2000</v>
      </c>
      <c r="G56" s="14"/>
      <c r="H56" s="14"/>
      <c r="I56" s="20"/>
      <c r="J56" s="20"/>
      <c r="K56" s="20"/>
      <c r="L56" s="17"/>
      <c r="M56" s="185">
        <f t="shared" si="1"/>
        <v>2000</v>
      </c>
      <c r="N56" s="19"/>
      <c r="O56" s="17"/>
    </row>
    <row r="57" spans="1:16" ht="15.6" x14ac:dyDescent="0.3">
      <c r="A57" s="13"/>
      <c r="B57" s="23"/>
      <c r="C57" s="218"/>
      <c r="D57" s="218"/>
      <c r="E57" s="100"/>
      <c r="F57" s="101">
        <f>M57</f>
        <v>150882.5</v>
      </c>
      <c r="G57" s="7"/>
      <c r="H57" s="7"/>
      <c r="I57" s="7"/>
      <c r="J57" s="7"/>
      <c r="K57" s="194" t="s">
        <v>43</v>
      </c>
      <c r="L57" s="195"/>
      <c r="M57" s="148">
        <f>SUM(M11:M56)</f>
        <v>150882.5</v>
      </c>
      <c r="N57" s="13"/>
      <c r="O57" s="7"/>
      <c r="P57" s="145"/>
    </row>
    <row r="58" spans="1:16" x14ac:dyDescent="0.3">
      <c r="A58" s="155" t="s">
        <v>44</v>
      </c>
      <c r="B58" s="26"/>
      <c r="C58" s="11"/>
      <c r="D58" s="219" t="s">
        <v>726</v>
      </c>
      <c r="E58" s="219"/>
      <c r="F58" s="219"/>
      <c r="G58" s="219"/>
      <c r="H58" s="219"/>
      <c r="I58" s="219"/>
      <c r="J58" s="141"/>
      <c r="K58" s="26"/>
      <c r="L58" s="3"/>
      <c r="M58" s="186" t="s">
        <v>45</v>
      </c>
      <c r="N58" s="186"/>
      <c r="O58" s="27"/>
    </row>
    <row r="59" spans="1:16" x14ac:dyDescent="0.3">
      <c r="A59" s="3"/>
      <c r="B59" s="2"/>
      <c r="C59" s="3"/>
      <c r="D59" s="3"/>
      <c r="E59" s="3"/>
      <c r="F59" s="67"/>
      <c r="G59" s="2"/>
      <c r="H59" s="11"/>
      <c r="I59" s="11"/>
      <c r="J59" s="11"/>
      <c r="K59" s="2"/>
      <c r="L59" s="2"/>
      <c r="M59" s="28"/>
      <c r="N59" s="2"/>
      <c r="O59" s="27"/>
    </row>
    <row r="60" spans="1:16" ht="38.25" customHeight="1" x14ac:dyDescent="0.3">
      <c r="A60" s="3"/>
      <c r="B60" s="2"/>
      <c r="C60" s="3"/>
      <c r="D60" s="3"/>
      <c r="E60" s="3"/>
      <c r="F60" s="67"/>
      <c r="G60" s="2"/>
      <c r="H60" s="11"/>
      <c r="I60" s="11"/>
      <c r="J60" s="11"/>
      <c r="K60" s="2"/>
      <c r="L60" s="2"/>
      <c r="M60" s="28"/>
      <c r="N60" s="2"/>
      <c r="O60" s="27"/>
    </row>
    <row r="61" spans="1:16" ht="15.75" customHeight="1" x14ac:dyDescent="0.3">
      <c r="A61" s="198" t="s">
        <v>46</v>
      </c>
      <c r="B61" s="198"/>
      <c r="C61" s="29"/>
      <c r="D61" s="29"/>
      <c r="E61" s="187" t="s">
        <v>47</v>
      </c>
      <c r="F61" s="187"/>
      <c r="G61" s="187"/>
      <c r="H61" s="187"/>
      <c r="I61" s="187"/>
      <c r="J61" s="187"/>
      <c r="K61" s="187"/>
      <c r="L61" s="29"/>
      <c r="M61" s="187" t="s">
        <v>727</v>
      </c>
      <c r="N61" s="187"/>
      <c r="O61" s="187"/>
    </row>
    <row r="62" spans="1:16" x14ac:dyDescent="0.3">
      <c r="A62" s="196" t="s">
        <v>48</v>
      </c>
      <c r="B62" s="196"/>
      <c r="C62" s="3"/>
      <c r="D62" s="3"/>
      <c r="E62" s="188" t="s">
        <v>49</v>
      </c>
      <c r="F62" s="188"/>
      <c r="G62" s="188"/>
      <c r="H62" s="188"/>
      <c r="I62" s="188"/>
      <c r="J62" s="188"/>
      <c r="K62" s="188"/>
      <c r="L62" s="3"/>
      <c r="M62" s="188" t="s">
        <v>728</v>
      </c>
      <c r="N62" s="188"/>
      <c r="O62" s="188"/>
    </row>
    <row r="63" spans="1:16" x14ac:dyDescent="0.3">
      <c r="E63" s="32"/>
      <c r="F63" s="32"/>
      <c r="G63" s="32"/>
      <c r="H63" s="11"/>
      <c r="I63" s="11"/>
      <c r="J63" s="11"/>
    </row>
    <row r="64" spans="1:16" x14ac:dyDescent="0.3">
      <c r="E64" s="11"/>
      <c r="F64" s="11"/>
      <c r="G64" s="11"/>
      <c r="H64" s="11"/>
      <c r="I64" s="11"/>
      <c r="J64" s="11"/>
    </row>
    <row r="65" spans="5:10" x14ac:dyDescent="0.3">
      <c r="E65" s="11"/>
      <c r="F65" s="11"/>
      <c r="G65" s="11"/>
      <c r="H65" s="11"/>
      <c r="I65" s="11"/>
      <c r="J65" s="11"/>
    </row>
    <row r="66" spans="5:10" x14ac:dyDescent="0.3">
      <c r="E66" s="11"/>
      <c r="F66" s="11"/>
      <c r="G66" s="11"/>
      <c r="H66" s="11"/>
      <c r="I66" s="11"/>
      <c r="J66" s="11"/>
    </row>
  </sheetData>
  <mergeCells count="23"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  <mergeCell ref="M61:O61"/>
    <mergeCell ref="A62:B62"/>
    <mergeCell ref="M62:O62"/>
    <mergeCell ref="C9:D9"/>
    <mergeCell ref="C10:D10"/>
    <mergeCell ref="C57:D57"/>
    <mergeCell ref="K57:L57"/>
    <mergeCell ref="A61:B61"/>
    <mergeCell ref="D58:I58"/>
    <mergeCell ref="E61:K61"/>
    <mergeCell ref="E62:K62"/>
    <mergeCell ref="M58:N58"/>
  </mergeCells>
  <pageMargins left="0.7" right="0.7" top="0.75" bottom="0.75" header="0.3" footer="0.3"/>
  <pageSetup paperSize="5" fitToHeight="0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5FCF6-F15E-4EB8-8A18-0D41DF960914}">
  <sheetPr>
    <tabColor rgb="FF00B0F0"/>
    <pageSetUpPr fitToPage="1"/>
  </sheetPr>
  <dimension ref="A1:Q64"/>
  <sheetViews>
    <sheetView topLeftCell="A8" workbookViewId="0">
      <selection activeCell="M11" sqref="M11:M58"/>
    </sheetView>
  </sheetViews>
  <sheetFormatPr defaultRowHeight="14.4" x14ac:dyDescent="0.3"/>
  <cols>
    <col min="1" max="1" width="10.6640625" customWidth="1"/>
    <col min="2" max="2" width="24.44140625" customWidth="1"/>
    <col min="3" max="3" width="5.5546875" customWidth="1"/>
    <col min="4" max="4" width="6.5546875" customWidth="1"/>
    <col min="5" max="5" width="8.5546875" hidden="1" customWidth="1"/>
    <col min="6" max="6" width="12.33203125" hidden="1" customWidth="1"/>
    <col min="7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4.33203125" customWidth="1"/>
    <col min="14" max="14" width="13.5546875" customWidth="1"/>
    <col min="15" max="15" width="12.6640625" customWidth="1"/>
    <col min="17" max="17" width="10.109375" bestFit="1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83" t="s">
        <v>11</v>
      </c>
      <c r="B8" s="83" t="s">
        <v>12</v>
      </c>
      <c r="C8" s="222" t="s">
        <v>13</v>
      </c>
      <c r="D8" s="223"/>
      <c r="E8" s="84"/>
      <c r="F8" s="63"/>
      <c r="G8" s="83" t="s">
        <v>14</v>
      </c>
      <c r="H8" s="83" t="s">
        <v>15</v>
      </c>
      <c r="I8" s="83" t="s">
        <v>16</v>
      </c>
      <c r="J8" s="83" t="s">
        <v>17</v>
      </c>
      <c r="K8" s="83" t="s">
        <v>18</v>
      </c>
      <c r="L8" s="83" t="s">
        <v>19</v>
      </c>
      <c r="M8" s="83" t="s">
        <v>20</v>
      </c>
      <c r="N8" s="221"/>
      <c r="O8" s="220"/>
    </row>
    <row r="9" spans="1:15" ht="35.25" customHeight="1" x14ac:dyDescent="0.3">
      <c r="A9" s="4" t="s">
        <v>21</v>
      </c>
      <c r="B9" s="4" t="s">
        <v>22</v>
      </c>
      <c r="C9" s="214" t="s">
        <v>23</v>
      </c>
      <c r="D9" s="215"/>
      <c r="E9" s="85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69.75" customHeight="1" x14ac:dyDescent="0.3">
      <c r="A10" s="5" t="s">
        <v>88</v>
      </c>
      <c r="B10" s="6" t="s">
        <v>34</v>
      </c>
      <c r="C10" s="216"/>
      <c r="D10" s="217"/>
      <c r="E10" s="86" t="s">
        <v>55</v>
      </c>
      <c r="F10" s="65" t="s">
        <v>56</v>
      </c>
      <c r="G10" s="7" t="s">
        <v>35</v>
      </c>
      <c r="H10" s="7" t="s">
        <v>36</v>
      </c>
      <c r="I10" s="8"/>
      <c r="J10" s="8"/>
      <c r="K10" s="8"/>
      <c r="L10" s="9" t="s">
        <v>37</v>
      </c>
      <c r="M10" s="10">
        <v>2020115.32</v>
      </c>
      <c r="N10" s="8" t="s">
        <v>38</v>
      </c>
      <c r="O10" s="9" t="s">
        <v>39</v>
      </c>
    </row>
    <row r="11" spans="1:15" x14ac:dyDescent="0.3">
      <c r="A11" s="12"/>
      <c r="B11" s="160" t="s">
        <v>89</v>
      </c>
      <c r="C11" s="7">
        <v>78</v>
      </c>
      <c r="D11" s="7" t="s">
        <v>108</v>
      </c>
      <c r="E11" s="90">
        <v>250</v>
      </c>
      <c r="F11" s="102">
        <f t="shared" ref="F11:F58" si="0">E11*C11</f>
        <v>19500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19500</v>
      </c>
      <c r="N11" s="19"/>
      <c r="O11" s="17"/>
    </row>
    <row r="12" spans="1:15" x14ac:dyDescent="0.3">
      <c r="A12" s="12"/>
      <c r="B12" s="160" t="s">
        <v>90</v>
      </c>
      <c r="C12" s="7">
        <v>60</v>
      </c>
      <c r="D12" s="7" t="s">
        <v>85</v>
      </c>
      <c r="E12" s="90">
        <v>150</v>
      </c>
      <c r="F12" s="102">
        <f t="shared" si="0"/>
        <v>9000</v>
      </c>
      <c r="G12" s="14"/>
      <c r="H12" s="14"/>
      <c r="I12" s="15"/>
      <c r="J12" s="15"/>
      <c r="K12" s="20" t="s">
        <v>731</v>
      </c>
      <c r="L12" s="17"/>
      <c r="M12" s="185">
        <f t="shared" ref="M12:M58" si="1">F12</f>
        <v>9000</v>
      </c>
      <c r="N12" s="19"/>
      <c r="O12" s="17"/>
    </row>
    <row r="13" spans="1:15" x14ac:dyDescent="0.3">
      <c r="A13" s="12"/>
      <c r="B13" s="160" t="s">
        <v>91</v>
      </c>
      <c r="C13" s="7">
        <v>30</v>
      </c>
      <c r="D13" s="7" t="s">
        <v>85</v>
      </c>
      <c r="E13" s="90">
        <v>50</v>
      </c>
      <c r="F13" s="102">
        <f t="shared" si="0"/>
        <v>1500</v>
      </c>
      <c r="G13" s="14"/>
      <c r="H13" s="14"/>
      <c r="I13" s="15"/>
      <c r="J13" s="15"/>
      <c r="K13" s="16"/>
      <c r="L13" s="17"/>
      <c r="M13" s="185">
        <f t="shared" si="1"/>
        <v>1500</v>
      </c>
      <c r="N13" s="19"/>
      <c r="O13" s="17"/>
    </row>
    <row r="14" spans="1:15" x14ac:dyDescent="0.3">
      <c r="A14" s="12"/>
      <c r="B14" s="160" t="s">
        <v>92</v>
      </c>
      <c r="C14" s="7">
        <v>29</v>
      </c>
      <c r="D14" s="7" t="s">
        <v>85</v>
      </c>
      <c r="E14" s="90">
        <v>150.34</v>
      </c>
      <c r="F14" s="102">
        <f>M14</f>
        <v>4299.66</v>
      </c>
      <c r="G14" s="14"/>
      <c r="H14" s="14"/>
      <c r="I14" s="15"/>
      <c r="J14" s="15"/>
      <c r="K14" s="16"/>
      <c r="L14" s="17"/>
      <c r="M14" s="185">
        <v>4299.66</v>
      </c>
      <c r="N14" s="19"/>
      <c r="O14" s="17"/>
    </row>
    <row r="15" spans="1:15" x14ac:dyDescent="0.3">
      <c r="A15" s="12"/>
      <c r="B15" s="160" t="s">
        <v>93</v>
      </c>
      <c r="C15" s="7">
        <v>30</v>
      </c>
      <c r="D15" s="7" t="s">
        <v>85</v>
      </c>
      <c r="E15" s="90">
        <v>70</v>
      </c>
      <c r="F15" s="102">
        <f t="shared" si="0"/>
        <v>2100</v>
      </c>
      <c r="G15" s="14"/>
      <c r="H15" s="14"/>
      <c r="I15" s="15"/>
      <c r="J15" s="15"/>
      <c r="K15" s="20"/>
      <c r="L15" s="17"/>
      <c r="M15" s="185">
        <f t="shared" si="1"/>
        <v>2100</v>
      </c>
      <c r="N15" s="19"/>
      <c r="O15" s="17"/>
    </row>
    <row r="16" spans="1:15" x14ac:dyDescent="0.3">
      <c r="A16" s="12"/>
      <c r="B16" s="160" t="s">
        <v>94</v>
      </c>
      <c r="C16" s="7">
        <v>20</v>
      </c>
      <c r="D16" s="7" t="s">
        <v>109</v>
      </c>
      <c r="E16" s="90">
        <v>350</v>
      </c>
      <c r="F16" s="102">
        <f t="shared" si="0"/>
        <v>7000</v>
      </c>
      <c r="G16" s="14"/>
      <c r="H16" s="14"/>
      <c r="I16" s="20"/>
      <c r="J16" s="20"/>
      <c r="K16" s="20"/>
      <c r="L16" s="17"/>
      <c r="M16" s="185">
        <f t="shared" si="1"/>
        <v>7000</v>
      </c>
      <c r="N16" s="19"/>
      <c r="O16" s="17"/>
    </row>
    <row r="17" spans="1:17" x14ac:dyDescent="0.3">
      <c r="A17" s="12"/>
      <c r="B17" s="160" t="s">
        <v>95</v>
      </c>
      <c r="C17" s="7">
        <v>20</v>
      </c>
      <c r="D17" s="7" t="s">
        <v>109</v>
      </c>
      <c r="E17" s="90">
        <v>650</v>
      </c>
      <c r="F17" s="102">
        <f t="shared" si="0"/>
        <v>13000</v>
      </c>
      <c r="G17" s="14"/>
      <c r="H17" s="14"/>
      <c r="I17" s="20"/>
      <c r="J17" s="20"/>
      <c r="K17" s="20"/>
      <c r="L17" s="17"/>
      <c r="M17" s="185">
        <f t="shared" si="1"/>
        <v>13000</v>
      </c>
      <c r="N17" s="19"/>
      <c r="O17" s="17"/>
      <c r="Q17" s="145"/>
    </row>
    <row r="18" spans="1:17" x14ac:dyDescent="0.3">
      <c r="A18" s="12"/>
      <c r="B18" s="160" t="s">
        <v>96</v>
      </c>
      <c r="C18" s="7">
        <v>30</v>
      </c>
      <c r="D18" s="7" t="s">
        <v>85</v>
      </c>
      <c r="E18" s="90">
        <v>25</v>
      </c>
      <c r="F18" s="102">
        <f t="shared" si="0"/>
        <v>750</v>
      </c>
      <c r="G18" s="14"/>
      <c r="H18" s="14"/>
      <c r="I18" s="20"/>
      <c r="J18" s="20"/>
      <c r="K18" s="20"/>
      <c r="L18" s="17"/>
      <c r="M18" s="185">
        <f t="shared" si="1"/>
        <v>750</v>
      </c>
      <c r="N18" s="19"/>
      <c r="O18" s="17"/>
    </row>
    <row r="19" spans="1:17" x14ac:dyDescent="0.3">
      <c r="A19" s="12"/>
      <c r="B19" s="160" t="s">
        <v>97</v>
      </c>
      <c r="C19" s="7">
        <v>30</v>
      </c>
      <c r="D19" s="7" t="s">
        <v>110</v>
      </c>
      <c r="E19" s="90">
        <v>60</v>
      </c>
      <c r="F19" s="102">
        <f t="shared" si="0"/>
        <v>1800</v>
      </c>
      <c r="G19" s="14"/>
      <c r="H19" s="14"/>
      <c r="I19" s="20"/>
      <c r="J19" s="20"/>
      <c r="K19" s="20"/>
      <c r="L19" s="17"/>
      <c r="M19" s="185">
        <f t="shared" si="1"/>
        <v>1800</v>
      </c>
      <c r="N19" s="19"/>
      <c r="O19" s="17"/>
    </row>
    <row r="20" spans="1:17" x14ac:dyDescent="0.3">
      <c r="A20" s="12"/>
      <c r="B20" s="160" t="s">
        <v>98</v>
      </c>
      <c r="C20" s="7">
        <v>20</v>
      </c>
      <c r="D20" s="7" t="s">
        <v>110</v>
      </c>
      <c r="E20" s="90">
        <v>400</v>
      </c>
      <c r="F20" s="102">
        <f t="shared" si="0"/>
        <v>8000</v>
      </c>
      <c r="G20" s="14"/>
      <c r="H20" s="14"/>
      <c r="I20" s="20"/>
      <c r="J20" s="20"/>
      <c r="K20" s="20"/>
      <c r="L20" s="17"/>
      <c r="M20" s="185">
        <f t="shared" si="1"/>
        <v>8000</v>
      </c>
      <c r="N20" s="19"/>
      <c r="O20" s="17"/>
    </row>
    <row r="21" spans="1:17" x14ac:dyDescent="0.3">
      <c r="A21" s="12"/>
      <c r="B21" s="160" t="s">
        <v>99</v>
      </c>
      <c r="C21" s="7">
        <v>50</v>
      </c>
      <c r="D21" s="7" t="s">
        <v>111</v>
      </c>
      <c r="E21" s="90">
        <v>195</v>
      </c>
      <c r="F21" s="102">
        <f t="shared" si="0"/>
        <v>9750</v>
      </c>
      <c r="G21" s="14"/>
      <c r="H21" s="14"/>
      <c r="I21" s="20"/>
      <c r="J21" s="20"/>
      <c r="K21" s="20"/>
      <c r="L21" s="17"/>
      <c r="M21" s="185">
        <f t="shared" si="1"/>
        <v>9750</v>
      </c>
      <c r="N21" s="19"/>
      <c r="O21" s="17"/>
    </row>
    <row r="22" spans="1:17" x14ac:dyDescent="0.3">
      <c r="A22" s="12"/>
      <c r="B22" s="160" t="s">
        <v>100</v>
      </c>
      <c r="C22" s="7">
        <v>50</v>
      </c>
      <c r="D22" s="7" t="s">
        <v>85</v>
      </c>
      <c r="E22" s="90">
        <v>300</v>
      </c>
      <c r="F22" s="102">
        <f t="shared" si="0"/>
        <v>15000</v>
      </c>
      <c r="G22" s="14"/>
      <c r="H22" s="14"/>
      <c r="I22" s="20"/>
      <c r="J22" s="20"/>
      <c r="K22" s="20"/>
      <c r="L22" s="17"/>
      <c r="M22" s="185">
        <f t="shared" si="1"/>
        <v>15000</v>
      </c>
      <c r="N22" s="19"/>
      <c r="O22" s="17"/>
    </row>
    <row r="23" spans="1:17" x14ac:dyDescent="0.3">
      <c r="A23" s="12"/>
      <c r="B23" s="160" t="s">
        <v>101</v>
      </c>
      <c r="C23" s="7">
        <v>20</v>
      </c>
      <c r="D23" s="7" t="s">
        <v>85</v>
      </c>
      <c r="E23" s="90">
        <v>7000</v>
      </c>
      <c r="F23" s="102">
        <f t="shared" si="0"/>
        <v>140000</v>
      </c>
      <c r="G23" s="14"/>
      <c r="H23" s="14"/>
      <c r="I23" s="20"/>
      <c r="J23" s="20"/>
      <c r="K23" s="20"/>
      <c r="L23" s="17"/>
      <c r="M23" s="185">
        <f t="shared" si="1"/>
        <v>140000</v>
      </c>
      <c r="N23" s="19"/>
      <c r="O23" s="17"/>
    </row>
    <row r="24" spans="1:17" x14ac:dyDescent="0.3">
      <c r="A24" s="12"/>
      <c r="B24" s="160" t="s">
        <v>102</v>
      </c>
      <c r="C24" s="7">
        <v>10</v>
      </c>
      <c r="D24" s="7" t="s">
        <v>85</v>
      </c>
      <c r="E24" s="91">
        <v>500</v>
      </c>
      <c r="F24" s="103">
        <f t="shared" si="0"/>
        <v>5000</v>
      </c>
      <c r="G24" s="14"/>
      <c r="H24" s="14"/>
      <c r="I24" s="20"/>
      <c r="J24" s="20"/>
      <c r="K24" s="20"/>
      <c r="L24" s="17"/>
      <c r="M24" s="185">
        <f t="shared" si="1"/>
        <v>5000</v>
      </c>
      <c r="N24" s="19"/>
      <c r="O24" s="17"/>
    </row>
    <row r="25" spans="1:17" x14ac:dyDescent="0.3">
      <c r="A25" s="12"/>
      <c r="B25" s="160" t="s">
        <v>103</v>
      </c>
      <c r="C25" s="7">
        <v>10</v>
      </c>
      <c r="D25" s="7" t="s">
        <v>85</v>
      </c>
      <c r="E25" s="91">
        <v>700</v>
      </c>
      <c r="F25" s="103">
        <f t="shared" si="0"/>
        <v>7000</v>
      </c>
      <c r="G25" s="14"/>
      <c r="H25" s="14"/>
      <c r="I25" s="20"/>
      <c r="J25" s="20"/>
      <c r="K25" s="20"/>
      <c r="L25" s="17"/>
      <c r="M25" s="185">
        <f t="shared" si="1"/>
        <v>7000</v>
      </c>
      <c r="N25" s="19"/>
      <c r="O25" s="17"/>
    </row>
    <row r="26" spans="1:17" x14ac:dyDescent="0.3">
      <c r="A26" s="12"/>
      <c r="B26" s="160" t="s">
        <v>104</v>
      </c>
      <c r="C26" s="7">
        <v>15</v>
      </c>
      <c r="D26" s="7" t="s">
        <v>85</v>
      </c>
      <c r="E26" s="91">
        <v>850</v>
      </c>
      <c r="F26" s="103">
        <f t="shared" si="0"/>
        <v>12750</v>
      </c>
      <c r="G26" s="14"/>
      <c r="H26" s="14"/>
      <c r="I26" s="20"/>
      <c r="J26" s="20"/>
      <c r="K26" s="20"/>
      <c r="L26" s="17"/>
      <c r="M26" s="185">
        <f t="shared" si="1"/>
        <v>12750</v>
      </c>
      <c r="N26" s="19"/>
      <c r="O26" s="17"/>
    </row>
    <row r="27" spans="1:17" x14ac:dyDescent="0.3">
      <c r="A27" s="12"/>
      <c r="B27" s="160" t="s">
        <v>105</v>
      </c>
      <c r="C27" s="7">
        <v>30</v>
      </c>
      <c r="D27" s="7" t="s">
        <v>85</v>
      </c>
      <c r="E27" s="91">
        <v>700</v>
      </c>
      <c r="F27" s="103">
        <f t="shared" si="0"/>
        <v>21000</v>
      </c>
      <c r="G27" s="14"/>
      <c r="H27" s="14"/>
      <c r="I27" s="20"/>
      <c r="J27" s="20"/>
      <c r="K27" s="20"/>
      <c r="L27" s="17"/>
      <c r="M27" s="185">
        <f t="shared" si="1"/>
        <v>21000</v>
      </c>
      <c r="N27" s="19"/>
      <c r="O27" s="17"/>
    </row>
    <row r="28" spans="1:17" x14ac:dyDescent="0.3">
      <c r="A28" s="12"/>
      <c r="B28" s="160" t="s">
        <v>106</v>
      </c>
      <c r="C28" s="7">
        <v>30</v>
      </c>
      <c r="D28" s="7" t="s">
        <v>85</v>
      </c>
      <c r="E28" s="91">
        <v>120</v>
      </c>
      <c r="F28" s="103">
        <f t="shared" si="0"/>
        <v>3600</v>
      </c>
      <c r="G28" s="14"/>
      <c r="H28" s="14"/>
      <c r="I28" s="20"/>
      <c r="J28" s="20"/>
      <c r="K28" s="20"/>
      <c r="L28" s="17"/>
      <c r="M28" s="185">
        <f t="shared" si="1"/>
        <v>3600</v>
      </c>
      <c r="N28" s="19"/>
      <c r="O28" s="17"/>
    </row>
    <row r="29" spans="1:17" x14ac:dyDescent="0.3">
      <c r="A29" s="12"/>
      <c r="B29" s="160" t="s">
        <v>107</v>
      </c>
      <c r="C29" s="7">
        <v>25</v>
      </c>
      <c r="D29" s="7" t="s">
        <v>85</v>
      </c>
      <c r="E29" s="91">
        <v>800</v>
      </c>
      <c r="F29" s="103">
        <f t="shared" si="0"/>
        <v>20000</v>
      </c>
      <c r="G29" s="14"/>
      <c r="H29" s="14"/>
      <c r="I29" s="20"/>
      <c r="J29" s="20"/>
      <c r="K29" s="20"/>
      <c r="L29" s="17"/>
      <c r="M29" s="185">
        <f t="shared" si="1"/>
        <v>20000</v>
      </c>
      <c r="N29" s="19"/>
      <c r="O29" s="17"/>
    </row>
    <row r="30" spans="1:17" x14ac:dyDescent="0.3">
      <c r="A30" s="12"/>
      <c r="B30" s="160" t="s">
        <v>132</v>
      </c>
      <c r="C30" s="7">
        <v>25</v>
      </c>
      <c r="D30" s="7" t="s">
        <v>85</v>
      </c>
      <c r="E30" s="91">
        <v>450</v>
      </c>
      <c r="F30" s="103">
        <f t="shared" si="0"/>
        <v>11250</v>
      </c>
      <c r="G30" s="14"/>
      <c r="H30" s="14"/>
      <c r="I30" s="20"/>
      <c r="J30" s="20"/>
      <c r="K30" s="20"/>
      <c r="L30" s="17"/>
      <c r="M30" s="185">
        <f t="shared" si="1"/>
        <v>11250</v>
      </c>
      <c r="N30" s="19"/>
      <c r="O30" s="17"/>
    </row>
    <row r="31" spans="1:17" x14ac:dyDescent="0.3">
      <c r="A31" s="12"/>
      <c r="B31" s="160" t="s">
        <v>133</v>
      </c>
      <c r="C31" s="7">
        <v>40</v>
      </c>
      <c r="D31" s="7" t="s">
        <v>85</v>
      </c>
      <c r="E31" s="91">
        <v>400</v>
      </c>
      <c r="F31" s="103">
        <f t="shared" si="0"/>
        <v>16000</v>
      </c>
      <c r="G31" s="14"/>
      <c r="H31" s="14"/>
      <c r="I31" s="20"/>
      <c r="J31" s="20"/>
      <c r="K31" s="20"/>
      <c r="L31" s="17"/>
      <c r="M31" s="185">
        <f t="shared" si="1"/>
        <v>16000</v>
      </c>
      <c r="N31" s="19"/>
      <c r="O31" s="17"/>
    </row>
    <row r="32" spans="1:17" x14ac:dyDescent="0.3">
      <c r="A32" s="12"/>
      <c r="B32" s="160" t="s">
        <v>134</v>
      </c>
      <c r="C32" s="7">
        <v>35</v>
      </c>
      <c r="D32" s="7" t="s">
        <v>147</v>
      </c>
      <c r="E32" s="91">
        <v>180</v>
      </c>
      <c r="F32" s="103">
        <f t="shared" si="0"/>
        <v>6300</v>
      </c>
      <c r="G32" s="14"/>
      <c r="H32" s="14"/>
      <c r="I32" s="20"/>
      <c r="J32" s="20"/>
      <c r="K32" s="20"/>
      <c r="L32" s="17"/>
      <c r="M32" s="185">
        <f t="shared" si="1"/>
        <v>6300</v>
      </c>
      <c r="N32" s="19"/>
      <c r="O32" s="17"/>
    </row>
    <row r="33" spans="1:15" x14ac:dyDescent="0.3">
      <c r="A33" s="12"/>
      <c r="B33" s="160" t="s">
        <v>701</v>
      </c>
      <c r="C33" s="7">
        <v>2998</v>
      </c>
      <c r="D33" s="7" t="s">
        <v>53</v>
      </c>
      <c r="E33" s="91">
        <v>6</v>
      </c>
      <c r="F33" s="103">
        <f t="shared" si="0"/>
        <v>17988</v>
      </c>
      <c r="G33" s="14"/>
      <c r="H33" s="14"/>
      <c r="I33" s="20"/>
      <c r="J33" s="20"/>
      <c r="K33" s="20"/>
      <c r="L33" s="17"/>
      <c r="M33" s="185">
        <f t="shared" si="1"/>
        <v>17988</v>
      </c>
      <c r="N33" s="19"/>
      <c r="O33" s="17"/>
    </row>
    <row r="34" spans="1:15" x14ac:dyDescent="0.3">
      <c r="A34" s="12"/>
      <c r="B34" s="160" t="s">
        <v>702</v>
      </c>
      <c r="C34" s="7">
        <v>2000</v>
      </c>
      <c r="D34" s="7" t="s">
        <v>53</v>
      </c>
      <c r="E34" s="91">
        <v>8</v>
      </c>
      <c r="F34" s="103">
        <f t="shared" si="0"/>
        <v>16000</v>
      </c>
      <c r="G34" s="14"/>
      <c r="H34" s="14"/>
      <c r="I34" s="20"/>
      <c r="J34" s="20"/>
      <c r="K34" s="20"/>
      <c r="L34" s="17"/>
      <c r="M34" s="185">
        <f t="shared" si="1"/>
        <v>16000</v>
      </c>
      <c r="N34" s="19"/>
      <c r="O34" s="17"/>
    </row>
    <row r="35" spans="1:15" x14ac:dyDescent="0.3">
      <c r="A35" s="12"/>
      <c r="B35" s="160" t="s">
        <v>135</v>
      </c>
      <c r="C35" s="7">
        <v>52</v>
      </c>
      <c r="D35" s="7" t="s">
        <v>53</v>
      </c>
      <c r="E35" s="91">
        <v>50</v>
      </c>
      <c r="F35" s="103">
        <f t="shared" si="0"/>
        <v>2600</v>
      </c>
      <c r="G35" s="14"/>
      <c r="H35" s="14"/>
      <c r="I35" s="20"/>
      <c r="J35" s="20"/>
      <c r="K35" s="20"/>
      <c r="L35" s="17"/>
      <c r="M35" s="185">
        <f t="shared" si="1"/>
        <v>2600</v>
      </c>
      <c r="N35" s="19"/>
      <c r="O35" s="17"/>
    </row>
    <row r="36" spans="1:15" x14ac:dyDescent="0.3">
      <c r="A36" s="12"/>
      <c r="B36" s="160" t="s">
        <v>136</v>
      </c>
      <c r="C36" s="7">
        <v>50</v>
      </c>
      <c r="D36" s="7" t="s">
        <v>146</v>
      </c>
      <c r="E36" s="91">
        <v>850</v>
      </c>
      <c r="F36" s="103">
        <f t="shared" si="0"/>
        <v>42500</v>
      </c>
      <c r="G36" s="14"/>
      <c r="H36" s="14"/>
      <c r="I36" s="20"/>
      <c r="J36" s="20"/>
      <c r="K36" s="20"/>
      <c r="L36" s="17"/>
      <c r="M36" s="185">
        <f t="shared" si="1"/>
        <v>42500</v>
      </c>
      <c r="N36" s="19"/>
      <c r="O36" s="17"/>
    </row>
    <row r="37" spans="1:15" x14ac:dyDescent="0.3">
      <c r="A37" s="12"/>
      <c r="B37" s="160" t="s">
        <v>137</v>
      </c>
      <c r="C37" s="7">
        <v>15</v>
      </c>
      <c r="D37" s="7" t="s">
        <v>85</v>
      </c>
      <c r="E37" s="91">
        <v>800</v>
      </c>
      <c r="F37" s="103">
        <f t="shared" si="0"/>
        <v>12000</v>
      </c>
      <c r="G37" s="14"/>
      <c r="H37" s="14"/>
      <c r="I37" s="20"/>
      <c r="J37" s="20"/>
      <c r="K37" s="20"/>
      <c r="L37" s="17"/>
      <c r="M37" s="185">
        <f t="shared" si="1"/>
        <v>12000</v>
      </c>
      <c r="N37" s="19"/>
      <c r="O37" s="17"/>
    </row>
    <row r="38" spans="1:15" x14ac:dyDescent="0.3">
      <c r="A38" s="12"/>
      <c r="B38" s="160" t="s">
        <v>138</v>
      </c>
      <c r="C38" s="7">
        <v>10</v>
      </c>
      <c r="D38" s="7" t="s">
        <v>53</v>
      </c>
      <c r="E38" s="91">
        <v>300</v>
      </c>
      <c r="F38" s="103">
        <f t="shared" si="0"/>
        <v>3000</v>
      </c>
      <c r="G38" s="14"/>
      <c r="H38" s="14"/>
      <c r="I38" s="20"/>
      <c r="J38" s="20"/>
      <c r="K38" s="20"/>
      <c r="L38" s="17"/>
      <c r="M38" s="185">
        <f t="shared" si="1"/>
        <v>3000</v>
      </c>
      <c r="N38" s="19"/>
      <c r="O38" s="17"/>
    </row>
    <row r="39" spans="1:15" x14ac:dyDescent="0.3">
      <c r="A39" s="12"/>
      <c r="B39" s="160" t="s">
        <v>139</v>
      </c>
      <c r="C39" s="7">
        <v>10</v>
      </c>
      <c r="D39" s="7" t="s">
        <v>53</v>
      </c>
      <c r="E39" s="91">
        <v>150</v>
      </c>
      <c r="F39" s="103">
        <f t="shared" si="0"/>
        <v>1500</v>
      </c>
      <c r="G39" s="14"/>
      <c r="H39" s="14"/>
      <c r="I39" s="20"/>
      <c r="J39" s="20"/>
      <c r="K39" s="20"/>
      <c r="L39" s="17"/>
      <c r="M39" s="185">
        <f t="shared" si="1"/>
        <v>1500</v>
      </c>
      <c r="N39" s="19"/>
      <c r="O39" s="17"/>
    </row>
    <row r="40" spans="1:15" x14ac:dyDescent="0.3">
      <c r="A40" s="12"/>
      <c r="B40" s="160" t="s">
        <v>703</v>
      </c>
      <c r="C40" s="7">
        <v>15</v>
      </c>
      <c r="D40" s="7" t="s">
        <v>85</v>
      </c>
      <c r="E40" s="91">
        <v>300</v>
      </c>
      <c r="F40" s="103">
        <f t="shared" si="0"/>
        <v>4500</v>
      </c>
      <c r="G40" s="14"/>
      <c r="H40" s="14"/>
      <c r="I40" s="20"/>
      <c r="J40" s="20"/>
      <c r="K40" s="20"/>
      <c r="L40" s="17"/>
      <c r="M40" s="185">
        <f t="shared" si="1"/>
        <v>4500</v>
      </c>
      <c r="N40" s="19"/>
      <c r="O40" s="17"/>
    </row>
    <row r="41" spans="1:15" x14ac:dyDescent="0.3">
      <c r="A41" s="12"/>
      <c r="B41" s="160" t="s">
        <v>704</v>
      </c>
      <c r="C41" s="7">
        <v>20</v>
      </c>
      <c r="D41" s="7" t="s">
        <v>53</v>
      </c>
      <c r="E41" s="91">
        <v>150</v>
      </c>
      <c r="F41" s="103">
        <f t="shared" si="0"/>
        <v>3000</v>
      </c>
      <c r="G41" s="14"/>
      <c r="H41" s="14"/>
      <c r="I41" s="20"/>
      <c r="J41" s="20"/>
      <c r="K41" s="20"/>
      <c r="L41" s="17"/>
      <c r="M41" s="185">
        <f t="shared" si="1"/>
        <v>3000</v>
      </c>
      <c r="N41" s="19"/>
      <c r="O41" s="17"/>
    </row>
    <row r="42" spans="1:15" x14ac:dyDescent="0.3">
      <c r="A42" s="12"/>
      <c r="B42" s="160" t="s">
        <v>705</v>
      </c>
      <c r="C42" s="7">
        <v>50</v>
      </c>
      <c r="D42" s="7" t="s">
        <v>53</v>
      </c>
      <c r="E42" s="91">
        <v>60</v>
      </c>
      <c r="F42" s="103">
        <f t="shared" si="0"/>
        <v>3000</v>
      </c>
      <c r="G42" s="14"/>
      <c r="H42" s="14"/>
      <c r="I42" s="20"/>
      <c r="J42" s="20"/>
      <c r="K42" s="20"/>
      <c r="L42" s="17"/>
      <c r="M42" s="185">
        <f t="shared" si="1"/>
        <v>3000</v>
      </c>
      <c r="N42" s="19"/>
      <c r="O42" s="17"/>
    </row>
    <row r="43" spans="1:15" x14ac:dyDescent="0.3">
      <c r="A43" s="12"/>
      <c r="B43" s="160" t="s">
        <v>140</v>
      </c>
      <c r="C43" s="7">
        <v>60</v>
      </c>
      <c r="D43" s="7" t="s">
        <v>53</v>
      </c>
      <c r="E43" s="91">
        <v>50</v>
      </c>
      <c r="F43" s="103">
        <f t="shared" si="0"/>
        <v>3000</v>
      </c>
      <c r="G43" s="14"/>
      <c r="H43" s="14"/>
      <c r="I43" s="20"/>
      <c r="J43" s="20"/>
      <c r="K43" s="20"/>
      <c r="L43" s="17"/>
      <c r="M43" s="185">
        <f t="shared" si="1"/>
        <v>3000</v>
      </c>
      <c r="N43" s="19"/>
      <c r="O43" s="17"/>
    </row>
    <row r="44" spans="1:15" x14ac:dyDescent="0.3">
      <c r="A44" s="12"/>
      <c r="B44" s="160" t="s">
        <v>141</v>
      </c>
      <c r="C44" s="7">
        <v>50</v>
      </c>
      <c r="D44" s="7" t="s">
        <v>53</v>
      </c>
      <c r="E44" s="91">
        <v>147</v>
      </c>
      <c r="F44" s="103">
        <f t="shared" si="0"/>
        <v>7350</v>
      </c>
      <c r="G44" s="14"/>
      <c r="H44" s="14"/>
      <c r="I44" s="20"/>
      <c r="J44" s="20"/>
      <c r="K44" s="20"/>
      <c r="L44" s="17"/>
      <c r="M44" s="185">
        <f t="shared" si="1"/>
        <v>7350</v>
      </c>
      <c r="N44" s="19"/>
      <c r="O44" s="17"/>
    </row>
    <row r="45" spans="1:15" x14ac:dyDescent="0.3">
      <c r="A45" s="12"/>
      <c r="B45" s="160" t="s">
        <v>142</v>
      </c>
      <c r="C45" s="7">
        <v>80</v>
      </c>
      <c r="D45" s="7" t="s">
        <v>53</v>
      </c>
      <c r="E45" s="91">
        <v>5500</v>
      </c>
      <c r="F45" s="103">
        <f t="shared" si="0"/>
        <v>440000</v>
      </c>
      <c r="G45" s="14"/>
      <c r="H45" s="14"/>
      <c r="I45" s="20"/>
      <c r="J45" s="20"/>
      <c r="K45" s="20"/>
      <c r="L45" s="17"/>
      <c r="M45" s="185">
        <f t="shared" si="1"/>
        <v>440000</v>
      </c>
      <c r="N45" s="19"/>
      <c r="O45" s="17"/>
    </row>
    <row r="46" spans="1:15" x14ac:dyDescent="0.3">
      <c r="A46" s="12"/>
      <c r="B46" s="160" t="s">
        <v>143</v>
      </c>
      <c r="C46" s="7">
        <v>88</v>
      </c>
      <c r="D46" s="7" t="s">
        <v>53</v>
      </c>
      <c r="E46" s="91">
        <v>1000</v>
      </c>
      <c r="F46" s="103">
        <f t="shared" si="0"/>
        <v>88000</v>
      </c>
      <c r="G46" s="14"/>
      <c r="H46" s="14"/>
      <c r="I46" s="20"/>
      <c r="J46" s="20"/>
      <c r="K46" s="20"/>
      <c r="L46" s="17"/>
      <c r="M46" s="185">
        <f t="shared" si="1"/>
        <v>88000</v>
      </c>
      <c r="N46" s="19"/>
      <c r="O46" s="17"/>
    </row>
    <row r="47" spans="1:15" x14ac:dyDescent="0.3">
      <c r="A47" s="12"/>
      <c r="B47" s="160" t="s">
        <v>706</v>
      </c>
      <c r="C47" s="7">
        <v>30</v>
      </c>
      <c r="D47" s="7" t="s">
        <v>53</v>
      </c>
      <c r="E47" s="91">
        <v>400</v>
      </c>
      <c r="F47" s="103">
        <f t="shared" si="0"/>
        <v>12000</v>
      </c>
      <c r="G47" s="14"/>
      <c r="H47" s="14"/>
      <c r="I47" s="20"/>
      <c r="J47" s="20"/>
      <c r="K47" s="20"/>
      <c r="L47" s="17"/>
      <c r="M47" s="185">
        <f t="shared" si="1"/>
        <v>12000</v>
      </c>
      <c r="N47" s="19"/>
      <c r="O47" s="17"/>
    </row>
    <row r="48" spans="1:15" x14ac:dyDescent="0.3">
      <c r="A48" s="12"/>
      <c r="B48" s="160" t="s">
        <v>707</v>
      </c>
      <c r="C48" s="7">
        <v>35</v>
      </c>
      <c r="D48" s="7" t="s">
        <v>53</v>
      </c>
      <c r="E48" s="91">
        <v>170</v>
      </c>
      <c r="F48" s="103">
        <f>E48*C48</f>
        <v>5950</v>
      </c>
      <c r="G48" s="14"/>
      <c r="H48" s="14"/>
      <c r="I48" s="20"/>
      <c r="J48" s="20"/>
      <c r="K48" s="20"/>
      <c r="L48" s="17"/>
      <c r="M48" s="185">
        <f t="shared" si="1"/>
        <v>5950</v>
      </c>
      <c r="N48" s="19"/>
      <c r="O48" s="17"/>
    </row>
    <row r="49" spans="1:17" ht="28.5" customHeight="1" x14ac:dyDescent="0.3">
      <c r="A49" s="12"/>
      <c r="B49" s="160" t="s">
        <v>708</v>
      </c>
      <c r="C49" s="7">
        <v>15</v>
      </c>
      <c r="D49" s="7" t="s">
        <v>53</v>
      </c>
      <c r="E49" s="91">
        <v>118</v>
      </c>
      <c r="F49" s="103">
        <f t="shared" si="0"/>
        <v>1770</v>
      </c>
      <c r="G49" s="14"/>
      <c r="H49" s="14"/>
      <c r="I49" s="20"/>
      <c r="J49" s="20"/>
      <c r="K49" s="20"/>
      <c r="L49" s="17"/>
      <c r="M49" s="185">
        <f t="shared" si="1"/>
        <v>1770</v>
      </c>
      <c r="N49" s="19"/>
      <c r="O49" s="17"/>
    </row>
    <row r="50" spans="1:17" ht="21.75" customHeight="1" x14ac:dyDescent="0.3">
      <c r="A50" s="12"/>
      <c r="B50" s="160" t="s">
        <v>709</v>
      </c>
      <c r="C50" s="7">
        <v>30</v>
      </c>
      <c r="D50" s="7" t="s">
        <v>53</v>
      </c>
      <c r="E50" s="91">
        <v>150</v>
      </c>
      <c r="F50" s="103">
        <f t="shared" si="0"/>
        <v>4500</v>
      </c>
      <c r="G50" s="14"/>
      <c r="H50" s="14"/>
      <c r="I50" s="20"/>
      <c r="J50" s="20"/>
      <c r="K50" s="20"/>
      <c r="L50" s="17"/>
      <c r="M50" s="185">
        <f t="shared" si="1"/>
        <v>4500</v>
      </c>
      <c r="N50" s="19"/>
      <c r="O50" s="17"/>
    </row>
    <row r="51" spans="1:17" ht="95.25" customHeight="1" x14ac:dyDescent="0.3">
      <c r="A51" s="164"/>
      <c r="B51" s="160" t="s">
        <v>710</v>
      </c>
      <c r="C51" s="7"/>
      <c r="D51" s="7"/>
      <c r="E51" s="90"/>
      <c r="F51" s="102">
        <f t="shared" si="0"/>
        <v>0</v>
      </c>
      <c r="G51" s="14"/>
      <c r="H51" s="14"/>
      <c r="I51" s="20"/>
      <c r="J51" s="20"/>
      <c r="K51" s="20"/>
      <c r="L51" s="17"/>
      <c r="M51" s="245">
        <f t="shared" si="1"/>
        <v>0</v>
      </c>
      <c r="N51" s="19"/>
      <c r="O51" s="17"/>
    </row>
    <row r="52" spans="1:17" ht="46.5" customHeight="1" x14ac:dyDescent="0.3">
      <c r="A52" s="12"/>
      <c r="B52" s="163" t="s">
        <v>711</v>
      </c>
      <c r="C52" s="129"/>
      <c r="D52" s="130"/>
      <c r="E52" s="91"/>
      <c r="F52" s="103">
        <f t="shared" si="0"/>
        <v>0</v>
      </c>
      <c r="G52" s="14"/>
      <c r="H52" s="14"/>
      <c r="I52" s="20"/>
      <c r="J52" s="20"/>
      <c r="K52" s="20"/>
      <c r="L52" s="17"/>
      <c r="M52" s="245">
        <f t="shared" si="1"/>
        <v>0</v>
      </c>
      <c r="N52" s="19"/>
      <c r="O52" s="17"/>
    </row>
    <row r="53" spans="1:17" ht="36.75" customHeight="1" x14ac:dyDescent="0.3">
      <c r="A53" s="12"/>
      <c r="B53" s="226" t="s">
        <v>712</v>
      </c>
      <c r="C53" s="129"/>
      <c r="D53" s="130"/>
      <c r="E53" s="91"/>
      <c r="F53" s="103">
        <f t="shared" si="0"/>
        <v>0</v>
      </c>
      <c r="G53" s="14"/>
      <c r="H53" s="14"/>
      <c r="I53" s="20"/>
      <c r="J53" s="20"/>
      <c r="K53" s="20"/>
      <c r="L53" s="17"/>
      <c r="M53" s="245">
        <f t="shared" si="1"/>
        <v>0</v>
      </c>
      <c r="N53" s="19"/>
      <c r="O53" s="17"/>
    </row>
    <row r="54" spans="1:17" ht="60" customHeight="1" x14ac:dyDescent="0.3">
      <c r="A54" s="12"/>
      <c r="B54" s="227"/>
      <c r="C54" s="129"/>
      <c r="D54" s="130"/>
      <c r="E54" s="91"/>
      <c r="F54" s="103">
        <f t="shared" si="0"/>
        <v>0</v>
      </c>
      <c r="G54" s="14"/>
      <c r="H54" s="14"/>
      <c r="I54" s="20"/>
      <c r="J54" s="20"/>
      <c r="K54" s="20"/>
      <c r="L54" s="17"/>
      <c r="M54" s="245">
        <f t="shared" si="1"/>
        <v>0</v>
      </c>
      <c r="N54" s="19"/>
      <c r="O54" s="17"/>
    </row>
    <row r="55" spans="1:17" x14ac:dyDescent="0.3">
      <c r="A55" s="12"/>
      <c r="B55" s="13"/>
      <c r="C55" s="129"/>
      <c r="D55" s="130"/>
      <c r="E55" s="91"/>
      <c r="F55" s="103">
        <f t="shared" si="0"/>
        <v>0</v>
      </c>
      <c r="G55" s="14"/>
      <c r="H55" s="14"/>
      <c r="I55" s="20"/>
      <c r="J55" s="20"/>
      <c r="K55" s="20"/>
      <c r="L55" s="17"/>
      <c r="M55" s="245">
        <f t="shared" si="1"/>
        <v>0</v>
      </c>
      <c r="N55" s="19"/>
      <c r="O55" s="17"/>
    </row>
    <row r="56" spans="1:17" x14ac:dyDescent="0.3">
      <c r="A56" s="12"/>
      <c r="B56" s="13"/>
      <c r="C56" s="129"/>
      <c r="D56" s="130"/>
      <c r="E56" s="91"/>
      <c r="F56" s="103">
        <f t="shared" si="0"/>
        <v>0</v>
      </c>
      <c r="G56" s="14"/>
      <c r="H56" s="14"/>
      <c r="I56" s="20"/>
      <c r="J56" s="20"/>
      <c r="K56" s="20"/>
      <c r="L56" s="17"/>
      <c r="M56" s="245">
        <f t="shared" si="1"/>
        <v>0</v>
      </c>
      <c r="N56" s="19"/>
      <c r="O56" s="17"/>
    </row>
    <row r="57" spans="1:17" x14ac:dyDescent="0.3">
      <c r="A57" s="12"/>
      <c r="B57" s="13"/>
      <c r="C57" s="129"/>
      <c r="D57" s="130"/>
      <c r="E57" s="91"/>
      <c r="F57" s="103">
        <f t="shared" si="0"/>
        <v>0</v>
      </c>
      <c r="G57" s="14"/>
      <c r="H57" s="14"/>
      <c r="I57" s="20"/>
      <c r="J57" s="20"/>
      <c r="K57" s="20"/>
      <c r="L57" s="17"/>
      <c r="M57" s="245">
        <f t="shared" si="1"/>
        <v>0</v>
      </c>
      <c r="N57" s="19"/>
      <c r="O57" s="17"/>
    </row>
    <row r="58" spans="1:17" x14ac:dyDescent="0.3">
      <c r="A58" s="12"/>
      <c r="B58" s="13"/>
      <c r="C58" s="129"/>
      <c r="D58" s="130"/>
      <c r="E58" s="91"/>
      <c r="F58" s="103">
        <f t="shared" si="0"/>
        <v>0</v>
      </c>
      <c r="G58" s="14"/>
      <c r="H58" s="14"/>
      <c r="I58" s="20"/>
      <c r="J58" s="20"/>
      <c r="K58" s="20"/>
      <c r="L58" s="17"/>
      <c r="M58" s="245">
        <f t="shared" si="1"/>
        <v>0</v>
      </c>
      <c r="N58" s="19"/>
      <c r="O58" s="17"/>
    </row>
    <row r="59" spans="1:17" ht="31.5" customHeight="1" x14ac:dyDescent="0.3">
      <c r="A59" s="13"/>
      <c r="B59" s="23"/>
      <c r="C59" s="224"/>
      <c r="D59" s="225"/>
      <c r="E59" s="89"/>
      <c r="F59" s="101">
        <f>M59</f>
        <v>1003257.66</v>
      </c>
      <c r="G59" s="7"/>
      <c r="H59" s="7"/>
      <c r="I59" s="7"/>
      <c r="J59" s="7"/>
      <c r="K59" s="194" t="s">
        <v>43</v>
      </c>
      <c r="L59" s="195"/>
      <c r="M59" s="148">
        <f>SUM(M11:M58)</f>
        <v>1003257.66</v>
      </c>
      <c r="N59" s="13"/>
      <c r="O59" s="7"/>
    </row>
    <row r="60" spans="1:17" x14ac:dyDescent="0.3">
      <c r="A60" s="155" t="s">
        <v>44</v>
      </c>
      <c r="B60" s="26"/>
      <c r="C60" s="11"/>
      <c r="D60" s="219" t="s">
        <v>726</v>
      </c>
      <c r="E60" s="219"/>
      <c r="F60" s="219"/>
      <c r="G60" s="219"/>
      <c r="H60" s="219"/>
      <c r="I60" s="26"/>
      <c r="J60" s="26"/>
      <c r="K60" s="26"/>
      <c r="L60" s="3"/>
      <c r="M60" s="186" t="s">
        <v>45</v>
      </c>
      <c r="N60" s="186"/>
      <c r="O60" s="27"/>
    </row>
    <row r="61" spans="1:17" x14ac:dyDescent="0.3">
      <c r="A61" s="3"/>
      <c r="B61" s="2"/>
      <c r="C61" s="3"/>
      <c r="D61" s="3"/>
      <c r="E61" s="3"/>
      <c r="F61" s="3"/>
      <c r="G61" s="67"/>
      <c r="H61" s="2"/>
      <c r="I61" s="2"/>
      <c r="J61" s="2"/>
      <c r="K61" s="2"/>
      <c r="L61" s="2"/>
      <c r="M61" s="28"/>
      <c r="N61" s="2"/>
      <c r="O61" s="27"/>
      <c r="Q61" s="145"/>
    </row>
    <row r="62" spans="1:17" ht="51.75" customHeight="1" x14ac:dyDescent="0.3">
      <c r="A62" s="3"/>
      <c r="B62" s="2"/>
      <c r="C62" s="3"/>
      <c r="D62" s="3"/>
      <c r="E62" s="3"/>
      <c r="F62" s="3"/>
      <c r="G62" s="67"/>
      <c r="H62" s="2"/>
      <c r="I62" s="2"/>
      <c r="J62" s="2"/>
      <c r="K62" s="2"/>
      <c r="L62" s="2"/>
      <c r="M62" s="28"/>
      <c r="N62" s="2"/>
      <c r="O62" s="27"/>
    </row>
    <row r="63" spans="1:17" x14ac:dyDescent="0.3">
      <c r="A63" s="198" t="s">
        <v>46</v>
      </c>
      <c r="B63" s="198"/>
      <c r="C63" s="29"/>
      <c r="D63" s="29"/>
      <c r="E63" s="29"/>
      <c r="F63" s="187" t="s">
        <v>47</v>
      </c>
      <c r="G63" s="187"/>
      <c r="H63" s="187"/>
      <c r="I63" s="187"/>
      <c r="J63" s="187"/>
      <c r="K63" s="2"/>
      <c r="L63" s="29"/>
      <c r="M63" s="187" t="s">
        <v>727</v>
      </c>
      <c r="N63" s="187"/>
      <c r="O63" s="187"/>
    </row>
    <row r="64" spans="1:17" x14ac:dyDescent="0.3">
      <c r="A64" s="196" t="s">
        <v>48</v>
      </c>
      <c r="B64" s="196"/>
      <c r="C64" s="3"/>
      <c r="D64" s="3"/>
      <c r="E64" s="3"/>
      <c r="F64" s="188" t="s">
        <v>49</v>
      </c>
      <c r="G64" s="188"/>
      <c r="H64" s="188"/>
      <c r="I64" s="188"/>
      <c r="J64" s="188"/>
      <c r="K64" s="2"/>
      <c r="L64" s="3"/>
      <c r="M64" s="188" t="s">
        <v>728</v>
      </c>
      <c r="N64" s="188"/>
      <c r="O64" s="188"/>
    </row>
  </sheetData>
  <mergeCells count="24">
    <mergeCell ref="M63:O63"/>
    <mergeCell ref="A64:B64"/>
    <mergeCell ref="M64:O64"/>
    <mergeCell ref="C9:D9"/>
    <mergeCell ref="C10:D10"/>
    <mergeCell ref="C59:D59"/>
    <mergeCell ref="K59:L59"/>
    <mergeCell ref="A63:B63"/>
    <mergeCell ref="B53:B54"/>
    <mergeCell ref="D60:H60"/>
    <mergeCell ref="F63:J63"/>
    <mergeCell ref="F64:J64"/>
    <mergeCell ref="M60:N60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</mergeCells>
  <pageMargins left="0.7" right="0.7" top="0.75" bottom="0.75" header="0.3" footer="0.3"/>
  <pageSetup paperSize="5" fitToHeight="0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53F9-3DA9-47A1-8336-E66ED0A7962F}">
  <sheetPr>
    <tabColor rgb="FF00B0F0"/>
    <pageSetUpPr fitToPage="1"/>
  </sheetPr>
  <dimension ref="A1:Q73"/>
  <sheetViews>
    <sheetView topLeftCell="A7" workbookViewId="0">
      <selection activeCell="K18" sqref="K18"/>
    </sheetView>
  </sheetViews>
  <sheetFormatPr defaultRowHeight="14.4" x14ac:dyDescent="0.3"/>
  <cols>
    <col min="1" max="1" width="10" customWidth="1"/>
    <col min="2" max="2" width="26.88671875" customWidth="1"/>
    <col min="3" max="3" width="5.109375" customWidth="1"/>
    <col min="4" max="4" width="5.88671875" customWidth="1"/>
    <col min="5" max="5" width="8.5546875" hidden="1" customWidth="1"/>
    <col min="6" max="6" width="10.44140625" hidden="1" customWidth="1"/>
    <col min="7" max="7" width="8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2.33203125" customWidth="1"/>
    <col min="15" max="15" width="12.6640625" customWidth="1"/>
    <col min="17" max="17" width="10.109375" bestFit="1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94" t="s">
        <v>11</v>
      </c>
      <c r="B8" s="94" t="s">
        <v>12</v>
      </c>
      <c r="C8" s="222" t="s">
        <v>13</v>
      </c>
      <c r="D8" s="223"/>
      <c r="E8" s="95"/>
      <c r="F8" s="63"/>
      <c r="G8" s="94" t="s">
        <v>14</v>
      </c>
      <c r="H8" s="94" t="s">
        <v>15</v>
      </c>
      <c r="I8" s="94" t="s">
        <v>16</v>
      </c>
      <c r="J8" s="94" t="s">
        <v>17</v>
      </c>
      <c r="K8" s="94" t="s">
        <v>18</v>
      </c>
      <c r="L8" s="94" t="s">
        <v>19</v>
      </c>
      <c r="M8" s="94" t="s">
        <v>20</v>
      </c>
      <c r="N8" s="221"/>
      <c r="O8" s="220"/>
    </row>
    <row r="9" spans="1:15" ht="21.75" customHeight="1" x14ac:dyDescent="0.3">
      <c r="A9" s="4" t="s">
        <v>21</v>
      </c>
      <c r="B9" s="4" t="s">
        <v>22</v>
      </c>
      <c r="C9" s="214" t="s">
        <v>23</v>
      </c>
      <c r="D9" s="215"/>
      <c r="E9" s="96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77.25" customHeight="1" x14ac:dyDescent="0.3">
      <c r="A10" s="5" t="s">
        <v>148</v>
      </c>
      <c r="B10" s="162" t="s">
        <v>34</v>
      </c>
      <c r="C10" s="216"/>
      <c r="D10" s="217"/>
      <c r="E10" s="97" t="s">
        <v>55</v>
      </c>
      <c r="F10" s="65" t="s">
        <v>56</v>
      </c>
      <c r="G10" s="17" t="s">
        <v>35</v>
      </c>
      <c r="H10" s="7" t="s">
        <v>36</v>
      </c>
      <c r="I10" s="8"/>
      <c r="J10" s="8"/>
      <c r="K10" s="8"/>
      <c r="L10" s="9" t="s">
        <v>37</v>
      </c>
      <c r="M10" s="10">
        <v>500928.72</v>
      </c>
      <c r="N10" s="8" t="s">
        <v>38</v>
      </c>
      <c r="O10" s="9" t="s">
        <v>39</v>
      </c>
    </row>
    <row r="11" spans="1:15" ht="18" customHeight="1" x14ac:dyDescent="0.3">
      <c r="A11" s="12"/>
      <c r="B11" s="13" t="s">
        <v>149</v>
      </c>
      <c r="C11" s="98">
        <v>40</v>
      </c>
      <c r="D11" s="99" t="s">
        <v>108</v>
      </c>
      <c r="E11" s="90">
        <v>130</v>
      </c>
      <c r="F11" s="102">
        <f>E11*C11</f>
        <v>5200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5200</v>
      </c>
      <c r="N11" s="19"/>
      <c r="O11" s="17"/>
    </row>
    <row r="12" spans="1:15" ht="18" customHeight="1" x14ac:dyDescent="0.3">
      <c r="A12" s="12"/>
      <c r="B12" s="13" t="s">
        <v>150</v>
      </c>
      <c r="C12" s="98">
        <v>200</v>
      </c>
      <c r="D12" s="99" t="s">
        <v>53</v>
      </c>
      <c r="E12" s="90">
        <v>5.5</v>
      </c>
      <c r="F12" s="102">
        <f t="shared" ref="F12:F67" si="0">E12*C12</f>
        <v>1100</v>
      </c>
      <c r="G12" s="14"/>
      <c r="H12" s="14"/>
      <c r="I12" s="15"/>
      <c r="J12" s="15"/>
      <c r="K12" s="20" t="s">
        <v>731</v>
      </c>
      <c r="L12" s="17"/>
      <c r="M12" s="185">
        <f t="shared" ref="M12:M66" si="1">F12</f>
        <v>1100</v>
      </c>
      <c r="N12" s="19"/>
      <c r="O12" s="17"/>
    </row>
    <row r="13" spans="1:15" ht="18" customHeight="1" x14ac:dyDescent="0.3">
      <c r="A13" s="12"/>
      <c r="B13" s="13" t="s">
        <v>151</v>
      </c>
      <c r="C13" s="98">
        <v>200</v>
      </c>
      <c r="D13" s="105" t="s">
        <v>53</v>
      </c>
      <c r="E13" s="90">
        <v>5.5</v>
      </c>
      <c r="F13" s="102">
        <f t="shared" si="0"/>
        <v>1100</v>
      </c>
      <c r="G13" s="14"/>
      <c r="H13" s="14"/>
      <c r="I13" s="15"/>
      <c r="J13" s="15"/>
      <c r="K13" s="16"/>
      <c r="L13" s="17"/>
      <c r="M13" s="185">
        <f t="shared" si="1"/>
        <v>1100</v>
      </c>
      <c r="N13" s="19"/>
      <c r="O13" s="17"/>
    </row>
    <row r="14" spans="1:15" ht="18" customHeight="1" x14ac:dyDescent="0.3">
      <c r="A14" s="12"/>
      <c r="B14" s="13" t="s">
        <v>152</v>
      </c>
      <c r="C14" s="98">
        <v>200</v>
      </c>
      <c r="D14" s="105" t="s">
        <v>53</v>
      </c>
      <c r="E14" s="90">
        <v>5.5</v>
      </c>
      <c r="F14" s="102">
        <f t="shared" si="0"/>
        <v>1100</v>
      </c>
      <c r="G14" s="14"/>
      <c r="H14" s="14"/>
      <c r="I14" s="15"/>
      <c r="J14" s="15"/>
      <c r="K14" s="16"/>
      <c r="L14" s="17"/>
      <c r="M14" s="185">
        <f t="shared" si="1"/>
        <v>1100</v>
      </c>
      <c r="N14" s="19"/>
      <c r="O14" s="17"/>
    </row>
    <row r="15" spans="1:15" ht="18" customHeight="1" x14ac:dyDescent="0.3">
      <c r="A15" s="12"/>
      <c r="B15" s="13" t="s">
        <v>153</v>
      </c>
      <c r="C15" s="98">
        <v>50</v>
      </c>
      <c r="D15" s="105" t="s">
        <v>53</v>
      </c>
      <c r="E15" s="90">
        <v>15</v>
      </c>
      <c r="F15" s="102">
        <f t="shared" si="0"/>
        <v>750</v>
      </c>
      <c r="G15" s="14"/>
      <c r="H15" s="14"/>
      <c r="I15" s="15"/>
      <c r="J15" s="15"/>
      <c r="K15" s="16"/>
      <c r="L15" s="17"/>
      <c r="M15" s="185">
        <f t="shared" si="1"/>
        <v>750</v>
      </c>
      <c r="N15" s="19"/>
      <c r="O15" s="17"/>
    </row>
    <row r="16" spans="1:15" ht="18" customHeight="1" x14ac:dyDescent="0.3">
      <c r="A16" s="12"/>
      <c r="B16" s="13" t="s">
        <v>154</v>
      </c>
      <c r="C16" s="98">
        <v>40</v>
      </c>
      <c r="D16" s="99" t="s">
        <v>189</v>
      </c>
      <c r="E16" s="90">
        <v>350</v>
      </c>
      <c r="F16" s="102">
        <f t="shared" si="0"/>
        <v>14000</v>
      </c>
      <c r="G16" s="14"/>
      <c r="H16" s="14"/>
      <c r="I16" s="15"/>
      <c r="J16" s="15"/>
      <c r="K16" s="16"/>
      <c r="L16" s="17"/>
      <c r="M16" s="185">
        <f t="shared" si="1"/>
        <v>14000</v>
      </c>
      <c r="N16" s="19"/>
      <c r="O16" s="17"/>
    </row>
    <row r="17" spans="1:15" ht="18" customHeight="1" x14ac:dyDescent="0.3">
      <c r="A17" s="12"/>
      <c r="B17" s="13" t="s">
        <v>155</v>
      </c>
      <c r="C17" s="98">
        <v>120</v>
      </c>
      <c r="D17" s="99" t="s">
        <v>190</v>
      </c>
      <c r="E17" s="90">
        <v>230</v>
      </c>
      <c r="F17" s="102">
        <f t="shared" si="0"/>
        <v>27600</v>
      </c>
      <c r="G17" s="14"/>
      <c r="H17" s="14"/>
      <c r="I17" s="15"/>
      <c r="J17" s="15"/>
      <c r="K17" s="16"/>
      <c r="L17" s="17"/>
      <c r="M17" s="185">
        <f t="shared" si="1"/>
        <v>27600</v>
      </c>
      <c r="N17" s="19"/>
      <c r="O17" s="17"/>
    </row>
    <row r="18" spans="1:15" ht="18" customHeight="1" x14ac:dyDescent="0.3">
      <c r="A18" s="12"/>
      <c r="B18" s="13" t="s">
        <v>156</v>
      </c>
      <c r="C18" s="98">
        <v>120</v>
      </c>
      <c r="D18" s="105" t="s">
        <v>190</v>
      </c>
      <c r="E18" s="90">
        <v>235</v>
      </c>
      <c r="F18" s="102">
        <f t="shared" si="0"/>
        <v>28200</v>
      </c>
      <c r="G18" s="14"/>
      <c r="H18" s="14"/>
      <c r="I18" s="15"/>
      <c r="J18" s="15"/>
      <c r="K18" s="16"/>
      <c r="L18" s="17"/>
      <c r="M18" s="185">
        <f t="shared" si="1"/>
        <v>28200</v>
      </c>
      <c r="N18" s="19"/>
      <c r="O18" s="17"/>
    </row>
    <row r="19" spans="1:15" ht="18" customHeight="1" x14ac:dyDescent="0.3">
      <c r="A19" s="12"/>
      <c r="B19" s="13" t="s">
        <v>157</v>
      </c>
      <c r="C19" s="98">
        <v>120</v>
      </c>
      <c r="D19" s="105" t="s">
        <v>190</v>
      </c>
      <c r="E19" s="90">
        <v>175</v>
      </c>
      <c r="F19" s="102">
        <f t="shared" si="0"/>
        <v>21000</v>
      </c>
      <c r="G19" s="14"/>
      <c r="H19" s="14"/>
      <c r="I19" s="15"/>
      <c r="J19" s="15"/>
      <c r="K19" s="16"/>
      <c r="L19" s="17"/>
      <c r="M19" s="185">
        <f t="shared" si="1"/>
        <v>21000</v>
      </c>
      <c r="N19" s="19"/>
      <c r="O19" s="17"/>
    </row>
    <row r="20" spans="1:15" ht="18" customHeight="1" x14ac:dyDescent="0.3">
      <c r="A20" s="12"/>
      <c r="B20" s="13" t="s">
        <v>158</v>
      </c>
      <c r="C20" s="98">
        <v>70</v>
      </c>
      <c r="D20" s="105" t="s">
        <v>190</v>
      </c>
      <c r="E20" s="90">
        <v>300</v>
      </c>
      <c r="F20" s="102">
        <f t="shared" si="0"/>
        <v>21000</v>
      </c>
      <c r="G20" s="14"/>
      <c r="H20" s="14"/>
      <c r="I20" s="15"/>
      <c r="J20" s="15"/>
      <c r="K20" s="16"/>
      <c r="L20" s="17"/>
      <c r="M20" s="185">
        <f t="shared" si="1"/>
        <v>21000</v>
      </c>
      <c r="N20" s="19"/>
      <c r="O20" s="17"/>
    </row>
    <row r="21" spans="1:15" ht="18" customHeight="1" x14ac:dyDescent="0.3">
      <c r="A21" s="12"/>
      <c r="B21" s="13" t="s">
        <v>159</v>
      </c>
      <c r="C21" s="98">
        <v>70</v>
      </c>
      <c r="D21" s="105" t="s">
        <v>190</v>
      </c>
      <c r="E21" s="90">
        <v>300</v>
      </c>
      <c r="F21" s="102">
        <f t="shared" si="0"/>
        <v>21000</v>
      </c>
      <c r="G21" s="14"/>
      <c r="H21" s="14"/>
      <c r="I21" s="15"/>
      <c r="J21" s="15"/>
      <c r="K21" s="20"/>
      <c r="L21" s="17"/>
      <c r="M21" s="185">
        <f t="shared" si="1"/>
        <v>21000</v>
      </c>
      <c r="N21" s="19"/>
      <c r="O21" s="17"/>
    </row>
    <row r="22" spans="1:15" ht="18" customHeight="1" x14ac:dyDescent="0.3">
      <c r="A22" s="12"/>
      <c r="B22" s="13" t="s">
        <v>160</v>
      </c>
      <c r="C22" s="98">
        <v>10</v>
      </c>
      <c r="D22" s="99" t="s">
        <v>146</v>
      </c>
      <c r="E22" s="90">
        <v>200</v>
      </c>
      <c r="F22" s="102">
        <f t="shared" si="0"/>
        <v>2000</v>
      </c>
      <c r="G22" s="14"/>
      <c r="H22" s="14"/>
      <c r="I22" s="20"/>
      <c r="J22" s="20"/>
      <c r="K22" s="20"/>
      <c r="L22" s="17"/>
      <c r="M22" s="185">
        <f t="shared" si="1"/>
        <v>2000</v>
      </c>
      <c r="N22" s="19"/>
      <c r="O22" s="17"/>
    </row>
    <row r="23" spans="1:15" ht="18" customHeight="1" x14ac:dyDescent="0.3">
      <c r="A23" s="12"/>
      <c r="B23" s="13" t="s">
        <v>161</v>
      </c>
      <c r="C23" s="98">
        <v>50</v>
      </c>
      <c r="D23" s="99" t="s">
        <v>191</v>
      </c>
      <c r="E23" s="90">
        <v>140</v>
      </c>
      <c r="F23" s="102">
        <f t="shared" si="0"/>
        <v>7000</v>
      </c>
      <c r="G23" s="14"/>
      <c r="H23" s="14"/>
      <c r="I23" s="20"/>
      <c r="J23" s="20"/>
      <c r="K23" s="20"/>
      <c r="L23" s="17"/>
      <c r="M23" s="185">
        <f t="shared" si="1"/>
        <v>7000</v>
      </c>
      <c r="N23" s="19"/>
      <c r="O23" s="17"/>
    </row>
    <row r="24" spans="1:15" ht="18" customHeight="1" x14ac:dyDescent="0.3">
      <c r="A24" s="12"/>
      <c r="B24" s="13" t="s">
        <v>162</v>
      </c>
      <c r="C24" s="98">
        <v>50</v>
      </c>
      <c r="D24" s="99" t="s">
        <v>192</v>
      </c>
      <c r="E24" s="90">
        <v>60</v>
      </c>
      <c r="F24" s="102">
        <f t="shared" si="0"/>
        <v>3000</v>
      </c>
      <c r="G24" s="14"/>
      <c r="H24" s="14"/>
      <c r="I24" s="20"/>
      <c r="J24" s="20"/>
      <c r="K24" s="20"/>
      <c r="L24" s="17"/>
      <c r="M24" s="185">
        <f t="shared" si="1"/>
        <v>3000</v>
      </c>
      <c r="N24" s="19"/>
      <c r="O24" s="17"/>
    </row>
    <row r="25" spans="1:15" ht="18" customHeight="1" x14ac:dyDescent="0.3">
      <c r="A25" s="12"/>
      <c r="B25" s="13" t="s">
        <v>163</v>
      </c>
      <c r="C25" s="98">
        <v>40</v>
      </c>
      <c r="D25" s="105" t="s">
        <v>192</v>
      </c>
      <c r="E25" s="90">
        <v>170</v>
      </c>
      <c r="F25" s="102">
        <f t="shared" si="0"/>
        <v>6800</v>
      </c>
      <c r="G25" s="14"/>
      <c r="H25" s="14"/>
      <c r="I25" s="20"/>
      <c r="J25" s="20"/>
      <c r="K25" s="20"/>
      <c r="L25" s="17"/>
      <c r="M25" s="185">
        <f t="shared" si="1"/>
        <v>6800</v>
      </c>
      <c r="N25" s="19"/>
      <c r="O25" s="17"/>
    </row>
    <row r="26" spans="1:15" ht="18" customHeight="1" x14ac:dyDescent="0.3">
      <c r="A26" s="12"/>
      <c r="B26" s="13" t="s">
        <v>164</v>
      </c>
      <c r="C26" s="98">
        <v>40</v>
      </c>
      <c r="D26" s="99" t="s">
        <v>53</v>
      </c>
      <c r="E26" s="90">
        <v>70</v>
      </c>
      <c r="F26" s="102">
        <f t="shared" si="0"/>
        <v>2800</v>
      </c>
      <c r="G26" s="14"/>
      <c r="H26" s="14"/>
      <c r="I26" s="20"/>
      <c r="J26" s="20"/>
      <c r="K26" s="20"/>
      <c r="L26" s="17"/>
      <c r="M26" s="185">
        <f t="shared" si="1"/>
        <v>2800</v>
      </c>
      <c r="N26" s="19"/>
      <c r="O26" s="17"/>
    </row>
    <row r="27" spans="1:15" ht="18" customHeight="1" x14ac:dyDescent="0.3">
      <c r="A27" s="12"/>
      <c r="B27" s="13" t="s">
        <v>165</v>
      </c>
      <c r="C27" s="98">
        <v>300</v>
      </c>
      <c r="D27" s="99" t="s">
        <v>53</v>
      </c>
      <c r="E27" s="90">
        <v>7</v>
      </c>
      <c r="F27" s="102">
        <f t="shared" si="0"/>
        <v>2100</v>
      </c>
      <c r="G27" s="14"/>
      <c r="H27" s="14"/>
      <c r="I27" s="20"/>
      <c r="J27" s="20"/>
      <c r="K27" s="20"/>
      <c r="L27" s="17"/>
      <c r="M27" s="185">
        <f t="shared" si="1"/>
        <v>2100</v>
      </c>
      <c r="N27" s="19"/>
      <c r="O27" s="17"/>
    </row>
    <row r="28" spans="1:15" ht="18" customHeight="1" x14ac:dyDescent="0.3">
      <c r="A28" s="12"/>
      <c r="B28" s="13" t="s">
        <v>166</v>
      </c>
      <c r="C28" s="98">
        <v>30</v>
      </c>
      <c r="D28" s="99" t="s">
        <v>53</v>
      </c>
      <c r="E28" s="90">
        <v>15</v>
      </c>
      <c r="F28" s="102">
        <f t="shared" si="0"/>
        <v>450</v>
      </c>
      <c r="G28" s="14"/>
      <c r="H28" s="14"/>
      <c r="I28" s="20"/>
      <c r="J28" s="20"/>
      <c r="K28" s="20"/>
      <c r="L28" s="17"/>
      <c r="M28" s="185">
        <f t="shared" si="1"/>
        <v>450</v>
      </c>
      <c r="N28" s="19"/>
      <c r="O28" s="17"/>
    </row>
    <row r="29" spans="1:15" ht="18" customHeight="1" x14ac:dyDescent="0.3">
      <c r="A29" s="12"/>
      <c r="B29" s="13" t="s">
        <v>216</v>
      </c>
      <c r="C29" s="98">
        <v>30</v>
      </c>
      <c r="D29" s="99" t="s">
        <v>247</v>
      </c>
      <c r="E29" s="90">
        <v>65</v>
      </c>
      <c r="F29" s="102">
        <f t="shared" si="0"/>
        <v>1950</v>
      </c>
      <c r="G29" s="14"/>
      <c r="H29" s="14"/>
      <c r="I29" s="20"/>
      <c r="J29" s="20"/>
      <c r="K29" s="20"/>
      <c r="L29" s="17"/>
      <c r="M29" s="185">
        <f t="shared" si="1"/>
        <v>1950</v>
      </c>
      <c r="N29" s="19"/>
      <c r="O29" s="17"/>
    </row>
    <row r="30" spans="1:15" ht="18" customHeight="1" x14ac:dyDescent="0.3">
      <c r="A30" s="12"/>
      <c r="B30" s="13" t="s">
        <v>217</v>
      </c>
      <c r="C30" s="98">
        <v>30</v>
      </c>
      <c r="D30" s="99" t="s">
        <v>248</v>
      </c>
      <c r="E30" s="91">
        <v>85</v>
      </c>
      <c r="F30" s="102">
        <f t="shared" si="0"/>
        <v>2550</v>
      </c>
      <c r="G30" s="14"/>
      <c r="H30" s="14"/>
      <c r="I30" s="20"/>
      <c r="J30" s="20"/>
      <c r="K30" s="20"/>
      <c r="L30" s="17"/>
      <c r="M30" s="185">
        <f t="shared" si="1"/>
        <v>2550</v>
      </c>
      <c r="N30" s="19"/>
      <c r="O30" s="17"/>
    </row>
    <row r="31" spans="1:15" ht="18" customHeight="1" x14ac:dyDescent="0.3">
      <c r="A31" s="12"/>
      <c r="B31" s="13" t="s">
        <v>713</v>
      </c>
      <c r="C31" s="98">
        <v>50</v>
      </c>
      <c r="D31" s="99" t="s">
        <v>53</v>
      </c>
      <c r="E31" s="91">
        <v>90</v>
      </c>
      <c r="F31" s="102">
        <f t="shared" si="0"/>
        <v>4500</v>
      </c>
      <c r="G31" s="14"/>
      <c r="H31" s="14"/>
      <c r="I31" s="20"/>
      <c r="J31" s="20"/>
      <c r="K31" s="20"/>
      <c r="L31" s="17"/>
      <c r="M31" s="185">
        <f t="shared" si="1"/>
        <v>4500</v>
      </c>
      <c r="N31" s="19"/>
      <c r="O31" s="17"/>
    </row>
    <row r="32" spans="1:15" ht="18" customHeight="1" x14ac:dyDescent="0.3">
      <c r="A32" s="12"/>
      <c r="B32" s="13" t="s">
        <v>218</v>
      </c>
      <c r="C32" s="98">
        <v>20</v>
      </c>
      <c r="D32" s="99" t="s">
        <v>189</v>
      </c>
      <c r="E32" s="91">
        <v>15</v>
      </c>
      <c r="F32" s="102">
        <f t="shared" si="0"/>
        <v>300</v>
      </c>
      <c r="G32" s="14"/>
      <c r="H32" s="14"/>
      <c r="I32" s="20"/>
      <c r="J32" s="20"/>
      <c r="K32" s="20"/>
      <c r="L32" s="17"/>
      <c r="M32" s="185">
        <f t="shared" si="1"/>
        <v>300</v>
      </c>
      <c r="N32" s="19"/>
      <c r="O32" s="17"/>
    </row>
    <row r="33" spans="1:15" ht="18" customHeight="1" x14ac:dyDescent="0.3">
      <c r="A33" s="12"/>
      <c r="B33" s="13" t="s">
        <v>219</v>
      </c>
      <c r="C33" s="98">
        <v>20</v>
      </c>
      <c r="D33" s="105" t="s">
        <v>189</v>
      </c>
      <c r="E33" s="91">
        <v>155</v>
      </c>
      <c r="F33" s="102">
        <f t="shared" si="0"/>
        <v>3100</v>
      </c>
      <c r="G33" s="14"/>
      <c r="H33" s="14"/>
      <c r="I33" s="20"/>
      <c r="J33" s="20"/>
      <c r="K33" s="20"/>
      <c r="L33" s="17"/>
      <c r="M33" s="185">
        <f t="shared" si="1"/>
        <v>3100</v>
      </c>
      <c r="N33" s="19"/>
      <c r="O33" s="17"/>
    </row>
    <row r="34" spans="1:15" ht="18" customHeight="1" x14ac:dyDescent="0.3">
      <c r="A34" s="12"/>
      <c r="B34" s="13" t="s">
        <v>220</v>
      </c>
      <c r="C34" s="104">
        <v>30</v>
      </c>
      <c r="D34" s="105" t="s">
        <v>108</v>
      </c>
      <c r="E34" s="91">
        <v>150</v>
      </c>
      <c r="F34" s="102">
        <f t="shared" si="0"/>
        <v>4500</v>
      </c>
      <c r="G34" s="14"/>
      <c r="H34" s="14"/>
      <c r="I34" s="20"/>
      <c r="J34" s="20"/>
      <c r="K34" s="20"/>
      <c r="L34" s="17"/>
      <c r="M34" s="185">
        <f t="shared" si="1"/>
        <v>4500</v>
      </c>
      <c r="N34" s="19"/>
      <c r="O34" s="17"/>
    </row>
    <row r="35" spans="1:15" ht="18" customHeight="1" x14ac:dyDescent="0.3">
      <c r="A35" s="12"/>
      <c r="B35" s="13" t="s">
        <v>221</v>
      </c>
      <c r="C35" s="104">
        <v>30</v>
      </c>
      <c r="D35" s="105" t="s">
        <v>249</v>
      </c>
      <c r="E35" s="91">
        <v>30</v>
      </c>
      <c r="F35" s="102">
        <f t="shared" si="0"/>
        <v>900</v>
      </c>
      <c r="G35" s="14"/>
      <c r="H35" s="14"/>
      <c r="I35" s="20"/>
      <c r="J35" s="20"/>
      <c r="K35" s="20"/>
      <c r="L35" s="17"/>
      <c r="M35" s="185">
        <f t="shared" si="1"/>
        <v>900</v>
      </c>
      <c r="N35" s="19"/>
      <c r="O35" s="17"/>
    </row>
    <row r="36" spans="1:15" ht="18" customHeight="1" x14ac:dyDescent="0.3">
      <c r="A36" s="12"/>
      <c r="B36" s="13" t="s">
        <v>222</v>
      </c>
      <c r="C36" s="104">
        <v>36</v>
      </c>
      <c r="D36" s="105" t="s">
        <v>53</v>
      </c>
      <c r="E36" s="91">
        <v>250</v>
      </c>
      <c r="F36" s="102">
        <f t="shared" si="0"/>
        <v>9000</v>
      </c>
      <c r="G36" s="14"/>
      <c r="H36" s="14"/>
      <c r="I36" s="20"/>
      <c r="J36" s="20"/>
      <c r="K36" s="20"/>
      <c r="L36" s="17"/>
      <c r="M36" s="185">
        <f t="shared" si="1"/>
        <v>9000</v>
      </c>
      <c r="N36" s="19"/>
      <c r="O36" s="17"/>
    </row>
    <row r="37" spans="1:15" ht="18" customHeight="1" x14ac:dyDescent="0.3">
      <c r="A37" s="12"/>
      <c r="B37" s="13" t="s">
        <v>223</v>
      </c>
      <c r="C37" s="104">
        <v>500</v>
      </c>
      <c r="D37" s="105" t="s">
        <v>85</v>
      </c>
      <c r="E37" s="91">
        <v>11</v>
      </c>
      <c r="F37" s="102">
        <f t="shared" si="0"/>
        <v>5500</v>
      </c>
      <c r="G37" s="14"/>
      <c r="H37" s="14"/>
      <c r="I37" s="20"/>
      <c r="J37" s="20"/>
      <c r="K37" s="20"/>
      <c r="L37" s="17"/>
      <c r="M37" s="185">
        <f t="shared" si="1"/>
        <v>5500</v>
      </c>
      <c r="N37" s="19"/>
      <c r="O37" s="17"/>
    </row>
    <row r="38" spans="1:15" ht="18" customHeight="1" x14ac:dyDescent="0.3">
      <c r="A38" s="12"/>
      <c r="B38" s="13" t="s">
        <v>714</v>
      </c>
      <c r="C38" s="98">
        <v>300</v>
      </c>
      <c r="D38" s="99" t="s">
        <v>85</v>
      </c>
      <c r="E38" s="91">
        <v>8</v>
      </c>
      <c r="F38" s="102">
        <f t="shared" si="0"/>
        <v>2400</v>
      </c>
      <c r="G38" s="14"/>
      <c r="H38" s="14"/>
      <c r="I38" s="20"/>
      <c r="J38" s="20"/>
      <c r="K38" s="20"/>
      <c r="L38" s="17"/>
      <c r="M38" s="185">
        <f t="shared" si="1"/>
        <v>2400</v>
      </c>
      <c r="N38" s="19"/>
      <c r="O38" s="17"/>
    </row>
    <row r="39" spans="1:15" ht="18" customHeight="1" x14ac:dyDescent="0.3">
      <c r="A39" s="12"/>
      <c r="B39" s="13" t="s">
        <v>715</v>
      </c>
      <c r="C39" s="98">
        <v>100</v>
      </c>
      <c r="D39" s="99" t="s">
        <v>145</v>
      </c>
      <c r="E39" s="91">
        <v>70</v>
      </c>
      <c r="F39" s="102">
        <f t="shared" si="0"/>
        <v>7000</v>
      </c>
      <c r="G39" s="14"/>
      <c r="H39" s="14"/>
      <c r="I39" s="20"/>
      <c r="J39" s="20"/>
      <c r="K39" s="20"/>
      <c r="L39" s="17"/>
      <c r="M39" s="185">
        <f t="shared" si="1"/>
        <v>7000</v>
      </c>
      <c r="N39" s="19"/>
      <c r="O39" s="17"/>
    </row>
    <row r="40" spans="1:15" ht="18" customHeight="1" x14ac:dyDescent="0.3">
      <c r="A40" s="12"/>
      <c r="B40" s="13" t="s">
        <v>224</v>
      </c>
      <c r="C40" s="98">
        <v>45</v>
      </c>
      <c r="D40" s="99" t="s">
        <v>700</v>
      </c>
      <c r="E40" s="91">
        <v>180</v>
      </c>
      <c r="F40" s="102">
        <f t="shared" si="0"/>
        <v>8100</v>
      </c>
      <c r="G40" s="14"/>
      <c r="H40" s="14"/>
      <c r="I40" s="20"/>
      <c r="J40" s="20"/>
      <c r="K40" s="20"/>
      <c r="L40" s="17"/>
      <c r="M40" s="185">
        <f t="shared" si="1"/>
        <v>8100</v>
      </c>
      <c r="N40" s="19"/>
      <c r="O40" s="17"/>
    </row>
    <row r="41" spans="1:15" ht="18" customHeight="1" x14ac:dyDescent="0.3">
      <c r="A41" s="12"/>
      <c r="B41" s="13" t="s">
        <v>225</v>
      </c>
      <c r="C41" s="98">
        <v>10</v>
      </c>
      <c r="D41" s="99" t="s">
        <v>87</v>
      </c>
      <c r="E41" s="91">
        <v>6</v>
      </c>
      <c r="F41" s="102">
        <f t="shared" si="0"/>
        <v>60</v>
      </c>
      <c r="G41" s="14"/>
      <c r="H41" s="14"/>
      <c r="I41" s="20"/>
      <c r="J41" s="20"/>
      <c r="K41" s="20"/>
      <c r="L41" s="17"/>
      <c r="M41" s="185">
        <f t="shared" si="1"/>
        <v>60</v>
      </c>
      <c r="N41" s="19"/>
      <c r="O41" s="17"/>
    </row>
    <row r="42" spans="1:15" ht="18" customHeight="1" x14ac:dyDescent="0.3">
      <c r="A42" s="12"/>
      <c r="B42" s="13" t="s">
        <v>716</v>
      </c>
      <c r="C42" s="98">
        <v>20</v>
      </c>
      <c r="D42" s="99" t="s">
        <v>53</v>
      </c>
      <c r="E42" s="91">
        <v>20</v>
      </c>
      <c r="F42" s="102">
        <f t="shared" si="0"/>
        <v>400</v>
      </c>
      <c r="G42" s="14"/>
      <c r="H42" s="14"/>
      <c r="I42" s="20"/>
      <c r="J42" s="20"/>
      <c r="K42" s="20"/>
      <c r="L42" s="17"/>
      <c r="M42" s="185">
        <f t="shared" si="1"/>
        <v>400</v>
      </c>
      <c r="N42" s="19"/>
      <c r="O42" s="17"/>
    </row>
    <row r="43" spans="1:15" ht="18" customHeight="1" x14ac:dyDescent="0.3">
      <c r="A43" s="12"/>
      <c r="B43" s="13" t="s">
        <v>226</v>
      </c>
      <c r="C43" s="98">
        <v>8</v>
      </c>
      <c r="D43" s="99" t="s">
        <v>196</v>
      </c>
      <c r="E43" s="91">
        <v>25</v>
      </c>
      <c r="F43" s="102">
        <f t="shared" si="0"/>
        <v>200</v>
      </c>
      <c r="G43" s="14"/>
      <c r="H43" s="14"/>
      <c r="I43" s="20"/>
      <c r="J43" s="20"/>
      <c r="K43" s="20"/>
      <c r="L43" s="17"/>
      <c r="M43" s="185">
        <f t="shared" si="1"/>
        <v>200</v>
      </c>
      <c r="N43" s="19"/>
      <c r="O43" s="17"/>
    </row>
    <row r="44" spans="1:15" ht="18" customHeight="1" x14ac:dyDescent="0.3">
      <c r="A44" s="12"/>
      <c r="B44" s="13" t="s">
        <v>717</v>
      </c>
      <c r="C44" s="98">
        <v>5</v>
      </c>
      <c r="D44" s="99" t="s">
        <v>54</v>
      </c>
      <c r="E44" s="91">
        <v>1250</v>
      </c>
      <c r="F44" s="102">
        <f t="shared" si="0"/>
        <v>6250</v>
      </c>
      <c r="G44" s="14"/>
      <c r="H44" s="14"/>
      <c r="I44" s="20"/>
      <c r="J44" s="20"/>
      <c r="K44" s="20"/>
      <c r="L44" s="17"/>
      <c r="M44" s="185">
        <f t="shared" si="1"/>
        <v>6250</v>
      </c>
      <c r="N44" s="19"/>
      <c r="O44" s="17"/>
    </row>
    <row r="45" spans="1:15" ht="18" customHeight="1" x14ac:dyDescent="0.3">
      <c r="A45" s="12"/>
      <c r="B45" s="13" t="s">
        <v>718</v>
      </c>
      <c r="C45" s="98">
        <v>30</v>
      </c>
      <c r="D45" s="99" t="s">
        <v>250</v>
      </c>
      <c r="E45" s="91">
        <v>20</v>
      </c>
      <c r="F45" s="102">
        <f t="shared" si="0"/>
        <v>600</v>
      </c>
      <c r="G45" s="14"/>
      <c r="H45" s="14"/>
      <c r="I45" s="20"/>
      <c r="J45" s="20"/>
      <c r="K45" s="20"/>
      <c r="L45" s="17"/>
      <c r="M45" s="185">
        <f t="shared" si="1"/>
        <v>600</v>
      </c>
      <c r="N45" s="19"/>
      <c r="O45" s="17"/>
    </row>
    <row r="46" spans="1:15" ht="18" customHeight="1" x14ac:dyDescent="0.3">
      <c r="A46" s="12"/>
      <c r="B46" s="13" t="s">
        <v>227</v>
      </c>
      <c r="C46" s="104">
        <v>10</v>
      </c>
      <c r="D46" s="105" t="s">
        <v>52</v>
      </c>
      <c r="E46" s="91">
        <v>45</v>
      </c>
      <c r="F46" s="102">
        <f t="shared" si="0"/>
        <v>450</v>
      </c>
      <c r="G46" s="14"/>
      <c r="H46" s="14"/>
      <c r="I46" s="20"/>
      <c r="J46" s="20"/>
      <c r="K46" s="20"/>
      <c r="L46" s="17"/>
      <c r="M46" s="185">
        <f t="shared" si="1"/>
        <v>450</v>
      </c>
      <c r="N46" s="19"/>
      <c r="O46" s="17"/>
    </row>
    <row r="47" spans="1:15" ht="18" customHeight="1" x14ac:dyDescent="0.3">
      <c r="A47" s="12"/>
      <c r="B47" s="13" t="s">
        <v>228</v>
      </c>
      <c r="C47" s="98">
        <v>10</v>
      </c>
      <c r="D47" s="99" t="s">
        <v>87</v>
      </c>
      <c r="E47" s="91">
        <v>40</v>
      </c>
      <c r="F47" s="102">
        <f t="shared" si="0"/>
        <v>400</v>
      </c>
      <c r="G47" s="14"/>
      <c r="H47" s="14"/>
      <c r="I47" s="20"/>
      <c r="J47" s="20"/>
      <c r="K47" s="20"/>
      <c r="L47" s="17"/>
      <c r="M47" s="185">
        <f t="shared" si="1"/>
        <v>400</v>
      </c>
      <c r="N47" s="19"/>
      <c r="O47" s="17"/>
    </row>
    <row r="48" spans="1:15" ht="18" customHeight="1" x14ac:dyDescent="0.3">
      <c r="A48" s="12"/>
      <c r="B48" s="13" t="s">
        <v>229</v>
      </c>
      <c r="C48" s="98">
        <v>10</v>
      </c>
      <c r="D48" s="99" t="s">
        <v>53</v>
      </c>
      <c r="E48" s="91">
        <v>50</v>
      </c>
      <c r="F48" s="102">
        <f t="shared" si="0"/>
        <v>500</v>
      </c>
      <c r="G48" s="14"/>
      <c r="H48" s="14"/>
      <c r="I48" s="20"/>
      <c r="J48" s="20"/>
      <c r="K48" s="20"/>
      <c r="L48" s="17"/>
      <c r="M48" s="185">
        <f t="shared" si="1"/>
        <v>500</v>
      </c>
      <c r="N48" s="19"/>
      <c r="O48" s="17"/>
    </row>
    <row r="49" spans="1:15" ht="18" customHeight="1" x14ac:dyDescent="0.3">
      <c r="A49" s="12"/>
      <c r="B49" s="13" t="s">
        <v>719</v>
      </c>
      <c r="C49" s="104">
        <v>5</v>
      </c>
      <c r="D49" s="105" t="s">
        <v>251</v>
      </c>
      <c r="E49" s="91">
        <v>90</v>
      </c>
      <c r="F49" s="102">
        <f t="shared" si="0"/>
        <v>450</v>
      </c>
      <c r="G49" s="14"/>
      <c r="H49" s="14"/>
      <c r="I49" s="20"/>
      <c r="J49" s="20"/>
      <c r="K49" s="20"/>
      <c r="L49" s="17"/>
      <c r="M49" s="185">
        <f t="shared" si="1"/>
        <v>450</v>
      </c>
      <c r="N49" s="19"/>
      <c r="O49" s="17"/>
    </row>
    <row r="50" spans="1:15" ht="18" customHeight="1" x14ac:dyDescent="0.3">
      <c r="A50" s="12"/>
      <c r="B50" s="13" t="s">
        <v>230</v>
      </c>
      <c r="C50" s="104"/>
      <c r="D50" s="105"/>
      <c r="E50" s="91"/>
      <c r="F50" s="102">
        <f t="shared" si="0"/>
        <v>0</v>
      </c>
      <c r="G50" s="14"/>
      <c r="H50" s="14"/>
      <c r="I50" s="20"/>
      <c r="J50" s="20"/>
      <c r="K50" s="20"/>
      <c r="L50" s="17"/>
      <c r="M50" s="185">
        <f t="shared" si="1"/>
        <v>0</v>
      </c>
      <c r="N50" s="19"/>
      <c r="O50" s="17"/>
    </row>
    <row r="51" spans="1:15" ht="18" customHeight="1" x14ac:dyDescent="0.3">
      <c r="A51" s="12"/>
      <c r="B51" s="13" t="s">
        <v>231</v>
      </c>
      <c r="C51" s="104">
        <v>10</v>
      </c>
      <c r="D51" s="105" t="s">
        <v>53</v>
      </c>
      <c r="E51" s="91">
        <v>10</v>
      </c>
      <c r="F51" s="102">
        <f t="shared" si="0"/>
        <v>100</v>
      </c>
      <c r="G51" s="14"/>
      <c r="H51" s="14"/>
      <c r="I51" s="20"/>
      <c r="J51" s="20"/>
      <c r="K51" s="20"/>
      <c r="L51" s="17"/>
      <c r="M51" s="185">
        <f t="shared" si="1"/>
        <v>100</v>
      </c>
      <c r="N51" s="19"/>
      <c r="O51" s="17"/>
    </row>
    <row r="52" spans="1:15" ht="18" customHeight="1" x14ac:dyDescent="0.3">
      <c r="A52" s="12"/>
      <c r="B52" s="13" t="s">
        <v>232</v>
      </c>
      <c r="C52" s="104">
        <v>16</v>
      </c>
      <c r="D52" s="105" t="s">
        <v>53</v>
      </c>
      <c r="E52" s="91">
        <v>58</v>
      </c>
      <c r="F52" s="102">
        <f t="shared" si="0"/>
        <v>928</v>
      </c>
      <c r="G52" s="14"/>
      <c r="H52" s="14"/>
      <c r="I52" s="20"/>
      <c r="J52" s="20"/>
      <c r="K52" s="20"/>
      <c r="L52" s="17"/>
      <c r="M52" s="185">
        <f t="shared" si="1"/>
        <v>928</v>
      </c>
      <c r="N52" s="19"/>
      <c r="O52" s="17"/>
    </row>
    <row r="53" spans="1:15" ht="18" customHeight="1" x14ac:dyDescent="0.3">
      <c r="A53" s="12"/>
      <c r="B53" s="13" t="s">
        <v>233</v>
      </c>
      <c r="C53" s="98">
        <v>16</v>
      </c>
      <c r="D53" s="99" t="s">
        <v>53</v>
      </c>
      <c r="E53" s="91">
        <v>58</v>
      </c>
      <c r="F53" s="102">
        <f>M53</f>
        <v>494.36</v>
      </c>
      <c r="G53" s="14"/>
      <c r="H53" s="14"/>
      <c r="I53" s="20"/>
      <c r="J53" s="20"/>
      <c r="K53" s="20"/>
      <c r="L53" s="17"/>
      <c r="M53" s="185">
        <v>494.36</v>
      </c>
      <c r="N53" s="19"/>
      <c r="O53" s="17"/>
    </row>
    <row r="54" spans="1:15" ht="18" customHeight="1" x14ac:dyDescent="0.3">
      <c r="A54" s="12"/>
      <c r="B54" s="23" t="s">
        <v>720</v>
      </c>
      <c r="C54" s="98">
        <v>60</v>
      </c>
      <c r="D54" s="99" t="s">
        <v>53</v>
      </c>
      <c r="E54" s="91">
        <v>135</v>
      </c>
      <c r="F54" s="102">
        <f t="shared" si="0"/>
        <v>8100</v>
      </c>
      <c r="G54" s="14"/>
      <c r="H54" s="14"/>
      <c r="I54" s="20"/>
      <c r="J54" s="20"/>
      <c r="K54" s="20"/>
      <c r="L54" s="17"/>
      <c r="M54" s="185">
        <f>F54</f>
        <v>8100</v>
      </c>
      <c r="N54" s="19"/>
      <c r="O54" s="17"/>
    </row>
    <row r="55" spans="1:15" ht="18" customHeight="1" x14ac:dyDescent="0.3">
      <c r="A55" s="12"/>
      <c r="B55" s="23" t="s">
        <v>234</v>
      </c>
      <c r="C55" s="98">
        <v>80</v>
      </c>
      <c r="D55" s="99" t="s">
        <v>247</v>
      </c>
      <c r="E55" s="91">
        <v>50</v>
      </c>
      <c r="F55" s="102">
        <f t="shared" si="0"/>
        <v>4000</v>
      </c>
      <c r="G55" s="14"/>
      <c r="H55" s="14"/>
      <c r="I55" s="20"/>
      <c r="J55" s="20"/>
      <c r="K55" s="20"/>
      <c r="L55" s="17"/>
      <c r="M55" s="185">
        <f t="shared" si="1"/>
        <v>4000</v>
      </c>
      <c r="N55" s="19"/>
      <c r="O55" s="17"/>
    </row>
    <row r="56" spans="1:15" ht="18" customHeight="1" x14ac:dyDescent="0.3">
      <c r="A56" s="12"/>
      <c r="B56" s="23" t="s">
        <v>721</v>
      </c>
      <c r="C56" s="98">
        <v>10</v>
      </c>
      <c r="D56" s="99" t="s">
        <v>53</v>
      </c>
      <c r="E56" s="91">
        <v>35</v>
      </c>
      <c r="F56" s="102">
        <f t="shared" si="0"/>
        <v>350</v>
      </c>
      <c r="G56" s="14"/>
      <c r="H56" s="14"/>
      <c r="I56" s="20"/>
      <c r="J56" s="20"/>
      <c r="K56" s="20"/>
      <c r="L56" s="17"/>
      <c r="M56" s="185">
        <f t="shared" si="1"/>
        <v>350</v>
      </c>
      <c r="N56" s="19"/>
      <c r="O56" s="17"/>
    </row>
    <row r="57" spans="1:15" ht="18" customHeight="1" x14ac:dyDescent="0.3">
      <c r="A57" s="12"/>
      <c r="B57" s="23" t="s">
        <v>235</v>
      </c>
      <c r="C57" s="98">
        <v>10</v>
      </c>
      <c r="D57" s="99" t="s">
        <v>53</v>
      </c>
      <c r="E57" s="91">
        <v>50</v>
      </c>
      <c r="F57" s="102">
        <f t="shared" si="0"/>
        <v>500</v>
      </c>
      <c r="G57" s="14"/>
      <c r="H57" s="14"/>
      <c r="I57" s="20"/>
      <c r="J57" s="20"/>
      <c r="K57" s="20"/>
      <c r="L57" s="17"/>
      <c r="M57" s="185">
        <f t="shared" si="1"/>
        <v>500</v>
      </c>
      <c r="N57" s="19"/>
      <c r="O57" s="17"/>
    </row>
    <row r="58" spans="1:15" ht="18" customHeight="1" x14ac:dyDescent="0.3">
      <c r="A58" s="12"/>
      <c r="B58" s="23" t="s">
        <v>722</v>
      </c>
      <c r="C58" s="98">
        <v>10</v>
      </c>
      <c r="D58" s="99" t="s">
        <v>196</v>
      </c>
      <c r="E58" s="91">
        <v>26</v>
      </c>
      <c r="F58" s="102">
        <f t="shared" si="0"/>
        <v>260</v>
      </c>
      <c r="G58" s="14"/>
      <c r="H58" s="14"/>
      <c r="I58" s="20"/>
      <c r="J58" s="20"/>
      <c r="K58" s="20"/>
      <c r="L58" s="17"/>
      <c r="M58" s="185">
        <f t="shared" si="1"/>
        <v>260</v>
      </c>
      <c r="N58" s="19"/>
      <c r="O58" s="17"/>
    </row>
    <row r="59" spans="1:15" ht="18" customHeight="1" x14ac:dyDescent="0.3">
      <c r="A59" s="12"/>
      <c r="B59" s="23" t="s">
        <v>236</v>
      </c>
      <c r="C59" s="98">
        <v>30</v>
      </c>
      <c r="D59" s="99" t="s">
        <v>53</v>
      </c>
      <c r="E59" s="91">
        <v>35</v>
      </c>
      <c r="F59" s="102">
        <f t="shared" si="0"/>
        <v>1050</v>
      </c>
      <c r="G59" s="14"/>
      <c r="H59" s="14"/>
      <c r="I59" s="20"/>
      <c r="J59" s="20"/>
      <c r="K59" s="20"/>
      <c r="L59" s="17"/>
      <c r="M59" s="185">
        <f t="shared" si="1"/>
        <v>1050</v>
      </c>
      <c r="N59" s="19"/>
      <c r="O59" s="17"/>
    </row>
    <row r="60" spans="1:15" ht="18" customHeight="1" x14ac:dyDescent="0.3">
      <c r="A60" s="12"/>
      <c r="B60" s="23" t="s">
        <v>237</v>
      </c>
      <c r="C60" s="98">
        <v>10</v>
      </c>
      <c r="D60" s="99" t="s">
        <v>53</v>
      </c>
      <c r="E60" s="91">
        <v>7</v>
      </c>
      <c r="F60" s="102">
        <f t="shared" si="0"/>
        <v>70</v>
      </c>
      <c r="G60" s="14"/>
      <c r="H60" s="14"/>
      <c r="I60" s="20"/>
      <c r="J60" s="20"/>
      <c r="K60" s="20"/>
      <c r="L60" s="17"/>
      <c r="M60" s="185">
        <f t="shared" si="1"/>
        <v>70</v>
      </c>
      <c r="N60" s="19"/>
      <c r="O60" s="17"/>
    </row>
    <row r="61" spans="1:15" ht="18" customHeight="1" x14ac:dyDescent="0.3">
      <c r="A61" s="12"/>
      <c r="B61" s="23" t="s">
        <v>238</v>
      </c>
      <c r="C61" s="98">
        <v>20</v>
      </c>
      <c r="D61" s="99" t="s">
        <v>85</v>
      </c>
      <c r="E61" s="91">
        <v>65</v>
      </c>
      <c r="F61" s="102">
        <f t="shared" si="0"/>
        <v>1300</v>
      </c>
      <c r="G61" s="14"/>
      <c r="H61" s="14"/>
      <c r="I61" s="20"/>
      <c r="J61" s="20"/>
      <c r="K61" s="20"/>
      <c r="L61" s="17"/>
      <c r="M61" s="185">
        <f t="shared" si="1"/>
        <v>1300</v>
      </c>
      <c r="N61" s="19"/>
      <c r="O61" s="17"/>
    </row>
    <row r="62" spans="1:15" ht="18" customHeight="1" x14ac:dyDescent="0.3">
      <c r="A62" s="12"/>
      <c r="B62" s="23" t="s">
        <v>239</v>
      </c>
      <c r="C62" s="98">
        <v>10</v>
      </c>
      <c r="D62" s="99" t="s">
        <v>52</v>
      </c>
      <c r="E62" s="91">
        <v>15</v>
      </c>
      <c r="F62" s="102">
        <f t="shared" si="0"/>
        <v>150</v>
      </c>
      <c r="G62" s="14"/>
      <c r="H62" s="14"/>
      <c r="I62" s="20"/>
      <c r="J62" s="20"/>
      <c r="K62" s="20"/>
      <c r="L62" s="17"/>
      <c r="M62" s="185">
        <f t="shared" si="1"/>
        <v>150</v>
      </c>
      <c r="N62" s="19"/>
      <c r="O62" s="17"/>
    </row>
    <row r="63" spans="1:15" ht="18" customHeight="1" x14ac:dyDescent="0.3">
      <c r="A63" s="12"/>
      <c r="B63" s="23" t="s">
        <v>240</v>
      </c>
      <c r="C63" s="98">
        <v>10</v>
      </c>
      <c r="D63" s="99" t="s">
        <v>52</v>
      </c>
      <c r="E63" s="91">
        <v>105</v>
      </c>
      <c r="F63" s="102">
        <f t="shared" si="0"/>
        <v>1050</v>
      </c>
      <c r="G63" s="14"/>
      <c r="H63" s="14"/>
      <c r="I63" s="20"/>
      <c r="J63" s="20"/>
      <c r="K63" s="20"/>
      <c r="L63" s="17"/>
      <c r="M63" s="185">
        <f t="shared" si="1"/>
        <v>1050</v>
      </c>
      <c r="N63" s="19"/>
      <c r="O63" s="17"/>
    </row>
    <row r="64" spans="1:15" ht="18" customHeight="1" x14ac:dyDescent="0.3">
      <c r="A64" s="12"/>
      <c r="B64" s="23" t="s">
        <v>241</v>
      </c>
      <c r="C64" s="98">
        <v>6</v>
      </c>
      <c r="D64" s="99" t="s">
        <v>53</v>
      </c>
      <c r="E64" s="91">
        <v>127</v>
      </c>
      <c r="F64" s="102">
        <f t="shared" si="0"/>
        <v>762</v>
      </c>
      <c r="G64" s="14"/>
      <c r="H64" s="14"/>
      <c r="I64" s="20"/>
      <c r="J64" s="20"/>
      <c r="K64" s="20"/>
      <c r="L64" s="17"/>
      <c r="M64" s="185">
        <f t="shared" si="1"/>
        <v>762</v>
      </c>
      <c r="N64" s="19"/>
      <c r="O64" s="17"/>
    </row>
    <row r="65" spans="1:17" ht="18" customHeight="1" x14ac:dyDescent="0.3">
      <c r="A65" s="12"/>
      <c r="B65" s="23" t="s">
        <v>242</v>
      </c>
      <c r="C65" s="98">
        <v>2</v>
      </c>
      <c r="D65" s="99" t="s">
        <v>52</v>
      </c>
      <c r="E65" s="91">
        <v>1400</v>
      </c>
      <c r="F65" s="102">
        <f t="shared" si="0"/>
        <v>2800</v>
      </c>
      <c r="G65" s="14"/>
      <c r="H65" s="14"/>
      <c r="I65" s="20"/>
      <c r="J65" s="20"/>
      <c r="K65" s="20"/>
      <c r="L65" s="17"/>
      <c r="M65" s="185">
        <f t="shared" si="1"/>
        <v>2800</v>
      </c>
      <c r="N65" s="19"/>
      <c r="O65" s="17"/>
    </row>
    <row r="66" spans="1:17" ht="18" customHeight="1" x14ac:dyDescent="0.3">
      <c r="A66" s="12"/>
      <c r="B66" s="23" t="s">
        <v>243</v>
      </c>
      <c r="C66" s="98">
        <v>20</v>
      </c>
      <c r="D66" s="99" t="s">
        <v>145</v>
      </c>
      <c r="E66" s="91">
        <v>42</v>
      </c>
      <c r="F66" s="102">
        <f t="shared" si="0"/>
        <v>840</v>
      </c>
      <c r="G66" s="14"/>
      <c r="H66" s="14"/>
      <c r="I66" s="20"/>
      <c r="J66" s="20"/>
      <c r="K66" s="20"/>
      <c r="L66" s="17"/>
      <c r="M66" s="185">
        <f t="shared" si="1"/>
        <v>840</v>
      </c>
      <c r="N66" s="19"/>
      <c r="O66" s="17"/>
    </row>
    <row r="67" spans="1:17" ht="27" customHeight="1" x14ac:dyDescent="0.3">
      <c r="A67" s="12"/>
      <c r="B67" s="23" t="s">
        <v>244</v>
      </c>
      <c r="C67" s="98">
        <v>10</v>
      </c>
      <c r="D67" s="99" t="s">
        <v>53</v>
      </c>
      <c r="E67" s="91">
        <v>240</v>
      </c>
      <c r="F67" s="102">
        <f t="shared" si="0"/>
        <v>2400</v>
      </c>
      <c r="G67" s="14"/>
      <c r="H67" s="14"/>
      <c r="I67" s="20"/>
      <c r="J67" s="20"/>
      <c r="K67" s="20"/>
      <c r="L67" s="17"/>
      <c r="M67" s="185">
        <f t="shared" ref="M67" si="2">F67</f>
        <v>2400</v>
      </c>
      <c r="N67" s="19"/>
      <c r="O67" s="17"/>
      <c r="Q67" s="145"/>
    </row>
    <row r="68" spans="1:17" ht="15.6" x14ac:dyDescent="0.3">
      <c r="A68" s="13"/>
      <c r="B68" s="23"/>
      <c r="C68" s="224"/>
      <c r="D68" s="225"/>
      <c r="E68" s="100"/>
      <c r="F68" s="102">
        <f>M68</f>
        <v>250464.36</v>
      </c>
      <c r="G68" s="7"/>
      <c r="H68" s="7"/>
      <c r="I68" s="7"/>
      <c r="J68" s="7"/>
      <c r="K68" s="194" t="s">
        <v>43</v>
      </c>
      <c r="L68" s="195"/>
      <c r="M68" s="148">
        <f>SUM(M11:M67)</f>
        <v>250464.36</v>
      </c>
      <c r="N68" s="13"/>
      <c r="O68" s="7"/>
    </row>
    <row r="69" spans="1:17" x14ac:dyDescent="0.3">
      <c r="A69" s="155" t="s">
        <v>44</v>
      </c>
      <c r="B69" s="26"/>
      <c r="C69" s="219" t="s">
        <v>726</v>
      </c>
      <c r="D69" s="219"/>
      <c r="E69" s="219"/>
      <c r="F69" s="219"/>
      <c r="G69" s="219"/>
      <c r="H69" s="219"/>
      <c r="I69" s="26"/>
      <c r="J69" s="26"/>
      <c r="K69" s="26"/>
      <c r="L69" s="186" t="s">
        <v>45</v>
      </c>
      <c r="M69" s="186"/>
      <c r="N69" s="186"/>
      <c r="O69" s="27"/>
    </row>
    <row r="70" spans="1:17" x14ac:dyDescent="0.3">
      <c r="A70" s="3"/>
      <c r="B70" s="2"/>
      <c r="C70" s="3"/>
      <c r="D70" s="3"/>
      <c r="E70" s="3"/>
      <c r="F70" s="3"/>
      <c r="G70" s="67"/>
      <c r="H70" s="2"/>
      <c r="I70" s="2"/>
      <c r="J70" s="2"/>
      <c r="K70" s="2"/>
      <c r="L70" s="2"/>
      <c r="M70" s="28"/>
      <c r="N70" s="2"/>
      <c r="O70" s="27"/>
    </row>
    <row r="71" spans="1:17" ht="39.75" customHeight="1" x14ac:dyDescent="0.3">
      <c r="A71" s="3"/>
      <c r="B71" s="2"/>
      <c r="C71" s="3"/>
      <c r="D71" s="3"/>
      <c r="E71" s="3"/>
      <c r="F71" s="3"/>
      <c r="G71" s="67"/>
      <c r="H71" s="2"/>
      <c r="I71" s="2"/>
      <c r="J71" s="2"/>
      <c r="K71" s="2"/>
      <c r="L71" s="2"/>
      <c r="M71" s="28"/>
      <c r="N71" s="2"/>
      <c r="O71" s="27"/>
    </row>
    <row r="72" spans="1:17" x14ac:dyDescent="0.3">
      <c r="A72" s="198" t="s">
        <v>46</v>
      </c>
      <c r="B72" s="198"/>
      <c r="C72" s="29"/>
      <c r="D72" s="29"/>
      <c r="E72" s="29"/>
      <c r="F72" s="187" t="s">
        <v>47</v>
      </c>
      <c r="G72" s="187"/>
      <c r="H72" s="187"/>
      <c r="I72" s="187"/>
      <c r="J72" s="187"/>
      <c r="K72" s="2"/>
      <c r="L72" s="29"/>
      <c r="M72" s="140" t="s">
        <v>727</v>
      </c>
      <c r="N72" s="140"/>
      <c r="O72" s="140"/>
    </row>
    <row r="73" spans="1:17" x14ac:dyDescent="0.3">
      <c r="A73" s="196" t="s">
        <v>48</v>
      </c>
      <c r="B73" s="196"/>
      <c r="C73" s="3"/>
      <c r="D73" s="3"/>
      <c r="E73" s="3"/>
      <c r="F73" s="188" t="s">
        <v>49</v>
      </c>
      <c r="G73" s="188"/>
      <c r="H73" s="188"/>
      <c r="I73" s="188"/>
      <c r="J73" s="188"/>
      <c r="K73" s="2"/>
      <c r="L73" s="188" t="s">
        <v>728</v>
      </c>
      <c r="M73" s="188"/>
      <c r="N73" s="188"/>
      <c r="O73" s="188"/>
    </row>
  </sheetData>
  <mergeCells count="22"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  <mergeCell ref="A73:B73"/>
    <mergeCell ref="C9:D9"/>
    <mergeCell ref="C10:D10"/>
    <mergeCell ref="C68:D68"/>
    <mergeCell ref="K68:L68"/>
    <mergeCell ref="A72:B72"/>
    <mergeCell ref="L69:N69"/>
    <mergeCell ref="L73:O73"/>
    <mergeCell ref="C69:H69"/>
    <mergeCell ref="F72:J72"/>
    <mergeCell ref="F73:J73"/>
  </mergeCells>
  <pageMargins left="0.7" right="0.7" top="0.75" bottom="0.75" header="0.3" footer="0.3"/>
  <pageSetup paperSize="5" fitToHeight="0" orientation="landscape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3AE1-B323-48CA-9805-0B18DDA570E0}">
  <sheetPr>
    <tabColor rgb="FF00B0F0"/>
  </sheetPr>
  <dimension ref="A1:R64"/>
  <sheetViews>
    <sheetView tabSelected="1" topLeftCell="A6" workbookViewId="0">
      <selection activeCell="M10" sqref="M10:M34"/>
    </sheetView>
  </sheetViews>
  <sheetFormatPr defaultRowHeight="14.4" x14ac:dyDescent="0.3"/>
  <cols>
    <col min="1" max="1" width="9.5546875" customWidth="1"/>
    <col min="2" max="2" width="24.88671875" customWidth="1"/>
    <col min="3" max="3" width="4.44140625" customWidth="1"/>
    <col min="4" max="4" width="6.5546875" customWidth="1"/>
    <col min="5" max="5" width="5.88671875" hidden="1" customWidth="1"/>
    <col min="6" max="6" width="9.109375" hidden="1" customWidth="1"/>
    <col min="7" max="7" width="10.6640625" customWidth="1"/>
    <col min="8" max="8" width="14.88671875" customWidth="1"/>
    <col min="9" max="9" width="8.6640625" customWidth="1"/>
    <col min="10" max="10" width="10.5546875" customWidth="1"/>
    <col min="11" max="11" width="10.6640625" customWidth="1"/>
    <col min="12" max="12" width="12.33203125" customWidth="1"/>
    <col min="13" max="13" width="15" customWidth="1"/>
    <col min="14" max="14" width="13.5546875" customWidth="1"/>
    <col min="15" max="15" width="12.6640625" customWidth="1"/>
    <col min="18" max="18" width="10.109375" bestFit="1" customWidth="1"/>
  </cols>
  <sheetData>
    <row r="1" spans="1:18" x14ac:dyDescent="0.3">
      <c r="A1" s="199" t="s">
        <v>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8" x14ac:dyDescent="0.3">
      <c r="A2" s="200" t="s">
        <v>50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</row>
    <row r="3" spans="1:18" x14ac:dyDescent="0.3">
      <c r="A3" s="33"/>
      <c r="B3" s="33"/>
      <c r="C3" s="33"/>
      <c r="D3" s="33"/>
      <c r="E3" s="33"/>
      <c r="F3" s="33"/>
      <c r="G3" s="189" t="s">
        <v>2</v>
      </c>
      <c r="H3" s="189"/>
      <c r="I3" s="189" t="s">
        <v>3</v>
      </c>
      <c r="J3" s="189"/>
      <c r="K3" s="33"/>
      <c r="L3" s="33"/>
      <c r="M3" s="33"/>
      <c r="N3" s="33"/>
      <c r="O3" s="33"/>
    </row>
    <row r="4" spans="1:18" x14ac:dyDescent="0.3">
      <c r="A4" s="34" t="s">
        <v>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8" x14ac:dyDescent="0.3">
      <c r="A5" s="34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8" x14ac:dyDescent="0.3">
      <c r="A6" s="204" t="s">
        <v>6</v>
      </c>
      <c r="B6" s="204"/>
      <c r="C6" s="204"/>
      <c r="D6" s="204"/>
      <c r="E6" s="204"/>
      <c r="F6" s="204"/>
      <c r="G6" s="204"/>
      <c r="H6" s="204"/>
      <c r="I6" s="204" t="s">
        <v>7</v>
      </c>
      <c r="J6" s="204"/>
      <c r="K6" s="204"/>
      <c r="L6" s="204" t="s">
        <v>8</v>
      </c>
      <c r="M6" s="204"/>
      <c r="N6" s="205" t="s">
        <v>9</v>
      </c>
      <c r="O6" s="204" t="s">
        <v>10</v>
      </c>
    </row>
    <row r="7" spans="1:18" ht="105.6" x14ac:dyDescent="0.3">
      <c r="A7" s="106" t="s">
        <v>11</v>
      </c>
      <c r="B7" s="106" t="s">
        <v>12</v>
      </c>
      <c r="C7" s="206" t="s">
        <v>13</v>
      </c>
      <c r="D7" s="207"/>
      <c r="E7" s="123"/>
      <c r="F7" s="123"/>
      <c r="G7" s="106" t="s">
        <v>14</v>
      </c>
      <c r="H7" s="106" t="s">
        <v>15</v>
      </c>
      <c r="I7" s="106" t="s">
        <v>16</v>
      </c>
      <c r="J7" s="106" t="s">
        <v>17</v>
      </c>
      <c r="K7" s="106" t="s">
        <v>18</v>
      </c>
      <c r="L7" s="106" t="s">
        <v>19</v>
      </c>
      <c r="M7" s="106" t="s">
        <v>20</v>
      </c>
      <c r="N7" s="205"/>
      <c r="O7" s="204"/>
    </row>
    <row r="8" spans="1:18" x14ac:dyDescent="0.3">
      <c r="A8" s="36" t="s">
        <v>21</v>
      </c>
      <c r="B8" s="36" t="s">
        <v>22</v>
      </c>
      <c r="C8" s="208" t="s">
        <v>23</v>
      </c>
      <c r="D8" s="209"/>
      <c r="E8" s="121"/>
      <c r="F8" s="121"/>
      <c r="G8" s="36" t="s">
        <v>24</v>
      </c>
      <c r="H8" s="36" t="s">
        <v>25</v>
      </c>
      <c r="I8" s="36" t="s">
        <v>26</v>
      </c>
      <c r="J8" s="36" t="s">
        <v>27</v>
      </c>
      <c r="K8" s="36" t="s">
        <v>28</v>
      </c>
      <c r="L8" s="36" t="s">
        <v>29</v>
      </c>
      <c r="M8" s="36" t="s">
        <v>30</v>
      </c>
      <c r="N8" s="36" t="s">
        <v>31</v>
      </c>
      <c r="O8" s="36" t="s">
        <v>32</v>
      </c>
    </row>
    <row r="9" spans="1:18" ht="60" customHeight="1" x14ac:dyDescent="0.3">
      <c r="A9" s="37" t="s">
        <v>380</v>
      </c>
      <c r="B9" s="38" t="s">
        <v>34</v>
      </c>
      <c r="C9" s="210"/>
      <c r="D9" s="211"/>
      <c r="E9" s="122" t="s">
        <v>55</v>
      </c>
      <c r="F9" s="122" t="s">
        <v>692</v>
      </c>
      <c r="G9" s="39" t="s">
        <v>35</v>
      </c>
      <c r="H9" s="39" t="s">
        <v>36</v>
      </c>
      <c r="I9" s="40"/>
      <c r="J9" s="40"/>
      <c r="K9" s="40"/>
      <c r="L9" s="41" t="s">
        <v>37</v>
      </c>
      <c r="M9" s="10">
        <v>1200058.28</v>
      </c>
      <c r="N9" s="40" t="s">
        <v>38</v>
      </c>
      <c r="O9" s="41" t="s">
        <v>39</v>
      </c>
    </row>
    <row r="10" spans="1:18" ht="18" customHeight="1" x14ac:dyDescent="0.3">
      <c r="A10" s="43"/>
      <c r="B10" s="44" t="s">
        <v>381</v>
      </c>
      <c r="C10" s="45">
        <v>37</v>
      </c>
      <c r="D10" s="45" t="s">
        <v>382</v>
      </c>
      <c r="E10" s="45">
        <v>2400</v>
      </c>
      <c r="F10" s="136">
        <f>E10*C10</f>
        <v>88800</v>
      </c>
      <c r="G10" s="46"/>
      <c r="H10" s="46"/>
      <c r="I10" s="15" t="s">
        <v>40</v>
      </c>
      <c r="J10" s="181">
        <v>46174</v>
      </c>
      <c r="K10" s="16" t="s">
        <v>41</v>
      </c>
      <c r="L10" s="47"/>
      <c r="M10" s="246">
        <f>E10*C10</f>
        <v>88800</v>
      </c>
      <c r="N10" s="48"/>
      <c r="O10" s="47"/>
    </row>
    <row r="11" spans="1:18" ht="18" customHeight="1" x14ac:dyDescent="0.3">
      <c r="A11" s="43"/>
      <c r="B11" s="44" t="s">
        <v>383</v>
      </c>
      <c r="C11" s="45">
        <v>151</v>
      </c>
      <c r="D11" s="45" t="s">
        <v>384</v>
      </c>
      <c r="E11" s="45">
        <v>310</v>
      </c>
      <c r="F11" s="136">
        <f>E11*C11</f>
        <v>46810</v>
      </c>
      <c r="G11" s="46"/>
      <c r="H11" s="46"/>
      <c r="I11" s="15"/>
      <c r="J11" s="15"/>
      <c r="K11" s="20" t="s">
        <v>731</v>
      </c>
      <c r="L11" s="47"/>
      <c r="M11" s="246">
        <f t="shared" ref="M11:M34" si="0">E11*C11</f>
        <v>46810</v>
      </c>
      <c r="N11" s="48"/>
      <c r="O11" s="47"/>
    </row>
    <row r="12" spans="1:18" ht="18" customHeight="1" x14ac:dyDescent="0.3">
      <c r="A12" s="43"/>
      <c r="B12" s="44" t="s">
        <v>385</v>
      </c>
      <c r="C12" s="45">
        <v>151</v>
      </c>
      <c r="D12" s="45" t="s">
        <v>384</v>
      </c>
      <c r="E12" s="45">
        <v>375</v>
      </c>
      <c r="F12" s="136">
        <f>E12*C12</f>
        <v>56625</v>
      </c>
      <c r="G12" s="46"/>
      <c r="H12" s="46"/>
      <c r="I12" s="15"/>
      <c r="J12" s="15"/>
      <c r="K12" s="16"/>
      <c r="L12" s="47"/>
      <c r="M12" s="246">
        <f t="shared" si="0"/>
        <v>56625</v>
      </c>
      <c r="N12" s="48"/>
      <c r="O12" s="47"/>
    </row>
    <row r="13" spans="1:18" ht="18" customHeight="1" x14ac:dyDescent="0.3">
      <c r="A13" s="43"/>
      <c r="B13" s="44" t="s">
        <v>386</v>
      </c>
      <c r="C13" s="45">
        <v>150</v>
      </c>
      <c r="D13" s="45" t="s">
        <v>384</v>
      </c>
      <c r="E13" s="45">
        <v>180</v>
      </c>
      <c r="F13" s="136">
        <f t="shared" ref="F13:F26" si="1">E13*C13</f>
        <v>27000</v>
      </c>
      <c r="G13" s="46"/>
      <c r="H13" s="46"/>
      <c r="I13" s="15"/>
      <c r="J13" s="15"/>
      <c r="K13" s="16"/>
      <c r="L13" s="47"/>
      <c r="M13" s="246">
        <f t="shared" si="0"/>
        <v>27000</v>
      </c>
      <c r="N13" s="48"/>
      <c r="O13" s="47"/>
      <c r="R13" s="145"/>
    </row>
    <row r="14" spans="1:18" ht="18" customHeight="1" x14ac:dyDescent="0.3">
      <c r="A14" s="43"/>
      <c r="B14" s="44" t="s">
        <v>387</v>
      </c>
      <c r="C14" s="45">
        <v>180</v>
      </c>
      <c r="D14" s="45" t="s">
        <v>384</v>
      </c>
      <c r="E14" s="45">
        <v>220</v>
      </c>
      <c r="F14" s="136">
        <f t="shared" si="1"/>
        <v>39600</v>
      </c>
      <c r="G14" s="46"/>
      <c r="H14" s="46"/>
      <c r="I14" s="15"/>
      <c r="J14" s="15"/>
      <c r="K14" s="16"/>
      <c r="L14" s="47"/>
      <c r="M14" s="246">
        <f t="shared" si="0"/>
        <v>39600</v>
      </c>
      <c r="N14" s="48"/>
      <c r="O14" s="47"/>
    </row>
    <row r="15" spans="1:18" ht="18" customHeight="1" x14ac:dyDescent="0.3">
      <c r="A15" s="43"/>
      <c r="B15" s="44" t="s">
        <v>388</v>
      </c>
      <c r="C15" s="45">
        <v>200</v>
      </c>
      <c r="D15" s="45" t="s">
        <v>384</v>
      </c>
      <c r="E15" s="45">
        <v>850</v>
      </c>
      <c r="F15" s="136">
        <v>105000</v>
      </c>
      <c r="G15" s="46"/>
      <c r="H15" s="46"/>
      <c r="I15" s="15"/>
      <c r="J15" s="15"/>
      <c r="K15" s="16"/>
      <c r="L15" s="47"/>
      <c r="M15" s="246">
        <f t="shared" si="0"/>
        <v>170000</v>
      </c>
      <c r="N15" s="48"/>
      <c r="O15" s="47"/>
    </row>
    <row r="16" spans="1:18" ht="18" customHeight="1" x14ac:dyDescent="0.3">
      <c r="A16" s="43"/>
      <c r="B16" s="44" t="s">
        <v>389</v>
      </c>
      <c r="C16" s="45">
        <v>120</v>
      </c>
      <c r="D16" s="45" t="s">
        <v>390</v>
      </c>
      <c r="E16" s="45">
        <v>350</v>
      </c>
      <c r="F16" s="136">
        <f t="shared" si="1"/>
        <v>42000</v>
      </c>
      <c r="G16" s="46"/>
      <c r="H16" s="46"/>
      <c r="I16" s="15"/>
      <c r="J16" s="15"/>
      <c r="K16" s="16"/>
      <c r="L16" s="47"/>
      <c r="M16" s="246">
        <f t="shared" si="0"/>
        <v>42000</v>
      </c>
      <c r="N16" s="48"/>
      <c r="O16" s="47"/>
    </row>
    <row r="17" spans="1:15" ht="18" customHeight="1" x14ac:dyDescent="0.3">
      <c r="A17" s="43"/>
      <c r="B17" s="44" t="s">
        <v>391</v>
      </c>
      <c r="C17" s="45">
        <v>150</v>
      </c>
      <c r="D17" s="45" t="s">
        <v>390</v>
      </c>
      <c r="E17" s="45">
        <v>84</v>
      </c>
      <c r="F17" s="136">
        <f t="shared" si="1"/>
        <v>12600</v>
      </c>
      <c r="G17" s="46"/>
      <c r="H17" s="46"/>
      <c r="I17" s="15"/>
      <c r="J17" s="15"/>
      <c r="K17" s="16"/>
      <c r="L17" s="47"/>
      <c r="M17" s="246">
        <f t="shared" si="0"/>
        <v>12600</v>
      </c>
      <c r="N17" s="48"/>
      <c r="O17" s="47"/>
    </row>
    <row r="18" spans="1:15" ht="18" customHeight="1" x14ac:dyDescent="0.3">
      <c r="A18" s="43"/>
      <c r="B18" s="44" t="s">
        <v>392</v>
      </c>
      <c r="C18" s="45">
        <v>200</v>
      </c>
      <c r="D18" s="45" t="s">
        <v>354</v>
      </c>
      <c r="E18" s="45">
        <v>120</v>
      </c>
      <c r="F18" s="144">
        <f>E18*C18</f>
        <v>24000</v>
      </c>
      <c r="G18" s="46"/>
      <c r="H18" s="46"/>
      <c r="I18" s="15"/>
      <c r="J18" s="15"/>
      <c r="K18" s="16"/>
      <c r="L18" s="47"/>
      <c r="M18" s="246">
        <f t="shared" si="0"/>
        <v>24000</v>
      </c>
      <c r="N18" s="48"/>
      <c r="O18" s="47"/>
    </row>
    <row r="19" spans="1:15" ht="18" customHeight="1" x14ac:dyDescent="0.3">
      <c r="A19" s="43"/>
      <c r="B19" s="44" t="s">
        <v>393</v>
      </c>
      <c r="C19" s="45">
        <v>50</v>
      </c>
      <c r="D19" s="45" t="s">
        <v>384</v>
      </c>
      <c r="E19" s="45">
        <v>200</v>
      </c>
      <c r="F19" s="136">
        <f t="shared" si="1"/>
        <v>10000</v>
      </c>
      <c r="G19" s="46"/>
      <c r="H19" s="46"/>
      <c r="I19" s="15"/>
      <c r="J19" s="15"/>
      <c r="K19" s="16"/>
      <c r="L19" s="47"/>
      <c r="M19" s="246">
        <f t="shared" si="0"/>
        <v>10000</v>
      </c>
      <c r="N19" s="48"/>
      <c r="O19" s="47"/>
    </row>
    <row r="20" spans="1:15" ht="18" customHeight="1" x14ac:dyDescent="0.3">
      <c r="A20" s="43"/>
      <c r="B20" s="44" t="s">
        <v>394</v>
      </c>
      <c r="C20" s="45">
        <v>80</v>
      </c>
      <c r="D20" s="45" t="s">
        <v>384</v>
      </c>
      <c r="E20" s="45">
        <v>70</v>
      </c>
      <c r="F20" s="136">
        <f t="shared" si="1"/>
        <v>5600</v>
      </c>
      <c r="G20" s="46"/>
      <c r="H20" s="46"/>
      <c r="I20" s="15"/>
      <c r="J20" s="15"/>
      <c r="K20" s="16"/>
      <c r="L20" s="47"/>
      <c r="M20" s="246">
        <f t="shared" si="0"/>
        <v>5600</v>
      </c>
      <c r="N20" s="48"/>
      <c r="O20" s="47"/>
    </row>
    <row r="21" spans="1:15" ht="18" customHeight="1" x14ac:dyDescent="0.3">
      <c r="A21" s="43"/>
      <c r="B21" s="44" t="s">
        <v>395</v>
      </c>
      <c r="C21" s="45">
        <v>100</v>
      </c>
      <c r="D21" s="45" t="s">
        <v>354</v>
      </c>
      <c r="E21" s="45">
        <v>65</v>
      </c>
      <c r="F21" s="136">
        <f>E21*C21</f>
        <v>6500</v>
      </c>
      <c r="G21" s="46"/>
      <c r="H21" s="46"/>
      <c r="I21" s="15"/>
      <c r="J21" s="15"/>
      <c r="K21" s="16"/>
      <c r="L21" s="47"/>
      <c r="M21" s="246">
        <f t="shared" si="0"/>
        <v>6500</v>
      </c>
      <c r="N21" s="48"/>
      <c r="O21" s="47"/>
    </row>
    <row r="22" spans="1:15" ht="18" customHeight="1" x14ac:dyDescent="0.3">
      <c r="A22" s="43"/>
      <c r="B22" s="44" t="s">
        <v>396</v>
      </c>
      <c r="C22" s="45">
        <v>30</v>
      </c>
      <c r="D22" s="45" t="s">
        <v>384</v>
      </c>
      <c r="E22" s="45">
        <v>12</v>
      </c>
      <c r="F22" s="136">
        <v>123.28</v>
      </c>
      <c r="G22" s="46"/>
      <c r="H22" s="46"/>
      <c r="I22" s="15"/>
      <c r="J22" s="15"/>
      <c r="K22" s="16"/>
      <c r="L22" s="47"/>
      <c r="M22" s="246">
        <v>123.28</v>
      </c>
      <c r="N22" s="48"/>
      <c r="O22" s="47"/>
    </row>
    <row r="23" spans="1:15" ht="18" customHeight="1" x14ac:dyDescent="0.3">
      <c r="A23" s="43"/>
      <c r="B23" s="44" t="s">
        <v>397</v>
      </c>
      <c r="C23" s="45">
        <v>150</v>
      </c>
      <c r="D23" s="45" t="s">
        <v>398</v>
      </c>
      <c r="E23" s="45">
        <v>30</v>
      </c>
      <c r="F23" s="136">
        <f t="shared" si="1"/>
        <v>4500</v>
      </c>
      <c r="G23" s="46"/>
      <c r="H23" s="46"/>
      <c r="I23" s="15"/>
      <c r="J23" s="15"/>
      <c r="K23" s="16"/>
      <c r="L23" s="47"/>
      <c r="M23" s="246">
        <f t="shared" si="0"/>
        <v>4500</v>
      </c>
      <c r="N23" s="48"/>
      <c r="O23" s="47"/>
    </row>
    <row r="24" spans="1:15" ht="18" customHeight="1" x14ac:dyDescent="0.3">
      <c r="A24" s="43"/>
      <c r="B24" s="44" t="s">
        <v>399</v>
      </c>
      <c r="C24" s="45">
        <v>150</v>
      </c>
      <c r="D24" s="45" t="s">
        <v>398</v>
      </c>
      <c r="E24" s="45">
        <v>20</v>
      </c>
      <c r="F24" s="136">
        <f t="shared" si="1"/>
        <v>3000</v>
      </c>
      <c r="G24" s="46"/>
      <c r="H24" s="46"/>
      <c r="I24" s="15"/>
      <c r="J24" s="15"/>
      <c r="K24" s="16"/>
      <c r="L24" s="47"/>
      <c r="M24" s="246">
        <f t="shared" si="0"/>
        <v>3000</v>
      </c>
      <c r="N24" s="48"/>
      <c r="O24" s="47"/>
    </row>
    <row r="25" spans="1:15" ht="18" customHeight="1" x14ac:dyDescent="0.3">
      <c r="A25" s="43"/>
      <c r="B25" s="44" t="s">
        <v>400</v>
      </c>
      <c r="C25" s="45">
        <v>20</v>
      </c>
      <c r="D25" s="45" t="s">
        <v>384</v>
      </c>
      <c r="E25" s="45">
        <v>50</v>
      </c>
      <c r="F25" s="136">
        <f t="shared" si="1"/>
        <v>1000</v>
      </c>
      <c r="G25" s="46"/>
      <c r="H25" s="46"/>
      <c r="I25" s="15"/>
      <c r="J25" s="15"/>
      <c r="K25" s="16"/>
      <c r="L25" s="47"/>
      <c r="M25" s="246">
        <f t="shared" si="0"/>
        <v>1000</v>
      </c>
      <c r="N25" s="48"/>
      <c r="O25" s="47"/>
    </row>
    <row r="26" spans="1:15" ht="18" customHeight="1" x14ac:dyDescent="0.3">
      <c r="A26" s="43"/>
      <c r="B26" s="44" t="s">
        <v>401</v>
      </c>
      <c r="C26" s="45">
        <v>80</v>
      </c>
      <c r="D26" s="45" t="s">
        <v>402</v>
      </c>
      <c r="E26" s="45">
        <v>30</v>
      </c>
      <c r="F26" s="136">
        <f t="shared" si="1"/>
        <v>2400</v>
      </c>
      <c r="G26" s="46"/>
      <c r="H26" s="46"/>
      <c r="I26" s="15"/>
      <c r="J26" s="15"/>
      <c r="K26" s="16"/>
      <c r="L26" s="47"/>
      <c r="M26" s="246">
        <f t="shared" si="0"/>
        <v>2400</v>
      </c>
      <c r="N26" s="48"/>
      <c r="O26" s="47"/>
    </row>
    <row r="27" spans="1:15" ht="18" customHeight="1" x14ac:dyDescent="0.3">
      <c r="A27" s="43"/>
      <c r="B27" s="44" t="s">
        <v>403</v>
      </c>
      <c r="C27" s="45"/>
      <c r="D27" s="45"/>
      <c r="E27" s="45"/>
      <c r="F27" s="144">
        <v>15000</v>
      </c>
      <c r="G27" s="46"/>
      <c r="H27" s="46"/>
      <c r="I27" s="15"/>
      <c r="J27" s="15"/>
      <c r="K27" s="16"/>
      <c r="L27" s="47"/>
      <c r="M27" s="246">
        <f t="shared" si="0"/>
        <v>0</v>
      </c>
      <c r="N27" s="48"/>
      <c r="O27" s="47"/>
    </row>
    <row r="28" spans="1:15" ht="18" customHeight="1" x14ac:dyDescent="0.3">
      <c r="A28" s="43"/>
      <c r="B28" s="44" t="s">
        <v>404</v>
      </c>
      <c r="C28" s="45"/>
      <c r="D28" s="45"/>
      <c r="E28" s="45"/>
      <c r="F28" s="144">
        <v>20038.28</v>
      </c>
      <c r="G28" s="46"/>
      <c r="H28" s="46"/>
      <c r="I28" s="15"/>
      <c r="J28" s="15"/>
      <c r="K28" s="16"/>
      <c r="L28" s="47"/>
      <c r="M28" s="246">
        <f t="shared" si="0"/>
        <v>0</v>
      </c>
      <c r="N28" s="48"/>
      <c r="O28" s="47"/>
    </row>
    <row r="29" spans="1:15" ht="18" customHeight="1" x14ac:dyDescent="0.3">
      <c r="A29" s="43"/>
      <c r="B29" s="44" t="s">
        <v>405</v>
      </c>
      <c r="C29" s="45"/>
      <c r="D29" s="45"/>
      <c r="E29" s="45"/>
      <c r="F29" s="144">
        <v>15000</v>
      </c>
      <c r="G29" s="46"/>
      <c r="H29" s="46"/>
      <c r="I29" s="15"/>
      <c r="J29" s="15"/>
      <c r="K29" s="16"/>
      <c r="L29" s="47"/>
      <c r="M29" s="246">
        <f t="shared" si="0"/>
        <v>0</v>
      </c>
      <c r="N29" s="48"/>
      <c r="O29" s="47"/>
    </row>
    <row r="30" spans="1:15" ht="18" customHeight="1" x14ac:dyDescent="0.3">
      <c r="A30" s="43"/>
      <c r="B30" s="44" t="s">
        <v>406</v>
      </c>
      <c r="C30" s="45">
        <v>80</v>
      </c>
      <c r="D30" s="45" t="s">
        <v>407</v>
      </c>
      <c r="E30" s="45">
        <v>10</v>
      </c>
      <c r="F30" s="144">
        <v>2000</v>
      </c>
      <c r="G30" s="46"/>
      <c r="H30" s="46"/>
      <c r="I30" s="15"/>
      <c r="J30" s="15"/>
      <c r="K30" s="16"/>
      <c r="L30" s="47"/>
      <c r="M30" s="246">
        <f t="shared" si="0"/>
        <v>800</v>
      </c>
      <c r="N30" s="48"/>
      <c r="O30" s="47"/>
    </row>
    <row r="31" spans="1:15" ht="18" customHeight="1" x14ac:dyDescent="0.3">
      <c r="A31" s="43"/>
      <c r="B31" s="44" t="s">
        <v>408</v>
      </c>
      <c r="C31" s="45">
        <v>200</v>
      </c>
      <c r="D31" s="45" t="s">
        <v>407</v>
      </c>
      <c r="E31" s="45"/>
      <c r="F31" s="144">
        <v>2000</v>
      </c>
      <c r="G31" s="46"/>
      <c r="H31" s="46"/>
      <c r="I31" s="15"/>
      <c r="J31" s="15"/>
      <c r="K31" s="16"/>
      <c r="L31" s="47"/>
      <c r="M31" s="246">
        <f t="shared" si="0"/>
        <v>0</v>
      </c>
      <c r="N31" s="48"/>
      <c r="O31" s="47"/>
    </row>
    <row r="32" spans="1:15" ht="18" customHeight="1" x14ac:dyDescent="0.3">
      <c r="A32" s="43"/>
      <c r="B32" s="44" t="s">
        <v>409</v>
      </c>
      <c r="C32" s="45">
        <v>60</v>
      </c>
      <c r="D32" s="45" t="s">
        <v>384</v>
      </c>
      <c r="E32" s="45">
        <v>39</v>
      </c>
      <c r="F32" s="144">
        <f>E32*C32</f>
        <v>2340</v>
      </c>
      <c r="G32" s="46"/>
      <c r="H32" s="46"/>
      <c r="I32" s="15"/>
      <c r="J32" s="15"/>
      <c r="K32" s="16"/>
      <c r="L32" s="47"/>
      <c r="M32" s="246">
        <f t="shared" si="0"/>
        <v>2340</v>
      </c>
      <c r="N32" s="48"/>
      <c r="O32" s="47"/>
    </row>
    <row r="33" spans="1:15" ht="18" customHeight="1" x14ac:dyDescent="0.3">
      <c r="A33" s="43"/>
      <c r="B33" s="44" t="s">
        <v>410</v>
      </c>
      <c r="C33" s="45">
        <v>40</v>
      </c>
      <c r="D33" s="45" t="s">
        <v>411</v>
      </c>
      <c r="E33" s="45"/>
      <c r="F33" s="144">
        <v>1040</v>
      </c>
      <c r="G33" s="46"/>
      <c r="H33" s="46"/>
      <c r="I33" s="15"/>
      <c r="J33" s="15"/>
      <c r="K33" s="16"/>
      <c r="L33" s="47"/>
      <c r="M33" s="246">
        <f t="shared" si="0"/>
        <v>0</v>
      </c>
      <c r="N33" s="48"/>
      <c r="O33" s="47"/>
    </row>
    <row r="34" spans="1:15" ht="18" customHeight="1" x14ac:dyDescent="0.3">
      <c r="A34" s="43"/>
      <c r="B34" s="44" t="s">
        <v>412</v>
      </c>
      <c r="C34" s="45">
        <v>150</v>
      </c>
      <c r="D34" s="45" t="s">
        <v>53</v>
      </c>
      <c r="E34" s="45">
        <v>6</v>
      </c>
      <c r="F34" s="144">
        <f>E34*C34</f>
        <v>900</v>
      </c>
      <c r="G34" s="46"/>
      <c r="H34" s="46"/>
      <c r="I34" s="15"/>
      <c r="J34" s="15"/>
      <c r="K34" s="16"/>
      <c r="L34" s="47"/>
      <c r="M34" s="246">
        <f t="shared" si="0"/>
        <v>900</v>
      </c>
      <c r="N34" s="48"/>
      <c r="O34" s="47"/>
    </row>
    <row r="35" spans="1:15" ht="18" customHeight="1" x14ac:dyDescent="0.3">
      <c r="A35" s="53"/>
      <c r="B35" s="52"/>
      <c r="C35" s="54"/>
      <c r="D35" s="55"/>
      <c r="E35" s="55"/>
      <c r="F35" s="135">
        <f>M35</f>
        <v>544598.28</v>
      </c>
      <c r="G35" s="39"/>
      <c r="H35" s="39"/>
      <c r="I35" s="39"/>
      <c r="J35" s="39"/>
      <c r="K35" s="212" t="s">
        <v>43</v>
      </c>
      <c r="L35" s="213"/>
      <c r="M35" s="148">
        <f>SUM(M10:M34)</f>
        <v>544598.28</v>
      </c>
      <c r="N35" s="53"/>
      <c r="O35" s="39"/>
    </row>
    <row r="36" spans="1:15" x14ac:dyDescent="0.3">
      <c r="A36" s="3" t="s">
        <v>44</v>
      </c>
      <c r="B36" s="26"/>
      <c r="C36" s="11"/>
      <c r="D36" s="11"/>
      <c r="E36" s="11"/>
      <c r="F36" s="11"/>
      <c r="G36" s="11" t="s">
        <v>726</v>
      </c>
      <c r="H36" s="66"/>
      <c r="I36" s="26"/>
      <c r="J36" s="26"/>
      <c r="K36" s="26"/>
      <c r="L36" s="3"/>
      <c r="M36" s="186" t="s">
        <v>45</v>
      </c>
      <c r="N36" s="186"/>
      <c r="O36" s="27"/>
    </row>
    <row r="37" spans="1:15" x14ac:dyDescent="0.3">
      <c r="A37" s="3"/>
      <c r="B37" s="2"/>
      <c r="C37" s="3"/>
      <c r="D37" s="3"/>
      <c r="E37" s="3"/>
      <c r="F37" s="3"/>
      <c r="G37" s="3"/>
      <c r="H37" s="67"/>
      <c r="I37" s="2"/>
      <c r="J37" s="2"/>
      <c r="K37" s="2"/>
      <c r="L37" s="2"/>
      <c r="M37" s="28"/>
      <c r="N37" s="2"/>
      <c r="O37" s="27"/>
    </row>
    <row r="38" spans="1:15" ht="44.25" customHeight="1" x14ac:dyDescent="0.3">
      <c r="A38" s="3"/>
      <c r="B38" s="2"/>
      <c r="C38" s="3"/>
      <c r="D38" s="3"/>
      <c r="E38" s="3"/>
      <c r="F38" s="3"/>
      <c r="G38" s="3"/>
      <c r="H38" s="67"/>
      <c r="I38" s="2"/>
      <c r="J38" s="2"/>
      <c r="K38" s="2"/>
      <c r="L38" s="2"/>
      <c r="M38" s="28"/>
      <c r="N38" s="2"/>
      <c r="O38" s="27"/>
    </row>
    <row r="39" spans="1:15" x14ac:dyDescent="0.3">
      <c r="A39" s="198" t="s">
        <v>46</v>
      </c>
      <c r="B39" s="198"/>
      <c r="C39" s="29"/>
      <c r="D39" s="29"/>
      <c r="E39" s="29"/>
      <c r="F39" s="29"/>
      <c r="G39" s="187" t="s">
        <v>47</v>
      </c>
      <c r="H39" s="187"/>
      <c r="I39" s="187"/>
      <c r="J39" s="140"/>
      <c r="K39" s="2"/>
      <c r="L39" s="29"/>
      <c r="M39" s="187" t="s">
        <v>727</v>
      </c>
      <c r="N39" s="187"/>
      <c r="O39" s="187"/>
    </row>
    <row r="40" spans="1:15" x14ac:dyDescent="0.3">
      <c r="A40" s="196" t="s">
        <v>48</v>
      </c>
      <c r="B40" s="196"/>
      <c r="C40" s="3"/>
      <c r="D40" s="3"/>
      <c r="E40" s="3"/>
      <c r="F40" s="3"/>
      <c r="G40" s="188" t="s">
        <v>49</v>
      </c>
      <c r="H40" s="188"/>
      <c r="I40" s="188"/>
      <c r="J40" s="139"/>
      <c r="K40" s="2"/>
      <c r="L40" s="3"/>
      <c r="M40" s="188" t="s">
        <v>728</v>
      </c>
      <c r="N40" s="188"/>
      <c r="O40" s="188"/>
    </row>
    <row r="64" spans="4:4" x14ac:dyDescent="0.3">
      <c r="D64" s="145"/>
    </row>
  </sheetData>
  <mergeCells count="20">
    <mergeCell ref="A40:B40"/>
    <mergeCell ref="M40:O40"/>
    <mergeCell ref="C8:D8"/>
    <mergeCell ref="C9:D9"/>
    <mergeCell ref="K35:L35"/>
    <mergeCell ref="A39:B39"/>
    <mergeCell ref="M39:O39"/>
    <mergeCell ref="G39:I39"/>
    <mergeCell ref="G40:I40"/>
    <mergeCell ref="M36:N36"/>
    <mergeCell ref="A1:O1"/>
    <mergeCell ref="A2:O2"/>
    <mergeCell ref="A6:H6"/>
    <mergeCell ref="I6:K6"/>
    <mergeCell ref="L6:M6"/>
    <mergeCell ref="N6:N7"/>
    <mergeCell ref="O6:O7"/>
    <mergeCell ref="C7:D7"/>
    <mergeCell ref="I3:J3"/>
    <mergeCell ref="G3:H3"/>
  </mergeCells>
  <pageMargins left="0.25" right="0.25" top="0.75" bottom="0.75" header="0.3" footer="0.3"/>
  <pageSetup paperSize="5" fitToWidth="0" orientation="landscape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FD6BC-B3D6-4D70-A4CE-B6CE46813060}">
  <sheetPr>
    <tabColor rgb="FF00B0F0"/>
    <pageSetUpPr fitToPage="1"/>
  </sheetPr>
  <dimension ref="A1:P23"/>
  <sheetViews>
    <sheetView workbookViewId="0">
      <selection activeCell="M10" sqref="M10:M16"/>
    </sheetView>
  </sheetViews>
  <sheetFormatPr defaultRowHeight="14.4" x14ac:dyDescent="0.3"/>
  <cols>
    <col min="1" max="1" width="9.5546875" customWidth="1"/>
    <col min="2" max="2" width="23.6640625" customWidth="1"/>
    <col min="3" max="3" width="5.5546875" customWidth="1"/>
    <col min="4" max="4" width="4.88671875" customWidth="1"/>
    <col min="5" max="5" width="6.5546875" hidden="1" customWidth="1"/>
    <col min="6" max="6" width="7.88671875" hidden="1" customWidth="1"/>
    <col min="7" max="7" width="14.44140625" customWidth="1"/>
    <col min="8" max="8" width="14.88671875" customWidth="1"/>
    <col min="9" max="9" width="8.6640625" customWidth="1"/>
    <col min="10" max="10" width="10.5546875" customWidth="1"/>
    <col min="11" max="11" width="10.6640625" customWidth="1"/>
    <col min="12" max="12" width="12.33203125" customWidth="1"/>
    <col min="13" max="13" width="14.44140625" customWidth="1"/>
    <col min="14" max="14" width="11" customWidth="1"/>
    <col min="15" max="15" width="12.6640625" customWidth="1"/>
  </cols>
  <sheetData>
    <row r="1" spans="1:16" x14ac:dyDescent="0.3">
      <c r="A1" s="199" t="s">
        <v>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6" x14ac:dyDescent="0.3">
      <c r="A2" s="200" t="s">
        <v>50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</row>
    <row r="3" spans="1:16" x14ac:dyDescent="0.3">
      <c r="A3" s="33"/>
      <c r="B3" s="33"/>
      <c r="C3" s="33"/>
      <c r="D3" s="33"/>
      <c r="E3" s="33"/>
      <c r="F3" s="33"/>
      <c r="G3" s="200" t="s">
        <v>2</v>
      </c>
      <c r="H3" s="200"/>
      <c r="I3" s="200" t="s">
        <v>3</v>
      </c>
      <c r="J3" s="200"/>
      <c r="K3" s="33"/>
      <c r="L3" s="33"/>
      <c r="M3" s="33"/>
      <c r="N3" s="33"/>
      <c r="O3" s="33"/>
    </row>
    <row r="4" spans="1:16" x14ac:dyDescent="0.3">
      <c r="A4" s="34" t="s">
        <v>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6" x14ac:dyDescent="0.3">
      <c r="A5" s="34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6" x14ac:dyDescent="0.3">
      <c r="A6" s="204" t="s">
        <v>6</v>
      </c>
      <c r="B6" s="204"/>
      <c r="C6" s="204"/>
      <c r="D6" s="204"/>
      <c r="E6" s="204"/>
      <c r="F6" s="204"/>
      <c r="G6" s="204"/>
      <c r="H6" s="204"/>
      <c r="I6" s="204" t="s">
        <v>7</v>
      </c>
      <c r="J6" s="204"/>
      <c r="K6" s="204"/>
      <c r="L6" s="204" t="s">
        <v>8</v>
      </c>
      <c r="M6" s="204"/>
      <c r="N6" s="205" t="s">
        <v>9</v>
      </c>
      <c r="O6" s="204" t="s">
        <v>10</v>
      </c>
    </row>
    <row r="7" spans="1:16" ht="105.6" x14ac:dyDescent="0.3">
      <c r="A7" s="106" t="s">
        <v>11</v>
      </c>
      <c r="B7" s="106" t="s">
        <v>12</v>
      </c>
      <c r="C7" s="206" t="s">
        <v>13</v>
      </c>
      <c r="D7" s="207"/>
      <c r="E7" s="123"/>
      <c r="F7" s="123"/>
      <c r="G7" s="106" t="s">
        <v>14</v>
      </c>
      <c r="H7" s="106" t="s">
        <v>15</v>
      </c>
      <c r="I7" s="106" t="s">
        <v>16</v>
      </c>
      <c r="J7" s="106" t="s">
        <v>17</v>
      </c>
      <c r="K7" s="106" t="s">
        <v>18</v>
      </c>
      <c r="L7" s="106" t="s">
        <v>19</v>
      </c>
      <c r="M7" s="106" t="s">
        <v>20</v>
      </c>
      <c r="N7" s="205"/>
      <c r="O7" s="204"/>
    </row>
    <row r="8" spans="1:16" x14ac:dyDescent="0.3">
      <c r="A8" s="36" t="s">
        <v>21</v>
      </c>
      <c r="B8" s="36" t="s">
        <v>22</v>
      </c>
      <c r="C8" s="208" t="s">
        <v>23</v>
      </c>
      <c r="D8" s="209"/>
      <c r="E8" s="121"/>
      <c r="F8" s="121"/>
      <c r="G8" s="36" t="s">
        <v>24</v>
      </c>
      <c r="H8" s="36" t="s">
        <v>25</v>
      </c>
      <c r="I8" s="36" t="s">
        <v>26</v>
      </c>
      <c r="J8" s="36" t="s">
        <v>27</v>
      </c>
      <c r="K8" s="36" t="s">
        <v>28</v>
      </c>
      <c r="L8" s="36" t="s">
        <v>29</v>
      </c>
      <c r="M8" s="36" t="s">
        <v>30</v>
      </c>
      <c r="N8" s="36" t="s">
        <v>31</v>
      </c>
      <c r="O8" s="36" t="s">
        <v>32</v>
      </c>
    </row>
    <row r="9" spans="1:16" ht="69.75" customHeight="1" x14ac:dyDescent="0.3">
      <c r="A9" s="37" t="s">
        <v>413</v>
      </c>
      <c r="B9" s="38" t="s">
        <v>34</v>
      </c>
      <c r="C9" s="210"/>
      <c r="D9" s="211"/>
      <c r="E9" s="122" t="s">
        <v>55</v>
      </c>
      <c r="F9" s="122" t="s">
        <v>692</v>
      </c>
      <c r="G9" s="39"/>
      <c r="H9" s="39" t="s">
        <v>36</v>
      </c>
      <c r="I9" s="40"/>
      <c r="J9" s="40"/>
      <c r="K9" s="40"/>
      <c r="L9" s="41" t="s">
        <v>37</v>
      </c>
      <c r="M9" s="10">
        <v>1200000</v>
      </c>
      <c r="N9" s="40" t="s">
        <v>38</v>
      </c>
      <c r="O9" s="41" t="s">
        <v>39</v>
      </c>
    </row>
    <row r="10" spans="1:16" x14ac:dyDescent="0.3">
      <c r="A10" s="43"/>
      <c r="B10" s="44" t="s">
        <v>414</v>
      </c>
      <c r="C10" s="45">
        <v>3650</v>
      </c>
      <c r="D10" s="45" t="s">
        <v>415</v>
      </c>
      <c r="E10" s="45">
        <v>71</v>
      </c>
      <c r="F10" s="45">
        <f t="shared" ref="F10:F16" si="0">E10*C10</f>
        <v>259150</v>
      </c>
      <c r="G10" s="46" t="s">
        <v>416</v>
      </c>
      <c r="H10" s="46"/>
      <c r="I10" s="15" t="s">
        <v>40</v>
      </c>
      <c r="J10" s="181">
        <v>46174</v>
      </c>
      <c r="K10" s="16" t="s">
        <v>41</v>
      </c>
      <c r="L10" s="47"/>
      <c r="M10" s="185">
        <f t="shared" ref="M10:M16" si="1">F10</f>
        <v>259150</v>
      </c>
      <c r="N10" s="48"/>
      <c r="O10" s="47"/>
      <c r="P10" s="182"/>
    </row>
    <row r="11" spans="1:16" x14ac:dyDescent="0.3">
      <c r="A11" s="43"/>
      <c r="B11" s="44" t="s">
        <v>417</v>
      </c>
      <c r="C11" s="45">
        <v>110</v>
      </c>
      <c r="D11" s="45" t="s">
        <v>415</v>
      </c>
      <c r="E11" s="45">
        <v>75</v>
      </c>
      <c r="F11" s="45">
        <v>8244</v>
      </c>
      <c r="G11" s="46" t="s">
        <v>35</v>
      </c>
      <c r="H11" s="46"/>
      <c r="I11" s="15"/>
      <c r="J11" s="15"/>
      <c r="K11" s="20" t="s">
        <v>731</v>
      </c>
      <c r="L11" s="47"/>
      <c r="M11" s="185">
        <v>8244</v>
      </c>
      <c r="N11" s="48"/>
      <c r="O11" s="47"/>
    </row>
    <row r="12" spans="1:16" x14ac:dyDescent="0.3">
      <c r="A12" s="43"/>
      <c r="B12" s="44" t="s">
        <v>418</v>
      </c>
      <c r="C12" s="45">
        <v>120</v>
      </c>
      <c r="D12" s="45" t="s">
        <v>415</v>
      </c>
      <c r="E12" s="45">
        <v>150</v>
      </c>
      <c r="F12" s="45">
        <f t="shared" si="0"/>
        <v>18000</v>
      </c>
      <c r="G12" s="46" t="s">
        <v>35</v>
      </c>
      <c r="H12" s="46"/>
      <c r="I12" s="15"/>
      <c r="J12" s="15"/>
      <c r="K12" s="16"/>
      <c r="L12" s="47"/>
      <c r="M12" s="185">
        <f t="shared" si="1"/>
        <v>18000</v>
      </c>
      <c r="N12" s="48"/>
      <c r="O12" s="47"/>
    </row>
    <row r="13" spans="1:16" x14ac:dyDescent="0.3">
      <c r="A13" s="43"/>
      <c r="B13" s="44" t="s">
        <v>419</v>
      </c>
      <c r="C13" s="45">
        <v>49</v>
      </c>
      <c r="D13" s="45" t="s">
        <v>420</v>
      </c>
      <c r="E13" s="45">
        <v>349</v>
      </c>
      <c r="F13" s="45">
        <f t="shared" si="0"/>
        <v>17101</v>
      </c>
      <c r="G13" s="46" t="s">
        <v>35</v>
      </c>
      <c r="H13" s="46"/>
      <c r="I13" s="15"/>
      <c r="J13" s="15"/>
      <c r="K13" s="16"/>
      <c r="L13" s="47"/>
      <c r="M13" s="185">
        <f t="shared" si="1"/>
        <v>17101</v>
      </c>
      <c r="N13" s="48"/>
      <c r="O13" s="47"/>
    </row>
    <row r="14" spans="1:16" x14ac:dyDescent="0.3">
      <c r="A14" s="43"/>
      <c r="B14" s="44" t="s">
        <v>421</v>
      </c>
      <c r="C14" s="45">
        <v>40</v>
      </c>
      <c r="D14" s="45" t="s">
        <v>420</v>
      </c>
      <c r="E14" s="45">
        <v>600</v>
      </c>
      <c r="F14" s="45">
        <f t="shared" si="0"/>
        <v>24000</v>
      </c>
      <c r="G14" s="46" t="s">
        <v>35</v>
      </c>
      <c r="H14" s="46"/>
      <c r="I14" s="15"/>
      <c r="J14" s="15"/>
      <c r="K14" s="16"/>
      <c r="L14" s="47"/>
      <c r="M14" s="185">
        <f t="shared" si="1"/>
        <v>24000</v>
      </c>
      <c r="N14" s="48"/>
      <c r="O14" s="47"/>
    </row>
    <row r="15" spans="1:16" x14ac:dyDescent="0.3">
      <c r="A15" s="43"/>
      <c r="B15" s="44" t="s">
        <v>422</v>
      </c>
      <c r="C15" s="45">
        <v>58</v>
      </c>
      <c r="D15" s="45" t="s">
        <v>415</v>
      </c>
      <c r="E15" s="45">
        <v>300</v>
      </c>
      <c r="F15" s="45">
        <f t="shared" si="0"/>
        <v>17400</v>
      </c>
      <c r="G15" s="46" t="s">
        <v>35</v>
      </c>
      <c r="H15" s="46"/>
      <c r="I15" s="15"/>
      <c r="J15" s="15"/>
      <c r="K15" s="16"/>
      <c r="L15" s="47"/>
      <c r="M15" s="185">
        <f t="shared" si="1"/>
        <v>17400</v>
      </c>
      <c r="N15" s="48"/>
      <c r="O15" s="47"/>
    </row>
    <row r="16" spans="1:16" x14ac:dyDescent="0.3">
      <c r="A16" s="43"/>
      <c r="B16" s="44" t="s">
        <v>423</v>
      </c>
      <c r="C16" s="45">
        <v>60</v>
      </c>
      <c r="D16" s="45" t="s">
        <v>110</v>
      </c>
      <c r="E16" s="45">
        <v>455</v>
      </c>
      <c r="F16" s="45">
        <f t="shared" si="0"/>
        <v>27300</v>
      </c>
      <c r="G16" s="46" t="s">
        <v>35</v>
      </c>
      <c r="H16" s="46"/>
      <c r="I16" s="15"/>
      <c r="J16" s="15"/>
      <c r="K16" s="16"/>
      <c r="L16" s="47"/>
      <c r="M16" s="185">
        <f t="shared" si="1"/>
        <v>27300</v>
      </c>
      <c r="N16" s="48"/>
      <c r="O16" s="47"/>
    </row>
    <row r="17" spans="1:15" x14ac:dyDescent="0.3">
      <c r="A17" s="43"/>
      <c r="B17" s="44"/>
      <c r="C17" s="45"/>
      <c r="D17" s="45"/>
      <c r="E17" s="45"/>
      <c r="F17" s="45"/>
      <c r="G17" s="46"/>
      <c r="H17" s="46"/>
      <c r="I17" s="15"/>
      <c r="J17" s="15"/>
      <c r="K17" s="16"/>
      <c r="L17" s="47"/>
      <c r="M17" s="18"/>
      <c r="N17" s="48"/>
      <c r="O17" s="47"/>
    </row>
    <row r="18" spans="1:15" ht="15.6" x14ac:dyDescent="0.3">
      <c r="A18" s="53"/>
      <c r="B18" s="52"/>
      <c r="C18" s="54"/>
      <c r="D18" s="55"/>
      <c r="E18" s="55"/>
      <c r="F18" s="135">
        <f>M18</f>
        <v>371195</v>
      </c>
      <c r="G18" s="39"/>
      <c r="H18" s="39"/>
      <c r="I18" s="39"/>
      <c r="J18" s="39"/>
      <c r="K18" s="212" t="s">
        <v>43</v>
      </c>
      <c r="L18" s="213"/>
      <c r="M18" s="148">
        <f>SUM(M10:M17)</f>
        <v>371195</v>
      </c>
      <c r="N18" s="53"/>
      <c r="O18" s="39"/>
    </row>
    <row r="19" spans="1:15" x14ac:dyDescent="0.3">
      <c r="A19" s="3" t="s">
        <v>44</v>
      </c>
      <c r="B19" s="26"/>
      <c r="C19" s="11"/>
      <c r="D19" s="11"/>
      <c r="E19" s="11"/>
      <c r="F19" s="11"/>
      <c r="G19" s="11" t="s">
        <v>726</v>
      </c>
      <c r="H19" s="66"/>
      <c r="I19" s="26"/>
      <c r="J19" s="26"/>
      <c r="K19" s="26"/>
      <c r="L19" s="3"/>
      <c r="M19" s="186" t="s">
        <v>45</v>
      </c>
      <c r="N19" s="186"/>
      <c r="O19" s="27"/>
    </row>
    <row r="20" spans="1:15" x14ac:dyDescent="0.3">
      <c r="A20" s="3"/>
      <c r="B20" s="2"/>
      <c r="C20" s="3"/>
      <c r="D20" s="3"/>
      <c r="E20" s="3"/>
      <c r="F20" s="3"/>
      <c r="G20" s="3"/>
      <c r="H20" s="67"/>
      <c r="I20" s="2"/>
      <c r="J20" s="2"/>
      <c r="K20" s="2"/>
      <c r="L20" s="2"/>
      <c r="M20" s="28"/>
      <c r="N20" s="2"/>
      <c r="O20" s="27"/>
    </row>
    <row r="21" spans="1:15" ht="35.25" customHeight="1" x14ac:dyDescent="0.3">
      <c r="A21" s="3"/>
      <c r="B21" s="2"/>
      <c r="C21" s="3"/>
      <c r="D21" s="3"/>
      <c r="E21" s="3"/>
      <c r="F21" s="3"/>
      <c r="G21" s="3"/>
      <c r="H21" s="67"/>
      <c r="I21" s="2"/>
      <c r="J21" s="2"/>
      <c r="K21" s="2"/>
      <c r="L21" s="2"/>
      <c r="M21" s="28"/>
      <c r="N21" s="2"/>
      <c r="O21" s="27"/>
    </row>
    <row r="22" spans="1:15" x14ac:dyDescent="0.3">
      <c r="A22" s="198" t="s">
        <v>46</v>
      </c>
      <c r="B22" s="198"/>
      <c r="C22" s="29"/>
      <c r="D22" s="29"/>
      <c r="E22" s="29"/>
      <c r="F22" s="29"/>
      <c r="G22" s="187" t="s">
        <v>47</v>
      </c>
      <c r="H22" s="187"/>
      <c r="I22" s="187"/>
      <c r="J22" s="140"/>
      <c r="K22" s="2"/>
      <c r="L22" s="29"/>
      <c r="M22" s="187" t="s">
        <v>727</v>
      </c>
      <c r="N22" s="187"/>
      <c r="O22" s="187"/>
    </row>
    <row r="23" spans="1:15" x14ac:dyDescent="0.3">
      <c r="A23" s="196" t="s">
        <v>48</v>
      </c>
      <c r="B23" s="196"/>
      <c r="C23" s="3"/>
      <c r="D23" s="3"/>
      <c r="E23" s="3"/>
      <c r="F23" s="3"/>
      <c r="G23" s="188" t="s">
        <v>49</v>
      </c>
      <c r="H23" s="188"/>
      <c r="I23" s="188"/>
      <c r="J23" s="139"/>
      <c r="K23" s="2"/>
      <c r="L23" s="3"/>
      <c r="M23" s="188" t="s">
        <v>728</v>
      </c>
      <c r="N23" s="188"/>
      <c r="O23" s="188"/>
    </row>
  </sheetData>
  <mergeCells count="20">
    <mergeCell ref="A23:B23"/>
    <mergeCell ref="M23:O23"/>
    <mergeCell ref="C8:D8"/>
    <mergeCell ref="C9:D9"/>
    <mergeCell ref="K18:L18"/>
    <mergeCell ref="A22:B22"/>
    <mergeCell ref="M22:O22"/>
    <mergeCell ref="G22:I22"/>
    <mergeCell ref="G23:I23"/>
    <mergeCell ref="M19:N19"/>
    <mergeCell ref="A1:O1"/>
    <mergeCell ref="A2:O2"/>
    <mergeCell ref="A6:H6"/>
    <mergeCell ref="I6:K6"/>
    <mergeCell ref="L6:M6"/>
    <mergeCell ref="N6:N7"/>
    <mergeCell ref="O6:O7"/>
    <mergeCell ref="C7:D7"/>
    <mergeCell ref="I3:J3"/>
    <mergeCell ref="G3:H3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AAD6-233F-4010-80BF-42E44C3559F1}">
  <sheetPr>
    <tabColor rgb="FF00B0F0"/>
    <pageSetUpPr fitToPage="1"/>
  </sheetPr>
  <dimension ref="A1:Q31"/>
  <sheetViews>
    <sheetView topLeftCell="A8" workbookViewId="0">
      <selection activeCell="M11" sqref="M11:M25"/>
    </sheetView>
  </sheetViews>
  <sheetFormatPr defaultRowHeight="14.4" x14ac:dyDescent="0.3"/>
  <cols>
    <col min="1" max="1" width="13.88671875" customWidth="1"/>
    <col min="2" max="2" width="26.5546875" customWidth="1"/>
    <col min="3" max="3" width="5.44140625" customWidth="1"/>
    <col min="4" max="4" width="6.33203125" customWidth="1"/>
    <col min="5" max="5" width="8.5546875" hidden="1" customWidth="1"/>
    <col min="6" max="6" width="12.33203125" hidden="1" customWidth="1"/>
    <col min="7" max="7" width="13.5546875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  <col min="17" max="17" width="10.109375" bestFit="1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79" t="s">
        <v>11</v>
      </c>
      <c r="B8" s="79" t="s">
        <v>12</v>
      </c>
      <c r="C8" s="222" t="s">
        <v>13</v>
      </c>
      <c r="D8" s="223"/>
      <c r="E8" s="80"/>
      <c r="F8" s="63"/>
      <c r="G8" s="79" t="s">
        <v>14</v>
      </c>
      <c r="H8" s="79" t="s">
        <v>15</v>
      </c>
      <c r="I8" s="79" t="s">
        <v>16</v>
      </c>
      <c r="J8" s="79" t="s">
        <v>17</v>
      </c>
      <c r="K8" s="79" t="s">
        <v>18</v>
      </c>
      <c r="L8" s="79" t="s">
        <v>19</v>
      </c>
      <c r="M8" s="79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81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69</v>
      </c>
      <c r="B10" s="6" t="s">
        <v>34</v>
      </c>
      <c r="C10" s="216"/>
      <c r="D10" s="217"/>
      <c r="E10" s="82" t="s">
        <v>55</v>
      </c>
      <c r="F10" s="65" t="s">
        <v>56</v>
      </c>
      <c r="G10" s="7" t="s">
        <v>35</v>
      </c>
      <c r="H10" s="7" t="s">
        <v>36</v>
      </c>
      <c r="I10" s="8"/>
      <c r="J10" s="8"/>
      <c r="K10" s="8"/>
      <c r="L10" s="9" t="s">
        <v>37</v>
      </c>
      <c r="M10" s="10">
        <v>180400</v>
      </c>
      <c r="N10" s="8" t="s">
        <v>38</v>
      </c>
      <c r="O10" s="9" t="s">
        <v>39</v>
      </c>
    </row>
    <row r="11" spans="1:15" x14ac:dyDescent="0.3">
      <c r="A11" s="12"/>
      <c r="B11" s="160" t="s">
        <v>70</v>
      </c>
      <c r="C11" s="87">
        <v>4</v>
      </c>
      <c r="D11" s="88" t="s">
        <v>85</v>
      </c>
      <c r="E11" s="90">
        <v>1700</v>
      </c>
      <c r="F11" s="102">
        <f t="shared" ref="F11:F25" si="0">E11*C11</f>
        <v>6800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6800</v>
      </c>
      <c r="N11" s="19"/>
      <c r="O11" s="17"/>
    </row>
    <row r="12" spans="1:15" x14ac:dyDescent="0.3">
      <c r="A12" s="12"/>
      <c r="B12" s="160" t="s">
        <v>71</v>
      </c>
      <c r="C12" s="87">
        <v>4</v>
      </c>
      <c r="D12" s="88" t="s">
        <v>85</v>
      </c>
      <c r="E12" s="90">
        <v>2000</v>
      </c>
      <c r="F12" s="102">
        <f t="shared" si="0"/>
        <v>8000</v>
      </c>
      <c r="G12" s="14"/>
      <c r="H12" s="14"/>
      <c r="I12" s="15"/>
      <c r="J12" s="15"/>
      <c r="K12" s="20" t="s">
        <v>731</v>
      </c>
      <c r="L12" s="17"/>
      <c r="M12" s="185">
        <f t="shared" ref="M12:M25" si="1">F12</f>
        <v>8000</v>
      </c>
      <c r="N12" s="19"/>
      <c r="O12" s="17"/>
    </row>
    <row r="13" spans="1:15" x14ac:dyDescent="0.3">
      <c r="A13" s="12"/>
      <c r="B13" s="160" t="s">
        <v>72</v>
      </c>
      <c r="C13" s="87">
        <v>8</v>
      </c>
      <c r="D13" s="88" t="s">
        <v>85</v>
      </c>
      <c r="E13" s="90">
        <v>3500</v>
      </c>
      <c r="F13" s="102">
        <f t="shared" si="0"/>
        <v>28000</v>
      </c>
      <c r="G13" s="14"/>
      <c r="H13" s="14"/>
      <c r="I13" s="15"/>
      <c r="J13" s="15"/>
      <c r="K13" s="16"/>
      <c r="L13" s="17"/>
      <c r="M13" s="185">
        <f t="shared" si="1"/>
        <v>28000</v>
      </c>
      <c r="N13" s="19"/>
      <c r="O13" s="17"/>
    </row>
    <row r="14" spans="1:15" x14ac:dyDescent="0.3">
      <c r="A14" s="12"/>
      <c r="B14" s="160" t="s">
        <v>73</v>
      </c>
      <c r="C14" s="87">
        <v>2</v>
      </c>
      <c r="D14" s="88" t="s">
        <v>86</v>
      </c>
      <c r="E14" s="90">
        <v>1000</v>
      </c>
      <c r="F14" s="102">
        <f t="shared" si="0"/>
        <v>2000</v>
      </c>
      <c r="G14" s="14"/>
      <c r="H14" s="14"/>
      <c r="I14" s="15"/>
      <c r="J14" s="15"/>
      <c r="K14" s="16"/>
      <c r="L14" s="17"/>
      <c r="M14" s="185">
        <f t="shared" si="1"/>
        <v>2000</v>
      </c>
      <c r="N14" s="19"/>
      <c r="O14" s="17"/>
    </row>
    <row r="15" spans="1:15" x14ac:dyDescent="0.3">
      <c r="A15" s="12"/>
      <c r="B15" s="160" t="s">
        <v>74</v>
      </c>
      <c r="C15" s="87">
        <v>2</v>
      </c>
      <c r="D15" s="88" t="s">
        <v>86</v>
      </c>
      <c r="E15" s="90">
        <v>690</v>
      </c>
      <c r="F15" s="102">
        <v>690</v>
      </c>
      <c r="G15" s="14"/>
      <c r="H15" s="14"/>
      <c r="I15" s="15"/>
      <c r="J15" s="15"/>
      <c r="K15" s="20"/>
      <c r="L15" s="17"/>
      <c r="M15" s="185">
        <v>690</v>
      </c>
      <c r="N15" s="19"/>
      <c r="O15" s="17"/>
    </row>
    <row r="16" spans="1:15" x14ac:dyDescent="0.3">
      <c r="A16" s="12"/>
      <c r="B16" s="160" t="s">
        <v>75</v>
      </c>
      <c r="C16" s="87">
        <v>2</v>
      </c>
      <c r="D16" s="88" t="s">
        <v>85</v>
      </c>
      <c r="E16" s="90">
        <v>700</v>
      </c>
      <c r="F16" s="102">
        <f t="shared" si="0"/>
        <v>1400</v>
      </c>
      <c r="G16" s="14"/>
      <c r="H16" s="14"/>
      <c r="I16" s="20"/>
      <c r="J16" s="20"/>
      <c r="K16" s="20"/>
      <c r="L16" s="17"/>
      <c r="M16" s="185">
        <f t="shared" si="1"/>
        <v>1400</v>
      </c>
      <c r="N16" s="19"/>
      <c r="O16" s="17"/>
    </row>
    <row r="17" spans="1:17" x14ac:dyDescent="0.3">
      <c r="A17" s="12"/>
      <c r="B17" s="160" t="s">
        <v>76</v>
      </c>
      <c r="C17" s="161">
        <v>2</v>
      </c>
      <c r="D17" s="88" t="s">
        <v>85</v>
      </c>
      <c r="E17" s="90">
        <v>1300</v>
      </c>
      <c r="F17" s="102">
        <f t="shared" si="0"/>
        <v>2600</v>
      </c>
      <c r="G17" s="14"/>
      <c r="H17" s="14"/>
      <c r="I17" s="20"/>
      <c r="J17" s="20"/>
      <c r="K17" s="20"/>
      <c r="L17" s="17"/>
      <c r="M17" s="185">
        <f t="shared" si="1"/>
        <v>2600</v>
      </c>
      <c r="N17" s="19"/>
      <c r="O17" s="17"/>
    </row>
    <row r="18" spans="1:17" x14ac:dyDescent="0.3">
      <c r="A18" s="12"/>
      <c r="B18" s="160" t="s">
        <v>77</v>
      </c>
      <c r="C18" s="87">
        <v>2</v>
      </c>
      <c r="D18" s="88" t="s">
        <v>86</v>
      </c>
      <c r="E18" s="90">
        <v>1300</v>
      </c>
      <c r="F18" s="102">
        <f t="shared" si="0"/>
        <v>2600</v>
      </c>
      <c r="G18" s="14"/>
      <c r="H18" s="14"/>
      <c r="I18" s="20"/>
      <c r="J18" s="20"/>
      <c r="K18" s="20"/>
      <c r="L18" s="17"/>
      <c r="M18" s="185">
        <f t="shared" si="1"/>
        <v>2600</v>
      </c>
      <c r="N18" s="19"/>
      <c r="O18" s="17"/>
    </row>
    <row r="19" spans="1:17" ht="26.4" x14ac:dyDescent="0.3">
      <c r="A19" s="12"/>
      <c r="B19" s="160" t="s">
        <v>78</v>
      </c>
      <c r="C19" s="87">
        <v>2</v>
      </c>
      <c r="D19" s="88" t="s">
        <v>85</v>
      </c>
      <c r="E19" s="90">
        <v>4000</v>
      </c>
      <c r="F19" s="102">
        <f t="shared" si="0"/>
        <v>8000</v>
      </c>
      <c r="G19" s="14"/>
      <c r="H19" s="14"/>
      <c r="I19" s="20"/>
      <c r="J19" s="20"/>
      <c r="K19" s="20"/>
      <c r="L19" s="17"/>
      <c r="M19" s="185">
        <f t="shared" si="1"/>
        <v>8000</v>
      </c>
      <c r="N19" s="19"/>
      <c r="O19" s="17"/>
    </row>
    <row r="20" spans="1:17" x14ac:dyDescent="0.3">
      <c r="A20" s="12"/>
      <c r="B20" s="160" t="s">
        <v>79</v>
      </c>
      <c r="C20" s="87">
        <v>2</v>
      </c>
      <c r="D20" s="88" t="s">
        <v>85</v>
      </c>
      <c r="E20" s="90">
        <v>2500</v>
      </c>
      <c r="F20" s="102">
        <f t="shared" si="0"/>
        <v>5000</v>
      </c>
      <c r="G20" s="14"/>
      <c r="H20" s="14"/>
      <c r="I20" s="20"/>
      <c r="J20" s="20"/>
      <c r="K20" s="20"/>
      <c r="L20" s="17"/>
      <c r="M20" s="185">
        <f t="shared" si="1"/>
        <v>5000</v>
      </c>
      <c r="N20" s="19"/>
      <c r="O20" s="17"/>
      <c r="Q20" s="145"/>
    </row>
    <row r="21" spans="1:17" x14ac:dyDescent="0.3">
      <c r="A21" s="12"/>
      <c r="B21" s="160" t="s">
        <v>80</v>
      </c>
      <c r="C21" s="87">
        <v>2</v>
      </c>
      <c r="D21" s="88" t="s">
        <v>86</v>
      </c>
      <c r="E21" s="90">
        <v>900</v>
      </c>
      <c r="F21" s="102">
        <f t="shared" si="0"/>
        <v>1800</v>
      </c>
      <c r="G21" s="14"/>
      <c r="H21" s="14"/>
      <c r="I21" s="20"/>
      <c r="J21" s="20"/>
      <c r="K21" s="20"/>
      <c r="L21" s="17"/>
      <c r="M21" s="185">
        <f t="shared" si="1"/>
        <v>1800</v>
      </c>
      <c r="N21" s="19"/>
      <c r="O21" s="17"/>
    </row>
    <row r="22" spans="1:17" x14ac:dyDescent="0.3">
      <c r="A22" s="12"/>
      <c r="B22" s="160" t="s">
        <v>81</v>
      </c>
      <c r="C22" s="87">
        <v>2</v>
      </c>
      <c r="D22" s="88" t="s">
        <v>86</v>
      </c>
      <c r="E22" s="90">
        <v>1800</v>
      </c>
      <c r="F22" s="102">
        <f t="shared" si="0"/>
        <v>3600</v>
      </c>
      <c r="G22" s="14"/>
      <c r="H22" s="14"/>
      <c r="I22" s="20"/>
      <c r="J22" s="20"/>
      <c r="K22" s="20"/>
      <c r="L22" s="17"/>
      <c r="M22" s="185">
        <f t="shared" si="1"/>
        <v>3600</v>
      </c>
      <c r="N22" s="19"/>
      <c r="O22" s="17"/>
    </row>
    <row r="23" spans="1:17" x14ac:dyDescent="0.3">
      <c r="A23" s="12"/>
      <c r="B23" s="160" t="s">
        <v>82</v>
      </c>
      <c r="C23" s="87">
        <v>2</v>
      </c>
      <c r="D23" s="88" t="s">
        <v>86</v>
      </c>
      <c r="E23" s="90">
        <v>10000</v>
      </c>
      <c r="F23" s="102">
        <f t="shared" si="0"/>
        <v>20000</v>
      </c>
      <c r="G23" s="14"/>
      <c r="H23" s="14"/>
      <c r="I23" s="20"/>
      <c r="J23" s="20"/>
      <c r="K23" s="20"/>
      <c r="L23" s="17"/>
      <c r="M23" s="185">
        <f t="shared" si="1"/>
        <v>20000</v>
      </c>
      <c r="N23" s="19"/>
      <c r="O23" s="17"/>
    </row>
    <row r="24" spans="1:17" x14ac:dyDescent="0.3">
      <c r="A24" s="12"/>
      <c r="B24" s="160" t="s">
        <v>83</v>
      </c>
      <c r="C24" s="87">
        <v>2</v>
      </c>
      <c r="D24" s="88" t="s">
        <v>86</v>
      </c>
      <c r="E24" s="91">
        <v>1850</v>
      </c>
      <c r="F24" s="103">
        <f t="shared" si="0"/>
        <v>3700</v>
      </c>
      <c r="G24" s="14"/>
      <c r="H24" s="14"/>
      <c r="I24" s="20"/>
      <c r="J24" s="20"/>
      <c r="K24" s="20"/>
      <c r="L24" s="17"/>
      <c r="M24" s="185">
        <f t="shared" si="1"/>
        <v>3700</v>
      </c>
      <c r="N24" s="19"/>
      <c r="O24" s="17"/>
    </row>
    <row r="25" spans="1:17" ht="26.4" x14ac:dyDescent="0.3">
      <c r="A25" s="12"/>
      <c r="B25" s="160" t="s">
        <v>84</v>
      </c>
      <c r="C25" s="87">
        <v>5</v>
      </c>
      <c r="D25" s="88" t="s">
        <v>87</v>
      </c>
      <c r="E25" s="91">
        <v>3100</v>
      </c>
      <c r="F25" s="103">
        <f t="shared" si="0"/>
        <v>15500</v>
      </c>
      <c r="G25" s="14"/>
      <c r="H25" s="14"/>
      <c r="I25" s="20"/>
      <c r="J25" s="20"/>
      <c r="K25" s="20"/>
      <c r="L25" s="17"/>
      <c r="M25" s="185">
        <f t="shared" si="1"/>
        <v>15500</v>
      </c>
      <c r="N25" s="19"/>
      <c r="O25" s="17"/>
    </row>
    <row r="26" spans="1:17" ht="15.6" x14ac:dyDescent="0.3">
      <c r="A26" s="13"/>
      <c r="B26" s="23"/>
      <c r="C26" s="224"/>
      <c r="D26" s="225"/>
      <c r="E26" s="25"/>
      <c r="F26" s="101">
        <f>M26</f>
        <v>109690</v>
      </c>
      <c r="G26" s="7"/>
      <c r="H26" s="7"/>
      <c r="I26" s="7"/>
      <c r="J26" s="7"/>
      <c r="K26" s="194" t="s">
        <v>43</v>
      </c>
      <c r="L26" s="195"/>
      <c r="M26" s="148">
        <f>SUM(M11:M25)</f>
        <v>109690</v>
      </c>
      <c r="N26" s="13"/>
      <c r="O26" s="7"/>
    </row>
    <row r="27" spans="1:17" x14ac:dyDescent="0.3">
      <c r="A27" s="3" t="s">
        <v>44</v>
      </c>
      <c r="B27" s="26"/>
      <c r="C27" s="11"/>
      <c r="D27" s="186" t="s">
        <v>726</v>
      </c>
      <c r="E27" s="186"/>
      <c r="F27" s="186"/>
      <c r="G27" s="186"/>
      <c r="H27" s="186"/>
      <c r="I27" s="186"/>
      <c r="J27" s="26"/>
      <c r="K27" s="26"/>
      <c r="L27" s="3"/>
      <c r="M27" s="186" t="s">
        <v>45</v>
      </c>
      <c r="N27" s="186"/>
      <c r="O27" s="27"/>
    </row>
    <row r="28" spans="1:17" x14ac:dyDescent="0.3">
      <c r="A28" s="3"/>
      <c r="B28" s="2"/>
      <c r="C28" s="3"/>
      <c r="D28" s="3"/>
      <c r="E28" s="3"/>
      <c r="F28" s="3"/>
      <c r="G28" s="67"/>
      <c r="H28" s="2"/>
      <c r="I28" s="2"/>
      <c r="J28" s="2"/>
      <c r="K28" s="2"/>
      <c r="L28" s="2"/>
      <c r="M28" s="28"/>
      <c r="N28" s="2"/>
      <c r="O28" s="27"/>
    </row>
    <row r="29" spans="1:17" ht="45" customHeight="1" x14ac:dyDescent="0.3">
      <c r="A29" s="3"/>
      <c r="B29" s="2"/>
      <c r="C29" s="3"/>
      <c r="D29" s="3"/>
      <c r="E29" s="3"/>
      <c r="F29" s="3"/>
      <c r="G29" s="67"/>
      <c r="H29" s="2"/>
      <c r="I29" s="2"/>
      <c r="J29" s="2"/>
      <c r="K29" s="2"/>
      <c r="L29" s="2"/>
      <c r="M29" s="28"/>
      <c r="N29" s="2"/>
      <c r="O29" s="27"/>
    </row>
    <row r="30" spans="1:17" x14ac:dyDescent="0.3">
      <c r="A30" s="198" t="s">
        <v>46</v>
      </c>
      <c r="B30" s="198"/>
      <c r="C30" s="29"/>
      <c r="D30" s="29"/>
      <c r="E30" s="29"/>
      <c r="F30" s="187" t="s">
        <v>47</v>
      </c>
      <c r="G30" s="187"/>
      <c r="H30" s="187"/>
      <c r="I30" s="187"/>
      <c r="J30" s="187"/>
      <c r="K30" s="2"/>
      <c r="L30" s="29"/>
      <c r="M30" s="187" t="s">
        <v>727</v>
      </c>
      <c r="N30" s="187"/>
      <c r="O30" s="187"/>
    </row>
    <row r="31" spans="1:17" x14ac:dyDescent="0.3">
      <c r="A31" s="196" t="s">
        <v>48</v>
      </c>
      <c r="B31" s="196"/>
      <c r="C31" s="3"/>
      <c r="D31" s="3"/>
      <c r="E31" s="3"/>
      <c r="F31" s="188" t="s">
        <v>49</v>
      </c>
      <c r="G31" s="188"/>
      <c r="H31" s="188"/>
      <c r="I31" s="188"/>
      <c r="J31" s="188"/>
      <c r="K31" s="2"/>
      <c r="L31" s="3"/>
      <c r="M31" s="188" t="s">
        <v>728</v>
      </c>
      <c r="N31" s="188"/>
      <c r="O31" s="188"/>
    </row>
  </sheetData>
  <mergeCells count="23">
    <mergeCell ref="C9:D9"/>
    <mergeCell ref="C10:D10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  <mergeCell ref="M30:O30"/>
    <mergeCell ref="A31:B31"/>
    <mergeCell ref="M31:O31"/>
    <mergeCell ref="C26:D26"/>
    <mergeCell ref="K26:L26"/>
    <mergeCell ref="A30:B30"/>
    <mergeCell ref="D27:I27"/>
    <mergeCell ref="F30:J30"/>
    <mergeCell ref="F31:J31"/>
    <mergeCell ref="M27:N27"/>
  </mergeCells>
  <pageMargins left="0.7" right="0.7" top="0.75" bottom="0.75" header="0.3" footer="0.3"/>
  <pageSetup paperSize="5" scale="84" orientation="landscape" horizontalDpi="4294967293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CF060-ECF9-4709-ACD6-E8769DC75D4C}">
  <sheetPr>
    <tabColor rgb="FF00B0F0"/>
    <pageSetUpPr fitToPage="1"/>
  </sheetPr>
  <dimension ref="A1:O22"/>
  <sheetViews>
    <sheetView topLeftCell="A6" workbookViewId="0">
      <selection activeCell="M11" sqref="M11:M16"/>
    </sheetView>
  </sheetViews>
  <sheetFormatPr defaultRowHeight="14.4" x14ac:dyDescent="0.3"/>
  <cols>
    <col min="1" max="1" width="10.88671875" customWidth="1"/>
    <col min="2" max="2" width="30.88671875" customWidth="1"/>
    <col min="3" max="3" width="6.6640625" customWidth="1"/>
    <col min="4" max="4" width="2.109375" customWidth="1"/>
    <col min="5" max="5" width="10.33203125" hidden="1" customWidth="1"/>
    <col min="6" max="6" width="12.33203125" hidden="1" customWidth="1"/>
    <col min="7" max="7" width="11.88671875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230" t="s">
        <v>3</v>
      </c>
      <c r="J4" s="230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79" t="s">
        <v>11</v>
      </c>
      <c r="B8" s="79" t="s">
        <v>12</v>
      </c>
      <c r="C8" s="222" t="s">
        <v>13</v>
      </c>
      <c r="D8" s="223"/>
      <c r="E8" s="80"/>
      <c r="F8" s="63"/>
      <c r="G8" s="79" t="s">
        <v>14</v>
      </c>
      <c r="H8" s="79" t="s">
        <v>15</v>
      </c>
      <c r="I8" s="79" t="s">
        <v>16</v>
      </c>
      <c r="J8" s="79" t="s">
        <v>17</v>
      </c>
      <c r="K8" s="79" t="s">
        <v>18</v>
      </c>
      <c r="L8" s="79" t="s">
        <v>19</v>
      </c>
      <c r="M8" s="79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81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82.5" customHeight="1" x14ac:dyDescent="0.3">
      <c r="A10" s="5" t="s">
        <v>62</v>
      </c>
      <c r="B10" s="6" t="s">
        <v>34</v>
      </c>
      <c r="C10" s="216"/>
      <c r="D10" s="217"/>
      <c r="E10" s="82" t="s">
        <v>55</v>
      </c>
      <c r="F10" s="65" t="s">
        <v>56</v>
      </c>
      <c r="G10" s="7" t="s">
        <v>35</v>
      </c>
      <c r="H10" s="7" t="s">
        <v>36</v>
      </c>
      <c r="I10" s="8"/>
      <c r="J10" s="8"/>
      <c r="K10" s="8"/>
      <c r="L10" s="9" t="s">
        <v>37</v>
      </c>
      <c r="M10" s="10">
        <v>125000</v>
      </c>
      <c r="N10" s="8" t="s">
        <v>38</v>
      </c>
      <c r="O10" s="9" t="s">
        <v>39</v>
      </c>
    </row>
    <row r="11" spans="1:15" ht="30.75" customHeight="1" x14ac:dyDescent="0.3">
      <c r="A11" s="12"/>
      <c r="B11" s="160" t="s">
        <v>63</v>
      </c>
      <c r="C11" s="228" t="s">
        <v>58</v>
      </c>
      <c r="D11" s="229"/>
      <c r="E11" s="90">
        <v>15000</v>
      </c>
      <c r="F11" s="102">
        <f t="shared" ref="F11:F16" si="0">E11</f>
        <v>15000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15000</v>
      </c>
      <c r="N11" s="19"/>
      <c r="O11" s="17"/>
    </row>
    <row r="12" spans="1:15" ht="30" customHeight="1" x14ac:dyDescent="0.3">
      <c r="A12" s="12"/>
      <c r="B12" s="160" t="s">
        <v>64</v>
      </c>
      <c r="C12" s="228" t="s">
        <v>58</v>
      </c>
      <c r="D12" s="229"/>
      <c r="E12" s="90">
        <v>22000</v>
      </c>
      <c r="F12" s="102">
        <f t="shared" si="0"/>
        <v>22000</v>
      </c>
      <c r="G12" s="14"/>
      <c r="H12" s="14"/>
      <c r="I12" s="15"/>
      <c r="J12" s="15"/>
      <c r="K12" s="20" t="s">
        <v>731</v>
      </c>
      <c r="L12" s="17"/>
      <c r="M12" s="185">
        <f t="shared" ref="M12:M16" si="1">F12</f>
        <v>22000</v>
      </c>
      <c r="N12" s="19"/>
      <c r="O12" s="17"/>
    </row>
    <row r="13" spans="1:15" ht="30.75" customHeight="1" x14ac:dyDescent="0.3">
      <c r="A13" s="12"/>
      <c r="B13" s="160" t="s">
        <v>65</v>
      </c>
      <c r="C13" s="228" t="s">
        <v>58</v>
      </c>
      <c r="D13" s="229"/>
      <c r="E13" s="90">
        <v>15000</v>
      </c>
      <c r="F13" s="102">
        <f t="shared" si="0"/>
        <v>15000</v>
      </c>
      <c r="G13" s="14"/>
      <c r="H13" s="14"/>
      <c r="I13" s="20"/>
      <c r="J13" s="20"/>
      <c r="K13" s="20"/>
      <c r="L13" s="17"/>
      <c r="M13" s="185">
        <f t="shared" si="1"/>
        <v>15000</v>
      </c>
      <c r="N13" s="19"/>
      <c r="O13" s="17"/>
    </row>
    <row r="14" spans="1:15" ht="30.75" customHeight="1" x14ac:dyDescent="0.3">
      <c r="A14" s="12"/>
      <c r="B14" s="13" t="s">
        <v>66</v>
      </c>
      <c r="C14" s="228" t="s">
        <v>58</v>
      </c>
      <c r="D14" s="229"/>
      <c r="E14" s="90">
        <v>13000</v>
      </c>
      <c r="F14" s="102">
        <f t="shared" si="0"/>
        <v>13000</v>
      </c>
      <c r="G14" s="14"/>
      <c r="H14" s="14"/>
      <c r="I14" s="20"/>
      <c r="J14" s="20"/>
      <c r="K14" s="20"/>
      <c r="L14" s="17"/>
      <c r="M14" s="185">
        <f t="shared" si="1"/>
        <v>13000</v>
      </c>
      <c r="N14" s="19"/>
      <c r="O14" s="17"/>
    </row>
    <row r="15" spans="1:15" ht="30.75" customHeight="1" x14ac:dyDescent="0.3">
      <c r="A15" s="12"/>
      <c r="B15" s="160" t="s">
        <v>67</v>
      </c>
      <c r="C15" s="228" t="s">
        <v>58</v>
      </c>
      <c r="D15" s="229"/>
      <c r="E15" s="90">
        <v>12400</v>
      </c>
      <c r="F15" s="102">
        <f>M15</f>
        <v>12310</v>
      </c>
      <c r="G15" s="14"/>
      <c r="H15" s="14"/>
      <c r="I15" s="20"/>
      <c r="J15" s="20"/>
      <c r="K15" s="20"/>
      <c r="L15" s="17"/>
      <c r="M15" s="185">
        <v>12310</v>
      </c>
      <c r="N15" s="19"/>
      <c r="O15" s="17"/>
    </row>
    <row r="16" spans="1:15" x14ac:dyDescent="0.3">
      <c r="A16" s="12"/>
      <c r="B16" s="13" t="s">
        <v>68</v>
      </c>
      <c r="C16" s="228" t="s">
        <v>58</v>
      </c>
      <c r="D16" s="229"/>
      <c r="E16" s="90">
        <v>24900</v>
      </c>
      <c r="F16" s="102">
        <f t="shared" si="0"/>
        <v>24900</v>
      </c>
      <c r="G16" s="14"/>
      <c r="H16" s="14"/>
      <c r="I16" s="20"/>
      <c r="J16" s="20"/>
      <c r="K16" s="20"/>
      <c r="L16" s="17"/>
      <c r="M16" s="185">
        <f t="shared" si="1"/>
        <v>24900</v>
      </c>
      <c r="N16" s="19"/>
      <c r="O16" s="17"/>
    </row>
    <row r="17" spans="1:15" ht="15.6" x14ac:dyDescent="0.3">
      <c r="A17" s="13"/>
      <c r="B17" s="23"/>
      <c r="C17" s="224"/>
      <c r="D17" s="225"/>
      <c r="E17" s="25"/>
      <c r="F17" s="101">
        <f>SUM(F11:F16)</f>
        <v>102210</v>
      </c>
      <c r="G17" s="7"/>
      <c r="H17" s="7"/>
      <c r="I17" s="7"/>
      <c r="J17" s="7"/>
      <c r="K17" s="194" t="s">
        <v>43</v>
      </c>
      <c r="L17" s="195"/>
      <c r="M17" s="148">
        <f>SUM(M11:M16)</f>
        <v>102210</v>
      </c>
      <c r="N17" s="13"/>
      <c r="O17" s="7"/>
    </row>
    <row r="18" spans="1:15" x14ac:dyDescent="0.3">
      <c r="A18" s="3" t="s">
        <v>44</v>
      </c>
      <c r="B18" s="26"/>
      <c r="C18" s="219" t="s">
        <v>726</v>
      </c>
      <c r="D18" s="219"/>
      <c r="E18" s="219"/>
      <c r="F18" s="219"/>
      <c r="G18" s="219"/>
      <c r="H18" s="219"/>
      <c r="I18" s="26"/>
      <c r="J18" s="26"/>
      <c r="K18" s="26"/>
      <c r="L18" s="3"/>
      <c r="M18" s="186" t="s">
        <v>45</v>
      </c>
      <c r="N18" s="186"/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31.5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187" t="s">
        <v>47</v>
      </c>
      <c r="G21" s="187"/>
      <c r="H21" s="187"/>
      <c r="I21" s="187"/>
      <c r="J21" s="187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88"/>
      <c r="J22" s="188"/>
      <c r="K22" s="2"/>
      <c r="L22" s="3"/>
      <c r="M22" s="188" t="s">
        <v>728</v>
      </c>
      <c r="N22" s="188"/>
      <c r="O22" s="188"/>
    </row>
  </sheetData>
  <mergeCells count="29">
    <mergeCell ref="A22:B22"/>
    <mergeCell ref="M18:N18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G4:H4"/>
    <mergeCell ref="I4:J4"/>
    <mergeCell ref="A21:B21"/>
    <mergeCell ref="M21:O21"/>
    <mergeCell ref="M22:O22"/>
    <mergeCell ref="K17:L17"/>
    <mergeCell ref="C9:D9"/>
    <mergeCell ref="C10:D10"/>
    <mergeCell ref="C11:D11"/>
    <mergeCell ref="C12:D12"/>
    <mergeCell ref="C13:D13"/>
    <mergeCell ref="C18:H18"/>
    <mergeCell ref="F21:J21"/>
    <mergeCell ref="F22:J22"/>
    <mergeCell ref="C14:D14"/>
    <mergeCell ref="C15:D15"/>
    <mergeCell ref="C16:D16"/>
    <mergeCell ref="C17:D17"/>
  </mergeCells>
  <pageMargins left="0.7" right="0.7" top="0.75" bottom="0.75" header="0.3" footer="0.3"/>
  <pageSetup paperSize="5" scale="91" orientation="landscape" horizontalDpi="4294967293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20B-D037-4FD0-A2E1-5DC4A2AB1C36}">
  <sheetPr>
    <tabColor rgb="FF00B0F0"/>
    <pageSetUpPr fitToPage="1"/>
  </sheetPr>
  <dimension ref="A1:O20"/>
  <sheetViews>
    <sheetView topLeftCell="A8" workbookViewId="0">
      <selection activeCell="G13" sqref="G13"/>
    </sheetView>
  </sheetViews>
  <sheetFormatPr defaultRowHeight="14.4" x14ac:dyDescent="0.3"/>
  <cols>
    <col min="1" max="1" width="10.6640625" customWidth="1"/>
    <col min="2" max="2" width="22.33203125" customWidth="1"/>
    <col min="3" max="3" width="6.6640625" customWidth="1"/>
    <col min="4" max="4" width="3.88671875" customWidth="1"/>
    <col min="5" max="5" width="8.5546875" hidden="1" customWidth="1"/>
    <col min="6" max="6" width="12.33203125" hidden="1" customWidth="1"/>
    <col min="7" max="7" width="12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ht="12" customHeight="1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104.25" customHeight="1" x14ac:dyDescent="0.3">
      <c r="A8" s="79" t="s">
        <v>11</v>
      </c>
      <c r="B8" s="79" t="s">
        <v>12</v>
      </c>
      <c r="C8" s="222" t="s">
        <v>13</v>
      </c>
      <c r="D8" s="223"/>
      <c r="E8" s="80"/>
      <c r="F8" s="63"/>
      <c r="G8" s="79" t="s">
        <v>14</v>
      </c>
      <c r="H8" s="79" t="s">
        <v>15</v>
      </c>
      <c r="I8" s="79" t="s">
        <v>16</v>
      </c>
      <c r="J8" s="79" t="s">
        <v>17</v>
      </c>
      <c r="K8" s="79" t="s">
        <v>18</v>
      </c>
      <c r="L8" s="79" t="s">
        <v>19</v>
      </c>
      <c r="M8" s="79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81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65.25" customHeight="1" x14ac:dyDescent="0.3">
      <c r="A10" s="5" t="s">
        <v>61</v>
      </c>
      <c r="B10" s="6" t="s">
        <v>34</v>
      </c>
      <c r="C10" s="216"/>
      <c r="D10" s="217"/>
      <c r="E10" s="82" t="s">
        <v>55</v>
      </c>
      <c r="F10" s="65" t="s">
        <v>56</v>
      </c>
      <c r="G10" s="7" t="s">
        <v>35</v>
      </c>
      <c r="H10" s="7" t="s">
        <v>36</v>
      </c>
      <c r="I10" s="8"/>
      <c r="J10" s="8"/>
      <c r="K10" s="8"/>
      <c r="L10" s="9" t="s">
        <v>37</v>
      </c>
      <c r="M10" s="148">
        <v>60000</v>
      </c>
      <c r="N10" s="8" t="s">
        <v>38</v>
      </c>
      <c r="O10" s="9" t="s">
        <v>39</v>
      </c>
    </row>
    <row r="11" spans="1:15" ht="55.5" customHeight="1" x14ac:dyDescent="0.3">
      <c r="A11" s="12"/>
      <c r="B11" s="160" t="s">
        <v>57</v>
      </c>
      <c r="C11" s="228" t="s">
        <v>58</v>
      </c>
      <c r="D11" s="229"/>
      <c r="E11" s="90">
        <v>30000</v>
      </c>
      <c r="F11" s="102">
        <v>20000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20000</v>
      </c>
      <c r="N11" s="19"/>
      <c r="O11" s="17"/>
    </row>
    <row r="12" spans="1:15" ht="45.75" customHeight="1" x14ac:dyDescent="0.3">
      <c r="A12" s="12"/>
      <c r="B12" s="160" t="s">
        <v>59</v>
      </c>
      <c r="C12" s="228" t="s">
        <v>58</v>
      </c>
      <c r="D12" s="229"/>
      <c r="E12" s="90">
        <v>15000</v>
      </c>
      <c r="F12" s="102">
        <v>7000</v>
      </c>
      <c r="G12" s="14"/>
      <c r="H12" s="14"/>
      <c r="I12" s="15"/>
      <c r="J12" s="15"/>
      <c r="K12" s="20" t="s">
        <v>731</v>
      </c>
      <c r="L12" s="17"/>
      <c r="M12" s="185">
        <f t="shared" ref="M12:M13" si="0">F12</f>
        <v>7000</v>
      </c>
      <c r="N12" s="19"/>
      <c r="O12" s="17"/>
    </row>
    <row r="13" spans="1:15" ht="45" customHeight="1" x14ac:dyDescent="0.3">
      <c r="A13" s="12"/>
      <c r="B13" s="13" t="s">
        <v>60</v>
      </c>
      <c r="C13" s="228"/>
      <c r="D13" s="229"/>
      <c r="E13" s="90">
        <v>15000</v>
      </c>
      <c r="F13" s="102">
        <v>5000</v>
      </c>
      <c r="G13" s="14"/>
      <c r="H13" s="14"/>
      <c r="I13" s="20"/>
      <c r="J13" s="20"/>
      <c r="K13" s="20"/>
      <c r="L13" s="17"/>
      <c r="M13" s="185">
        <f t="shared" si="0"/>
        <v>5000</v>
      </c>
      <c r="N13" s="19"/>
      <c r="O13" s="17"/>
    </row>
    <row r="14" spans="1:15" ht="30.75" customHeight="1" x14ac:dyDescent="0.3">
      <c r="A14" s="12"/>
      <c r="B14" s="13"/>
      <c r="C14" s="228"/>
      <c r="D14" s="229"/>
      <c r="E14" s="56"/>
      <c r="F14" s="65">
        <f t="shared" ref="F14" si="1">C14*E14</f>
        <v>0</v>
      </c>
      <c r="G14" s="14"/>
      <c r="H14" s="14"/>
      <c r="I14" s="21"/>
      <c r="J14" s="21"/>
      <c r="K14" s="21"/>
      <c r="L14" s="17"/>
      <c r="M14" s="18"/>
      <c r="N14" s="19"/>
      <c r="O14" s="17"/>
    </row>
    <row r="15" spans="1:15" ht="15.6" x14ac:dyDescent="0.3">
      <c r="A15" s="13"/>
      <c r="B15" s="23"/>
      <c r="C15" s="224"/>
      <c r="D15" s="225"/>
      <c r="E15" s="25"/>
      <c r="F15" s="101">
        <f>SUM(F11:F14)</f>
        <v>32000</v>
      </c>
      <c r="G15" s="7"/>
      <c r="H15" s="7"/>
      <c r="I15" s="7"/>
      <c r="J15" s="7"/>
      <c r="K15" s="194" t="s">
        <v>43</v>
      </c>
      <c r="L15" s="195"/>
      <c r="M15" s="148">
        <f>SUM(M11:M14)</f>
        <v>32000</v>
      </c>
      <c r="N15" s="13"/>
      <c r="O15" s="7"/>
    </row>
    <row r="16" spans="1:15" x14ac:dyDescent="0.3">
      <c r="A16" s="3" t="s">
        <v>44</v>
      </c>
      <c r="B16" s="26"/>
      <c r="C16" s="11"/>
      <c r="D16" s="141" t="s">
        <v>726</v>
      </c>
      <c r="E16" s="141"/>
      <c r="F16" s="141"/>
      <c r="G16" s="141"/>
      <c r="H16" s="141"/>
      <c r="I16" s="26"/>
      <c r="J16" s="26"/>
      <c r="K16" s="26"/>
      <c r="L16" s="3"/>
      <c r="M16" s="186" t="s">
        <v>45</v>
      </c>
      <c r="N16" s="186"/>
      <c r="O16" s="27"/>
    </row>
    <row r="17" spans="1:15" x14ac:dyDescent="0.3">
      <c r="A17" s="3"/>
      <c r="B17" s="2"/>
      <c r="C17" s="3"/>
      <c r="D17" s="3"/>
      <c r="E17" s="3"/>
      <c r="F17" s="3"/>
      <c r="G17" s="67"/>
      <c r="H17" s="2"/>
      <c r="I17" s="2"/>
      <c r="J17" s="2"/>
      <c r="K17" s="2"/>
      <c r="L17" s="2"/>
      <c r="M17" s="28"/>
      <c r="N17" s="2"/>
      <c r="O17" s="27"/>
    </row>
    <row r="18" spans="1:15" ht="46.5" customHeight="1" x14ac:dyDescent="0.3">
      <c r="A18" s="3"/>
      <c r="B18" s="2"/>
      <c r="C18" s="3"/>
      <c r="D18" s="3"/>
      <c r="E18" s="3"/>
      <c r="F18" s="3"/>
      <c r="G18" s="67"/>
      <c r="H18" s="2"/>
      <c r="I18" s="2"/>
      <c r="J18" s="2"/>
      <c r="K18" s="2"/>
      <c r="L18" s="2"/>
      <c r="M18" s="28"/>
      <c r="N18" s="2"/>
      <c r="O18" s="27"/>
    </row>
    <row r="19" spans="1:15" x14ac:dyDescent="0.3">
      <c r="A19" s="198" t="s">
        <v>46</v>
      </c>
      <c r="B19" s="198"/>
      <c r="C19" s="29"/>
      <c r="D19" s="29"/>
      <c r="E19" s="29"/>
      <c r="F19" s="187" t="s">
        <v>47</v>
      </c>
      <c r="G19" s="187"/>
      <c r="H19" s="187"/>
      <c r="I19" s="187"/>
      <c r="J19" s="187"/>
      <c r="K19" s="2"/>
      <c r="L19" s="29"/>
      <c r="M19" s="187" t="s">
        <v>727</v>
      </c>
      <c r="N19" s="187"/>
      <c r="O19" s="187"/>
    </row>
    <row r="20" spans="1:15" x14ac:dyDescent="0.3">
      <c r="A20" s="196" t="s">
        <v>48</v>
      </c>
      <c r="B20" s="196"/>
      <c r="C20" s="3"/>
      <c r="D20" s="3"/>
      <c r="E20" s="3"/>
      <c r="F20" s="188" t="s">
        <v>49</v>
      </c>
      <c r="G20" s="188"/>
      <c r="H20" s="188"/>
      <c r="I20" s="188"/>
      <c r="J20" s="188"/>
      <c r="K20" s="2"/>
      <c r="L20" s="3"/>
      <c r="M20" s="188" t="s">
        <v>728</v>
      </c>
      <c r="N20" s="188"/>
      <c r="O20" s="188"/>
    </row>
  </sheetData>
  <mergeCells count="26"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G4:H4"/>
    <mergeCell ref="I4:J4"/>
    <mergeCell ref="C9:D9"/>
    <mergeCell ref="C10:D10"/>
    <mergeCell ref="K15:L15"/>
    <mergeCell ref="A19:B19"/>
    <mergeCell ref="C15:D15"/>
    <mergeCell ref="A20:B20"/>
    <mergeCell ref="M20:O20"/>
    <mergeCell ref="C11:D11"/>
    <mergeCell ref="C12:D12"/>
    <mergeCell ref="C13:D13"/>
    <mergeCell ref="C14:D14"/>
    <mergeCell ref="M19:O19"/>
    <mergeCell ref="M16:N16"/>
    <mergeCell ref="F19:J19"/>
    <mergeCell ref="F20:J20"/>
  </mergeCells>
  <pageMargins left="0.7" right="0.7" top="0.75" bottom="0.75" header="0.3" footer="0.3"/>
  <pageSetup paperSize="5" scale="88" orientation="landscape" horizontalDpi="4294967293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2127-41F8-489C-96F5-A0544C2E70F0}">
  <sheetPr>
    <tabColor rgb="FF00B0F0"/>
    <pageSetUpPr fitToPage="1"/>
  </sheetPr>
  <dimension ref="A1:O20"/>
  <sheetViews>
    <sheetView workbookViewId="0">
      <selection activeCell="H13" sqref="H13"/>
    </sheetView>
  </sheetViews>
  <sheetFormatPr defaultRowHeight="14.4" x14ac:dyDescent="0.3"/>
  <cols>
    <col min="1" max="1" width="9.5546875" customWidth="1"/>
    <col min="2" max="2" width="15.44140625" customWidth="1"/>
    <col min="3" max="3" width="7.109375" customWidth="1"/>
    <col min="4" max="4" width="6.5546875" customWidth="1"/>
    <col min="5" max="6" width="6.5546875" hidden="1" customWidth="1"/>
    <col min="7" max="7" width="12.33203125" customWidth="1"/>
    <col min="8" max="8" width="14.88671875" customWidth="1"/>
    <col min="9" max="9" width="8.6640625" customWidth="1"/>
    <col min="10" max="10" width="10.5546875" customWidth="1"/>
    <col min="11" max="11" width="10.6640625" customWidth="1"/>
    <col min="12" max="12" width="12.33203125" customWidth="1"/>
    <col min="13" max="13" width="12.6640625" customWidth="1"/>
    <col min="14" max="14" width="13.5546875" customWidth="1"/>
    <col min="15" max="15" width="12.6640625" customWidth="1"/>
  </cols>
  <sheetData>
    <row r="1" spans="1:15" x14ac:dyDescent="0.3">
      <c r="A1" s="199" t="s">
        <v>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</row>
    <row r="2" spans="1:15" x14ac:dyDescent="0.3">
      <c r="A2" s="200" t="s">
        <v>50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</row>
    <row r="3" spans="1:15" x14ac:dyDescent="0.3">
      <c r="A3" s="33"/>
      <c r="B3" s="33"/>
      <c r="C3" s="33"/>
      <c r="D3" s="33"/>
      <c r="E3" s="33"/>
      <c r="F3" s="33"/>
      <c r="G3" s="200" t="s">
        <v>2</v>
      </c>
      <c r="H3" s="200"/>
      <c r="I3" s="200"/>
      <c r="J3" s="200" t="s">
        <v>3</v>
      </c>
      <c r="K3" s="200"/>
      <c r="L3" s="33"/>
      <c r="M3" s="33"/>
      <c r="N3" s="33"/>
      <c r="O3" s="33"/>
    </row>
    <row r="4" spans="1:15" x14ac:dyDescent="0.3">
      <c r="A4" s="34" t="s">
        <v>4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x14ac:dyDescent="0.3">
      <c r="A5" s="34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</row>
    <row r="6" spans="1:15" x14ac:dyDescent="0.3">
      <c r="A6" s="204" t="s">
        <v>6</v>
      </c>
      <c r="B6" s="204"/>
      <c r="C6" s="204"/>
      <c r="D6" s="204"/>
      <c r="E6" s="204"/>
      <c r="F6" s="204"/>
      <c r="G6" s="204"/>
      <c r="H6" s="204"/>
      <c r="I6" s="204" t="s">
        <v>7</v>
      </c>
      <c r="J6" s="204"/>
      <c r="K6" s="204"/>
      <c r="L6" s="204" t="s">
        <v>8</v>
      </c>
      <c r="M6" s="204"/>
      <c r="N6" s="205" t="s">
        <v>9</v>
      </c>
      <c r="O6" s="204" t="s">
        <v>10</v>
      </c>
    </row>
    <row r="7" spans="1:15" ht="105.6" x14ac:dyDescent="0.3">
      <c r="A7" s="106" t="s">
        <v>11</v>
      </c>
      <c r="B7" s="106" t="s">
        <v>12</v>
      </c>
      <c r="C7" s="206" t="s">
        <v>13</v>
      </c>
      <c r="D7" s="207"/>
      <c r="E7" s="123"/>
      <c r="F7" s="123"/>
      <c r="G7" s="106" t="s">
        <v>14</v>
      </c>
      <c r="H7" s="106" t="s">
        <v>15</v>
      </c>
      <c r="I7" s="106" t="s">
        <v>16</v>
      </c>
      <c r="J7" s="106" t="s">
        <v>17</v>
      </c>
      <c r="K7" s="106" t="s">
        <v>18</v>
      </c>
      <c r="L7" s="106" t="s">
        <v>19</v>
      </c>
      <c r="M7" s="106" t="s">
        <v>20</v>
      </c>
      <c r="N7" s="205"/>
      <c r="O7" s="204"/>
    </row>
    <row r="8" spans="1:15" x14ac:dyDescent="0.3">
      <c r="A8" s="36" t="s">
        <v>21</v>
      </c>
      <c r="B8" s="36" t="s">
        <v>22</v>
      </c>
      <c r="C8" s="208" t="s">
        <v>23</v>
      </c>
      <c r="D8" s="209"/>
      <c r="E8" s="121"/>
      <c r="F8" s="121"/>
      <c r="G8" s="36" t="s">
        <v>24</v>
      </c>
      <c r="H8" s="36" t="s">
        <v>25</v>
      </c>
      <c r="I8" s="36" t="s">
        <v>26</v>
      </c>
      <c r="J8" s="36" t="s">
        <v>27</v>
      </c>
      <c r="K8" s="36" t="s">
        <v>28</v>
      </c>
      <c r="L8" s="36" t="s">
        <v>29</v>
      </c>
      <c r="M8" s="36" t="s">
        <v>30</v>
      </c>
      <c r="N8" s="36" t="s">
        <v>31</v>
      </c>
      <c r="O8" s="36" t="s">
        <v>32</v>
      </c>
    </row>
    <row r="9" spans="1:15" ht="52.8" x14ac:dyDescent="0.3">
      <c r="A9" s="37" t="s">
        <v>413</v>
      </c>
      <c r="B9" s="38" t="s">
        <v>34</v>
      </c>
      <c r="C9" s="210"/>
      <c r="D9" s="211"/>
      <c r="E9" s="122" t="s">
        <v>55</v>
      </c>
      <c r="F9" s="122" t="s">
        <v>692</v>
      </c>
      <c r="G9" s="39" t="s">
        <v>424</v>
      </c>
      <c r="H9" s="39" t="s">
        <v>36</v>
      </c>
      <c r="I9" s="40"/>
      <c r="J9" s="40"/>
      <c r="K9" s="40"/>
      <c r="L9" s="41" t="s">
        <v>37</v>
      </c>
      <c r="M9" s="18">
        <v>78000</v>
      </c>
      <c r="N9" s="40" t="s">
        <v>38</v>
      </c>
      <c r="O9" s="41" t="s">
        <v>39</v>
      </c>
    </row>
    <row r="10" spans="1:15" x14ac:dyDescent="0.3">
      <c r="A10" s="43"/>
      <c r="B10" s="44" t="s">
        <v>425</v>
      </c>
      <c r="C10" s="45">
        <v>30</v>
      </c>
      <c r="D10" s="45" t="s">
        <v>312</v>
      </c>
      <c r="E10" s="45">
        <v>1300</v>
      </c>
      <c r="F10" s="136">
        <f>E10*C10</f>
        <v>39000</v>
      </c>
      <c r="G10" s="46"/>
      <c r="H10" s="46"/>
      <c r="I10" s="15" t="s">
        <v>40</v>
      </c>
      <c r="J10" s="181">
        <v>46174</v>
      </c>
      <c r="K10" s="16" t="s">
        <v>41</v>
      </c>
      <c r="L10" s="47"/>
      <c r="M10" s="185">
        <f>F10</f>
        <v>39000</v>
      </c>
      <c r="N10" s="48"/>
      <c r="O10" s="47"/>
    </row>
    <row r="11" spans="1:15" x14ac:dyDescent="0.3">
      <c r="A11" s="43"/>
      <c r="B11" s="44"/>
      <c r="C11" s="45"/>
      <c r="D11" s="45"/>
      <c r="E11" s="45"/>
      <c r="F11" s="45"/>
      <c r="G11" s="46"/>
      <c r="H11" s="46"/>
      <c r="I11" s="15"/>
      <c r="J11" s="15"/>
      <c r="K11" s="20" t="s">
        <v>731</v>
      </c>
      <c r="L11" s="47"/>
      <c r="M11" s="18"/>
      <c r="N11" s="48"/>
      <c r="O11" s="47"/>
    </row>
    <row r="12" spans="1:15" x14ac:dyDescent="0.3">
      <c r="A12" s="43"/>
      <c r="B12" s="44"/>
      <c r="C12" s="45"/>
      <c r="D12" s="45"/>
      <c r="E12" s="45"/>
      <c r="F12" s="45"/>
      <c r="G12" s="46"/>
      <c r="H12" s="46"/>
      <c r="I12" s="15"/>
      <c r="J12" s="15"/>
      <c r="K12" s="16"/>
      <c r="L12" s="47"/>
      <c r="M12" s="18"/>
      <c r="N12" s="48"/>
      <c r="O12" s="47"/>
    </row>
    <row r="13" spans="1:15" x14ac:dyDescent="0.3">
      <c r="A13" s="43"/>
      <c r="B13" s="44"/>
      <c r="C13" s="45"/>
      <c r="D13" s="45"/>
      <c r="E13" s="45"/>
      <c r="F13" s="45"/>
      <c r="G13" s="46"/>
      <c r="H13" s="46"/>
      <c r="I13" s="15"/>
      <c r="J13" s="15"/>
      <c r="K13" s="16"/>
      <c r="L13" s="47"/>
      <c r="M13" s="18"/>
      <c r="N13" s="48"/>
      <c r="O13" s="47"/>
    </row>
    <row r="14" spans="1:15" x14ac:dyDescent="0.3">
      <c r="A14" s="43"/>
      <c r="B14" s="44"/>
      <c r="C14" s="45"/>
      <c r="D14" s="45"/>
      <c r="E14" s="45"/>
      <c r="F14" s="45"/>
      <c r="G14" s="46"/>
      <c r="H14" s="46"/>
      <c r="I14" s="15"/>
      <c r="J14" s="15"/>
      <c r="K14" s="16"/>
      <c r="L14" s="47"/>
      <c r="M14" s="18"/>
      <c r="N14" s="48"/>
      <c r="O14" s="47"/>
    </row>
    <row r="15" spans="1:15" ht="15.6" x14ac:dyDescent="0.3">
      <c r="A15" s="53"/>
      <c r="B15" s="52"/>
      <c r="C15" s="54"/>
      <c r="D15" s="55"/>
      <c r="E15" s="55"/>
      <c r="F15" s="135">
        <f>SUM(F10:F14)</f>
        <v>39000</v>
      </c>
      <c r="G15" s="39"/>
      <c r="H15" s="39"/>
      <c r="I15" s="39"/>
      <c r="J15" s="39"/>
      <c r="K15" s="212" t="s">
        <v>43</v>
      </c>
      <c r="L15" s="213"/>
      <c r="M15" s="148">
        <f>SUM(M10:M14)</f>
        <v>39000</v>
      </c>
      <c r="N15" s="53"/>
      <c r="O15" s="39"/>
    </row>
    <row r="16" spans="1:15" ht="20.25" customHeight="1" x14ac:dyDescent="0.3">
      <c r="A16" s="3" t="s">
        <v>44</v>
      </c>
      <c r="B16" s="26"/>
      <c r="C16" s="11"/>
      <c r="D16" s="11"/>
      <c r="E16" s="11"/>
      <c r="F16" s="11"/>
      <c r="G16" s="11" t="s">
        <v>726</v>
      </c>
      <c r="H16" s="66"/>
      <c r="I16" s="26"/>
      <c r="J16" s="26"/>
      <c r="K16" s="26"/>
      <c r="L16" s="3"/>
      <c r="M16" s="186" t="s">
        <v>45</v>
      </c>
      <c r="N16" s="186"/>
      <c r="O16" s="27"/>
    </row>
    <row r="17" spans="1:15" x14ac:dyDescent="0.3">
      <c r="A17" s="3"/>
      <c r="B17" s="2"/>
      <c r="C17" s="3"/>
      <c r="D17" s="3"/>
      <c r="E17" s="3"/>
      <c r="F17" s="3"/>
      <c r="G17" s="3"/>
      <c r="H17" s="67"/>
      <c r="I17" s="2"/>
      <c r="J17" s="2"/>
      <c r="K17" s="2"/>
      <c r="L17" s="2"/>
      <c r="M17" s="28"/>
      <c r="N17" s="2"/>
      <c r="O17" s="27"/>
    </row>
    <row r="18" spans="1:15" ht="34.5" customHeight="1" x14ac:dyDescent="0.3">
      <c r="A18" s="3"/>
      <c r="B18" s="2"/>
      <c r="C18" s="3"/>
      <c r="D18" s="3"/>
      <c r="E18" s="3"/>
      <c r="F18" s="3"/>
      <c r="G18" s="3"/>
      <c r="H18" s="67"/>
      <c r="I18" s="2"/>
      <c r="J18" s="2"/>
      <c r="K18" s="2"/>
      <c r="L18" s="2"/>
      <c r="M18" s="28"/>
      <c r="N18" s="2"/>
      <c r="O18" s="27"/>
    </row>
    <row r="19" spans="1:15" x14ac:dyDescent="0.3">
      <c r="A19" s="159" t="s">
        <v>46</v>
      </c>
      <c r="B19" s="159"/>
      <c r="C19" s="29"/>
      <c r="D19" s="29"/>
      <c r="E19" s="29"/>
      <c r="F19" s="29"/>
      <c r="G19" s="187" t="s">
        <v>47</v>
      </c>
      <c r="H19" s="187"/>
      <c r="I19" s="187"/>
      <c r="J19" s="187"/>
      <c r="K19" s="2"/>
      <c r="L19" s="29"/>
      <c r="M19" s="187" t="s">
        <v>727</v>
      </c>
      <c r="N19" s="187"/>
      <c r="O19" s="187"/>
    </row>
    <row r="20" spans="1:15" x14ac:dyDescent="0.3">
      <c r="A20" s="196" t="s">
        <v>48</v>
      </c>
      <c r="B20" s="196"/>
      <c r="C20" s="3"/>
      <c r="D20" s="3"/>
      <c r="E20" s="3"/>
      <c r="F20" s="3"/>
      <c r="G20" s="188" t="s">
        <v>49</v>
      </c>
      <c r="H20" s="188"/>
      <c r="I20" s="188"/>
      <c r="J20" s="188"/>
      <c r="K20" s="2"/>
      <c r="L20" s="3"/>
      <c r="M20" s="188" t="s">
        <v>728</v>
      </c>
      <c r="N20" s="188"/>
      <c r="O20" s="188"/>
    </row>
  </sheetData>
  <mergeCells count="19">
    <mergeCell ref="A20:B20"/>
    <mergeCell ref="M20:O20"/>
    <mergeCell ref="C8:D8"/>
    <mergeCell ref="C9:D9"/>
    <mergeCell ref="K15:L15"/>
    <mergeCell ref="M19:O19"/>
    <mergeCell ref="M16:N16"/>
    <mergeCell ref="G19:J19"/>
    <mergeCell ref="G20:J20"/>
    <mergeCell ref="A1:O1"/>
    <mergeCell ref="A2:O2"/>
    <mergeCell ref="A6:H6"/>
    <mergeCell ref="I6:K6"/>
    <mergeCell ref="L6:M6"/>
    <mergeCell ref="N6:N7"/>
    <mergeCell ref="O6:O7"/>
    <mergeCell ref="C7:D7"/>
    <mergeCell ref="J3:K3"/>
    <mergeCell ref="G3:I3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6191B-D09A-458A-8D3F-122FAA178A8D}">
  <sheetPr>
    <tabColor rgb="FF00B0F0"/>
    <pageSetUpPr fitToPage="1"/>
  </sheetPr>
  <dimension ref="A1:O22"/>
  <sheetViews>
    <sheetView topLeftCell="A4" workbookViewId="0">
      <selection activeCell="M11" sqref="M11"/>
    </sheetView>
  </sheetViews>
  <sheetFormatPr defaultRowHeight="14.4" x14ac:dyDescent="0.3"/>
  <cols>
    <col min="1" max="1" width="11.6640625" customWidth="1"/>
    <col min="2" max="2" width="21" customWidth="1"/>
    <col min="3" max="3" width="6.6640625" customWidth="1"/>
    <col min="4" max="4" width="3.33203125" customWidth="1"/>
    <col min="5" max="5" width="0.109375" customWidth="1"/>
    <col min="6" max="6" width="12.5546875" hidden="1" customWidth="1"/>
    <col min="7" max="7" width="12.6640625" customWidth="1"/>
    <col min="8" max="8" width="14.88671875" customWidth="1"/>
    <col min="9" max="9" width="8.6640625" customWidth="1"/>
    <col min="10" max="10" width="10.5546875" customWidth="1"/>
    <col min="11" max="11" width="11.5546875" customWidth="1"/>
    <col min="12" max="12" width="11.88671875" customWidth="1"/>
    <col min="13" max="13" width="14.10937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232"/>
      <c r="G4" s="232"/>
      <c r="H4" s="3" t="s">
        <v>2</v>
      </c>
      <c r="I4" s="3"/>
      <c r="J4" s="196" t="s">
        <v>3</v>
      </c>
      <c r="K4" s="196"/>
      <c r="L4" s="3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66" x14ac:dyDescent="0.3">
      <c r="A10" s="5" t="s">
        <v>651</v>
      </c>
      <c r="B10" s="6" t="s">
        <v>34</v>
      </c>
      <c r="C10" s="216"/>
      <c r="D10" s="217"/>
      <c r="E10" s="110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2500000</v>
      </c>
      <c r="N10" s="8" t="s">
        <v>38</v>
      </c>
      <c r="O10" s="9" t="s">
        <v>39</v>
      </c>
    </row>
    <row r="11" spans="1:15" ht="15.6" x14ac:dyDescent="0.3">
      <c r="A11" s="12"/>
      <c r="B11" s="151" t="s">
        <v>652</v>
      </c>
      <c r="C11" s="228" t="s">
        <v>653</v>
      </c>
      <c r="D11" s="229"/>
      <c r="E11" s="90">
        <v>2500000</v>
      </c>
      <c r="F11" s="102">
        <v>2500000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244">
        <f>F11</f>
        <v>2500000</v>
      </c>
      <c r="N11" s="19"/>
      <c r="O11" s="17"/>
    </row>
    <row r="12" spans="1:15" x14ac:dyDescent="0.3">
      <c r="A12" s="12"/>
      <c r="B12" s="13"/>
      <c r="C12" s="228"/>
      <c r="D12" s="229"/>
      <c r="E12" s="90"/>
      <c r="F12" s="102">
        <f t="shared" ref="F12:F16" si="0">E12</f>
        <v>0</v>
      </c>
      <c r="G12" s="14"/>
      <c r="H12" s="14"/>
      <c r="I12" s="15"/>
      <c r="J12" s="15"/>
      <c r="K12" s="20" t="s">
        <v>731</v>
      </c>
      <c r="L12" s="17"/>
      <c r="M12" s="18"/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2500000</v>
      </c>
      <c r="G17" s="7"/>
      <c r="H17" s="7"/>
      <c r="I17" s="7"/>
      <c r="J17" s="7"/>
      <c r="K17" s="194" t="s">
        <v>43</v>
      </c>
      <c r="L17" s="195"/>
      <c r="M17" s="148">
        <f>F17</f>
        <v>2500000</v>
      </c>
      <c r="N17" s="13"/>
      <c r="O17" s="7"/>
    </row>
    <row r="18" spans="1:15" x14ac:dyDescent="0.3">
      <c r="A18" s="3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141" t="s">
        <v>45</v>
      </c>
      <c r="M18" s="141"/>
      <c r="N18" s="141"/>
      <c r="O18" s="27"/>
    </row>
    <row r="19" spans="1:15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5" ht="33.7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68"/>
      <c r="G21" s="187" t="s">
        <v>47</v>
      </c>
      <c r="H21" s="187"/>
      <c r="I21" s="187"/>
      <c r="J21" s="140"/>
      <c r="K21" s="2"/>
      <c r="L21" s="187" t="s">
        <v>727</v>
      </c>
      <c r="M21" s="187"/>
      <c r="N21" s="187"/>
      <c r="O21" s="140"/>
    </row>
    <row r="22" spans="1:15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3"/>
      <c r="M22" s="147" t="s">
        <v>728</v>
      </c>
      <c r="N22" s="139"/>
      <c r="O22" s="139"/>
    </row>
  </sheetData>
  <mergeCells count="26">
    <mergeCell ref="C12:D12"/>
    <mergeCell ref="C13:D13"/>
    <mergeCell ref="F4:G4"/>
    <mergeCell ref="C14:D14"/>
    <mergeCell ref="C9:D9"/>
    <mergeCell ref="C10:D10"/>
    <mergeCell ref="C11:D11"/>
    <mergeCell ref="A22:B22"/>
    <mergeCell ref="C15:D15"/>
    <mergeCell ref="C16:D16"/>
    <mergeCell ref="C17:D17"/>
    <mergeCell ref="K17:L17"/>
    <mergeCell ref="A21:B21"/>
    <mergeCell ref="G21:I21"/>
    <mergeCell ref="G22:I22"/>
    <mergeCell ref="L21:N21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E9A3-9571-4CEC-919B-741EEE93C474}">
  <sheetPr>
    <tabColor rgb="FF00B0F0"/>
    <pageSetUpPr fitToPage="1"/>
  </sheetPr>
  <dimension ref="A1:R22"/>
  <sheetViews>
    <sheetView workbookViewId="0">
      <selection activeCell="M11" sqref="M11"/>
    </sheetView>
  </sheetViews>
  <sheetFormatPr defaultRowHeight="14.4" x14ac:dyDescent="0.3"/>
  <cols>
    <col min="1" max="1" width="12.5546875" customWidth="1"/>
    <col min="2" max="2" width="19.5546875" customWidth="1"/>
    <col min="3" max="3" width="4" customWidth="1"/>
    <col min="4" max="4" width="5.44140625" customWidth="1"/>
    <col min="5" max="5" width="8.5546875" hidden="1" customWidth="1"/>
    <col min="6" max="6" width="10.6640625" hidden="1" customWidth="1"/>
    <col min="7" max="7" width="12.33203125" customWidth="1"/>
    <col min="8" max="8" width="12" customWidth="1"/>
    <col min="9" max="9" width="8.664062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3" t="s">
        <v>2</v>
      </c>
      <c r="H4" s="233"/>
      <c r="I4" s="233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196"/>
      <c r="I5" s="196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648</v>
      </c>
      <c r="B10" s="6" t="s">
        <v>34</v>
      </c>
      <c r="C10" s="216"/>
      <c r="D10" s="217"/>
      <c r="E10" s="110" t="s">
        <v>55</v>
      </c>
      <c r="F10" s="65" t="s">
        <v>56</v>
      </c>
      <c r="G10" s="9" t="s">
        <v>650</v>
      </c>
      <c r="H10" s="7" t="s">
        <v>36</v>
      </c>
      <c r="I10" s="8"/>
      <c r="J10" s="8"/>
      <c r="K10" s="8"/>
      <c r="L10" s="9" t="s">
        <v>37</v>
      </c>
      <c r="M10" s="10">
        <v>77000</v>
      </c>
      <c r="N10" s="8" t="s">
        <v>38</v>
      </c>
      <c r="O10" s="9" t="s">
        <v>39</v>
      </c>
    </row>
    <row r="11" spans="1:15" ht="27.6" x14ac:dyDescent="0.3">
      <c r="A11" s="12" t="s">
        <v>4</v>
      </c>
      <c r="B11" s="13" t="s">
        <v>649</v>
      </c>
      <c r="C11" s="142">
        <v>262</v>
      </c>
      <c r="D11" s="143" t="s">
        <v>730</v>
      </c>
      <c r="E11" s="90">
        <v>220</v>
      </c>
      <c r="F11" s="102">
        <f>E11*C11</f>
        <v>57640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57640</v>
      </c>
      <c r="N11" s="19"/>
      <c r="O11" s="17"/>
    </row>
    <row r="12" spans="1:15" x14ac:dyDescent="0.3">
      <c r="A12" s="12"/>
      <c r="B12" s="13"/>
      <c r="C12" s="228"/>
      <c r="D12" s="229"/>
      <c r="E12" s="90"/>
      <c r="F12" s="102">
        <f t="shared" ref="F12:F16" si="0">E12</f>
        <v>0</v>
      </c>
      <c r="G12" s="14"/>
      <c r="H12" s="14"/>
      <c r="I12" s="15"/>
      <c r="J12" s="15"/>
      <c r="K12" s="20" t="s">
        <v>731</v>
      </c>
      <c r="L12" s="17"/>
      <c r="M12" s="18"/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8" ht="15.6" x14ac:dyDescent="0.3">
      <c r="A17" s="13"/>
      <c r="B17" s="23"/>
      <c r="C17" s="224"/>
      <c r="D17" s="225"/>
      <c r="E17" s="111"/>
      <c r="F17" s="101">
        <f>SUM(F11:F16)</f>
        <v>57640</v>
      </c>
      <c r="G17" s="7"/>
      <c r="H17" s="7"/>
      <c r="I17" s="7"/>
      <c r="J17" s="7"/>
      <c r="K17" s="194" t="s">
        <v>43</v>
      </c>
      <c r="L17" s="195"/>
      <c r="M17" s="148">
        <f>M11</f>
        <v>57640</v>
      </c>
      <c r="N17" s="13"/>
      <c r="O17" s="7"/>
      <c r="R17">
        <f>38500+19250</f>
        <v>57750</v>
      </c>
    </row>
    <row r="18" spans="1:18" x14ac:dyDescent="0.3">
      <c r="A18" s="3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3"/>
      <c r="M18" s="186" t="s">
        <v>45</v>
      </c>
      <c r="N18" s="186"/>
      <c r="O18" s="27"/>
    </row>
    <row r="19" spans="1:18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8" ht="45.7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8" x14ac:dyDescent="0.3">
      <c r="A21" s="198" t="s">
        <v>46</v>
      </c>
      <c r="B21" s="198"/>
      <c r="C21" s="29"/>
      <c r="D21" s="29"/>
      <c r="E21" s="29"/>
      <c r="F21" s="68"/>
      <c r="G21" s="140" t="s">
        <v>47</v>
      </c>
      <c r="H21" s="140"/>
      <c r="I21" s="140"/>
      <c r="J21" s="140"/>
      <c r="K21" s="2"/>
      <c r="L21" s="29"/>
      <c r="M21" s="187" t="s">
        <v>727</v>
      </c>
      <c r="N21" s="187"/>
      <c r="O21" s="187"/>
    </row>
    <row r="22" spans="1:18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3"/>
      <c r="M22" s="188" t="s">
        <v>728</v>
      </c>
      <c r="N22" s="188"/>
      <c r="O22" s="188"/>
    </row>
  </sheetData>
  <mergeCells count="27">
    <mergeCell ref="C14:D14"/>
    <mergeCell ref="C9:D9"/>
    <mergeCell ref="C10:D10"/>
    <mergeCell ref="C12:D12"/>
    <mergeCell ref="C13:D13"/>
    <mergeCell ref="M21:O21"/>
    <mergeCell ref="A22:B22"/>
    <mergeCell ref="M22:O22"/>
    <mergeCell ref="C15:D15"/>
    <mergeCell ref="C16:D16"/>
    <mergeCell ref="C17:D17"/>
    <mergeCell ref="K17:L17"/>
    <mergeCell ref="A21:B21"/>
    <mergeCell ref="G22:I22"/>
    <mergeCell ref="M18:N18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H5:I5"/>
    <mergeCell ref="G4:I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9F6F-6223-413F-9887-9D7B7C8476B0}">
  <sheetPr>
    <tabColor rgb="FF00B0F0"/>
    <pageSetUpPr fitToPage="1"/>
  </sheetPr>
  <dimension ref="A1:O22"/>
  <sheetViews>
    <sheetView workbookViewId="0">
      <selection activeCell="M11" sqref="M11:M12"/>
    </sheetView>
  </sheetViews>
  <sheetFormatPr defaultRowHeight="14.4" x14ac:dyDescent="0.3"/>
  <cols>
    <col min="1" max="1" width="10" customWidth="1"/>
    <col min="2" max="2" width="23.5546875" customWidth="1"/>
    <col min="3" max="3" width="4.6640625" customWidth="1"/>
    <col min="4" max="4" width="4.44140625" customWidth="1"/>
    <col min="5" max="5" width="8.5546875" hidden="1" customWidth="1"/>
    <col min="6" max="6" width="12.33203125" hidden="1" customWidth="1"/>
    <col min="7" max="7" width="12" customWidth="1"/>
    <col min="8" max="8" width="11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112" t="s">
        <v>11</v>
      </c>
      <c r="B8" s="112" t="s">
        <v>12</v>
      </c>
      <c r="C8" s="222" t="s">
        <v>13</v>
      </c>
      <c r="D8" s="223"/>
      <c r="E8" s="113"/>
      <c r="F8" s="63"/>
      <c r="G8" s="112" t="s">
        <v>14</v>
      </c>
      <c r="H8" s="112" t="s">
        <v>15</v>
      </c>
      <c r="I8" s="112" t="s">
        <v>16</v>
      </c>
      <c r="J8" s="112" t="s">
        <v>17</v>
      </c>
      <c r="K8" s="112" t="s">
        <v>18</v>
      </c>
      <c r="L8" s="112" t="s">
        <v>19</v>
      </c>
      <c r="M8" s="112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14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12" t="s">
        <v>675</v>
      </c>
      <c r="B10" s="6" t="s">
        <v>34</v>
      </c>
      <c r="C10" s="216"/>
      <c r="D10" s="217"/>
      <c r="E10" s="115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240000</v>
      </c>
      <c r="N10" s="8" t="s">
        <v>38</v>
      </c>
      <c r="O10" s="9" t="s">
        <v>39</v>
      </c>
    </row>
    <row r="11" spans="1:15" x14ac:dyDescent="0.3">
      <c r="A11" s="12"/>
      <c r="B11" s="13" t="s">
        <v>676</v>
      </c>
      <c r="C11" s="124">
        <v>1</v>
      </c>
      <c r="D11" s="124" t="s">
        <v>146</v>
      </c>
      <c r="E11" s="90">
        <v>65000</v>
      </c>
      <c r="F11" s="102">
        <f>E11*C11</f>
        <v>65000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65000</v>
      </c>
      <c r="N11" s="19"/>
      <c r="O11" s="17"/>
    </row>
    <row r="12" spans="1:15" x14ac:dyDescent="0.3">
      <c r="A12" s="12"/>
      <c r="B12" s="13" t="s">
        <v>677</v>
      </c>
      <c r="C12" s="116">
        <v>1</v>
      </c>
      <c r="D12" s="124" t="s">
        <v>146</v>
      </c>
      <c r="E12" s="90">
        <v>55000</v>
      </c>
      <c r="F12" s="102">
        <f>E12*C12</f>
        <v>55000</v>
      </c>
      <c r="G12" s="14"/>
      <c r="H12" s="14"/>
      <c r="I12" s="15"/>
      <c r="J12" s="15"/>
      <c r="K12" s="20" t="s">
        <v>731</v>
      </c>
      <c r="L12" s="17"/>
      <c r="M12" s="185">
        <f>F12</f>
        <v>55000</v>
      </c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ref="F13:F16" si="0">E13</f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7"/>
      <c r="F17" s="101">
        <f>SUM(F11:F16)</f>
        <v>120000</v>
      </c>
      <c r="G17" s="7"/>
      <c r="H17" s="7"/>
      <c r="I17" s="7"/>
      <c r="J17" s="7"/>
      <c r="K17" s="194" t="s">
        <v>43</v>
      </c>
      <c r="L17" s="195"/>
      <c r="M17" s="148">
        <f>SUM(M11:M16)</f>
        <v>120000</v>
      </c>
      <c r="N17" s="13"/>
      <c r="O17" s="7"/>
    </row>
    <row r="18" spans="1:15" x14ac:dyDescent="0.3">
      <c r="A18" s="3" t="s">
        <v>44</v>
      </c>
      <c r="B18" s="26"/>
      <c r="C18" s="11"/>
      <c r="D18" s="141" t="s">
        <v>726</v>
      </c>
      <c r="E18" s="141"/>
      <c r="F18" s="141"/>
      <c r="G18" s="141"/>
      <c r="H18" s="141"/>
      <c r="I18" s="26"/>
      <c r="J18" s="26"/>
      <c r="K18" s="26"/>
      <c r="L18" s="3"/>
      <c r="M18" s="186" t="s">
        <v>45</v>
      </c>
      <c r="N18" s="186"/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33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187" t="s">
        <v>47</v>
      </c>
      <c r="E21" s="187"/>
      <c r="F21" s="187"/>
      <c r="G21" s="187"/>
      <c r="H21" s="187"/>
      <c r="I21" s="187"/>
      <c r="J21" s="187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88"/>
      <c r="J22" s="188"/>
      <c r="K22" s="2"/>
      <c r="L22" s="3"/>
      <c r="M22" s="188" t="s">
        <v>728</v>
      </c>
      <c r="N22" s="188"/>
      <c r="O22" s="188"/>
    </row>
  </sheetData>
  <mergeCells count="26">
    <mergeCell ref="C9:D9"/>
    <mergeCell ref="C10:D10"/>
    <mergeCell ref="C13:D13"/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  <mergeCell ref="M21:O21"/>
    <mergeCell ref="A22:B22"/>
    <mergeCell ref="M22:O22"/>
    <mergeCell ref="C15:D15"/>
    <mergeCell ref="C16:D16"/>
    <mergeCell ref="C17:D17"/>
    <mergeCell ref="K17:L17"/>
    <mergeCell ref="A21:B21"/>
    <mergeCell ref="M18:N18"/>
    <mergeCell ref="D21:J21"/>
    <mergeCell ref="F22:J22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DB1A-DD7E-4BD9-BEEB-E00EBA3F594A}">
  <sheetPr>
    <tabColor rgb="FF00B0F0"/>
    <pageSetUpPr fitToPage="1"/>
  </sheetPr>
  <dimension ref="A1:O22"/>
  <sheetViews>
    <sheetView topLeftCell="A7" workbookViewId="0">
      <selection activeCell="M11" sqref="M11:M12"/>
    </sheetView>
  </sheetViews>
  <sheetFormatPr defaultRowHeight="14.4" x14ac:dyDescent="0.3"/>
  <cols>
    <col min="1" max="1" width="10.109375" customWidth="1"/>
    <col min="2" max="2" width="20.44140625" customWidth="1"/>
    <col min="3" max="3" width="6.6640625" customWidth="1"/>
    <col min="4" max="4" width="10.33203125" customWidth="1"/>
    <col min="5" max="5" width="8.5546875" hidden="1" customWidth="1"/>
    <col min="6" max="6" width="12.33203125" hidden="1" customWidth="1"/>
    <col min="7" max="7" width="10.5546875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196" t="s">
        <v>3</v>
      </c>
      <c r="J4" s="196"/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108" customHeight="1" x14ac:dyDescent="0.3">
      <c r="A8" s="112" t="s">
        <v>11</v>
      </c>
      <c r="B8" s="112" t="s">
        <v>12</v>
      </c>
      <c r="C8" s="222" t="s">
        <v>13</v>
      </c>
      <c r="D8" s="223"/>
      <c r="E8" s="113"/>
      <c r="F8" s="63"/>
      <c r="G8" s="112" t="s">
        <v>14</v>
      </c>
      <c r="H8" s="112" t="s">
        <v>15</v>
      </c>
      <c r="I8" s="112" t="s">
        <v>16</v>
      </c>
      <c r="J8" s="112" t="s">
        <v>17</v>
      </c>
      <c r="K8" s="112" t="s">
        <v>18</v>
      </c>
      <c r="L8" s="112" t="s">
        <v>19</v>
      </c>
      <c r="M8" s="112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14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678</v>
      </c>
      <c r="B10" s="6" t="s">
        <v>34</v>
      </c>
      <c r="C10" s="216"/>
      <c r="D10" s="217"/>
      <c r="E10" s="115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44000</v>
      </c>
      <c r="N10" s="8" t="s">
        <v>38</v>
      </c>
      <c r="O10" s="9" t="s">
        <v>39</v>
      </c>
    </row>
    <row r="11" spans="1:15" x14ac:dyDescent="0.3">
      <c r="A11" s="12"/>
      <c r="B11" s="13" t="s">
        <v>679</v>
      </c>
      <c r="C11" s="235" t="s">
        <v>670</v>
      </c>
      <c r="D11" s="236"/>
      <c r="E11" s="90"/>
      <c r="F11" s="102"/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v>11000</v>
      </c>
      <c r="N11" s="19"/>
      <c r="O11" s="17"/>
    </row>
    <row r="12" spans="1:15" x14ac:dyDescent="0.3">
      <c r="A12" s="12"/>
      <c r="B12" s="13" t="s">
        <v>680</v>
      </c>
      <c r="C12" s="235" t="s">
        <v>670</v>
      </c>
      <c r="D12" s="236"/>
      <c r="E12" s="90"/>
      <c r="F12" s="102"/>
      <c r="G12" s="14"/>
      <c r="H12" s="14"/>
      <c r="I12" s="15"/>
      <c r="J12" s="15"/>
      <c r="K12" s="20" t="s">
        <v>731</v>
      </c>
      <c r="L12" s="17"/>
      <c r="M12" s="185">
        <v>11000</v>
      </c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ref="F13:F16" si="0">E13</f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7"/>
      <c r="F17" s="101">
        <f>SUM(F11:F16)</f>
        <v>0</v>
      </c>
      <c r="G17" s="7"/>
      <c r="H17" s="7"/>
      <c r="I17" s="7"/>
      <c r="J17" s="7"/>
      <c r="K17" s="194" t="s">
        <v>43</v>
      </c>
      <c r="L17" s="195"/>
      <c r="M17" s="148">
        <f>SUM(M11:M16)</f>
        <v>22000</v>
      </c>
      <c r="N17" s="13"/>
      <c r="O17" s="7"/>
    </row>
    <row r="18" spans="1:15" x14ac:dyDescent="0.3">
      <c r="A18" s="3" t="s">
        <v>44</v>
      </c>
      <c r="B18" s="26"/>
      <c r="C18" s="219" t="s">
        <v>726</v>
      </c>
      <c r="D18" s="219"/>
      <c r="E18" s="219"/>
      <c r="F18" s="219"/>
      <c r="G18" s="219"/>
      <c r="H18" s="219"/>
      <c r="I18" s="219"/>
      <c r="J18" s="26"/>
      <c r="K18" s="26"/>
      <c r="L18" s="3"/>
      <c r="M18" s="186" t="s">
        <v>45</v>
      </c>
      <c r="N18" s="186"/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32.25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34" t="s">
        <v>47</v>
      </c>
      <c r="E21" s="234"/>
      <c r="F21" s="234"/>
      <c r="G21" s="234"/>
      <c r="H21" s="234"/>
      <c r="I21" s="234"/>
      <c r="J21" s="234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88"/>
      <c r="J22" s="188"/>
      <c r="K22" s="2"/>
      <c r="L22" s="3"/>
      <c r="M22" s="188" t="s">
        <v>728</v>
      </c>
      <c r="N22" s="188"/>
      <c r="O22" s="188"/>
    </row>
  </sheetData>
  <mergeCells count="29">
    <mergeCell ref="D21:J21"/>
    <mergeCell ref="C15:D15"/>
    <mergeCell ref="C16:D16"/>
    <mergeCell ref="C11:D11"/>
    <mergeCell ref="C12:D12"/>
    <mergeCell ref="C17:D17"/>
    <mergeCell ref="C13:D13"/>
    <mergeCell ref="C14:D14"/>
    <mergeCell ref="M18:N18"/>
    <mergeCell ref="I4:K4"/>
    <mergeCell ref="G4:H4"/>
    <mergeCell ref="C18:I18"/>
    <mergeCell ref="K17:L17"/>
    <mergeCell ref="A21:B21"/>
    <mergeCell ref="M21:O21"/>
    <mergeCell ref="F22:J22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A22:B22"/>
    <mergeCell ref="M22:O22"/>
    <mergeCell ref="C9:D9"/>
    <mergeCell ref="C10:D10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72E4-FA64-4D9D-8C4A-0CD220035759}">
  <sheetPr>
    <tabColor rgb="FF00B0F0"/>
    <pageSetUpPr fitToPage="1"/>
  </sheetPr>
  <dimension ref="A1:O22"/>
  <sheetViews>
    <sheetView workbookViewId="0">
      <selection activeCell="M11" sqref="M11:M12"/>
    </sheetView>
  </sheetViews>
  <sheetFormatPr defaultRowHeight="14.4" x14ac:dyDescent="0.3"/>
  <cols>
    <col min="1" max="1" width="10.6640625" customWidth="1"/>
    <col min="2" max="2" width="23.6640625" customWidth="1"/>
    <col min="3" max="3" width="6.6640625" customWidth="1"/>
    <col min="4" max="4" width="3.5546875" customWidth="1"/>
    <col min="5" max="5" width="8.5546875" hidden="1" customWidth="1"/>
    <col min="6" max="6" width="12.33203125" hidden="1" customWidth="1"/>
    <col min="7" max="7" width="12.109375" customWidth="1"/>
    <col min="8" max="8" width="10.332031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96" t="s">
        <v>2</v>
      </c>
      <c r="H4" s="196"/>
      <c r="I4" s="196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112" t="s">
        <v>11</v>
      </c>
      <c r="B8" s="112" t="s">
        <v>12</v>
      </c>
      <c r="C8" s="222" t="s">
        <v>13</v>
      </c>
      <c r="D8" s="223"/>
      <c r="E8" s="113"/>
      <c r="F8" s="63"/>
      <c r="G8" s="112" t="s">
        <v>14</v>
      </c>
      <c r="H8" s="112" t="s">
        <v>15</v>
      </c>
      <c r="I8" s="112" t="s">
        <v>16</v>
      </c>
      <c r="J8" s="112" t="s">
        <v>17</v>
      </c>
      <c r="K8" s="112" t="s">
        <v>18</v>
      </c>
      <c r="L8" s="112" t="s">
        <v>19</v>
      </c>
      <c r="M8" s="112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14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62.25" customHeight="1" x14ac:dyDescent="0.3">
      <c r="A10" s="5" t="s">
        <v>681</v>
      </c>
      <c r="B10" s="6" t="s">
        <v>34</v>
      </c>
      <c r="C10" s="216"/>
      <c r="D10" s="217"/>
      <c r="E10" s="115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60000</v>
      </c>
      <c r="N10" s="8" t="s">
        <v>38</v>
      </c>
      <c r="O10" s="9" t="s">
        <v>39</v>
      </c>
    </row>
    <row r="11" spans="1:15" x14ac:dyDescent="0.3">
      <c r="A11" s="12"/>
      <c r="B11" s="13" t="s">
        <v>682</v>
      </c>
      <c r="C11" s="237" t="s">
        <v>657</v>
      </c>
      <c r="D11" s="238"/>
      <c r="E11" s="90">
        <v>40000</v>
      </c>
      <c r="F11" s="102">
        <v>15000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v>15000</v>
      </c>
      <c r="N11" s="19"/>
      <c r="O11" s="17"/>
    </row>
    <row r="12" spans="1:15" x14ac:dyDescent="0.3">
      <c r="A12" s="12"/>
      <c r="B12" s="13" t="s">
        <v>683</v>
      </c>
      <c r="C12" s="237" t="s">
        <v>657</v>
      </c>
      <c r="D12" s="238"/>
      <c r="E12" s="90">
        <v>20000</v>
      </c>
      <c r="F12" s="102">
        <v>15000</v>
      </c>
      <c r="G12" s="14"/>
      <c r="H12" s="14"/>
      <c r="I12" s="15"/>
      <c r="J12" s="15"/>
      <c r="K12" s="20" t="s">
        <v>731</v>
      </c>
      <c r="L12" s="17"/>
      <c r="M12" s="185">
        <v>15000</v>
      </c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ref="F13:F16" si="0">E13</f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7"/>
      <c r="F17" s="101">
        <f>SUM(F11:F16)</f>
        <v>30000</v>
      </c>
      <c r="G17" s="7"/>
      <c r="H17" s="7"/>
      <c r="I17" s="7"/>
      <c r="J17" s="7"/>
      <c r="K17" s="194" t="s">
        <v>43</v>
      </c>
      <c r="L17" s="195"/>
      <c r="M17" s="148">
        <f>SUM(M11:M16)</f>
        <v>30000</v>
      </c>
      <c r="N17" s="13"/>
      <c r="O17" s="7"/>
    </row>
    <row r="18" spans="1:15" x14ac:dyDescent="0.3">
      <c r="A18" s="3" t="s">
        <v>44</v>
      </c>
      <c r="B18" s="26"/>
      <c r="C18" s="186" t="s">
        <v>726</v>
      </c>
      <c r="D18" s="186"/>
      <c r="E18" s="186"/>
      <c r="F18" s="186"/>
      <c r="G18" s="186"/>
      <c r="H18" s="186"/>
      <c r="I18" s="186"/>
      <c r="J18" s="26"/>
      <c r="K18" s="26"/>
      <c r="L18" s="186" t="s">
        <v>45</v>
      </c>
      <c r="M18" s="186"/>
      <c r="N18" s="186"/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34.5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187" t="s">
        <v>47</v>
      </c>
      <c r="E21" s="187"/>
      <c r="F21" s="187"/>
      <c r="G21" s="187"/>
      <c r="H21" s="187"/>
      <c r="I21" s="187"/>
      <c r="J21" s="140"/>
      <c r="K21" s="2"/>
      <c r="L21" s="187" t="s">
        <v>727</v>
      </c>
      <c r="M21" s="187"/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39"/>
      <c r="J22" s="139"/>
      <c r="K22" s="2"/>
      <c r="L22" s="188" t="s">
        <v>728</v>
      </c>
      <c r="M22" s="188"/>
      <c r="N22" s="188"/>
      <c r="O22" s="188"/>
    </row>
  </sheetData>
  <mergeCells count="29">
    <mergeCell ref="J4:K4"/>
    <mergeCell ref="G4:I4"/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C9:D9"/>
    <mergeCell ref="C10:D10"/>
    <mergeCell ref="C11:D11"/>
    <mergeCell ref="C12:D12"/>
    <mergeCell ref="C13:D13"/>
    <mergeCell ref="A22:B22"/>
    <mergeCell ref="C15:D15"/>
    <mergeCell ref="C16:D16"/>
    <mergeCell ref="C17:D17"/>
    <mergeCell ref="K17:L17"/>
    <mergeCell ref="A21:B21"/>
    <mergeCell ref="F22:H22"/>
    <mergeCell ref="C18:I18"/>
    <mergeCell ref="D21:I21"/>
    <mergeCell ref="L21:O21"/>
    <mergeCell ref="L22:O22"/>
    <mergeCell ref="L18:N18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33BE1-077C-4F1B-A82A-AF6873051506}">
  <sheetPr>
    <tabColor rgb="FF00B0F0"/>
    <pageSetUpPr fitToPage="1"/>
  </sheetPr>
  <dimension ref="A1:O23"/>
  <sheetViews>
    <sheetView topLeftCell="A4" workbookViewId="0">
      <selection activeCell="M11" sqref="M11:M17"/>
    </sheetView>
  </sheetViews>
  <sheetFormatPr defaultRowHeight="14.4" x14ac:dyDescent="0.3"/>
  <cols>
    <col min="1" max="1" width="11" customWidth="1"/>
    <col min="2" max="2" width="32.44140625" customWidth="1"/>
    <col min="3" max="3" width="6.6640625" customWidth="1"/>
    <col min="4" max="4" width="4.5546875" customWidth="1"/>
    <col min="5" max="5" width="8.5546875" hidden="1" customWidth="1"/>
    <col min="6" max="6" width="12.33203125" hidden="1" customWidth="1"/>
    <col min="7" max="7" width="12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8.109375" customWidth="1"/>
    <col min="13" max="13" width="12.44140625" customWidth="1"/>
    <col min="14" max="14" width="11.109375" customWidth="1"/>
    <col min="15" max="15" width="11.441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42" t="s">
        <v>2</v>
      </c>
      <c r="H4" s="242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6.75" customHeight="1" x14ac:dyDescent="0.3">
      <c r="A8" s="112" t="s">
        <v>11</v>
      </c>
      <c r="B8" s="112" t="s">
        <v>12</v>
      </c>
      <c r="C8" s="222" t="s">
        <v>13</v>
      </c>
      <c r="D8" s="223"/>
      <c r="E8" s="113"/>
      <c r="F8" s="63"/>
      <c r="G8" s="112" t="s">
        <v>14</v>
      </c>
      <c r="H8" s="112" t="s">
        <v>15</v>
      </c>
      <c r="I8" s="112" t="s">
        <v>16</v>
      </c>
      <c r="J8" s="112" t="s">
        <v>17</v>
      </c>
      <c r="K8" s="112" t="s">
        <v>18</v>
      </c>
      <c r="L8" s="112" t="s">
        <v>19</v>
      </c>
      <c r="M8" s="112" t="s">
        <v>20</v>
      </c>
      <c r="N8" s="221"/>
      <c r="O8" s="220"/>
    </row>
    <row r="9" spans="1:15" ht="26.4" x14ac:dyDescent="0.3">
      <c r="A9" s="4" t="s">
        <v>21</v>
      </c>
      <c r="B9" s="4" t="s">
        <v>22</v>
      </c>
      <c r="C9" s="214" t="s">
        <v>23</v>
      </c>
      <c r="D9" s="215"/>
      <c r="E9" s="114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68.25" customHeight="1" x14ac:dyDescent="0.3">
      <c r="A10" s="5" t="s">
        <v>684</v>
      </c>
      <c r="B10" s="6" t="s">
        <v>34</v>
      </c>
      <c r="C10" s="216"/>
      <c r="D10" s="217"/>
      <c r="E10" s="115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140000</v>
      </c>
      <c r="N10" s="8" t="s">
        <v>38</v>
      </c>
      <c r="O10" s="9" t="s">
        <v>39</v>
      </c>
    </row>
    <row r="11" spans="1:15" x14ac:dyDescent="0.3">
      <c r="A11" s="12"/>
      <c r="B11" s="13" t="s">
        <v>685</v>
      </c>
      <c r="C11" s="240" t="s">
        <v>58</v>
      </c>
      <c r="D11" s="241"/>
      <c r="E11" s="90">
        <f>F11</f>
        <v>2900</v>
      </c>
      <c r="F11" s="102">
        <v>2900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2900</v>
      </c>
      <c r="N11" s="19"/>
      <c r="O11" s="17"/>
    </row>
    <row r="12" spans="1:15" x14ac:dyDescent="0.3">
      <c r="A12" s="12"/>
      <c r="B12" s="13" t="s">
        <v>686</v>
      </c>
      <c r="C12" s="240" t="s">
        <v>58</v>
      </c>
      <c r="D12" s="241"/>
      <c r="E12" s="90">
        <f t="shared" ref="E12:E17" si="0">F12</f>
        <v>5000</v>
      </c>
      <c r="F12" s="102">
        <v>5000</v>
      </c>
      <c r="G12" s="14"/>
      <c r="H12" s="14"/>
      <c r="I12" s="15"/>
      <c r="J12" s="15"/>
      <c r="K12" s="20" t="s">
        <v>731</v>
      </c>
      <c r="L12" s="17"/>
      <c r="M12" s="185">
        <f t="shared" ref="M12:M17" si="1">F12</f>
        <v>5000</v>
      </c>
      <c r="N12" s="19"/>
      <c r="O12" s="17"/>
    </row>
    <row r="13" spans="1:15" x14ac:dyDescent="0.3">
      <c r="A13" s="12"/>
      <c r="B13" s="13" t="s">
        <v>687</v>
      </c>
      <c r="C13" s="240" t="s">
        <v>58</v>
      </c>
      <c r="D13" s="241"/>
      <c r="E13" s="90">
        <f t="shared" si="0"/>
        <v>15000</v>
      </c>
      <c r="F13" s="102">
        <v>15000</v>
      </c>
      <c r="G13" s="14"/>
      <c r="H13" s="14"/>
      <c r="I13" s="20"/>
      <c r="J13" s="20"/>
      <c r="K13" s="20"/>
      <c r="L13" s="17"/>
      <c r="M13" s="185">
        <f t="shared" si="1"/>
        <v>15000</v>
      </c>
      <c r="N13" s="19"/>
      <c r="O13" s="17"/>
    </row>
    <row r="14" spans="1:15" x14ac:dyDescent="0.3">
      <c r="A14" s="12"/>
      <c r="B14" s="13" t="s">
        <v>688</v>
      </c>
      <c r="C14" s="240" t="s">
        <v>58</v>
      </c>
      <c r="D14" s="241"/>
      <c r="E14" s="90">
        <f t="shared" si="0"/>
        <v>7000</v>
      </c>
      <c r="F14" s="102">
        <v>7000</v>
      </c>
      <c r="G14" s="14"/>
      <c r="H14" s="14"/>
      <c r="I14" s="20"/>
      <c r="J14" s="20"/>
      <c r="K14" s="20"/>
      <c r="L14" s="17"/>
      <c r="M14" s="185">
        <f t="shared" si="1"/>
        <v>7000</v>
      </c>
      <c r="N14" s="19"/>
      <c r="O14" s="17"/>
    </row>
    <row r="15" spans="1:15" x14ac:dyDescent="0.3">
      <c r="A15" s="12"/>
      <c r="B15" s="13" t="s">
        <v>689</v>
      </c>
      <c r="C15" s="240" t="s">
        <v>58</v>
      </c>
      <c r="D15" s="241"/>
      <c r="E15" s="90">
        <f t="shared" si="0"/>
        <v>17500</v>
      </c>
      <c r="F15" s="102">
        <v>17500</v>
      </c>
      <c r="G15" s="14"/>
      <c r="H15" s="14"/>
      <c r="I15" s="20"/>
      <c r="J15" s="20"/>
      <c r="K15" s="20"/>
      <c r="L15" s="17"/>
      <c r="M15" s="185">
        <f t="shared" si="1"/>
        <v>17500</v>
      </c>
      <c r="N15" s="19"/>
      <c r="O15" s="17"/>
    </row>
    <row r="16" spans="1:15" x14ac:dyDescent="0.3">
      <c r="A16" s="12"/>
      <c r="B16" s="13" t="s">
        <v>690</v>
      </c>
      <c r="C16" s="240" t="s">
        <v>58</v>
      </c>
      <c r="D16" s="241"/>
      <c r="E16" s="90">
        <f t="shared" si="0"/>
        <v>13000</v>
      </c>
      <c r="F16" s="102">
        <v>13000</v>
      </c>
      <c r="G16" s="14"/>
      <c r="H16" s="14"/>
      <c r="I16" s="20"/>
      <c r="J16" s="20"/>
      <c r="K16" s="20"/>
      <c r="L16" s="17"/>
      <c r="M16" s="185">
        <f t="shared" si="1"/>
        <v>13000</v>
      </c>
      <c r="N16" s="19"/>
      <c r="O16" s="17"/>
    </row>
    <row r="17" spans="1:15" x14ac:dyDescent="0.3">
      <c r="A17" s="12"/>
      <c r="B17" s="13" t="s">
        <v>691</v>
      </c>
      <c r="C17" s="240" t="s">
        <v>58</v>
      </c>
      <c r="D17" s="241"/>
      <c r="E17" s="90">
        <f t="shared" si="0"/>
        <v>9600</v>
      </c>
      <c r="F17" s="103">
        <v>9600</v>
      </c>
      <c r="G17" s="14"/>
      <c r="H17" s="14"/>
      <c r="I17" s="20"/>
      <c r="J17" s="20"/>
      <c r="K17" s="92"/>
      <c r="L17" s="93"/>
      <c r="M17" s="185">
        <f t="shared" si="1"/>
        <v>9600</v>
      </c>
      <c r="N17" s="19"/>
      <c r="O17" s="17"/>
    </row>
    <row r="18" spans="1:15" ht="15.6" x14ac:dyDescent="0.3">
      <c r="A18" s="13"/>
      <c r="B18" s="23"/>
      <c r="C18" s="224"/>
      <c r="D18" s="225"/>
      <c r="E18" s="117"/>
      <c r="F18" s="101">
        <f>SUM(F11:F17)</f>
        <v>70000</v>
      </c>
      <c r="G18" s="7"/>
      <c r="H18" s="7"/>
      <c r="I18" s="7"/>
      <c r="J18" s="7"/>
      <c r="K18" s="194" t="s">
        <v>43</v>
      </c>
      <c r="L18" s="195"/>
      <c r="M18" s="148">
        <f>SUM(M11:M17)</f>
        <v>70000</v>
      </c>
      <c r="N18" s="13"/>
      <c r="O18" s="7"/>
    </row>
    <row r="19" spans="1:15" x14ac:dyDescent="0.3">
      <c r="A19" s="3" t="s">
        <v>44</v>
      </c>
      <c r="B19" s="26"/>
      <c r="C19" s="239" t="s">
        <v>726</v>
      </c>
      <c r="D19" s="239"/>
      <c r="E19" s="239"/>
      <c r="F19" s="239"/>
      <c r="G19" s="239"/>
      <c r="H19" s="239"/>
      <c r="I19" s="239"/>
      <c r="J19" s="26"/>
      <c r="K19" s="26"/>
      <c r="L19" s="3"/>
      <c r="M19" s="186" t="s">
        <v>45</v>
      </c>
      <c r="N19" s="186"/>
      <c r="O19" s="27"/>
    </row>
    <row r="20" spans="1:15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ht="29.25" customHeight="1" x14ac:dyDescent="0.3">
      <c r="A21" s="3"/>
      <c r="B21" s="2"/>
      <c r="C21" s="3"/>
      <c r="D21" s="3"/>
      <c r="E21" s="3"/>
      <c r="F21" s="3"/>
      <c r="G21" s="67"/>
      <c r="H21" s="2"/>
      <c r="I21" s="2"/>
      <c r="J21" s="2"/>
      <c r="K21" s="2"/>
      <c r="L21" s="2"/>
      <c r="M21" s="28"/>
      <c r="N21" s="2"/>
      <c r="O21" s="27"/>
    </row>
    <row r="22" spans="1:15" x14ac:dyDescent="0.3">
      <c r="A22" s="198" t="s">
        <v>46</v>
      </c>
      <c r="B22" s="198"/>
      <c r="C22" s="29"/>
      <c r="D22" s="187" t="s">
        <v>47</v>
      </c>
      <c r="E22" s="187"/>
      <c r="F22" s="187"/>
      <c r="G22" s="187"/>
      <c r="H22" s="187"/>
      <c r="I22" s="187"/>
      <c r="J22" s="140"/>
      <c r="K22" s="2"/>
      <c r="L22" s="29"/>
      <c r="M22" s="187" t="s">
        <v>727</v>
      </c>
      <c r="N22" s="187"/>
      <c r="O22" s="187"/>
    </row>
    <row r="23" spans="1:15" x14ac:dyDescent="0.3">
      <c r="A23" s="196" t="s">
        <v>48</v>
      </c>
      <c r="B23" s="196"/>
      <c r="C23" s="3"/>
      <c r="D23" s="3"/>
      <c r="E23" s="3"/>
      <c r="F23" s="188" t="s">
        <v>49</v>
      </c>
      <c r="G23" s="188"/>
      <c r="H23" s="188"/>
      <c r="I23" s="139"/>
      <c r="J23" s="139"/>
      <c r="K23" s="2"/>
      <c r="L23" s="3"/>
      <c r="M23" s="188" t="s">
        <v>728</v>
      </c>
      <c r="N23" s="188"/>
      <c r="O23" s="188"/>
    </row>
  </sheetData>
  <mergeCells count="30"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I4:J4"/>
    <mergeCell ref="G4:H4"/>
    <mergeCell ref="C15:D15"/>
    <mergeCell ref="C16:D16"/>
    <mergeCell ref="C18:D18"/>
    <mergeCell ref="K18:L18"/>
    <mergeCell ref="C17:D17"/>
    <mergeCell ref="C14:D14"/>
    <mergeCell ref="C9:D9"/>
    <mergeCell ref="C10:D10"/>
    <mergeCell ref="C11:D11"/>
    <mergeCell ref="C12:D12"/>
    <mergeCell ref="C13:D13"/>
    <mergeCell ref="A22:B22"/>
    <mergeCell ref="D22:I22"/>
    <mergeCell ref="C19:I19"/>
    <mergeCell ref="M22:O22"/>
    <mergeCell ref="A23:B23"/>
    <mergeCell ref="M23:O23"/>
    <mergeCell ref="F23:H23"/>
    <mergeCell ref="M19:N19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B495-D44C-40CC-8B2F-86C818B02166}">
  <sheetPr>
    <tabColor rgb="FF00B0F0"/>
    <pageSetUpPr fitToPage="1"/>
  </sheetPr>
  <dimension ref="A1:O22"/>
  <sheetViews>
    <sheetView zoomScale="103" zoomScaleNormal="115" workbookViewId="0">
      <selection activeCell="M11" sqref="M11"/>
    </sheetView>
  </sheetViews>
  <sheetFormatPr defaultRowHeight="14.4" x14ac:dyDescent="0.3"/>
  <cols>
    <col min="1" max="1" width="8.109375" customWidth="1"/>
    <col min="2" max="2" width="17.88671875" customWidth="1"/>
    <col min="3" max="3" width="6.6640625" customWidth="1"/>
    <col min="4" max="4" width="10.44140625" customWidth="1"/>
    <col min="5" max="5" width="8.5546875" hidden="1" customWidth="1"/>
    <col min="6" max="6" width="0.109375" customWidth="1"/>
    <col min="7" max="7" width="11.88671875" customWidth="1"/>
    <col min="8" max="8" width="15.10937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108" customHeight="1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ht="26.4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57" customHeight="1" x14ac:dyDescent="0.3">
      <c r="A10" s="5" t="s">
        <v>666</v>
      </c>
      <c r="B10" s="6" t="s">
        <v>34</v>
      </c>
      <c r="C10" s="216"/>
      <c r="D10" s="217"/>
      <c r="E10" s="110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75000</v>
      </c>
      <c r="N10" s="8" t="s">
        <v>38</v>
      </c>
      <c r="O10" s="9" t="s">
        <v>39</v>
      </c>
    </row>
    <row r="11" spans="1:15" x14ac:dyDescent="0.3">
      <c r="A11" s="12"/>
      <c r="B11" s="13" t="s">
        <v>667</v>
      </c>
      <c r="C11" s="142">
        <v>1600</v>
      </c>
      <c r="D11" s="143" t="s">
        <v>729</v>
      </c>
      <c r="E11" s="90">
        <v>25</v>
      </c>
      <c r="F11" s="102">
        <f>E11*C11</f>
        <v>40000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</f>
        <v>40000</v>
      </c>
      <c r="N11" s="19"/>
      <c r="O11" s="17"/>
    </row>
    <row r="12" spans="1:15" x14ac:dyDescent="0.3">
      <c r="A12" s="12"/>
      <c r="B12" s="13"/>
      <c r="C12" s="228"/>
      <c r="D12" s="229"/>
      <c r="E12" s="90"/>
      <c r="F12" s="102">
        <f t="shared" ref="F12:F16" si="0">E12</f>
        <v>0</v>
      </c>
      <c r="G12" s="14"/>
      <c r="H12" s="14"/>
      <c r="I12" s="15"/>
      <c r="J12" s="15"/>
      <c r="K12" s="20" t="s">
        <v>731</v>
      </c>
      <c r="L12" s="17"/>
      <c r="M12" s="18"/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40000</v>
      </c>
      <c r="G17" s="7"/>
      <c r="H17" s="7"/>
      <c r="I17" s="7"/>
      <c r="J17" s="7"/>
      <c r="K17" s="194" t="s">
        <v>43</v>
      </c>
      <c r="L17" s="195"/>
      <c r="M17" s="148">
        <f>M11</f>
        <v>40000</v>
      </c>
      <c r="N17" s="13"/>
      <c r="O17" s="7"/>
    </row>
    <row r="18" spans="1:15" x14ac:dyDescent="0.3">
      <c r="A18" s="3" t="s">
        <v>44</v>
      </c>
      <c r="B18" s="26"/>
      <c r="C18" s="11"/>
      <c r="D18" s="11"/>
      <c r="E18" s="11"/>
      <c r="F18" s="11" t="s">
        <v>726</v>
      </c>
      <c r="G18" s="66"/>
      <c r="H18" s="26"/>
      <c r="I18" s="26"/>
      <c r="J18" s="26"/>
      <c r="K18" s="26"/>
      <c r="L18" s="3"/>
      <c r="M18" s="26"/>
      <c r="N18" s="11" t="s">
        <v>45</v>
      </c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28.5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59" t="s">
        <v>46</v>
      </c>
      <c r="B21" s="159"/>
      <c r="C21" s="29"/>
      <c r="D21" s="29"/>
      <c r="E21" s="29"/>
      <c r="F21" s="140" t="s">
        <v>47</v>
      </c>
      <c r="G21" s="140"/>
      <c r="H21" s="140"/>
      <c r="I21" s="140"/>
      <c r="J21" s="140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39"/>
      <c r="J22" s="139"/>
      <c r="K22" s="2"/>
      <c r="L22" s="3"/>
      <c r="M22" s="188" t="s">
        <v>728</v>
      </c>
      <c r="N22" s="188"/>
      <c r="O22" s="188"/>
    </row>
  </sheetData>
  <mergeCells count="24">
    <mergeCell ref="M21:O21"/>
    <mergeCell ref="A22:B22"/>
    <mergeCell ref="M22:O22"/>
    <mergeCell ref="C15:D15"/>
    <mergeCell ref="C16:D16"/>
    <mergeCell ref="C17:D17"/>
    <mergeCell ref="K17:L17"/>
    <mergeCell ref="F22:H22"/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C9:D9"/>
    <mergeCell ref="C10:D10"/>
    <mergeCell ref="C12:D12"/>
    <mergeCell ref="C13:D13"/>
    <mergeCell ref="I4:J4"/>
    <mergeCell ref="G4:H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BC2D-30E5-41C5-ACDB-98F80CA7CDDF}">
  <sheetPr>
    <tabColor rgb="FF00B0F0"/>
    <pageSetUpPr fitToPage="1"/>
  </sheetPr>
  <dimension ref="A1:O22"/>
  <sheetViews>
    <sheetView workbookViewId="0">
      <selection activeCell="M17" sqref="M17"/>
    </sheetView>
  </sheetViews>
  <sheetFormatPr defaultRowHeight="14.4" x14ac:dyDescent="0.3"/>
  <cols>
    <col min="1" max="1" width="12.109375" customWidth="1"/>
    <col min="2" max="2" width="16.5546875" customWidth="1"/>
    <col min="3" max="3" width="6.6640625" customWidth="1"/>
    <col min="4" max="4" width="7.33203125" customWidth="1"/>
    <col min="5" max="5" width="8.6640625" hidden="1" customWidth="1"/>
    <col min="6" max="6" width="12.33203125" hidden="1" customWidth="1"/>
    <col min="7" max="7" width="14.88671875" customWidth="1"/>
    <col min="8" max="8" width="8.6640625" customWidth="1"/>
    <col min="9" max="9" width="10.88671875" customWidth="1"/>
    <col min="10" max="10" width="10.5546875" customWidth="1"/>
    <col min="11" max="11" width="11.5546875" customWidth="1"/>
    <col min="12" max="12" width="11.88671875" customWidth="1"/>
    <col min="13" max="13" width="14.10937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1"/>
      <c r="J4" s="196" t="s">
        <v>3</v>
      </c>
      <c r="K4" s="196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668</v>
      </c>
      <c r="B10" s="6" t="s">
        <v>34</v>
      </c>
      <c r="C10" s="216"/>
      <c r="D10" s="217"/>
      <c r="E10" s="110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1320000</v>
      </c>
      <c r="N10" s="8" t="s">
        <v>38</v>
      </c>
      <c r="O10" s="9" t="s">
        <v>39</v>
      </c>
    </row>
    <row r="11" spans="1:15" ht="27.6" x14ac:dyDescent="0.3">
      <c r="A11" s="12"/>
      <c r="B11" s="150" t="s">
        <v>669</v>
      </c>
      <c r="C11" s="228">
        <v>6</v>
      </c>
      <c r="D11" s="229"/>
      <c r="E11" s="90">
        <v>101666.666666666</v>
      </c>
      <c r="F11" s="102">
        <f>E11*C11</f>
        <v>609999.99999999604</v>
      </c>
      <c r="G11" s="17" t="s">
        <v>670</v>
      </c>
      <c r="H11" s="14"/>
      <c r="I11" s="15" t="s">
        <v>40</v>
      </c>
      <c r="J11" s="181">
        <v>46174</v>
      </c>
      <c r="K11" s="16" t="s">
        <v>41</v>
      </c>
      <c r="L11" s="17"/>
      <c r="M11" s="185">
        <v>660000</v>
      </c>
      <c r="N11" s="19"/>
      <c r="O11" s="17"/>
    </row>
    <row r="12" spans="1:15" x14ac:dyDescent="0.3">
      <c r="A12" s="12"/>
      <c r="B12" s="13"/>
      <c r="C12" s="228"/>
      <c r="D12" s="229"/>
      <c r="E12" s="90"/>
      <c r="F12" s="102">
        <f t="shared" ref="F12:F16" si="0">E12</f>
        <v>0</v>
      </c>
      <c r="G12" s="14"/>
      <c r="H12" s="14"/>
      <c r="I12" s="15"/>
      <c r="J12" s="15"/>
      <c r="K12" s="20" t="s">
        <v>731</v>
      </c>
      <c r="L12" s="17"/>
      <c r="M12" s="18"/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609999.99999999604</v>
      </c>
      <c r="G17" s="7"/>
      <c r="H17" s="7"/>
      <c r="I17" s="7"/>
      <c r="J17" s="7"/>
      <c r="K17" s="194" t="s">
        <v>43</v>
      </c>
      <c r="L17" s="195"/>
      <c r="M17" s="148">
        <f>M11</f>
        <v>660000</v>
      </c>
      <c r="N17" s="13"/>
      <c r="O17" s="7"/>
    </row>
    <row r="18" spans="1:15" x14ac:dyDescent="0.3">
      <c r="A18" s="3" t="s">
        <v>44</v>
      </c>
      <c r="B18" s="26"/>
      <c r="C18" s="11"/>
      <c r="D18" s="219" t="s">
        <v>726</v>
      </c>
      <c r="E18" s="219"/>
      <c r="F18" s="219"/>
      <c r="G18" s="219"/>
      <c r="H18" s="219"/>
      <c r="I18" s="219"/>
      <c r="J18" s="26"/>
      <c r="K18" s="26"/>
      <c r="L18" s="3"/>
      <c r="M18" s="26"/>
      <c r="N18" s="11" t="s">
        <v>45</v>
      </c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27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59" t="s">
        <v>46</v>
      </c>
      <c r="B21" s="159"/>
      <c r="C21" s="29"/>
      <c r="D21" s="29"/>
      <c r="E21" s="29"/>
      <c r="F21" s="187" t="s">
        <v>47</v>
      </c>
      <c r="G21" s="187"/>
      <c r="H21" s="187"/>
      <c r="I21" s="187"/>
      <c r="J21" s="187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88"/>
      <c r="J22" s="188"/>
      <c r="K22" s="2"/>
      <c r="L22" s="3"/>
      <c r="M22" s="188" t="s">
        <v>728</v>
      </c>
      <c r="N22" s="188"/>
      <c r="O22" s="188"/>
    </row>
  </sheetData>
  <mergeCells count="27">
    <mergeCell ref="C14:D14"/>
    <mergeCell ref="C9:D9"/>
    <mergeCell ref="C10:D10"/>
    <mergeCell ref="C11:D11"/>
    <mergeCell ref="M21:O21"/>
    <mergeCell ref="C12:D12"/>
    <mergeCell ref="C13:D13"/>
    <mergeCell ref="A22:B22"/>
    <mergeCell ref="M22:O22"/>
    <mergeCell ref="C15:D15"/>
    <mergeCell ref="C16:D16"/>
    <mergeCell ref="C17:D17"/>
    <mergeCell ref="K17:L17"/>
    <mergeCell ref="D18:I18"/>
    <mergeCell ref="F21:J21"/>
    <mergeCell ref="F22:J22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J4:K4"/>
    <mergeCell ref="G4:I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6F3D-FF5E-43B4-B92B-4AE8A61ED487}">
  <sheetPr>
    <tabColor rgb="FF00B0F0"/>
    <pageSetUpPr fitToPage="1"/>
  </sheetPr>
  <dimension ref="A1:O22"/>
  <sheetViews>
    <sheetView topLeftCell="A4" workbookViewId="0">
      <selection activeCell="M11" sqref="M11"/>
    </sheetView>
  </sheetViews>
  <sheetFormatPr defaultRowHeight="14.4" x14ac:dyDescent="0.3"/>
  <cols>
    <col min="1" max="1" width="10" customWidth="1"/>
    <col min="2" max="2" width="28.6640625" customWidth="1"/>
    <col min="3" max="3" width="6.6640625" customWidth="1"/>
    <col min="4" max="4" width="4.5546875" customWidth="1"/>
    <col min="5" max="5" width="0.109375" customWidth="1"/>
    <col min="6" max="6" width="12.33203125" hidden="1" customWidth="1"/>
    <col min="7" max="7" width="12" customWidth="1"/>
    <col min="8" max="8" width="8.6640625" customWidth="1"/>
    <col min="9" max="9" width="10.88671875" customWidth="1"/>
    <col min="10" max="10" width="10.5546875" customWidth="1"/>
    <col min="11" max="11" width="12.5546875" customWidth="1"/>
    <col min="12" max="12" width="11.664062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3" t="s">
        <v>3</v>
      </c>
      <c r="J4" s="233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92.4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79.2" x14ac:dyDescent="0.3">
      <c r="A10" s="5" t="s">
        <v>671</v>
      </c>
      <c r="B10" s="6" t="s">
        <v>34</v>
      </c>
      <c r="C10" s="216"/>
      <c r="D10" s="217"/>
      <c r="E10" s="110" t="s">
        <v>55</v>
      </c>
      <c r="F10" s="65" t="s">
        <v>56</v>
      </c>
      <c r="G10" s="7" t="s">
        <v>424</v>
      </c>
      <c r="H10" s="7" t="s">
        <v>36</v>
      </c>
      <c r="I10" s="8"/>
      <c r="J10" s="8"/>
      <c r="K10" s="8"/>
      <c r="L10" s="9" t="s">
        <v>37</v>
      </c>
      <c r="M10" s="10">
        <v>68000</v>
      </c>
      <c r="N10" s="8" t="s">
        <v>38</v>
      </c>
      <c r="O10" s="9" t="s">
        <v>39</v>
      </c>
    </row>
    <row r="11" spans="1:15" ht="24" x14ac:dyDescent="0.3">
      <c r="A11" s="12"/>
      <c r="B11" s="158" t="s">
        <v>672</v>
      </c>
      <c r="C11" s="228" t="s">
        <v>58</v>
      </c>
      <c r="D11" s="229"/>
      <c r="E11" s="90">
        <v>20000</v>
      </c>
      <c r="F11" s="102">
        <v>8000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49">
        <f>F11</f>
        <v>8000</v>
      </c>
      <c r="N11" s="19"/>
      <c r="O11" s="17"/>
    </row>
    <row r="12" spans="1:15" x14ac:dyDescent="0.3">
      <c r="A12" s="12"/>
      <c r="B12" s="157" t="s">
        <v>673</v>
      </c>
      <c r="C12" s="228" t="s">
        <v>58</v>
      </c>
      <c r="D12" s="229"/>
      <c r="E12" s="90">
        <v>18000</v>
      </c>
      <c r="F12" s="102">
        <v>11000</v>
      </c>
      <c r="G12" s="14"/>
      <c r="H12" s="14"/>
      <c r="I12" s="15"/>
      <c r="J12" s="15"/>
      <c r="K12" s="20" t="s">
        <v>731</v>
      </c>
      <c r="L12" s="17"/>
      <c r="M12" s="149">
        <f t="shared" ref="M12:M13" si="0">F12</f>
        <v>11000</v>
      </c>
      <c r="N12" s="19"/>
      <c r="O12" s="17"/>
    </row>
    <row r="13" spans="1:15" x14ac:dyDescent="0.3">
      <c r="A13" s="12"/>
      <c r="B13" s="157" t="s">
        <v>674</v>
      </c>
      <c r="C13" s="228" t="s">
        <v>58</v>
      </c>
      <c r="D13" s="229"/>
      <c r="E13" s="90">
        <v>30000</v>
      </c>
      <c r="F13" s="102">
        <v>15000</v>
      </c>
      <c r="G13" s="14"/>
      <c r="H13" s="14"/>
      <c r="I13" s="20"/>
      <c r="J13" s="20"/>
      <c r="K13" s="20"/>
      <c r="L13" s="17"/>
      <c r="M13" s="149">
        <f t="shared" si="0"/>
        <v>15000</v>
      </c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ref="F14:F16" si="1">E14</f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1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1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34000</v>
      </c>
      <c r="G17" s="7"/>
      <c r="H17" s="7"/>
      <c r="I17" s="7"/>
      <c r="J17" s="7"/>
      <c r="K17" s="194" t="s">
        <v>43</v>
      </c>
      <c r="L17" s="195"/>
      <c r="M17" s="148">
        <f>SUM(M11:M16)</f>
        <v>34000</v>
      </c>
      <c r="N17" s="13"/>
      <c r="O17" s="7"/>
    </row>
    <row r="18" spans="1:15" x14ac:dyDescent="0.3">
      <c r="A18" s="3" t="s">
        <v>44</v>
      </c>
      <c r="B18" s="26"/>
      <c r="C18" s="219" t="s">
        <v>726</v>
      </c>
      <c r="D18" s="219"/>
      <c r="E18" s="219"/>
      <c r="F18" s="219"/>
      <c r="G18" s="219"/>
      <c r="H18" s="219"/>
      <c r="I18" s="219"/>
      <c r="J18" s="26"/>
      <c r="K18" s="26"/>
      <c r="L18" s="3"/>
      <c r="M18" s="26"/>
      <c r="N18" s="11" t="s">
        <v>45</v>
      </c>
      <c r="O18" s="27"/>
    </row>
    <row r="19" spans="1:15" x14ac:dyDescent="0.3">
      <c r="A19" s="3"/>
      <c r="B19" s="2"/>
      <c r="C19" s="3"/>
      <c r="D19" s="3"/>
      <c r="E19" s="3"/>
      <c r="F19" s="3"/>
      <c r="G19" s="67"/>
      <c r="H19" s="2"/>
      <c r="I19" s="2"/>
      <c r="J19" s="2"/>
      <c r="K19" s="2"/>
      <c r="L19" s="2"/>
      <c r="M19" s="28"/>
      <c r="N19" s="2"/>
      <c r="O19" s="27"/>
    </row>
    <row r="20" spans="1:15" ht="30.75" customHeight="1" x14ac:dyDescent="0.3">
      <c r="A20" s="3"/>
      <c r="B20" s="2"/>
      <c r="C20" s="3"/>
      <c r="D20" s="3"/>
      <c r="E20" s="3"/>
      <c r="F20" s="3"/>
      <c r="G20" s="67"/>
      <c r="H20" s="2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43" t="s">
        <v>47</v>
      </c>
      <c r="E21" s="243"/>
      <c r="F21" s="243"/>
      <c r="G21" s="243"/>
      <c r="H21" s="243"/>
      <c r="I21" s="243"/>
      <c r="J21" s="243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188" t="s">
        <v>49</v>
      </c>
      <c r="G22" s="188"/>
      <c r="H22" s="188"/>
      <c r="I22" s="188"/>
      <c r="J22" s="188"/>
      <c r="K22" s="2"/>
      <c r="L22" s="3"/>
      <c r="M22" s="188" t="s">
        <v>728</v>
      </c>
      <c r="N22" s="188"/>
      <c r="O22" s="188"/>
    </row>
  </sheetData>
  <mergeCells count="28">
    <mergeCell ref="C14:D14"/>
    <mergeCell ref="C9:D9"/>
    <mergeCell ref="C10:D10"/>
    <mergeCell ref="C11:D11"/>
    <mergeCell ref="M21:O21"/>
    <mergeCell ref="C12:D12"/>
    <mergeCell ref="C13:D13"/>
    <mergeCell ref="A22:B22"/>
    <mergeCell ref="M22:O22"/>
    <mergeCell ref="C15:D15"/>
    <mergeCell ref="C16:D16"/>
    <mergeCell ref="C17:D17"/>
    <mergeCell ref="K17:L17"/>
    <mergeCell ref="A21:B21"/>
    <mergeCell ref="D21:J21"/>
    <mergeCell ref="C18:I18"/>
    <mergeCell ref="F22:J22"/>
    <mergeCell ref="I4:J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G4:H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4625-6962-4398-AE41-0D2381E34721}">
  <sheetPr>
    <tabColor rgb="FF00B0F0"/>
    <pageSetUpPr fitToPage="1"/>
  </sheetPr>
  <dimension ref="A1:O22"/>
  <sheetViews>
    <sheetView workbookViewId="0">
      <selection activeCell="M12" sqref="M12"/>
    </sheetView>
  </sheetViews>
  <sheetFormatPr defaultRowHeight="14.4" x14ac:dyDescent="0.3"/>
  <cols>
    <col min="1" max="1" width="13.44140625" customWidth="1"/>
    <col min="2" max="2" width="22.33203125" customWidth="1"/>
    <col min="3" max="3" width="6.6640625" customWidth="1"/>
    <col min="4" max="4" width="4.33203125" customWidth="1"/>
    <col min="5" max="5" width="8.5546875" hidden="1" customWidth="1"/>
    <col min="6" max="6" width="10.6640625" hidden="1" customWidth="1"/>
    <col min="7" max="7" width="12.33203125" customWidth="1"/>
    <col min="8" max="8" width="13.33203125" customWidth="1"/>
    <col min="9" max="9" width="8.6640625" customWidth="1"/>
    <col min="10" max="10" width="10.88671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53" t="s">
        <v>2</v>
      </c>
      <c r="H4" s="3"/>
      <c r="I4" s="233" t="s">
        <v>3</v>
      </c>
      <c r="J4" s="233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25" t="s">
        <v>11</v>
      </c>
      <c r="B8" s="125" t="s">
        <v>12</v>
      </c>
      <c r="C8" s="222" t="s">
        <v>13</v>
      </c>
      <c r="D8" s="223"/>
      <c r="E8" s="126"/>
      <c r="F8" s="63"/>
      <c r="G8" s="125" t="s">
        <v>14</v>
      </c>
      <c r="H8" s="125" t="s">
        <v>15</v>
      </c>
      <c r="I8" s="125" t="s">
        <v>16</v>
      </c>
      <c r="J8" s="125" t="s">
        <v>17</v>
      </c>
      <c r="K8" s="125" t="s">
        <v>18</v>
      </c>
      <c r="L8" s="125" t="s">
        <v>19</v>
      </c>
      <c r="M8" s="125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27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723</v>
      </c>
      <c r="B10" s="6" t="s">
        <v>34</v>
      </c>
      <c r="C10" s="216"/>
      <c r="D10" s="217"/>
      <c r="E10" s="128" t="s">
        <v>55</v>
      </c>
      <c r="F10" s="65" t="s">
        <v>56</v>
      </c>
      <c r="G10" s="9" t="s">
        <v>655</v>
      </c>
      <c r="H10" s="7" t="s">
        <v>36</v>
      </c>
      <c r="I10" s="8"/>
      <c r="J10" s="8"/>
      <c r="K10" s="8"/>
      <c r="L10" s="9" t="s">
        <v>37</v>
      </c>
      <c r="M10" s="10">
        <v>108000</v>
      </c>
      <c r="N10" s="8" t="s">
        <v>38</v>
      </c>
      <c r="O10" s="9" t="s">
        <v>39</v>
      </c>
    </row>
    <row r="11" spans="1:15" x14ac:dyDescent="0.3">
      <c r="A11" s="12"/>
      <c r="B11" s="13" t="s">
        <v>724</v>
      </c>
      <c r="C11" s="228">
        <v>6</v>
      </c>
      <c r="D11" s="229"/>
      <c r="E11" s="90">
        <v>6000</v>
      </c>
      <c r="F11" s="102">
        <f>E11*C11</f>
        <v>36000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49">
        <f>F11</f>
        <v>36000</v>
      </c>
      <c r="N11" s="19"/>
      <c r="O11" s="17"/>
    </row>
    <row r="12" spans="1:15" x14ac:dyDescent="0.3">
      <c r="A12" s="12"/>
      <c r="B12" s="13" t="s">
        <v>725</v>
      </c>
      <c r="C12" s="228">
        <v>6</v>
      </c>
      <c r="D12" s="229"/>
      <c r="E12" s="90">
        <v>3000</v>
      </c>
      <c r="F12" s="102">
        <f>E12*C12</f>
        <v>18000</v>
      </c>
      <c r="G12" s="14"/>
      <c r="H12" s="14"/>
      <c r="I12" s="15"/>
      <c r="J12" s="15"/>
      <c r="K12" s="20" t="s">
        <v>731</v>
      </c>
      <c r="L12" s="17"/>
      <c r="M12" s="149">
        <f>F12</f>
        <v>18000</v>
      </c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ref="F13:F16" si="0">E13</f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31"/>
      <c r="F17" s="101">
        <f>SUM(F11:F16)</f>
        <v>54000</v>
      </c>
      <c r="G17" s="7"/>
      <c r="H17" s="7"/>
      <c r="I17" s="7"/>
      <c r="J17" s="7"/>
      <c r="K17" s="194" t="s">
        <v>43</v>
      </c>
      <c r="L17" s="195"/>
      <c r="M17" s="148">
        <f>SUM(M11:M16)</f>
        <v>54000</v>
      </c>
      <c r="N17" s="13"/>
      <c r="O17" s="7"/>
    </row>
    <row r="18" spans="1:15" x14ac:dyDescent="0.3">
      <c r="A18" s="3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3"/>
      <c r="M18" s="26"/>
      <c r="N18" s="11" t="s">
        <v>45</v>
      </c>
      <c r="O18" s="27"/>
    </row>
    <row r="19" spans="1:15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5" ht="20.2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68"/>
      <c r="G21" s="187" t="s">
        <v>47</v>
      </c>
      <c r="H21" s="187"/>
      <c r="I21" s="187"/>
      <c r="J21" s="140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3"/>
      <c r="M22" s="188" t="s">
        <v>728</v>
      </c>
      <c r="N22" s="188"/>
      <c r="O22" s="188"/>
    </row>
  </sheetData>
  <mergeCells count="26"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C9:D9"/>
    <mergeCell ref="C10:D10"/>
    <mergeCell ref="C11:D11"/>
    <mergeCell ref="C12:D12"/>
    <mergeCell ref="C13:D13"/>
    <mergeCell ref="I4:J4"/>
    <mergeCell ref="M21:O21"/>
    <mergeCell ref="A22:B22"/>
    <mergeCell ref="M22:O22"/>
    <mergeCell ref="C15:D15"/>
    <mergeCell ref="C16:D16"/>
    <mergeCell ref="C17:D17"/>
    <mergeCell ref="K17:L17"/>
    <mergeCell ref="A21:B21"/>
    <mergeCell ref="G21:I21"/>
    <mergeCell ref="G22:I22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9941-AFA2-4CC7-B92D-74FF2AD7D49F}">
  <sheetPr>
    <tabColor rgb="FF00B0F0"/>
    <pageSetUpPr fitToPage="1"/>
  </sheetPr>
  <dimension ref="A1:O22"/>
  <sheetViews>
    <sheetView workbookViewId="0">
      <selection activeCell="G15" sqref="G15"/>
    </sheetView>
  </sheetViews>
  <sheetFormatPr defaultRowHeight="14.4" x14ac:dyDescent="0.3"/>
  <cols>
    <col min="1" max="1" width="12.88671875" customWidth="1"/>
    <col min="2" max="2" width="17.44140625" customWidth="1"/>
    <col min="3" max="3" width="6.6640625" customWidth="1"/>
    <col min="4" max="4" width="4.88671875" customWidth="1"/>
    <col min="5" max="5" width="0.109375" customWidth="1"/>
    <col min="6" max="6" width="10.6640625" hidden="1" customWidth="1"/>
    <col min="7" max="7" width="12.33203125" customWidth="1"/>
    <col min="8" max="8" width="14.88671875" customWidth="1"/>
    <col min="9" max="9" width="8.664062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693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154" t="s">
        <v>2</v>
      </c>
      <c r="H4" s="156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53.25" customHeight="1" x14ac:dyDescent="0.3">
      <c r="A10" s="5" t="s">
        <v>659</v>
      </c>
      <c r="B10" s="6" t="s">
        <v>34</v>
      </c>
      <c r="C10" s="216"/>
      <c r="D10" s="217"/>
      <c r="E10" s="110" t="s">
        <v>55</v>
      </c>
      <c r="F10" s="65" t="s">
        <v>56</v>
      </c>
      <c r="G10" s="152" t="s">
        <v>655</v>
      </c>
      <c r="H10" s="7" t="s">
        <v>36</v>
      </c>
      <c r="I10" s="8"/>
      <c r="J10" s="8"/>
      <c r="K10" s="8"/>
      <c r="L10" s="9" t="s">
        <v>37</v>
      </c>
      <c r="M10" s="10">
        <v>4200</v>
      </c>
      <c r="N10" s="8" t="s">
        <v>38</v>
      </c>
      <c r="O10" s="9" t="s">
        <v>39</v>
      </c>
    </row>
    <row r="11" spans="1:15" ht="15.6" x14ac:dyDescent="0.3">
      <c r="A11" s="12"/>
      <c r="B11" s="151" t="s">
        <v>660</v>
      </c>
      <c r="C11" s="228">
        <v>6</v>
      </c>
      <c r="D11" s="229"/>
      <c r="E11" s="90">
        <v>9000</v>
      </c>
      <c r="F11" s="102">
        <v>350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f>F11*C11</f>
        <v>2100</v>
      </c>
      <c r="N11" s="19"/>
      <c r="O11" s="17"/>
    </row>
    <row r="12" spans="1:15" x14ac:dyDescent="0.3">
      <c r="A12" s="12"/>
      <c r="B12" s="13"/>
      <c r="C12" s="228"/>
      <c r="D12" s="229"/>
      <c r="E12" s="90"/>
      <c r="F12" s="102">
        <f t="shared" ref="F12:F16" si="0">E12</f>
        <v>0</v>
      </c>
      <c r="G12" s="14"/>
      <c r="H12" s="14"/>
      <c r="I12" s="15"/>
      <c r="J12" s="15"/>
      <c r="K12" s="20" t="s">
        <v>731</v>
      </c>
      <c r="L12" s="17"/>
      <c r="M12" s="18"/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350</v>
      </c>
      <c r="G17" s="7"/>
      <c r="H17" s="7"/>
      <c r="I17" s="7"/>
      <c r="J17" s="7"/>
      <c r="K17" s="194" t="s">
        <v>43</v>
      </c>
      <c r="L17" s="195"/>
      <c r="M17" s="148">
        <f>M11</f>
        <v>2100</v>
      </c>
      <c r="N17" s="13"/>
      <c r="O17" s="7"/>
    </row>
    <row r="18" spans="1:15" x14ac:dyDescent="0.3">
      <c r="A18" s="155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3"/>
      <c r="M18" s="186" t="s">
        <v>45</v>
      </c>
      <c r="N18" s="186"/>
      <c r="O18" s="27"/>
    </row>
    <row r="19" spans="1:15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5" ht="25.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68"/>
      <c r="G21" s="187" t="s">
        <v>47</v>
      </c>
      <c r="H21" s="187"/>
      <c r="I21" s="187"/>
      <c r="J21" s="140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3"/>
      <c r="M22" s="188" t="s">
        <v>728</v>
      </c>
      <c r="N22" s="188"/>
      <c r="O22" s="188"/>
    </row>
  </sheetData>
  <mergeCells count="27">
    <mergeCell ref="M21:O21"/>
    <mergeCell ref="A22:B22"/>
    <mergeCell ref="M22:O22"/>
    <mergeCell ref="C15:D15"/>
    <mergeCell ref="C16:D16"/>
    <mergeCell ref="C17:D17"/>
    <mergeCell ref="K17:L17"/>
    <mergeCell ref="A21:B21"/>
    <mergeCell ref="G21:I21"/>
    <mergeCell ref="G22:I22"/>
    <mergeCell ref="M18:N18"/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C9:D9"/>
    <mergeCell ref="C10:D10"/>
    <mergeCell ref="C11:D11"/>
    <mergeCell ref="C12:D12"/>
    <mergeCell ref="C13:D13"/>
    <mergeCell ref="I4:J4"/>
  </mergeCells>
  <pageMargins left="0.7" right="0.7" top="0.75" bottom="0.75" header="0.3" footer="0.3"/>
  <pageSetup paperSize="5" orientation="landscape" horizontalDpi="4294967293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DC72-0DBA-42ED-AB24-78FF6FB12E03}">
  <sheetPr>
    <tabColor rgb="FF00B0F0"/>
    <pageSetUpPr fitToPage="1"/>
  </sheetPr>
  <dimension ref="A1:O22"/>
  <sheetViews>
    <sheetView workbookViewId="0">
      <selection activeCell="M11" sqref="M11:M14"/>
    </sheetView>
  </sheetViews>
  <sheetFormatPr defaultRowHeight="14.4" x14ac:dyDescent="0.3"/>
  <cols>
    <col min="1" max="1" width="11.109375" customWidth="1"/>
    <col min="2" max="2" width="25.88671875" customWidth="1"/>
    <col min="3" max="3" width="6.6640625" customWidth="1"/>
    <col min="4" max="4" width="1.33203125" customWidth="1"/>
    <col min="5" max="5" width="8.5546875" hidden="1" customWidth="1"/>
    <col min="6" max="6" width="10.6640625" hidden="1" customWidth="1"/>
    <col min="7" max="7" width="11.33203125" customWidth="1"/>
    <col min="8" max="8" width="14.88671875" customWidth="1"/>
    <col min="9" max="9" width="8.664062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661</v>
      </c>
      <c r="B10" s="6" t="s">
        <v>34</v>
      </c>
      <c r="C10" s="216"/>
      <c r="D10" s="217"/>
      <c r="E10" s="110" t="s">
        <v>55</v>
      </c>
      <c r="F10" s="65" t="s">
        <v>56</v>
      </c>
      <c r="G10" s="9" t="s">
        <v>655</v>
      </c>
      <c r="H10" s="7" t="s">
        <v>36</v>
      </c>
      <c r="I10" s="8"/>
      <c r="J10" s="8"/>
      <c r="K10" s="8"/>
      <c r="L10" s="9" t="s">
        <v>37</v>
      </c>
      <c r="M10" s="10">
        <v>12000</v>
      </c>
      <c r="N10" s="8" t="s">
        <v>38</v>
      </c>
      <c r="O10" s="9" t="s">
        <v>39</v>
      </c>
    </row>
    <row r="11" spans="1:15" x14ac:dyDescent="0.3">
      <c r="A11" s="12"/>
      <c r="B11" s="13" t="s">
        <v>662</v>
      </c>
      <c r="C11" s="228">
        <v>6</v>
      </c>
      <c r="D11" s="229"/>
      <c r="E11" s="90">
        <v>250</v>
      </c>
      <c r="F11" s="102">
        <f>E11*C11</f>
        <v>1500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4">
        <f>F11</f>
        <v>1500</v>
      </c>
      <c r="N11" s="19"/>
      <c r="O11" s="17"/>
    </row>
    <row r="12" spans="1:15" x14ac:dyDescent="0.3">
      <c r="A12" s="12"/>
      <c r="B12" s="13" t="s">
        <v>663</v>
      </c>
      <c r="C12" s="228">
        <v>6</v>
      </c>
      <c r="D12" s="229"/>
      <c r="E12" s="90">
        <v>250</v>
      </c>
      <c r="F12" s="102">
        <f t="shared" ref="F12:F14" si="0">E12*C12</f>
        <v>1500</v>
      </c>
      <c r="G12" s="14"/>
      <c r="H12" s="14"/>
      <c r="I12" s="15"/>
      <c r="J12" s="15"/>
      <c r="K12" s="20" t="s">
        <v>731</v>
      </c>
      <c r="L12" s="17"/>
      <c r="M12" s="184">
        <f t="shared" ref="M12:M14" si="1">F12</f>
        <v>1500</v>
      </c>
      <c r="N12" s="19"/>
      <c r="O12" s="17"/>
    </row>
    <row r="13" spans="1:15" x14ac:dyDescent="0.3">
      <c r="A13" s="12"/>
      <c r="B13" s="13" t="s">
        <v>664</v>
      </c>
      <c r="C13" s="228">
        <v>6</v>
      </c>
      <c r="D13" s="229"/>
      <c r="E13" s="90">
        <v>250</v>
      </c>
      <c r="F13" s="102">
        <f t="shared" si="0"/>
        <v>1500</v>
      </c>
      <c r="G13" s="14"/>
      <c r="H13" s="14"/>
      <c r="I13" s="20"/>
      <c r="J13" s="20"/>
      <c r="K13" s="20"/>
      <c r="L13" s="17"/>
      <c r="M13" s="184">
        <f>F13</f>
        <v>1500</v>
      </c>
      <c r="N13" s="19"/>
      <c r="O13" s="17"/>
    </row>
    <row r="14" spans="1:15" x14ac:dyDescent="0.3">
      <c r="A14" s="12"/>
      <c r="B14" s="13" t="s">
        <v>665</v>
      </c>
      <c r="C14" s="228">
        <v>6</v>
      </c>
      <c r="D14" s="229"/>
      <c r="E14" s="90">
        <v>250</v>
      </c>
      <c r="F14" s="102">
        <f t="shared" si="0"/>
        <v>1500</v>
      </c>
      <c r="G14" s="14"/>
      <c r="H14" s="14"/>
      <c r="I14" s="20"/>
      <c r="J14" s="20"/>
      <c r="K14" s="20"/>
      <c r="L14" s="17"/>
      <c r="M14" s="184">
        <f t="shared" si="1"/>
        <v>1500</v>
      </c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ref="F15:F16" si="2">E15</f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2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ht="15.6" x14ac:dyDescent="0.3">
      <c r="A17" s="13"/>
      <c r="B17" s="23"/>
      <c r="C17" s="224"/>
      <c r="D17" s="225"/>
      <c r="E17" s="111"/>
      <c r="F17" s="101">
        <f>SUM(F11:F16)</f>
        <v>6000</v>
      </c>
      <c r="G17" s="7"/>
      <c r="H17" s="7"/>
      <c r="I17" s="7"/>
      <c r="J17" s="7"/>
      <c r="K17" s="194" t="s">
        <v>43</v>
      </c>
      <c r="L17" s="195"/>
      <c r="M17" s="148">
        <f>SUM(M11:M16)</f>
        <v>6000</v>
      </c>
      <c r="N17" s="13"/>
      <c r="O17" s="7"/>
    </row>
    <row r="18" spans="1:15" x14ac:dyDescent="0.3">
      <c r="A18" s="155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186" t="s">
        <v>45</v>
      </c>
      <c r="M18" s="186"/>
      <c r="N18" s="186"/>
      <c r="O18" s="27"/>
    </row>
    <row r="19" spans="1:15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5" ht="36.7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68"/>
      <c r="G21" s="187" t="s">
        <v>47</v>
      </c>
      <c r="H21" s="187"/>
      <c r="I21" s="187"/>
      <c r="J21" s="140"/>
      <c r="K21" s="2"/>
      <c r="L21" s="187" t="s">
        <v>727</v>
      </c>
      <c r="M21" s="187"/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188" t="s">
        <v>728</v>
      </c>
      <c r="M22" s="188"/>
      <c r="N22" s="188"/>
      <c r="O22" s="188"/>
    </row>
  </sheetData>
  <mergeCells count="28">
    <mergeCell ref="K17:L17"/>
    <mergeCell ref="A21:B21"/>
    <mergeCell ref="G21:I21"/>
    <mergeCell ref="G22:I22"/>
    <mergeCell ref="L18:N18"/>
    <mergeCell ref="L21:O21"/>
    <mergeCell ref="L22:O22"/>
    <mergeCell ref="A22:B22"/>
    <mergeCell ref="C15:D15"/>
    <mergeCell ref="C16:D16"/>
    <mergeCell ref="C17:D17"/>
    <mergeCell ref="G4:H4"/>
    <mergeCell ref="C14:D14"/>
    <mergeCell ref="C9:D9"/>
    <mergeCell ref="C10:D10"/>
    <mergeCell ref="C11:D11"/>
    <mergeCell ref="C12:D12"/>
    <mergeCell ref="C13:D13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I4:J4"/>
  </mergeCells>
  <pageMargins left="0.7" right="0.7" top="0.75" bottom="0.75" header="0.3" footer="0.3"/>
  <pageSetup paperSize="5" fitToHeight="0" orientation="landscape" horizontalDpi="4294967293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0B07-212B-4008-B7EE-9217928AC547}">
  <sheetPr>
    <tabColor rgb="FF00B0F0"/>
    <pageSetUpPr fitToPage="1"/>
  </sheetPr>
  <dimension ref="A1:O22"/>
  <sheetViews>
    <sheetView workbookViewId="0">
      <selection activeCell="M11" sqref="M11:M12"/>
    </sheetView>
  </sheetViews>
  <sheetFormatPr defaultRowHeight="14.4" x14ac:dyDescent="0.3"/>
  <cols>
    <col min="1" max="1" width="13.33203125" customWidth="1"/>
    <col min="2" max="2" width="17" customWidth="1"/>
    <col min="3" max="3" width="5" customWidth="1"/>
    <col min="4" max="4" width="8.88671875" customWidth="1"/>
    <col min="5" max="5" width="8.5546875" hidden="1" customWidth="1"/>
    <col min="6" max="6" width="10.6640625" hidden="1" customWidth="1"/>
    <col min="7" max="7" width="13.44140625" customWidth="1"/>
    <col min="8" max="8" width="14.88671875" customWidth="1"/>
    <col min="9" max="9" width="8.6640625" customWidth="1"/>
    <col min="10" max="10" width="10.5546875" customWidth="1"/>
    <col min="11" max="11" width="11.5546875" customWidth="1"/>
    <col min="12" max="12" width="11.88671875" customWidth="1"/>
    <col min="13" max="13" width="12.44140625" customWidth="1"/>
    <col min="14" max="14" width="13.5546875" customWidth="1"/>
    <col min="15" max="15" width="12.6640625" customWidth="1"/>
  </cols>
  <sheetData>
    <row r="1" spans="1:15" x14ac:dyDescent="0.3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</row>
    <row r="2" spans="1:15" x14ac:dyDescent="0.3">
      <c r="A2" s="188" t="s">
        <v>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15" x14ac:dyDescent="0.3">
      <c r="A3" s="196" t="s">
        <v>694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</row>
    <row r="4" spans="1:15" x14ac:dyDescent="0.3">
      <c r="A4" s="2"/>
      <c r="B4" s="2"/>
      <c r="C4" s="2"/>
      <c r="D4" s="2"/>
      <c r="E4" s="2"/>
      <c r="F4" s="62"/>
      <c r="G4" s="231" t="s">
        <v>2</v>
      </c>
      <c r="H4" s="231"/>
      <c r="I4" s="231" t="s">
        <v>3</v>
      </c>
      <c r="J4" s="231"/>
      <c r="K4" s="2"/>
      <c r="L4" s="2"/>
      <c r="M4" s="2"/>
      <c r="N4" s="2"/>
      <c r="O4" s="2"/>
    </row>
    <row r="5" spans="1:15" x14ac:dyDescent="0.3">
      <c r="A5" s="3" t="s">
        <v>4</v>
      </c>
      <c r="B5" s="2"/>
      <c r="C5" s="2"/>
      <c r="D5" s="2"/>
      <c r="E5" s="2"/>
      <c r="F5" s="62"/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3" t="s">
        <v>5</v>
      </c>
      <c r="B6" s="2"/>
      <c r="C6" s="2"/>
      <c r="D6" s="2"/>
      <c r="E6" s="2"/>
      <c r="F6" s="6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20" t="s">
        <v>6</v>
      </c>
      <c r="B7" s="220"/>
      <c r="C7" s="220"/>
      <c r="D7" s="220"/>
      <c r="E7" s="220"/>
      <c r="F7" s="220"/>
      <c r="G7" s="220"/>
      <c r="H7" s="220"/>
      <c r="I7" s="220" t="s">
        <v>7</v>
      </c>
      <c r="J7" s="220"/>
      <c r="K7" s="220"/>
      <c r="L7" s="220" t="s">
        <v>8</v>
      </c>
      <c r="M7" s="220"/>
      <c r="N7" s="221" t="s">
        <v>9</v>
      </c>
      <c r="O7" s="220" t="s">
        <v>10</v>
      </c>
    </row>
    <row r="8" spans="1:15" ht="79.2" x14ac:dyDescent="0.3">
      <c r="A8" s="107" t="s">
        <v>11</v>
      </c>
      <c r="B8" s="107" t="s">
        <v>12</v>
      </c>
      <c r="C8" s="222" t="s">
        <v>13</v>
      </c>
      <c r="D8" s="223"/>
      <c r="E8" s="108"/>
      <c r="F8" s="63"/>
      <c r="G8" s="107" t="s">
        <v>14</v>
      </c>
      <c r="H8" s="107" t="s">
        <v>15</v>
      </c>
      <c r="I8" s="107" t="s">
        <v>16</v>
      </c>
      <c r="J8" s="107" t="s">
        <v>17</v>
      </c>
      <c r="K8" s="107" t="s">
        <v>18</v>
      </c>
      <c r="L8" s="107" t="s">
        <v>19</v>
      </c>
      <c r="M8" s="107" t="s">
        <v>20</v>
      </c>
      <c r="N8" s="221"/>
      <c r="O8" s="220"/>
    </row>
    <row r="9" spans="1:15" x14ac:dyDescent="0.3">
      <c r="A9" s="4" t="s">
        <v>21</v>
      </c>
      <c r="B9" s="4" t="s">
        <v>22</v>
      </c>
      <c r="C9" s="214" t="s">
        <v>23</v>
      </c>
      <c r="D9" s="215"/>
      <c r="E9" s="109"/>
      <c r="F9" s="64"/>
      <c r="G9" s="4" t="s">
        <v>24</v>
      </c>
      <c r="H9" s="4" t="s">
        <v>25</v>
      </c>
      <c r="I9" s="4" t="s">
        <v>26</v>
      </c>
      <c r="J9" s="4" t="s">
        <v>27</v>
      </c>
      <c r="K9" s="4" t="s">
        <v>28</v>
      </c>
      <c r="L9" s="4" t="s">
        <v>29</v>
      </c>
      <c r="M9" s="4" t="s">
        <v>30</v>
      </c>
      <c r="N9" s="4" t="s">
        <v>31</v>
      </c>
      <c r="O9" s="4" t="s">
        <v>32</v>
      </c>
    </row>
    <row r="10" spans="1:15" ht="39.6" x14ac:dyDescent="0.3">
      <c r="A10" s="5" t="s">
        <v>654</v>
      </c>
      <c r="B10" s="6" t="s">
        <v>34</v>
      </c>
      <c r="C10" s="216"/>
      <c r="D10" s="217"/>
      <c r="E10" s="110" t="s">
        <v>55</v>
      </c>
      <c r="F10" s="65" t="s">
        <v>56</v>
      </c>
      <c r="G10" s="170" t="s">
        <v>655</v>
      </c>
      <c r="H10" s="7" t="s">
        <v>36</v>
      </c>
      <c r="I10" s="8"/>
      <c r="J10" s="8"/>
      <c r="K10" s="8"/>
      <c r="L10" s="9" t="s">
        <v>37</v>
      </c>
      <c r="M10" s="10">
        <v>264000</v>
      </c>
      <c r="N10" s="8" t="s">
        <v>38</v>
      </c>
      <c r="O10" s="9" t="s">
        <v>39</v>
      </c>
    </row>
    <row r="11" spans="1:15" x14ac:dyDescent="0.3">
      <c r="A11" s="12"/>
      <c r="B11" s="13" t="s">
        <v>656</v>
      </c>
      <c r="C11" s="14">
        <v>6</v>
      </c>
      <c r="D11" s="171" t="s">
        <v>657</v>
      </c>
      <c r="E11" s="90"/>
      <c r="F11" s="102">
        <f t="shared" ref="F11:F16" si="0">E11</f>
        <v>0</v>
      </c>
      <c r="G11" s="14"/>
      <c r="H11" s="14"/>
      <c r="I11" s="15" t="s">
        <v>40</v>
      </c>
      <c r="J11" s="181">
        <v>46174</v>
      </c>
      <c r="K11" s="16" t="s">
        <v>41</v>
      </c>
      <c r="L11" s="17"/>
      <c r="M11" s="185">
        <v>120000</v>
      </c>
      <c r="N11" s="19"/>
      <c r="O11" s="17"/>
    </row>
    <row r="12" spans="1:15" x14ac:dyDescent="0.3">
      <c r="A12" s="12"/>
      <c r="B12" s="13" t="s">
        <v>658</v>
      </c>
      <c r="C12" s="14">
        <v>6</v>
      </c>
      <c r="D12" s="171" t="s">
        <v>657</v>
      </c>
      <c r="E12" s="90"/>
      <c r="F12" s="102">
        <f t="shared" si="0"/>
        <v>0</v>
      </c>
      <c r="G12" s="14"/>
      <c r="H12" s="14"/>
      <c r="I12" s="15"/>
      <c r="J12" s="15"/>
      <c r="K12" s="20" t="s">
        <v>731</v>
      </c>
      <c r="L12" s="17"/>
      <c r="M12" s="185">
        <v>12000</v>
      </c>
      <c r="N12" s="19"/>
      <c r="O12" s="17"/>
    </row>
    <row r="13" spans="1:15" x14ac:dyDescent="0.3">
      <c r="A13" s="12"/>
      <c r="B13" s="13"/>
      <c r="C13" s="228"/>
      <c r="D13" s="229"/>
      <c r="E13" s="90"/>
      <c r="F13" s="102">
        <f t="shared" si="0"/>
        <v>0</v>
      </c>
      <c r="G13" s="14"/>
      <c r="H13" s="14"/>
      <c r="I13" s="20"/>
      <c r="J13" s="20"/>
      <c r="K13" s="20"/>
      <c r="L13" s="17"/>
      <c r="M13" s="18"/>
      <c r="N13" s="19"/>
      <c r="O13" s="17"/>
    </row>
    <row r="14" spans="1:15" x14ac:dyDescent="0.3">
      <c r="A14" s="12"/>
      <c r="B14" s="13"/>
      <c r="C14" s="228"/>
      <c r="D14" s="229"/>
      <c r="E14" s="90"/>
      <c r="F14" s="102">
        <f t="shared" si="0"/>
        <v>0</v>
      </c>
      <c r="G14" s="14"/>
      <c r="H14" s="14"/>
      <c r="I14" s="20"/>
      <c r="J14" s="20"/>
      <c r="K14" s="20"/>
      <c r="L14" s="17"/>
      <c r="M14" s="18"/>
      <c r="N14" s="19"/>
      <c r="O14" s="17"/>
    </row>
    <row r="15" spans="1:15" x14ac:dyDescent="0.3">
      <c r="A15" s="12"/>
      <c r="B15" s="13"/>
      <c r="C15" s="228"/>
      <c r="D15" s="229"/>
      <c r="E15" s="90"/>
      <c r="F15" s="102">
        <f t="shared" si="0"/>
        <v>0</v>
      </c>
      <c r="G15" s="14"/>
      <c r="H15" s="14"/>
      <c r="I15" s="20"/>
      <c r="J15" s="20"/>
      <c r="K15" s="20"/>
      <c r="L15" s="17"/>
      <c r="M15" s="18"/>
      <c r="N15" s="19"/>
      <c r="O15" s="17"/>
    </row>
    <row r="16" spans="1:15" x14ac:dyDescent="0.3">
      <c r="A16" s="12"/>
      <c r="B16" s="13"/>
      <c r="C16" s="228"/>
      <c r="D16" s="229"/>
      <c r="E16" s="90"/>
      <c r="F16" s="102">
        <f t="shared" si="0"/>
        <v>0</v>
      </c>
      <c r="G16" s="14"/>
      <c r="H16" s="14"/>
      <c r="I16" s="20"/>
      <c r="J16" s="20"/>
      <c r="K16" s="20"/>
      <c r="L16" s="17"/>
      <c r="M16" s="18"/>
      <c r="N16" s="19"/>
      <c r="O16" s="17"/>
    </row>
    <row r="17" spans="1:15" x14ac:dyDescent="0.3">
      <c r="A17" s="13"/>
      <c r="B17" s="23"/>
      <c r="C17" s="224"/>
      <c r="D17" s="225"/>
      <c r="E17" s="111"/>
      <c r="F17" s="101">
        <f>SUM(F11:F16)</f>
        <v>0</v>
      </c>
      <c r="G17" s="7"/>
      <c r="H17" s="7"/>
      <c r="I17" s="7"/>
      <c r="J17" s="7"/>
      <c r="K17" s="194" t="s">
        <v>43</v>
      </c>
      <c r="L17" s="195"/>
      <c r="M17" s="18">
        <f>SUM(M11:M16)</f>
        <v>132000</v>
      </c>
      <c r="N17" s="13"/>
      <c r="O17" s="7"/>
    </row>
    <row r="18" spans="1:15" x14ac:dyDescent="0.3">
      <c r="A18" s="155" t="s">
        <v>44</v>
      </c>
      <c r="B18" s="26"/>
      <c r="C18" s="11"/>
      <c r="D18" s="11"/>
      <c r="E18" s="11"/>
      <c r="F18" s="66"/>
      <c r="G18" s="11" t="s">
        <v>726</v>
      </c>
      <c r="H18" s="66"/>
      <c r="I18" s="26"/>
      <c r="J18" s="26"/>
      <c r="K18" s="26"/>
      <c r="L18" s="3"/>
      <c r="M18" s="186" t="s">
        <v>45</v>
      </c>
      <c r="N18" s="186"/>
      <c r="O18" s="27"/>
    </row>
    <row r="19" spans="1:15" x14ac:dyDescent="0.3">
      <c r="A19" s="3"/>
      <c r="B19" s="2"/>
      <c r="C19" s="3"/>
      <c r="D19" s="3"/>
      <c r="E19" s="3"/>
      <c r="F19" s="67"/>
      <c r="G19" s="3"/>
      <c r="H19" s="67"/>
      <c r="I19" s="2"/>
      <c r="J19" s="2"/>
      <c r="K19" s="2"/>
      <c r="L19" s="2"/>
      <c r="M19" s="28"/>
      <c r="N19" s="2"/>
      <c r="O19" s="27"/>
    </row>
    <row r="20" spans="1:15" ht="30.75" customHeight="1" x14ac:dyDescent="0.3">
      <c r="A20" s="3"/>
      <c r="B20" s="2"/>
      <c r="C20" s="3"/>
      <c r="D20" s="3"/>
      <c r="E20" s="3"/>
      <c r="F20" s="67"/>
      <c r="G20" s="3"/>
      <c r="H20" s="67"/>
      <c r="I20" s="2"/>
      <c r="J20" s="2"/>
      <c r="K20" s="2"/>
      <c r="L20" s="2"/>
      <c r="M20" s="28"/>
      <c r="N20" s="2"/>
      <c r="O20" s="27"/>
    </row>
    <row r="21" spans="1:15" x14ac:dyDescent="0.3">
      <c r="A21" s="198" t="s">
        <v>46</v>
      </c>
      <c r="B21" s="198"/>
      <c r="C21" s="29"/>
      <c r="D21" s="29"/>
      <c r="E21" s="29"/>
      <c r="F21" s="68"/>
      <c r="G21" s="187" t="s">
        <v>47</v>
      </c>
      <c r="H21" s="187"/>
      <c r="I21" s="187"/>
      <c r="J21" s="140"/>
      <c r="K21" s="2"/>
      <c r="L21" s="29"/>
      <c r="M21" s="187" t="s">
        <v>727</v>
      </c>
      <c r="N21" s="187"/>
      <c r="O21" s="187"/>
    </row>
    <row r="22" spans="1:15" x14ac:dyDescent="0.3">
      <c r="A22" s="196" t="s">
        <v>48</v>
      </c>
      <c r="B22" s="196"/>
      <c r="C22" s="3"/>
      <c r="D22" s="3"/>
      <c r="E22" s="3"/>
      <c r="F22" s="67"/>
      <c r="G22" s="188" t="s">
        <v>49</v>
      </c>
      <c r="H22" s="188"/>
      <c r="I22" s="188"/>
      <c r="J22" s="139"/>
      <c r="K22" s="2"/>
      <c r="L22" s="3"/>
      <c r="M22" s="188" t="s">
        <v>728</v>
      </c>
      <c r="N22" s="188"/>
      <c r="O22" s="188"/>
    </row>
  </sheetData>
  <mergeCells count="26">
    <mergeCell ref="M21:O21"/>
    <mergeCell ref="A22:B22"/>
    <mergeCell ref="M22:O22"/>
    <mergeCell ref="C15:D15"/>
    <mergeCell ref="C16:D16"/>
    <mergeCell ref="C17:D17"/>
    <mergeCell ref="K17:L17"/>
    <mergeCell ref="A21:B21"/>
    <mergeCell ref="G21:I21"/>
    <mergeCell ref="G22:I22"/>
    <mergeCell ref="G4:H4"/>
    <mergeCell ref="M18:N18"/>
    <mergeCell ref="C14:D14"/>
    <mergeCell ref="A1:O1"/>
    <mergeCell ref="A2:O2"/>
    <mergeCell ref="A3:O3"/>
    <mergeCell ref="A7:H7"/>
    <mergeCell ref="I7:K7"/>
    <mergeCell ref="L7:M7"/>
    <mergeCell ref="N7:N8"/>
    <mergeCell ref="O7:O8"/>
    <mergeCell ref="C8:D8"/>
    <mergeCell ref="C9:D9"/>
    <mergeCell ref="C10:D10"/>
    <mergeCell ref="C13:D13"/>
    <mergeCell ref="I4:J4"/>
  </mergeCells>
  <pageMargins left="0.7" right="0.7" top="0.75" bottom="0.75" header="0.3" footer="0.3"/>
  <pageSetup paperSize="5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</vt:i4>
      </vt:variant>
    </vt:vector>
  </HeadingPairs>
  <TitlesOfParts>
    <vt:vector size="48" baseType="lpstr">
      <vt:lpstr>Drugs and Medicine Supplies</vt:lpstr>
      <vt:lpstr>medical</vt:lpstr>
      <vt:lpstr>Other Supplies</vt:lpstr>
      <vt:lpstr>Other Maintenance Operating Exp</vt:lpstr>
      <vt:lpstr>Sply and Delivery of vr,ofc,&amp; E</vt:lpstr>
      <vt:lpstr>Food Supplies</vt:lpstr>
      <vt:lpstr>Fuels and Lub,Expenses</vt:lpstr>
      <vt:lpstr>Repair &amp; Maintenance Motor Vehi</vt:lpstr>
      <vt:lpstr>Repair &amp; Maint, of Lab,Equi,Exp</vt:lpstr>
      <vt:lpstr>Repair &amp; Maintenance Electric</vt:lpstr>
      <vt:lpstr>Fuels and Lb,Expenses</vt:lpstr>
      <vt:lpstr>LGDF</vt:lpstr>
      <vt:lpstr>Accountable Forms</vt:lpstr>
      <vt:lpstr>Capital Outlay</vt:lpstr>
      <vt:lpstr>Fidelity Bond Expenses</vt:lpstr>
      <vt:lpstr>Repair&amp;Maint.of ICT Equip Expen</vt:lpstr>
      <vt:lpstr>Repair&amp;Maint.Building Expenses</vt:lpstr>
      <vt:lpstr>Mineral&amp;Drinking Water Expenses</vt:lpstr>
      <vt:lpstr>Electricity Expenses</vt:lpstr>
      <vt:lpstr>Repair&amp;Maint of office equip eP</vt:lpstr>
      <vt:lpstr>Communication Expenses</vt:lpstr>
      <vt:lpstr>Cable&amp;Satelite Expenses</vt:lpstr>
      <vt:lpstr>Postage &amp; Courier Expenses</vt:lpstr>
      <vt:lpstr>Consultancy Expenses</vt:lpstr>
      <vt:lpstr>'Accountable Forms'!Print_Area</vt:lpstr>
      <vt:lpstr>'Cable&amp;Satelite Expenses'!Print_Area</vt:lpstr>
      <vt:lpstr>'Capital Outlay'!Print_Area</vt:lpstr>
      <vt:lpstr>'Communication Expenses'!Print_Area</vt:lpstr>
      <vt:lpstr>'Consultancy Expenses'!Print_Area</vt:lpstr>
      <vt:lpstr>'Drugs and Medicine Supplies'!Print_Area</vt:lpstr>
      <vt:lpstr>'Electricity Expenses'!Print_Area</vt:lpstr>
      <vt:lpstr>'Fidelity Bond Expenses'!Print_Area</vt:lpstr>
      <vt:lpstr>'Food Supplies'!Print_Area</vt:lpstr>
      <vt:lpstr>'Fuels and Lb,Expenses'!Print_Area</vt:lpstr>
      <vt:lpstr>'Fuels and Lub,Expenses'!Print_Area</vt:lpstr>
      <vt:lpstr>LGDF!Print_Area</vt:lpstr>
      <vt:lpstr>medical!Print_Area</vt:lpstr>
      <vt:lpstr>'Mineral&amp;Drinking Water Expenses'!Print_Area</vt:lpstr>
      <vt:lpstr>'Other Maintenance Operating Exp'!Print_Area</vt:lpstr>
      <vt:lpstr>'Other Supplies'!Print_Area</vt:lpstr>
      <vt:lpstr>'Postage &amp; Courier Expenses'!Print_Area</vt:lpstr>
      <vt:lpstr>'Repair &amp; Maint, of Lab,Equi,Exp'!Print_Area</vt:lpstr>
      <vt:lpstr>'Repair &amp; Maintenance Electric'!Print_Area</vt:lpstr>
      <vt:lpstr>'Repair &amp; Maintenance Motor Vehi'!Print_Area</vt:lpstr>
      <vt:lpstr>'Repair&amp;Maint of office equip eP'!Print_Area</vt:lpstr>
      <vt:lpstr>'Repair&amp;Maint.Building Expenses'!Print_Area</vt:lpstr>
      <vt:lpstr>'Repair&amp;Maint.of ICT Equip Expen'!Print_Area</vt:lpstr>
      <vt:lpstr>'Sply and Delivery of vr,ofc,&amp; 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2026-07-29T02:33:30Z</cp:lastPrinted>
  <dcterms:created xsi:type="dcterms:W3CDTF">2026-02-09T06:14:41Z</dcterms:created>
  <dcterms:modified xsi:type="dcterms:W3CDTF">2026-07-31T08:55:39Z</dcterms:modified>
</cp:coreProperties>
</file>